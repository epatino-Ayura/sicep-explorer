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2\Gerencia_Comercial\Operaciones_Comerciales\3. ACTIVIDADES DEL PROCESO\9. ENERGIA\13. COMPRA DE ENERGIA\2. CONVOCATORIAS\202505_CP-CASC2025-001_para 2025-2038\1. Apertura\"/>
    </mc:Choice>
  </mc:AlternateContent>
  <xr:revisionPtr revIDLastSave="0" documentId="13_ncr:1_{E35DD04D-7842-4205-87D9-F1578662F9C1}" xr6:coauthVersionLast="47" xr6:coauthVersionMax="47" xr10:uidLastSave="{00000000-0000-0000-0000-000000000000}"/>
  <bookViews>
    <workbookView xWindow="-120" yWindow="-120" windowWidth="24240" windowHeight="13140" firstSheet="1" activeTab="7" xr2:uid="{EB698106-4C3C-47ED-945F-B6ADA2F50F0F}"/>
  </bookViews>
  <sheets>
    <sheet name="PRODUCTO 1" sheetId="1" r:id="rId1"/>
    <sheet name="Curva 2025" sheetId="2" r:id="rId2"/>
    <sheet name="PRODUCTO 2" sheetId="3" r:id="rId3"/>
    <sheet name="Curva 2026" sheetId="4" r:id="rId4"/>
    <sheet name="PRODUCTO 3" sheetId="5" r:id="rId5"/>
    <sheet name="Curva 2027" sheetId="6" r:id="rId6"/>
    <sheet name="Curva 2028" sheetId="7" r:id="rId7"/>
    <sheet name="PRODUCTO 4" sheetId="8" r:id="rId8"/>
    <sheet name="Curva 2029" sheetId="9" r:id="rId9"/>
    <sheet name="Curva 2030" sheetId="10" r:id="rId10"/>
    <sheet name="Curva 2031" sheetId="11" r:id="rId11"/>
    <sheet name="Curva 2032" sheetId="12" r:id="rId12"/>
    <sheet name="Curva 2033" sheetId="13" r:id="rId13"/>
    <sheet name="Curva 2034" sheetId="14" r:id="rId14"/>
    <sheet name="Curva 2035" sheetId="15" r:id="rId15"/>
    <sheet name="Curva 2036" sheetId="16" r:id="rId16"/>
    <sheet name="Curva 2037" sheetId="17" r:id="rId17"/>
    <sheet name="Curva 2038" sheetId="18" r:id="rId18"/>
  </sheets>
  <externalReferences>
    <externalReference r:id="rId19"/>
    <externalReference r:id="rId20"/>
    <externalReference r:id="rId21"/>
  </externalReferences>
  <definedNames>
    <definedName name="_xlnm._FilterDatabase" localSheetId="1" hidden="1">'Curva 2025'!$B$3:$AD$7</definedName>
    <definedName name="_xlnm.Print_Area" localSheetId="0">'PRODUCTO 1'!$B$1:$G$27</definedName>
    <definedName name="_xlnm.Print_Area" localSheetId="2">'PRODUCTO 2'!$B$1:$G$38</definedName>
    <definedName name="Cuadro" localSheetId="3">#REF!</definedName>
    <definedName name="Cuadro" localSheetId="0">#REF!</definedName>
    <definedName name="Cuadro" localSheetId="2">#REF!</definedName>
    <definedName name="Cuadro">#REF!</definedName>
    <definedName name="P_2">#REF!</definedName>
    <definedName name="_xlnm.Print_Titles" localSheetId="0">'PRODUCTO 1'!$4:$7</definedName>
    <definedName name="_xlnm.Print_Titles" localSheetId="2">'PRODUCTO 2'!$4:$7</definedName>
    <definedName name="Z_5E23C26A_5DA4_4377_864E_D3BECE131DEC_.wvu.PrintArea" localSheetId="0" hidden="1">'PRODUCTO 1'!#REF!</definedName>
    <definedName name="Z_5E23C26A_5DA4_4377_864E_D3BECE131DEC_.wvu.PrintArea" localSheetId="2" hidden="1">'PRODUCTO 2'!#REF!</definedName>
    <definedName name="Z_66AA70F6_2777_42C7_BDA0_CD16FFB959D9_.wvu.PrintArea" localSheetId="0" hidden="1">'PRODUCTO 1'!#REF!</definedName>
    <definedName name="Z_66AA70F6_2777_42C7_BDA0_CD16FFB959D9_.wvu.PrintArea" localSheetId="2" hidden="1">'PRODUCTO 2'!#REF!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8" l="1"/>
  <c r="B1" i="17"/>
  <c r="B1" i="16"/>
  <c r="B1" i="15"/>
  <c r="B1" i="14"/>
  <c r="B1" i="13"/>
  <c r="B1" i="12"/>
  <c r="B1" i="11"/>
  <c r="B1" i="10"/>
  <c r="B1" i="9"/>
  <c r="C20" i="8"/>
  <c r="C19" i="8"/>
  <c r="C18" i="8"/>
  <c r="C17" i="8"/>
  <c r="C16" i="8"/>
  <c r="C15" i="8"/>
  <c r="C14" i="8"/>
  <c r="C13" i="8"/>
  <c r="C12" i="8"/>
  <c r="C11" i="8"/>
  <c r="C21" i="8" s="1"/>
  <c r="C12" i="5" l="1"/>
  <c r="C11" i="5"/>
  <c r="C13" i="5" s="1"/>
  <c r="B1" i="4" l="1"/>
  <c r="E23" i="3"/>
  <c r="C22" i="3"/>
  <c r="C21" i="3"/>
  <c r="C20" i="3"/>
  <c r="C19" i="3"/>
  <c r="C18" i="3"/>
  <c r="C17" i="3"/>
  <c r="C16" i="3"/>
  <c r="C15" i="3"/>
  <c r="C14" i="3"/>
  <c r="C13" i="3"/>
  <c r="C12" i="3"/>
  <c r="C11" i="3"/>
  <c r="C23" i="3" s="1"/>
  <c r="E12" i="1" l="1"/>
  <c r="C12" i="1"/>
</calcChain>
</file>

<file path=xl/sharedStrings.xml><?xml version="1.0" encoding="utf-8"?>
<sst xmlns="http://schemas.openxmlformats.org/spreadsheetml/2006/main" count="1093" uniqueCount="87">
  <si>
    <t>OFERENTE:</t>
  </si>
  <si>
    <t>CANTIDAD EN:</t>
  </si>
  <si>
    <t>KWh</t>
  </si>
  <si>
    <t>PRECIOS $/KWh de:</t>
  </si>
  <si>
    <t>XXXXX</t>
  </si>
  <si>
    <t>MODALIDAD:</t>
  </si>
  <si>
    <t>PLC</t>
  </si>
  <si>
    <t xml:space="preserve">ENERGÍA SOLICITADA (KWh)
</t>
  </si>
  <si>
    <t>% ENERGIA OFERTADO</t>
  </si>
  <si>
    <t xml:space="preserve">ENERGÍA OFERTADA (KWh)
</t>
  </si>
  <si>
    <t xml:space="preserve">PRECIO OFERTADO ($/KWh)
</t>
  </si>
  <si>
    <t>TOTAL</t>
  </si>
  <si>
    <t>NOTAS:</t>
  </si>
  <si>
    <t>Ingresar un precio monomio fijo en $/KWh con dos cifras decimales</t>
  </si>
  <si>
    <t>PLC: Pague Lo Contratado</t>
  </si>
  <si>
    <t>La energía ofrecida para el año xxx se despachará de acuerdo con la distribución horaria descrita en la hoja cantidades horarias año xxxx</t>
  </si>
  <si>
    <t>OFERENTE</t>
  </si>
  <si>
    <t>OFERTA No.:</t>
  </si>
  <si>
    <t>MES</t>
  </si>
  <si>
    <t>OR</t>
  </si>
  <si>
    <t>SA</t>
  </si>
  <si>
    <t>DO</t>
  </si>
  <si>
    <t>FE</t>
  </si>
  <si>
    <t>AÑO</t>
  </si>
  <si>
    <t>TOTALMES</t>
  </si>
  <si>
    <t>DIA</t>
  </si>
  <si>
    <t>CANT. DIAS</t>
  </si>
  <si>
    <t xml:space="preserve"> H01</t>
  </si>
  <si>
    <t xml:space="preserve"> H02</t>
  </si>
  <si>
    <t xml:space="preserve"> H03</t>
  </si>
  <si>
    <t xml:space="preserve"> H04</t>
  </si>
  <si>
    <t xml:space="preserve"> H05</t>
  </si>
  <si>
    <t xml:space="preserve"> H06</t>
  </si>
  <si>
    <t xml:space="preserve"> H07</t>
  </si>
  <si>
    <t xml:space="preserve"> H08</t>
  </si>
  <si>
    <t xml:space="preserve"> H09</t>
  </si>
  <si>
    <t xml:space="preserve"> H10 </t>
  </si>
  <si>
    <t xml:space="preserve"> H11</t>
  </si>
  <si>
    <t xml:space="preserve"> H12</t>
  </si>
  <si>
    <t xml:space="preserve"> H13</t>
  </si>
  <si>
    <t xml:space="preserve"> H14</t>
  </si>
  <si>
    <t xml:space="preserve"> H15</t>
  </si>
  <si>
    <t xml:space="preserve"> H16</t>
  </si>
  <si>
    <t xml:space="preserve"> H17</t>
  </si>
  <si>
    <t xml:space="preserve"> H18</t>
  </si>
  <si>
    <t xml:space="preserve"> H19</t>
  </si>
  <si>
    <t xml:space="preserve"> H20</t>
  </si>
  <si>
    <t xml:space="preserve"> H21</t>
  </si>
  <si>
    <t xml:space="preserve"> H22</t>
  </si>
  <si>
    <t xml:space="preserve"> H23</t>
  </si>
  <si>
    <t xml:space="preserve"> H24</t>
  </si>
  <si>
    <t>CUADRO DE NECESIDADES HORARIAS  - AÑO 2025 / MERCADO REGULADO</t>
  </si>
  <si>
    <t>INVITACIÓN: CP-CASC2025-001</t>
  </si>
  <si>
    <t>IPP Serie Oferta Interna Provisional: Abril 2025</t>
  </si>
  <si>
    <t>CUADRO DE CANTIDADES DE ENERGÍA</t>
  </si>
  <si>
    <t>CUADRO DE NECESIDADES HORARIAS  - AÑO 2027 / MERCADO REGULADO</t>
  </si>
  <si>
    <t>TOTAL MES</t>
  </si>
  <si>
    <t>TD</t>
  </si>
  <si>
    <t>CD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</si>
  <si>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</si>
  <si>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</si>
  <si>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</si>
  <si>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</si>
  <si>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</si>
  <si>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</si>
  <si>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</si>
  <si>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</si>
  <si>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</si>
  <si>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</si>
  <si>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</si>
  <si>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</si>
  <si>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</si>
  <si>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</si>
  <si>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</si>
  <si>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</si>
  <si>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</si>
  <si>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</si>
  <si>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</si>
  <si>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</si>
  <si>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</si>
  <si>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</si>
  <si>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</si>
  <si>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</si>
  <si>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CUADRO DE NECESIDADES HORARIAS  - AÑO 2028 / MERCADO REGULADO</t>
  </si>
  <si>
    <t>ENERGÍA SOLICITADA (KWh)</t>
  </si>
  <si>
    <t>ENERGÍA OFERTADA (KWh)</t>
  </si>
  <si>
    <t>PRECIO OFERTADO 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</si>
</sst>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_(* #,##0_);_(* \(#,##0\);_(* &quot;-&quot;??_);_(@_)"/>
    <numFmt numFmtId="168" formatCode="#,##0_ ;[Red]\-#,##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rgb="FFFF0000"/>
      <name val="Arial Narrow"/>
      <family val="2"/>
    </font>
    <font>
      <b/>
      <i/>
      <sz val="12"/>
      <name val="Arial Narrow"/>
      <family val="2"/>
    </font>
    <font>
      <sz val="12"/>
      <color theme="1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0"/>
      <name val="Arial Narrow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14548173467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/>
      <bottom/>
      <diagonal/>
    </border>
    <border>
      <left/>
      <right style="thin">
        <color theme="8" tint="0.39991454817346722"/>
      </right>
      <top/>
      <bottom/>
      <diagonal/>
    </border>
    <border>
      <left/>
      <right style="thin">
        <color theme="8" tint="0.39994506668294322"/>
      </right>
      <top style="thin">
        <color theme="4" tint="0.39997558519241921"/>
      </top>
      <bottom style="medium">
        <color theme="4"/>
      </bottom>
      <diagonal/>
    </border>
    <border>
      <left/>
      <right style="thin">
        <color theme="8" tint="0.39991454817346722"/>
      </right>
      <top style="thin">
        <color theme="4" tint="0.39997558519241921"/>
      </top>
      <bottom style="medium">
        <color theme="4"/>
      </bottom>
      <diagonal/>
    </border>
    <border>
      <left/>
      <right/>
      <top style="thin">
        <color theme="4" tint="0.39997558519241921"/>
      </top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 style="medium">
        <color indexed="64"/>
      </top>
      <bottom style="thin">
        <color theme="4" tint="0.39997558519241921"/>
      </bottom>
      <diagonal/>
    </border>
    <border>
      <left style="thin">
        <color theme="8" tint="0.39994506668294322"/>
      </left>
      <right style="thin">
        <color theme="8" tint="0.39991454817346722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thin">
        <color theme="8" tint="0.39994506668294322"/>
      </left>
      <right style="thin">
        <color theme="8" tint="0.39991454817346722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/>
      <bottom style="medium">
        <color theme="4"/>
      </bottom>
      <diagonal/>
    </border>
    <border>
      <left style="thin">
        <color theme="8" tint="0.39994506668294322"/>
      </left>
      <right style="thin">
        <color theme="8" tint="0.39991454817346722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medium">
        <color theme="4"/>
      </bottom>
      <diagonal/>
    </border>
    <border>
      <left style="thin">
        <color theme="8" tint="0.39994506668294322"/>
      </left>
      <right style="thin">
        <color theme="8" tint="0.39991454817346722"/>
      </right>
      <top style="medium">
        <color theme="4"/>
      </top>
      <bottom/>
      <diagonal/>
    </border>
    <border>
      <left/>
      <right style="thin">
        <color theme="8" tint="0.39994506668294322"/>
      </right>
      <top style="medium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medium">
        <color theme="4"/>
      </top>
      <bottom style="thin">
        <color theme="4" tint="0.39997558519241921"/>
      </bottom>
      <diagonal/>
    </border>
    <border>
      <left/>
      <right/>
      <top style="medium">
        <color theme="4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8" tint="0.39994506668294322"/>
      </right>
      <top/>
      <bottom style="medium">
        <color indexed="64"/>
      </bottom>
      <diagonal/>
    </border>
    <border>
      <left style="thin">
        <color theme="8" tint="0.39994506668294322"/>
      </left>
      <right style="thin">
        <color theme="8" tint="0.39991454817346722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14993743705557422"/>
      </bottom>
      <diagonal/>
    </border>
    <border>
      <left/>
      <right style="medium">
        <color theme="0" tint="-0.24994659260841701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24994659260841701"/>
      </left>
      <right style="thin">
        <color theme="0" tint="-0.14996795556505021"/>
      </right>
      <top style="medium">
        <color theme="0" tint="-0.2499465926084170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24994659260841701"/>
      </top>
      <bottom style="thin">
        <color theme="0" tint="-0.1499679555650502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65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theme="0" tint="-0.1499374370555742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medium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rgb="FFABABAB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65"/>
      </top>
      <bottom style="medium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medium">
        <color theme="0" tint="-0.2499465926084170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8">
    <xf numFmtId="0" fontId="0" fillId="0" borderId="0"/>
    <xf numFmtId="165" fontId="4" fillId="0" borderId="0" applyFont="0" applyFill="0" applyBorder="0" applyAlignment="0" applyProtection="0"/>
    <xf numFmtId="0" fontId="2" fillId="0" borderId="0"/>
    <xf numFmtId="0" fontId="3" fillId="0" borderId="0"/>
    <xf numFmtId="164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220">
    <xf numFmtId="0" fontId="0" fillId="0" borderId="0" xfId="0"/>
    <xf numFmtId="0" fontId="5" fillId="2" borderId="0" xfId="3" applyFont="1" applyFill="1" applyAlignment="1">
      <alignment horizontal="left"/>
    </xf>
    <xf numFmtId="0" fontId="6" fillId="2" borderId="0" xfId="2" applyFont="1" applyFill="1"/>
    <xf numFmtId="164" fontId="5" fillId="2" borderId="0" xfId="4" applyFont="1" applyFill="1" applyBorder="1" applyAlignment="1" applyProtection="1">
      <alignment horizontal="left"/>
      <protection locked="0"/>
    </xf>
    <xf numFmtId="0" fontId="6" fillId="2" borderId="0" xfId="2" applyFont="1" applyFill="1" applyProtection="1">
      <protection locked="0"/>
    </xf>
    <xf numFmtId="4" fontId="5" fillId="2" borderId="0" xfId="3" applyNumberFormat="1" applyFont="1" applyFill="1" applyAlignment="1">
      <alignment horizontal="left"/>
    </xf>
    <xf numFmtId="4" fontId="5" fillId="2" borderId="0" xfId="3" applyNumberFormat="1" applyFont="1" applyFill="1" applyAlignment="1" applyProtection="1">
      <alignment horizontal="left"/>
      <protection locked="0"/>
    </xf>
    <xf numFmtId="0" fontId="5" fillId="2" borderId="0" xfId="2" applyFont="1" applyFill="1"/>
    <xf numFmtId="4" fontId="7" fillId="2" borderId="0" xfId="2" applyNumberFormat="1" applyFont="1" applyFill="1"/>
    <xf numFmtId="4" fontId="5" fillId="2" borderId="0" xfId="2" applyNumberFormat="1" applyFont="1" applyFill="1"/>
    <xf numFmtId="0" fontId="5" fillId="2" borderId="0" xfId="3" applyFont="1" applyFill="1" applyAlignment="1">
      <alignment horizontal="center" vertical="center"/>
    </xf>
    <xf numFmtId="164" fontId="5" fillId="2" borderId="0" xfId="4" applyFont="1" applyFill="1" applyBorder="1" applyProtection="1"/>
    <xf numFmtId="0" fontId="5" fillId="2" borderId="0" xfId="2" applyFont="1" applyFill="1" applyAlignment="1">
      <alignment horizontal="left"/>
    </xf>
    <xf numFmtId="165" fontId="6" fillId="2" borderId="0" xfId="2" applyNumberFormat="1" applyFont="1" applyFill="1"/>
    <xf numFmtId="4" fontId="5" fillId="2" borderId="1" xfId="2" applyNumberFormat="1" applyFont="1" applyFill="1" applyBorder="1"/>
    <xf numFmtId="0" fontId="6" fillId="2" borderId="1" xfId="2" applyFont="1" applyFill="1" applyBorder="1"/>
    <xf numFmtId="0" fontId="10" fillId="2" borderId="0" xfId="2" applyFont="1" applyFill="1" applyAlignment="1">
      <alignment vertical="top"/>
    </xf>
    <xf numFmtId="0" fontId="11" fillId="2" borderId="0" xfId="2" applyFont="1" applyFill="1" applyAlignment="1">
      <alignment vertical="top"/>
    </xf>
    <xf numFmtId="17" fontId="5" fillId="2" borderId="3" xfId="3" applyNumberFormat="1" applyFont="1" applyFill="1" applyBorder="1" applyAlignment="1">
      <alignment horizontal="center" vertical="center"/>
    </xf>
    <xf numFmtId="167" fontId="5" fillId="2" borderId="0" xfId="4" applyNumberFormat="1" applyFont="1" applyFill="1" applyBorder="1" applyProtection="1"/>
    <xf numFmtId="164" fontId="8" fillId="2" borderId="0" xfId="4" applyFont="1" applyFill="1" applyBorder="1" applyAlignment="1" applyProtection="1">
      <alignment horizontal="center"/>
    </xf>
    <xf numFmtId="0" fontId="5" fillId="2" borderId="4" xfId="3" applyFont="1" applyFill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/>
    <xf numFmtId="3" fontId="13" fillId="0" borderId="0" xfId="0" applyNumberFormat="1" applyFont="1"/>
    <xf numFmtId="168" fontId="13" fillId="0" borderId="18" xfId="0" applyNumberFormat="1" applyFont="1" applyBorder="1"/>
    <xf numFmtId="168" fontId="13" fillId="0" borderId="0" xfId="0" applyNumberFormat="1" applyFont="1"/>
    <xf numFmtId="0" fontId="13" fillId="0" borderId="19" xfId="0" applyFont="1" applyBorder="1"/>
    <xf numFmtId="3" fontId="13" fillId="0" borderId="10" xfId="0" applyNumberFormat="1" applyFont="1" applyBorder="1"/>
    <xf numFmtId="168" fontId="13" fillId="0" borderId="19" xfId="0" applyNumberFormat="1" applyFont="1" applyBorder="1"/>
    <xf numFmtId="168" fontId="13" fillId="0" borderId="10" xfId="0" applyNumberFormat="1" applyFont="1" applyBorder="1"/>
    <xf numFmtId="0" fontId="13" fillId="0" borderId="20" xfId="0" applyFont="1" applyBorder="1"/>
    <xf numFmtId="3" fontId="13" fillId="0" borderId="17" xfId="0" applyNumberFormat="1" applyFont="1" applyBorder="1"/>
    <xf numFmtId="168" fontId="13" fillId="0" borderId="20" xfId="0" applyNumberFormat="1" applyFont="1" applyBorder="1"/>
    <xf numFmtId="168" fontId="13" fillId="0" borderId="17" xfId="0" applyNumberFormat="1" applyFont="1" applyBorder="1"/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168" fontId="14" fillId="4" borderId="25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66" fontId="5" fillId="2" borderId="4" xfId="1" applyNumberFormat="1" applyFont="1" applyFill="1" applyBorder="1" applyAlignment="1">
      <alignment horizontal="center" vertical="center" wrapText="1"/>
    </xf>
    <xf numFmtId="0" fontId="15" fillId="5" borderId="6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top" wrapText="1"/>
    </xf>
    <xf numFmtId="0" fontId="15" fillId="5" borderId="7" xfId="3" applyFont="1" applyFill="1" applyBorder="1" applyAlignment="1">
      <alignment horizontal="center" vertical="top" wrapText="1"/>
    </xf>
    <xf numFmtId="0" fontId="15" fillId="5" borderId="8" xfId="2" applyFont="1" applyFill="1" applyBorder="1" applyAlignment="1">
      <alignment horizontal="center" vertical="top" wrapText="1"/>
    </xf>
    <xf numFmtId="0" fontId="15" fillId="5" borderId="9" xfId="3" applyFont="1" applyFill="1" applyBorder="1" applyAlignment="1">
      <alignment horizontal="center" vertical="center"/>
    </xf>
    <xf numFmtId="167" fontId="15" fillId="5" borderId="5" xfId="4" applyNumberFormat="1" applyFont="1" applyFill="1" applyBorder="1" applyProtection="1"/>
    <xf numFmtId="164" fontId="15" fillId="5" borderId="26" xfId="4" applyFont="1" applyFill="1" applyBorder="1" applyProtection="1"/>
    <xf numFmtId="165" fontId="11" fillId="2" borderId="0" xfId="1" applyFont="1" applyFill="1" applyAlignment="1">
      <alignment vertical="top"/>
    </xf>
    <xf numFmtId="165" fontId="6" fillId="2" borderId="0" xfId="1" applyFont="1" applyFill="1"/>
    <xf numFmtId="165" fontId="8" fillId="2" borderId="0" xfId="1" applyFont="1" applyFill="1" applyBorder="1" applyProtection="1"/>
    <xf numFmtId="0" fontId="16" fillId="6" borderId="0" xfId="0" applyFont="1" applyFill="1" applyAlignment="1">
      <alignment horizontal="centerContinuous"/>
    </xf>
    <xf numFmtId="4" fontId="6" fillId="2" borderId="5" xfId="4" applyNumberFormat="1" applyFont="1" applyFill="1" applyBorder="1" applyAlignment="1" applyProtection="1">
      <alignment horizontal="center" vertical="center"/>
      <protection locked="0"/>
    </xf>
    <xf numFmtId="0" fontId="6" fillId="2" borderId="0" xfId="2" applyFont="1" applyFill="1" applyAlignment="1">
      <alignment horizontal="left" wrapText="1"/>
    </xf>
    <xf numFmtId="0" fontId="6" fillId="2" borderId="0" xfId="2" applyFont="1" applyFill="1" applyAlignment="1" applyProtection="1">
      <alignment horizontal="justify" vertical="top" wrapText="1"/>
      <protection locked="0"/>
    </xf>
    <xf numFmtId="0" fontId="9" fillId="0" borderId="0" xfId="5" applyFont="1" applyAlignment="1">
      <alignment horizontal="justify" vertical="top" wrapText="1"/>
    </xf>
    <xf numFmtId="0" fontId="12" fillId="3" borderId="22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3" fontId="12" fillId="0" borderId="14" xfId="0" applyNumberFormat="1" applyFont="1" applyBorder="1" applyAlignment="1">
      <alignment horizontal="center" vertical="center" wrapText="1"/>
    </xf>
    <xf numFmtId="3" fontId="12" fillId="0" borderId="12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3" fontId="12" fillId="0" borderId="16" xfId="0" applyNumberFormat="1" applyFont="1" applyBorder="1" applyAlignment="1">
      <alignment horizontal="right"/>
    </xf>
    <xf numFmtId="0" fontId="15" fillId="5" borderId="27" xfId="3" applyFont="1" applyFill="1" applyBorder="1" applyAlignment="1">
      <alignment horizontal="center" vertical="center" wrapText="1"/>
    </xf>
    <xf numFmtId="0" fontId="15" fillId="5" borderId="28" xfId="3" applyFont="1" applyFill="1" applyBorder="1" applyAlignment="1">
      <alignment horizontal="center" vertical="top" wrapText="1"/>
    </xf>
    <xf numFmtId="0" fontId="15" fillId="5" borderId="29" xfId="3" applyFont="1" applyFill="1" applyBorder="1" applyAlignment="1">
      <alignment horizontal="center" vertical="top" wrapText="1"/>
    </xf>
    <xf numFmtId="0" fontId="15" fillId="5" borderId="30" xfId="2" applyFont="1" applyFill="1" applyBorder="1" applyAlignment="1">
      <alignment horizontal="center" vertical="top" wrapText="1"/>
    </xf>
    <xf numFmtId="17" fontId="5" fillId="2" borderId="31" xfId="3" applyNumberFormat="1" applyFont="1" applyFill="1" applyBorder="1" applyAlignment="1">
      <alignment horizontal="center" vertical="center"/>
    </xf>
    <xf numFmtId="166" fontId="5" fillId="2" borderId="32" xfId="1" applyNumberFormat="1" applyFont="1" applyFill="1" applyBorder="1" applyAlignment="1">
      <alignment vertical="center" wrapText="1"/>
    </xf>
    <xf numFmtId="0" fontId="5" fillId="2" borderId="32" xfId="3" applyFont="1" applyFill="1" applyBorder="1" applyAlignment="1">
      <alignment vertical="center" wrapText="1"/>
    </xf>
    <xf numFmtId="4" fontId="6" fillId="2" borderId="33" xfId="4" applyNumberFormat="1" applyFont="1" applyFill="1" applyBorder="1" applyAlignment="1" applyProtection="1">
      <alignment horizontal="center" vertical="center"/>
      <protection locked="0"/>
    </xf>
    <xf numFmtId="17" fontId="5" fillId="2" borderId="34" xfId="3" applyNumberFormat="1" applyFont="1" applyFill="1" applyBorder="1" applyAlignment="1">
      <alignment horizontal="center" vertical="center"/>
    </xf>
    <xf numFmtId="166" fontId="5" fillId="2" borderId="35" xfId="1" applyNumberFormat="1" applyFont="1" applyFill="1" applyBorder="1" applyAlignment="1">
      <alignment vertical="center" wrapText="1"/>
    </xf>
    <xf numFmtId="0" fontId="5" fillId="2" borderId="35" xfId="3" applyFont="1" applyFill="1" applyBorder="1" applyAlignment="1">
      <alignment vertical="center" wrapText="1"/>
    </xf>
    <xf numFmtId="4" fontId="6" fillId="2" borderId="36" xfId="4" applyNumberFormat="1" applyFont="1" applyFill="1" applyBorder="1" applyAlignment="1" applyProtection="1">
      <alignment horizontal="center" vertical="center"/>
      <protection locked="0"/>
    </xf>
    <xf numFmtId="166" fontId="5" fillId="2" borderId="4" xfId="1" applyNumberFormat="1" applyFont="1" applyFill="1" applyBorder="1" applyAlignment="1">
      <alignment vertical="center" wrapText="1"/>
    </xf>
    <xf numFmtId="4" fontId="6" fillId="2" borderId="5" xfId="4" applyNumberFormat="1" applyFont="1" applyFill="1" applyBorder="1" applyAlignment="1" applyProtection="1">
      <alignment horizontal="center" vertical="center"/>
      <protection locked="0"/>
    </xf>
    <xf numFmtId="164" fontId="8" fillId="2" borderId="0" xfId="4" applyFont="1" applyFill="1" applyBorder="1" applyProtection="1"/>
    <xf numFmtId="0" fontId="0" fillId="2" borderId="0" xfId="0" applyFill="1"/>
    <xf numFmtId="0" fontId="12" fillId="3" borderId="37" xfId="0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3" fontId="12" fillId="0" borderId="39" xfId="0" applyNumberFormat="1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/>
    <xf numFmtId="3" fontId="13" fillId="0" borderId="40" xfId="0" applyNumberFormat="1" applyFont="1" applyBorder="1"/>
    <xf numFmtId="168" fontId="13" fillId="0" borderId="41" xfId="0" applyNumberFormat="1" applyFont="1" applyBorder="1"/>
    <xf numFmtId="168" fontId="13" fillId="0" borderId="40" xfId="0" applyNumberFormat="1" applyFont="1" applyBorder="1"/>
    <xf numFmtId="3" fontId="0" fillId="2" borderId="0" xfId="0" applyNumberFormat="1" applyFill="1"/>
    <xf numFmtId="0" fontId="12" fillId="3" borderId="42" xfId="0" applyFont="1" applyFill="1" applyBorder="1" applyAlignment="1">
      <alignment horizontal="center"/>
    </xf>
    <xf numFmtId="3" fontId="12" fillId="0" borderId="43" xfId="0" applyNumberFormat="1" applyFont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/>
    </xf>
    <xf numFmtId="0" fontId="12" fillId="0" borderId="45" xfId="0" applyFont="1" applyBorder="1" applyAlignment="1">
      <alignment horizontal="center"/>
    </xf>
    <xf numFmtId="3" fontId="12" fillId="0" borderId="46" xfId="0" applyNumberFormat="1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/>
    <xf numFmtId="3" fontId="13" fillId="0" borderId="47" xfId="0" applyNumberFormat="1" applyFont="1" applyBorder="1"/>
    <xf numFmtId="168" fontId="13" fillId="0" borderId="48" xfId="0" applyNumberFormat="1" applyFont="1" applyBorder="1"/>
    <xf numFmtId="168" fontId="13" fillId="0" borderId="47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3" fontId="12" fillId="0" borderId="49" xfId="0" applyNumberFormat="1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3" fillId="0" borderId="51" xfId="0" applyFont="1" applyBorder="1"/>
    <xf numFmtId="3" fontId="13" fillId="0" borderId="52" xfId="0" applyNumberFormat="1" applyFont="1" applyBorder="1"/>
    <xf numFmtId="168" fontId="13" fillId="0" borderId="51" xfId="0" applyNumberFormat="1" applyFont="1" applyBorder="1"/>
    <xf numFmtId="168" fontId="13" fillId="0" borderId="52" xfId="0" applyNumberFormat="1" applyFont="1" applyBorder="1"/>
    <xf numFmtId="0" fontId="12" fillId="3" borderId="53" xfId="0" applyFont="1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3" fontId="12" fillId="0" borderId="55" xfId="0" applyNumberFormat="1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57" xfId="0" applyFont="1" applyBorder="1"/>
    <xf numFmtId="3" fontId="13" fillId="0" borderId="56" xfId="0" applyNumberFormat="1" applyFont="1" applyBorder="1"/>
    <xf numFmtId="168" fontId="13" fillId="0" borderId="57" xfId="0" applyNumberFormat="1" applyFont="1" applyBorder="1"/>
    <xf numFmtId="168" fontId="13" fillId="0" borderId="56" xfId="0" applyNumberFormat="1" applyFont="1" applyBorder="1"/>
    <xf numFmtId="0" fontId="10" fillId="0" borderId="0" xfId="2" applyFont="1" applyAlignment="1">
      <alignment horizontal="centerContinuous" vertical="top"/>
    </xf>
    <xf numFmtId="0" fontId="11" fillId="0" borderId="0" xfId="2" applyFont="1" applyAlignment="1">
      <alignment horizontal="centerContinuous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0" fontId="5" fillId="0" borderId="0" xfId="3" applyFont="1" applyAlignment="1">
      <alignment horizontal="left"/>
    </xf>
    <xf numFmtId="43" fontId="5" fillId="0" borderId="0" xfId="6" applyFont="1" applyFill="1" applyBorder="1" applyAlignment="1" applyProtection="1">
      <alignment horizontal="left"/>
      <protection locked="0"/>
    </xf>
    <xf numFmtId="0" fontId="6" fillId="0" borderId="0" xfId="2" applyFont="1" applyProtection="1">
      <protection locked="0"/>
    </xf>
    <xf numFmtId="4" fontId="5" fillId="0" borderId="0" xfId="3" applyNumberFormat="1" applyFont="1" applyAlignment="1">
      <alignment horizontal="left"/>
    </xf>
    <xf numFmtId="4" fontId="5" fillId="0" borderId="0" xfId="3" applyNumberFormat="1" applyFont="1" applyAlignment="1" applyProtection="1">
      <alignment horizontal="left"/>
      <protection locked="0"/>
    </xf>
    <xf numFmtId="0" fontId="5" fillId="0" borderId="0" xfId="2" applyFont="1"/>
    <xf numFmtId="4" fontId="5" fillId="0" borderId="0" xfId="2" applyNumberFormat="1" applyFont="1"/>
    <xf numFmtId="4" fontId="7" fillId="0" borderId="0" xfId="2" applyNumberFormat="1" applyFont="1"/>
    <xf numFmtId="0" fontId="15" fillId="7" borderId="27" xfId="3" applyFont="1" applyFill="1" applyBorder="1" applyAlignment="1">
      <alignment horizontal="center" vertical="center" wrapText="1"/>
    </xf>
    <xf numFmtId="0" fontId="15" fillId="7" borderId="28" xfId="3" applyFont="1" applyFill="1" applyBorder="1" applyAlignment="1">
      <alignment horizontal="center" vertical="top" wrapText="1"/>
    </xf>
    <xf numFmtId="0" fontId="15" fillId="7" borderId="29" xfId="3" applyFont="1" applyFill="1" applyBorder="1" applyAlignment="1">
      <alignment horizontal="center" vertical="top" wrapText="1"/>
    </xf>
    <xf numFmtId="0" fontId="15" fillId="7" borderId="30" xfId="2" applyFont="1" applyFill="1" applyBorder="1" applyAlignment="1">
      <alignment horizontal="center" vertical="top" wrapText="1"/>
    </xf>
    <xf numFmtId="0" fontId="5" fillId="2" borderId="31" xfId="3" applyFont="1" applyFill="1" applyBorder="1" applyAlignment="1">
      <alignment horizontal="center" vertical="center"/>
    </xf>
    <xf numFmtId="166" fontId="5" fillId="2" borderId="32" xfId="7" applyNumberFormat="1" applyFont="1" applyFill="1" applyBorder="1" applyAlignment="1">
      <alignment vertical="center" wrapText="1"/>
    </xf>
    <xf numFmtId="4" fontId="6" fillId="2" borderId="33" xfId="6" applyNumberFormat="1" applyFont="1" applyFill="1" applyBorder="1" applyAlignment="1" applyProtection="1">
      <alignment horizontal="center" vertical="center"/>
      <protection locked="0"/>
    </xf>
    <xf numFmtId="0" fontId="5" fillId="2" borderId="34" xfId="3" applyFont="1" applyFill="1" applyBorder="1" applyAlignment="1">
      <alignment horizontal="center" vertical="center"/>
    </xf>
    <xf numFmtId="166" fontId="5" fillId="2" borderId="35" xfId="7" applyNumberFormat="1" applyFont="1" applyFill="1" applyBorder="1" applyAlignment="1">
      <alignment vertical="center" wrapText="1"/>
    </xf>
    <xf numFmtId="4" fontId="6" fillId="2" borderId="58" xfId="6" applyNumberFormat="1" applyFont="1" applyFill="1" applyBorder="1" applyAlignment="1" applyProtection="1">
      <alignment horizontal="center" vertical="center"/>
      <protection locked="0"/>
    </xf>
    <xf numFmtId="0" fontId="15" fillId="7" borderId="9" xfId="3" applyFont="1" applyFill="1" applyBorder="1" applyAlignment="1">
      <alignment horizontal="center" vertical="center"/>
    </xf>
    <xf numFmtId="167" fontId="15" fillId="7" borderId="5" xfId="6" applyNumberFormat="1" applyFont="1" applyFill="1" applyBorder="1" applyProtection="1"/>
    <xf numFmtId="167" fontId="5" fillId="2" borderId="0" xfId="6" applyNumberFormat="1" applyFont="1" applyFill="1" applyBorder="1" applyProtection="1"/>
    <xf numFmtId="43" fontId="15" fillId="7" borderId="26" xfId="6" applyFont="1" applyFill="1" applyBorder="1" applyProtection="1"/>
    <xf numFmtId="43" fontId="8" fillId="2" borderId="0" xfId="6" applyFont="1" applyFill="1" applyBorder="1" applyAlignment="1" applyProtection="1">
      <alignment horizontal="center"/>
    </xf>
    <xf numFmtId="0" fontId="5" fillId="0" borderId="0" xfId="3" applyFont="1" applyAlignment="1">
      <alignment horizontal="center" vertical="center"/>
    </xf>
    <xf numFmtId="43" fontId="5" fillId="0" borderId="0" xfId="6" applyFont="1" applyFill="1" applyBorder="1" applyProtection="1"/>
    <xf numFmtId="0" fontId="5" fillId="0" borderId="0" xfId="2" applyFont="1" applyAlignment="1">
      <alignment horizontal="left"/>
    </xf>
    <xf numFmtId="165" fontId="6" fillId="0" borderId="0" xfId="2" applyNumberFormat="1" applyFont="1"/>
    <xf numFmtId="0" fontId="6" fillId="0" borderId="0" xfId="2" applyFont="1" applyAlignment="1">
      <alignment horizontal="left" wrapText="1"/>
    </xf>
    <xf numFmtId="0" fontId="6" fillId="0" borderId="0" xfId="2" applyFont="1"/>
    <xf numFmtId="0" fontId="6" fillId="0" borderId="0" xfId="2" applyFont="1" applyAlignment="1" applyProtection="1">
      <alignment horizontal="justify" vertical="top" wrapText="1"/>
      <protection locked="0"/>
    </xf>
    <xf numFmtId="0" fontId="18" fillId="8" borderId="0" xfId="0" applyFont="1" applyFill="1" applyAlignment="1">
      <alignment horizontal="centerContinuous"/>
    </xf>
    <xf numFmtId="0" fontId="19" fillId="8" borderId="0" xfId="0" applyFont="1" applyFill="1" applyAlignment="1">
      <alignment horizontal="centerContinuous"/>
    </xf>
    <xf numFmtId="0" fontId="20" fillId="9" borderId="59" xfId="0" applyFont="1" applyFill="1" applyBorder="1" applyAlignment="1">
      <alignment horizontal="center"/>
    </xf>
    <xf numFmtId="0" fontId="20" fillId="9" borderId="60" xfId="0" applyFont="1" applyFill="1" applyBorder="1" applyAlignment="1">
      <alignment horizontal="center" vertical="center" wrapText="1"/>
    </xf>
    <xf numFmtId="0" fontId="20" fillId="9" borderId="59" xfId="0" applyFont="1" applyFill="1" applyBorder="1" applyAlignment="1">
      <alignment horizontal="center" vertical="center" wrapText="1"/>
    </xf>
    <xf numFmtId="0" fontId="12" fillId="10" borderId="61" xfId="0" applyFont="1" applyFill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3" fontId="20" fillId="0" borderId="63" xfId="0" applyNumberFormat="1" applyFont="1" applyBorder="1"/>
    <xf numFmtId="0" fontId="19" fillId="0" borderId="64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3" fontId="19" fillId="0" borderId="66" xfId="0" applyNumberFormat="1" applyFont="1" applyBorder="1"/>
    <xf numFmtId="3" fontId="19" fillId="0" borderId="67" xfId="0" applyNumberFormat="1" applyFont="1" applyBorder="1"/>
    <xf numFmtId="0" fontId="12" fillId="10" borderId="68" xfId="0" applyFont="1" applyFill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7" fillId="0" borderId="70" xfId="0" applyFont="1" applyBorder="1"/>
    <xf numFmtId="3" fontId="19" fillId="0" borderId="71" xfId="0" applyNumberFormat="1" applyFont="1" applyBorder="1"/>
    <xf numFmtId="3" fontId="19" fillId="0" borderId="72" xfId="0" applyNumberFormat="1" applyFont="1" applyBorder="1"/>
    <xf numFmtId="0" fontId="12" fillId="0" borderId="73" xfId="0" applyFont="1" applyBorder="1" applyAlignment="1">
      <alignment horizontal="center"/>
    </xf>
    <xf numFmtId="0" fontId="17" fillId="0" borderId="74" xfId="0" applyFont="1" applyBorder="1"/>
    <xf numFmtId="3" fontId="19" fillId="0" borderId="75" xfId="0" applyNumberFormat="1" applyFont="1" applyBorder="1"/>
    <xf numFmtId="3" fontId="19" fillId="0" borderId="76" xfId="0" applyNumberFormat="1" applyFont="1" applyBorder="1"/>
    <xf numFmtId="0" fontId="12" fillId="0" borderId="69" xfId="0" applyFont="1" applyBorder="1" applyAlignment="1">
      <alignment horizontal="center" vertical="center" wrapText="1"/>
    </xf>
    <xf numFmtId="0" fontId="12" fillId="10" borderId="77" xfId="0" applyFont="1" applyFill="1" applyBorder="1" applyAlignment="1">
      <alignment horizontal="center" vertical="center" wrapText="1"/>
    </xf>
    <xf numFmtId="0" fontId="0" fillId="0" borderId="70" xfId="0" applyBorder="1"/>
    <xf numFmtId="0" fontId="12" fillId="10" borderId="78" xfId="0" applyFont="1" applyFill="1" applyBorder="1" applyAlignment="1">
      <alignment horizontal="center"/>
    </xf>
    <xf numFmtId="0" fontId="0" fillId="0" borderId="74" xfId="0" applyBorder="1"/>
    <xf numFmtId="0" fontId="5" fillId="2" borderId="79" xfId="3" applyFont="1" applyFill="1" applyBorder="1" applyAlignment="1">
      <alignment horizontal="center" vertical="center"/>
    </xf>
    <xf numFmtId="166" fontId="5" fillId="2" borderId="80" xfId="7" applyNumberFormat="1" applyFont="1" applyFill="1" applyBorder="1" applyAlignment="1">
      <alignment vertical="center" wrapText="1"/>
    </xf>
    <xf numFmtId="0" fontId="5" fillId="2" borderId="80" xfId="3" applyFont="1" applyFill="1" applyBorder="1" applyAlignment="1">
      <alignment vertical="center" wrapText="1"/>
    </xf>
    <xf numFmtId="4" fontId="6" fillId="2" borderId="36" xfId="6" applyNumberFormat="1" applyFont="1" applyFill="1" applyBorder="1" applyAlignment="1" applyProtection="1">
      <alignment horizontal="center" vertical="center"/>
      <protection locked="0"/>
    </xf>
    <xf numFmtId="167" fontId="15" fillId="5" borderId="5" xfId="6" applyNumberFormat="1" applyFont="1" applyFill="1" applyBorder="1" applyProtection="1"/>
    <xf numFmtId="43" fontId="15" fillId="5" borderId="26" xfId="6" applyFont="1" applyFill="1" applyBorder="1" applyProtection="1"/>
    <xf numFmtId="0" fontId="21" fillId="9" borderId="81" xfId="0" applyFont="1" applyFill="1" applyBorder="1" applyAlignment="1">
      <alignment horizontal="center" vertical="center"/>
    </xf>
    <xf numFmtId="0" fontId="21" fillId="9" borderId="82" xfId="0" applyFont="1" applyFill="1" applyBorder="1" applyAlignment="1">
      <alignment horizontal="center" vertical="center"/>
    </xf>
    <xf numFmtId="0" fontId="21" fillId="9" borderId="83" xfId="0" applyFont="1" applyFill="1" applyBorder="1" applyAlignment="1">
      <alignment horizontal="center" vertical="center" wrapText="1"/>
    </xf>
    <xf numFmtId="0" fontId="21" fillId="9" borderId="82" xfId="0" applyFont="1" applyFill="1" applyBorder="1" applyAlignment="1">
      <alignment horizontal="center" vertical="center" wrapText="1"/>
    </xf>
    <xf numFmtId="0" fontId="21" fillId="9" borderId="84" xfId="0" applyFont="1" applyFill="1" applyBorder="1" applyAlignment="1">
      <alignment horizontal="center" vertical="center" wrapText="1"/>
    </xf>
    <xf numFmtId="0" fontId="21" fillId="10" borderId="85" xfId="0" applyFont="1" applyFill="1" applyBorder="1" applyAlignment="1">
      <alignment horizontal="center" vertical="center" wrapText="1"/>
    </xf>
    <xf numFmtId="0" fontId="21" fillId="0" borderId="86" xfId="0" applyFont="1" applyBorder="1" applyAlignment="1">
      <alignment horizontal="center" vertical="center" wrapText="1"/>
    </xf>
    <xf numFmtId="3" fontId="21" fillId="0" borderId="70" xfId="0" applyNumberFormat="1" applyFont="1" applyBorder="1"/>
    <xf numFmtId="0" fontId="22" fillId="0" borderId="87" xfId="0" applyFont="1" applyBorder="1" applyAlignment="1">
      <alignment horizontal="center" vertical="center" wrapText="1"/>
    </xf>
    <xf numFmtId="0" fontId="22" fillId="0" borderId="88" xfId="0" applyFont="1" applyBorder="1" applyAlignment="1">
      <alignment horizontal="center" vertical="center" wrapText="1"/>
    </xf>
    <xf numFmtId="3" fontId="22" fillId="0" borderId="89" xfId="0" applyNumberFormat="1" applyFont="1" applyBorder="1"/>
    <xf numFmtId="3" fontId="22" fillId="0" borderId="90" xfId="0" applyNumberFormat="1" applyFont="1" applyBorder="1"/>
    <xf numFmtId="0" fontId="21" fillId="10" borderId="68" xfId="0" applyFont="1" applyFill="1" applyBorder="1" applyAlignment="1">
      <alignment horizontal="center"/>
    </xf>
    <xf numFmtId="0" fontId="21" fillId="0" borderId="69" xfId="0" applyFont="1" applyBorder="1" applyAlignment="1">
      <alignment horizontal="center"/>
    </xf>
    <xf numFmtId="0" fontId="21" fillId="0" borderId="70" xfId="0" applyFont="1" applyBorder="1"/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3" fontId="22" fillId="0" borderId="71" xfId="0" applyNumberFormat="1" applyFont="1" applyBorder="1"/>
    <xf numFmtId="3" fontId="22" fillId="0" borderId="72" xfId="0" applyNumberFormat="1" applyFont="1" applyBorder="1"/>
    <xf numFmtId="0" fontId="21" fillId="0" borderId="73" xfId="0" applyFont="1" applyBorder="1" applyAlignment="1">
      <alignment horizontal="center"/>
    </xf>
    <xf numFmtId="0" fontId="21" fillId="0" borderId="74" xfId="0" applyFont="1" applyBorder="1"/>
    <xf numFmtId="3" fontId="22" fillId="0" borderId="75" xfId="0" applyNumberFormat="1" applyFont="1" applyBorder="1"/>
    <xf numFmtId="3" fontId="22" fillId="0" borderId="76" xfId="0" applyNumberFormat="1" applyFont="1" applyBorder="1"/>
    <xf numFmtId="0" fontId="21" fillId="0" borderId="69" xfId="0" applyFont="1" applyBorder="1" applyAlignment="1">
      <alignment horizontal="center" vertical="center" wrapText="1"/>
    </xf>
    <xf numFmtId="3" fontId="21" fillId="0" borderId="63" xfId="0" applyNumberFormat="1" applyFont="1" applyBorder="1"/>
    <xf numFmtId="0" fontId="22" fillId="0" borderId="0" xfId="0" applyFont="1"/>
    <xf numFmtId="0" fontId="21" fillId="10" borderId="77" xfId="0" applyFont="1" applyFill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3" fontId="22" fillId="0" borderId="66" xfId="0" applyNumberFormat="1" applyFont="1" applyBorder="1"/>
    <xf numFmtId="3" fontId="22" fillId="0" borderId="67" xfId="0" applyNumberFormat="1" applyFont="1" applyBorder="1"/>
    <xf numFmtId="6" fontId="21" fillId="0" borderId="61" xfId="0" applyNumberFormat="1" applyFont="1" applyBorder="1" applyAlignment="1">
      <alignment horizontal="center" vertical="center" wrapText="1"/>
    </xf>
    <xf numFmtId="6" fontId="21" fillId="0" borderId="85" xfId="0" applyNumberFormat="1" applyFont="1" applyBorder="1" applyAlignment="1">
      <alignment horizontal="center"/>
    </xf>
    <xf numFmtId="6" fontId="21" fillId="0" borderId="91" xfId="0" applyNumberFormat="1" applyFont="1" applyBorder="1" applyAlignment="1">
      <alignment horizontal="center"/>
    </xf>
    <xf numFmtId="0" fontId="21" fillId="10" borderId="78" xfId="0" applyFont="1" applyFill="1" applyBorder="1" applyAlignment="1">
      <alignment horizontal="center"/>
    </xf>
  </cellXfs>
  <cellStyles count="8">
    <cellStyle name="Millares" xfId="1" builtinId="3"/>
    <cellStyle name="Millares 2" xfId="7" xr:uid="{5C8B63D9-5FF2-465E-90EB-304E43FA36C8}"/>
    <cellStyle name="Millares_PLIEGOS_GR-07-006" xfId="4" xr:uid="{A15CA87F-9DF2-4DC4-AAEB-C85B0537912E}"/>
    <cellStyle name="Millares_PLIEGOS_GR-07-006 2" xfId="6" xr:uid="{3B6AAE50-C6A8-495B-B7C1-4779C6CF65E3}"/>
    <cellStyle name="Normal" xfId="0" builtinId="0"/>
    <cellStyle name="Normal 2" xfId="5" xr:uid="{F7252B33-F677-41DC-8185-90E962184112}"/>
    <cellStyle name="Normal_ENE99" xfId="3" xr:uid="{942DD758-F5FE-496E-BE40-7237111B0370}"/>
    <cellStyle name="Normal_GC00-001" xfId="2" xr:uid="{2358A7B4-8AE4-4F4A-8DCA-333632FCF465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0.0.2\Gerencia_Comercial\Operaciones_Comerciales\3.%20ACTIVIDADES%20DEL%20PROCESO\9.%20ENERGIA\13.%20COMPRA%20DE%20ENERGIA\2.%20CONVOCATORIAS\202505_CP-CASC2025-001_para%202025-2038\1.%20Apertura\Producto%202.xlsx" TargetMode="External"/><Relationship Id="rId1" Type="http://schemas.openxmlformats.org/officeDocument/2006/relationships/externalLinkPath" Target="Product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0.0.2\Gerencia_Comercial\Operaciones_Comerciales\3.%20ACTIVIDADES%20DEL%20PROCESO\9.%20ENERGIA\13.%20COMPRA%20DE%20ENERGIA\2.%20CONVOCATORIAS\202505_CP-CASC2025-001_para%202025-2038\1.%20Apertura\Producto%203.xlsx" TargetMode="External"/><Relationship Id="rId1" Type="http://schemas.openxmlformats.org/officeDocument/2006/relationships/externalLinkPath" Target="Producto%20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0.0.2\Gerencia_Comercial\Operaciones_Comerciales\3.%20ACTIVIDADES%20DEL%20PROCESO\9.%20ENERGIA\13.%20COMPRA%20DE%20ENERGIA\2.%20CONVOCATORIAS\202505_CP-CASC2025-001_para%202025-2038\1.%20Apertura\PRODUCTO%204.xlsx" TargetMode="External"/><Relationship Id="rId1" Type="http://schemas.openxmlformats.org/officeDocument/2006/relationships/externalLinkPath" Target="PRODUCTO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 2"/>
      <sheetName val="Curva 2026"/>
    </sheetNames>
    <sheetDataSet>
      <sheetData sheetId="0"/>
      <sheetData sheetId="1">
        <row r="4">
          <cell r="D4">
            <v>7011585</v>
          </cell>
        </row>
        <row r="8">
          <cell r="D8">
            <v>9771392</v>
          </cell>
        </row>
        <row r="11">
          <cell r="D11">
            <v>10060044</v>
          </cell>
        </row>
        <row r="15">
          <cell r="D15">
            <v>7863078</v>
          </cell>
        </row>
        <row r="19">
          <cell r="D19">
            <v>5405882</v>
          </cell>
        </row>
        <row r="23">
          <cell r="D23">
            <v>1213139</v>
          </cell>
        </row>
        <row r="27">
          <cell r="D27">
            <v>3187486</v>
          </cell>
        </row>
        <row r="31">
          <cell r="D31">
            <v>4046743</v>
          </cell>
        </row>
        <row r="35">
          <cell r="D35">
            <v>0</v>
          </cell>
        </row>
        <row r="38">
          <cell r="D38">
            <v>0</v>
          </cell>
        </row>
        <row r="42">
          <cell r="D42">
            <v>0</v>
          </cell>
        </row>
        <row r="46">
          <cell r="D46">
            <v>9840559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 3"/>
      <sheetName val="Curva 2027"/>
      <sheetName val="Curva 2028"/>
    </sheetNames>
    <sheetDataSet>
      <sheetData sheetId="0" refreshError="1"/>
      <sheetData sheetId="1">
        <row r="4">
          <cell r="D4">
            <v>9691349</v>
          </cell>
        </row>
        <row r="8">
          <cell r="D8">
            <v>10413688</v>
          </cell>
        </row>
        <row r="11">
          <cell r="D11">
            <v>11086263</v>
          </cell>
        </row>
        <row r="15">
          <cell r="D15">
            <v>9340640</v>
          </cell>
        </row>
        <row r="18">
          <cell r="D18">
            <v>6781822</v>
          </cell>
        </row>
        <row r="22">
          <cell r="D22">
            <v>5379909</v>
          </cell>
        </row>
        <row r="26">
          <cell r="D26">
            <v>7297748</v>
          </cell>
        </row>
        <row r="30">
          <cell r="D30">
            <v>8762049</v>
          </cell>
        </row>
        <row r="34">
          <cell r="D34">
            <v>5256992</v>
          </cell>
        </row>
        <row r="37">
          <cell r="D37">
            <v>6508776</v>
          </cell>
        </row>
        <row r="41">
          <cell r="D41">
            <v>7347516</v>
          </cell>
        </row>
        <row r="45">
          <cell r="D45">
            <v>12082893</v>
          </cell>
        </row>
      </sheetData>
      <sheetData sheetId="2">
        <row r="4">
          <cell r="D4">
            <v>4090714</v>
          </cell>
        </row>
        <row r="8">
          <cell r="D8">
            <v>5260320</v>
          </cell>
        </row>
        <row r="11">
          <cell r="D11">
            <v>5328105</v>
          </cell>
        </row>
        <row r="15">
          <cell r="D15">
            <v>3587449</v>
          </cell>
        </row>
        <row r="19">
          <cell r="D19">
            <v>2080658</v>
          </cell>
        </row>
        <row r="23">
          <cell r="D23">
            <v>550116</v>
          </cell>
        </row>
        <row r="27">
          <cell r="D27">
            <v>2183478</v>
          </cell>
        </row>
        <row r="31">
          <cell r="D31">
            <v>3471230</v>
          </cell>
        </row>
        <row r="35">
          <cell r="D35">
            <v>604674</v>
          </cell>
        </row>
        <row r="38">
          <cell r="D38">
            <v>1692332</v>
          </cell>
        </row>
        <row r="42">
          <cell r="D42">
            <v>2663708</v>
          </cell>
        </row>
        <row r="46">
          <cell r="D46">
            <v>6100488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 4"/>
      <sheetName val="Curva 2029"/>
      <sheetName val="Curva 2030"/>
      <sheetName val="Curva 2031"/>
      <sheetName val="Curva 2032"/>
      <sheetName val="Curva 2033"/>
      <sheetName val="Curva 2034"/>
      <sheetName val="Curva 2035"/>
      <sheetName val="Curva 2036"/>
      <sheetName val="Curva 2037"/>
      <sheetName val="Curva 2038"/>
    </sheetNames>
    <sheetDataSet>
      <sheetData sheetId="0"/>
      <sheetData sheetId="1">
        <row r="4">
          <cell r="D4">
            <v>16056275</v>
          </cell>
        </row>
        <row r="8">
          <cell r="D8">
            <v>16504740</v>
          </cell>
        </row>
        <row r="11">
          <cell r="D11">
            <v>17522140</v>
          </cell>
        </row>
        <row r="15">
          <cell r="D15">
            <v>15595744</v>
          </cell>
        </row>
        <row r="18">
          <cell r="D18">
            <v>13789118</v>
          </cell>
        </row>
        <row r="22">
          <cell r="D22">
            <v>11658404</v>
          </cell>
        </row>
        <row r="26">
          <cell r="D26">
            <v>13025431</v>
          </cell>
        </row>
        <row r="30">
          <cell r="D30">
            <v>15031592</v>
          </cell>
        </row>
        <row r="34">
          <cell r="D34">
            <v>12553650</v>
          </cell>
        </row>
        <row r="37">
          <cell r="D37">
            <v>14421772</v>
          </cell>
        </row>
        <row r="41">
          <cell r="D41">
            <v>14457102</v>
          </cell>
        </row>
        <row r="45">
          <cell r="D45">
            <v>17898497</v>
          </cell>
        </row>
      </sheetData>
      <sheetData sheetId="2">
        <row r="4">
          <cell r="D4">
            <v>10786178</v>
          </cell>
        </row>
        <row r="8">
          <cell r="D8">
            <v>11343568</v>
          </cell>
        </row>
        <row r="11">
          <cell r="D11">
            <v>12044748</v>
          </cell>
        </row>
        <row r="15">
          <cell r="D15">
            <v>10640632</v>
          </cell>
        </row>
        <row r="19">
          <cell r="D19">
            <v>8873151</v>
          </cell>
        </row>
        <row r="23">
          <cell r="D23">
            <v>6934167</v>
          </cell>
        </row>
        <row r="27">
          <cell r="D27">
            <v>8501159</v>
          </cell>
        </row>
        <row r="31">
          <cell r="D31">
            <v>9773960</v>
          </cell>
        </row>
        <row r="35">
          <cell r="D35">
            <v>7185686</v>
          </cell>
        </row>
        <row r="38">
          <cell r="D38">
            <v>8727967</v>
          </cell>
        </row>
        <row r="42">
          <cell r="D42">
            <v>8906141</v>
          </cell>
        </row>
        <row r="46">
          <cell r="D46">
            <v>12467965</v>
          </cell>
        </row>
      </sheetData>
      <sheetData sheetId="3">
        <row r="4">
          <cell r="D4">
            <v>16149399</v>
          </cell>
        </row>
        <row r="8">
          <cell r="D8">
            <v>16936356</v>
          </cell>
        </row>
        <row r="11">
          <cell r="D11">
            <v>17962344</v>
          </cell>
        </row>
        <row r="15">
          <cell r="D15">
            <v>16018850</v>
          </cell>
        </row>
        <row r="19">
          <cell r="D19">
            <v>14367120</v>
          </cell>
        </row>
        <row r="23">
          <cell r="D23">
            <v>12050582</v>
          </cell>
        </row>
        <row r="27">
          <cell r="D27">
            <v>13284772</v>
          </cell>
        </row>
        <row r="31">
          <cell r="D31">
            <v>14974469</v>
          </cell>
        </row>
        <row r="35">
          <cell r="D35">
            <v>15987632</v>
          </cell>
        </row>
        <row r="38">
          <cell r="D38">
            <v>17974170</v>
          </cell>
        </row>
        <row r="42">
          <cell r="D42">
            <v>17436221</v>
          </cell>
        </row>
        <row r="46">
          <cell r="D46">
            <v>18123092</v>
          </cell>
        </row>
      </sheetData>
      <sheetData sheetId="4">
        <row r="4">
          <cell r="D4">
            <v>11134777</v>
          </cell>
        </row>
        <row r="8">
          <cell r="D8">
            <v>12172347</v>
          </cell>
        </row>
        <row r="11">
          <cell r="D11">
            <v>12636491</v>
          </cell>
        </row>
        <row r="15">
          <cell r="D15">
            <v>11372910</v>
          </cell>
        </row>
        <row r="18">
          <cell r="D18">
            <v>9413445</v>
          </cell>
        </row>
        <row r="22">
          <cell r="D22">
            <v>8053054</v>
          </cell>
        </row>
        <row r="26">
          <cell r="D26">
            <v>8617285</v>
          </cell>
        </row>
        <row r="30">
          <cell r="D30">
            <v>10411492</v>
          </cell>
        </row>
        <row r="34">
          <cell r="D34">
            <v>11270988</v>
          </cell>
        </row>
        <row r="37">
          <cell r="D37">
            <v>12620734</v>
          </cell>
        </row>
        <row r="41">
          <cell r="D41">
            <v>12662162</v>
          </cell>
        </row>
        <row r="45">
          <cell r="D45">
            <v>13076670</v>
          </cell>
        </row>
      </sheetData>
      <sheetData sheetId="5">
        <row r="4">
          <cell r="D4">
            <v>24670096</v>
          </cell>
        </row>
        <row r="8">
          <cell r="D8">
            <v>24662212</v>
          </cell>
        </row>
        <row r="11">
          <cell r="D11">
            <v>26624178</v>
          </cell>
        </row>
        <row r="15">
          <cell r="D15">
            <v>24561001</v>
          </cell>
        </row>
        <row r="19">
          <cell r="D19">
            <v>23177367</v>
          </cell>
        </row>
        <row r="23">
          <cell r="D23">
            <v>20724168</v>
          </cell>
        </row>
        <row r="27">
          <cell r="D27">
            <v>21761716</v>
          </cell>
        </row>
        <row r="31">
          <cell r="D31">
            <v>23975770</v>
          </cell>
        </row>
        <row r="35">
          <cell r="D35">
            <v>20806214</v>
          </cell>
        </row>
        <row r="38">
          <cell r="D38">
            <v>22598706</v>
          </cell>
        </row>
        <row r="42">
          <cell r="D42">
            <v>22030668</v>
          </cell>
        </row>
        <row r="46">
          <cell r="D46">
            <v>26377547</v>
          </cell>
        </row>
      </sheetData>
      <sheetData sheetId="6">
        <row r="4">
          <cell r="D4">
            <v>26387763</v>
          </cell>
        </row>
        <row r="8">
          <cell r="D8">
            <v>26319688</v>
          </cell>
        </row>
        <row r="11">
          <cell r="D11">
            <v>28377487</v>
          </cell>
        </row>
        <row r="15">
          <cell r="D15">
            <v>26119863</v>
          </cell>
        </row>
        <row r="19">
          <cell r="D19">
            <v>25302307</v>
          </cell>
        </row>
        <row r="23">
          <cell r="D23">
            <v>23202918</v>
          </cell>
        </row>
        <row r="27">
          <cell r="D27">
            <v>23538518</v>
          </cell>
        </row>
        <row r="31">
          <cell r="D31">
            <v>25775890</v>
          </cell>
        </row>
        <row r="35">
          <cell r="D35">
            <v>26197416</v>
          </cell>
        </row>
        <row r="38">
          <cell r="D38">
            <v>28184854</v>
          </cell>
        </row>
        <row r="42">
          <cell r="D42">
            <v>27342752</v>
          </cell>
        </row>
        <row r="46">
          <cell r="D46">
            <v>28043265</v>
          </cell>
        </row>
      </sheetData>
      <sheetData sheetId="7">
        <row r="4">
          <cell r="D4">
            <v>27176289</v>
          </cell>
        </row>
        <row r="8">
          <cell r="D8">
            <v>27113736</v>
          </cell>
        </row>
        <row r="11">
          <cell r="D11">
            <v>28948124</v>
          </cell>
        </row>
        <row r="15">
          <cell r="D15">
            <v>26928204</v>
          </cell>
        </row>
        <row r="18">
          <cell r="D18">
            <v>25777583</v>
          </cell>
        </row>
        <row r="22">
          <cell r="D22">
            <v>23767352</v>
          </cell>
        </row>
        <row r="26">
          <cell r="D26">
            <v>24174763</v>
          </cell>
        </row>
        <row r="30">
          <cell r="D30">
            <v>26417286</v>
          </cell>
        </row>
        <row r="34">
          <cell r="D34">
            <v>26778775</v>
          </cell>
        </row>
        <row r="37">
          <cell r="D37">
            <v>28927685</v>
          </cell>
        </row>
        <row r="41">
          <cell r="D41">
            <v>27980750</v>
          </cell>
        </row>
        <row r="45">
          <cell r="D45">
            <v>28773284</v>
          </cell>
        </row>
      </sheetData>
      <sheetData sheetId="8">
        <row r="4">
          <cell r="D4">
            <v>21587729</v>
          </cell>
        </row>
        <row r="8">
          <cell r="D8">
            <v>21896787</v>
          </cell>
        </row>
        <row r="11">
          <cell r="D11">
            <v>23104539</v>
          </cell>
        </row>
        <row r="15">
          <cell r="D15">
            <v>21591346</v>
          </cell>
        </row>
        <row r="19">
          <cell r="D19">
            <v>20731565</v>
          </cell>
        </row>
        <row r="23">
          <cell r="D23">
            <v>18905342</v>
          </cell>
        </row>
        <row r="27">
          <cell r="D27">
            <v>19436957</v>
          </cell>
        </row>
        <row r="31">
          <cell r="D31">
            <v>20959039</v>
          </cell>
        </row>
        <row r="35">
          <cell r="D35">
            <v>21467290</v>
          </cell>
        </row>
        <row r="38">
          <cell r="D38">
            <v>23207362</v>
          </cell>
        </row>
        <row r="42">
          <cell r="D42">
            <v>22348545</v>
          </cell>
        </row>
        <row r="46">
          <cell r="D46">
            <v>23100760</v>
          </cell>
        </row>
      </sheetData>
      <sheetData sheetId="9">
        <row r="4">
          <cell r="D4">
            <v>24948639</v>
          </cell>
        </row>
        <row r="8">
          <cell r="D8">
            <v>24753432</v>
          </cell>
        </row>
        <row r="11">
          <cell r="D11">
            <v>26561350</v>
          </cell>
        </row>
        <row r="15">
          <cell r="D15">
            <v>24754182</v>
          </cell>
        </row>
        <row r="19">
          <cell r="D19">
            <v>23879353</v>
          </cell>
        </row>
        <row r="23">
          <cell r="D23">
            <v>22067533</v>
          </cell>
        </row>
        <row r="27">
          <cell r="D27">
            <v>22621995</v>
          </cell>
        </row>
        <row r="31">
          <cell r="D31">
            <v>24234529</v>
          </cell>
        </row>
        <row r="35">
          <cell r="D35">
            <v>24690656</v>
          </cell>
        </row>
        <row r="38">
          <cell r="D38">
            <v>26450351</v>
          </cell>
        </row>
        <row r="42">
          <cell r="D42">
            <v>25537546</v>
          </cell>
        </row>
        <row r="46">
          <cell r="D46">
            <v>26368482</v>
          </cell>
        </row>
      </sheetData>
      <sheetData sheetId="10">
        <row r="4">
          <cell r="D4">
            <v>19094403</v>
          </cell>
        </row>
        <row r="8">
          <cell r="D8">
            <v>19014200</v>
          </cell>
        </row>
        <row r="11">
          <cell r="D11">
            <v>20438264</v>
          </cell>
        </row>
        <row r="15">
          <cell r="D15">
            <v>18969884</v>
          </cell>
        </row>
        <row r="19">
          <cell r="D19">
            <v>18389147</v>
          </cell>
        </row>
        <row r="23">
          <cell r="D23">
            <v>16958586</v>
          </cell>
        </row>
        <row r="27">
          <cell r="D27">
            <v>17280378</v>
          </cell>
        </row>
        <row r="31">
          <cell r="D31">
            <v>18656474</v>
          </cell>
        </row>
        <row r="35">
          <cell r="D35">
            <v>18935604</v>
          </cell>
        </row>
        <row r="38">
          <cell r="D38">
            <v>20204384</v>
          </cell>
        </row>
        <row r="42">
          <cell r="D42">
            <v>19626152</v>
          </cell>
        </row>
        <row r="46">
          <cell r="D46">
            <v>20256176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D2E-B0A1-4C71-84B0-90BAEB922267}">
  <sheetPr>
    <pageSetUpPr fitToPage="1"/>
  </sheetPr>
  <dimension ref="A1:I46"/>
  <sheetViews>
    <sheetView showGridLines="0" zoomScaleNormal="100" zoomScaleSheetLayoutView="100" workbookViewId="0">
      <selection activeCell="G11" sqref="G11"/>
    </sheetView>
  </sheetViews>
  <sheetFormatPr baseColWidth="10" defaultColWidth="0" defaultRowHeight="0" customHeight="1" zeroHeight="1" x14ac:dyDescent="0.25"/>
  <cols>
    <col min="1" max="1" width="5.28515625" style="2" customWidth="1"/>
    <col min="2" max="2" width="24" style="2" customWidth="1"/>
    <col min="3" max="3" width="24.140625" style="2" bestFit="1" customWidth="1"/>
    <col min="4" max="4" width="15" style="2" customWidth="1"/>
    <col min="5" max="5" width="21" style="2" customWidth="1"/>
    <col min="6" max="6" width="20.42578125" style="2" customWidth="1"/>
    <col min="7" max="7" width="18.42578125" style="52" customWidth="1"/>
    <col min="8" max="9" width="1.5703125" style="2" hidden="1" customWidth="1"/>
    <col min="10" max="16384" width="3.42578125" style="2" hidden="1"/>
  </cols>
  <sheetData>
    <row r="1" spans="2:7" s="17" customFormat="1" ht="26.25" customHeight="1" x14ac:dyDescent="0.25">
      <c r="B1" s="16" t="s">
        <v>54</v>
      </c>
      <c r="G1" s="51"/>
    </row>
    <row r="2" spans="2:7" ht="15.75" x14ac:dyDescent="0.25"/>
    <row r="3" spans="2:7" ht="15.75" x14ac:dyDescent="0.25">
      <c r="B3" s="1" t="s">
        <v>17</v>
      </c>
      <c r="C3" s="3"/>
      <c r="D3" s="3"/>
      <c r="E3" s="3"/>
      <c r="F3" s="4"/>
    </row>
    <row r="4" spans="2:7" ht="15.75" x14ac:dyDescent="0.25">
      <c r="B4" s="1" t="s">
        <v>52</v>
      </c>
      <c r="C4" s="5"/>
      <c r="D4" s="5"/>
      <c r="E4" s="5"/>
    </row>
    <row r="5" spans="2:7" ht="15.75" x14ac:dyDescent="0.25">
      <c r="B5" s="1" t="s">
        <v>0</v>
      </c>
      <c r="C5" s="6"/>
      <c r="D5" s="6"/>
      <c r="E5" s="6"/>
      <c r="F5" s="4"/>
    </row>
    <row r="6" spans="2:7" ht="15.75" x14ac:dyDescent="0.25">
      <c r="B6" s="1" t="s">
        <v>1</v>
      </c>
      <c r="C6" s="5" t="s">
        <v>2</v>
      </c>
      <c r="D6" s="5"/>
      <c r="E6" s="5"/>
    </row>
    <row r="7" spans="2:7" ht="15.75" x14ac:dyDescent="0.25">
      <c r="B7" s="1" t="s">
        <v>3</v>
      </c>
      <c r="C7" s="5" t="s">
        <v>4</v>
      </c>
      <c r="D7" s="5"/>
      <c r="E7" s="5"/>
    </row>
    <row r="8" spans="2:7" ht="15.75" x14ac:dyDescent="0.25">
      <c r="B8" s="7" t="s">
        <v>5</v>
      </c>
      <c r="C8" s="9" t="s">
        <v>6</v>
      </c>
      <c r="D8" s="9"/>
      <c r="E8" s="9"/>
    </row>
    <row r="9" spans="2:7" ht="16.5" thickBot="1" x14ac:dyDescent="0.3">
      <c r="B9" s="7"/>
      <c r="C9" s="8"/>
      <c r="D9" s="9"/>
      <c r="E9" s="9"/>
    </row>
    <row r="10" spans="2:7" ht="35.25" customHeight="1" thickBot="1" x14ac:dyDescent="0.3">
      <c r="B10" s="44" t="s">
        <v>18</v>
      </c>
      <c r="C10" s="45" t="s">
        <v>7</v>
      </c>
      <c r="D10" s="46" t="s">
        <v>8</v>
      </c>
      <c r="E10" s="45" t="s">
        <v>9</v>
      </c>
      <c r="F10" s="47" t="s">
        <v>10</v>
      </c>
    </row>
    <row r="11" spans="2:7" ht="16.5" thickBot="1" x14ac:dyDescent="0.3">
      <c r="B11" s="18">
        <v>45992</v>
      </c>
      <c r="C11" s="43">
        <v>10386984</v>
      </c>
      <c r="D11" s="21"/>
      <c r="E11" s="21"/>
      <c r="F11" s="55"/>
    </row>
    <row r="12" spans="2:7" ht="16.5" thickBot="1" x14ac:dyDescent="0.3">
      <c r="B12" s="48" t="s">
        <v>11</v>
      </c>
      <c r="C12" s="49">
        <f>+SUM(C11:C11)</f>
        <v>10386984</v>
      </c>
      <c r="D12" s="19"/>
      <c r="E12" s="50">
        <f>SUM(E11:E11)</f>
        <v>0</v>
      </c>
      <c r="F12" s="20"/>
    </row>
    <row r="13" spans="2:7" ht="15.75" x14ac:dyDescent="0.25">
      <c r="B13" s="10"/>
      <c r="C13" s="11"/>
      <c r="D13" s="11"/>
      <c r="E13" s="11"/>
      <c r="F13" s="11"/>
      <c r="G13" s="53"/>
    </row>
    <row r="14" spans="2:7" ht="15.75" x14ac:dyDescent="0.25">
      <c r="B14" s="12" t="s">
        <v>12</v>
      </c>
      <c r="C14" s="13"/>
      <c r="D14" s="13"/>
    </row>
    <row r="15" spans="2:7" ht="15.75" x14ac:dyDescent="0.25"/>
    <row r="16" spans="2:7" ht="15.75" x14ac:dyDescent="0.25">
      <c r="B16" s="56" t="s">
        <v>53</v>
      </c>
      <c r="C16" s="56"/>
      <c r="D16" s="56"/>
      <c r="E16" s="56"/>
      <c r="F16" s="56"/>
    </row>
    <row r="17" spans="1:6" ht="15.75" x14ac:dyDescent="0.25">
      <c r="B17" s="56" t="s">
        <v>13</v>
      </c>
      <c r="C17" s="56"/>
      <c r="D17" s="56"/>
      <c r="E17" s="56"/>
      <c r="F17" s="56"/>
    </row>
    <row r="18" spans="1:6" ht="15.75" x14ac:dyDescent="0.25">
      <c r="B18" s="2" t="s">
        <v>14</v>
      </c>
    </row>
    <row r="19" spans="1:6" ht="15.75" x14ac:dyDescent="0.25">
      <c r="A19" s="4"/>
      <c r="B19" s="57" t="s">
        <v>15</v>
      </c>
      <c r="C19" s="58"/>
      <c r="D19" s="58"/>
      <c r="E19" s="58"/>
      <c r="F19" s="58"/>
    </row>
    <row r="20" spans="1:6" ht="15" customHeight="1" x14ac:dyDescent="0.25">
      <c r="A20" s="4"/>
      <c r="B20" s="58"/>
      <c r="C20" s="58"/>
      <c r="D20" s="58"/>
      <c r="E20" s="58"/>
      <c r="F20" s="58"/>
    </row>
    <row r="21" spans="1:6" ht="15" customHeight="1" x14ac:dyDescent="0.25">
      <c r="A21" s="4"/>
      <c r="B21" s="4"/>
      <c r="C21" s="4"/>
      <c r="D21" s="4"/>
      <c r="E21" s="4"/>
    </row>
    <row r="22" spans="1:6" ht="15" customHeight="1" x14ac:dyDescent="0.25">
      <c r="A22" s="4"/>
      <c r="B22" s="4"/>
      <c r="C22" s="4"/>
      <c r="D22" s="4"/>
      <c r="E22" s="4"/>
    </row>
    <row r="23" spans="1:6" ht="51.75" customHeight="1" x14ac:dyDescent="0.25">
      <c r="A23" s="4"/>
      <c r="B23" s="4"/>
      <c r="C23" s="4"/>
      <c r="D23" s="4"/>
      <c r="E23" s="4"/>
    </row>
    <row r="24" spans="1:6" ht="15.75" hidden="1" x14ac:dyDescent="0.25">
      <c r="B24" s="14" t="s">
        <v>16</v>
      </c>
      <c r="C24" s="15"/>
    </row>
    <row r="25" spans="1:6" ht="4.5" customHeight="1" x14ac:dyDescent="0.25"/>
    <row r="26" spans="1:6" ht="15.75" hidden="1" x14ac:dyDescent="0.25"/>
    <row r="27" spans="1:6" ht="15.75" hidden="1" x14ac:dyDescent="0.25"/>
    <row r="28" spans="1:6" ht="15.75" hidden="1" x14ac:dyDescent="0.25"/>
    <row r="29" spans="1:6" ht="15.75" hidden="1" x14ac:dyDescent="0.25"/>
    <row r="30" spans="1:6" ht="15.75" hidden="1" x14ac:dyDescent="0.25"/>
    <row r="31" spans="1:6" ht="15.75" hidden="1" x14ac:dyDescent="0.25"/>
    <row r="32" spans="1:6" ht="15.75" hidden="1" x14ac:dyDescent="0.25"/>
    <row r="33" ht="15.75" hidden="1" x14ac:dyDescent="0.25"/>
    <row r="34" ht="15.75" hidden="1" x14ac:dyDescent="0.25"/>
    <row r="35" ht="15.75" hidden="1" x14ac:dyDescent="0.25"/>
    <row r="36" ht="15.75" hidden="1" x14ac:dyDescent="0.25"/>
    <row r="37" ht="15.75" hidden="1" x14ac:dyDescent="0.25"/>
    <row r="38" ht="15.75" hidden="1" x14ac:dyDescent="0.25"/>
    <row r="39" ht="15.75" hidden="1" x14ac:dyDescent="0.25"/>
    <row r="40" ht="15.75" hidden="1" x14ac:dyDescent="0.25"/>
    <row r="41" ht="15.75" hidden="1" x14ac:dyDescent="0.25"/>
    <row r="42" ht="15.75" hidden="1" x14ac:dyDescent="0.25"/>
    <row r="43" ht="15.75" hidden="1" x14ac:dyDescent="0.25"/>
    <row r="44" ht="15.75" hidden="1" x14ac:dyDescent="0.25"/>
    <row r="45" ht="15.75" hidden="1" x14ac:dyDescent="0.25"/>
    <row r="46" ht="15.75" hidden="1" x14ac:dyDescent="0.25"/>
  </sheetData>
  <sheetProtection selectLockedCells="1"/>
  <mergeCells count="3">
    <mergeCell ref="B16:F16"/>
    <mergeCell ref="B17:F17"/>
    <mergeCell ref="B19:F20"/>
  </mergeCells>
  <printOptions horizontalCentered="1" verticalCentered="1"/>
  <pageMargins left="1.1811023622047245" right="1.1811023622047245" top="1.1811023622047245" bottom="1.1811023622047245" header="0" footer="0"/>
  <pageSetup scale="67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E8B3-8BAE-48B0-968C-E6767D80C102}">
  <dimension ref="B1:AD7"/>
  <sheetViews>
    <sheetView showGridLines="0" workbookViewId="0">
      <selection activeCell="D8" sqref="D8"/>
    </sheetView>
  </sheetViews>
  <sheetFormatPr baseColWidth="10" defaultColWidth="11.5703125" defaultRowHeight="15" x14ac:dyDescent="0.25"/>
  <cols>
    <col min="1" max="1" width="4.5703125" customWidth="1"/>
    <col min="2" max="2" width="4.28515625" bestFit="1" customWidth="1"/>
    <col min="3" max="3" width="4" bestFit="1" customWidth="1"/>
    <col min="4" max="4" width="10.140625" bestFit="1" customWidth="1"/>
    <col min="5" max="5" width="3.42578125" bestFit="1" customWidth="1"/>
    <col min="6" max="6" width="8.85546875" bestFit="1" customWidth="1"/>
    <col min="7" max="7" width="5.5703125" bestFit="1" customWidth="1"/>
    <col min="8" max="30" width="6" bestFit="1" customWidth="1"/>
    <col min="31" max="56" width="11.42578125" customWidth="1"/>
  </cols>
  <sheetData>
    <row r="1" spans="2:30" ht="18.75" x14ac:dyDescent="0.3">
      <c r="B1" s="54" t="s">
        <v>51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2:30" ht="15.75" thickBot="1" x14ac:dyDescent="0.3"/>
    <row r="3" spans="2:30" ht="24.75" thickBot="1" x14ac:dyDescent="0.3">
      <c r="B3" s="37" t="s">
        <v>23</v>
      </c>
      <c r="C3" s="42" t="s">
        <v>18</v>
      </c>
      <c r="D3" s="38" t="s">
        <v>24</v>
      </c>
      <c r="E3" s="42" t="s">
        <v>25</v>
      </c>
      <c r="F3" s="39" t="s">
        <v>26</v>
      </c>
      <c r="G3" s="40" t="s">
        <v>27</v>
      </c>
      <c r="H3" s="40" t="s">
        <v>28</v>
      </c>
      <c r="I3" s="40" t="s">
        <v>29</v>
      </c>
      <c r="J3" s="40" t="s">
        <v>30</v>
      </c>
      <c r="K3" s="40" t="s">
        <v>31</v>
      </c>
      <c r="L3" s="40" t="s">
        <v>32</v>
      </c>
      <c r="M3" s="40" t="s">
        <v>33</v>
      </c>
      <c r="N3" s="40" t="s">
        <v>34</v>
      </c>
      <c r="O3" s="40" t="s">
        <v>35</v>
      </c>
      <c r="P3" s="40" t="s">
        <v>36</v>
      </c>
      <c r="Q3" s="41" t="s">
        <v>37</v>
      </c>
      <c r="R3" s="41" t="s">
        <v>38</v>
      </c>
      <c r="S3" s="41" t="s">
        <v>39</v>
      </c>
      <c r="T3" s="41" t="s">
        <v>40</v>
      </c>
      <c r="U3" s="41" t="s">
        <v>41</v>
      </c>
      <c r="V3" s="41" t="s">
        <v>42</v>
      </c>
      <c r="W3" s="41" t="s">
        <v>43</v>
      </c>
      <c r="X3" s="41" t="s">
        <v>44</v>
      </c>
      <c r="Y3" s="41" t="s">
        <v>45</v>
      </c>
      <c r="Z3" s="41" t="s">
        <v>46</v>
      </c>
      <c r="AA3" s="41" t="s">
        <v>47</v>
      </c>
      <c r="AB3" s="41" t="s">
        <v>48</v>
      </c>
      <c r="AC3" s="41" t="s">
        <v>49</v>
      </c>
      <c r="AD3" s="41" t="s">
        <v>50</v>
      </c>
    </row>
    <row r="4" spans="2:30" x14ac:dyDescent="0.25">
      <c r="B4" s="59">
        <v>2025</v>
      </c>
      <c r="C4" s="62">
        <v>12</v>
      </c>
      <c r="D4" s="66">
        <v>10386984</v>
      </c>
      <c r="E4" s="23" t="s">
        <v>19</v>
      </c>
      <c r="F4" s="25">
        <v>21</v>
      </c>
      <c r="G4" s="26">
        <v>13961</v>
      </c>
      <c r="H4" s="27">
        <v>13961</v>
      </c>
      <c r="I4" s="28">
        <v>13961</v>
      </c>
      <c r="J4" s="27">
        <v>13961</v>
      </c>
      <c r="K4" s="28">
        <v>13961</v>
      </c>
      <c r="L4" s="27">
        <v>13961</v>
      </c>
      <c r="M4" s="28">
        <v>13961</v>
      </c>
      <c r="N4" s="27">
        <v>13961</v>
      </c>
      <c r="O4" s="28">
        <v>13961</v>
      </c>
      <c r="P4" s="27">
        <v>13961</v>
      </c>
      <c r="Q4" s="28">
        <v>13961</v>
      </c>
      <c r="R4" s="27">
        <v>13961</v>
      </c>
      <c r="S4" s="28">
        <v>13961</v>
      </c>
      <c r="T4" s="27">
        <v>13961</v>
      </c>
      <c r="U4" s="28">
        <v>13961</v>
      </c>
      <c r="V4" s="27">
        <v>13961</v>
      </c>
      <c r="W4" s="28">
        <v>13961</v>
      </c>
      <c r="X4" s="27">
        <v>13961</v>
      </c>
      <c r="Y4" s="28">
        <v>13961</v>
      </c>
      <c r="Z4" s="27">
        <v>13961</v>
      </c>
      <c r="AA4" s="28">
        <v>13961</v>
      </c>
      <c r="AB4" s="27">
        <v>13961</v>
      </c>
      <c r="AC4" s="28">
        <v>13961</v>
      </c>
      <c r="AD4" s="27">
        <v>13961</v>
      </c>
    </row>
    <row r="5" spans="2:30" x14ac:dyDescent="0.25">
      <c r="B5" s="60"/>
      <c r="C5" s="63"/>
      <c r="D5" s="67"/>
      <c r="E5" s="22" t="s">
        <v>20</v>
      </c>
      <c r="F5" s="29">
        <v>4</v>
      </c>
      <c r="G5" s="30">
        <v>13961</v>
      </c>
      <c r="H5" s="31">
        <v>13961</v>
      </c>
      <c r="I5" s="32">
        <v>13961</v>
      </c>
      <c r="J5" s="31">
        <v>13961</v>
      </c>
      <c r="K5" s="32">
        <v>13961</v>
      </c>
      <c r="L5" s="31">
        <v>13961</v>
      </c>
      <c r="M5" s="32">
        <v>13961</v>
      </c>
      <c r="N5" s="31">
        <v>13961</v>
      </c>
      <c r="O5" s="32">
        <v>13961</v>
      </c>
      <c r="P5" s="31">
        <v>13961</v>
      </c>
      <c r="Q5" s="32">
        <v>13961</v>
      </c>
      <c r="R5" s="31">
        <v>13961</v>
      </c>
      <c r="S5" s="32">
        <v>13961</v>
      </c>
      <c r="T5" s="31">
        <v>13961</v>
      </c>
      <c r="U5" s="32">
        <v>13961</v>
      </c>
      <c r="V5" s="31">
        <v>13961</v>
      </c>
      <c r="W5" s="32">
        <v>13961</v>
      </c>
      <c r="X5" s="31">
        <v>13961</v>
      </c>
      <c r="Y5" s="32">
        <v>13961</v>
      </c>
      <c r="Z5" s="31">
        <v>13961</v>
      </c>
      <c r="AA5" s="32">
        <v>13961</v>
      </c>
      <c r="AB5" s="31">
        <v>13961</v>
      </c>
      <c r="AC5" s="32">
        <v>13961</v>
      </c>
      <c r="AD5" s="31">
        <v>13961</v>
      </c>
    </row>
    <row r="6" spans="2:30" x14ac:dyDescent="0.25">
      <c r="B6" s="59"/>
      <c r="C6" s="64"/>
      <c r="D6" s="68"/>
      <c r="E6" s="23" t="s">
        <v>21</v>
      </c>
      <c r="F6" s="25">
        <v>4</v>
      </c>
      <c r="G6" s="26">
        <v>13961</v>
      </c>
      <c r="H6" s="27">
        <v>13961</v>
      </c>
      <c r="I6" s="28">
        <v>13961</v>
      </c>
      <c r="J6" s="27">
        <v>13961</v>
      </c>
      <c r="K6" s="28">
        <v>13961</v>
      </c>
      <c r="L6" s="27">
        <v>13961</v>
      </c>
      <c r="M6" s="28">
        <v>13961</v>
      </c>
      <c r="N6" s="27">
        <v>13961</v>
      </c>
      <c r="O6" s="28">
        <v>13961</v>
      </c>
      <c r="P6" s="27">
        <v>13961</v>
      </c>
      <c r="Q6" s="28">
        <v>13961</v>
      </c>
      <c r="R6" s="27">
        <v>13961</v>
      </c>
      <c r="S6" s="28">
        <v>13961</v>
      </c>
      <c r="T6" s="27">
        <v>13961</v>
      </c>
      <c r="U6" s="28">
        <v>13961</v>
      </c>
      <c r="V6" s="27">
        <v>13961</v>
      </c>
      <c r="W6" s="28">
        <v>13961</v>
      </c>
      <c r="X6" s="27">
        <v>13961</v>
      </c>
      <c r="Y6" s="28">
        <v>13961</v>
      </c>
      <c r="Z6" s="27">
        <v>13961</v>
      </c>
      <c r="AA6" s="28">
        <v>13961</v>
      </c>
      <c r="AB6" s="27">
        <v>13961</v>
      </c>
      <c r="AC6" s="28">
        <v>13961</v>
      </c>
      <c r="AD6" s="27">
        <v>13961</v>
      </c>
    </row>
    <row r="7" spans="2:30" ht="15.75" thickBot="1" x14ac:dyDescent="0.3">
      <c r="B7" s="61"/>
      <c r="C7" s="65"/>
      <c r="D7" s="69"/>
      <c r="E7" s="24" t="s">
        <v>22</v>
      </c>
      <c r="F7" s="33">
        <v>2</v>
      </c>
      <c r="G7" s="34">
        <v>13961</v>
      </c>
      <c r="H7" s="35">
        <v>13961</v>
      </c>
      <c r="I7" s="36">
        <v>13961</v>
      </c>
      <c r="J7" s="35">
        <v>13961</v>
      </c>
      <c r="K7" s="36">
        <v>13961</v>
      </c>
      <c r="L7" s="35">
        <v>13961</v>
      </c>
      <c r="M7" s="36">
        <v>13961</v>
      </c>
      <c r="N7" s="35">
        <v>13961</v>
      </c>
      <c r="O7" s="36">
        <v>13961</v>
      </c>
      <c r="P7" s="35">
        <v>13961</v>
      </c>
      <c r="Q7" s="36">
        <v>13961</v>
      </c>
      <c r="R7" s="35">
        <v>13961</v>
      </c>
      <c r="S7" s="36">
        <v>13961</v>
      </c>
      <c r="T7" s="35">
        <v>13961</v>
      </c>
      <c r="U7" s="36">
        <v>13961</v>
      </c>
      <c r="V7" s="35">
        <v>13961</v>
      </c>
      <c r="W7" s="36">
        <v>13961</v>
      </c>
      <c r="X7" s="35">
        <v>13961</v>
      </c>
      <c r="Y7" s="36">
        <v>13961</v>
      </c>
      <c r="Z7" s="35">
        <v>13961</v>
      </c>
      <c r="AA7" s="36">
        <v>13961</v>
      </c>
      <c r="AB7" s="35">
        <v>13961</v>
      </c>
      <c r="AC7" s="36">
        <v>13961</v>
      </c>
      <c r="AD7" s="35">
        <v>13961</v>
      </c>
    </row>
  </sheetData>
  <mergeCells count="3">
    <mergeCell ref="B4:B7"/>
    <mergeCell ref="C4:C7"/>
    <mergeCell ref="D4:D7"/>
  </mergeCells>
  <conditionalFormatting sqref="D4:D7">
    <cfRule type="containsText" dxfId="1" priority="1" operator="containsText" text="(en blanco)">
      <formula>NOT(ISERROR(SEARCH("(en blanco)",D4)))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3266-D273-49EE-8353-2AB792D07483}">
  <sheetPr>
    <pageSetUpPr fitToPage="1"/>
  </sheetPr>
  <dimension ref="A1:I57"/>
  <sheetViews>
    <sheetView showGridLines="0" zoomScale="80" zoomScaleNormal="80" zoomScaleSheetLayoutView="100" workbookViewId="0">
      <selection activeCell="E26" sqref="E26"/>
    </sheetView>
  </sheetViews>
  <sheetFormatPr baseColWidth="10" defaultColWidth="0" defaultRowHeight="0" customHeight="1" zeroHeight="1" x14ac:dyDescent="0.25"/>
  <cols>
    <col min="1" max="1" width="5.28515625" style="2" customWidth="1"/>
    <col min="2" max="2" width="24" style="2" customWidth="1"/>
    <col min="3" max="3" width="24.140625" style="2" bestFit="1" customWidth="1"/>
    <col min="4" max="4" width="15" style="2" customWidth="1"/>
    <col min="5" max="5" width="21" style="2" customWidth="1"/>
    <col min="6" max="6" width="20.42578125" style="2" customWidth="1"/>
    <col min="7" max="7" width="16" style="2" customWidth="1"/>
    <col min="8" max="9" width="1.5703125" style="2" hidden="1" customWidth="1"/>
    <col min="10" max="16384" width="3.42578125" style="2" hidden="1"/>
  </cols>
  <sheetData>
    <row r="1" spans="2:6" s="17" customFormat="1" ht="26.25" customHeight="1" x14ac:dyDescent="0.25">
      <c r="B1" s="16" t="s">
        <v>54</v>
      </c>
    </row>
    <row r="2" spans="2:6" ht="15.75" x14ac:dyDescent="0.25"/>
    <row r="3" spans="2:6" ht="15.75" x14ac:dyDescent="0.25">
      <c r="B3" s="1" t="s">
        <v>17</v>
      </c>
      <c r="C3" s="3"/>
      <c r="D3" s="3"/>
      <c r="E3" s="3"/>
      <c r="F3" s="4"/>
    </row>
    <row r="4" spans="2:6" ht="15.75" x14ac:dyDescent="0.25">
      <c r="B4" s="1" t="s">
        <v>52</v>
      </c>
      <c r="C4" s="5"/>
      <c r="D4" s="5"/>
      <c r="E4" s="5"/>
    </row>
    <row r="5" spans="2:6" ht="15.75" x14ac:dyDescent="0.25">
      <c r="B5" s="1" t="s">
        <v>0</v>
      </c>
      <c r="C5" s="6"/>
      <c r="D5" s="6"/>
      <c r="E5" s="6"/>
      <c r="F5" s="4"/>
    </row>
    <row r="6" spans="2:6" ht="15.75" x14ac:dyDescent="0.25">
      <c r="B6" s="1" t="s">
        <v>1</v>
      </c>
      <c r="C6" s="5" t="s">
        <v>2</v>
      </c>
      <c r="D6" s="5"/>
      <c r="E6" s="5"/>
    </row>
    <row r="7" spans="2:6" ht="15.75" x14ac:dyDescent="0.25">
      <c r="B7" s="1" t="s">
        <v>3</v>
      </c>
      <c r="C7" s="5" t="s">
        <v>4</v>
      </c>
      <c r="D7" s="5"/>
      <c r="E7" s="5"/>
    </row>
    <row r="8" spans="2:6" ht="15.75" x14ac:dyDescent="0.25">
      <c r="B8" s="7" t="s">
        <v>5</v>
      </c>
      <c r="C8" s="9" t="s">
        <v>6</v>
      </c>
      <c r="D8" s="9"/>
      <c r="E8" s="9"/>
    </row>
    <row r="9" spans="2:6" ht="16.5" thickBot="1" x14ac:dyDescent="0.3">
      <c r="B9" s="7"/>
      <c r="C9" s="8"/>
      <c r="D9" s="9"/>
      <c r="E9" s="9"/>
    </row>
    <row r="10" spans="2:6" ht="35.25" customHeight="1" thickBot="1" x14ac:dyDescent="0.3">
      <c r="B10" s="70" t="s">
        <v>18</v>
      </c>
      <c r="C10" s="71" t="s">
        <v>7</v>
      </c>
      <c r="D10" s="72" t="s">
        <v>8</v>
      </c>
      <c r="E10" s="71" t="s">
        <v>9</v>
      </c>
      <c r="F10" s="73" t="s">
        <v>10</v>
      </c>
    </row>
    <row r="11" spans="2:6" ht="15.75" x14ac:dyDescent="0.25">
      <c r="B11" s="74">
        <v>46023</v>
      </c>
      <c r="C11" s="75">
        <f>+'[1]Curva 2026'!D4</f>
        <v>7011585</v>
      </c>
      <c r="D11" s="76"/>
      <c r="E11" s="76"/>
      <c r="F11" s="77"/>
    </row>
    <row r="12" spans="2:6" ht="15.75" x14ac:dyDescent="0.25">
      <c r="B12" s="78">
        <v>46054</v>
      </c>
      <c r="C12" s="79">
        <f>+'[1]Curva 2026'!D8</f>
        <v>9771392</v>
      </c>
      <c r="D12" s="80"/>
      <c r="E12" s="80"/>
      <c r="F12" s="81"/>
    </row>
    <row r="13" spans="2:6" ht="15.75" x14ac:dyDescent="0.25">
      <c r="B13" s="78">
        <v>46082</v>
      </c>
      <c r="C13" s="79">
        <f>+'[1]Curva 2026'!D11</f>
        <v>10060044</v>
      </c>
      <c r="D13" s="80"/>
      <c r="E13" s="80"/>
      <c r="F13" s="81"/>
    </row>
    <row r="14" spans="2:6" ht="15.75" x14ac:dyDescent="0.25">
      <c r="B14" s="78">
        <v>46113</v>
      </c>
      <c r="C14" s="79">
        <f>+'[1]Curva 2026'!D15</f>
        <v>7863078</v>
      </c>
      <c r="D14" s="80"/>
      <c r="E14" s="80"/>
      <c r="F14" s="81"/>
    </row>
    <row r="15" spans="2:6" ht="15.75" x14ac:dyDescent="0.25">
      <c r="B15" s="78">
        <v>46143</v>
      </c>
      <c r="C15" s="79">
        <f>+'[1]Curva 2026'!D19</f>
        <v>5405882</v>
      </c>
      <c r="D15" s="80"/>
      <c r="E15" s="80"/>
      <c r="F15" s="81"/>
    </row>
    <row r="16" spans="2:6" ht="15.75" x14ac:dyDescent="0.25">
      <c r="B16" s="78">
        <v>46174</v>
      </c>
      <c r="C16" s="79">
        <f>+'[1]Curva 2026'!D23</f>
        <v>1213139</v>
      </c>
      <c r="D16" s="80"/>
      <c r="E16" s="80"/>
      <c r="F16" s="81"/>
    </row>
    <row r="17" spans="1:7" ht="15.75" x14ac:dyDescent="0.25">
      <c r="B17" s="78">
        <v>46204</v>
      </c>
      <c r="C17" s="79">
        <f>+'[1]Curva 2026'!D27</f>
        <v>3187486</v>
      </c>
      <c r="D17" s="80"/>
      <c r="E17" s="80"/>
      <c r="F17" s="81"/>
    </row>
    <row r="18" spans="1:7" ht="15.75" x14ac:dyDescent="0.25">
      <c r="B18" s="78">
        <v>46235</v>
      </c>
      <c r="C18" s="79">
        <f>+'[1]Curva 2026'!D31</f>
        <v>4046743</v>
      </c>
      <c r="D18" s="80"/>
      <c r="E18" s="80"/>
      <c r="F18" s="81"/>
    </row>
    <row r="19" spans="1:7" ht="15.75" x14ac:dyDescent="0.25">
      <c r="B19" s="78">
        <v>46266</v>
      </c>
      <c r="C19" s="79">
        <f>+'[1]Curva 2026'!D35</f>
        <v>0</v>
      </c>
      <c r="D19" s="80"/>
      <c r="E19" s="80"/>
      <c r="F19" s="81"/>
    </row>
    <row r="20" spans="1:7" ht="15.75" x14ac:dyDescent="0.25">
      <c r="B20" s="78">
        <v>46296</v>
      </c>
      <c r="C20" s="79">
        <f>+'[1]Curva 2026'!D38</f>
        <v>0</v>
      </c>
      <c r="D20" s="80"/>
      <c r="E20" s="80"/>
      <c r="F20" s="81"/>
    </row>
    <row r="21" spans="1:7" ht="15.75" x14ac:dyDescent="0.25">
      <c r="B21" s="78">
        <v>46327</v>
      </c>
      <c r="C21" s="79">
        <f>+'[1]Curva 2026'!D42</f>
        <v>0</v>
      </c>
      <c r="D21" s="80"/>
      <c r="E21" s="80"/>
      <c r="F21" s="81"/>
    </row>
    <row r="22" spans="1:7" ht="16.5" thickBot="1" x14ac:dyDescent="0.3">
      <c r="B22" s="18">
        <v>46357</v>
      </c>
      <c r="C22" s="82">
        <f>+'[1]Curva 2026'!D46</f>
        <v>9840559</v>
      </c>
      <c r="D22" s="21"/>
      <c r="E22" s="21"/>
      <c r="F22" s="83"/>
    </row>
    <row r="23" spans="1:7" ht="16.5" thickBot="1" x14ac:dyDescent="0.3">
      <c r="B23" s="48" t="s">
        <v>11</v>
      </c>
      <c r="C23" s="49">
        <f>+SUM(C11:C22)</f>
        <v>58399908</v>
      </c>
      <c r="D23" s="19"/>
      <c r="E23" s="50">
        <f>SUM(E11:E22)</f>
        <v>0</v>
      </c>
      <c r="F23" s="20"/>
      <c r="G23" s="52"/>
    </row>
    <row r="24" spans="1:7" ht="15.75" x14ac:dyDescent="0.25">
      <c r="B24" s="10"/>
      <c r="C24" s="11"/>
      <c r="D24" s="11"/>
      <c r="E24" s="11"/>
      <c r="F24" s="11"/>
      <c r="G24" s="84"/>
    </row>
    <row r="25" spans="1:7" ht="15.75" x14ac:dyDescent="0.25">
      <c r="B25" s="12" t="s">
        <v>12</v>
      </c>
      <c r="C25" s="13"/>
      <c r="D25" s="13"/>
    </row>
    <row r="26" spans="1:7" ht="15.75" x14ac:dyDescent="0.25"/>
    <row r="27" spans="1:7" ht="15.75" customHeight="1" x14ac:dyDescent="0.25">
      <c r="B27" s="56" t="s">
        <v>53</v>
      </c>
      <c r="C27" s="56"/>
      <c r="D27" s="56"/>
      <c r="E27" s="56"/>
      <c r="F27" s="56"/>
    </row>
    <row r="28" spans="1:7" ht="15.75" customHeight="1" x14ac:dyDescent="0.25">
      <c r="B28" s="56" t="s">
        <v>13</v>
      </c>
      <c r="C28" s="56"/>
      <c r="D28" s="56"/>
      <c r="E28" s="56"/>
      <c r="F28" s="56"/>
    </row>
    <row r="29" spans="1:7" ht="15.75" x14ac:dyDescent="0.25">
      <c r="B29" s="2" t="s">
        <v>14</v>
      </c>
    </row>
    <row r="30" spans="1:7" ht="15.75" customHeight="1" x14ac:dyDescent="0.25">
      <c r="A30" s="4"/>
      <c r="B30" s="57" t="s">
        <v>15</v>
      </c>
      <c r="C30" s="58"/>
      <c r="D30" s="58"/>
      <c r="E30" s="58"/>
      <c r="F30" s="58"/>
    </row>
    <row r="31" spans="1:7" ht="15" customHeight="1" x14ac:dyDescent="0.25">
      <c r="A31" s="4"/>
      <c r="B31" s="58"/>
      <c r="C31" s="58"/>
      <c r="D31" s="58"/>
      <c r="E31" s="58"/>
      <c r="F31" s="58"/>
    </row>
    <row r="32" spans="1:7" ht="15" customHeight="1" x14ac:dyDescent="0.25">
      <c r="A32" s="4"/>
      <c r="B32" s="4"/>
      <c r="C32" s="4"/>
      <c r="D32" s="4"/>
      <c r="E32" s="4"/>
    </row>
    <row r="33" spans="1:5" ht="15" customHeight="1" x14ac:dyDescent="0.25">
      <c r="A33" s="4"/>
      <c r="B33" s="4"/>
      <c r="C33" s="4"/>
      <c r="D33" s="4"/>
      <c r="E33" s="4"/>
    </row>
    <row r="34" spans="1:5" ht="51.75" customHeight="1" x14ac:dyDescent="0.25">
      <c r="A34" s="4"/>
      <c r="B34" s="4"/>
      <c r="C34" s="4"/>
      <c r="D34" s="4"/>
      <c r="E34" s="4"/>
    </row>
    <row r="35" spans="1:5" ht="15.75" hidden="1" x14ac:dyDescent="0.25">
      <c r="B35" s="14" t="s">
        <v>16</v>
      </c>
      <c r="C35" s="15"/>
    </row>
    <row r="36" spans="1:5" ht="4.5" customHeight="1" x14ac:dyDescent="0.25"/>
    <row r="37" spans="1:5" ht="15.75" hidden="1" x14ac:dyDescent="0.25"/>
    <row r="38" spans="1:5" ht="15.75" hidden="1" x14ac:dyDescent="0.25"/>
    <row r="39" spans="1:5" ht="15.75" hidden="1" x14ac:dyDescent="0.25"/>
    <row r="40" spans="1:5" ht="15.75" hidden="1" x14ac:dyDescent="0.25"/>
    <row r="41" spans="1:5" ht="15.75" hidden="1" x14ac:dyDescent="0.25"/>
    <row r="42" spans="1:5" ht="15.75" hidden="1" x14ac:dyDescent="0.25"/>
    <row r="43" spans="1:5" ht="15.75" hidden="1" x14ac:dyDescent="0.25"/>
    <row r="44" spans="1:5" ht="15.75" hidden="1" x14ac:dyDescent="0.25"/>
    <row r="45" spans="1:5" ht="15.75" hidden="1" x14ac:dyDescent="0.25"/>
    <row r="46" spans="1:5" ht="15.75" hidden="1" x14ac:dyDescent="0.25"/>
    <row r="47" spans="1:5" ht="15.75" hidden="1" x14ac:dyDescent="0.25"/>
    <row r="48" spans="1:5" ht="15.75" hidden="1" x14ac:dyDescent="0.25"/>
    <row r="49" ht="15.75" hidden="1" x14ac:dyDescent="0.25"/>
    <row r="50" ht="15.75" hidden="1" x14ac:dyDescent="0.25"/>
    <row r="51" ht="15.75" hidden="1" x14ac:dyDescent="0.25"/>
    <row r="52" ht="15.75" hidden="1" x14ac:dyDescent="0.25"/>
    <row r="53" ht="15.75" hidden="1" x14ac:dyDescent="0.25"/>
    <row r="54" ht="15.75" hidden="1" x14ac:dyDescent="0.25"/>
    <row r="55" ht="15.75" hidden="1" x14ac:dyDescent="0.25"/>
    <row r="56" ht="15.75" hidden="1" x14ac:dyDescent="0.25"/>
    <row r="57" ht="15.75" hidden="1" x14ac:dyDescent="0.25"/>
  </sheetData>
  <sheetProtection selectLockedCells="1"/>
  <mergeCells count="4">
    <mergeCell ref="F11:F22"/>
    <mergeCell ref="B27:F27"/>
    <mergeCell ref="B28:F28"/>
    <mergeCell ref="B30:F31"/>
  </mergeCells>
  <printOptions horizontalCentered="1" verticalCentered="1"/>
  <pageMargins left="1.1811023622047245" right="1.1811023622047245" top="1.1811023622047245" bottom="1.1811023622047245" header="0" footer="0"/>
  <pageSetup scale="67" orientation="portrait" cellComments="asDisplayed" r:id="rId1"/>
  <headerFooter alignWithMargins="0">
    <oddHeader>&amp;R&amp;11 1 de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922-41D9-4CDF-8E36-C7C1B073C429}">
  <dimension ref="B1:AH49"/>
  <sheetViews>
    <sheetView topLeftCell="A25" workbookViewId="0">
      <selection activeCell="D46" sqref="D46:D49"/>
    </sheetView>
  </sheetViews>
  <sheetFormatPr baseColWidth="10" defaultColWidth="11.42578125" defaultRowHeight="15" x14ac:dyDescent="0.25"/>
  <cols>
    <col min="1" max="1" width="4.5703125" style="85" customWidth="1"/>
    <col min="2" max="2" width="4.42578125" style="85" bestFit="1" customWidth="1"/>
    <col min="3" max="3" width="3.7109375" style="85" bestFit="1" customWidth="1"/>
    <col min="4" max="4" width="8.7109375" style="85" bestFit="1" customWidth="1"/>
    <col min="5" max="5" width="3.28515625" style="85" bestFit="1" customWidth="1"/>
    <col min="6" max="6" width="8.5703125" style="85" bestFit="1" customWidth="1"/>
    <col min="7" max="7" width="5.7109375" style="85" bestFit="1" customWidth="1"/>
    <col min="8" max="30" width="6.140625" style="85" bestFit="1" customWidth="1"/>
    <col min="31" max="16384" width="11.42578125" style="85"/>
  </cols>
  <sheetData>
    <row r="1" spans="2:34" ht="18.75" x14ac:dyDescent="0.3">
      <c r="B1" s="54" t="str">
        <f>"CUADRO DE NECESIDADES HORARIAS  - AÑO "&amp;B4&amp;" / MERCADO REGULADO"</f>
        <v>CUADRO DE NECESIDADES HORARIAS  - AÑO 2026 / MERCADO REGULADO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2:34" ht="15.75" thickBot="1" x14ac:dyDescent="0.3"/>
    <row r="3" spans="2:34" ht="24.75" thickBot="1" x14ac:dyDescent="0.3">
      <c r="B3" s="37" t="s">
        <v>23</v>
      </c>
      <c r="C3" s="38" t="s">
        <v>18</v>
      </c>
      <c r="D3" s="38" t="s">
        <v>24</v>
      </c>
      <c r="E3" s="38" t="s">
        <v>25</v>
      </c>
      <c r="F3" s="39" t="s">
        <v>26</v>
      </c>
      <c r="G3" s="40" t="s">
        <v>27</v>
      </c>
      <c r="H3" s="40" t="s">
        <v>28</v>
      </c>
      <c r="I3" s="40" t="s">
        <v>29</v>
      </c>
      <c r="J3" s="40" t="s">
        <v>30</v>
      </c>
      <c r="K3" s="40" t="s">
        <v>31</v>
      </c>
      <c r="L3" s="40" t="s">
        <v>32</v>
      </c>
      <c r="M3" s="40" t="s">
        <v>33</v>
      </c>
      <c r="N3" s="40" t="s">
        <v>34</v>
      </c>
      <c r="O3" s="40" t="s">
        <v>35</v>
      </c>
      <c r="P3" s="40" t="s">
        <v>36</v>
      </c>
      <c r="Q3" s="41" t="s">
        <v>37</v>
      </c>
      <c r="R3" s="41" t="s">
        <v>38</v>
      </c>
      <c r="S3" s="41" t="s">
        <v>39</v>
      </c>
      <c r="T3" s="41" t="s">
        <v>40</v>
      </c>
      <c r="U3" s="41" t="s">
        <v>41</v>
      </c>
      <c r="V3" s="41" t="s">
        <v>42</v>
      </c>
      <c r="W3" s="41" t="s">
        <v>43</v>
      </c>
      <c r="X3" s="41" t="s">
        <v>44</v>
      </c>
      <c r="Y3" s="41" t="s">
        <v>45</v>
      </c>
      <c r="Z3" s="41" t="s">
        <v>46</v>
      </c>
      <c r="AA3" s="41" t="s">
        <v>47</v>
      </c>
      <c r="AB3" s="41" t="s">
        <v>48</v>
      </c>
      <c r="AC3" s="41" t="s">
        <v>49</v>
      </c>
      <c r="AD3" s="41" t="s">
        <v>50</v>
      </c>
    </row>
    <row r="4" spans="2:34" x14ac:dyDescent="0.25">
      <c r="B4" s="86">
        <v>2026</v>
      </c>
      <c r="C4" s="87">
        <v>1</v>
      </c>
      <c r="D4" s="88">
        <v>7011585</v>
      </c>
      <c r="E4" s="89" t="s">
        <v>19</v>
      </c>
      <c r="F4" s="90">
        <v>20</v>
      </c>
      <c r="G4" s="91">
        <v>9207</v>
      </c>
      <c r="H4" s="92">
        <v>8833</v>
      </c>
      <c r="I4" s="93">
        <v>8548</v>
      </c>
      <c r="J4" s="92">
        <v>8348</v>
      </c>
      <c r="K4" s="93">
        <v>8248</v>
      </c>
      <c r="L4" s="92">
        <v>8181</v>
      </c>
      <c r="M4" s="93">
        <v>7695</v>
      </c>
      <c r="N4" s="92">
        <v>8381</v>
      </c>
      <c r="O4" s="93">
        <v>9323</v>
      </c>
      <c r="P4" s="92">
        <v>9924</v>
      </c>
      <c r="Q4" s="93">
        <v>10409</v>
      </c>
      <c r="R4" s="92">
        <v>10732</v>
      </c>
      <c r="S4" s="93">
        <v>10295</v>
      </c>
      <c r="T4" s="92">
        <v>10729</v>
      </c>
      <c r="U4" s="93">
        <v>11482</v>
      </c>
      <c r="V4" s="92">
        <v>11550</v>
      </c>
      <c r="W4" s="93">
        <v>11279</v>
      </c>
      <c r="X4" s="92">
        <v>10822</v>
      </c>
      <c r="Y4" s="93">
        <v>11625</v>
      </c>
      <c r="Z4" s="92">
        <v>11782</v>
      </c>
      <c r="AA4" s="93">
        <v>11534</v>
      </c>
      <c r="AB4" s="92">
        <v>11134</v>
      </c>
      <c r="AC4" s="93">
        <v>10482</v>
      </c>
      <c r="AD4" s="92">
        <v>9797</v>
      </c>
      <c r="AE4" s="94"/>
      <c r="AH4" s="94"/>
    </row>
    <row r="5" spans="2:34" x14ac:dyDescent="0.25">
      <c r="B5" s="95"/>
      <c r="C5" s="64"/>
      <c r="D5" s="96"/>
      <c r="E5" s="23" t="s">
        <v>20</v>
      </c>
      <c r="F5" s="25">
        <v>5</v>
      </c>
      <c r="G5" s="26">
        <v>7171</v>
      </c>
      <c r="H5" s="27">
        <v>6893</v>
      </c>
      <c r="I5" s="28">
        <v>6673</v>
      </c>
      <c r="J5" s="27">
        <v>6499</v>
      </c>
      <c r="K5" s="28">
        <v>6408</v>
      </c>
      <c r="L5" s="27">
        <v>6325</v>
      </c>
      <c r="M5" s="28">
        <v>5939</v>
      </c>
      <c r="N5" s="27">
        <v>6414</v>
      </c>
      <c r="O5" s="28">
        <v>7091</v>
      </c>
      <c r="P5" s="27">
        <v>7557</v>
      </c>
      <c r="Q5" s="28">
        <v>7863</v>
      </c>
      <c r="R5" s="27">
        <v>8097</v>
      </c>
      <c r="S5" s="28">
        <v>7932</v>
      </c>
      <c r="T5" s="27">
        <v>7882</v>
      </c>
      <c r="U5" s="28">
        <v>7850</v>
      </c>
      <c r="V5" s="27">
        <v>7940</v>
      </c>
      <c r="W5" s="28">
        <v>7800</v>
      </c>
      <c r="X5" s="27">
        <v>7745</v>
      </c>
      <c r="Y5" s="28">
        <v>8630</v>
      </c>
      <c r="Z5" s="27">
        <v>8765</v>
      </c>
      <c r="AA5" s="28">
        <v>8562</v>
      </c>
      <c r="AB5" s="27">
        <v>8276</v>
      </c>
      <c r="AC5" s="28">
        <v>7835</v>
      </c>
      <c r="AD5" s="27">
        <v>7434</v>
      </c>
      <c r="AE5" s="94"/>
      <c r="AH5" s="94"/>
    </row>
    <row r="6" spans="2:34" x14ac:dyDescent="0.25">
      <c r="B6" s="97"/>
      <c r="C6" s="63"/>
      <c r="D6" s="96"/>
      <c r="E6" s="22" t="s">
        <v>21</v>
      </c>
      <c r="F6" s="29">
        <v>4</v>
      </c>
      <c r="G6" s="30">
        <v>9365</v>
      </c>
      <c r="H6" s="31">
        <v>8977</v>
      </c>
      <c r="I6" s="32">
        <v>8683</v>
      </c>
      <c r="J6" s="31">
        <v>8472</v>
      </c>
      <c r="K6" s="32">
        <v>8352</v>
      </c>
      <c r="L6" s="31">
        <v>8218</v>
      </c>
      <c r="M6" s="32">
        <v>7565</v>
      </c>
      <c r="N6" s="31">
        <v>7895</v>
      </c>
      <c r="O6" s="32">
        <v>8385</v>
      </c>
      <c r="P6" s="31">
        <v>8757</v>
      </c>
      <c r="Q6" s="32">
        <v>9110</v>
      </c>
      <c r="R6" s="31">
        <v>9371</v>
      </c>
      <c r="S6" s="32">
        <v>9435</v>
      </c>
      <c r="T6" s="31">
        <v>9420</v>
      </c>
      <c r="U6" s="32">
        <v>9370</v>
      </c>
      <c r="V6" s="31">
        <v>9406</v>
      </c>
      <c r="W6" s="32">
        <v>9463</v>
      </c>
      <c r="X6" s="31">
        <v>9521</v>
      </c>
      <c r="Y6" s="32">
        <v>10838</v>
      </c>
      <c r="Z6" s="31">
        <v>11235</v>
      </c>
      <c r="AA6" s="32">
        <v>11176</v>
      </c>
      <c r="AB6" s="31">
        <v>10785</v>
      </c>
      <c r="AC6" s="32">
        <v>10233</v>
      </c>
      <c r="AD6" s="31">
        <v>9611</v>
      </c>
      <c r="AE6" s="94"/>
      <c r="AH6" s="94"/>
    </row>
    <row r="7" spans="2:34" ht="15.75" thickBot="1" x14ac:dyDescent="0.3">
      <c r="B7" s="95"/>
      <c r="C7" s="98"/>
      <c r="D7" s="99"/>
      <c r="E7" s="100" t="s">
        <v>22</v>
      </c>
      <c r="F7" s="101">
        <v>2</v>
      </c>
      <c r="G7" s="102">
        <v>8351</v>
      </c>
      <c r="H7" s="103">
        <v>8137</v>
      </c>
      <c r="I7" s="104">
        <v>7948</v>
      </c>
      <c r="J7" s="103">
        <v>7800</v>
      </c>
      <c r="K7" s="104">
        <v>7692</v>
      </c>
      <c r="L7" s="103">
        <v>7512</v>
      </c>
      <c r="M7" s="104">
        <v>6946</v>
      </c>
      <c r="N7" s="103">
        <v>7254</v>
      </c>
      <c r="O7" s="104">
        <v>7760</v>
      </c>
      <c r="P7" s="103">
        <v>8216</v>
      </c>
      <c r="Q7" s="104">
        <v>8510</v>
      </c>
      <c r="R7" s="103">
        <v>8752</v>
      </c>
      <c r="S7" s="104">
        <v>8761</v>
      </c>
      <c r="T7" s="103">
        <v>8663</v>
      </c>
      <c r="U7" s="104">
        <v>8644</v>
      </c>
      <c r="V7" s="103">
        <v>8640</v>
      </c>
      <c r="W7" s="104">
        <v>8625</v>
      </c>
      <c r="X7" s="103">
        <v>8743</v>
      </c>
      <c r="Y7" s="104">
        <v>10052</v>
      </c>
      <c r="Z7" s="103">
        <v>10337</v>
      </c>
      <c r="AA7" s="104">
        <v>10276</v>
      </c>
      <c r="AB7" s="103">
        <v>9965</v>
      </c>
      <c r="AC7" s="104">
        <v>9519</v>
      </c>
      <c r="AD7" s="103">
        <v>9051</v>
      </c>
      <c r="AE7" s="94"/>
      <c r="AH7" s="94"/>
    </row>
    <row r="8" spans="2:34" x14ac:dyDescent="0.25">
      <c r="B8" s="97"/>
      <c r="C8" s="105">
        <v>2</v>
      </c>
      <c r="D8" s="106">
        <v>9771392</v>
      </c>
      <c r="E8" s="22" t="s">
        <v>19</v>
      </c>
      <c r="F8" s="29">
        <v>20</v>
      </c>
      <c r="G8" s="30">
        <v>13676</v>
      </c>
      <c r="H8" s="31">
        <v>13166</v>
      </c>
      <c r="I8" s="32">
        <v>12753</v>
      </c>
      <c r="J8" s="31">
        <v>12439</v>
      </c>
      <c r="K8" s="32">
        <v>12283</v>
      </c>
      <c r="L8" s="31">
        <v>12547</v>
      </c>
      <c r="M8" s="32">
        <v>11886</v>
      </c>
      <c r="N8" s="31">
        <v>12724</v>
      </c>
      <c r="O8" s="32">
        <v>13973</v>
      </c>
      <c r="P8" s="31">
        <v>14754</v>
      </c>
      <c r="Q8" s="32">
        <v>15370</v>
      </c>
      <c r="R8" s="31">
        <v>15783</v>
      </c>
      <c r="S8" s="32">
        <v>14917</v>
      </c>
      <c r="T8" s="31">
        <v>15640</v>
      </c>
      <c r="U8" s="32">
        <v>16931</v>
      </c>
      <c r="V8" s="31">
        <v>17122</v>
      </c>
      <c r="W8" s="32">
        <v>16751</v>
      </c>
      <c r="X8" s="31">
        <v>16042</v>
      </c>
      <c r="Y8" s="32">
        <v>17072</v>
      </c>
      <c r="Z8" s="31">
        <v>17432</v>
      </c>
      <c r="AA8" s="32">
        <v>17221</v>
      </c>
      <c r="AB8" s="31">
        <v>16604</v>
      </c>
      <c r="AC8" s="32">
        <v>15539</v>
      </c>
      <c r="AD8" s="31">
        <v>14526</v>
      </c>
      <c r="AE8" s="94"/>
      <c r="AH8" s="94"/>
    </row>
    <row r="9" spans="2:34" x14ac:dyDescent="0.25">
      <c r="B9" s="95"/>
      <c r="C9" s="64"/>
      <c r="D9" s="96"/>
      <c r="E9" s="23" t="s">
        <v>20</v>
      </c>
      <c r="F9" s="25">
        <v>4</v>
      </c>
      <c r="G9" s="26">
        <v>13409</v>
      </c>
      <c r="H9" s="27">
        <v>12920</v>
      </c>
      <c r="I9" s="28">
        <v>12551</v>
      </c>
      <c r="J9" s="27">
        <v>12249</v>
      </c>
      <c r="K9" s="28">
        <v>12079</v>
      </c>
      <c r="L9" s="27">
        <v>11957</v>
      </c>
      <c r="M9" s="28">
        <v>11249</v>
      </c>
      <c r="N9" s="27">
        <v>11983</v>
      </c>
      <c r="O9" s="28">
        <v>13196</v>
      </c>
      <c r="P9" s="27">
        <v>14094</v>
      </c>
      <c r="Q9" s="28">
        <v>14722</v>
      </c>
      <c r="R9" s="27">
        <v>15063</v>
      </c>
      <c r="S9" s="28">
        <v>14793</v>
      </c>
      <c r="T9" s="27">
        <v>14649</v>
      </c>
      <c r="U9" s="28">
        <v>14883</v>
      </c>
      <c r="V9" s="27">
        <v>14865</v>
      </c>
      <c r="W9" s="28">
        <v>14662</v>
      </c>
      <c r="X9" s="27">
        <v>14400</v>
      </c>
      <c r="Y9" s="28">
        <v>15905</v>
      </c>
      <c r="Z9" s="27">
        <v>16240</v>
      </c>
      <c r="AA9" s="28">
        <v>15962</v>
      </c>
      <c r="AB9" s="27">
        <v>15318</v>
      </c>
      <c r="AC9" s="28">
        <v>14576</v>
      </c>
      <c r="AD9" s="27">
        <v>13831</v>
      </c>
      <c r="AE9" s="94"/>
      <c r="AH9" s="94"/>
    </row>
    <row r="10" spans="2:34" ht="15.75" thickBot="1" x14ac:dyDescent="0.3">
      <c r="B10" s="97"/>
      <c r="C10" s="65"/>
      <c r="D10" s="99"/>
      <c r="E10" s="24" t="s">
        <v>21</v>
      </c>
      <c r="F10" s="33">
        <v>4</v>
      </c>
      <c r="G10" s="34">
        <v>13240</v>
      </c>
      <c r="H10" s="35">
        <v>12796</v>
      </c>
      <c r="I10" s="36">
        <v>12416</v>
      </c>
      <c r="J10" s="35">
        <v>12142</v>
      </c>
      <c r="K10" s="36">
        <v>11966</v>
      </c>
      <c r="L10" s="35">
        <v>11778</v>
      </c>
      <c r="M10" s="36">
        <v>10780</v>
      </c>
      <c r="N10" s="35">
        <v>11263</v>
      </c>
      <c r="O10" s="36">
        <v>11856</v>
      </c>
      <c r="P10" s="35">
        <v>12436</v>
      </c>
      <c r="Q10" s="36">
        <v>12956</v>
      </c>
      <c r="R10" s="35">
        <v>13443</v>
      </c>
      <c r="S10" s="36">
        <v>13539</v>
      </c>
      <c r="T10" s="35">
        <v>13584</v>
      </c>
      <c r="U10" s="36">
        <v>13730</v>
      </c>
      <c r="V10" s="35">
        <v>13870</v>
      </c>
      <c r="W10" s="36">
        <v>13784</v>
      </c>
      <c r="X10" s="35">
        <v>13787</v>
      </c>
      <c r="Y10" s="36">
        <v>15454</v>
      </c>
      <c r="Z10" s="35">
        <v>16157</v>
      </c>
      <c r="AA10" s="36">
        <v>16244</v>
      </c>
      <c r="AB10" s="35">
        <v>15685</v>
      </c>
      <c r="AC10" s="36">
        <v>14788</v>
      </c>
      <c r="AD10" s="35">
        <v>13843</v>
      </c>
      <c r="AE10" s="94"/>
      <c r="AH10" s="94"/>
    </row>
    <row r="11" spans="2:34" x14ac:dyDescent="0.25">
      <c r="B11" s="95"/>
      <c r="C11" s="62">
        <v>3</v>
      </c>
      <c r="D11" s="106">
        <v>10060044</v>
      </c>
      <c r="E11" s="23" t="s">
        <v>19</v>
      </c>
      <c r="F11" s="25">
        <v>21</v>
      </c>
      <c r="G11" s="26">
        <v>12384</v>
      </c>
      <c r="H11" s="27">
        <v>11902</v>
      </c>
      <c r="I11" s="28">
        <v>11570</v>
      </c>
      <c r="J11" s="27">
        <v>11285</v>
      </c>
      <c r="K11" s="28">
        <v>11153</v>
      </c>
      <c r="L11" s="27">
        <v>11259</v>
      </c>
      <c r="M11" s="28">
        <v>10716</v>
      </c>
      <c r="N11" s="27">
        <v>11534</v>
      </c>
      <c r="O11" s="28">
        <v>12647</v>
      </c>
      <c r="P11" s="27">
        <v>13367</v>
      </c>
      <c r="Q11" s="28">
        <v>13969</v>
      </c>
      <c r="R11" s="27">
        <v>14382</v>
      </c>
      <c r="S11" s="28">
        <v>13573</v>
      </c>
      <c r="T11" s="27">
        <v>14157</v>
      </c>
      <c r="U11" s="28">
        <v>15177</v>
      </c>
      <c r="V11" s="27">
        <v>15339</v>
      </c>
      <c r="W11" s="28">
        <v>14971</v>
      </c>
      <c r="X11" s="27">
        <v>14368</v>
      </c>
      <c r="Y11" s="28">
        <v>15433</v>
      </c>
      <c r="Z11" s="27">
        <v>15722</v>
      </c>
      <c r="AA11" s="28">
        <v>15490</v>
      </c>
      <c r="AB11" s="27">
        <v>14893</v>
      </c>
      <c r="AC11" s="28">
        <v>13942</v>
      </c>
      <c r="AD11" s="27">
        <v>13110</v>
      </c>
      <c r="AE11" s="94"/>
      <c r="AH11" s="94"/>
    </row>
    <row r="12" spans="2:34" x14ac:dyDescent="0.25">
      <c r="B12" s="97"/>
      <c r="C12" s="63"/>
      <c r="D12" s="96"/>
      <c r="E12" s="22" t="s">
        <v>20</v>
      </c>
      <c r="F12" s="29">
        <v>4</v>
      </c>
      <c r="G12" s="30">
        <v>14488</v>
      </c>
      <c r="H12" s="31">
        <v>13977</v>
      </c>
      <c r="I12" s="32">
        <v>13575</v>
      </c>
      <c r="J12" s="31">
        <v>13236</v>
      </c>
      <c r="K12" s="32">
        <v>12999</v>
      </c>
      <c r="L12" s="31">
        <v>12831</v>
      </c>
      <c r="M12" s="32">
        <v>12138</v>
      </c>
      <c r="N12" s="31">
        <v>12915</v>
      </c>
      <c r="O12" s="32">
        <v>14251</v>
      </c>
      <c r="P12" s="31">
        <v>15185</v>
      </c>
      <c r="Q12" s="32">
        <v>15932</v>
      </c>
      <c r="R12" s="31">
        <v>16316</v>
      </c>
      <c r="S12" s="32">
        <v>15854</v>
      </c>
      <c r="T12" s="31">
        <v>15644</v>
      </c>
      <c r="U12" s="32">
        <v>15747</v>
      </c>
      <c r="V12" s="31">
        <v>15847</v>
      </c>
      <c r="W12" s="32">
        <v>15531</v>
      </c>
      <c r="X12" s="31">
        <v>15416</v>
      </c>
      <c r="Y12" s="32">
        <v>17197</v>
      </c>
      <c r="Z12" s="31">
        <v>17464</v>
      </c>
      <c r="AA12" s="32">
        <v>17111</v>
      </c>
      <c r="AB12" s="31">
        <v>16568</v>
      </c>
      <c r="AC12" s="32">
        <v>15783</v>
      </c>
      <c r="AD12" s="31">
        <v>15076</v>
      </c>
      <c r="AE12" s="94"/>
      <c r="AH12" s="94"/>
    </row>
    <row r="13" spans="2:34" x14ac:dyDescent="0.25">
      <c r="B13" s="95"/>
      <c r="C13" s="64"/>
      <c r="D13" s="96"/>
      <c r="E13" s="23" t="s">
        <v>21</v>
      </c>
      <c r="F13" s="25">
        <v>5</v>
      </c>
      <c r="G13" s="26">
        <v>11454</v>
      </c>
      <c r="H13" s="27">
        <v>11085</v>
      </c>
      <c r="I13" s="28">
        <v>10760</v>
      </c>
      <c r="J13" s="27">
        <v>10517</v>
      </c>
      <c r="K13" s="28">
        <v>10338</v>
      </c>
      <c r="L13" s="27">
        <v>10092</v>
      </c>
      <c r="M13" s="28">
        <v>9446</v>
      </c>
      <c r="N13" s="27">
        <v>9854</v>
      </c>
      <c r="O13" s="28">
        <v>10092</v>
      </c>
      <c r="P13" s="27">
        <v>10206</v>
      </c>
      <c r="Q13" s="28">
        <v>11008</v>
      </c>
      <c r="R13" s="27">
        <v>11456</v>
      </c>
      <c r="S13" s="28">
        <v>11631</v>
      </c>
      <c r="T13" s="27">
        <v>11613</v>
      </c>
      <c r="U13" s="28">
        <v>11819</v>
      </c>
      <c r="V13" s="27">
        <v>11658</v>
      </c>
      <c r="W13" s="28">
        <v>11459</v>
      </c>
      <c r="X13" s="27">
        <v>11789</v>
      </c>
      <c r="Y13" s="28">
        <v>13291</v>
      </c>
      <c r="Z13" s="27">
        <v>13773</v>
      </c>
      <c r="AA13" s="28">
        <v>13774</v>
      </c>
      <c r="AB13" s="27">
        <v>13364</v>
      </c>
      <c r="AC13" s="28">
        <v>12716</v>
      </c>
      <c r="AD13" s="27">
        <v>11878</v>
      </c>
      <c r="AE13" s="94"/>
      <c r="AH13" s="94"/>
    </row>
    <row r="14" spans="2:34" ht="15.75" thickBot="1" x14ac:dyDescent="0.3">
      <c r="B14" s="97"/>
      <c r="C14" s="65"/>
      <c r="D14" s="99"/>
      <c r="E14" s="24" t="s">
        <v>22</v>
      </c>
      <c r="F14" s="33">
        <v>1</v>
      </c>
      <c r="G14" s="34">
        <v>19103</v>
      </c>
      <c r="H14" s="35">
        <v>18296</v>
      </c>
      <c r="I14" s="36">
        <v>17741</v>
      </c>
      <c r="J14" s="35">
        <v>17334</v>
      </c>
      <c r="K14" s="36">
        <v>17123</v>
      </c>
      <c r="L14" s="35">
        <v>16643</v>
      </c>
      <c r="M14" s="36">
        <v>15826</v>
      </c>
      <c r="N14" s="35">
        <v>16601</v>
      </c>
      <c r="O14" s="36">
        <v>17571</v>
      </c>
      <c r="P14" s="35">
        <v>18427</v>
      </c>
      <c r="Q14" s="36">
        <v>19286</v>
      </c>
      <c r="R14" s="35">
        <v>20217</v>
      </c>
      <c r="S14" s="36">
        <v>20477</v>
      </c>
      <c r="T14" s="35">
        <v>20558</v>
      </c>
      <c r="U14" s="36">
        <v>20544</v>
      </c>
      <c r="V14" s="35">
        <v>20523</v>
      </c>
      <c r="W14" s="36">
        <v>20292</v>
      </c>
      <c r="X14" s="35">
        <v>20265</v>
      </c>
      <c r="Y14" s="36">
        <v>22799</v>
      </c>
      <c r="Z14" s="35">
        <v>23632</v>
      </c>
      <c r="AA14" s="36">
        <v>23560</v>
      </c>
      <c r="AB14" s="35">
        <v>22809</v>
      </c>
      <c r="AC14" s="36">
        <v>21502</v>
      </c>
      <c r="AD14" s="35">
        <v>20023</v>
      </c>
      <c r="AE14" s="94"/>
      <c r="AH14" s="94"/>
    </row>
    <row r="15" spans="2:34" x14ac:dyDescent="0.25">
      <c r="B15" s="95"/>
      <c r="C15" s="62">
        <v>4</v>
      </c>
      <c r="D15" s="106">
        <v>7863078</v>
      </c>
      <c r="E15" s="23" t="s">
        <v>19</v>
      </c>
      <c r="F15" s="25">
        <v>20</v>
      </c>
      <c r="G15" s="26">
        <v>9788</v>
      </c>
      <c r="H15" s="27">
        <v>9471</v>
      </c>
      <c r="I15" s="28">
        <v>9228</v>
      </c>
      <c r="J15" s="27">
        <v>9015</v>
      </c>
      <c r="K15" s="28">
        <v>8956</v>
      </c>
      <c r="L15" s="27">
        <v>8918</v>
      </c>
      <c r="M15" s="28">
        <v>8677</v>
      </c>
      <c r="N15" s="27">
        <v>9430</v>
      </c>
      <c r="O15" s="28">
        <v>10426</v>
      </c>
      <c r="P15" s="27">
        <v>11243</v>
      </c>
      <c r="Q15" s="28">
        <v>11755</v>
      </c>
      <c r="R15" s="27">
        <v>11795</v>
      </c>
      <c r="S15" s="28">
        <v>11300</v>
      </c>
      <c r="T15" s="27">
        <v>11871</v>
      </c>
      <c r="U15" s="28">
        <v>12691</v>
      </c>
      <c r="V15" s="27">
        <v>12662</v>
      </c>
      <c r="W15" s="28">
        <v>12107</v>
      </c>
      <c r="X15" s="27">
        <v>11860</v>
      </c>
      <c r="Y15" s="28">
        <v>12747</v>
      </c>
      <c r="Z15" s="27">
        <v>12897</v>
      </c>
      <c r="AA15" s="28">
        <v>12528</v>
      </c>
      <c r="AB15" s="27">
        <v>11976</v>
      </c>
      <c r="AC15" s="28">
        <v>11197</v>
      </c>
      <c r="AD15" s="27">
        <v>10362</v>
      </c>
      <c r="AE15" s="94"/>
      <c r="AH15" s="94"/>
    </row>
    <row r="16" spans="2:34" x14ac:dyDescent="0.25">
      <c r="B16" s="97"/>
      <c r="C16" s="63"/>
      <c r="D16" s="96"/>
      <c r="E16" s="22" t="s">
        <v>20</v>
      </c>
      <c r="F16" s="29">
        <v>4</v>
      </c>
      <c r="G16" s="30">
        <v>11827</v>
      </c>
      <c r="H16" s="31">
        <v>11369</v>
      </c>
      <c r="I16" s="32">
        <v>11016</v>
      </c>
      <c r="J16" s="31">
        <v>10755</v>
      </c>
      <c r="K16" s="32">
        <v>10610</v>
      </c>
      <c r="L16" s="31">
        <v>10350</v>
      </c>
      <c r="M16" s="32">
        <v>9971</v>
      </c>
      <c r="N16" s="31">
        <v>10736</v>
      </c>
      <c r="O16" s="32">
        <v>11696</v>
      </c>
      <c r="P16" s="31">
        <v>12337</v>
      </c>
      <c r="Q16" s="32">
        <v>12887</v>
      </c>
      <c r="R16" s="31">
        <v>13350</v>
      </c>
      <c r="S16" s="32">
        <v>13181</v>
      </c>
      <c r="T16" s="31">
        <v>13116</v>
      </c>
      <c r="U16" s="32">
        <v>13368</v>
      </c>
      <c r="V16" s="31">
        <v>13398</v>
      </c>
      <c r="W16" s="32">
        <v>13199</v>
      </c>
      <c r="X16" s="31">
        <v>13108</v>
      </c>
      <c r="Y16" s="32">
        <v>14654</v>
      </c>
      <c r="Z16" s="31">
        <v>14855</v>
      </c>
      <c r="AA16" s="32">
        <v>14452</v>
      </c>
      <c r="AB16" s="31">
        <v>13951</v>
      </c>
      <c r="AC16" s="32">
        <v>13128</v>
      </c>
      <c r="AD16" s="31">
        <v>12464</v>
      </c>
      <c r="AE16" s="94"/>
      <c r="AH16" s="94"/>
    </row>
    <row r="17" spans="2:34" x14ac:dyDescent="0.25">
      <c r="B17" s="95"/>
      <c r="C17" s="64"/>
      <c r="D17" s="96"/>
      <c r="E17" s="23" t="s">
        <v>21</v>
      </c>
      <c r="F17" s="25">
        <v>4</v>
      </c>
      <c r="G17" s="26">
        <v>11112</v>
      </c>
      <c r="H17" s="27">
        <v>10722</v>
      </c>
      <c r="I17" s="28">
        <v>10409</v>
      </c>
      <c r="J17" s="27">
        <v>10142</v>
      </c>
      <c r="K17" s="28">
        <v>9956</v>
      </c>
      <c r="L17" s="27">
        <v>9658</v>
      </c>
      <c r="M17" s="28">
        <v>9171</v>
      </c>
      <c r="N17" s="27">
        <v>9622</v>
      </c>
      <c r="O17" s="28">
        <v>10239</v>
      </c>
      <c r="P17" s="27">
        <v>10589</v>
      </c>
      <c r="Q17" s="28">
        <v>10870</v>
      </c>
      <c r="R17" s="27">
        <v>11283</v>
      </c>
      <c r="S17" s="28">
        <v>11459</v>
      </c>
      <c r="T17" s="27">
        <v>11520</v>
      </c>
      <c r="U17" s="28">
        <v>11691</v>
      </c>
      <c r="V17" s="27">
        <v>11754</v>
      </c>
      <c r="W17" s="28">
        <v>11637</v>
      </c>
      <c r="X17" s="27">
        <v>11631</v>
      </c>
      <c r="Y17" s="28">
        <v>13160</v>
      </c>
      <c r="Z17" s="27">
        <v>13534</v>
      </c>
      <c r="AA17" s="28">
        <v>13388</v>
      </c>
      <c r="AB17" s="27">
        <v>12775</v>
      </c>
      <c r="AC17" s="28">
        <v>11869</v>
      </c>
      <c r="AD17" s="27">
        <v>11086</v>
      </c>
      <c r="AE17" s="94"/>
      <c r="AH17" s="94"/>
    </row>
    <row r="18" spans="2:34" ht="15.75" thickBot="1" x14ac:dyDescent="0.3">
      <c r="B18" s="97"/>
      <c r="C18" s="65"/>
      <c r="D18" s="99"/>
      <c r="E18" s="24" t="s">
        <v>22</v>
      </c>
      <c r="F18" s="33">
        <v>2</v>
      </c>
      <c r="G18" s="34">
        <v>7156</v>
      </c>
      <c r="H18" s="35">
        <v>6844</v>
      </c>
      <c r="I18" s="36">
        <v>6659</v>
      </c>
      <c r="J18" s="35">
        <v>6535</v>
      </c>
      <c r="K18" s="36">
        <v>6449</v>
      </c>
      <c r="L18" s="35">
        <v>6218</v>
      </c>
      <c r="M18" s="36">
        <v>5879</v>
      </c>
      <c r="N18" s="35">
        <v>6085</v>
      </c>
      <c r="O18" s="36">
        <v>6265</v>
      </c>
      <c r="P18" s="35">
        <v>6337</v>
      </c>
      <c r="Q18" s="36">
        <v>6434</v>
      </c>
      <c r="R18" s="35">
        <v>6650</v>
      </c>
      <c r="S18" s="36">
        <v>6749</v>
      </c>
      <c r="T18" s="35">
        <v>6742</v>
      </c>
      <c r="U18" s="36">
        <v>6772</v>
      </c>
      <c r="V18" s="35">
        <v>6814</v>
      </c>
      <c r="W18" s="36">
        <v>6767</v>
      </c>
      <c r="X18" s="35">
        <v>6808</v>
      </c>
      <c r="Y18" s="36">
        <v>7813</v>
      </c>
      <c r="Z18" s="35">
        <v>8058</v>
      </c>
      <c r="AA18" s="36">
        <v>7982</v>
      </c>
      <c r="AB18" s="35">
        <v>7783</v>
      </c>
      <c r="AC18" s="36">
        <v>7479</v>
      </c>
      <c r="AD18" s="35">
        <v>7151</v>
      </c>
      <c r="AE18" s="94"/>
      <c r="AH18" s="94"/>
    </row>
    <row r="19" spans="2:34" x14ac:dyDescent="0.25">
      <c r="B19" s="95"/>
      <c r="C19" s="62">
        <v>5</v>
      </c>
      <c r="D19" s="106">
        <v>5405882</v>
      </c>
      <c r="E19" s="23" t="s">
        <v>19</v>
      </c>
      <c r="F19" s="25">
        <v>19</v>
      </c>
      <c r="G19" s="26">
        <v>7320</v>
      </c>
      <c r="H19" s="27">
        <v>7026</v>
      </c>
      <c r="I19" s="28">
        <v>6824</v>
      </c>
      <c r="J19" s="27">
        <v>6675</v>
      </c>
      <c r="K19" s="28">
        <v>6634</v>
      </c>
      <c r="L19" s="27">
        <v>6624</v>
      </c>
      <c r="M19" s="28">
        <v>6569</v>
      </c>
      <c r="N19" s="27">
        <v>7249</v>
      </c>
      <c r="O19" s="28">
        <v>7950</v>
      </c>
      <c r="P19" s="27">
        <v>8373</v>
      </c>
      <c r="Q19" s="28">
        <v>8719</v>
      </c>
      <c r="R19" s="27">
        <v>8943</v>
      </c>
      <c r="S19" s="28">
        <v>8498</v>
      </c>
      <c r="T19" s="27">
        <v>8795</v>
      </c>
      <c r="U19" s="28">
        <v>9426</v>
      </c>
      <c r="V19" s="27">
        <v>9446</v>
      </c>
      <c r="W19" s="28">
        <v>9204</v>
      </c>
      <c r="X19" s="27">
        <v>8859</v>
      </c>
      <c r="Y19" s="28">
        <v>9602</v>
      </c>
      <c r="Z19" s="27">
        <v>9725</v>
      </c>
      <c r="AA19" s="28">
        <v>9494</v>
      </c>
      <c r="AB19" s="27">
        <v>9028</v>
      </c>
      <c r="AC19" s="28">
        <v>8378</v>
      </c>
      <c r="AD19" s="27">
        <v>7793</v>
      </c>
      <c r="AE19" s="94"/>
      <c r="AH19" s="94"/>
    </row>
    <row r="20" spans="2:34" x14ac:dyDescent="0.25">
      <c r="B20" s="97"/>
      <c r="C20" s="63"/>
      <c r="D20" s="96"/>
      <c r="E20" s="22" t="s">
        <v>20</v>
      </c>
      <c r="F20" s="29">
        <v>5</v>
      </c>
      <c r="G20" s="30">
        <v>5509</v>
      </c>
      <c r="H20" s="31">
        <v>5291</v>
      </c>
      <c r="I20" s="32">
        <v>5120</v>
      </c>
      <c r="J20" s="31">
        <v>4997</v>
      </c>
      <c r="K20" s="32">
        <v>4932</v>
      </c>
      <c r="L20" s="31">
        <v>4736</v>
      </c>
      <c r="M20" s="32">
        <v>4635</v>
      </c>
      <c r="N20" s="31">
        <v>4979</v>
      </c>
      <c r="O20" s="32">
        <v>5486</v>
      </c>
      <c r="P20" s="31">
        <v>5772</v>
      </c>
      <c r="Q20" s="32">
        <v>6037</v>
      </c>
      <c r="R20" s="31">
        <v>6207</v>
      </c>
      <c r="S20" s="32">
        <v>6001</v>
      </c>
      <c r="T20" s="31">
        <v>5898</v>
      </c>
      <c r="U20" s="32">
        <v>5931</v>
      </c>
      <c r="V20" s="31">
        <v>5940</v>
      </c>
      <c r="W20" s="32">
        <v>5844</v>
      </c>
      <c r="X20" s="31">
        <v>5854</v>
      </c>
      <c r="Y20" s="32">
        <v>6548</v>
      </c>
      <c r="Z20" s="31">
        <v>6567</v>
      </c>
      <c r="AA20" s="32">
        <v>6359</v>
      </c>
      <c r="AB20" s="31">
        <v>6098</v>
      </c>
      <c r="AC20" s="32">
        <v>5756</v>
      </c>
      <c r="AD20" s="31">
        <v>5390</v>
      </c>
      <c r="AE20" s="94"/>
      <c r="AH20" s="94"/>
    </row>
    <row r="21" spans="2:34" x14ac:dyDescent="0.25">
      <c r="B21" s="95"/>
      <c r="C21" s="64"/>
      <c r="D21" s="96"/>
      <c r="E21" s="23" t="s">
        <v>21</v>
      </c>
      <c r="F21" s="25">
        <v>5</v>
      </c>
      <c r="G21" s="26">
        <v>5246</v>
      </c>
      <c r="H21" s="27">
        <v>5049</v>
      </c>
      <c r="I21" s="28">
        <v>4913</v>
      </c>
      <c r="J21" s="27">
        <v>4741</v>
      </c>
      <c r="K21" s="28">
        <v>4686</v>
      </c>
      <c r="L21" s="27">
        <v>4463</v>
      </c>
      <c r="M21" s="28">
        <v>4219</v>
      </c>
      <c r="N21" s="27">
        <v>4455</v>
      </c>
      <c r="O21" s="28">
        <v>4837</v>
      </c>
      <c r="P21" s="27">
        <v>5084</v>
      </c>
      <c r="Q21" s="28">
        <v>5261</v>
      </c>
      <c r="R21" s="27">
        <v>5465</v>
      </c>
      <c r="S21" s="28">
        <v>5497</v>
      </c>
      <c r="T21" s="27">
        <v>5485</v>
      </c>
      <c r="U21" s="28">
        <v>5501</v>
      </c>
      <c r="V21" s="27">
        <v>5521</v>
      </c>
      <c r="W21" s="28">
        <v>5514</v>
      </c>
      <c r="X21" s="27">
        <v>5548</v>
      </c>
      <c r="Y21" s="28">
        <v>6278</v>
      </c>
      <c r="Z21" s="27">
        <v>6463</v>
      </c>
      <c r="AA21" s="28">
        <v>6483</v>
      </c>
      <c r="AB21" s="27">
        <v>6302</v>
      </c>
      <c r="AC21" s="28">
        <v>5945</v>
      </c>
      <c r="AD21" s="27">
        <v>5595</v>
      </c>
      <c r="AE21" s="94"/>
      <c r="AH21" s="94"/>
    </row>
    <row r="22" spans="2:34" ht="15.75" thickBot="1" x14ac:dyDescent="0.3">
      <c r="B22" s="97"/>
      <c r="C22" s="65"/>
      <c r="D22" s="99"/>
      <c r="E22" s="24" t="s">
        <v>22</v>
      </c>
      <c r="F22" s="33">
        <v>2</v>
      </c>
      <c r="G22" s="34">
        <v>6678</v>
      </c>
      <c r="H22" s="35">
        <v>6387</v>
      </c>
      <c r="I22" s="36">
        <v>6203</v>
      </c>
      <c r="J22" s="35">
        <v>6025</v>
      </c>
      <c r="K22" s="36">
        <v>5880</v>
      </c>
      <c r="L22" s="35">
        <v>5521</v>
      </c>
      <c r="M22" s="36">
        <v>5464</v>
      </c>
      <c r="N22" s="35">
        <v>5865</v>
      </c>
      <c r="O22" s="36">
        <v>6284</v>
      </c>
      <c r="P22" s="35">
        <v>6672</v>
      </c>
      <c r="Q22" s="36">
        <v>6966</v>
      </c>
      <c r="R22" s="35">
        <v>7359</v>
      </c>
      <c r="S22" s="36">
        <v>7408</v>
      </c>
      <c r="T22" s="35">
        <v>7430</v>
      </c>
      <c r="U22" s="36">
        <v>7550</v>
      </c>
      <c r="V22" s="35">
        <v>7585</v>
      </c>
      <c r="W22" s="36">
        <v>7452</v>
      </c>
      <c r="X22" s="35">
        <v>7401</v>
      </c>
      <c r="Y22" s="36">
        <v>8378</v>
      </c>
      <c r="Z22" s="35">
        <v>8677</v>
      </c>
      <c r="AA22" s="36">
        <v>8575</v>
      </c>
      <c r="AB22" s="35">
        <v>8176</v>
      </c>
      <c r="AC22" s="36">
        <v>7715</v>
      </c>
      <c r="AD22" s="35">
        <v>7232</v>
      </c>
      <c r="AE22" s="94"/>
      <c r="AH22" s="94"/>
    </row>
    <row r="23" spans="2:34" x14ac:dyDescent="0.25">
      <c r="B23" s="95"/>
      <c r="C23" s="62">
        <v>6</v>
      </c>
      <c r="D23" s="106">
        <v>1213139</v>
      </c>
      <c r="E23" s="23" t="s">
        <v>19</v>
      </c>
      <c r="F23" s="25">
        <v>19</v>
      </c>
      <c r="G23" s="26">
        <v>1546</v>
      </c>
      <c r="H23" s="27">
        <v>1468</v>
      </c>
      <c r="I23" s="28">
        <v>1429</v>
      </c>
      <c r="J23" s="27">
        <v>1406</v>
      </c>
      <c r="K23" s="28">
        <v>1427</v>
      </c>
      <c r="L23" s="27">
        <v>1417</v>
      </c>
      <c r="M23" s="28">
        <v>1399</v>
      </c>
      <c r="N23" s="27">
        <v>1522</v>
      </c>
      <c r="O23" s="28">
        <v>1679</v>
      </c>
      <c r="P23" s="27">
        <v>1773</v>
      </c>
      <c r="Q23" s="28">
        <v>1863</v>
      </c>
      <c r="R23" s="27">
        <v>1926</v>
      </c>
      <c r="S23" s="28">
        <v>1829</v>
      </c>
      <c r="T23" s="27">
        <v>1883</v>
      </c>
      <c r="U23" s="28">
        <v>2018</v>
      </c>
      <c r="V23" s="27">
        <v>2021</v>
      </c>
      <c r="W23" s="28">
        <v>1973</v>
      </c>
      <c r="X23" s="27">
        <v>1891</v>
      </c>
      <c r="Y23" s="28">
        <v>2048</v>
      </c>
      <c r="Z23" s="27">
        <v>2087</v>
      </c>
      <c r="AA23" s="28">
        <v>2028</v>
      </c>
      <c r="AB23" s="27">
        <v>1927</v>
      </c>
      <c r="AC23" s="28">
        <v>1786</v>
      </c>
      <c r="AD23" s="27">
        <v>1655</v>
      </c>
      <c r="AE23" s="94"/>
      <c r="AH23" s="94"/>
    </row>
    <row r="24" spans="2:34" x14ac:dyDescent="0.25">
      <c r="B24" s="97"/>
      <c r="C24" s="63"/>
      <c r="D24" s="96"/>
      <c r="E24" s="22" t="s">
        <v>20</v>
      </c>
      <c r="F24" s="29">
        <v>4</v>
      </c>
      <c r="G24" s="30">
        <v>1677</v>
      </c>
      <c r="H24" s="31">
        <v>1617</v>
      </c>
      <c r="I24" s="32">
        <v>1560</v>
      </c>
      <c r="J24" s="31">
        <v>1519</v>
      </c>
      <c r="K24" s="32">
        <v>1509</v>
      </c>
      <c r="L24" s="31">
        <v>1453</v>
      </c>
      <c r="M24" s="32">
        <v>1424</v>
      </c>
      <c r="N24" s="31">
        <v>1547</v>
      </c>
      <c r="O24" s="32">
        <v>1690</v>
      </c>
      <c r="P24" s="31">
        <v>1814</v>
      </c>
      <c r="Q24" s="32">
        <v>1908</v>
      </c>
      <c r="R24" s="31">
        <v>1959</v>
      </c>
      <c r="S24" s="32">
        <v>1928</v>
      </c>
      <c r="T24" s="31">
        <v>1929</v>
      </c>
      <c r="U24" s="32">
        <v>1953</v>
      </c>
      <c r="V24" s="31">
        <v>1911</v>
      </c>
      <c r="W24" s="32">
        <v>1871</v>
      </c>
      <c r="X24" s="31">
        <v>1871</v>
      </c>
      <c r="Y24" s="32">
        <v>2093</v>
      </c>
      <c r="Z24" s="31">
        <v>2150</v>
      </c>
      <c r="AA24" s="32">
        <v>2101</v>
      </c>
      <c r="AB24" s="31">
        <v>2000</v>
      </c>
      <c r="AC24" s="32">
        <v>1888</v>
      </c>
      <c r="AD24" s="31">
        <v>1785</v>
      </c>
      <c r="AE24" s="94"/>
      <c r="AH24" s="94"/>
    </row>
    <row r="25" spans="2:34" x14ac:dyDescent="0.25">
      <c r="B25" s="95"/>
      <c r="C25" s="64"/>
      <c r="D25" s="96"/>
      <c r="E25" s="23" t="s">
        <v>21</v>
      </c>
      <c r="F25" s="25">
        <v>4</v>
      </c>
      <c r="G25" s="26">
        <v>1687</v>
      </c>
      <c r="H25" s="27">
        <v>1623</v>
      </c>
      <c r="I25" s="28">
        <v>1580</v>
      </c>
      <c r="J25" s="27">
        <v>1552</v>
      </c>
      <c r="K25" s="28">
        <v>1531</v>
      </c>
      <c r="L25" s="27">
        <v>1427</v>
      </c>
      <c r="M25" s="28">
        <v>1370</v>
      </c>
      <c r="N25" s="27">
        <v>1437</v>
      </c>
      <c r="O25" s="28">
        <v>1524</v>
      </c>
      <c r="P25" s="27">
        <v>1612</v>
      </c>
      <c r="Q25" s="28">
        <v>1684</v>
      </c>
      <c r="R25" s="27">
        <v>1739</v>
      </c>
      <c r="S25" s="28">
        <v>1760</v>
      </c>
      <c r="T25" s="27">
        <v>1775</v>
      </c>
      <c r="U25" s="28">
        <v>1816</v>
      </c>
      <c r="V25" s="27">
        <v>1813</v>
      </c>
      <c r="W25" s="28">
        <v>1811</v>
      </c>
      <c r="X25" s="27">
        <v>1808</v>
      </c>
      <c r="Y25" s="28">
        <v>2039</v>
      </c>
      <c r="Z25" s="27">
        <v>2123</v>
      </c>
      <c r="AA25" s="28">
        <v>2096</v>
      </c>
      <c r="AB25" s="27">
        <v>2012</v>
      </c>
      <c r="AC25" s="28">
        <v>1895</v>
      </c>
      <c r="AD25" s="27">
        <v>1784</v>
      </c>
      <c r="AE25" s="94"/>
      <c r="AH25" s="94"/>
    </row>
    <row r="26" spans="2:34" ht="15.75" thickBot="1" x14ac:dyDescent="0.3">
      <c r="B26" s="97"/>
      <c r="C26" s="65"/>
      <c r="D26" s="99"/>
      <c r="E26" s="24" t="s">
        <v>22</v>
      </c>
      <c r="F26" s="33">
        <v>3</v>
      </c>
      <c r="G26" s="34">
        <v>1026</v>
      </c>
      <c r="H26" s="35">
        <v>990</v>
      </c>
      <c r="I26" s="36">
        <v>966</v>
      </c>
      <c r="J26" s="35">
        <v>943</v>
      </c>
      <c r="K26" s="36">
        <v>932</v>
      </c>
      <c r="L26" s="35">
        <v>867</v>
      </c>
      <c r="M26" s="36">
        <v>837</v>
      </c>
      <c r="N26" s="35">
        <v>891</v>
      </c>
      <c r="O26" s="36">
        <v>969</v>
      </c>
      <c r="P26" s="35">
        <v>1016</v>
      </c>
      <c r="Q26" s="36">
        <v>1044</v>
      </c>
      <c r="R26" s="35">
        <v>1100</v>
      </c>
      <c r="S26" s="36">
        <v>1112</v>
      </c>
      <c r="T26" s="35">
        <v>1122</v>
      </c>
      <c r="U26" s="36">
        <v>1180</v>
      </c>
      <c r="V26" s="35">
        <v>1170</v>
      </c>
      <c r="W26" s="36">
        <v>1114</v>
      </c>
      <c r="X26" s="35">
        <v>1101</v>
      </c>
      <c r="Y26" s="36">
        <v>1232</v>
      </c>
      <c r="Z26" s="35">
        <v>1274</v>
      </c>
      <c r="AA26" s="36">
        <v>1257</v>
      </c>
      <c r="AB26" s="35">
        <v>1200</v>
      </c>
      <c r="AC26" s="36">
        <v>1115</v>
      </c>
      <c r="AD26" s="35">
        <v>1042</v>
      </c>
      <c r="AE26" s="94"/>
      <c r="AH26" s="94"/>
    </row>
    <row r="27" spans="2:34" x14ac:dyDescent="0.25">
      <c r="B27" s="95"/>
      <c r="C27" s="62">
        <v>7</v>
      </c>
      <c r="D27" s="106">
        <v>3187486</v>
      </c>
      <c r="E27" s="23" t="s">
        <v>19</v>
      </c>
      <c r="F27" s="25">
        <v>22</v>
      </c>
      <c r="G27" s="26">
        <v>3575</v>
      </c>
      <c r="H27" s="27">
        <v>3446</v>
      </c>
      <c r="I27" s="28">
        <v>3346</v>
      </c>
      <c r="J27" s="27">
        <v>3271</v>
      </c>
      <c r="K27" s="28">
        <v>3260</v>
      </c>
      <c r="L27" s="27">
        <v>3268</v>
      </c>
      <c r="M27" s="28">
        <v>3189</v>
      </c>
      <c r="N27" s="27">
        <v>3441</v>
      </c>
      <c r="O27" s="28">
        <v>3754</v>
      </c>
      <c r="P27" s="27">
        <v>3976</v>
      </c>
      <c r="Q27" s="28">
        <v>4147</v>
      </c>
      <c r="R27" s="27">
        <v>4261</v>
      </c>
      <c r="S27" s="28">
        <v>4053</v>
      </c>
      <c r="T27" s="27">
        <v>4142</v>
      </c>
      <c r="U27" s="28">
        <v>4453</v>
      </c>
      <c r="V27" s="27">
        <v>4483</v>
      </c>
      <c r="W27" s="28">
        <v>4422</v>
      </c>
      <c r="X27" s="27">
        <v>4251</v>
      </c>
      <c r="Y27" s="28">
        <v>4589</v>
      </c>
      <c r="Z27" s="27">
        <v>4737</v>
      </c>
      <c r="AA27" s="28">
        <v>4616</v>
      </c>
      <c r="AB27" s="27">
        <v>4391</v>
      </c>
      <c r="AC27" s="28">
        <v>4056</v>
      </c>
      <c r="AD27" s="27">
        <v>3755</v>
      </c>
      <c r="AE27" s="94"/>
      <c r="AH27" s="94"/>
    </row>
    <row r="28" spans="2:34" x14ac:dyDescent="0.25">
      <c r="B28" s="97"/>
      <c r="C28" s="63"/>
      <c r="D28" s="96"/>
      <c r="E28" s="22" t="s">
        <v>20</v>
      </c>
      <c r="F28" s="29">
        <v>4</v>
      </c>
      <c r="G28" s="30">
        <v>4131</v>
      </c>
      <c r="H28" s="31">
        <v>4027</v>
      </c>
      <c r="I28" s="32">
        <v>3916</v>
      </c>
      <c r="J28" s="31">
        <v>3841</v>
      </c>
      <c r="K28" s="32">
        <v>3809</v>
      </c>
      <c r="L28" s="31">
        <v>3724</v>
      </c>
      <c r="M28" s="32">
        <v>3642</v>
      </c>
      <c r="N28" s="31">
        <v>3978</v>
      </c>
      <c r="O28" s="32">
        <v>4382</v>
      </c>
      <c r="P28" s="31">
        <v>4626</v>
      </c>
      <c r="Q28" s="32">
        <v>4806</v>
      </c>
      <c r="R28" s="31">
        <v>4945</v>
      </c>
      <c r="S28" s="32">
        <v>4892</v>
      </c>
      <c r="T28" s="31">
        <v>4879</v>
      </c>
      <c r="U28" s="32">
        <v>4985</v>
      </c>
      <c r="V28" s="31">
        <v>4822</v>
      </c>
      <c r="W28" s="32">
        <v>4901</v>
      </c>
      <c r="X28" s="31">
        <v>4808</v>
      </c>
      <c r="Y28" s="32">
        <v>5327</v>
      </c>
      <c r="Z28" s="31">
        <v>5523</v>
      </c>
      <c r="AA28" s="32">
        <v>5394</v>
      </c>
      <c r="AB28" s="31">
        <v>5167</v>
      </c>
      <c r="AC28" s="32">
        <v>4866</v>
      </c>
      <c r="AD28" s="31">
        <v>4569</v>
      </c>
      <c r="AE28" s="94"/>
      <c r="AH28" s="94"/>
    </row>
    <row r="29" spans="2:34" x14ac:dyDescent="0.25">
      <c r="B29" s="95"/>
      <c r="C29" s="64"/>
      <c r="D29" s="96"/>
      <c r="E29" s="23" t="s">
        <v>21</v>
      </c>
      <c r="F29" s="25">
        <v>4</v>
      </c>
      <c r="G29" s="26">
        <v>4661</v>
      </c>
      <c r="H29" s="27">
        <v>4482</v>
      </c>
      <c r="I29" s="28">
        <v>4374</v>
      </c>
      <c r="J29" s="27">
        <v>4219</v>
      </c>
      <c r="K29" s="28">
        <v>4197</v>
      </c>
      <c r="L29" s="27">
        <v>4056</v>
      </c>
      <c r="M29" s="28">
        <v>3835</v>
      </c>
      <c r="N29" s="27">
        <v>4111</v>
      </c>
      <c r="O29" s="28">
        <v>4470</v>
      </c>
      <c r="P29" s="27">
        <v>4686</v>
      </c>
      <c r="Q29" s="28">
        <v>4852</v>
      </c>
      <c r="R29" s="27">
        <v>5011</v>
      </c>
      <c r="S29" s="28">
        <v>4963</v>
      </c>
      <c r="T29" s="27">
        <v>4893</v>
      </c>
      <c r="U29" s="28">
        <v>4929</v>
      </c>
      <c r="V29" s="27">
        <v>4987</v>
      </c>
      <c r="W29" s="28">
        <v>4982</v>
      </c>
      <c r="X29" s="27">
        <v>4957</v>
      </c>
      <c r="Y29" s="28">
        <v>5485</v>
      </c>
      <c r="Z29" s="27">
        <v>5749</v>
      </c>
      <c r="AA29" s="28">
        <v>5647</v>
      </c>
      <c r="AB29" s="27">
        <v>5418</v>
      </c>
      <c r="AC29" s="28">
        <v>5090</v>
      </c>
      <c r="AD29" s="27">
        <v>4790</v>
      </c>
      <c r="AE29" s="94"/>
      <c r="AH29" s="94"/>
    </row>
    <row r="30" spans="2:34" ht="15.75" thickBot="1" x14ac:dyDescent="0.3">
      <c r="B30" s="97"/>
      <c r="C30" s="65"/>
      <c r="D30" s="99"/>
      <c r="E30" s="24" t="s">
        <v>22</v>
      </c>
      <c r="F30" s="33">
        <v>1</v>
      </c>
      <c r="G30" s="34">
        <v>7689</v>
      </c>
      <c r="H30" s="35">
        <v>7466</v>
      </c>
      <c r="I30" s="36">
        <v>7271</v>
      </c>
      <c r="J30" s="35">
        <v>7085</v>
      </c>
      <c r="K30" s="36">
        <v>7036</v>
      </c>
      <c r="L30" s="35">
        <v>6849</v>
      </c>
      <c r="M30" s="36">
        <v>6713</v>
      </c>
      <c r="N30" s="35">
        <v>7110</v>
      </c>
      <c r="O30" s="36">
        <v>7611</v>
      </c>
      <c r="P30" s="35">
        <v>8031</v>
      </c>
      <c r="Q30" s="36">
        <v>8390</v>
      </c>
      <c r="R30" s="35">
        <v>8729</v>
      </c>
      <c r="S30" s="36">
        <v>9330</v>
      </c>
      <c r="T30" s="35">
        <v>9004</v>
      </c>
      <c r="U30" s="36">
        <v>8939</v>
      </c>
      <c r="V30" s="35">
        <v>9022</v>
      </c>
      <c r="W30" s="36">
        <v>8902</v>
      </c>
      <c r="X30" s="35">
        <v>8820</v>
      </c>
      <c r="Y30" s="36">
        <v>9816</v>
      </c>
      <c r="Z30" s="35">
        <v>10198</v>
      </c>
      <c r="AA30" s="36">
        <v>9989</v>
      </c>
      <c r="AB30" s="35">
        <v>9563</v>
      </c>
      <c r="AC30" s="36">
        <v>8919</v>
      </c>
      <c r="AD30" s="35">
        <v>8384</v>
      </c>
      <c r="AE30" s="94"/>
      <c r="AH30" s="94"/>
    </row>
    <row r="31" spans="2:34" x14ac:dyDescent="0.25">
      <c r="B31" s="95"/>
      <c r="C31" s="62">
        <v>8</v>
      </c>
      <c r="D31" s="106">
        <v>4046743</v>
      </c>
      <c r="E31" s="23" t="s">
        <v>19</v>
      </c>
      <c r="F31" s="25">
        <v>19</v>
      </c>
      <c r="G31" s="26">
        <v>5414</v>
      </c>
      <c r="H31" s="27">
        <v>5220</v>
      </c>
      <c r="I31" s="28">
        <v>5069</v>
      </c>
      <c r="J31" s="27">
        <v>4964</v>
      </c>
      <c r="K31" s="28">
        <v>4937</v>
      </c>
      <c r="L31" s="27">
        <v>4928</v>
      </c>
      <c r="M31" s="28">
        <v>4804</v>
      </c>
      <c r="N31" s="27">
        <v>5231</v>
      </c>
      <c r="O31" s="28">
        <v>5812</v>
      </c>
      <c r="P31" s="27">
        <v>6193</v>
      </c>
      <c r="Q31" s="28">
        <v>6504</v>
      </c>
      <c r="R31" s="27">
        <v>6717</v>
      </c>
      <c r="S31" s="28">
        <v>6365</v>
      </c>
      <c r="T31" s="27">
        <v>6622</v>
      </c>
      <c r="U31" s="28">
        <v>7069</v>
      </c>
      <c r="V31" s="27">
        <v>7072</v>
      </c>
      <c r="W31" s="28">
        <v>6875</v>
      </c>
      <c r="X31" s="27">
        <v>6554</v>
      </c>
      <c r="Y31" s="28">
        <v>7061</v>
      </c>
      <c r="Z31" s="27">
        <v>7250</v>
      </c>
      <c r="AA31" s="28">
        <v>7090</v>
      </c>
      <c r="AB31" s="27">
        <v>6751</v>
      </c>
      <c r="AC31" s="28">
        <v>6235</v>
      </c>
      <c r="AD31" s="27">
        <v>5802</v>
      </c>
      <c r="AE31" s="94"/>
      <c r="AH31" s="94"/>
    </row>
    <row r="32" spans="2:34" x14ac:dyDescent="0.25">
      <c r="B32" s="97"/>
      <c r="C32" s="63"/>
      <c r="D32" s="96"/>
      <c r="E32" s="22" t="s">
        <v>20</v>
      </c>
      <c r="F32" s="29">
        <v>5</v>
      </c>
      <c r="G32" s="30">
        <v>4374</v>
      </c>
      <c r="H32" s="31">
        <v>4206</v>
      </c>
      <c r="I32" s="32">
        <v>4079</v>
      </c>
      <c r="J32" s="31">
        <v>3985</v>
      </c>
      <c r="K32" s="32">
        <v>3917</v>
      </c>
      <c r="L32" s="31">
        <v>3819</v>
      </c>
      <c r="M32" s="32">
        <v>3692</v>
      </c>
      <c r="N32" s="31">
        <v>4006</v>
      </c>
      <c r="O32" s="32">
        <v>4436</v>
      </c>
      <c r="P32" s="31">
        <v>4737</v>
      </c>
      <c r="Q32" s="32">
        <v>4959</v>
      </c>
      <c r="R32" s="31">
        <v>5113</v>
      </c>
      <c r="S32" s="32">
        <v>5027</v>
      </c>
      <c r="T32" s="31">
        <v>5082</v>
      </c>
      <c r="U32" s="32">
        <v>5152</v>
      </c>
      <c r="V32" s="31">
        <v>5127</v>
      </c>
      <c r="W32" s="32">
        <v>5002</v>
      </c>
      <c r="X32" s="31">
        <v>4945</v>
      </c>
      <c r="Y32" s="32">
        <v>5445</v>
      </c>
      <c r="Z32" s="31">
        <v>5574</v>
      </c>
      <c r="AA32" s="32">
        <v>5464</v>
      </c>
      <c r="AB32" s="31">
        <v>5242</v>
      </c>
      <c r="AC32" s="32">
        <v>4929</v>
      </c>
      <c r="AD32" s="31">
        <v>4524</v>
      </c>
      <c r="AE32" s="94"/>
      <c r="AH32" s="94"/>
    </row>
    <row r="33" spans="2:34" x14ac:dyDescent="0.25">
      <c r="B33" s="95"/>
      <c r="C33" s="64"/>
      <c r="D33" s="96"/>
      <c r="E33" s="23" t="s">
        <v>21</v>
      </c>
      <c r="F33" s="25">
        <v>5</v>
      </c>
      <c r="G33" s="26">
        <v>3682</v>
      </c>
      <c r="H33" s="27">
        <v>3576</v>
      </c>
      <c r="I33" s="28">
        <v>3474</v>
      </c>
      <c r="J33" s="27">
        <v>3386</v>
      </c>
      <c r="K33" s="28">
        <v>3332</v>
      </c>
      <c r="L33" s="27">
        <v>3162</v>
      </c>
      <c r="M33" s="28">
        <v>2962</v>
      </c>
      <c r="N33" s="27">
        <v>3126</v>
      </c>
      <c r="O33" s="28">
        <v>3336</v>
      </c>
      <c r="P33" s="27">
        <v>3539</v>
      </c>
      <c r="Q33" s="28">
        <v>3692</v>
      </c>
      <c r="R33" s="27">
        <v>3832</v>
      </c>
      <c r="S33" s="28">
        <v>3864</v>
      </c>
      <c r="T33" s="27">
        <v>3915</v>
      </c>
      <c r="U33" s="28">
        <v>3927</v>
      </c>
      <c r="V33" s="27">
        <v>3934</v>
      </c>
      <c r="W33" s="28">
        <v>3896</v>
      </c>
      <c r="X33" s="27">
        <v>3870</v>
      </c>
      <c r="Y33" s="28">
        <v>4362</v>
      </c>
      <c r="Z33" s="27">
        <v>4553</v>
      </c>
      <c r="AA33" s="28">
        <v>4503</v>
      </c>
      <c r="AB33" s="27">
        <v>4310</v>
      </c>
      <c r="AC33" s="28">
        <v>4031</v>
      </c>
      <c r="AD33" s="27">
        <v>3790</v>
      </c>
      <c r="AE33" s="94"/>
      <c r="AH33" s="94"/>
    </row>
    <row r="34" spans="2:34" ht="15.75" thickBot="1" x14ac:dyDescent="0.3">
      <c r="B34" s="97"/>
      <c r="C34" s="65"/>
      <c r="D34" s="99"/>
      <c r="E34" s="24" t="s">
        <v>22</v>
      </c>
      <c r="F34" s="33">
        <v>2</v>
      </c>
      <c r="G34" s="34">
        <v>4914</v>
      </c>
      <c r="H34" s="35">
        <v>4745</v>
      </c>
      <c r="I34" s="36">
        <v>4606</v>
      </c>
      <c r="J34" s="35">
        <v>4414</v>
      </c>
      <c r="K34" s="36">
        <v>4441</v>
      </c>
      <c r="L34" s="35">
        <v>4335</v>
      </c>
      <c r="M34" s="36">
        <v>4118</v>
      </c>
      <c r="N34" s="35">
        <v>4392</v>
      </c>
      <c r="O34" s="36">
        <v>4732</v>
      </c>
      <c r="P34" s="35">
        <v>5039</v>
      </c>
      <c r="Q34" s="36">
        <v>5347</v>
      </c>
      <c r="R34" s="35">
        <v>5602</v>
      </c>
      <c r="S34" s="36">
        <v>5658</v>
      </c>
      <c r="T34" s="35">
        <v>5638</v>
      </c>
      <c r="U34" s="36">
        <v>5679</v>
      </c>
      <c r="V34" s="35">
        <v>5609</v>
      </c>
      <c r="W34" s="36">
        <v>4619</v>
      </c>
      <c r="X34" s="35">
        <v>5434</v>
      </c>
      <c r="Y34" s="36">
        <v>6044</v>
      </c>
      <c r="Z34" s="35">
        <v>6227</v>
      </c>
      <c r="AA34" s="36">
        <v>6089</v>
      </c>
      <c r="AB34" s="35">
        <v>5822</v>
      </c>
      <c r="AC34" s="36">
        <v>5441</v>
      </c>
      <c r="AD34" s="35">
        <v>5081</v>
      </c>
      <c r="AE34" s="94"/>
      <c r="AH34" s="94"/>
    </row>
    <row r="35" spans="2:34" x14ac:dyDescent="0.25">
      <c r="B35" s="95"/>
      <c r="C35" s="62">
        <v>9</v>
      </c>
      <c r="D35" s="106">
        <v>0</v>
      </c>
      <c r="E35" s="23" t="s">
        <v>19</v>
      </c>
      <c r="F35" s="25">
        <v>22</v>
      </c>
      <c r="G35" s="26">
        <v>0</v>
      </c>
      <c r="H35" s="27">
        <v>0</v>
      </c>
      <c r="I35" s="28">
        <v>0</v>
      </c>
      <c r="J35" s="27">
        <v>0</v>
      </c>
      <c r="K35" s="28">
        <v>0</v>
      </c>
      <c r="L35" s="27">
        <v>0</v>
      </c>
      <c r="M35" s="28">
        <v>0</v>
      </c>
      <c r="N35" s="27">
        <v>0</v>
      </c>
      <c r="O35" s="28">
        <v>0</v>
      </c>
      <c r="P35" s="27">
        <v>0</v>
      </c>
      <c r="Q35" s="28">
        <v>0</v>
      </c>
      <c r="R35" s="27">
        <v>0</v>
      </c>
      <c r="S35" s="28">
        <v>0</v>
      </c>
      <c r="T35" s="27">
        <v>0</v>
      </c>
      <c r="U35" s="28">
        <v>0</v>
      </c>
      <c r="V35" s="27">
        <v>0</v>
      </c>
      <c r="W35" s="28">
        <v>0</v>
      </c>
      <c r="X35" s="27">
        <v>0</v>
      </c>
      <c r="Y35" s="28">
        <v>0</v>
      </c>
      <c r="Z35" s="27">
        <v>0</v>
      </c>
      <c r="AA35" s="28">
        <v>0</v>
      </c>
      <c r="AB35" s="27">
        <v>0</v>
      </c>
      <c r="AC35" s="28">
        <v>0</v>
      </c>
      <c r="AD35" s="27">
        <v>0</v>
      </c>
      <c r="AE35" s="94"/>
      <c r="AH35" s="94"/>
    </row>
    <row r="36" spans="2:34" x14ac:dyDescent="0.25">
      <c r="B36" s="97"/>
      <c r="C36" s="63"/>
      <c r="D36" s="96"/>
      <c r="E36" s="22" t="s">
        <v>20</v>
      </c>
      <c r="F36" s="29">
        <v>4</v>
      </c>
      <c r="G36" s="30">
        <v>0</v>
      </c>
      <c r="H36" s="31">
        <v>0</v>
      </c>
      <c r="I36" s="32">
        <v>0</v>
      </c>
      <c r="J36" s="31">
        <v>0</v>
      </c>
      <c r="K36" s="32">
        <v>0</v>
      </c>
      <c r="L36" s="31">
        <v>0</v>
      </c>
      <c r="M36" s="32">
        <v>0</v>
      </c>
      <c r="N36" s="31">
        <v>0</v>
      </c>
      <c r="O36" s="32">
        <v>0</v>
      </c>
      <c r="P36" s="31">
        <v>0</v>
      </c>
      <c r="Q36" s="32">
        <v>0</v>
      </c>
      <c r="R36" s="31">
        <v>0</v>
      </c>
      <c r="S36" s="32">
        <v>0</v>
      </c>
      <c r="T36" s="31">
        <v>0</v>
      </c>
      <c r="U36" s="32">
        <v>0</v>
      </c>
      <c r="V36" s="31">
        <v>0</v>
      </c>
      <c r="W36" s="32">
        <v>0</v>
      </c>
      <c r="X36" s="31">
        <v>0</v>
      </c>
      <c r="Y36" s="32">
        <v>0</v>
      </c>
      <c r="Z36" s="31">
        <v>0</v>
      </c>
      <c r="AA36" s="32">
        <v>0</v>
      </c>
      <c r="AB36" s="31">
        <v>0</v>
      </c>
      <c r="AC36" s="32">
        <v>0</v>
      </c>
      <c r="AD36" s="31">
        <v>0</v>
      </c>
      <c r="AE36" s="94"/>
      <c r="AH36" s="94"/>
    </row>
    <row r="37" spans="2:34" ht="15.75" thickBot="1" x14ac:dyDescent="0.3">
      <c r="B37" s="95"/>
      <c r="C37" s="98"/>
      <c r="D37" s="99"/>
      <c r="E37" s="100" t="s">
        <v>21</v>
      </c>
      <c r="F37" s="101">
        <v>4</v>
      </c>
      <c r="G37" s="102">
        <v>0</v>
      </c>
      <c r="H37" s="103">
        <v>0</v>
      </c>
      <c r="I37" s="104">
        <v>0</v>
      </c>
      <c r="J37" s="103">
        <v>0</v>
      </c>
      <c r="K37" s="104">
        <v>0</v>
      </c>
      <c r="L37" s="103">
        <v>0</v>
      </c>
      <c r="M37" s="104">
        <v>0</v>
      </c>
      <c r="N37" s="103">
        <v>0</v>
      </c>
      <c r="O37" s="104">
        <v>0</v>
      </c>
      <c r="P37" s="103">
        <v>0</v>
      </c>
      <c r="Q37" s="104">
        <v>0</v>
      </c>
      <c r="R37" s="103">
        <v>0</v>
      </c>
      <c r="S37" s="104">
        <v>0</v>
      </c>
      <c r="T37" s="103">
        <v>0</v>
      </c>
      <c r="U37" s="104">
        <v>0</v>
      </c>
      <c r="V37" s="103">
        <v>0</v>
      </c>
      <c r="W37" s="104">
        <v>0</v>
      </c>
      <c r="X37" s="103">
        <v>0</v>
      </c>
      <c r="Y37" s="104">
        <v>0</v>
      </c>
      <c r="Z37" s="103">
        <v>0</v>
      </c>
      <c r="AA37" s="104">
        <v>0</v>
      </c>
      <c r="AB37" s="103">
        <v>0</v>
      </c>
      <c r="AC37" s="104">
        <v>0</v>
      </c>
      <c r="AD37" s="103">
        <v>0</v>
      </c>
      <c r="AE37" s="94"/>
      <c r="AH37" s="94"/>
    </row>
    <row r="38" spans="2:34" x14ac:dyDescent="0.25">
      <c r="B38" s="97"/>
      <c r="C38" s="107">
        <v>10</v>
      </c>
      <c r="D38" s="106">
        <v>0</v>
      </c>
      <c r="E38" s="22" t="s">
        <v>19</v>
      </c>
      <c r="F38" s="108">
        <v>21</v>
      </c>
      <c r="G38" s="109">
        <v>0</v>
      </c>
      <c r="H38" s="110">
        <v>0</v>
      </c>
      <c r="I38" s="111">
        <v>0</v>
      </c>
      <c r="J38" s="110">
        <v>0</v>
      </c>
      <c r="K38" s="111">
        <v>0</v>
      </c>
      <c r="L38" s="110">
        <v>0</v>
      </c>
      <c r="M38" s="111">
        <v>0</v>
      </c>
      <c r="N38" s="110">
        <v>0</v>
      </c>
      <c r="O38" s="111">
        <v>0</v>
      </c>
      <c r="P38" s="110">
        <v>0</v>
      </c>
      <c r="Q38" s="111">
        <v>0</v>
      </c>
      <c r="R38" s="110">
        <v>0</v>
      </c>
      <c r="S38" s="111">
        <v>0</v>
      </c>
      <c r="T38" s="110">
        <v>0</v>
      </c>
      <c r="U38" s="111">
        <v>0</v>
      </c>
      <c r="V38" s="110">
        <v>0</v>
      </c>
      <c r="W38" s="111">
        <v>0</v>
      </c>
      <c r="X38" s="110">
        <v>0</v>
      </c>
      <c r="Y38" s="111">
        <v>0</v>
      </c>
      <c r="Z38" s="110">
        <v>0</v>
      </c>
      <c r="AA38" s="111">
        <v>0</v>
      </c>
      <c r="AB38" s="110">
        <v>0</v>
      </c>
      <c r="AC38" s="111">
        <v>0</v>
      </c>
      <c r="AD38" s="110">
        <v>0</v>
      </c>
      <c r="AE38" s="94"/>
      <c r="AH38" s="94"/>
    </row>
    <row r="39" spans="2:34" x14ac:dyDescent="0.25">
      <c r="B39" s="95"/>
      <c r="C39" s="64"/>
      <c r="D39" s="96"/>
      <c r="E39" s="23" t="s">
        <v>20</v>
      </c>
      <c r="F39" s="25">
        <v>5</v>
      </c>
      <c r="G39" s="26">
        <v>0</v>
      </c>
      <c r="H39" s="27">
        <v>0</v>
      </c>
      <c r="I39" s="28">
        <v>0</v>
      </c>
      <c r="J39" s="27">
        <v>0</v>
      </c>
      <c r="K39" s="28">
        <v>0</v>
      </c>
      <c r="L39" s="27">
        <v>0</v>
      </c>
      <c r="M39" s="28">
        <v>0</v>
      </c>
      <c r="N39" s="27">
        <v>0</v>
      </c>
      <c r="O39" s="28">
        <v>0</v>
      </c>
      <c r="P39" s="27">
        <v>0</v>
      </c>
      <c r="Q39" s="28">
        <v>0</v>
      </c>
      <c r="R39" s="27">
        <v>0</v>
      </c>
      <c r="S39" s="28">
        <v>0</v>
      </c>
      <c r="T39" s="27">
        <v>0</v>
      </c>
      <c r="U39" s="28">
        <v>0</v>
      </c>
      <c r="V39" s="27">
        <v>0</v>
      </c>
      <c r="W39" s="28">
        <v>0</v>
      </c>
      <c r="X39" s="27">
        <v>0</v>
      </c>
      <c r="Y39" s="28">
        <v>0</v>
      </c>
      <c r="Z39" s="27">
        <v>0</v>
      </c>
      <c r="AA39" s="28">
        <v>0</v>
      </c>
      <c r="AB39" s="27">
        <v>0</v>
      </c>
      <c r="AC39" s="28">
        <v>0</v>
      </c>
      <c r="AD39" s="27">
        <v>0</v>
      </c>
      <c r="AE39" s="94"/>
      <c r="AH39" s="94"/>
    </row>
    <row r="40" spans="2:34" x14ac:dyDescent="0.25">
      <c r="B40" s="97"/>
      <c r="C40" s="63"/>
      <c r="D40" s="96"/>
      <c r="E40" s="22" t="s">
        <v>21</v>
      </c>
      <c r="F40" s="29">
        <v>4</v>
      </c>
      <c r="G40" s="30">
        <v>0</v>
      </c>
      <c r="H40" s="31">
        <v>0</v>
      </c>
      <c r="I40" s="32">
        <v>0</v>
      </c>
      <c r="J40" s="31">
        <v>0</v>
      </c>
      <c r="K40" s="32">
        <v>0</v>
      </c>
      <c r="L40" s="31">
        <v>0</v>
      </c>
      <c r="M40" s="32">
        <v>0</v>
      </c>
      <c r="N40" s="31">
        <v>0</v>
      </c>
      <c r="O40" s="32">
        <v>0</v>
      </c>
      <c r="P40" s="31">
        <v>0</v>
      </c>
      <c r="Q40" s="32">
        <v>0</v>
      </c>
      <c r="R40" s="31">
        <v>0</v>
      </c>
      <c r="S40" s="32">
        <v>0</v>
      </c>
      <c r="T40" s="31">
        <v>0</v>
      </c>
      <c r="U40" s="32">
        <v>0</v>
      </c>
      <c r="V40" s="31">
        <v>0</v>
      </c>
      <c r="W40" s="32">
        <v>0</v>
      </c>
      <c r="X40" s="31">
        <v>0</v>
      </c>
      <c r="Y40" s="32">
        <v>0</v>
      </c>
      <c r="Z40" s="31">
        <v>0</v>
      </c>
      <c r="AA40" s="32">
        <v>0</v>
      </c>
      <c r="AB40" s="31">
        <v>0</v>
      </c>
      <c r="AC40" s="32">
        <v>0</v>
      </c>
      <c r="AD40" s="31">
        <v>0</v>
      </c>
      <c r="AE40" s="94"/>
      <c r="AH40" s="94"/>
    </row>
    <row r="41" spans="2:34" ht="15.75" thickBot="1" x14ac:dyDescent="0.3">
      <c r="B41" s="95"/>
      <c r="C41" s="98"/>
      <c r="D41" s="99"/>
      <c r="E41" s="100" t="s">
        <v>22</v>
      </c>
      <c r="F41" s="101">
        <v>1</v>
      </c>
      <c r="G41" s="102">
        <v>0</v>
      </c>
      <c r="H41" s="103">
        <v>0</v>
      </c>
      <c r="I41" s="104">
        <v>0</v>
      </c>
      <c r="J41" s="103">
        <v>0</v>
      </c>
      <c r="K41" s="104">
        <v>0</v>
      </c>
      <c r="L41" s="103">
        <v>0</v>
      </c>
      <c r="M41" s="104">
        <v>0</v>
      </c>
      <c r="N41" s="103">
        <v>0</v>
      </c>
      <c r="O41" s="104">
        <v>0</v>
      </c>
      <c r="P41" s="103">
        <v>0</v>
      </c>
      <c r="Q41" s="104">
        <v>0</v>
      </c>
      <c r="R41" s="103">
        <v>0</v>
      </c>
      <c r="S41" s="104">
        <v>0</v>
      </c>
      <c r="T41" s="103">
        <v>0</v>
      </c>
      <c r="U41" s="104">
        <v>0</v>
      </c>
      <c r="V41" s="103">
        <v>0</v>
      </c>
      <c r="W41" s="104">
        <v>0</v>
      </c>
      <c r="X41" s="103">
        <v>0</v>
      </c>
      <c r="Y41" s="104">
        <v>0</v>
      </c>
      <c r="Z41" s="103">
        <v>0</v>
      </c>
      <c r="AA41" s="104">
        <v>0</v>
      </c>
      <c r="AB41" s="103">
        <v>0</v>
      </c>
      <c r="AC41" s="104">
        <v>0</v>
      </c>
      <c r="AD41" s="103">
        <v>0</v>
      </c>
      <c r="AE41" s="94"/>
      <c r="AH41" s="94"/>
    </row>
    <row r="42" spans="2:34" x14ac:dyDescent="0.25">
      <c r="B42" s="97"/>
      <c r="C42" s="105">
        <v>11</v>
      </c>
      <c r="D42" s="106">
        <v>0</v>
      </c>
      <c r="E42" s="22" t="s">
        <v>19</v>
      </c>
      <c r="F42" s="29">
        <v>19</v>
      </c>
      <c r="G42" s="30">
        <v>0</v>
      </c>
      <c r="H42" s="31">
        <v>0</v>
      </c>
      <c r="I42" s="32">
        <v>0</v>
      </c>
      <c r="J42" s="31">
        <v>0</v>
      </c>
      <c r="K42" s="32">
        <v>0</v>
      </c>
      <c r="L42" s="31">
        <v>0</v>
      </c>
      <c r="M42" s="32">
        <v>0</v>
      </c>
      <c r="N42" s="31">
        <v>0</v>
      </c>
      <c r="O42" s="32">
        <v>0</v>
      </c>
      <c r="P42" s="31">
        <v>0</v>
      </c>
      <c r="Q42" s="32">
        <v>0</v>
      </c>
      <c r="R42" s="31">
        <v>0</v>
      </c>
      <c r="S42" s="32">
        <v>0</v>
      </c>
      <c r="T42" s="31">
        <v>0</v>
      </c>
      <c r="U42" s="32">
        <v>0</v>
      </c>
      <c r="V42" s="31">
        <v>0</v>
      </c>
      <c r="W42" s="32">
        <v>0</v>
      </c>
      <c r="X42" s="31">
        <v>0</v>
      </c>
      <c r="Y42" s="32">
        <v>0</v>
      </c>
      <c r="Z42" s="31">
        <v>0</v>
      </c>
      <c r="AA42" s="32">
        <v>0</v>
      </c>
      <c r="AB42" s="31">
        <v>0</v>
      </c>
      <c r="AC42" s="32">
        <v>0</v>
      </c>
      <c r="AD42" s="31">
        <v>0</v>
      </c>
      <c r="AE42" s="94"/>
      <c r="AH42" s="94"/>
    </row>
    <row r="43" spans="2:34" x14ac:dyDescent="0.25">
      <c r="B43" s="95"/>
      <c r="C43" s="64"/>
      <c r="D43" s="96"/>
      <c r="E43" s="23" t="s">
        <v>20</v>
      </c>
      <c r="F43" s="25">
        <v>4</v>
      </c>
      <c r="G43" s="26">
        <v>0</v>
      </c>
      <c r="H43" s="27">
        <v>0</v>
      </c>
      <c r="I43" s="28">
        <v>0</v>
      </c>
      <c r="J43" s="27">
        <v>0</v>
      </c>
      <c r="K43" s="28">
        <v>0</v>
      </c>
      <c r="L43" s="27">
        <v>0</v>
      </c>
      <c r="M43" s="28">
        <v>0</v>
      </c>
      <c r="N43" s="27">
        <v>0</v>
      </c>
      <c r="O43" s="28">
        <v>0</v>
      </c>
      <c r="P43" s="27">
        <v>0</v>
      </c>
      <c r="Q43" s="28">
        <v>0</v>
      </c>
      <c r="R43" s="27">
        <v>0</v>
      </c>
      <c r="S43" s="28">
        <v>0</v>
      </c>
      <c r="T43" s="27">
        <v>0</v>
      </c>
      <c r="U43" s="28">
        <v>0</v>
      </c>
      <c r="V43" s="27">
        <v>0</v>
      </c>
      <c r="W43" s="28">
        <v>0</v>
      </c>
      <c r="X43" s="27">
        <v>0</v>
      </c>
      <c r="Y43" s="28">
        <v>0</v>
      </c>
      <c r="Z43" s="27">
        <v>0</v>
      </c>
      <c r="AA43" s="28">
        <v>0</v>
      </c>
      <c r="AB43" s="27">
        <v>0</v>
      </c>
      <c r="AC43" s="28">
        <v>0</v>
      </c>
      <c r="AD43" s="27">
        <v>0</v>
      </c>
      <c r="AE43" s="94"/>
      <c r="AH43" s="94"/>
    </row>
    <row r="44" spans="2:34" x14ac:dyDescent="0.25">
      <c r="B44" s="97"/>
      <c r="C44" s="63"/>
      <c r="D44" s="96"/>
      <c r="E44" s="22" t="s">
        <v>21</v>
      </c>
      <c r="F44" s="29">
        <v>5</v>
      </c>
      <c r="G44" s="30">
        <v>0</v>
      </c>
      <c r="H44" s="31">
        <v>0</v>
      </c>
      <c r="I44" s="32">
        <v>0</v>
      </c>
      <c r="J44" s="31">
        <v>0</v>
      </c>
      <c r="K44" s="32">
        <v>0</v>
      </c>
      <c r="L44" s="31">
        <v>0</v>
      </c>
      <c r="M44" s="32">
        <v>0</v>
      </c>
      <c r="N44" s="31">
        <v>0</v>
      </c>
      <c r="O44" s="32">
        <v>0</v>
      </c>
      <c r="P44" s="31">
        <v>0</v>
      </c>
      <c r="Q44" s="32">
        <v>0</v>
      </c>
      <c r="R44" s="31">
        <v>0</v>
      </c>
      <c r="S44" s="32">
        <v>0</v>
      </c>
      <c r="T44" s="31">
        <v>0</v>
      </c>
      <c r="U44" s="32">
        <v>0</v>
      </c>
      <c r="V44" s="31">
        <v>0</v>
      </c>
      <c r="W44" s="32">
        <v>0</v>
      </c>
      <c r="X44" s="31">
        <v>0</v>
      </c>
      <c r="Y44" s="32">
        <v>0</v>
      </c>
      <c r="Z44" s="31">
        <v>0</v>
      </c>
      <c r="AA44" s="32">
        <v>0</v>
      </c>
      <c r="AB44" s="31">
        <v>0</v>
      </c>
      <c r="AC44" s="32">
        <v>0</v>
      </c>
      <c r="AD44" s="31">
        <v>0</v>
      </c>
      <c r="AE44" s="94"/>
      <c r="AH44" s="94"/>
    </row>
    <row r="45" spans="2:34" ht="15.75" thickBot="1" x14ac:dyDescent="0.3">
      <c r="B45" s="95"/>
      <c r="C45" s="98"/>
      <c r="D45" s="99"/>
      <c r="E45" s="100" t="s">
        <v>22</v>
      </c>
      <c r="F45" s="101">
        <v>2</v>
      </c>
      <c r="G45" s="102">
        <v>0</v>
      </c>
      <c r="H45" s="103">
        <v>0</v>
      </c>
      <c r="I45" s="104">
        <v>0</v>
      </c>
      <c r="J45" s="103">
        <v>0</v>
      </c>
      <c r="K45" s="104">
        <v>0</v>
      </c>
      <c r="L45" s="103">
        <v>0</v>
      </c>
      <c r="M45" s="104">
        <v>0</v>
      </c>
      <c r="N45" s="103">
        <v>0</v>
      </c>
      <c r="O45" s="104">
        <v>0</v>
      </c>
      <c r="P45" s="103">
        <v>0</v>
      </c>
      <c r="Q45" s="104">
        <v>0</v>
      </c>
      <c r="R45" s="103">
        <v>0</v>
      </c>
      <c r="S45" s="104">
        <v>0</v>
      </c>
      <c r="T45" s="103">
        <v>0</v>
      </c>
      <c r="U45" s="104">
        <v>0</v>
      </c>
      <c r="V45" s="103">
        <v>0</v>
      </c>
      <c r="W45" s="104">
        <v>0</v>
      </c>
      <c r="X45" s="103">
        <v>0</v>
      </c>
      <c r="Y45" s="104">
        <v>0</v>
      </c>
      <c r="Z45" s="103">
        <v>0</v>
      </c>
      <c r="AA45" s="104">
        <v>0</v>
      </c>
      <c r="AB45" s="103">
        <v>0</v>
      </c>
      <c r="AC45" s="104">
        <v>0</v>
      </c>
      <c r="AD45" s="103">
        <v>0</v>
      </c>
      <c r="AE45" s="94"/>
      <c r="AH45" s="94"/>
    </row>
    <row r="46" spans="2:34" x14ac:dyDescent="0.25">
      <c r="B46" s="97"/>
      <c r="C46" s="105">
        <v>12</v>
      </c>
      <c r="D46" s="106">
        <v>9840559</v>
      </c>
      <c r="E46" s="22" t="s">
        <v>19</v>
      </c>
      <c r="F46" s="29">
        <v>21</v>
      </c>
      <c r="G46" s="30">
        <v>11957</v>
      </c>
      <c r="H46" s="31">
        <v>11481</v>
      </c>
      <c r="I46" s="32">
        <v>11132</v>
      </c>
      <c r="J46" s="31">
        <v>10843</v>
      </c>
      <c r="K46" s="32">
        <v>10726</v>
      </c>
      <c r="L46" s="31">
        <v>10488</v>
      </c>
      <c r="M46" s="32">
        <v>10119</v>
      </c>
      <c r="N46" s="31">
        <v>11127</v>
      </c>
      <c r="O46" s="32">
        <v>12381</v>
      </c>
      <c r="P46" s="31">
        <v>13294</v>
      </c>
      <c r="Q46" s="32">
        <v>13929</v>
      </c>
      <c r="R46" s="31">
        <v>14385</v>
      </c>
      <c r="S46" s="32">
        <v>13765</v>
      </c>
      <c r="T46" s="31">
        <v>14080</v>
      </c>
      <c r="U46" s="32">
        <v>14922</v>
      </c>
      <c r="V46" s="31">
        <v>14980</v>
      </c>
      <c r="W46" s="32">
        <v>14535</v>
      </c>
      <c r="X46" s="31">
        <v>14258</v>
      </c>
      <c r="Y46" s="32">
        <v>15281</v>
      </c>
      <c r="Z46" s="31">
        <v>15096</v>
      </c>
      <c r="AA46" s="32">
        <v>14759</v>
      </c>
      <c r="AB46" s="31">
        <v>14259</v>
      </c>
      <c r="AC46" s="32">
        <v>13516</v>
      </c>
      <c r="AD46" s="31">
        <v>12762</v>
      </c>
      <c r="AE46" s="94"/>
      <c r="AH46" s="94"/>
    </row>
    <row r="47" spans="2:34" x14ac:dyDescent="0.25">
      <c r="B47" s="95"/>
      <c r="C47" s="64"/>
      <c r="D47" s="96"/>
      <c r="E47" s="23" t="s">
        <v>20</v>
      </c>
      <c r="F47" s="25">
        <v>4</v>
      </c>
      <c r="G47" s="26">
        <v>14819</v>
      </c>
      <c r="H47" s="27">
        <v>14313</v>
      </c>
      <c r="I47" s="28">
        <v>13710</v>
      </c>
      <c r="J47" s="27">
        <v>13356</v>
      </c>
      <c r="K47" s="28">
        <v>13177</v>
      </c>
      <c r="L47" s="27">
        <v>13029</v>
      </c>
      <c r="M47" s="28">
        <v>12428</v>
      </c>
      <c r="N47" s="27">
        <v>13290</v>
      </c>
      <c r="O47" s="28">
        <v>14601</v>
      </c>
      <c r="P47" s="27">
        <v>15499</v>
      </c>
      <c r="Q47" s="28">
        <v>16114</v>
      </c>
      <c r="R47" s="27">
        <v>16313</v>
      </c>
      <c r="S47" s="28">
        <v>15785</v>
      </c>
      <c r="T47" s="27">
        <v>15463</v>
      </c>
      <c r="U47" s="28">
        <v>15635</v>
      </c>
      <c r="V47" s="27">
        <v>15614</v>
      </c>
      <c r="W47" s="28">
        <v>15553</v>
      </c>
      <c r="X47" s="27">
        <v>15846</v>
      </c>
      <c r="Y47" s="28">
        <v>17553</v>
      </c>
      <c r="Z47" s="27">
        <v>17355</v>
      </c>
      <c r="AA47" s="28">
        <v>16954</v>
      </c>
      <c r="AB47" s="27">
        <v>16335</v>
      </c>
      <c r="AC47" s="28">
        <v>15666</v>
      </c>
      <c r="AD47" s="27">
        <v>14898</v>
      </c>
      <c r="AE47" s="94"/>
      <c r="AH47" s="94"/>
    </row>
    <row r="48" spans="2:34" x14ac:dyDescent="0.25">
      <c r="B48" s="97"/>
      <c r="C48" s="63"/>
      <c r="D48" s="96"/>
      <c r="E48" s="22" t="s">
        <v>21</v>
      </c>
      <c r="F48" s="29">
        <v>4</v>
      </c>
      <c r="G48" s="30">
        <v>12312</v>
      </c>
      <c r="H48" s="31">
        <v>11889</v>
      </c>
      <c r="I48" s="32">
        <v>11565</v>
      </c>
      <c r="J48" s="31">
        <v>11169</v>
      </c>
      <c r="K48" s="32">
        <v>10935</v>
      </c>
      <c r="L48" s="31">
        <v>10676</v>
      </c>
      <c r="M48" s="32">
        <v>10058</v>
      </c>
      <c r="N48" s="31">
        <v>10734</v>
      </c>
      <c r="O48" s="32">
        <v>11368</v>
      </c>
      <c r="P48" s="31">
        <v>11958</v>
      </c>
      <c r="Q48" s="32">
        <v>12491</v>
      </c>
      <c r="R48" s="31">
        <v>12832</v>
      </c>
      <c r="S48" s="32">
        <v>13050</v>
      </c>
      <c r="T48" s="31">
        <v>13017</v>
      </c>
      <c r="U48" s="32">
        <v>12973</v>
      </c>
      <c r="V48" s="31">
        <v>12957</v>
      </c>
      <c r="W48" s="32">
        <v>12921</v>
      </c>
      <c r="X48" s="31">
        <v>13233</v>
      </c>
      <c r="Y48" s="32">
        <v>14828</v>
      </c>
      <c r="Z48" s="31">
        <v>14881</v>
      </c>
      <c r="AA48" s="32">
        <v>14473</v>
      </c>
      <c r="AB48" s="31">
        <v>13942</v>
      </c>
      <c r="AC48" s="32">
        <v>13456</v>
      </c>
      <c r="AD48" s="31">
        <v>12684</v>
      </c>
      <c r="AE48" s="94"/>
      <c r="AH48" s="94"/>
    </row>
    <row r="49" spans="2:34" ht="15.75" thickBot="1" x14ac:dyDescent="0.3">
      <c r="B49" s="112"/>
      <c r="C49" s="113"/>
      <c r="D49" s="114"/>
      <c r="E49" s="115" t="s">
        <v>22</v>
      </c>
      <c r="F49" s="116">
        <v>2</v>
      </c>
      <c r="G49" s="117">
        <v>12297</v>
      </c>
      <c r="H49" s="118">
        <v>12062</v>
      </c>
      <c r="I49" s="119">
        <v>11804</v>
      </c>
      <c r="J49" s="118">
        <v>11528</v>
      </c>
      <c r="K49" s="119">
        <v>11342</v>
      </c>
      <c r="L49" s="118">
        <v>10925</v>
      </c>
      <c r="M49" s="119">
        <v>10053</v>
      </c>
      <c r="N49" s="118">
        <v>10311</v>
      </c>
      <c r="O49" s="119">
        <v>10940</v>
      </c>
      <c r="P49" s="118">
        <v>11493</v>
      </c>
      <c r="Q49" s="119">
        <v>11992</v>
      </c>
      <c r="R49" s="118">
        <v>12333</v>
      </c>
      <c r="S49" s="119">
        <v>12233</v>
      </c>
      <c r="T49" s="118">
        <v>12306</v>
      </c>
      <c r="U49" s="119">
        <v>12359</v>
      </c>
      <c r="V49" s="118">
        <v>12428</v>
      </c>
      <c r="W49" s="119">
        <v>12405</v>
      </c>
      <c r="X49" s="118">
        <v>12611</v>
      </c>
      <c r="Y49" s="119">
        <v>14267</v>
      </c>
      <c r="Z49" s="118">
        <v>14443</v>
      </c>
      <c r="AA49" s="119">
        <v>14449</v>
      </c>
      <c r="AB49" s="118">
        <v>14098</v>
      </c>
      <c r="AC49" s="119">
        <v>13510</v>
      </c>
      <c r="AD49" s="118">
        <v>12887</v>
      </c>
      <c r="AE49" s="94"/>
      <c r="AH49" s="94"/>
    </row>
  </sheetData>
  <mergeCells count="25">
    <mergeCell ref="C46:C49"/>
    <mergeCell ref="D46:D49"/>
    <mergeCell ref="C35:C37"/>
    <mergeCell ref="D35:D37"/>
    <mergeCell ref="C38:C41"/>
    <mergeCell ref="D38:D41"/>
    <mergeCell ref="C42:C45"/>
    <mergeCell ref="D42:D45"/>
    <mergeCell ref="D19:D22"/>
    <mergeCell ref="C23:C26"/>
    <mergeCell ref="D23:D26"/>
    <mergeCell ref="C27:C30"/>
    <mergeCell ref="D27:D30"/>
    <mergeCell ref="C31:C34"/>
    <mergeCell ref="D31:D34"/>
    <mergeCell ref="B4:B49"/>
    <mergeCell ref="C4:C7"/>
    <mergeCell ref="D4:D7"/>
    <mergeCell ref="C8:C10"/>
    <mergeCell ref="D8:D10"/>
    <mergeCell ref="C11:C14"/>
    <mergeCell ref="D11:D14"/>
    <mergeCell ref="C15:C18"/>
    <mergeCell ref="D15:D18"/>
    <mergeCell ref="C19:C22"/>
  </mergeCells>
  <conditionalFormatting sqref="D4 D8 D11 D15 D19 D23 D27 D31 D35 D38 D42 D46">
    <cfRule type="containsText" dxfId="0" priority="1" operator="containsText" text="(en blanco)">
      <formula>NOT(ISERROR(SEARCH("(en blanco)",D4)))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DB79-F305-4A35-A2F3-0F798340EBF3}">
  <dimension ref="B1:F21"/>
  <sheetViews>
    <sheetView showGridLines="0" workbookViewId="0">
      <selection activeCell="D15" sqref="D15"/>
    </sheetView>
  </sheetViews>
  <sheetFormatPr baseColWidth="10" defaultRowHeight="15" x14ac:dyDescent="0.25"/>
  <cols>
    <col min="1" max="1" width="8.28515625" customWidth="1"/>
    <col min="2" max="2" width="28.5703125" bestFit="1" customWidth="1"/>
    <col min="3" max="3" width="12.28515625" bestFit="1" customWidth="1"/>
    <col min="4" max="7" width="17.140625" customWidth="1"/>
  </cols>
  <sheetData>
    <row r="1" spans="2:6" ht="23.25" x14ac:dyDescent="0.25">
      <c r="B1" s="120" t="s">
        <v>54</v>
      </c>
      <c r="C1" s="121"/>
      <c r="D1" s="121"/>
      <c r="E1" s="121"/>
      <c r="F1" s="121"/>
    </row>
    <row r="2" spans="2:6" x14ac:dyDescent="0.25">
      <c r="B2" s="122"/>
      <c r="C2" s="123"/>
      <c r="D2" s="123"/>
      <c r="E2" s="123"/>
      <c r="F2" s="123"/>
    </row>
    <row r="3" spans="2:6" ht="15.75" x14ac:dyDescent="0.25">
      <c r="B3" s="124" t="s">
        <v>17</v>
      </c>
      <c r="C3" s="125"/>
      <c r="D3" s="125"/>
      <c r="E3" s="125"/>
      <c r="F3" s="126"/>
    </row>
    <row r="4" spans="2:6" ht="15.75" x14ac:dyDescent="0.25">
      <c r="B4" s="124" t="s">
        <v>52</v>
      </c>
      <c r="C4" s="127"/>
      <c r="D4" s="127"/>
      <c r="E4" s="127"/>
    </row>
    <row r="5" spans="2:6" ht="15.75" x14ac:dyDescent="0.25">
      <c r="B5" s="124" t="s">
        <v>0</v>
      </c>
      <c r="C5" s="128"/>
      <c r="D5" s="128"/>
      <c r="E5" s="128"/>
      <c r="F5" s="126"/>
    </row>
    <row r="6" spans="2:6" ht="15.75" x14ac:dyDescent="0.25">
      <c r="B6" s="124" t="s">
        <v>1</v>
      </c>
      <c r="C6" s="127" t="s">
        <v>2</v>
      </c>
      <c r="D6" s="127"/>
      <c r="E6" s="127"/>
    </row>
    <row r="7" spans="2:6" ht="15.75" x14ac:dyDescent="0.25">
      <c r="B7" s="124" t="s">
        <v>3</v>
      </c>
      <c r="C7" s="127" t="s">
        <v>4</v>
      </c>
      <c r="D7" s="127"/>
      <c r="E7" s="127"/>
    </row>
    <row r="8" spans="2:6" ht="15.75" x14ac:dyDescent="0.25">
      <c r="B8" s="129" t="s">
        <v>5</v>
      </c>
      <c r="C8" s="130" t="s">
        <v>6</v>
      </c>
      <c r="D8" s="130"/>
      <c r="E8" s="130"/>
    </row>
    <row r="9" spans="2:6" ht="16.5" thickBot="1" x14ac:dyDescent="0.3">
      <c r="B9" s="129"/>
      <c r="C9" s="131"/>
      <c r="D9" s="130"/>
      <c r="E9" s="130"/>
    </row>
    <row r="10" spans="2:6" ht="45.75" customHeight="1" thickBot="1" x14ac:dyDescent="0.3">
      <c r="B10" s="132" t="s">
        <v>23</v>
      </c>
      <c r="C10" s="133" t="s">
        <v>7</v>
      </c>
      <c r="D10" s="134" t="s">
        <v>8</v>
      </c>
      <c r="E10" s="133" t="s">
        <v>9</v>
      </c>
      <c r="F10" s="135" t="s">
        <v>10</v>
      </c>
    </row>
    <row r="11" spans="2:6" ht="15.75" x14ac:dyDescent="0.25">
      <c r="B11" s="136">
        <v>2027</v>
      </c>
      <c r="C11" s="137">
        <f>SUM('[2]Curva 2027'!D4:D48)</f>
        <v>99949645</v>
      </c>
      <c r="D11" s="76"/>
      <c r="E11" s="76"/>
      <c r="F11" s="138"/>
    </row>
    <row r="12" spans="2:6" ht="15.75" x14ac:dyDescent="0.25">
      <c r="B12" s="139">
        <v>2028</v>
      </c>
      <c r="C12" s="140">
        <f>SUM('[2]Curva 2028'!D4:D49)</f>
        <v>37613272</v>
      </c>
      <c r="D12" s="80"/>
      <c r="E12" s="80"/>
      <c r="F12" s="141"/>
    </row>
    <row r="13" spans="2:6" ht="16.5" thickBot="1" x14ac:dyDescent="0.3">
      <c r="B13" s="142" t="s">
        <v>11</v>
      </c>
      <c r="C13" s="143">
        <f>SUM(C11:C12)</f>
        <v>137562917</v>
      </c>
      <c r="D13" s="144"/>
      <c r="E13" s="145">
        <v>0</v>
      </c>
      <c r="F13" s="146"/>
    </row>
    <row r="14" spans="2:6" ht="15.75" x14ac:dyDescent="0.25">
      <c r="B14" s="147"/>
      <c r="C14" s="148"/>
      <c r="D14" s="148"/>
      <c r="E14" s="148"/>
      <c r="F14" s="148"/>
    </row>
    <row r="15" spans="2:6" ht="15.75" x14ac:dyDescent="0.25">
      <c r="B15" s="149" t="s">
        <v>12</v>
      </c>
      <c r="C15" s="150"/>
      <c r="D15" s="150"/>
    </row>
    <row r="17" spans="2:6" ht="15.75" x14ac:dyDescent="0.25">
      <c r="B17" s="151" t="s">
        <v>53</v>
      </c>
      <c r="C17" s="151"/>
      <c r="D17" s="151"/>
      <c r="E17" s="151"/>
      <c r="F17" s="151"/>
    </row>
    <row r="18" spans="2:6" ht="15.75" x14ac:dyDescent="0.25">
      <c r="B18" s="151" t="s">
        <v>13</v>
      </c>
      <c r="C18" s="151"/>
      <c r="D18" s="151"/>
      <c r="E18" s="151"/>
      <c r="F18" s="151"/>
    </row>
    <row r="19" spans="2:6" ht="15.75" x14ac:dyDescent="0.25">
      <c r="B19" s="152" t="s">
        <v>14</v>
      </c>
    </row>
    <row r="20" spans="2:6" x14ac:dyDescent="0.25">
      <c r="B20" s="153" t="s">
        <v>15</v>
      </c>
      <c r="C20" s="58"/>
      <c r="D20" s="58"/>
      <c r="E20" s="58"/>
      <c r="F20" s="58"/>
    </row>
    <row r="21" spans="2:6" x14ac:dyDescent="0.25">
      <c r="B21" s="58"/>
      <c r="C21" s="58"/>
      <c r="D21" s="58"/>
      <c r="E21" s="58"/>
      <c r="F21" s="58"/>
    </row>
  </sheetData>
  <mergeCells count="4">
    <mergeCell ref="F11:F12"/>
    <mergeCell ref="B17:F17"/>
    <mergeCell ref="B18:F18"/>
    <mergeCell ref="B20:F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FE3D-435D-43B8-AD1C-5D85BC07BDBF}">
  <dimension ref="B1:AD48"/>
  <sheetViews>
    <sheetView showGridLines="0" topLeftCell="A24" workbookViewId="0">
      <selection activeCell="D4" sqref="D4:D48"/>
    </sheetView>
  </sheetViews>
  <sheetFormatPr baseColWidth="10" defaultRowHeight="15" x14ac:dyDescent="0.25"/>
  <cols>
    <col min="1" max="1" width="3.7109375" customWidth="1"/>
    <col min="2" max="2" width="6" customWidth="1"/>
    <col min="3" max="3" width="3.42578125" bestFit="1" customWidth="1"/>
    <col min="4" max="4" width="9.140625" customWidth="1"/>
    <col min="5" max="5" width="2.7109375" bestFit="1" customWidth="1"/>
    <col min="6" max="6" width="2.5703125" bestFit="1" customWidth="1"/>
    <col min="7" max="30" width="5.7109375" bestFit="1" customWidth="1"/>
  </cols>
  <sheetData>
    <row r="1" spans="2:30" ht="15.75" x14ac:dyDescent="0.25">
      <c r="B1" s="154" t="s">
        <v>55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2" spans="2:30" ht="15.75" thickBot="1" x14ac:dyDescent="0.3"/>
    <row r="3" spans="2:30" ht="15.75" thickBot="1" x14ac:dyDescent="0.3">
      <c r="B3" s="156" t="s">
        <v>23</v>
      </c>
      <c r="C3" s="156" t="s">
        <v>18</v>
      </c>
      <c r="D3" s="157" t="s">
        <v>56</v>
      </c>
      <c r="E3" s="156" t="s">
        <v>57</v>
      </c>
      <c r="F3" s="156" t="s">
        <v>58</v>
      </c>
      <c r="G3" s="158" t="s">
        <v>59</v>
      </c>
      <c r="H3" s="158" t="s">
        <v>60</v>
      </c>
      <c r="I3" s="158" t="s">
        <v>61</v>
      </c>
      <c r="J3" s="158" t="s">
        <v>62</v>
      </c>
      <c r="K3" s="158" t="s">
        <v>63</v>
      </c>
      <c r="L3" s="158" t="s">
        <v>64</v>
      </c>
      <c r="M3" s="158" t="s">
        <v>65</v>
      </c>
      <c r="N3" s="158" t="s">
        <v>66</v>
      </c>
      <c r="O3" s="158" t="s">
        <v>67</v>
      </c>
      <c r="P3" s="158" t="s">
        <v>68</v>
      </c>
      <c r="Q3" s="158" t="s">
        <v>69</v>
      </c>
      <c r="R3" s="158" t="s">
        <v>70</v>
      </c>
      <c r="S3" s="158" t="s">
        <v>71</v>
      </c>
      <c r="T3" s="158" t="s">
        <v>72</v>
      </c>
      <c r="U3" s="158" t="s">
        <v>73</v>
      </c>
      <c r="V3" s="158" t="s">
        <v>74</v>
      </c>
      <c r="W3" s="158" t="s">
        <v>75</v>
      </c>
      <c r="X3" s="158" t="s">
        <v>76</v>
      </c>
      <c r="Y3" s="158" t="s">
        <v>77</v>
      </c>
      <c r="Z3" s="158" t="s">
        <v>78</v>
      </c>
      <c r="AA3" s="158" t="s">
        <v>79</v>
      </c>
      <c r="AB3" s="158" t="s">
        <v>80</v>
      </c>
      <c r="AC3" s="158" t="s">
        <v>81</v>
      </c>
      <c r="AD3" s="158" t="s">
        <v>82</v>
      </c>
    </row>
    <row r="4" spans="2:30" ht="15" customHeight="1" x14ac:dyDescent="0.25">
      <c r="B4" s="159">
        <v>2027</v>
      </c>
      <c r="C4" s="160">
        <v>1</v>
      </c>
      <c r="D4" s="161">
        <v>9691349</v>
      </c>
      <c r="E4" s="162" t="s">
        <v>19</v>
      </c>
      <c r="F4" s="163">
        <v>19</v>
      </c>
      <c r="G4" s="164">
        <v>13396</v>
      </c>
      <c r="H4" s="165">
        <v>12852</v>
      </c>
      <c r="I4" s="165">
        <v>12437</v>
      </c>
      <c r="J4" s="165">
        <v>12145</v>
      </c>
      <c r="K4" s="165">
        <v>12000</v>
      </c>
      <c r="L4" s="165">
        <v>11902</v>
      </c>
      <c r="M4" s="165">
        <v>11195</v>
      </c>
      <c r="N4" s="165">
        <v>12194</v>
      </c>
      <c r="O4" s="165">
        <v>13564</v>
      </c>
      <c r="P4" s="165">
        <v>14439</v>
      </c>
      <c r="Q4" s="165">
        <v>15145</v>
      </c>
      <c r="R4" s="165">
        <v>15615</v>
      </c>
      <c r="S4" s="165">
        <v>14979</v>
      </c>
      <c r="T4" s="165">
        <v>15609</v>
      </c>
      <c r="U4" s="165">
        <v>16706</v>
      </c>
      <c r="V4" s="165">
        <v>16804</v>
      </c>
      <c r="W4" s="165">
        <v>16410</v>
      </c>
      <c r="X4" s="165">
        <v>15745</v>
      </c>
      <c r="Y4" s="165">
        <v>16914</v>
      </c>
      <c r="Z4" s="165">
        <v>17142</v>
      </c>
      <c r="AA4" s="165">
        <v>16782</v>
      </c>
      <c r="AB4" s="165">
        <v>16200</v>
      </c>
      <c r="AC4" s="165">
        <v>15251</v>
      </c>
      <c r="AD4" s="165">
        <v>14254</v>
      </c>
    </row>
    <row r="5" spans="2:30" ht="15" customHeight="1" x14ac:dyDescent="0.25">
      <c r="B5" s="166">
        <v>2027</v>
      </c>
      <c r="C5" s="167">
        <v>1</v>
      </c>
      <c r="D5" s="168"/>
      <c r="E5" s="162" t="s">
        <v>20</v>
      </c>
      <c r="F5" s="163">
        <v>5</v>
      </c>
      <c r="G5" s="169">
        <v>9912</v>
      </c>
      <c r="H5" s="170">
        <v>9527</v>
      </c>
      <c r="I5" s="170">
        <v>9223</v>
      </c>
      <c r="J5" s="170">
        <v>8983</v>
      </c>
      <c r="K5" s="170">
        <v>8857</v>
      </c>
      <c r="L5" s="170">
        <v>8742</v>
      </c>
      <c r="M5" s="170">
        <v>8209</v>
      </c>
      <c r="N5" s="170">
        <v>8865</v>
      </c>
      <c r="O5" s="170">
        <v>9802</v>
      </c>
      <c r="P5" s="170">
        <v>10445</v>
      </c>
      <c r="Q5" s="170">
        <v>10868</v>
      </c>
      <c r="R5" s="170">
        <v>11192</v>
      </c>
      <c r="S5" s="170">
        <v>10963</v>
      </c>
      <c r="T5" s="170">
        <v>10894</v>
      </c>
      <c r="U5" s="170">
        <v>10849</v>
      </c>
      <c r="V5" s="170">
        <v>10975</v>
      </c>
      <c r="W5" s="170">
        <v>10781</v>
      </c>
      <c r="X5" s="170">
        <v>10706</v>
      </c>
      <c r="Y5" s="170">
        <v>11928</v>
      </c>
      <c r="Z5" s="170">
        <v>12115</v>
      </c>
      <c r="AA5" s="170">
        <v>11834</v>
      </c>
      <c r="AB5" s="170">
        <v>11439</v>
      </c>
      <c r="AC5" s="170">
        <v>10829</v>
      </c>
      <c r="AD5" s="170">
        <v>10276</v>
      </c>
    </row>
    <row r="6" spans="2:30" ht="15" customHeight="1" x14ac:dyDescent="0.25">
      <c r="B6" s="166">
        <v>2027</v>
      </c>
      <c r="C6" s="167">
        <v>1</v>
      </c>
      <c r="D6" s="168"/>
      <c r="E6" s="162" t="s">
        <v>21</v>
      </c>
      <c r="F6" s="163">
        <v>5</v>
      </c>
      <c r="G6" s="169">
        <v>10355</v>
      </c>
      <c r="H6" s="170">
        <v>9926</v>
      </c>
      <c r="I6" s="170">
        <v>9602</v>
      </c>
      <c r="J6" s="170">
        <v>9368</v>
      </c>
      <c r="K6" s="170">
        <v>9236</v>
      </c>
      <c r="L6" s="170">
        <v>9087</v>
      </c>
      <c r="M6" s="170">
        <v>8365</v>
      </c>
      <c r="N6" s="170">
        <v>8729</v>
      </c>
      <c r="O6" s="170">
        <v>9272</v>
      </c>
      <c r="P6" s="170">
        <v>9683</v>
      </c>
      <c r="Q6" s="170">
        <v>10073</v>
      </c>
      <c r="R6" s="170">
        <v>10362</v>
      </c>
      <c r="S6" s="170">
        <v>10433</v>
      </c>
      <c r="T6" s="170">
        <v>10416</v>
      </c>
      <c r="U6" s="170">
        <v>10361</v>
      </c>
      <c r="V6" s="170">
        <v>10401</v>
      </c>
      <c r="W6" s="170">
        <v>10464</v>
      </c>
      <c r="X6" s="170">
        <v>10528</v>
      </c>
      <c r="Y6" s="170">
        <v>11984</v>
      </c>
      <c r="Z6" s="170">
        <v>12424</v>
      </c>
      <c r="AA6" s="170">
        <v>12358</v>
      </c>
      <c r="AB6" s="170">
        <v>11926</v>
      </c>
      <c r="AC6" s="170">
        <v>11315</v>
      </c>
      <c r="AD6" s="170">
        <v>10627</v>
      </c>
    </row>
    <row r="7" spans="2:30" ht="15" customHeight="1" thickBot="1" x14ac:dyDescent="0.3">
      <c r="B7" s="166">
        <v>2027</v>
      </c>
      <c r="C7" s="171">
        <v>1</v>
      </c>
      <c r="D7" s="172"/>
      <c r="E7" s="162" t="s">
        <v>22</v>
      </c>
      <c r="F7" s="163">
        <v>2</v>
      </c>
      <c r="G7" s="173">
        <v>11542</v>
      </c>
      <c r="H7" s="174">
        <v>11247</v>
      </c>
      <c r="I7" s="174">
        <v>10986</v>
      </c>
      <c r="J7" s="174">
        <v>10780</v>
      </c>
      <c r="K7" s="174">
        <v>10631</v>
      </c>
      <c r="L7" s="174">
        <v>10383</v>
      </c>
      <c r="M7" s="174">
        <v>9601</v>
      </c>
      <c r="N7" s="174">
        <v>10026</v>
      </c>
      <c r="O7" s="174">
        <v>10726</v>
      </c>
      <c r="P7" s="174">
        <v>11356</v>
      </c>
      <c r="Q7" s="174">
        <v>11763</v>
      </c>
      <c r="R7" s="174">
        <v>12097</v>
      </c>
      <c r="S7" s="174">
        <v>12109</v>
      </c>
      <c r="T7" s="174">
        <v>11974</v>
      </c>
      <c r="U7" s="174">
        <v>11948</v>
      </c>
      <c r="V7" s="174">
        <v>11942</v>
      </c>
      <c r="W7" s="174">
        <v>11922</v>
      </c>
      <c r="X7" s="174">
        <v>12085</v>
      </c>
      <c r="Y7" s="174">
        <v>13894</v>
      </c>
      <c r="Z7" s="174">
        <v>14288</v>
      </c>
      <c r="AA7" s="174">
        <v>14203</v>
      </c>
      <c r="AB7" s="174">
        <v>13773</v>
      </c>
      <c r="AC7" s="174">
        <v>13156</v>
      </c>
      <c r="AD7" s="174">
        <v>12510</v>
      </c>
    </row>
    <row r="8" spans="2:30" ht="15" customHeight="1" x14ac:dyDescent="0.25">
      <c r="B8" s="166">
        <v>2027</v>
      </c>
      <c r="C8" s="175">
        <v>2</v>
      </c>
      <c r="D8" s="161">
        <v>10413688</v>
      </c>
      <c r="E8" s="162" t="s">
        <v>19</v>
      </c>
      <c r="F8" s="163">
        <v>20</v>
      </c>
      <c r="G8" s="169">
        <v>14575</v>
      </c>
      <c r="H8" s="170">
        <v>14032</v>
      </c>
      <c r="I8" s="170">
        <v>13591</v>
      </c>
      <c r="J8" s="170">
        <v>13257</v>
      </c>
      <c r="K8" s="170">
        <v>13091</v>
      </c>
      <c r="L8" s="170">
        <v>13372</v>
      </c>
      <c r="M8" s="170">
        <v>12668</v>
      </c>
      <c r="N8" s="170">
        <v>13560</v>
      </c>
      <c r="O8" s="170">
        <v>14891</v>
      </c>
      <c r="P8" s="170">
        <v>15724</v>
      </c>
      <c r="Q8" s="170">
        <v>16380</v>
      </c>
      <c r="R8" s="170">
        <v>16820</v>
      </c>
      <c r="S8" s="170">
        <v>15898</v>
      </c>
      <c r="T8" s="170">
        <v>16668</v>
      </c>
      <c r="U8" s="170">
        <v>18044</v>
      </c>
      <c r="V8" s="170">
        <v>18248</v>
      </c>
      <c r="W8" s="170">
        <v>17852</v>
      </c>
      <c r="X8" s="170">
        <v>17096</v>
      </c>
      <c r="Y8" s="170">
        <v>18194</v>
      </c>
      <c r="Z8" s="170">
        <v>18577</v>
      </c>
      <c r="AA8" s="170">
        <v>18353</v>
      </c>
      <c r="AB8" s="170">
        <v>17695</v>
      </c>
      <c r="AC8" s="170">
        <v>16561</v>
      </c>
      <c r="AD8" s="170">
        <v>15481</v>
      </c>
    </row>
    <row r="9" spans="2:30" ht="15" customHeight="1" x14ac:dyDescent="0.25">
      <c r="B9" s="166">
        <v>2027</v>
      </c>
      <c r="C9" s="167">
        <v>2</v>
      </c>
      <c r="D9" s="168"/>
      <c r="E9" s="162" t="s">
        <v>20</v>
      </c>
      <c r="F9" s="163">
        <v>4</v>
      </c>
      <c r="G9" s="169">
        <v>14291</v>
      </c>
      <c r="H9" s="170">
        <v>13769</v>
      </c>
      <c r="I9" s="170">
        <v>13376</v>
      </c>
      <c r="J9" s="170">
        <v>13054</v>
      </c>
      <c r="K9" s="170">
        <v>12873</v>
      </c>
      <c r="L9" s="170">
        <v>12743</v>
      </c>
      <c r="M9" s="170">
        <v>11988</v>
      </c>
      <c r="N9" s="170">
        <v>12770</v>
      </c>
      <c r="O9" s="170">
        <v>14063</v>
      </c>
      <c r="P9" s="170">
        <v>15020</v>
      </c>
      <c r="Q9" s="170">
        <v>15690</v>
      </c>
      <c r="R9" s="170">
        <v>16053</v>
      </c>
      <c r="S9" s="170">
        <v>15766</v>
      </c>
      <c r="T9" s="170">
        <v>15611</v>
      </c>
      <c r="U9" s="170">
        <v>15862</v>
      </c>
      <c r="V9" s="170">
        <v>15842</v>
      </c>
      <c r="W9" s="170">
        <v>15626</v>
      </c>
      <c r="X9" s="170">
        <v>15347</v>
      </c>
      <c r="Y9" s="170">
        <v>16950</v>
      </c>
      <c r="Z9" s="170">
        <v>17307</v>
      </c>
      <c r="AA9" s="170">
        <v>17011</v>
      </c>
      <c r="AB9" s="170">
        <v>16325</v>
      </c>
      <c r="AC9" s="170">
        <v>15534</v>
      </c>
      <c r="AD9" s="170">
        <v>14740</v>
      </c>
    </row>
    <row r="10" spans="2:30" ht="15" customHeight="1" thickBot="1" x14ac:dyDescent="0.3">
      <c r="B10" s="166">
        <v>2027</v>
      </c>
      <c r="C10" s="171">
        <v>2</v>
      </c>
      <c r="D10" s="168"/>
      <c r="E10" s="162" t="s">
        <v>21</v>
      </c>
      <c r="F10" s="163">
        <v>4</v>
      </c>
      <c r="G10" s="173">
        <v>14110</v>
      </c>
      <c r="H10" s="174">
        <v>13637</v>
      </c>
      <c r="I10" s="174">
        <v>13232</v>
      </c>
      <c r="J10" s="174">
        <v>12940</v>
      </c>
      <c r="K10" s="174">
        <v>12752</v>
      </c>
      <c r="L10" s="174">
        <v>12552</v>
      </c>
      <c r="M10" s="174">
        <v>11488</v>
      </c>
      <c r="N10" s="174">
        <v>12004</v>
      </c>
      <c r="O10" s="174">
        <v>12636</v>
      </c>
      <c r="P10" s="174">
        <v>13253</v>
      </c>
      <c r="Q10" s="174">
        <v>13808</v>
      </c>
      <c r="R10" s="174">
        <v>14327</v>
      </c>
      <c r="S10" s="174">
        <v>14429</v>
      </c>
      <c r="T10" s="174">
        <v>14476</v>
      </c>
      <c r="U10" s="174">
        <v>14633</v>
      </c>
      <c r="V10" s="174">
        <v>14782</v>
      </c>
      <c r="W10" s="174">
        <v>14690</v>
      </c>
      <c r="X10" s="174">
        <v>14693</v>
      </c>
      <c r="Y10" s="174">
        <v>16469</v>
      </c>
      <c r="Z10" s="174">
        <v>17219</v>
      </c>
      <c r="AA10" s="174">
        <v>17312</v>
      </c>
      <c r="AB10" s="174">
        <v>16716</v>
      </c>
      <c r="AC10" s="174">
        <v>15760</v>
      </c>
      <c r="AD10" s="174">
        <v>14753</v>
      </c>
    </row>
    <row r="11" spans="2:30" ht="15" customHeight="1" x14ac:dyDescent="0.25">
      <c r="B11" s="166">
        <v>2027</v>
      </c>
      <c r="C11" s="175">
        <v>3</v>
      </c>
      <c r="D11" s="161">
        <v>11086263</v>
      </c>
      <c r="E11" s="162" t="s">
        <v>19</v>
      </c>
      <c r="F11" s="163">
        <v>20</v>
      </c>
      <c r="G11" s="169">
        <v>14329</v>
      </c>
      <c r="H11" s="170">
        <v>13772</v>
      </c>
      <c r="I11" s="170">
        <v>13387</v>
      </c>
      <c r="J11" s="170">
        <v>13058</v>
      </c>
      <c r="K11" s="170">
        <v>12906</v>
      </c>
      <c r="L11" s="170">
        <v>13028</v>
      </c>
      <c r="M11" s="170">
        <v>12399</v>
      </c>
      <c r="N11" s="170">
        <v>13347</v>
      </c>
      <c r="O11" s="170">
        <v>14634</v>
      </c>
      <c r="P11" s="170">
        <v>15467</v>
      </c>
      <c r="Q11" s="170">
        <v>16164</v>
      </c>
      <c r="R11" s="170">
        <v>16642</v>
      </c>
      <c r="S11" s="170">
        <v>15705</v>
      </c>
      <c r="T11" s="170">
        <v>16381</v>
      </c>
      <c r="U11" s="170">
        <v>17562</v>
      </c>
      <c r="V11" s="170">
        <v>17749</v>
      </c>
      <c r="W11" s="170">
        <v>17323</v>
      </c>
      <c r="X11" s="170">
        <v>16625</v>
      </c>
      <c r="Y11" s="170">
        <v>17858</v>
      </c>
      <c r="Z11" s="170">
        <v>18192</v>
      </c>
      <c r="AA11" s="170">
        <v>17923</v>
      </c>
      <c r="AB11" s="170">
        <v>17232</v>
      </c>
      <c r="AC11" s="170">
        <v>16133</v>
      </c>
      <c r="AD11" s="170">
        <v>15170</v>
      </c>
    </row>
    <row r="12" spans="2:30" ht="15" customHeight="1" x14ac:dyDescent="0.25">
      <c r="B12" s="166">
        <v>2027</v>
      </c>
      <c r="C12" s="167">
        <v>3</v>
      </c>
      <c r="D12" s="168"/>
      <c r="E12" s="162" t="s">
        <v>20</v>
      </c>
      <c r="F12" s="163">
        <v>4</v>
      </c>
      <c r="G12" s="169">
        <v>15966</v>
      </c>
      <c r="H12" s="170">
        <v>15403</v>
      </c>
      <c r="I12" s="170">
        <v>14960</v>
      </c>
      <c r="J12" s="170">
        <v>14586</v>
      </c>
      <c r="K12" s="170">
        <v>14325</v>
      </c>
      <c r="L12" s="170">
        <v>14140</v>
      </c>
      <c r="M12" s="170">
        <v>13377</v>
      </c>
      <c r="N12" s="170">
        <v>14233</v>
      </c>
      <c r="O12" s="170">
        <v>15705</v>
      </c>
      <c r="P12" s="170">
        <v>16734</v>
      </c>
      <c r="Q12" s="170">
        <v>17557</v>
      </c>
      <c r="R12" s="170">
        <v>17981</v>
      </c>
      <c r="S12" s="170">
        <v>17471</v>
      </c>
      <c r="T12" s="170">
        <v>17240</v>
      </c>
      <c r="U12" s="170">
        <v>17353</v>
      </c>
      <c r="V12" s="170">
        <v>17463</v>
      </c>
      <c r="W12" s="170">
        <v>17115</v>
      </c>
      <c r="X12" s="170">
        <v>16988</v>
      </c>
      <c r="Y12" s="170">
        <v>18951</v>
      </c>
      <c r="Z12" s="170">
        <v>19246</v>
      </c>
      <c r="AA12" s="170">
        <v>18856</v>
      </c>
      <c r="AB12" s="170">
        <v>18258</v>
      </c>
      <c r="AC12" s="170">
        <v>17393</v>
      </c>
      <c r="AD12" s="170">
        <v>16614</v>
      </c>
    </row>
    <row r="13" spans="2:30" ht="15" customHeight="1" x14ac:dyDescent="0.25">
      <c r="B13" s="166">
        <v>2027</v>
      </c>
      <c r="C13" s="167">
        <v>3</v>
      </c>
      <c r="D13" s="168"/>
      <c r="E13" s="162" t="s">
        <v>21</v>
      </c>
      <c r="F13" s="163">
        <v>4</v>
      </c>
      <c r="G13" s="169">
        <v>15778</v>
      </c>
      <c r="H13" s="170">
        <v>15270</v>
      </c>
      <c r="I13" s="170">
        <v>14822</v>
      </c>
      <c r="J13" s="170">
        <v>14488</v>
      </c>
      <c r="K13" s="170">
        <v>14240</v>
      </c>
      <c r="L13" s="170">
        <v>13902</v>
      </c>
      <c r="M13" s="170">
        <v>13011</v>
      </c>
      <c r="N13" s="170">
        <v>13574</v>
      </c>
      <c r="O13" s="170">
        <v>13901</v>
      </c>
      <c r="P13" s="170">
        <v>14059</v>
      </c>
      <c r="Q13" s="170">
        <v>15164</v>
      </c>
      <c r="R13" s="170">
        <v>15781</v>
      </c>
      <c r="S13" s="170">
        <v>16022</v>
      </c>
      <c r="T13" s="170">
        <v>15997</v>
      </c>
      <c r="U13" s="170">
        <v>16281</v>
      </c>
      <c r="V13" s="170">
        <v>16058</v>
      </c>
      <c r="W13" s="170">
        <v>15784</v>
      </c>
      <c r="X13" s="170">
        <v>16240</v>
      </c>
      <c r="Y13" s="170">
        <v>18308</v>
      </c>
      <c r="Z13" s="170">
        <v>18972</v>
      </c>
      <c r="AA13" s="170">
        <v>18974</v>
      </c>
      <c r="AB13" s="170">
        <v>18410</v>
      </c>
      <c r="AC13" s="170">
        <v>17517</v>
      </c>
      <c r="AD13" s="170">
        <v>16363</v>
      </c>
    </row>
    <row r="14" spans="2:30" ht="15" customHeight="1" thickBot="1" x14ac:dyDescent="0.3">
      <c r="B14" s="166">
        <v>2027</v>
      </c>
      <c r="C14" s="171">
        <v>3</v>
      </c>
      <c r="D14" s="172"/>
      <c r="E14" s="162" t="s">
        <v>22</v>
      </c>
      <c r="F14" s="163">
        <v>3</v>
      </c>
      <c r="G14" s="173">
        <v>7017</v>
      </c>
      <c r="H14" s="174">
        <v>6721</v>
      </c>
      <c r="I14" s="174">
        <v>6517</v>
      </c>
      <c r="J14" s="174">
        <v>6368</v>
      </c>
      <c r="K14" s="174">
        <v>6290</v>
      </c>
      <c r="L14" s="174">
        <v>6114</v>
      </c>
      <c r="M14" s="174">
        <v>5813</v>
      </c>
      <c r="N14" s="174">
        <v>6098</v>
      </c>
      <c r="O14" s="174">
        <v>6454</v>
      </c>
      <c r="P14" s="174">
        <v>6769</v>
      </c>
      <c r="Q14" s="174">
        <v>7085</v>
      </c>
      <c r="R14" s="174">
        <v>7426</v>
      </c>
      <c r="S14" s="174">
        <v>7522</v>
      </c>
      <c r="T14" s="174">
        <v>7552</v>
      </c>
      <c r="U14" s="174">
        <v>7547</v>
      </c>
      <c r="V14" s="174">
        <v>7539</v>
      </c>
      <c r="W14" s="174">
        <v>7454</v>
      </c>
      <c r="X14" s="174">
        <v>7444</v>
      </c>
      <c r="Y14" s="174">
        <v>8375</v>
      </c>
      <c r="Z14" s="174">
        <v>8681</v>
      </c>
      <c r="AA14" s="174">
        <v>8655</v>
      </c>
      <c r="AB14" s="174">
        <v>8379</v>
      </c>
      <c r="AC14" s="174">
        <v>7898</v>
      </c>
      <c r="AD14" s="174">
        <v>7355</v>
      </c>
    </row>
    <row r="15" spans="2:30" ht="15" customHeight="1" x14ac:dyDescent="0.25">
      <c r="B15" s="166">
        <v>2027</v>
      </c>
      <c r="C15" s="175">
        <v>4</v>
      </c>
      <c r="D15" s="161">
        <v>9340640</v>
      </c>
      <c r="E15" s="162" t="s">
        <v>19</v>
      </c>
      <c r="F15" s="163">
        <v>22</v>
      </c>
      <c r="G15" s="169">
        <v>11232</v>
      </c>
      <c r="H15" s="170">
        <v>10867</v>
      </c>
      <c r="I15" s="170">
        <v>10588</v>
      </c>
      <c r="J15" s="170">
        <v>10345</v>
      </c>
      <c r="K15" s="170">
        <v>10277</v>
      </c>
      <c r="L15" s="170">
        <v>10233</v>
      </c>
      <c r="M15" s="170">
        <v>9957</v>
      </c>
      <c r="N15" s="170">
        <v>10820</v>
      </c>
      <c r="O15" s="170">
        <v>11963</v>
      </c>
      <c r="P15" s="170">
        <v>12901</v>
      </c>
      <c r="Q15" s="170">
        <v>13489</v>
      </c>
      <c r="R15" s="170">
        <v>13535</v>
      </c>
      <c r="S15" s="170">
        <v>12966</v>
      </c>
      <c r="T15" s="170">
        <v>13621</v>
      </c>
      <c r="U15" s="170">
        <v>14562</v>
      </c>
      <c r="V15" s="170">
        <v>14529</v>
      </c>
      <c r="W15" s="170">
        <v>13892</v>
      </c>
      <c r="X15" s="170">
        <v>13609</v>
      </c>
      <c r="Y15" s="170">
        <v>14627</v>
      </c>
      <c r="Z15" s="170">
        <v>14799</v>
      </c>
      <c r="AA15" s="170">
        <v>14376</v>
      </c>
      <c r="AB15" s="170">
        <v>13742</v>
      </c>
      <c r="AC15" s="170">
        <v>12848</v>
      </c>
      <c r="AD15" s="170">
        <v>11890</v>
      </c>
    </row>
    <row r="16" spans="2:30" ht="15" customHeight="1" x14ac:dyDescent="0.25">
      <c r="B16" s="166">
        <v>2027</v>
      </c>
      <c r="C16" s="167">
        <v>4</v>
      </c>
      <c r="D16" s="168"/>
      <c r="E16" s="162" t="s">
        <v>20</v>
      </c>
      <c r="F16" s="163">
        <v>4</v>
      </c>
      <c r="G16" s="169">
        <v>14050</v>
      </c>
      <c r="H16" s="170">
        <v>13506</v>
      </c>
      <c r="I16" s="170">
        <v>13086</v>
      </c>
      <c r="J16" s="170">
        <v>12776</v>
      </c>
      <c r="K16" s="170">
        <v>12604</v>
      </c>
      <c r="L16" s="170">
        <v>12295</v>
      </c>
      <c r="M16" s="170">
        <v>11844</v>
      </c>
      <c r="N16" s="170">
        <v>12753</v>
      </c>
      <c r="O16" s="170">
        <v>13894</v>
      </c>
      <c r="P16" s="170">
        <v>14655</v>
      </c>
      <c r="Q16" s="170">
        <v>15309</v>
      </c>
      <c r="R16" s="170">
        <v>15859</v>
      </c>
      <c r="S16" s="170">
        <v>15658</v>
      </c>
      <c r="T16" s="170">
        <v>15581</v>
      </c>
      <c r="U16" s="170">
        <v>15880</v>
      </c>
      <c r="V16" s="170">
        <v>15915</v>
      </c>
      <c r="W16" s="170">
        <v>15679</v>
      </c>
      <c r="X16" s="170">
        <v>15571</v>
      </c>
      <c r="Y16" s="170">
        <v>17407</v>
      </c>
      <c r="Z16" s="170">
        <v>17646</v>
      </c>
      <c r="AA16" s="170">
        <v>17167</v>
      </c>
      <c r="AB16" s="170">
        <v>16573</v>
      </c>
      <c r="AC16" s="170">
        <v>15595</v>
      </c>
      <c r="AD16" s="170">
        <v>14806</v>
      </c>
    </row>
    <row r="17" spans="2:30" ht="15" customHeight="1" thickBot="1" x14ac:dyDescent="0.3">
      <c r="B17" s="166">
        <v>2027</v>
      </c>
      <c r="C17" s="171">
        <v>4</v>
      </c>
      <c r="D17" s="168"/>
      <c r="E17" s="162" t="s">
        <v>21</v>
      </c>
      <c r="F17" s="163">
        <v>4</v>
      </c>
      <c r="G17" s="173">
        <v>13200</v>
      </c>
      <c r="H17" s="174">
        <v>12736</v>
      </c>
      <c r="I17" s="174">
        <v>12365</v>
      </c>
      <c r="J17" s="174">
        <v>12048</v>
      </c>
      <c r="K17" s="174">
        <v>11827</v>
      </c>
      <c r="L17" s="174">
        <v>11473</v>
      </c>
      <c r="M17" s="174">
        <v>10895</v>
      </c>
      <c r="N17" s="174">
        <v>11430</v>
      </c>
      <c r="O17" s="174">
        <v>12163</v>
      </c>
      <c r="P17" s="174">
        <v>12578</v>
      </c>
      <c r="Q17" s="174">
        <v>12912</v>
      </c>
      <c r="R17" s="174">
        <v>13403</v>
      </c>
      <c r="S17" s="174">
        <v>13612</v>
      </c>
      <c r="T17" s="174">
        <v>13685</v>
      </c>
      <c r="U17" s="174">
        <v>13888</v>
      </c>
      <c r="V17" s="174">
        <v>13963</v>
      </c>
      <c r="W17" s="174">
        <v>13824</v>
      </c>
      <c r="X17" s="174">
        <v>13817</v>
      </c>
      <c r="Y17" s="174">
        <v>15633</v>
      </c>
      <c r="Z17" s="174">
        <v>16077</v>
      </c>
      <c r="AA17" s="174">
        <v>15904</v>
      </c>
      <c r="AB17" s="174">
        <v>15176</v>
      </c>
      <c r="AC17" s="174">
        <v>14099</v>
      </c>
      <c r="AD17" s="174">
        <v>13169</v>
      </c>
    </row>
    <row r="18" spans="2:30" ht="15" customHeight="1" x14ac:dyDescent="0.25">
      <c r="B18" s="166">
        <v>2027</v>
      </c>
      <c r="C18" s="175">
        <v>5</v>
      </c>
      <c r="D18" s="161">
        <v>6781822</v>
      </c>
      <c r="E18" s="162" t="s">
        <v>19</v>
      </c>
      <c r="F18" s="163">
        <v>19</v>
      </c>
      <c r="G18" s="169">
        <v>9183</v>
      </c>
      <c r="H18" s="170">
        <v>8814</v>
      </c>
      <c r="I18" s="170">
        <v>8561</v>
      </c>
      <c r="J18" s="170">
        <v>8374</v>
      </c>
      <c r="K18" s="170">
        <v>8322</v>
      </c>
      <c r="L18" s="170">
        <v>8310</v>
      </c>
      <c r="M18" s="170">
        <v>8241</v>
      </c>
      <c r="N18" s="170">
        <v>9094</v>
      </c>
      <c r="O18" s="170">
        <v>9974</v>
      </c>
      <c r="P18" s="170">
        <v>10504</v>
      </c>
      <c r="Q18" s="170">
        <v>10938</v>
      </c>
      <c r="R18" s="170">
        <v>11219</v>
      </c>
      <c r="S18" s="170">
        <v>10661</v>
      </c>
      <c r="T18" s="170">
        <v>11034</v>
      </c>
      <c r="U18" s="170">
        <v>11826</v>
      </c>
      <c r="V18" s="170">
        <v>11850</v>
      </c>
      <c r="W18" s="170">
        <v>11547</v>
      </c>
      <c r="X18" s="170">
        <v>11114</v>
      </c>
      <c r="Y18" s="170">
        <v>12046</v>
      </c>
      <c r="Z18" s="170">
        <v>12200</v>
      </c>
      <c r="AA18" s="170">
        <v>11910</v>
      </c>
      <c r="AB18" s="170">
        <v>11326</v>
      </c>
      <c r="AC18" s="170">
        <v>10510</v>
      </c>
      <c r="AD18" s="170">
        <v>9777</v>
      </c>
    </row>
    <row r="19" spans="2:30" ht="15" customHeight="1" x14ac:dyDescent="0.25">
      <c r="B19" s="166">
        <v>2027</v>
      </c>
      <c r="C19" s="167">
        <v>5</v>
      </c>
      <c r="D19" s="168"/>
      <c r="E19" s="162" t="s">
        <v>20</v>
      </c>
      <c r="F19" s="163">
        <v>4</v>
      </c>
      <c r="G19" s="169">
        <v>8639</v>
      </c>
      <c r="H19" s="170">
        <v>8297</v>
      </c>
      <c r="I19" s="170">
        <v>8030</v>
      </c>
      <c r="J19" s="170">
        <v>7836</v>
      </c>
      <c r="K19" s="170">
        <v>7734</v>
      </c>
      <c r="L19" s="170">
        <v>7427</v>
      </c>
      <c r="M19" s="170">
        <v>7268</v>
      </c>
      <c r="N19" s="170">
        <v>7808</v>
      </c>
      <c r="O19" s="170">
        <v>8603</v>
      </c>
      <c r="P19" s="170">
        <v>9051</v>
      </c>
      <c r="Q19" s="170">
        <v>9466</v>
      </c>
      <c r="R19" s="170">
        <v>9734</v>
      </c>
      <c r="S19" s="170">
        <v>9410</v>
      </c>
      <c r="T19" s="170">
        <v>9250</v>
      </c>
      <c r="U19" s="170">
        <v>9301</v>
      </c>
      <c r="V19" s="170">
        <v>9315</v>
      </c>
      <c r="W19" s="170">
        <v>9164</v>
      </c>
      <c r="X19" s="170">
        <v>9180</v>
      </c>
      <c r="Y19" s="170">
        <v>10268</v>
      </c>
      <c r="Z19" s="170">
        <v>10298</v>
      </c>
      <c r="AA19" s="170">
        <v>9972</v>
      </c>
      <c r="AB19" s="170">
        <v>9563</v>
      </c>
      <c r="AC19" s="170">
        <v>9027</v>
      </c>
      <c r="AD19" s="170">
        <v>8452</v>
      </c>
    </row>
    <row r="20" spans="2:30" ht="15" customHeight="1" x14ac:dyDescent="0.25">
      <c r="B20" s="166">
        <v>2027</v>
      </c>
      <c r="C20" s="167">
        <v>5</v>
      </c>
      <c r="D20" s="168"/>
      <c r="E20" s="162" t="s">
        <v>21</v>
      </c>
      <c r="F20" s="163">
        <v>5</v>
      </c>
      <c r="G20" s="169">
        <v>6582</v>
      </c>
      <c r="H20" s="170">
        <v>6334</v>
      </c>
      <c r="I20" s="170">
        <v>6163</v>
      </c>
      <c r="J20" s="170">
        <v>5948</v>
      </c>
      <c r="K20" s="170">
        <v>5879</v>
      </c>
      <c r="L20" s="170">
        <v>5600</v>
      </c>
      <c r="M20" s="170">
        <v>5292</v>
      </c>
      <c r="N20" s="170">
        <v>5589</v>
      </c>
      <c r="O20" s="170">
        <v>6068</v>
      </c>
      <c r="P20" s="170">
        <v>6377</v>
      </c>
      <c r="Q20" s="170">
        <v>6600</v>
      </c>
      <c r="R20" s="170">
        <v>6855</v>
      </c>
      <c r="S20" s="170">
        <v>6896</v>
      </c>
      <c r="T20" s="170">
        <v>6881</v>
      </c>
      <c r="U20" s="170">
        <v>6902</v>
      </c>
      <c r="V20" s="170">
        <v>6927</v>
      </c>
      <c r="W20" s="170">
        <v>6917</v>
      </c>
      <c r="X20" s="170">
        <v>6960</v>
      </c>
      <c r="Y20" s="170">
        <v>7876</v>
      </c>
      <c r="Z20" s="170">
        <v>8109</v>
      </c>
      <c r="AA20" s="170">
        <v>8133</v>
      </c>
      <c r="AB20" s="170">
        <v>7905</v>
      </c>
      <c r="AC20" s="170">
        <v>7458</v>
      </c>
      <c r="AD20" s="170">
        <v>7019</v>
      </c>
    </row>
    <row r="21" spans="2:30" ht="15" customHeight="1" thickBot="1" x14ac:dyDescent="0.3">
      <c r="B21" s="166">
        <v>2027</v>
      </c>
      <c r="C21" s="171">
        <v>5</v>
      </c>
      <c r="D21" s="172"/>
      <c r="E21" s="162" t="s">
        <v>22</v>
      </c>
      <c r="F21" s="163">
        <v>3</v>
      </c>
      <c r="G21" s="173">
        <v>5585</v>
      </c>
      <c r="H21" s="174">
        <v>5342</v>
      </c>
      <c r="I21" s="174">
        <v>5188</v>
      </c>
      <c r="J21" s="174">
        <v>5039</v>
      </c>
      <c r="K21" s="174">
        <v>4918</v>
      </c>
      <c r="L21" s="174">
        <v>4617</v>
      </c>
      <c r="M21" s="174">
        <v>4570</v>
      </c>
      <c r="N21" s="174">
        <v>4905</v>
      </c>
      <c r="O21" s="174">
        <v>5256</v>
      </c>
      <c r="P21" s="174">
        <v>5580</v>
      </c>
      <c r="Q21" s="174">
        <v>5826</v>
      </c>
      <c r="R21" s="174">
        <v>6155</v>
      </c>
      <c r="S21" s="174">
        <v>6196</v>
      </c>
      <c r="T21" s="174">
        <v>6214</v>
      </c>
      <c r="U21" s="174">
        <v>6314</v>
      </c>
      <c r="V21" s="174">
        <v>6344</v>
      </c>
      <c r="W21" s="174">
        <v>6232</v>
      </c>
      <c r="X21" s="174">
        <v>6190</v>
      </c>
      <c r="Y21" s="174">
        <v>7007</v>
      </c>
      <c r="Z21" s="174">
        <v>7257</v>
      </c>
      <c r="AA21" s="174">
        <v>7171</v>
      </c>
      <c r="AB21" s="174">
        <v>6838</v>
      </c>
      <c r="AC21" s="174">
        <v>6453</v>
      </c>
      <c r="AD21" s="174">
        <v>6048</v>
      </c>
    </row>
    <row r="22" spans="2:30" ht="15" customHeight="1" x14ac:dyDescent="0.25">
      <c r="B22" s="166">
        <v>2027</v>
      </c>
      <c r="C22" s="175">
        <v>6</v>
      </c>
      <c r="D22" s="161">
        <v>5379909</v>
      </c>
      <c r="E22" s="162" t="s">
        <v>19</v>
      </c>
      <c r="F22" s="163">
        <v>21</v>
      </c>
      <c r="G22" s="169">
        <v>6205</v>
      </c>
      <c r="H22" s="170">
        <v>5890</v>
      </c>
      <c r="I22" s="170">
        <v>5734</v>
      </c>
      <c r="J22" s="170">
        <v>5641</v>
      </c>
      <c r="K22" s="170">
        <v>5726</v>
      </c>
      <c r="L22" s="170">
        <v>5685</v>
      </c>
      <c r="M22" s="170">
        <v>5613</v>
      </c>
      <c r="N22" s="170">
        <v>6108</v>
      </c>
      <c r="O22" s="170">
        <v>6736</v>
      </c>
      <c r="P22" s="170">
        <v>7113</v>
      </c>
      <c r="Q22" s="170">
        <v>7476</v>
      </c>
      <c r="R22" s="170">
        <v>7727</v>
      </c>
      <c r="S22" s="170">
        <v>7337</v>
      </c>
      <c r="T22" s="170">
        <v>7556</v>
      </c>
      <c r="U22" s="170">
        <v>8095</v>
      </c>
      <c r="V22" s="170">
        <v>8107</v>
      </c>
      <c r="W22" s="170">
        <v>7915</v>
      </c>
      <c r="X22" s="170">
        <v>7587</v>
      </c>
      <c r="Y22" s="170">
        <v>8219</v>
      </c>
      <c r="Z22" s="170">
        <v>8373</v>
      </c>
      <c r="AA22" s="170">
        <v>8137</v>
      </c>
      <c r="AB22" s="170">
        <v>7733</v>
      </c>
      <c r="AC22" s="170">
        <v>7165</v>
      </c>
      <c r="AD22" s="170">
        <v>6642</v>
      </c>
    </row>
    <row r="23" spans="2:30" ht="15" customHeight="1" x14ac:dyDescent="0.25">
      <c r="B23" s="166">
        <v>2027</v>
      </c>
      <c r="C23" s="167">
        <v>6</v>
      </c>
      <c r="D23" s="168"/>
      <c r="E23" s="162" t="s">
        <v>20</v>
      </c>
      <c r="F23" s="163">
        <v>4</v>
      </c>
      <c r="G23" s="169">
        <v>7436</v>
      </c>
      <c r="H23" s="170">
        <v>7172</v>
      </c>
      <c r="I23" s="170">
        <v>6920</v>
      </c>
      <c r="J23" s="170">
        <v>6736</v>
      </c>
      <c r="K23" s="170">
        <v>6692</v>
      </c>
      <c r="L23" s="170">
        <v>6445</v>
      </c>
      <c r="M23" s="170">
        <v>6316</v>
      </c>
      <c r="N23" s="170">
        <v>6860</v>
      </c>
      <c r="O23" s="170">
        <v>7496</v>
      </c>
      <c r="P23" s="170">
        <v>8044</v>
      </c>
      <c r="Q23" s="170">
        <v>8461</v>
      </c>
      <c r="R23" s="170">
        <v>8686</v>
      </c>
      <c r="S23" s="170">
        <v>8550</v>
      </c>
      <c r="T23" s="170">
        <v>8554</v>
      </c>
      <c r="U23" s="170">
        <v>8662</v>
      </c>
      <c r="V23" s="170">
        <v>8473</v>
      </c>
      <c r="W23" s="170">
        <v>8299</v>
      </c>
      <c r="X23" s="170">
        <v>8298</v>
      </c>
      <c r="Y23" s="170">
        <v>9283</v>
      </c>
      <c r="Z23" s="170">
        <v>9536</v>
      </c>
      <c r="AA23" s="170">
        <v>9319</v>
      </c>
      <c r="AB23" s="170">
        <v>8869</v>
      </c>
      <c r="AC23" s="170">
        <v>8371</v>
      </c>
      <c r="AD23" s="170">
        <v>7914</v>
      </c>
    </row>
    <row r="24" spans="2:30" ht="15" customHeight="1" x14ac:dyDescent="0.25">
      <c r="B24" s="166">
        <v>2027</v>
      </c>
      <c r="C24" s="167">
        <v>6</v>
      </c>
      <c r="D24" s="168"/>
      <c r="E24" s="162" t="s">
        <v>21</v>
      </c>
      <c r="F24" s="163">
        <v>4</v>
      </c>
      <c r="G24" s="169">
        <v>7483</v>
      </c>
      <c r="H24" s="170">
        <v>7198</v>
      </c>
      <c r="I24" s="170">
        <v>7008</v>
      </c>
      <c r="J24" s="170">
        <v>6881</v>
      </c>
      <c r="K24" s="170">
        <v>6792</v>
      </c>
      <c r="L24" s="170">
        <v>6330</v>
      </c>
      <c r="M24" s="170">
        <v>6074</v>
      </c>
      <c r="N24" s="170">
        <v>6374</v>
      </c>
      <c r="O24" s="170">
        <v>6760</v>
      </c>
      <c r="P24" s="170">
        <v>7150</v>
      </c>
      <c r="Q24" s="170">
        <v>7468</v>
      </c>
      <c r="R24" s="170">
        <v>7710</v>
      </c>
      <c r="S24" s="170">
        <v>7807</v>
      </c>
      <c r="T24" s="170">
        <v>7873</v>
      </c>
      <c r="U24" s="170">
        <v>8055</v>
      </c>
      <c r="V24" s="170">
        <v>8041</v>
      </c>
      <c r="W24" s="170">
        <v>8031</v>
      </c>
      <c r="X24" s="170">
        <v>8016</v>
      </c>
      <c r="Y24" s="170">
        <v>9044</v>
      </c>
      <c r="Z24" s="170">
        <v>9413</v>
      </c>
      <c r="AA24" s="170">
        <v>9297</v>
      </c>
      <c r="AB24" s="170">
        <v>8923</v>
      </c>
      <c r="AC24" s="170">
        <v>8406</v>
      </c>
      <c r="AD24" s="170">
        <v>7911</v>
      </c>
    </row>
    <row r="25" spans="2:30" ht="15" customHeight="1" thickBot="1" x14ac:dyDescent="0.3">
      <c r="B25" s="166">
        <v>2027</v>
      </c>
      <c r="C25" s="171">
        <v>6</v>
      </c>
      <c r="D25" s="172"/>
      <c r="E25" s="162" t="s">
        <v>22</v>
      </c>
      <c r="F25" s="163">
        <v>1</v>
      </c>
      <c r="G25" s="173">
        <v>13648</v>
      </c>
      <c r="H25" s="174">
        <v>13177</v>
      </c>
      <c r="I25" s="174">
        <v>12845</v>
      </c>
      <c r="J25" s="174">
        <v>12550</v>
      </c>
      <c r="K25" s="174">
        <v>12397</v>
      </c>
      <c r="L25" s="174">
        <v>11531</v>
      </c>
      <c r="M25" s="174">
        <v>11131</v>
      </c>
      <c r="N25" s="174">
        <v>11853</v>
      </c>
      <c r="O25" s="174">
        <v>12885</v>
      </c>
      <c r="P25" s="174">
        <v>13517</v>
      </c>
      <c r="Q25" s="174">
        <v>13892</v>
      </c>
      <c r="R25" s="174">
        <v>14629</v>
      </c>
      <c r="S25" s="174">
        <v>14792</v>
      </c>
      <c r="T25" s="174">
        <v>14926</v>
      </c>
      <c r="U25" s="174">
        <v>15697</v>
      </c>
      <c r="V25" s="174">
        <v>15569</v>
      </c>
      <c r="W25" s="174">
        <v>14822</v>
      </c>
      <c r="X25" s="174">
        <v>14646</v>
      </c>
      <c r="Y25" s="174">
        <v>16395</v>
      </c>
      <c r="Z25" s="174">
        <v>16954</v>
      </c>
      <c r="AA25" s="174">
        <v>16724</v>
      </c>
      <c r="AB25" s="174">
        <v>15966</v>
      </c>
      <c r="AC25" s="174">
        <v>14829</v>
      </c>
      <c r="AD25" s="174">
        <v>13866</v>
      </c>
    </row>
    <row r="26" spans="2:30" ht="15" customHeight="1" x14ac:dyDescent="0.25">
      <c r="B26" s="166">
        <v>2027</v>
      </c>
      <c r="C26" s="175">
        <v>7</v>
      </c>
      <c r="D26" s="161">
        <v>7297748</v>
      </c>
      <c r="E26" s="162" t="s">
        <v>19</v>
      </c>
      <c r="F26" s="163">
        <v>20</v>
      </c>
      <c r="G26" s="169">
        <v>9004</v>
      </c>
      <c r="H26" s="170">
        <v>8679</v>
      </c>
      <c r="I26" s="170">
        <v>8427</v>
      </c>
      <c r="J26" s="170">
        <v>8237</v>
      </c>
      <c r="K26" s="170">
        <v>8211</v>
      </c>
      <c r="L26" s="170">
        <v>8229</v>
      </c>
      <c r="M26" s="170">
        <v>8031</v>
      </c>
      <c r="N26" s="170">
        <v>8666</v>
      </c>
      <c r="O26" s="170">
        <v>9454</v>
      </c>
      <c r="P26" s="170">
        <v>10013</v>
      </c>
      <c r="Q26" s="170">
        <v>10444</v>
      </c>
      <c r="R26" s="170">
        <v>10730</v>
      </c>
      <c r="S26" s="170">
        <v>10208</v>
      </c>
      <c r="T26" s="170">
        <v>10431</v>
      </c>
      <c r="U26" s="170">
        <v>11214</v>
      </c>
      <c r="V26" s="170">
        <v>11289</v>
      </c>
      <c r="W26" s="170">
        <v>11135</v>
      </c>
      <c r="X26" s="170">
        <v>10707</v>
      </c>
      <c r="Y26" s="170">
        <v>11556</v>
      </c>
      <c r="Z26" s="170">
        <v>11931</v>
      </c>
      <c r="AA26" s="170">
        <v>11626</v>
      </c>
      <c r="AB26" s="170">
        <v>11059</v>
      </c>
      <c r="AC26" s="170">
        <v>10216</v>
      </c>
      <c r="AD26" s="170">
        <v>9457</v>
      </c>
    </row>
    <row r="27" spans="2:30" ht="15" customHeight="1" x14ac:dyDescent="0.25">
      <c r="B27" s="166">
        <v>2027</v>
      </c>
      <c r="C27" s="167">
        <v>7</v>
      </c>
      <c r="D27" s="168"/>
      <c r="E27" s="162" t="s">
        <v>20</v>
      </c>
      <c r="F27" s="163">
        <v>5</v>
      </c>
      <c r="G27" s="169">
        <v>7566</v>
      </c>
      <c r="H27" s="170">
        <v>7377</v>
      </c>
      <c r="I27" s="170">
        <v>7172</v>
      </c>
      <c r="J27" s="170">
        <v>7035</v>
      </c>
      <c r="K27" s="170">
        <v>6977</v>
      </c>
      <c r="L27" s="170">
        <v>6821</v>
      </c>
      <c r="M27" s="170">
        <v>6672</v>
      </c>
      <c r="N27" s="170">
        <v>7285</v>
      </c>
      <c r="O27" s="170">
        <v>8026</v>
      </c>
      <c r="P27" s="170">
        <v>8473</v>
      </c>
      <c r="Q27" s="170">
        <v>8803</v>
      </c>
      <c r="R27" s="170">
        <v>9058</v>
      </c>
      <c r="S27" s="170">
        <v>8960</v>
      </c>
      <c r="T27" s="170">
        <v>8937</v>
      </c>
      <c r="U27" s="170">
        <v>9131</v>
      </c>
      <c r="V27" s="170">
        <v>8832</v>
      </c>
      <c r="W27" s="170">
        <v>8977</v>
      </c>
      <c r="X27" s="170">
        <v>8806</v>
      </c>
      <c r="Y27" s="170">
        <v>9756</v>
      </c>
      <c r="Z27" s="170">
        <v>10116</v>
      </c>
      <c r="AA27" s="170">
        <v>9880</v>
      </c>
      <c r="AB27" s="170">
        <v>9464</v>
      </c>
      <c r="AC27" s="170">
        <v>8913</v>
      </c>
      <c r="AD27" s="170">
        <v>8369</v>
      </c>
    </row>
    <row r="28" spans="2:30" ht="15" customHeight="1" x14ac:dyDescent="0.25">
      <c r="B28" s="166">
        <v>2027</v>
      </c>
      <c r="C28" s="167">
        <v>7</v>
      </c>
      <c r="D28" s="168"/>
      <c r="E28" s="162" t="s">
        <v>21</v>
      </c>
      <c r="F28" s="163">
        <v>4</v>
      </c>
      <c r="G28" s="169">
        <v>10672</v>
      </c>
      <c r="H28" s="170">
        <v>10262</v>
      </c>
      <c r="I28" s="170">
        <v>10014</v>
      </c>
      <c r="J28" s="170">
        <v>9660</v>
      </c>
      <c r="K28" s="170">
        <v>9609</v>
      </c>
      <c r="L28" s="170">
        <v>9287</v>
      </c>
      <c r="M28" s="170">
        <v>8780</v>
      </c>
      <c r="N28" s="170">
        <v>9412</v>
      </c>
      <c r="O28" s="170">
        <v>10234</v>
      </c>
      <c r="P28" s="170">
        <v>10728</v>
      </c>
      <c r="Q28" s="170">
        <v>11109</v>
      </c>
      <c r="R28" s="170">
        <v>11472</v>
      </c>
      <c r="S28" s="170">
        <v>11363</v>
      </c>
      <c r="T28" s="170">
        <v>11202</v>
      </c>
      <c r="U28" s="170">
        <v>11285</v>
      </c>
      <c r="V28" s="170">
        <v>11418</v>
      </c>
      <c r="W28" s="170">
        <v>11407</v>
      </c>
      <c r="X28" s="170">
        <v>11350</v>
      </c>
      <c r="Y28" s="170">
        <v>12558</v>
      </c>
      <c r="Z28" s="170">
        <v>13163</v>
      </c>
      <c r="AA28" s="170">
        <v>12929</v>
      </c>
      <c r="AB28" s="170">
        <v>12405</v>
      </c>
      <c r="AC28" s="170">
        <v>11653</v>
      </c>
      <c r="AD28" s="170">
        <v>10967</v>
      </c>
    </row>
    <row r="29" spans="2:30" ht="15" customHeight="1" thickBot="1" x14ac:dyDescent="0.3">
      <c r="B29" s="166">
        <v>2027</v>
      </c>
      <c r="C29" s="171">
        <v>7</v>
      </c>
      <c r="D29" s="172"/>
      <c r="E29" s="162" t="s">
        <v>22</v>
      </c>
      <c r="F29" s="163">
        <v>2</v>
      </c>
      <c r="G29" s="173">
        <v>8802</v>
      </c>
      <c r="H29" s="174">
        <v>8547</v>
      </c>
      <c r="I29" s="174">
        <v>8324</v>
      </c>
      <c r="J29" s="174">
        <v>8111</v>
      </c>
      <c r="K29" s="174">
        <v>8055</v>
      </c>
      <c r="L29" s="174">
        <v>7840</v>
      </c>
      <c r="M29" s="174">
        <v>7685</v>
      </c>
      <c r="N29" s="174">
        <v>8139</v>
      </c>
      <c r="O29" s="174">
        <v>8712</v>
      </c>
      <c r="P29" s="174">
        <v>9194</v>
      </c>
      <c r="Q29" s="174">
        <v>9604</v>
      </c>
      <c r="R29" s="174">
        <v>9992</v>
      </c>
      <c r="S29" s="174">
        <v>10680</v>
      </c>
      <c r="T29" s="174">
        <v>10307</v>
      </c>
      <c r="U29" s="174">
        <v>10233</v>
      </c>
      <c r="V29" s="174">
        <v>10328</v>
      </c>
      <c r="W29" s="174">
        <v>10191</v>
      </c>
      <c r="X29" s="174">
        <v>10097</v>
      </c>
      <c r="Y29" s="174">
        <v>11236</v>
      </c>
      <c r="Z29" s="174">
        <v>11674</v>
      </c>
      <c r="AA29" s="174">
        <v>11435</v>
      </c>
      <c r="AB29" s="174">
        <v>10948</v>
      </c>
      <c r="AC29" s="174">
        <v>10210</v>
      </c>
      <c r="AD29" s="174">
        <v>9597</v>
      </c>
    </row>
    <row r="30" spans="2:30" ht="15" customHeight="1" x14ac:dyDescent="0.25">
      <c r="B30" s="166">
        <v>2027</v>
      </c>
      <c r="C30" s="175">
        <v>8</v>
      </c>
      <c r="D30" s="161">
        <v>8762049</v>
      </c>
      <c r="E30" s="162" t="s">
        <v>19</v>
      </c>
      <c r="F30" s="163">
        <v>21</v>
      </c>
      <c r="G30" s="169">
        <v>10606</v>
      </c>
      <c r="H30" s="170">
        <v>10226</v>
      </c>
      <c r="I30" s="170">
        <v>9930</v>
      </c>
      <c r="J30" s="170">
        <v>9725</v>
      </c>
      <c r="K30" s="170">
        <v>9672</v>
      </c>
      <c r="L30" s="170">
        <v>9653</v>
      </c>
      <c r="M30" s="170">
        <v>9411</v>
      </c>
      <c r="N30" s="170">
        <v>10248</v>
      </c>
      <c r="O30" s="170">
        <v>11386</v>
      </c>
      <c r="P30" s="170">
        <v>12132</v>
      </c>
      <c r="Q30" s="170">
        <v>12742</v>
      </c>
      <c r="R30" s="170">
        <v>13159</v>
      </c>
      <c r="S30" s="170">
        <v>12469</v>
      </c>
      <c r="T30" s="170">
        <v>12972</v>
      </c>
      <c r="U30" s="170">
        <v>13847</v>
      </c>
      <c r="V30" s="170">
        <v>13853</v>
      </c>
      <c r="W30" s="170">
        <v>13468</v>
      </c>
      <c r="X30" s="170">
        <v>12839</v>
      </c>
      <c r="Y30" s="170">
        <v>13833</v>
      </c>
      <c r="Z30" s="170">
        <v>14202</v>
      </c>
      <c r="AA30" s="170">
        <v>13889</v>
      </c>
      <c r="AB30" s="170">
        <v>13224</v>
      </c>
      <c r="AC30" s="170">
        <v>12214</v>
      </c>
      <c r="AD30" s="170">
        <v>11367</v>
      </c>
    </row>
    <row r="31" spans="2:30" ht="15" customHeight="1" x14ac:dyDescent="0.25">
      <c r="B31" s="166">
        <v>2027</v>
      </c>
      <c r="C31" s="167">
        <v>8</v>
      </c>
      <c r="D31" s="168"/>
      <c r="E31" s="162" t="s">
        <v>20</v>
      </c>
      <c r="F31" s="163">
        <v>3</v>
      </c>
      <c r="G31" s="169">
        <v>15786</v>
      </c>
      <c r="H31" s="170">
        <v>15177</v>
      </c>
      <c r="I31" s="170">
        <v>14722</v>
      </c>
      <c r="J31" s="170">
        <v>14381</v>
      </c>
      <c r="K31" s="170">
        <v>14134</v>
      </c>
      <c r="L31" s="170">
        <v>13782</v>
      </c>
      <c r="M31" s="170">
        <v>13325</v>
      </c>
      <c r="N31" s="170">
        <v>14457</v>
      </c>
      <c r="O31" s="170">
        <v>16008</v>
      </c>
      <c r="P31" s="170">
        <v>17094</v>
      </c>
      <c r="Q31" s="170">
        <v>17895</v>
      </c>
      <c r="R31" s="170">
        <v>18450</v>
      </c>
      <c r="S31" s="170">
        <v>18142</v>
      </c>
      <c r="T31" s="170">
        <v>18338</v>
      </c>
      <c r="U31" s="170">
        <v>18593</v>
      </c>
      <c r="V31" s="170">
        <v>18501</v>
      </c>
      <c r="W31" s="170">
        <v>18050</v>
      </c>
      <c r="X31" s="170">
        <v>17843</v>
      </c>
      <c r="Y31" s="170">
        <v>19648</v>
      </c>
      <c r="Z31" s="170">
        <v>20116</v>
      </c>
      <c r="AA31" s="170">
        <v>19719</v>
      </c>
      <c r="AB31" s="170">
        <v>18917</v>
      </c>
      <c r="AC31" s="170">
        <v>17787</v>
      </c>
      <c r="AD31" s="170">
        <v>16327</v>
      </c>
    </row>
    <row r="32" spans="2:30" ht="15" customHeight="1" x14ac:dyDescent="0.25">
      <c r="B32" s="166">
        <v>2027</v>
      </c>
      <c r="C32" s="167">
        <v>8</v>
      </c>
      <c r="D32" s="168"/>
      <c r="E32" s="162" t="s">
        <v>21</v>
      </c>
      <c r="F32" s="163">
        <v>5</v>
      </c>
      <c r="G32" s="169">
        <v>7972</v>
      </c>
      <c r="H32" s="170">
        <v>7743</v>
      </c>
      <c r="I32" s="170">
        <v>7522</v>
      </c>
      <c r="J32" s="170">
        <v>7331</v>
      </c>
      <c r="K32" s="170">
        <v>7215</v>
      </c>
      <c r="L32" s="170">
        <v>6847</v>
      </c>
      <c r="M32" s="170">
        <v>6414</v>
      </c>
      <c r="N32" s="170">
        <v>6769</v>
      </c>
      <c r="O32" s="170">
        <v>7223</v>
      </c>
      <c r="P32" s="170">
        <v>7663</v>
      </c>
      <c r="Q32" s="170">
        <v>7995</v>
      </c>
      <c r="R32" s="170">
        <v>8297</v>
      </c>
      <c r="S32" s="170">
        <v>8366</v>
      </c>
      <c r="T32" s="170">
        <v>8477</v>
      </c>
      <c r="U32" s="170">
        <v>8503</v>
      </c>
      <c r="V32" s="170">
        <v>8518</v>
      </c>
      <c r="W32" s="170">
        <v>8437</v>
      </c>
      <c r="X32" s="170">
        <v>8381</v>
      </c>
      <c r="Y32" s="170">
        <v>9445</v>
      </c>
      <c r="Z32" s="170">
        <v>9858</v>
      </c>
      <c r="AA32" s="170">
        <v>9750</v>
      </c>
      <c r="AB32" s="170">
        <v>9333</v>
      </c>
      <c r="AC32" s="170">
        <v>8729</v>
      </c>
      <c r="AD32" s="170">
        <v>8206</v>
      </c>
    </row>
    <row r="33" spans="2:30" ht="15" customHeight="1" thickBot="1" x14ac:dyDescent="0.3">
      <c r="B33" s="166">
        <v>2027</v>
      </c>
      <c r="C33" s="171">
        <v>8</v>
      </c>
      <c r="D33" s="172"/>
      <c r="E33" s="162" t="s">
        <v>22</v>
      </c>
      <c r="F33" s="163">
        <v>2</v>
      </c>
      <c r="G33" s="173">
        <v>10640</v>
      </c>
      <c r="H33" s="174">
        <v>10275</v>
      </c>
      <c r="I33" s="174">
        <v>9974</v>
      </c>
      <c r="J33" s="174">
        <v>9558</v>
      </c>
      <c r="K33" s="174">
        <v>9616</v>
      </c>
      <c r="L33" s="174">
        <v>9387</v>
      </c>
      <c r="M33" s="174">
        <v>8916</v>
      </c>
      <c r="N33" s="174">
        <v>9510</v>
      </c>
      <c r="O33" s="174">
        <v>10246</v>
      </c>
      <c r="P33" s="174">
        <v>10911</v>
      </c>
      <c r="Q33" s="174">
        <v>11578</v>
      </c>
      <c r="R33" s="174">
        <v>12130</v>
      </c>
      <c r="S33" s="174">
        <v>12252</v>
      </c>
      <c r="T33" s="174">
        <v>12207</v>
      </c>
      <c r="U33" s="174">
        <v>12297</v>
      </c>
      <c r="V33" s="174">
        <v>12144</v>
      </c>
      <c r="W33" s="174">
        <v>10001</v>
      </c>
      <c r="X33" s="174">
        <v>11766</v>
      </c>
      <c r="Y33" s="174">
        <v>13087</v>
      </c>
      <c r="Z33" s="174">
        <v>13483</v>
      </c>
      <c r="AA33" s="174">
        <v>13183</v>
      </c>
      <c r="AB33" s="174">
        <v>12605</v>
      </c>
      <c r="AC33" s="174">
        <v>11780</v>
      </c>
      <c r="AD33" s="174">
        <v>11002</v>
      </c>
    </row>
    <row r="34" spans="2:30" ht="15" customHeight="1" x14ac:dyDescent="0.25">
      <c r="B34" s="166">
        <v>2027</v>
      </c>
      <c r="C34" s="175">
        <v>9</v>
      </c>
      <c r="D34" s="161">
        <v>5256992</v>
      </c>
      <c r="E34" s="162" t="s">
        <v>19</v>
      </c>
      <c r="F34" s="163">
        <v>22</v>
      </c>
      <c r="G34" s="169">
        <v>6464</v>
      </c>
      <c r="H34" s="170">
        <v>6104</v>
      </c>
      <c r="I34" s="170">
        <v>5919</v>
      </c>
      <c r="J34" s="170">
        <v>5802</v>
      </c>
      <c r="K34" s="170">
        <v>5830</v>
      </c>
      <c r="L34" s="170">
        <v>5754</v>
      </c>
      <c r="M34" s="170">
        <v>5657</v>
      </c>
      <c r="N34" s="170">
        <v>6185</v>
      </c>
      <c r="O34" s="170">
        <v>6882</v>
      </c>
      <c r="P34" s="170">
        <v>7370</v>
      </c>
      <c r="Q34" s="170">
        <v>7726</v>
      </c>
      <c r="R34" s="170">
        <v>7973</v>
      </c>
      <c r="S34" s="170">
        <v>7571</v>
      </c>
      <c r="T34" s="170">
        <v>7907</v>
      </c>
      <c r="U34" s="170">
        <v>8351</v>
      </c>
      <c r="V34" s="170">
        <v>8294</v>
      </c>
      <c r="W34" s="170">
        <v>8087</v>
      </c>
      <c r="X34" s="170">
        <v>7901</v>
      </c>
      <c r="Y34" s="170">
        <v>8495</v>
      </c>
      <c r="Z34" s="170">
        <v>8551</v>
      </c>
      <c r="AA34" s="170">
        <v>8376</v>
      </c>
      <c r="AB34" s="170">
        <v>8037</v>
      </c>
      <c r="AC34" s="170">
        <v>7482</v>
      </c>
      <c r="AD34" s="170">
        <v>6970</v>
      </c>
    </row>
    <row r="35" spans="2:30" ht="15" customHeight="1" x14ac:dyDescent="0.25">
      <c r="B35" s="166">
        <v>2027</v>
      </c>
      <c r="C35" s="167">
        <v>9</v>
      </c>
      <c r="D35" s="168"/>
      <c r="E35" s="162" t="s">
        <v>20</v>
      </c>
      <c r="F35" s="163">
        <v>4</v>
      </c>
      <c r="G35" s="169">
        <v>7273</v>
      </c>
      <c r="H35" s="170">
        <v>7018</v>
      </c>
      <c r="I35" s="170">
        <v>6803</v>
      </c>
      <c r="J35" s="170">
        <v>6647</v>
      </c>
      <c r="K35" s="170">
        <v>6554</v>
      </c>
      <c r="L35" s="170">
        <v>6259</v>
      </c>
      <c r="M35" s="170">
        <v>6169</v>
      </c>
      <c r="N35" s="170">
        <v>6686</v>
      </c>
      <c r="O35" s="170">
        <v>7385</v>
      </c>
      <c r="P35" s="170">
        <v>7916</v>
      </c>
      <c r="Q35" s="170">
        <v>8332</v>
      </c>
      <c r="R35" s="170">
        <v>8563</v>
      </c>
      <c r="S35" s="170">
        <v>8387</v>
      </c>
      <c r="T35" s="170">
        <v>8385</v>
      </c>
      <c r="U35" s="170">
        <v>8520</v>
      </c>
      <c r="V35" s="170">
        <v>8432</v>
      </c>
      <c r="W35" s="170">
        <v>8256</v>
      </c>
      <c r="X35" s="170">
        <v>8269</v>
      </c>
      <c r="Y35" s="170">
        <v>9123</v>
      </c>
      <c r="Z35" s="170">
        <v>9140</v>
      </c>
      <c r="AA35" s="170">
        <v>8943</v>
      </c>
      <c r="AB35" s="170">
        <v>8598</v>
      </c>
      <c r="AC35" s="170">
        <v>8160</v>
      </c>
      <c r="AD35" s="170">
        <v>7702</v>
      </c>
    </row>
    <row r="36" spans="2:30" ht="15" customHeight="1" thickBot="1" x14ac:dyDescent="0.3">
      <c r="B36" s="166">
        <v>2027</v>
      </c>
      <c r="C36" s="171">
        <v>9</v>
      </c>
      <c r="D36" s="168"/>
      <c r="E36" s="162" t="s">
        <v>21</v>
      </c>
      <c r="F36" s="163">
        <v>4</v>
      </c>
      <c r="G36" s="173">
        <v>7579</v>
      </c>
      <c r="H36" s="174">
        <v>7280</v>
      </c>
      <c r="I36" s="174">
        <v>7028</v>
      </c>
      <c r="J36" s="174">
        <v>6433</v>
      </c>
      <c r="K36" s="174">
        <v>6229</v>
      </c>
      <c r="L36" s="174">
        <v>5933</v>
      </c>
      <c r="M36" s="174">
        <v>5656</v>
      </c>
      <c r="N36" s="174">
        <v>5970</v>
      </c>
      <c r="O36" s="174">
        <v>6339</v>
      </c>
      <c r="P36" s="174">
        <v>6703</v>
      </c>
      <c r="Q36" s="174">
        <v>6959</v>
      </c>
      <c r="R36" s="174">
        <v>7198</v>
      </c>
      <c r="S36" s="174">
        <v>7253</v>
      </c>
      <c r="T36" s="174">
        <v>7101</v>
      </c>
      <c r="U36" s="174">
        <v>7082</v>
      </c>
      <c r="V36" s="174">
        <v>7084</v>
      </c>
      <c r="W36" s="174">
        <v>6963</v>
      </c>
      <c r="X36" s="174">
        <v>6977</v>
      </c>
      <c r="Y36" s="174">
        <v>8529</v>
      </c>
      <c r="Z36" s="174">
        <v>8836</v>
      </c>
      <c r="AA36" s="174">
        <v>8712</v>
      </c>
      <c r="AB36" s="174">
        <v>8370</v>
      </c>
      <c r="AC36" s="174">
        <v>7856</v>
      </c>
      <c r="AD36" s="174">
        <v>7374</v>
      </c>
    </row>
    <row r="37" spans="2:30" ht="15" customHeight="1" x14ac:dyDescent="0.25">
      <c r="B37" s="166">
        <v>2027</v>
      </c>
      <c r="C37" s="175">
        <v>10</v>
      </c>
      <c r="D37" s="161">
        <v>6508776</v>
      </c>
      <c r="E37" s="162" t="s">
        <v>19</v>
      </c>
      <c r="F37" s="163">
        <v>20</v>
      </c>
      <c r="G37" s="169">
        <v>8395</v>
      </c>
      <c r="H37" s="170">
        <v>8084</v>
      </c>
      <c r="I37" s="170">
        <v>7853</v>
      </c>
      <c r="J37" s="170">
        <v>7686</v>
      </c>
      <c r="K37" s="170">
        <v>7568</v>
      </c>
      <c r="L37" s="170">
        <v>7365</v>
      </c>
      <c r="M37" s="170">
        <v>7310</v>
      </c>
      <c r="N37" s="170">
        <v>8073</v>
      </c>
      <c r="O37" s="170">
        <v>9032</v>
      </c>
      <c r="P37" s="170">
        <v>9607</v>
      </c>
      <c r="Q37" s="170">
        <v>10095</v>
      </c>
      <c r="R37" s="170">
        <v>10370</v>
      </c>
      <c r="S37" s="170">
        <v>9896</v>
      </c>
      <c r="T37" s="170">
        <v>10250</v>
      </c>
      <c r="U37" s="170">
        <v>10966</v>
      </c>
      <c r="V37" s="170">
        <v>10954</v>
      </c>
      <c r="W37" s="170">
        <v>10600</v>
      </c>
      <c r="X37" s="170">
        <v>10439</v>
      </c>
      <c r="Y37" s="170">
        <v>11038</v>
      </c>
      <c r="Z37" s="170">
        <v>10948</v>
      </c>
      <c r="AA37" s="170">
        <v>10718</v>
      </c>
      <c r="AB37" s="170">
        <v>10311</v>
      </c>
      <c r="AC37" s="170">
        <v>9615</v>
      </c>
      <c r="AD37" s="170">
        <v>9027</v>
      </c>
    </row>
    <row r="38" spans="2:30" ht="15" customHeight="1" x14ac:dyDescent="0.25">
      <c r="B38" s="166">
        <v>2027</v>
      </c>
      <c r="C38" s="167">
        <v>10</v>
      </c>
      <c r="D38" s="168"/>
      <c r="E38" s="162" t="s">
        <v>20</v>
      </c>
      <c r="F38" s="163">
        <v>5</v>
      </c>
      <c r="G38" s="169">
        <v>7048</v>
      </c>
      <c r="H38" s="170">
        <v>6807</v>
      </c>
      <c r="I38" s="170">
        <v>6598</v>
      </c>
      <c r="J38" s="170">
        <v>6407</v>
      </c>
      <c r="K38" s="170">
        <v>6220</v>
      </c>
      <c r="L38" s="170">
        <v>6038</v>
      </c>
      <c r="M38" s="170">
        <v>5998</v>
      </c>
      <c r="N38" s="170">
        <v>6536</v>
      </c>
      <c r="O38" s="170">
        <v>7254</v>
      </c>
      <c r="P38" s="170">
        <v>7729</v>
      </c>
      <c r="Q38" s="170">
        <v>8083</v>
      </c>
      <c r="R38" s="170">
        <v>8262</v>
      </c>
      <c r="S38" s="170">
        <v>8012</v>
      </c>
      <c r="T38" s="170">
        <v>7905</v>
      </c>
      <c r="U38" s="170">
        <v>7997</v>
      </c>
      <c r="V38" s="170">
        <v>7990</v>
      </c>
      <c r="W38" s="170">
        <v>7795</v>
      </c>
      <c r="X38" s="170">
        <v>7928</v>
      </c>
      <c r="Y38" s="170">
        <v>8633</v>
      </c>
      <c r="Z38" s="170">
        <v>8552</v>
      </c>
      <c r="AA38" s="170">
        <v>8337</v>
      </c>
      <c r="AB38" s="170">
        <v>8069</v>
      </c>
      <c r="AC38" s="170">
        <v>7691</v>
      </c>
      <c r="AD38" s="170">
        <v>7319</v>
      </c>
    </row>
    <row r="39" spans="2:30" ht="15" customHeight="1" x14ac:dyDescent="0.25">
      <c r="B39" s="166">
        <v>2027</v>
      </c>
      <c r="C39" s="167">
        <v>10</v>
      </c>
      <c r="D39" s="168"/>
      <c r="E39" s="162" t="s">
        <v>21</v>
      </c>
      <c r="F39" s="163">
        <v>5</v>
      </c>
      <c r="G39" s="169">
        <v>7642</v>
      </c>
      <c r="H39" s="170">
        <v>7322</v>
      </c>
      <c r="I39" s="170">
        <v>7035</v>
      </c>
      <c r="J39" s="170">
        <v>6827</v>
      </c>
      <c r="K39" s="170">
        <v>6696</v>
      </c>
      <c r="L39" s="170">
        <v>6433</v>
      </c>
      <c r="M39" s="170">
        <v>6202</v>
      </c>
      <c r="N39" s="170">
        <v>6436</v>
      </c>
      <c r="O39" s="170">
        <v>6740</v>
      </c>
      <c r="P39" s="170">
        <v>7016</v>
      </c>
      <c r="Q39" s="170">
        <v>7224</v>
      </c>
      <c r="R39" s="170">
        <v>7469</v>
      </c>
      <c r="S39" s="170">
        <v>7565</v>
      </c>
      <c r="T39" s="170">
        <v>7488</v>
      </c>
      <c r="U39" s="170">
        <v>7555</v>
      </c>
      <c r="V39" s="170">
        <v>7673</v>
      </c>
      <c r="W39" s="170">
        <v>7618</v>
      </c>
      <c r="X39" s="170">
        <v>7918</v>
      </c>
      <c r="Y39" s="170">
        <v>8868</v>
      </c>
      <c r="Z39" s="170">
        <v>8855</v>
      </c>
      <c r="AA39" s="170">
        <v>8723</v>
      </c>
      <c r="AB39" s="170">
        <v>8458</v>
      </c>
      <c r="AC39" s="170">
        <v>8007</v>
      </c>
      <c r="AD39" s="170">
        <v>7577</v>
      </c>
    </row>
    <row r="40" spans="2:30" ht="15" customHeight="1" thickBot="1" x14ac:dyDescent="0.3">
      <c r="B40" s="166">
        <v>2027</v>
      </c>
      <c r="C40" s="171">
        <v>10</v>
      </c>
      <c r="D40" s="172"/>
      <c r="E40" s="162" t="s">
        <v>22</v>
      </c>
      <c r="F40" s="163">
        <v>1</v>
      </c>
      <c r="G40" s="173">
        <v>7713</v>
      </c>
      <c r="H40" s="174">
        <v>7475</v>
      </c>
      <c r="I40" s="174">
        <v>7270</v>
      </c>
      <c r="J40" s="174">
        <v>7115</v>
      </c>
      <c r="K40" s="174">
        <v>7039</v>
      </c>
      <c r="L40" s="174">
        <v>6742</v>
      </c>
      <c r="M40" s="174">
        <v>6574</v>
      </c>
      <c r="N40" s="174">
        <v>6967</v>
      </c>
      <c r="O40" s="174">
        <v>7482</v>
      </c>
      <c r="P40" s="174">
        <v>7931</v>
      </c>
      <c r="Q40" s="174">
        <v>8367</v>
      </c>
      <c r="R40" s="174">
        <v>8707</v>
      </c>
      <c r="S40" s="174">
        <v>8761</v>
      </c>
      <c r="T40" s="174">
        <v>8632</v>
      </c>
      <c r="U40" s="174">
        <v>8521</v>
      </c>
      <c r="V40" s="174">
        <v>8438</v>
      </c>
      <c r="W40" s="174">
        <v>8385</v>
      </c>
      <c r="X40" s="174">
        <v>8672</v>
      </c>
      <c r="Y40" s="174">
        <v>9181</v>
      </c>
      <c r="Z40" s="174">
        <v>9285</v>
      </c>
      <c r="AA40" s="174">
        <v>8910</v>
      </c>
      <c r="AB40" s="174">
        <v>8410</v>
      </c>
      <c r="AC40" s="174">
        <v>7922</v>
      </c>
      <c r="AD40" s="174">
        <v>7502</v>
      </c>
    </row>
    <row r="41" spans="2:30" ht="15" customHeight="1" x14ac:dyDescent="0.25">
      <c r="B41" s="166">
        <v>2027</v>
      </c>
      <c r="C41" s="175">
        <v>11</v>
      </c>
      <c r="D41" s="161">
        <v>7347516</v>
      </c>
      <c r="E41" s="162" t="s">
        <v>19</v>
      </c>
      <c r="F41" s="163">
        <v>20</v>
      </c>
      <c r="G41" s="169">
        <v>9227</v>
      </c>
      <c r="H41" s="170">
        <v>8888</v>
      </c>
      <c r="I41" s="170">
        <v>8634</v>
      </c>
      <c r="J41" s="170">
        <v>8438</v>
      </c>
      <c r="K41" s="170">
        <v>8337</v>
      </c>
      <c r="L41" s="170">
        <v>8131</v>
      </c>
      <c r="M41" s="170">
        <v>8047</v>
      </c>
      <c r="N41" s="170">
        <v>8813</v>
      </c>
      <c r="O41" s="170">
        <v>9814</v>
      </c>
      <c r="P41" s="170">
        <v>10429</v>
      </c>
      <c r="Q41" s="170">
        <v>10898</v>
      </c>
      <c r="R41" s="170">
        <v>11163</v>
      </c>
      <c r="S41" s="170">
        <v>10629</v>
      </c>
      <c r="T41" s="170">
        <v>11022</v>
      </c>
      <c r="U41" s="170">
        <v>11745</v>
      </c>
      <c r="V41" s="170">
        <v>11868</v>
      </c>
      <c r="W41" s="170">
        <v>11475</v>
      </c>
      <c r="X41" s="170">
        <v>11437</v>
      </c>
      <c r="Y41" s="170">
        <v>12088</v>
      </c>
      <c r="Z41" s="170">
        <v>11973</v>
      </c>
      <c r="AA41" s="170">
        <v>11718</v>
      </c>
      <c r="AB41" s="170">
        <v>11229</v>
      </c>
      <c r="AC41" s="170">
        <v>10518</v>
      </c>
      <c r="AD41" s="170">
        <v>9878</v>
      </c>
    </row>
    <row r="42" spans="2:30" ht="15" customHeight="1" x14ac:dyDescent="0.25">
      <c r="B42" s="166">
        <v>2027</v>
      </c>
      <c r="C42" s="167">
        <v>11</v>
      </c>
      <c r="D42" s="168"/>
      <c r="E42" s="162" t="s">
        <v>20</v>
      </c>
      <c r="F42" s="163">
        <v>4</v>
      </c>
      <c r="G42" s="169">
        <v>10427</v>
      </c>
      <c r="H42" s="170">
        <v>10056</v>
      </c>
      <c r="I42" s="170">
        <v>9738</v>
      </c>
      <c r="J42" s="170">
        <v>9482</v>
      </c>
      <c r="K42" s="170">
        <v>9324</v>
      </c>
      <c r="L42" s="170">
        <v>8953</v>
      </c>
      <c r="M42" s="170">
        <v>8766</v>
      </c>
      <c r="N42" s="170">
        <v>9466</v>
      </c>
      <c r="O42" s="170">
        <v>10378</v>
      </c>
      <c r="P42" s="170">
        <v>11107</v>
      </c>
      <c r="Q42" s="170">
        <v>11576</v>
      </c>
      <c r="R42" s="170">
        <v>12011</v>
      </c>
      <c r="S42" s="170">
        <v>11771</v>
      </c>
      <c r="T42" s="170">
        <v>11579</v>
      </c>
      <c r="U42" s="170">
        <v>11604</v>
      </c>
      <c r="V42" s="170">
        <v>11533</v>
      </c>
      <c r="W42" s="170">
        <v>11237</v>
      </c>
      <c r="X42" s="170">
        <v>11678</v>
      </c>
      <c r="Y42" s="170">
        <v>12652</v>
      </c>
      <c r="Z42" s="170">
        <v>12604</v>
      </c>
      <c r="AA42" s="170">
        <v>12262</v>
      </c>
      <c r="AB42" s="170">
        <v>11822</v>
      </c>
      <c r="AC42" s="170">
        <v>11257</v>
      </c>
      <c r="AD42" s="170">
        <v>10671</v>
      </c>
    </row>
    <row r="43" spans="2:30" ht="15" customHeight="1" x14ac:dyDescent="0.25">
      <c r="B43" s="166">
        <v>2027</v>
      </c>
      <c r="C43" s="167">
        <v>11</v>
      </c>
      <c r="D43" s="168"/>
      <c r="E43" s="162" t="s">
        <v>21</v>
      </c>
      <c r="F43" s="163">
        <v>4</v>
      </c>
      <c r="G43" s="169">
        <v>9295</v>
      </c>
      <c r="H43" s="170">
        <v>8978</v>
      </c>
      <c r="I43" s="170">
        <v>8743</v>
      </c>
      <c r="J43" s="170">
        <v>8585</v>
      </c>
      <c r="K43" s="170">
        <v>8488</v>
      </c>
      <c r="L43" s="170">
        <v>7914</v>
      </c>
      <c r="M43" s="170">
        <v>7586</v>
      </c>
      <c r="N43" s="170">
        <v>8030</v>
      </c>
      <c r="O43" s="170">
        <v>8538</v>
      </c>
      <c r="P43" s="170">
        <v>8896</v>
      </c>
      <c r="Q43" s="170">
        <v>9194</v>
      </c>
      <c r="R43" s="170">
        <v>9474</v>
      </c>
      <c r="S43" s="170">
        <v>9589</v>
      </c>
      <c r="T43" s="170">
        <v>9560</v>
      </c>
      <c r="U43" s="170">
        <v>9564</v>
      </c>
      <c r="V43" s="170">
        <v>9593</v>
      </c>
      <c r="W43" s="170">
        <v>9532</v>
      </c>
      <c r="X43" s="170">
        <v>9965</v>
      </c>
      <c r="Y43" s="170">
        <v>11094</v>
      </c>
      <c r="Z43" s="170">
        <v>11330</v>
      </c>
      <c r="AA43" s="170">
        <v>11253</v>
      </c>
      <c r="AB43" s="170">
        <v>10857</v>
      </c>
      <c r="AC43" s="170">
        <v>10286</v>
      </c>
      <c r="AD43" s="170">
        <v>9678</v>
      </c>
    </row>
    <row r="44" spans="2:30" ht="15" customHeight="1" thickBot="1" x14ac:dyDescent="0.3">
      <c r="B44" s="166">
        <v>2027</v>
      </c>
      <c r="C44" s="171">
        <v>11</v>
      </c>
      <c r="D44" s="172"/>
      <c r="E44" s="162" t="s">
        <v>22</v>
      </c>
      <c r="F44" s="163">
        <v>2</v>
      </c>
      <c r="G44" s="173">
        <v>9636</v>
      </c>
      <c r="H44" s="174">
        <v>9216</v>
      </c>
      <c r="I44" s="174">
        <v>8921</v>
      </c>
      <c r="J44" s="174">
        <v>8668</v>
      </c>
      <c r="K44" s="174">
        <v>8501</v>
      </c>
      <c r="L44" s="174">
        <v>8158</v>
      </c>
      <c r="M44" s="174">
        <v>7902</v>
      </c>
      <c r="N44" s="174">
        <v>8405</v>
      </c>
      <c r="O44" s="174">
        <v>9009</v>
      </c>
      <c r="P44" s="174">
        <v>9469</v>
      </c>
      <c r="Q44" s="174">
        <v>9826</v>
      </c>
      <c r="R44" s="174">
        <v>10086</v>
      </c>
      <c r="S44" s="174">
        <v>10069</v>
      </c>
      <c r="T44" s="174">
        <v>9912</v>
      </c>
      <c r="U44" s="174">
        <v>9998</v>
      </c>
      <c r="V44" s="174">
        <v>10115</v>
      </c>
      <c r="W44" s="174">
        <v>10042</v>
      </c>
      <c r="X44" s="174">
        <v>10515</v>
      </c>
      <c r="Y44" s="174">
        <v>11584</v>
      </c>
      <c r="Z44" s="174">
        <v>11602</v>
      </c>
      <c r="AA44" s="174">
        <v>11317</v>
      </c>
      <c r="AB44" s="174">
        <v>10918</v>
      </c>
      <c r="AC44" s="174">
        <v>10263</v>
      </c>
      <c r="AD44" s="174">
        <v>9684</v>
      </c>
    </row>
    <row r="45" spans="2:30" ht="15" customHeight="1" x14ac:dyDescent="0.25">
      <c r="B45" s="166">
        <v>2027</v>
      </c>
      <c r="C45" s="175">
        <v>12</v>
      </c>
      <c r="D45" s="161">
        <v>12082893</v>
      </c>
      <c r="E45" s="162" t="s">
        <v>19</v>
      </c>
      <c r="F45" s="163">
        <v>22</v>
      </c>
      <c r="G45" s="169">
        <v>14014</v>
      </c>
      <c r="H45" s="170">
        <v>13456</v>
      </c>
      <c r="I45" s="170">
        <v>13047</v>
      </c>
      <c r="J45" s="170">
        <v>12709</v>
      </c>
      <c r="K45" s="170">
        <v>12571</v>
      </c>
      <c r="L45" s="170">
        <v>12292</v>
      </c>
      <c r="M45" s="170">
        <v>11860</v>
      </c>
      <c r="N45" s="170">
        <v>13041</v>
      </c>
      <c r="O45" s="170">
        <v>14511</v>
      </c>
      <c r="P45" s="170">
        <v>15582</v>
      </c>
      <c r="Q45" s="170">
        <v>16325</v>
      </c>
      <c r="R45" s="170">
        <v>16860</v>
      </c>
      <c r="S45" s="170">
        <v>16134</v>
      </c>
      <c r="T45" s="170">
        <v>16503</v>
      </c>
      <c r="U45" s="170">
        <v>17489</v>
      </c>
      <c r="V45" s="170">
        <v>17557</v>
      </c>
      <c r="W45" s="170">
        <v>17036</v>
      </c>
      <c r="X45" s="170">
        <v>16711</v>
      </c>
      <c r="Y45" s="170">
        <v>17910</v>
      </c>
      <c r="Z45" s="170">
        <v>17694</v>
      </c>
      <c r="AA45" s="170">
        <v>17298</v>
      </c>
      <c r="AB45" s="170">
        <v>16712</v>
      </c>
      <c r="AC45" s="170">
        <v>15841</v>
      </c>
      <c r="AD45" s="170">
        <v>14958</v>
      </c>
    </row>
    <row r="46" spans="2:30" ht="15" customHeight="1" x14ac:dyDescent="0.25">
      <c r="B46" s="166">
        <v>2027</v>
      </c>
      <c r="C46" s="167">
        <v>12</v>
      </c>
      <c r="D46" s="168"/>
      <c r="E46" s="162" t="s">
        <v>20</v>
      </c>
      <c r="F46" s="163">
        <v>3</v>
      </c>
      <c r="G46" s="169">
        <v>24262</v>
      </c>
      <c r="H46" s="170">
        <v>23432</v>
      </c>
      <c r="I46" s="170">
        <v>22445</v>
      </c>
      <c r="J46" s="170">
        <v>21866</v>
      </c>
      <c r="K46" s="170">
        <v>21573</v>
      </c>
      <c r="L46" s="170">
        <v>21331</v>
      </c>
      <c r="M46" s="170">
        <v>20346</v>
      </c>
      <c r="N46" s="170">
        <v>21758</v>
      </c>
      <c r="O46" s="170">
        <v>23905</v>
      </c>
      <c r="P46" s="170">
        <v>25374</v>
      </c>
      <c r="Q46" s="170">
        <v>26382</v>
      </c>
      <c r="R46" s="170">
        <v>26708</v>
      </c>
      <c r="S46" s="170">
        <v>25842</v>
      </c>
      <c r="T46" s="170">
        <v>25315</v>
      </c>
      <c r="U46" s="170">
        <v>25598</v>
      </c>
      <c r="V46" s="170">
        <v>25563</v>
      </c>
      <c r="W46" s="170">
        <v>25463</v>
      </c>
      <c r="X46" s="170">
        <v>25943</v>
      </c>
      <c r="Y46" s="170">
        <v>28738</v>
      </c>
      <c r="Z46" s="170">
        <v>28414</v>
      </c>
      <c r="AA46" s="170">
        <v>27757</v>
      </c>
      <c r="AB46" s="170">
        <v>26743</v>
      </c>
      <c r="AC46" s="170">
        <v>25648</v>
      </c>
      <c r="AD46" s="170">
        <v>24391</v>
      </c>
    </row>
    <row r="47" spans="2:30" ht="15" customHeight="1" x14ac:dyDescent="0.25">
      <c r="B47" s="166">
        <v>2027</v>
      </c>
      <c r="C47" s="167">
        <v>12</v>
      </c>
      <c r="D47" s="168"/>
      <c r="E47" s="162" t="s">
        <v>21</v>
      </c>
      <c r="F47" s="163">
        <v>4</v>
      </c>
      <c r="G47" s="169">
        <v>15117</v>
      </c>
      <c r="H47" s="170">
        <v>14598</v>
      </c>
      <c r="I47" s="170">
        <v>14201</v>
      </c>
      <c r="J47" s="170">
        <v>13714</v>
      </c>
      <c r="K47" s="170">
        <v>13427</v>
      </c>
      <c r="L47" s="170">
        <v>13109</v>
      </c>
      <c r="M47" s="170">
        <v>12350</v>
      </c>
      <c r="N47" s="170">
        <v>13180</v>
      </c>
      <c r="O47" s="170">
        <v>13958</v>
      </c>
      <c r="P47" s="170">
        <v>14683</v>
      </c>
      <c r="Q47" s="170">
        <v>15337</v>
      </c>
      <c r="R47" s="170">
        <v>15756</v>
      </c>
      <c r="S47" s="170">
        <v>16024</v>
      </c>
      <c r="T47" s="170">
        <v>15984</v>
      </c>
      <c r="U47" s="170">
        <v>15929</v>
      </c>
      <c r="V47" s="170">
        <v>15909</v>
      </c>
      <c r="W47" s="170">
        <v>15865</v>
      </c>
      <c r="X47" s="170">
        <v>16249</v>
      </c>
      <c r="Y47" s="170">
        <v>18207</v>
      </c>
      <c r="Z47" s="170">
        <v>18273</v>
      </c>
      <c r="AA47" s="170">
        <v>17772</v>
      </c>
      <c r="AB47" s="170">
        <v>17119</v>
      </c>
      <c r="AC47" s="170">
        <v>16522</v>
      </c>
      <c r="AD47" s="170">
        <v>15574</v>
      </c>
    </row>
    <row r="48" spans="2:30" ht="15" customHeight="1" thickBot="1" x14ac:dyDescent="0.3">
      <c r="B48" s="166">
        <v>2027</v>
      </c>
      <c r="C48" s="171">
        <v>12</v>
      </c>
      <c r="D48" s="172"/>
      <c r="E48" s="162" t="s">
        <v>22</v>
      </c>
      <c r="F48" s="163">
        <v>2</v>
      </c>
      <c r="G48" s="173">
        <v>15099</v>
      </c>
      <c r="H48" s="174">
        <v>14811</v>
      </c>
      <c r="I48" s="174">
        <v>14493</v>
      </c>
      <c r="J48" s="174">
        <v>14156</v>
      </c>
      <c r="K48" s="174">
        <v>13926</v>
      </c>
      <c r="L48" s="174">
        <v>13414</v>
      </c>
      <c r="M48" s="174">
        <v>12344</v>
      </c>
      <c r="N48" s="174">
        <v>12661</v>
      </c>
      <c r="O48" s="174">
        <v>13433</v>
      </c>
      <c r="P48" s="174">
        <v>14112</v>
      </c>
      <c r="Q48" s="174">
        <v>14725</v>
      </c>
      <c r="R48" s="174">
        <v>15143</v>
      </c>
      <c r="S48" s="174">
        <v>15021</v>
      </c>
      <c r="T48" s="174">
        <v>15110</v>
      </c>
      <c r="U48" s="174">
        <v>15175</v>
      </c>
      <c r="V48" s="174">
        <v>15260</v>
      </c>
      <c r="W48" s="174">
        <v>15232</v>
      </c>
      <c r="X48" s="174">
        <v>15484</v>
      </c>
      <c r="Y48" s="174">
        <v>17518</v>
      </c>
      <c r="Z48" s="174">
        <v>17734</v>
      </c>
      <c r="AA48" s="174">
        <v>17742</v>
      </c>
      <c r="AB48" s="174">
        <v>17310</v>
      </c>
      <c r="AC48" s="174">
        <v>16589</v>
      </c>
      <c r="AD48" s="174">
        <v>15824</v>
      </c>
    </row>
  </sheetData>
  <mergeCells count="13">
    <mergeCell ref="C37:C40"/>
    <mergeCell ref="C41:C44"/>
    <mergeCell ref="C45:C48"/>
    <mergeCell ref="B4:B48"/>
    <mergeCell ref="C4:C7"/>
    <mergeCell ref="C8:C10"/>
    <mergeCell ref="C11:C14"/>
    <mergeCell ref="C15:C17"/>
    <mergeCell ref="C18:C21"/>
    <mergeCell ref="C22:C25"/>
    <mergeCell ref="C26:C29"/>
    <mergeCell ref="C30:C33"/>
    <mergeCell ref="C34:C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A442-0AF3-4740-AFE8-D05CF9536076}">
  <dimension ref="B1:AD49"/>
  <sheetViews>
    <sheetView showGridLines="0" workbookViewId="0">
      <selection activeCell="D4" sqref="D4:D49"/>
    </sheetView>
  </sheetViews>
  <sheetFormatPr baseColWidth="10" defaultRowHeight="15" x14ac:dyDescent="0.25"/>
  <cols>
    <col min="1" max="1" width="5.5703125" customWidth="1"/>
    <col min="2" max="2" width="5" customWidth="1"/>
    <col min="3" max="3" width="3.42578125" bestFit="1" customWidth="1"/>
    <col min="4" max="4" width="7.85546875" bestFit="1" customWidth="1"/>
    <col min="5" max="5" width="2.7109375" bestFit="1" customWidth="1"/>
    <col min="6" max="6" width="2.5703125" bestFit="1" customWidth="1"/>
    <col min="7" max="7" width="5.7109375" bestFit="1" customWidth="1"/>
    <col min="8" max="16" width="4.85546875" bestFit="1" customWidth="1"/>
    <col min="17" max="30" width="5.7109375" bestFit="1" customWidth="1"/>
  </cols>
  <sheetData>
    <row r="1" spans="2:30" ht="15.75" x14ac:dyDescent="0.25">
      <c r="B1" s="154" t="s">
        <v>83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2" spans="2:30" ht="15.75" thickBot="1" x14ac:dyDescent="0.3"/>
    <row r="3" spans="2:30" ht="23.25" thickBot="1" x14ac:dyDescent="0.3">
      <c r="B3" s="156" t="s">
        <v>23</v>
      </c>
      <c r="C3" s="156" t="s">
        <v>18</v>
      </c>
      <c r="D3" s="157" t="s">
        <v>56</v>
      </c>
      <c r="E3" s="156" t="s">
        <v>57</v>
      </c>
      <c r="F3" s="156" t="s">
        <v>58</v>
      </c>
      <c r="G3" s="158" t="s">
        <v>59</v>
      </c>
      <c r="H3" s="158" t="s">
        <v>60</v>
      </c>
      <c r="I3" s="158" t="s">
        <v>61</v>
      </c>
      <c r="J3" s="158" t="s">
        <v>62</v>
      </c>
      <c r="K3" s="158" t="s">
        <v>63</v>
      </c>
      <c r="L3" s="158" t="s">
        <v>64</v>
      </c>
      <c r="M3" s="158" t="s">
        <v>65</v>
      </c>
      <c r="N3" s="158" t="s">
        <v>66</v>
      </c>
      <c r="O3" s="158" t="s">
        <v>67</v>
      </c>
      <c r="P3" s="158" t="s">
        <v>68</v>
      </c>
      <c r="Q3" s="158" t="s">
        <v>69</v>
      </c>
      <c r="R3" s="158" t="s">
        <v>70</v>
      </c>
      <c r="S3" s="158" t="s">
        <v>71</v>
      </c>
      <c r="T3" s="158" t="s">
        <v>72</v>
      </c>
      <c r="U3" s="158" t="s">
        <v>73</v>
      </c>
      <c r="V3" s="158" t="s">
        <v>74</v>
      </c>
      <c r="W3" s="158" t="s">
        <v>75</v>
      </c>
      <c r="X3" s="158" t="s">
        <v>76</v>
      </c>
      <c r="Y3" s="158" t="s">
        <v>77</v>
      </c>
      <c r="Z3" s="158" t="s">
        <v>78</v>
      </c>
      <c r="AA3" s="158" t="s">
        <v>79</v>
      </c>
      <c r="AB3" s="158" t="s">
        <v>80</v>
      </c>
      <c r="AC3" s="158" t="s">
        <v>81</v>
      </c>
      <c r="AD3" s="158" t="s">
        <v>82</v>
      </c>
    </row>
    <row r="4" spans="2:30" ht="15" customHeight="1" x14ac:dyDescent="0.25">
      <c r="B4" s="176">
        <v>2028</v>
      </c>
      <c r="C4" s="160">
        <v>1</v>
      </c>
      <c r="D4" s="161">
        <v>4090714</v>
      </c>
      <c r="E4" s="162" t="s">
        <v>19</v>
      </c>
      <c r="F4" s="163">
        <v>20</v>
      </c>
      <c r="G4" s="164">
        <v>5372</v>
      </c>
      <c r="H4" s="165">
        <v>5153</v>
      </c>
      <c r="I4" s="165">
        <v>4987</v>
      </c>
      <c r="J4" s="165">
        <v>4870</v>
      </c>
      <c r="K4" s="165">
        <v>4812</v>
      </c>
      <c r="L4" s="165">
        <v>4773</v>
      </c>
      <c r="M4" s="165">
        <v>4489</v>
      </c>
      <c r="N4" s="165">
        <v>4890</v>
      </c>
      <c r="O4" s="165">
        <v>5439</v>
      </c>
      <c r="P4" s="165">
        <v>5790</v>
      </c>
      <c r="Q4" s="165">
        <v>6073</v>
      </c>
      <c r="R4" s="165">
        <v>6262</v>
      </c>
      <c r="S4" s="165">
        <v>6007</v>
      </c>
      <c r="T4" s="165">
        <v>6259</v>
      </c>
      <c r="U4" s="165">
        <v>6699</v>
      </c>
      <c r="V4" s="165">
        <v>6738</v>
      </c>
      <c r="W4" s="165">
        <v>6580</v>
      </c>
      <c r="X4" s="165">
        <v>6314</v>
      </c>
      <c r="Y4" s="165">
        <v>6782</v>
      </c>
      <c r="Z4" s="165">
        <v>6874</v>
      </c>
      <c r="AA4" s="165">
        <v>6729</v>
      </c>
      <c r="AB4" s="165">
        <v>6496</v>
      </c>
      <c r="AC4" s="165">
        <v>6115</v>
      </c>
      <c r="AD4" s="165">
        <v>5716</v>
      </c>
    </row>
    <row r="5" spans="2:30" ht="15" customHeight="1" x14ac:dyDescent="0.25">
      <c r="B5" s="166">
        <v>2028</v>
      </c>
      <c r="C5" s="167">
        <v>1</v>
      </c>
      <c r="D5" s="168"/>
      <c r="E5" s="162" t="s">
        <v>20</v>
      </c>
      <c r="F5" s="163">
        <v>4</v>
      </c>
      <c r="G5" s="169">
        <v>5230</v>
      </c>
      <c r="H5" s="170">
        <v>5027</v>
      </c>
      <c r="I5" s="170">
        <v>4867</v>
      </c>
      <c r="J5" s="170">
        <v>4740</v>
      </c>
      <c r="K5" s="170">
        <v>4673</v>
      </c>
      <c r="L5" s="170">
        <v>4613</v>
      </c>
      <c r="M5" s="170">
        <v>4331</v>
      </c>
      <c r="N5" s="170">
        <v>4677</v>
      </c>
      <c r="O5" s="170">
        <v>5172</v>
      </c>
      <c r="P5" s="170">
        <v>5511</v>
      </c>
      <c r="Q5" s="170">
        <v>5734</v>
      </c>
      <c r="R5" s="170">
        <v>5905</v>
      </c>
      <c r="S5" s="170">
        <v>5784</v>
      </c>
      <c r="T5" s="170">
        <v>5748</v>
      </c>
      <c r="U5" s="170">
        <v>5725</v>
      </c>
      <c r="V5" s="170">
        <v>5791</v>
      </c>
      <c r="W5" s="170">
        <v>5688</v>
      </c>
      <c r="X5" s="170">
        <v>5649</v>
      </c>
      <c r="Y5" s="170">
        <v>6293</v>
      </c>
      <c r="Z5" s="170">
        <v>6392</v>
      </c>
      <c r="AA5" s="170">
        <v>6244</v>
      </c>
      <c r="AB5" s="170">
        <v>6036</v>
      </c>
      <c r="AC5" s="170">
        <v>5714</v>
      </c>
      <c r="AD5" s="170">
        <v>5422</v>
      </c>
    </row>
    <row r="6" spans="2:30" ht="15" customHeight="1" x14ac:dyDescent="0.25">
      <c r="B6" s="166">
        <v>2028</v>
      </c>
      <c r="C6" s="167">
        <v>1</v>
      </c>
      <c r="D6" s="168"/>
      <c r="E6" s="162" t="s">
        <v>21</v>
      </c>
      <c r="F6" s="163">
        <v>5</v>
      </c>
      <c r="G6" s="169">
        <v>4371</v>
      </c>
      <c r="H6" s="170">
        <v>4190</v>
      </c>
      <c r="I6" s="170">
        <v>4053</v>
      </c>
      <c r="J6" s="170">
        <v>3954</v>
      </c>
      <c r="K6" s="170">
        <v>3898</v>
      </c>
      <c r="L6" s="170">
        <v>3836</v>
      </c>
      <c r="M6" s="170">
        <v>3531</v>
      </c>
      <c r="N6" s="170">
        <v>3685</v>
      </c>
      <c r="O6" s="170">
        <v>3914</v>
      </c>
      <c r="P6" s="170">
        <v>4087</v>
      </c>
      <c r="Q6" s="170">
        <v>4252</v>
      </c>
      <c r="R6" s="170">
        <v>4374</v>
      </c>
      <c r="S6" s="170">
        <v>4404</v>
      </c>
      <c r="T6" s="170">
        <v>4397</v>
      </c>
      <c r="U6" s="170">
        <v>4373</v>
      </c>
      <c r="V6" s="170">
        <v>4390</v>
      </c>
      <c r="W6" s="170">
        <v>4417</v>
      </c>
      <c r="X6" s="170">
        <v>4444</v>
      </c>
      <c r="Y6" s="170">
        <v>5058</v>
      </c>
      <c r="Z6" s="170">
        <v>5244</v>
      </c>
      <c r="AA6" s="170">
        <v>5216</v>
      </c>
      <c r="AB6" s="170">
        <v>5034</v>
      </c>
      <c r="AC6" s="170">
        <v>4776</v>
      </c>
      <c r="AD6" s="170">
        <v>4486</v>
      </c>
    </row>
    <row r="7" spans="2:30" ht="15" customHeight="1" thickBot="1" x14ac:dyDescent="0.3">
      <c r="B7" s="166">
        <v>2028</v>
      </c>
      <c r="C7" s="171">
        <v>1</v>
      </c>
      <c r="D7" s="172"/>
      <c r="E7" s="162" t="s">
        <v>22</v>
      </c>
      <c r="F7" s="163">
        <v>2</v>
      </c>
      <c r="G7" s="173">
        <v>4872</v>
      </c>
      <c r="H7" s="174">
        <v>4747</v>
      </c>
      <c r="I7" s="174">
        <v>4637</v>
      </c>
      <c r="J7" s="174">
        <v>4550</v>
      </c>
      <c r="K7" s="174">
        <v>4488</v>
      </c>
      <c r="L7" s="174">
        <v>4383</v>
      </c>
      <c r="M7" s="174">
        <v>4053</v>
      </c>
      <c r="N7" s="174">
        <v>4232</v>
      </c>
      <c r="O7" s="174">
        <v>4527</v>
      </c>
      <c r="P7" s="174">
        <v>4794</v>
      </c>
      <c r="Q7" s="174">
        <v>4965</v>
      </c>
      <c r="R7" s="174">
        <v>5106</v>
      </c>
      <c r="S7" s="174">
        <v>5111</v>
      </c>
      <c r="T7" s="174">
        <v>5054</v>
      </c>
      <c r="U7" s="174">
        <v>5043</v>
      </c>
      <c r="V7" s="174">
        <v>5041</v>
      </c>
      <c r="W7" s="174">
        <v>5032</v>
      </c>
      <c r="X7" s="174">
        <v>5101</v>
      </c>
      <c r="Y7" s="174">
        <v>5865</v>
      </c>
      <c r="Z7" s="174">
        <v>6031</v>
      </c>
      <c r="AA7" s="174">
        <v>5995</v>
      </c>
      <c r="AB7" s="174">
        <v>5814</v>
      </c>
      <c r="AC7" s="174">
        <v>5553</v>
      </c>
      <c r="AD7" s="174">
        <v>5281</v>
      </c>
    </row>
    <row r="8" spans="2:30" ht="15" customHeight="1" x14ac:dyDescent="0.25">
      <c r="B8" s="166">
        <v>2028</v>
      </c>
      <c r="C8" s="175">
        <v>2</v>
      </c>
      <c r="D8" s="161">
        <v>5260320</v>
      </c>
      <c r="E8" s="162" t="s">
        <v>19</v>
      </c>
      <c r="F8" s="163">
        <v>21</v>
      </c>
      <c r="G8" s="169">
        <v>7012</v>
      </c>
      <c r="H8" s="170">
        <v>6750</v>
      </c>
      <c r="I8" s="170">
        <v>6538</v>
      </c>
      <c r="J8" s="170">
        <v>6378</v>
      </c>
      <c r="K8" s="170">
        <v>6298</v>
      </c>
      <c r="L8" s="170">
        <v>6433</v>
      </c>
      <c r="M8" s="170">
        <v>6094</v>
      </c>
      <c r="N8" s="170">
        <v>6523</v>
      </c>
      <c r="O8" s="170">
        <v>7164</v>
      </c>
      <c r="P8" s="170">
        <v>7564</v>
      </c>
      <c r="Q8" s="170">
        <v>7880</v>
      </c>
      <c r="R8" s="170">
        <v>8092</v>
      </c>
      <c r="S8" s="170">
        <v>7648</v>
      </c>
      <c r="T8" s="170">
        <v>8019</v>
      </c>
      <c r="U8" s="170">
        <v>8680</v>
      </c>
      <c r="V8" s="170">
        <v>8779</v>
      </c>
      <c r="W8" s="170">
        <v>8588</v>
      </c>
      <c r="X8" s="170">
        <v>8225</v>
      </c>
      <c r="Y8" s="170">
        <v>8753</v>
      </c>
      <c r="Z8" s="170">
        <v>8937</v>
      </c>
      <c r="AA8" s="170">
        <v>8829</v>
      </c>
      <c r="AB8" s="170">
        <v>8513</v>
      </c>
      <c r="AC8" s="170">
        <v>7967</v>
      </c>
      <c r="AD8" s="170">
        <v>7448</v>
      </c>
    </row>
    <row r="9" spans="2:30" ht="15" customHeight="1" x14ac:dyDescent="0.25">
      <c r="B9" s="166">
        <v>2028</v>
      </c>
      <c r="C9" s="167">
        <v>2</v>
      </c>
      <c r="D9" s="168"/>
      <c r="E9" s="162" t="s">
        <v>20</v>
      </c>
      <c r="F9" s="163">
        <v>4</v>
      </c>
      <c r="G9" s="169">
        <v>7219</v>
      </c>
      <c r="H9" s="170">
        <v>6955</v>
      </c>
      <c r="I9" s="170">
        <v>6757</v>
      </c>
      <c r="J9" s="170">
        <v>6594</v>
      </c>
      <c r="K9" s="170">
        <v>6503</v>
      </c>
      <c r="L9" s="170">
        <v>6437</v>
      </c>
      <c r="M9" s="170">
        <v>6056</v>
      </c>
      <c r="N9" s="170">
        <v>6451</v>
      </c>
      <c r="O9" s="170">
        <v>7104</v>
      </c>
      <c r="P9" s="170">
        <v>7587</v>
      </c>
      <c r="Q9" s="170">
        <v>7926</v>
      </c>
      <c r="R9" s="170">
        <v>8109</v>
      </c>
      <c r="S9" s="170">
        <v>7964</v>
      </c>
      <c r="T9" s="170">
        <v>7886</v>
      </c>
      <c r="U9" s="170">
        <v>8012</v>
      </c>
      <c r="V9" s="170">
        <v>8002</v>
      </c>
      <c r="W9" s="170">
        <v>7893</v>
      </c>
      <c r="X9" s="170">
        <v>7752</v>
      </c>
      <c r="Y9" s="170">
        <v>8562</v>
      </c>
      <c r="Z9" s="170">
        <v>8743</v>
      </c>
      <c r="AA9" s="170">
        <v>8593</v>
      </c>
      <c r="AB9" s="170">
        <v>8246</v>
      </c>
      <c r="AC9" s="170">
        <v>7847</v>
      </c>
      <c r="AD9" s="170">
        <v>7446</v>
      </c>
    </row>
    <row r="10" spans="2:30" ht="15" customHeight="1" thickBot="1" x14ac:dyDescent="0.3">
      <c r="B10" s="166">
        <v>2028</v>
      </c>
      <c r="C10" s="171">
        <v>2</v>
      </c>
      <c r="D10" s="168"/>
      <c r="E10" s="162" t="s">
        <v>21</v>
      </c>
      <c r="F10" s="163">
        <v>4</v>
      </c>
      <c r="G10" s="173">
        <v>7128</v>
      </c>
      <c r="H10" s="174">
        <v>6889</v>
      </c>
      <c r="I10" s="174">
        <v>6684</v>
      </c>
      <c r="J10" s="174">
        <v>6536</v>
      </c>
      <c r="K10" s="174">
        <v>6442</v>
      </c>
      <c r="L10" s="174">
        <v>6341</v>
      </c>
      <c r="M10" s="174">
        <v>5803</v>
      </c>
      <c r="N10" s="174">
        <v>6063</v>
      </c>
      <c r="O10" s="174">
        <v>6383</v>
      </c>
      <c r="P10" s="174">
        <v>6695</v>
      </c>
      <c r="Q10" s="174">
        <v>6975</v>
      </c>
      <c r="R10" s="174">
        <v>7237</v>
      </c>
      <c r="S10" s="174">
        <v>7289</v>
      </c>
      <c r="T10" s="174">
        <v>7313</v>
      </c>
      <c r="U10" s="174">
        <v>7391</v>
      </c>
      <c r="V10" s="174">
        <v>7467</v>
      </c>
      <c r="W10" s="174">
        <v>7421</v>
      </c>
      <c r="X10" s="174">
        <v>7422</v>
      </c>
      <c r="Y10" s="174">
        <v>8319</v>
      </c>
      <c r="Z10" s="174">
        <v>8698</v>
      </c>
      <c r="AA10" s="174">
        <v>8745</v>
      </c>
      <c r="AB10" s="174">
        <v>8444</v>
      </c>
      <c r="AC10" s="174">
        <v>7961</v>
      </c>
      <c r="AD10" s="174">
        <v>7452</v>
      </c>
    </row>
    <row r="11" spans="2:30" ht="15" customHeight="1" x14ac:dyDescent="0.25">
      <c r="B11" s="166">
        <v>2028</v>
      </c>
      <c r="C11" s="175">
        <v>3</v>
      </c>
      <c r="D11" s="161">
        <v>5328105</v>
      </c>
      <c r="E11" s="162" t="s">
        <v>19</v>
      </c>
      <c r="F11" s="163">
        <v>22</v>
      </c>
      <c r="G11" s="169">
        <v>6261</v>
      </c>
      <c r="H11" s="170">
        <v>6017</v>
      </c>
      <c r="I11" s="170">
        <v>5849</v>
      </c>
      <c r="J11" s="170">
        <v>5705</v>
      </c>
      <c r="K11" s="170">
        <v>5639</v>
      </c>
      <c r="L11" s="170">
        <v>5692</v>
      </c>
      <c r="M11" s="170">
        <v>5417</v>
      </c>
      <c r="N11" s="170">
        <v>5831</v>
      </c>
      <c r="O11" s="170">
        <v>6394</v>
      </c>
      <c r="P11" s="170">
        <v>6758</v>
      </c>
      <c r="Q11" s="170">
        <v>7062</v>
      </c>
      <c r="R11" s="170">
        <v>7271</v>
      </c>
      <c r="S11" s="170">
        <v>6862</v>
      </c>
      <c r="T11" s="170">
        <v>7157</v>
      </c>
      <c r="U11" s="170">
        <v>7673</v>
      </c>
      <c r="V11" s="170">
        <v>7755</v>
      </c>
      <c r="W11" s="170">
        <v>7569</v>
      </c>
      <c r="X11" s="170">
        <v>7264</v>
      </c>
      <c r="Y11" s="170">
        <v>7802</v>
      </c>
      <c r="Z11" s="170">
        <v>7948</v>
      </c>
      <c r="AA11" s="170">
        <v>7831</v>
      </c>
      <c r="AB11" s="170">
        <v>7529</v>
      </c>
      <c r="AC11" s="170">
        <v>7049</v>
      </c>
      <c r="AD11" s="170">
        <v>6628</v>
      </c>
    </row>
    <row r="12" spans="2:30" ht="15" customHeight="1" x14ac:dyDescent="0.25">
      <c r="B12" s="166">
        <v>2028</v>
      </c>
      <c r="C12" s="167">
        <v>3</v>
      </c>
      <c r="D12" s="168"/>
      <c r="E12" s="162" t="s">
        <v>20</v>
      </c>
      <c r="F12" s="163">
        <v>4</v>
      </c>
      <c r="G12" s="169">
        <v>7673</v>
      </c>
      <c r="H12" s="170">
        <v>7403</v>
      </c>
      <c r="I12" s="170">
        <v>7190</v>
      </c>
      <c r="J12" s="170">
        <v>7010</v>
      </c>
      <c r="K12" s="170">
        <v>6885</v>
      </c>
      <c r="L12" s="170">
        <v>6796</v>
      </c>
      <c r="M12" s="170">
        <v>6429</v>
      </c>
      <c r="N12" s="170">
        <v>6840</v>
      </c>
      <c r="O12" s="170">
        <v>7548</v>
      </c>
      <c r="P12" s="170">
        <v>8042</v>
      </c>
      <c r="Q12" s="170">
        <v>8438</v>
      </c>
      <c r="R12" s="170">
        <v>8641</v>
      </c>
      <c r="S12" s="170">
        <v>8396</v>
      </c>
      <c r="T12" s="170">
        <v>8285</v>
      </c>
      <c r="U12" s="170">
        <v>8340</v>
      </c>
      <c r="V12" s="170">
        <v>8393</v>
      </c>
      <c r="W12" s="170">
        <v>8226</v>
      </c>
      <c r="X12" s="170">
        <v>8164</v>
      </c>
      <c r="Y12" s="170">
        <v>9108</v>
      </c>
      <c r="Z12" s="170">
        <v>9250</v>
      </c>
      <c r="AA12" s="170">
        <v>9062</v>
      </c>
      <c r="AB12" s="170">
        <v>8775</v>
      </c>
      <c r="AC12" s="170">
        <v>8359</v>
      </c>
      <c r="AD12" s="170">
        <v>7984</v>
      </c>
    </row>
    <row r="13" spans="2:30" ht="15" customHeight="1" x14ac:dyDescent="0.25">
      <c r="B13" s="166">
        <v>2028</v>
      </c>
      <c r="C13" s="167">
        <v>3</v>
      </c>
      <c r="D13" s="168"/>
      <c r="E13" s="162" t="s">
        <v>21</v>
      </c>
      <c r="F13" s="163">
        <v>4</v>
      </c>
      <c r="G13" s="169">
        <v>7583</v>
      </c>
      <c r="H13" s="170">
        <v>7339</v>
      </c>
      <c r="I13" s="170">
        <v>7123</v>
      </c>
      <c r="J13" s="170">
        <v>6963</v>
      </c>
      <c r="K13" s="170">
        <v>6844</v>
      </c>
      <c r="L13" s="170">
        <v>6681</v>
      </c>
      <c r="M13" s="170">
        <v>6253</v>
      </c>
      <c r="N13" s="170">
        <v>6524</v>
      </c>
      <c r="O13" s="170">
        <v>6681</v>
      </c>
      <c r="P13" s="170">
        <v>6757</v>
      </c>
      <c r="Q13" s="170">
        <v>7288</v>
      </c>
      <c r="R13" s="170">
        <v>7584</v>
      </c>
      <c r="S13" s="170">
        <v>7700</v>
      </c>
      <c r="T13" s="170">
        <v>7688</v>
      </c>
      <c r="U13" s="170">
        <v>7825</v>
      </c>
      <c r="V13" s="170">
        <v>7718</v>
      </c>
      <c r="W13" s="170">
        <v>7586</v>
      </c>
      <c r="X13" s="170">
        <v>7805</v>
      </c>
      <c r="Y13" s="170">
        <v>8799</v>
      </c>
      <c r="Z13" s="170">
        <v>9118</v>
      </c>
      <c r="AA13" s="170">
        <v>9119</v>
      </c>
      <c r="AB13" s="170">
        <v>8848</v>
      </c>
      <c r="AC13" s="170">
        <v>8419</v>
      </c>
      <c r="AD13" s="170">
        <v>7864</v>
      </c>
    </row>
    <row r="14" spans="2:30" ht="15" customHeight="1" thickBot="1" x14ac:dyDescent="0.3">
      <c r="B14" s="166">
        <v>2028</v>
      </c>
      <c r="C14" s="171">
        <v>3</v>
      </c>
      <c r="D14" s="172"/>
      <c r="E14" s="162" t="s">
        <v>22</v>
      </c>
      <c r="F14" s="163">
        <v>1</v>
      </c>
      <c r="G14" s="173">
        <v>10117</v>
      </c>
      <c r="H14" s="174">
        <v>9690</v>
      </c>
      <c r="I14" s="174">
        <v>9396</v>
      </c>
      <c r="J14" s="174">
        <v>9181</v>
      </c>
      <c r="K14" s="174">
        <v>9069</v>
      </c>
      <c r="L14" s="174">
        <v>8815</v>
      </c>
      <c r="M14" s="174">
        <v>8382</v>
      </c>
      <c r="N14" s="174">
        <v>8792</v>
      </c>
      <c r="O14" s="174">
        <v>9306</v>
      </c>
      <c r="P14" s="174">
        <v>9759</v>
      </c>
      <c r="Q14" s="174">
        <v>10215</v>
      </c>
      <c r="R14" s="174">
        <v>10707</v>
      </c>
      <c r="S14" s="174">
        <v>10845</v>
      </c>
      <c r="T14" s="174">
        <v>10888</v>
      </c>
      <c r="U14" s="174">
        <v>10881</v>
      </c>
      <c r="V14" s="174">
        <v>10870</v>
      </c>
      <c r="W14" s="174">
        <v>10747</v>
      </c>
      <c r="X14" s="174">
        <v>10733</v>
      </c>
      <c r="Y14" s="174">
        <v>12075</v>
      </c>
      <c r="Z14" s="174">
        <v>12516</v>
      </c>
      <c r="AA14" s="174">
        <v>12478</v>
      </c>
      <c r="AB14" s="174">
        <v>12080</v>
      </c>
      <c r="AC14" s="174">
        <v>11388</v>
      </c>
      <c r="AD14" s="174">
        <v>10605</v>
      </c>
    </row>
    <row r="15" spans="2:30" ht="15" customHeight="1" x14ac:dyDescent="0.25">
      <c r="B15" s="166">
        <v>2028</v>
      </c>
      <c r="C15" s="175">
        <v>4</v>
      </c>
      <c r="D15" s="161">
        <v>3587449</v>
      </c>
      <c r="E15" s="162" t="s">
        <v>19</v>
      </c>
      <c r="F15" s="163">
        <v>18</v>
      </c>
      <c r="G15" s="169">
        <v>4962</v>
      </c>
      <c r="H15" s="170">
        <v>4801</v>
      </c>
      <c r="I15" s="170">
        <v>4678</v>
      </c>
      <c r="J15" s="170">
        <v>4570</v>
      </c>
      <c r="K15" s="170">
        <v>4540</v>
      </c>
      <c r="L15" s="170">
        <v>4521</v>
      </c>
      <c r="M15" s="170">
        <v>4399</v>
      </c>
      <c r="N15" s="170">
        <v>4780</v>
      </c>
      <c r="O15" s="170">
        <v>5285</v>
      </c>
      <c r="P15" s="170">
        <v>5699</v>
      </c>
      <c r="Q15" s="170">
        <v>5959</v>
      </c>
      <c r="R15" s="170">
        <v>5979</v>
      </c>
      <c r="S15" s="170">
        <v>5728</v>
      </c>
      <c r="T15" s="170">
        <v>6018</v>
      </c>
      <c r="U15" s="170">
        <v>6434</v>
      </c>
      <c r="V15" s="170">
        <v>6419</v>
      </c>
      <c r="W15" s="170">
        <v>6137</v>
      </c>
      <c r="X15" s="170">
        <v>6012</v>
      </c>
      <c r="Y15" s="170">
        <v>6462</v>
      </c>
      <c r="Z15" s="170">
        <v>6538</v>
      </c>
      <c r="AA15" s="170">
        <v>6351</v>
      </c>
      <c r="AB15" s="170">
        <v>6071</v>
      </c>
      <c r="AC15" s="170">
        <v>5676</v>
      </c>
      <c r="AD15" s="170">
        <v>5253</v>
      </c>
    </row>
    <row r="16" spans="2:30" ht="15" customHeight="1" x14ac:dyDescent="0.25">
      <c r="B16" s="166">
        <v>2028</v>
      </c>
      <c r="C16" s="167">
        <v>4</v>
      </c>
      <c r="D16" s="168"/>
      <c r="E16" s="162" t="s">
        <v>20</v>
      </c>
      <c r="F16" s="163">
        <v>5</v>
      </c>
      <c r="G16" s="169">
        <v>4317</v>
      </c>
      <c r="H16" s="170">
        <v>4150</v>
      </c>
      <c r="I16" s="170">
        <v>4021</v>
      </c>
      <c r="J16" s="170">
        <v>3926</v>
      </c>
      <c r="K16" s="170">
        <v>3873</v>
      </c>
      <c r="L16" s="170">
        <v>3778</v>
      </c>
      <c r="M16" s="170">
        <v>3639</v>
      </c>
      <c r="N16" s="170">
        <v>3919</v>
      </c>
      <c r="O16" s="170">
        <v>4269</v>
      </c>
      <c r="P16" s="170">
        <v>4503</v>
      </c>
      <c r="Q16" s="170">
        <v>4704</v>
      </c>
      <c r="R16" s="170">
        <v>4873</v>
      </c>
      <c r="S16" s="170">
        <v>4811</v>
      </c>
      <c r="T16" s="170">
        <v>4787</v>
      </c>
      <c r="U16" s="170">
        <v>4879</v>
      </c>
      <c r="V16" s="170">
        <v>4890</v>
      </c>
      <c r="W16" s="170">
        <v>4817</v>
      </c>
      <c r="X16" s="170">
        <v>4784</v>
      </c>
      <c r="Y16" s="170">
        <v>5349</v>
      </c>
      <c r="Z16" s="170">
        <v>5422</v>
      </c>
      <c r="AA16" s="170">
        <v>5275</v>
      </c>
      <c r="AB16" s="170">
        <v>5092</v>
      </c>
      <c r="AC16" s="170">
        <v>4792</v>
      </c>
      <c r="AD16" s="170">
        <v>4549</v>
      </c>
    </row>
    <row r="17" spans="2:30" ht="15" customHeight="1" x14ac:dyDescent="0.25">
      <c r="B17" s="166">
        <v>2028</v>
      </c>
      <c r="C17" s="167">
        <v>4</v>
      </c>
      <c r="D17" s="168"/>
      <c r="E17" s="162" t="s">
        <v>21</v>
      </c>
      <c r="F17" s="163">
        <v>5</v>
      </c>
      <c r="G17" s="169">
        <v>4056</v>
      </c>
      <c r="H17" s="170">
        <v>3913</v>
      </c>
      <c r="I17" s="170">
        <v>3799</v>
      </c>
      <c r="J17" s="170">
        <v>3702</v>
      </c>
      <c r="K17" s="170">
        <v>3634</v>
      </c>
      <c r="L17" s="170">
        <v>3525</v>
      </c>
      <c r="M17" s="170">
        <v>3348</v>
      </c>
      <c r="N17" s="170">
        <v>3512</v>
      </c>
      <c r="O17" s="170">
        <v>3737</v>
      </c>
      <c r="P17" s="170">
        <v>3865</v>
      </c>
      <c r="Q17" s="170">
        <v>3967</v>
      </c>
      <c r="R17" s="170">
        <v>4118</v>
      </c>
      <c r="S17" s="170">
        <v>4182</v>
      </c>
      <c r="T17" s="170">
        <v>4205</v>
      </c>
      <c r="U17" s="170">
        <v>4267</v>
      </c>
      <c r="V17" s="170">
        <v>4290</v>
      </c>
      <c r="W17" s="170">
        <v>4248</v>
      </c>
      <c r="X17" s="170">
        <v>4245</v>
      </c>
      <c r="Y17" s="170">
        <v>4803</v>
      </c>
      <c r="Z17" s="170">
        <v>4940</v>
      </c>
      <c r="AA17" s="170">
        <v>4887</v>
      </c>
      <c r="AB17" s="170">
        <v>4663</v>
      </c>
      <c r="AC17" s="170">
        <v>4332</v>
      </c>
      <c r="AD17" s="170">
        <v>4046</v>
      </c>
    </row>
    <row r="18" spans="2:30" ht="15" customHeight="1" thickBot="1" x14ac:dyDescent="0.3">
      <c r="B18" s="166">
        <v>2028</v>
      </c>
      <c r="C18" s="171">
        <v>4</v>
      </c>
      <c r="D18" s="172"/>
      <c r="E18" s="162" t="s">
        <v>22</v>
      </c>
      <c r="F18" s="163">
        <v>2</v>
      </c>
      <c r="G18" s="173">
        <v>3265</v>
      </c>
      <c r="H18" s="174">
        <v>3123</v>
      </c>
      <c r="I18" s="174">
        <v>3038</v>
      </c>
      <c r="J18" s="174">
        <v>2981</v>
      </c>
      <c r="K18" s="174">
        <v>2943</v>
      </c>
      <c r="L18" s="174">
        <v>2837</v>
      </c>
      <c r="M18" s="174">
        <v>2682</v>
      </c>
      <c r="N18" s="174">
        <v>2776</v>
      </c>
      <c r="O18" s="174">
        <v>2858</v>
      </c>
      <c r="P18" s="174">
        <v>2891</v>
      </c>
      <c r="Q18" s="174">
        <v>2935</v>
      </c>
      <c r="R18" s="174">
        <v>3034</v>
      </c>
      <c r="S18" s="174">
        <v>3079</v>
      </c>
      <c r="T18" s="174">
        <v>3076</v>
      </c>
      <c r="U18" s="174">
        <v>3090</v>
      </c>
      <c r="V18" s="174">
        <v>3109</v>
      </c>
      <c r="W18" s="174">
        <v>3087</v>
      </c>
      <c r="X18" s="174">
        <v>3106</v>
      </c>
      <c r="Y18" s="174">
        <v>3565</v>
      </c>
      <c r="Z18" s="174">
        <v>3676</v>
      </c>
      <c r="AA18" s="174">
        <v>3642</v>
      </c>
      <c r="AB18" s="174">
        <v>3551</v>
      </c>
      <c r="AC18" s="174">
        <v>3412</v>
      </c>
      <c r="AD18" s="174">
        <v>3263</v>
      </c>
    </row>
    <row r="19" spans="2:30" ht="15" customHeight="1" x14ac:dyDescent="0.25">
      <c r="B19" s="166">
        <v>2028</v>
      </c>
      <c r="C19" s="175">
        <v>5</v>
      </c>
      <c r="D19" s="161">
        <v>2080658</v>
      </c>
      <c r="E19" s="162" t="s">
        <v>19</v>
      </c>
      <c r="F19" s="163">
        <v>21</v>
      </c>
      <c r="G19" s="169">
        <v>2549</v>
      </c>
      <c r="H19" s="170">
        <v>2447</v>
      </c>
      <c r="I19" s="170">
        <v>2376</v>
      </c>
      <c r="J19" s="170">
        <v>2324</v>
      </c>
      <c r="K19" s="170">
        <v>2310</v>
      </c>
      <c r="L19" s="170">
        <v>2307</v>
      </c>
      <c r="M19" s="170">
        <v>2288</v>
      </c>
      <c r="N19" s="170">
        <v>2524</v>
      </c>
      <c r="O19" s="170">
        <v>2769</v>
      </c>
      <c r="P19" s="170">
        <v>2916</v>
      </c>
      <c r="Q19" s="170">
        <v>3036</v>
      </c>
      <c r="R19" s="170">
        <v>3114</v>
      </c>
      <c r="S19" s="170">
        <v>2959</v>
      </c>
      <c r="T19" s="170">
        <v>3063</v>
      </c>
      <c r="U19" s="170">
        <v>3283</v>
      </c>
      <c r="V19" s="170">
        <v>3289</v>
      </c>
      <c r="W19" s="170">
        <v>3205</v>
      </c>
      <c r="X19" s="170">
        <v>3085</v>
      </c>
      <c r="Y19" s="170">
        <v>3344</v>
      </c>
      <c r="Z19" s="170">
        <v>3387</v>
      </c>
      <c r="AA19" s="170">
        <v>3306</v>
      </c>
      <c r="AB19" s="170">
        <v>3144</v>
      </c>
      <c r="AC19" s="170">
        <v>2917</v>
      </c>
      <c r="AD19" s="170">
        <v>2714</v>
      </c>
    </row>
    <row r="20" spans="2:30" ht="15" customHeight="1" x14ac:dyDescent="0.25">
      <c r="B20" s="166">
        <v>2028</v>
      </c>
      <c r="C20" s="167">
        <v>5</v>
      </c>
      <c r="D20" s="168"/>
      <c r="E20" s="162" t="s">
        <v>20</v>
      </c>
      <c r="F20" s="163">
        <v>4</v>
      </c>
      <c r="G20" s="169">
        <v>2650</v>
      </c>
      <c r="H20" s="170">
        <v>2546</v>
      </c>
      <c r="I20" s="170">
        <v>2463</v>
      </c>
      <c r="J20" s="170">
        <v>2404</v>
      </c>
      <c r="K20" s="170">
        <v>2373</v>
      </c>
      <c r="L20" s="170">
        <v>2278</v>
      </c>
      <c r="M20" s="170">
        <v>2230</v>
      </c>
      <c r="N20" s="170">
        <v>2395</v>
      </c>
      <c r="O20" s="170">
        <v>2639</v>
      </c>
      <c r="P20" s="170">
        <v>2777</v>
      </c>
      <c r="Q20" s="170">
        <v>2904</v>
      </c>
      <c r="R20" s="170">
        <v>2986</v>
      </c>
      <c r="S20" s="170">
        <v>2887</v>
      </c>
      <c r="T20" s="170">
        <v>2838</v>
      </c>
      <c r="U20" s="170">
        <v>2853</v>
      </c>
      <c r="V20" s="170">
        <v>2858</v>
      </c>
      <c r="W20" s="170">
        <v>2811</v>
      </c>
      <c r="X20" s="170">
        <v>2816</v>
      </c>
      <c r="Y20" s="170">
        <v>3150</v>
      </c>
      <c r="Z20" s="170">
        <v>3159</v>
      </c>
      <c r="AA20" s="170">
        <v>3059</v>
      </c>
      <c r="AB20" s="170">
        <v>2934</v>
      </c>
      <c r="AC20" s="170">
        <v>2769</v>
      </c>
      <c r="AD20" s="170">
        <v>2593</v>
      </c>
    </row>
    <row r="21" spans="2:30" ht="15" customHeight="1" x14ac:dyDescent="0.25">
      <c r="B21" s="166">
        <v>2028</v>
      </c>
      <c r="C21" s="167">
        <v>5</v>
      </c>
      <c r="D21" s="168"/>
      <c r="E21" s="162" t="s">
        <v>21</v>
      </c>
      <c r="F21" s="163">
        <v>4</v>
      </c>
      <c r="G21" s="169">
        <v>2524</v>
      </c>
      <c r="H21" s="170">
        <v>2429</v>
      </c>
      <c r="I21" s="170">
        <v>2364</v>
      </c>
      <c r="J21" s="170">
        <v>2281</v>
      </c>
      <c r="K21" s="170">
        <v>2255</v>
      </c>
      <c r="L21" s="170">
        <v>2147</v>
      </c>
      <c r="M21" s="170">
        <v>2030</v>
      </c>
      <c r="N21" s="170">
        <v>2143</v>
      </c>
      <c r="O21" s="170">
        <v>2327</v>
      </c>
      <c r="P21" s="170">
        <v>2446</v>
      </c>
      <c r="Q21" s="170">
        <v>2531</v>
      </c>
      <c r="R21" s="170">
        <v>2629</v>
      </c>
      <c r="S21" s="170">
        <v>2645</v>
      </c>
      <c r="T21" s="170">
        <v>2639</v>
      </c>
      <c r="U21" s="170">
        <v>2647</v>
      </c>
      <c r="V21" s="170">
        <v>2656</v>
      </c>
      <c r="W21" s="170">
        <v>2653</v>
      </c>
      <c r="X21" s="170">
        <v>2669</v>
      </c>
      <c r="Y21" s="170">
        <v>3020</v>
      </c>
      <c r="Z21" s="170">
        <v>3110</v>
      </c>
      <c r="AA21" s="170">
        <v>3119</v>
      </c>
      <c r="AB21" s="170">
        <v>3032</v>
      </c>
      <c r="AC21" s="170">
        <v>2860</v>
      </c>
      <c r="AD21" s="170">
        <v>2692</v>
      </c>
    </row>
    <row r="22" spans="2:30" ht="15" customHeight="1" thickBot="1" x14ac:dyDescent="0.3">
      <c r="B22" s="166">
        <v>2028</v>
      </c>
      <c r="C22" s="171">
        <v>5</v>
      </c>
      <c r="D22" s="172"/>
      <c r="E22" s="162" t="s">
        <v>22</v>
      </c>
      <c r="F22" s="163">
        <v>2</v>
      </c>
      <c r="G22" s="173">
        <v>2570</v>
      </c>
      <c r="H22" s="174">
        <v>2458</v>
      </c>
      <c r="I22" s="174">
        <v>2388</v>
      </c>
      <c r="J22" s="174">
        <v>2319</v>
      </c>
      <c r="K22" s="174">
        <v>2263</v>
      </c>
      <c r="L22" s="174">
        <v>2125</v>
      </c>
      <c r="M22" s="174">
        <v>2103</v>
      </c>
      <c r="N22" s="174">
        <v>2257</v>
      </c>
      <c r="O22" s="174">
        <v>2419</v>
      </c>
      <c r="P22" s="174">
        <v>2568</v>
      </c>
      <c r="Q22" s="174">
        <v>2681</v>
      </c>
      <c r="R22" s="174">
        <v>2832</v>
      </c>
      <c r="S22" s="174">
        <v>2851</v>
      </c>
      <c r="T22" s="174">
        <v>2860</v>
      </c>
      <c r="U22" s="174">
        <v>2906</v>
      </c>
      <c r="V22" s="174">
        <v>2919</v>
      </c>
      <c r="W22" s="174">
        <v>2868</v>
      </c>
      <c r="X22" s="174">
        <v>2849</v>
      </c>
      <c r="Y22" s="174">
        <v>3225</v>
      </c>
      <c r="Z22" s="174">
        <v>3340</v>
      </c>
      <c r="AA22" s="174">
        <v>3300</v>
      </c>
      <c r="AB22" s="174">
        <v>3147</v>
      </c>
      <c r="AC22" s="174">
        <v>2970</v>
      </c>
      <c r="AD22" s="174">
        <v>2783</v>
      </c>
    </row>
    <row r="23" spans="2:30" ht="15" customHeight="1" x14ac:dyDescent="0.25">
      <c r="B23" s="166">
        <v>2028</v>
      </c>
      <c r="C23" s="175">
        <v>6</v>
      </c>
      <c r="D23" s="161">
        <v>550116</v>
      </c>
      <c r="E23" s="162" t="s">
        <v>19</v>
      </c>
      <c r="F23" s="163">
        <v>20</v>
      </c>
      <c r="G23" s="169">
        <v>666</v>
      </c>
      <c r="H23" s="170">
        <v>632</v>
      </c>
      <c r="I23" s="170">
        <v>616</v>
      </c>
      <c r="J23" s="170">
        <v>606</v>
      </c>
      <c r="K23" s="170">
        <v>615</v>
      </c>
      <c r="L23" s="170">
        <v>610</v>
      </c>
      <c r="M23" s="170">
        <v>603</v>
      </c>
      <c r="N23" s="170">
        <v>656</v>
      </c>
      <c r="O23" s="170">
        <v>723</v>
      </c>
      <c r="P23" s="170">
        <v>764</v>
      </c>
      <c r="Q23" s="170">
        <v>803</v>
      </c>
      <c r="R23" s="170">
        <v>830</v>
      </c>
      <c r="S23" s="170">
        <v>788</v>
      </c>
      <c r="T23" s="170">
        <v>811</v>
      </c>
      <c r="U23" s="170">
        <v>869</v>
      </c>
      <c r="V23" s="170">
        <v>870</v>
      </c>
      <c r="W23" s="170">
        <v>850</v>
      </c>
      <c r="X23" s="170">
        <v>815</v>
      </c>
      <c r="Y23" s="170">
        <v>882</v>
      </c>
      <c r="Z23" s="170">
        <v>899</v>
      </c>
      <c r="AA23" s="170">
        <v>874</v>
      </c>
      <c r="AB23" s="170">
        <v>830</v>
      </c>
      <c r="AC23" s="170">
        <v>769</v>
      </c>
      <c r="AD23" s="170">
        <v>713</v>
      </c>
    </row>
    <row r="24" spans="2:30" ht="15" customHeight="1" x14ac:dyDescent="0.25">
      <c r="B24" s="166">
        <v>2028</v>
      </c>
      <c r="C24" s="167">
        <v>6</v>
      </c>
      <c r="D24" s="168"/>
      <c r="E24" s="162" t="s">
        <v>20</v>
      </c>
      <c r="F24" s="163">
        <v>4</v>
      </c>
      <c r="G24" s="169">
        <v>760</v>
      </c>
      <c r="H24" s="170">
        <v>733</v>
      </c>
      <c r="I24" s="170">
        <v>708</v>
      </c>
      <c r="J24" s="170">
        <v>689</v>
      </c>
      <c r="K24" s="170">
        <v>684</v>
      </c>
      <c r="L24" s="170">
        <v>659</v>
      </c>
      <c r="M24" s="170">
        <v>646</v>
      </c>
      <c r="N24" s="170">
        <v>701</v>
      </c>
      <c r="O24" s="170">
        <v>766</v>
      </c>
      <c r="P24" s="170">
        <v>822</v>
      </c>
      <c r="Q24" s="170">
        <v>865</v>
      </c>
      <c r="R24" s="170">
        <v>888</v>
      </c>
      <c r="S24" s="170">
        <v>874</v>
      </c>
      <c r="T24" s="170">
        <v>875</v>
      </c>
      <c r="U24" s="170">
        <v>886</v>
      </c>
      <c r="V24" s="170">
        <v>866</v>
      </c>
      <c r="W24" s="170">
        <v>849</v>
      </c>
      <c r="X24" s="170">
        <v>848</v>
      </c>
      <c r="Y24" s="170">
        <v>949</v>
      </c>
      <c r="Z24" s="170">
        <v>975</v>
      </c>
      <c r="AA24" s="170">
        <v>953</v>
      </c>
      <c r="AB24" s="170">
        <v>907</v>
      </c>
      <c r="AC24" s="170">
        <v>856</v>
      </c>
      <c r="AD24" s="170">
        <v>809</v>
      </c>
    </row>
    <row r="25" spans="2:30" ht="15" customHeight="1" x14ac:dyDescent="0.25">
      <c r="B25" s="166">
        <v>2028</v>
      </c>
      <c r="C25" s="167">
        <v>6</v>
      </c>
      <c r="D25" s="168"/>
      <c r="E25" s="162" t="s">
        <v>21</v>
      </c>
      <c r="F25" s="163">
        <v>4</v>
      </c>
      <c r="G25" s="169">
        <v>765</v>
      </c>
      <c r="H25" s="170">
        <v>736</v>
      </c>
      <c r="I25" s="170">
        <v>717</v>
      </c>
      <c r="J25" s="170">
        <v>704</v>
      </c>
      <c r="K25" s="170">
        <v>694</v>
      </c>
      <c r="L25" s="170">
        <v>647</v>
      </c>
      <c r="M25" s="170">
        <v>621</v>
      </c>
      <c r="N25" s="170">
        <v>652</v>
      </c>
      <c r="O25" s="170">
        <v>691</v>
      </c>
      <c r="P25" s="170">
        <v>731</v>
      </c>
      <c r="Q25" s="170">
        <v>764</v>
      </c>
      <c r="R25" s="170">
        <v>788</v>
      </c>
      <c r="S25" s="170">
        <v>798</v>
      </c>
      <c r="T25" s="170">
        <v>805</v>
      </c>
      <c r="U25" s="170">
        <v>824</v>
      </c>
      <c r="V25" s="170">
        <v>822</v>
      </c>
      <c r="W25" s="170">
        <v>821</v>
      </c>
      <c r="X25" s="170">
        <v>820</v>
      </c>
      <c r="Y25" s="170">
        <v>925</v>
      </c>
      <c r="Z25" s="170">
        <v>962</v>
      </c>
      <c r="AA25" s="170">
        <v>951</v>
      </c>
      <c r="AB25" s="170">
        <v>912</v>
      </c>
      <c r="AC25" s="170">
        <v>859</v>
      </c>
      <c r="AD25" s="170">
        <v>809</v>
      </c>
    </row>
    <row r="26" spans="2:30" ht="15" customHeight="1" thickBot="1" x14ac:dyDescent="0.3">
      <c r="B26" s="166">
        <v>2028</v>
      </c>
      <c r="C26" s="171">
        <v>6</v>
      </c>
      <c r="D26" s="172"/>
      <c r="E26" s="162" t="s">
        <v>22</v>
      </c>
      <c r="F26" s="163">
        <v>2</v>
      </c>
      <c r="G26" s="173">
        <v>698</v>
      </c>
      <c r="H26" s="174">
        <v>674</v>
      </c>
      <c r="I26" s="174">
        <v>657</v>
      </c>
      <c r="J26" s="174">
        <v>642</v>
      </c>
      <c r="K26" s="174">
        <v>634</v>
      </c>
      <c r="L26" s="174">
        <v>590</v>
      </c>
      <c r="M26" s="174">
        <v>569</v>
      </c>
      <c r="N26" s="174">
        <v>606</v>
      </c>
      <c r="O26" s="174">
        <v>659</v>
      </c>
      <c r="P26" s="174">
        <v>691</v>
      </c>
      <c r="Q26" s="174">
        <v>710</v>
      </c>
      <c r="R26" s="174">
        <v>748</v>
      </c>
      <c r="S26" s="174">
        <v>756</v>
      </c>
      <c r="T26" s="174">
        <v>763</v>
      </c>
      <c r="U26" s="174">
        <v>803</v>
      </c>
      <c r="V26" s="174">
        <v>796</v>
      </c>
      <c r="W26" s="174">
        <v>758</v>
      </c>
      <c r="X26" s="174">
        <v>749</v>
      </c>
      <c r="Y26" s="174">
        <v>838</v>
      </c>
      <c r="Z26" s="174">
        <v>867</v>
      </c>
      <c r="AA26" s="174">
        <v>855</v>
      </c>
      <c r="AB26" s="174">
        <v>816</v>
      </c>
      <c r="AC26" s="174">
        <v>758</v>
      </c>
      <c r="AD26" s="174">
        <v>709</v>
      </c>
    </row>
    <row r="27" spans="2:30" ht="15" customHeight="1" x14ac:dyDescent="0.25">
      <c r="B27" s="166">
        <v>2028</v>
      </c>
      <c r="C27" s="175">
        <v>7</v>
      </c>
      <c r="D27" s="161">
        <v>2183478</v>
      </c>
      <c r="E27" s="162" t="s">
        <v>19</v>
      </c>
      <c r="F27" s="163">
        <v>19</v>
      </c>
      <c r="G27" s="169">
        <v>2836</v>
      </c>
      <c r="H27" s="170">
        <v>2733</v>
      </c>
      <c r="I27" s="170">
        <v>2654</v>
      </c>
      <c r="J27" s="170">
        <v>2594</v>
      </c>
      <c r="K27" s="170">
        <v>2586</v>
      </c>
      <c r="L27" s="170">
        <v>2592</v>
      </c>
      <c r="M27" s="170">
        <v>2529</v>
      </c>
      <c r="N27" s="170">
        <v>2729</v>
      </c>
      <c r="O27" s="170">
        <v>2977</v>
      </c>
      <c r="P27" s="170">
        <v>3154</v>
      </c>
      <c r="Q27" s="170">
        <v>3289</v>
      </c>
      <c r="R27" s="170">
        <v>3380</v>
      </c>
      <c r="S27" s="170">
        <v>3215</v>
      </c>
      <c r="T27" s="170">
        <v>3285</v>
      </c>
      <c r="U27" s="170">
        <v>3532</v>
      </c>
      <c r="V27" s="170">
        <v>3555</v>
      </c>
      <c r="W27" s="170">
        <v>3507</v>
      </c>
      <c r="X27" s="170">
        <v>3372</v>
      </c>
      <c r="Y27" s="170">
        <v>3640</v>
      </c>
      <c r="Z27" s="170">
        <v>3758</v>
      </c>
      <c r="AA27" s="170">
        <v>3662</v>
      </c>
      <c r="AB27" s="170">
        <v>3483</v>
      </c>
      <c r="AC27" s="170">
        <v>3217</v>
      </c>
      <c r="AD27" s="170">
        <v>2978</v>
      </c>
    </row>
    <row r="28" spans="2:30" ht="15" customHeight="1" x14ac:dyDescent="0.25">
      <c r="B28" s="166">
        <v>2028</v>
      </c>
      <c r="C28" s="167">
        <v>7</v>
      </c>
      <c r="D28" s="168"/>
      <c r="E28" s="162" t="s">
        <v>20</v>
      </c>
      <c r="F28" s="163">
        <v>5</v>
      </c>
      <c r="G28" s="169">
        <v>2264</v>
      </c>
      <c r="H28" s="170">
        <v>2207</v>
      </c>
      <c r="I28" s="170">
        <v>2146</v>
      </c>
      <c r="J28" s="170">
        <v>2105</v>
      </c>
      <c r="K28" s="170">
        <v>2087</v>
      </c>
      <c r="L28" s="170">
        <v>2041</v>
      </c>
      <c r="M28" s="170">
        <v>1996</v>
      </c>
      <c r="N28" s="170">
        <v>2180</v>
      </c>
      <c r="O28" s="170">
        <v>2401</v>
      </c>
      <c r="P28" s="170">
        <v>2535</v>
      </c>
      <c r="Q28" s="170">
        <v>2634</v>
      </c>
      <c r="R28" s="170">
        <v>2710</v>
      </c>
      <c r="S28" s="170">
        <v>2681</v>
      </c>
      <c r="T28" s="170">
        <v>2674</v>
      </c>
      <c r="U28" s="170">
        <v>2732</v>
      </c>
      <c r="V28" s="170">
        <v>2643</v>
      </c>
      <c r="W28" s="170">
        <v>2686</v>
      </c>
      <c r="X28" s="170">
        <v>2635</v>
      </c>
      <c r="Y28" s="170">
        <v>2919</v>
      </c>
      <c r="Z28" s="170">
        <v>3027</v>
      </c>
      <c r="AA28" s="170">
        <v>2956</v>
      </c>
      <c r="AB28" s="170">
        <v>2832</v>
      </c>
      <c r="AC28" s="170">
        <v>2667</v>
      </c>
      <c r="AD28" s="170">
        <v>2504</v>
      </c>
    </row>
    <row r="29" spans="2:30" ht="15" customHeight="1" x14ac:dyDescent="0.25">
      <c r="B29" s="166">
        <v>2028</v>
      </c>
      <c r="C29" s="167">
        <v>7</v>
      </c>
      <c r="D29" s="168"/>
      <c r="E29" s="162" t="s">
        <v>21</v>
      </c>
      <c r="F29" s="163">
        <v>5</v>
      </c>
      <c r="G29" s="169">
        <v>2554</v>
      </c>
      <c r="H29" s="170">
        <v>2456</v>
      </c>
      <c r="I29" s="170">
        <v>2397</v>
      </c>
      <c r="J29" s="170">
        <v>2312</v>
      </c>
      <c r="K29" s="170">
        <v>2300</v>
      </c>
      <c r="L29" s="170">
        <v>2223</v>
      </c>
      <c r="M29" s="170">
        <v>2102</v>
      </c>
      <c r="N29" s="170">
        <v>2253</v>
      </c>
      <c r="O29" s="170">
        <v>2450</v>
      </c>
      <c r="P29" s="170">
        <v>2568</v>
      </c>
      <c r="Q29" s="170">
        <v>2659</v>
      </c>
      <c r="R29" s="170">
        <v>2746</v>
      </c>
      <c r="S29" s="170">
        <v>2720</v>
      </c>
      <c r="T29" s="170">
        <v>2681</v>
      </c>
      <c r="U29" s="170">
        <v>2701</v>
      </c>
      <c r="V29" s="170">
        <v>2733</v>
      </c>
      <c r="W29" s="170">
        <v>2730</v>
      </c>
      <c r="X29" s="170">
        <v>2717</v>
      </c>
      <c r="Y29" s="170">
        <v>3006</v>
      </c>
      <c r="Z29" s="170">
        <v>3151</v>
      </c>
      <c r="AA29" s="170">
        <v>3095</v>
      </c>
      <c r="AB29" s="170">
        <v>2969</v>
      </c>
      <c r="AC29" s="170">
        <v>2789</v>
      </c>
      <c r="AD29" s="170">
        <v>2625</v>
      </c>
    </row>
    <row r="30" spans="2:30" ht="15" customHeight="1" thickBot="1" x14ac:dyDescent="0.3">
      <c r="B30" s="166">
        <v>2028</v>
      </c>
      <c r="C30" s="171">
        <v>7</v>
      </c>
      <c r="D30" s="172"/>
      <c r="E30" s="162" t="s">
        <v>22</v>
      </c>
      <c r="F30" s="163">
        <v>2</v>
      </c>
      <c r="G30" s="173">
        <v>2633</v>
      </c>
      <c r="H30" s="174">
        <v>2557</v>
      </c>
      <c r="I30" s="174">
        <v>2491</v>
      </c>
      <c r="J30" s="174">
        <v>2427</v>
      </c>
      <c r="K30" s="174">
        <v>2410</v>
      </c>
      <c r="L30" s="174">
        <v>2346</v>
      </c>
      <c r="M30" s="174">
        <v>2299</v>
      </c>
      <c r="N30" s="174">
        <v>2435</v>
      </c>
      <c r="O30" s="174">
        <v>2607</v>
      </c>
      <c r="P30" s="174">
        <v>2751</v>
      </c>
      <c r="Q30" s="174">
        <v>2874</v>
      </c>
      <c r="R30" s="174">
        <v>2990</v>
      </c>
      <c r="S30" s="174">
        <v>3196</v>
      </c>
      <c r="T30" s="174">
        <v>3084</v>
      </c>
      <c r="U30" s="174">
        <v>3062</v>
      </c>
      <c r="V30" s="174">
        <v>3090</v>
      </c>
      <c r="W30" s="174">
        <v>3049</v>
      </c>
      <c r="X30" s="174">
        <v>3021</v>
      </c>
      <c r="Y30" s="174">
        <v>3362</v>
      </c>
      <c r="Z30" s="174">
        <v>3493</v>
      </c>
      <c r="AA30" s="174">
        <v>3421</v>
      </c>
      <c r="AB30" s="174">
        <v>3276</v>
      </c>
      <c r="AC30" s="174">
        <v>3055</v>
      </c>
      <c r="AD30" s="174">
        <v>2871</v>
      </c>
    </row>
    <row r="31" spans="2:30" ht="15" customHeight="1" x14ac:dyDescent="0.25">
      <c r="B31" s="166">
        <v>2028</v>
      </c>
      <c r="C31" s="175">
        <v>8</v>
      </c>
      <c r="D31" s="161">
        <v>3471230</v>
      </c>
      <c r="E31" s="162" t="s">
        <v>19</v>
      </c>
      <c r="F31" s="163">
        <v>21</v>
      </c>
      <c r="G31" s="169">
        <v>4202</v>
      </c>
      <c r="H31" s="170">
        <v>4051</v>
      </c>
      <c r="I31" s="170">
        <v>3934</v>
      </c>
      <c r="J31" s="170">
        <v>3853</v>
      </c>
      <c r="K31" s="170">
        <v>3832</v>
      </c>
      <c r="L31" s="170">
        <v>3824</v>
      </c>
      <c r="M31" s="170">
        <v>3728</v>
      </c>
      <c r="N31" s="170">
        <v>4060</v>
      </c>
      <c r="O31" s="170">
        <v>4511</v>
      </c>
      <c r="P31" s="170">
        <v>4806</v>
      </c>
      <c r="Q31" s="170">
        <v>5048</v>
      </c>
      <c r="R31" s="170">
        <v>5213</v>
      </c>
      <c r="S31" s="170">
        <v>4940</v>
      </c>
      <c r="T31" s="170">
        <v>5139</v>
      </c>
      <c r="U31" s="170">
        <v>5486</v>
      </c>
      <c r="V31" s="170">
        <v>5488</v>
      </c>
      <c r="W31" s="170">
        <v>5336</v>
      </c>
      <c r="X31" s="170">
        <v>5086</v>
      </c>
      <c r="Y31" s="170">
        <v>5480</v>
      </c>
      <c r="Z31" s="170">
        <v>5626</v>
      </c>
      <c r="AA31" s="170">
        <v>5502</v>
      </c>
      <c r="AB31" s="170">
        <v>5239</v>
      </c>
      <c r="AC31" s="170">
        <v>4839</v>
      </c>
      <c r="AD31" s="170">
        <v>4503</v>
      </c>
    </row>
    <row r="32" spans="2:30" ht="15" customHeight="1" x14ac:dyDescent="0.25">
      <c r="B32" s="166">
        <v>2028</v>
      </c>
      <c r="C32" s="167">
        <v>8</v>
      </c>
      <c r="D32" s="168"/>
      <c r="E32" s="162" t="s">
        <v>20</v>
      </c>
      <c r="F32" s="163">
        <v>4</v>
      </c>
      <c r="G32" s="169">
        <v>4690</v>
      </c>
      <c r="H32" s="170">
        <v>4509</v>
      </c>
      <c r="I32" s="170">
        <v>4374</v>
      </c>
      <c r="J32" s="170">
        <v>4273</v>
      </c>
      <c r="K32" s="170">
        <v>4200</v>
      </c>
      <c r="L32" s="170">
        <v>4095</v>
      </c>
      <c r="M32" s="170">
        <v>3959</v>
      </c>
      <c r="N32" s="170">
        <v>4296</v>
      </c>
      <c r="O32" s="170">
        <v>4756</v>
      </c>
      <c r="P32" s="170">
        <v>5079</v>
      </c>
      <c r="Q32" s="170">
        <v>5317</v>
      </c>
      <c r="R32" s="170">
        <v>5482</v>
      </c>
      <c r="S32" s="170">
        <v>5390</v>
      </c>
      <c r="T32" s="170">
        <v>5449</v>
      </c>
      <c r="U32" s="170">
        <v>5524</v>
      </c>
      <c r="V32" s="170">
        <v>5497</v>
      </c>
      <c r="W32" s="170">
        <v>5363</v>
      </c>
      <c r="X32" s="170">
        <v>5302</v>
      </c>
      <c r="Y32" s="170">
        <v>5838</v>
      </c>
      <c r="Z32" s="170">
        <v>5977</v>
      </c>
      <c r="AA32" s="170">
        <v>5859</v>
      </c>
      <c r="AB32" s="170">
        <v>5621</v>
      </c>
      <c r="AC32" s="170">
        <v>5285</v>
      </c>
      <c r="AD32" s="170">
        <v>4851</v>
      </c>
    </row>
    <row r="33" spans="2:30" ht="15" customHeight="1" x14ac:dyDescent="0.25">
      <c r="B33" s="166">
        <v>2028</v>
      </c>
      <c r="C33" s="167">
        <v>8</v>
      </c>
      <c r="D33" s="168"/>
      <c r="E33" s="162" t="s">
        <v>21</v>
      </c>
      <c r="F33" s="163">
        <v>4</v>
      </c>
      <c r="G33" s="169">
        <v>3948</v>
      </c>
      <c r="H33" s="170">
        <v>3835</v>
      </c>
      <c r="I33" s="170">
        <v>3725</v>
      </c>
      <c r="J33" s="170">
        <v>3630</v>
      </c>
      <c r="K33" s="170">
        <v>3573</v>
      </c>
      <c r="L33" s="170">
        <v>3391</v>
      </c>
      <c r="M33" s="170">
        <v>3176</v>
      </c>
      <c r="N33" s="170">
        <v>3352</v>
      </c>
      <c r="O33" s="170">
        <v>3577</v>
      </c>
      <c r="P33" s="170">
        <v>3795</v>
      </c>
      <c r="Q33" s="170">
        <v>3959</v>
      </c>
      <c r="R33" s="170">
        <v>4109</v>
      </c>
      <c r="S33" s="170">
        <v>4143</v>
      </c>
      <c r="T33" s="170">
        <v>4198</v>
      </c>
      <c r="U33" s="170">
        <v>4211</v>
      </c>
      <c r="V33" s="170">
        <v>4218</v>
      </c>
      <c r="W33" s="170">
        <v>4178</v>
      </c>
      <c r="X33" s="170">
        <v>4150</v>
      </c>
      <c r="Y33" s="170">
        <v>4677</v>
      </c>
      <c r="Z33" s="170">
        <v>4882</v>
      </c>
      <c r="AA33" s="170">
        <v>4828</v>
      </c>
      <c r="AB33" s="170">
        <v>4622</v>
      </c>
      <c r="AC33" s="170">
        <v>4323</v>
      </c>
      <c r="AD33" s="170">
        <v>4064</v>
      </c>
    </row>
    <row r="34" spans="2:30" ht="15" customHeight="1" thickBot="1" x14ac:dyDescent="0.3">
      <c r="B34" s="166">
        <v>2028</v>
      </c>
      <c r="C34" s="171">
        <v>8</v>
      </c>
      <c r="D34" s="172"/>
      <c r="E34" s="162" t="s">
        <v>22</v>
      </c>
      <c r="F34" s="163">
        <v>2</v>
      </c>
      <c r="G34" s="173">
        <v>4215</v>
      </c>
      <c r="H34" s="174">
        <v>4071</v>
      </c>
      <c r="I34" s="174">
        <v>3951</v>
      </c>
      <c r="J34" s="174">
        <v>3787</v>
      </c>
      <c r="K34" s="174">
        <v>3810</v>
      </c>
      <c r="L34" s="174">
        <v>3719</v>
      </c>
      <c r="M34" s="174">
        <v>3532</v>
      </c>
      <c r="N34" s="174">
        <v>3767</v>
      </c>
      <c r="O34" s="174">
        <v>4059</v>
      </c>
      <c r="P34" s="174">
        <v>4323</v>
      </c>
      <c r="Q34" s="174">
        <v>4587</v>
      </c>
      <c r="R34" s="174">
        <v>4806</v>
      </c>
      <c r="S34" s="174">
        <v>4854</v>
      </c>
      <c r="T34" s="174">
        <v>4836</v>
      </c>
      <c r="U34" s="174">
        <v>4872</v>
      </c>
      <c r="V34" s="174">
        <v>4811</v>
      </c>
      <c r="W34" s="174">
        <v>3962</v>
      </c>
      <c r="X34" s="174">
        <v>4661</v>
      </c>
      <c r="Y34" s="174">
        <v>5185</v>
      </c>
      <c r="Z34" s="174">
        <v>5342</v>
      </c>
      <c r="AA34" s="174">
        <v>5223</v>
      </c>
      <c r="AB34" s="174">
        <v>4994</v>
      </c>
      <c r="AC34" s="174">
        <v>4667</v>
      </c>
      <c r="AD34" s="174">
        <v>4358</v>
      </c>
    </row>
    <row r="35" spans="2:30" ht="15" customHeight="1" x14ac:dyDescent="0.25">
      <c r="B35" s="166">
        <v>2028</v>
      </c>
      <c r="C35" s="175">
        <v>9</v>
      </c>
      <c r="D35" s="161">
        <v>604674</v>
      </c>
      <c r="E35" s="162" t="s">
        <v>19</v>
      </c>
      <c r="F35" s="163">
        <v>21</v>
      </c>
      <c r="G35" s="169">
        <v>779</v>
      </c>
      <c r="H35" s="170">
        <v>736</v>
      </c>
      <c r="I35" s="170">
        <v>713</v>
      </c>
      <c r="J35" s="170">
        <v>699</v>
      </c>
      <c r="K35" s="170">
        <v>703</v>
      </c>
      <c r="L35" s="170">
        <v>693</v>
      </c>
      <c r="M35" s="170">
        <v>682</v>
      </c>
      <c r="N35" s="170">
        <v>745</v>
      </c>
      <c r="O35" s="170">
        <v>829</v>
      </c>
      <c r="P35" s="170">
        <v>888</v>
      </c>
      <c r="Q35" s="170">
        <v>931</v>
      </c>
      <c r="R35" s="170">
        <v>961</v>
      </c>
      <c r="S35" s="170">
        <v>912</v>
      </c>
      <c r="T35" s="170">
        <v>953</v>
      </c>
      <c r="U35" s="170">
        <v>1006</v>
      </c>
      <c r="V35" s="170">
        <v>999</v>
      </c>
      <c r="W35" s="170">
        <v>974</v>
      </c>
      <c r="X35" s="170">
        <v>952</v>
      </c>
      <c r="Y35" s="170">
        <v>1024</v>
      </c>
      <c r="Z35" s="170">
        <v>1030</v>
      </c>
      <c r="AA35" s="170">
        <v>1009</v>
      </c>
      <c r="AB35" s="170">
        <v>969</v>
      </c>
      <c r="AC35" s="170">
        <v>902</v>
      </c>
      <c r="AD35" s="170">
        <v>840</v>
      </c>
    </row>
    <row r="36" spans="2:30" ht="15" customHeight="1" x14ac:dyDescent="0.25">
      <c r="B36" s="166">
        <v>2028</v>
      </c>
      <c r="C36" s="167">
        <v>9</v>
      </c>
      <c r="D36" s="168"/>
      <c r="E36" s="162" t="s">
        <v>20</v>
      </c>
      <c r="F36" s="163">
        <v>5</v>
      </c>
      <c r="G36" s="169">
        <v>669</v>
      </c>
      <c r="H36" s="170">
        <v>646</v>
      </c>
      <c r="I36" s="170">
        <v>626</v>
      </c>
      <c r="J36" s="170">
        <v>612</v>
      </c>
      <c r="K36" s="170">
        <v>603</v>
      </c>
      <c r="L36" s="170">
        <v>576</v>
      </c>
      <c r="M36" s="170">
        <v>568</v>
      </c>
      <c r="N36" s="170">
        <v>615</v>
      </c>
      <c r="O36" s="170">
        <v>680</v>
      </c>
      <c r="P36" s="170">
        <v>728</v>
      </c>
      <c r="Q36" s="170">
        <v>767</v>
      </c>
      <c r="R36" s="170">
        <v>788</v>
      </c>
      <c r="S36" s="170">
        <v>772</v>
      </c>
      <c r="T36" s="170">
        <v>772</v>
      </c>
      <c r="U36" s="170">
        <v>784</v>
      </c>
      <c r="V36" s="170">
        <v>776</v>
      </c>
      <c r="W36" s="170">
        <v>760</v>
      </c>
      <c r="X36" s="170">
        <v>761</v>
      </c>
      <c r="Y36" s="170">
        <v>839</v>
      </c>
      <c r="Z36" s="170">
        <v>841</v>
      </c>
      <c r="AA36" s="170">
        <v>823</v>
      </c>
      <c r="AB36" s="170">
        <v>791</v>
      </c>
      <c r="AC36" s="170">
        <v>751</v>
      </c>
      <c r="AD36" s="170">
        <v>709</v>
      </c>
    </row>
    <row r="37" spans="2:30" ht="15" customHeight="1" thickBot="1" x14ac:dyDescent="0.3">
      <c r="B37" s="166">
        <v>2028</v>
      </c>
      <c r="C37" s="171">
        <v>9</v>
      </c>
      <c r="D37" s="168"/>
      <c r="E37" s="162" t="s">
        <v>21</v>
      </c>
      <c r="F37" s="163">
        <v>4</v>
      </c>
      <c r="G37" s="173">
        <v>872</v>
      </c>
      <c r="H37" s="174">
        <v>837</v>
      </c>
      <c r="I37" s="174">
        <v>808</v>
      </c>
      <c r="J37" s="174">
        <v>740</v>
      </c>
      <c r="K37" s="174">
        <v>717</v>
      </c>
      <c r="L37" s="174">
        <v>682</v>
      </c>
      <c r="M37" s="174">
        <v>651</v>
      </c>
      <c r="N37" s="174">
        <v>687</v>
      </c>
      <c r="O37" s="174">
        <v>729</v>
      </c>
      <c r="P37" s="174">
        <v>771</v>
      </c>
      <c r="Q37" s="174">
        <v>800</v>
      </c>
      <c r="R37" s="174">
        <v>828</v>
      </c>
      <c r="S37" s="174">
        <v>834</v>
      </c>
      <c r="T37" s="174">
        <v>817</v>
      </c>
      <c r="U37" s="174">
        <v>815</v>
      </c>
      <c r="V37" s="174">
        <v>815</v>
      </c>
      <c r="W37" s="174">
        <v>801</v>
      </c>
      <c r="X37" s="174">
        <v>802</v>
      </c>
      <c r="Y37" s="174">
        <v>981</v>
      </c>
      <c r="Z37" s="174">
        <v>1016</v>
      </c>
      <c r="AA37" s="174">
        <v>1002</v>
      </c>
      <c r="AB37" s="174">
        <v>963</v>
      </c>
      <c r="AC37" s="174">
        <v>904</v>
      </c>
      <c r="AD37" s="174">
        <v>848</v>
      </c>
    </row>
    <row r="38" spans="2:30" ht="15" customHeight="1" x14ac:dyDescent="0.25">
      <c r="B38" s="166">
        <v>2028</v>
      </c>
      <c r="C38" s="175">
        <v>10</v>
      </c>
      <c r="D38" s="161">
        <v>1692332</v>
      </c>
      <c r="E38" s="162" t="s">
        <v>19</v>
      </c>
      <c r="F38" s="163">
        <v>21</v>
      </c>
      <c r="G38" s="169">
        <v>2079</v>
      </c>
      <c r="H38" s="170">
        <v>2002</v>
      </c>
      <c r="I38" s="170">
        <v>1945</v>
      </c>
      <c r="J38" s="170">
        <v>1903</v>
      </c>
      <c r="K38" s="170">
        <v>1874</v>
      </c>
      <c r="L38" s="170">
        <v>1824</v>
      </c>
      <c r="M38" s="170">
        <v>1810</v>
      </c>
      <c r="N38" s="170">
        <v>1999</v>
      </c>
      <c r="O38" s="170">
        <v>2237</v>
      </c>
      <c r="P38" s="170">
        <v>2379</v>
      </c>
      <c r="Q38" s="170">
        <v>2500</v>
      </c>
      <c r="R38" s="170">
        <v>2568</v>
      </c>
      <c r="S38" s="170">
        <v>2451</v>
      </c>
      <c r="T38" s="170">
        <v>2538</v>
      </c>
      <c r="U38" s="170">
        <v>2715</v>
      </c>
      <c r="V38" s="170">
        <v>2713</v>
      </c>
      <c r="W38" s="170">
        <v>2625</v>
      </c>
      <c r="X38" s="170">
        <v>2585</v>
      </c>
      <c r="Y38" s="170">
        <v>2733</v>
      </c>
      <c r="Z38" s="170">
        <v>2711</v>
      </c>
      <c r="AA38" s="170">
        <v>2654</v>
      </c>
      <c r="AB38" s="170">
        <v>2553</v>
      </c>
      <c r="AC38" s="170">
        <v>2381</v>
      </c>
      <c r="AD38" s="170">
        <v>2235</v>
      </c>
    </row>
    <row r="39" spans="2:30" ht="15" customHeight="1" x14ac:dyDescent="0.25">
      <c r="B39" s="166">
        <v>2028</v>
      </c>
      <c r="C39" s="167">
        <v>10</v>
      </c>
      <c r="D39" s="168"/>
      <c r="E39" s="162" t="s">
        <v>20</v>
      </c>
      <c r="F39" s="163">
        <v>4</v>
      </c>
      <c r="G39" s="169">
        <v>2291</v>
      </c>
      <c r="H39" s="170">
        <v>2212</v>
      </c>
      <c r="I39" s="170">
        <v>2144</v>
      </c>
      <c r="J39" s="170">
        <v>2082</v>
      </c>
      <c r="K39" s="170">
        <v>2021</v>
      </c>
      <c r="L39" s="170">
        <v>1962</v>
      </c>
      <c r="M39" s="170">
        <v>1949</v>
      </c>
      <c r="N39" s="170">
        <v>2124</v>
      </c>
      <c r="O39" s="170">
        <v>2358</v>
      </c>
      <c r="P39" s="170">
        <v>2512</v>
      </c>
      <c r="Q39" s="170">
        <v>2627</v>
      </c>
      <c r="R39" s="170">
        <v>2685</v>
      </c>
      <c r="S39" s="170">
        <v>2604</v>
      </c>
      <c r="T39" s="170">
        <v>2569</v>
      </c>
      <c r="U39" s="170">
        <v>2599</v>
      </c>
      <c r="V39" s="170">
        <v>2597</v>
      </c>
      <c r="W39" s="170">
        <v>2533</v>
      </c>
      <c r="X39" s="170">
        <v>2577</v>
      </c>
      <c r="Y39" s="170">
        <v>2806</v>
      </c>
      <c r="Z39" s="170">
        <v>2779</v>
      </c>
      <c r="AA39" s="170">
        <v>2710</v>
      </c>
      <c r="AB39" s="170">
        <v>2622</v>
      </c>
      <c r="AC39" s="170">
        <v>2500</v>
      </c>
      <c r="AD39" s="170">
        <v>2379</v>
      </c>
    </row>
    <row r="40" spans="2:30" ht="15" customHeight="1" x14ac:dyDescent="0.25">
      <c r="B40" s="166">
        <v>2028</v>
      </c>
      <c r="C40" s="167">
        <v>10</v>
      </c>
      <c r="D40" s="168"/>
      <c r="E40" s="162" t="s">
        <v>21</v>
      </c>
      <c r="F40" s="163">
        <v>5</v>
      </c>
      <c r="G40" s="169">
        <v>1987</v>
      </c>
      <c r="H40" s="170">
        <v>1904</v>
      </c>
      <c r="I40" s="170">
        <v>1829</v>
      </c>
      <c r="J40" s="170">
        <v>1775</v>
      </c>
      <c r="K40" s="170">
        <v>1741</v>
      </c>
      <c r="L40" s="170">
        <v>1673</v>
      </c>
      <c r="M40" s="170">
        <v>1612</v>
      </c>
      <c r="N40" s="170">
        <v>1673</v>
      </c>
      <c r="O40" s="170">
        <v>1752</v>
      </c>
      <c r="P40" s="170">
        <v>1824</v>
      </c>
      <c r="Q40" s="170">
        <v>1878</v>
      </c>
      <c r="R40" s="170">
        <v>1942</v>
      </c>
      <c r="S40" s="170">
        <v>1967</v>
      </c>
      <c r="T40" s="170">
        <v>1947</v>
      </c>
      <c r="U40" s="170">
        <v>1964</v>
      </c>
      <c r="V40" s="170">
        <v>1995</v>
      </c>
      <c r="W40" s="170">
        <v>1981</v>
      </c>
      <c r="X40" s="170">
        <v>2059</v>
      </c>
      <c r="Y40" s="170">
        <v>2306</v>
      </c>
      <c r="Z40" s="170">
        <v>2302</v>
      </c>
      <c r="AA40" s="170">
        <v>2268</v>
      </c>
      <c r="AB40" s="170">
        <v>2199</v>
      </c>
      <c r="AC40" s="170">
        <v>2082</v>
      </c>
      <c r="AD40" s="170">
        <v>1970</v>
      </c>
    </row>
    <row r="41" spans="2:30" ht="15" customHeight="1" thickBot="1" x14ac:dyDescent="0.3">
      <c r="B41" s="166">
        <v>2028</v>
      </c>
      <c r="C41" s="171">
        <v>10</v>
      </c>
      <c r="D41" s="172"/>
      <c r="E41" s="162" t="s">
        <v>22</v>
      </c>
      <c r="F41" s="163">
        <v>1</v>
      </c>
      <c r="G41" s="173">
        <v>2005</v>
      </c>
      <c r="H41" s="174">
        <v>1944</v>
      </c>
      <c r="I41" s="174">
        <v>1890</v>
      </c>
      <c r="J41" s="174">
        <v>1850</v>
      </c>
      <c r="K41" s="174">
        <v>1830</v>
      </c>
      <c r="L41" s="174">
        <v>1753</v>
      </c>
      <c r="M41" s="174">
        <v>1709</v>
      </c>
      <c r="N41" s="174">
        <v>1811</v>
      </c>
      <c r="O41" s="174">
        <v>1945</v>
      </c>
      <c r="P41" s="174">
        <v>2062</v>
      </c>
      <c r="Q41" s="174">
        <v>2175</v>
      </c>
      <c r="R41" s="174">
        <v>2264</v>
      </c>
      <c r="S41" s="174">
        <v>2278</v>
      </c>
      <c r="T41" s="174">
        <v>2244</v>
      </c>
      <c r="U41" s="174">
        <v>2215</v>
      </c>
      <c r="V41" s="174">
        <v>2194</v>
      </c>
      <c r="W41" s="174">
        <v>2180</v>
      </c>
      <c r="X41" s="174">
        <v>2255</v>
      </c>
      <c r="Y41" s="174">
        <v>2387</v>
      </c>
      <c r="Z41" s="174">
        <v>2414</v>
      </c>
      <c r="AA41" s="174">
        <v>2317</v>
      </c>
      <c r="AB41" s="174">
        <v>2187</v>
      </c>
      <c r="AC41" s="174">
        <v>2060</v>
      </c>
      <c r="AD41" s="174">
        <v>1951</v>
      </c>
    </row>
    <row r="42" spans="2:30" ht="15" customHeight="1" x14ac:dyDescent="0.25">
      <c r="B42" s="166">
        <v>2028</v>
      </c>
      <c r="C42" s="175">
        <v>11</v>
      </c>
      <c r="D42" s="161">
        <v>2663708</v>
      </c>
      <c r="E42" s="162" t="s">
        <v>19</v>
      </c>
      <c r="F42" s="163">
        <v>20</v>
      </c>
      <c r="G42" s="169">
        <v>3345</v>
      </c>
      <c r="H42" s="170">
        <v>3222</v>
      </c>
      <c r="I42" s="170">
        <v>3130</v>
      </c>
      <c r="J42" s="170">
        <v>3059</v>
      </c>
      <c r="K42" s="170">
        <v>3022</v>
      </c>
      <c r="L42" s="170">
        <v>2948</v>
      </c>
      <c r="M42" s="170">
        <v>2917</v>
      </c>
      <c r="N42" s="170">
        <v>3195</v>
      </c>
      <c r="O42" s="170">
        <v>3558</v>
      </c>
      <c r="P42" s="170">
        <v>3781</v>
      </c>
      <c r="Q42" s="170">
        <v>3951</v>
      </c>
      <c r="R42" s="170">
        <v>4047</v>
      </c>
      <c r="S42" s="170">
        <v>3853</v>
      </c>
      <c r="T42" s="170">
        <v>3996</v>
      </c>
      <c r="U42" s="170">
        <v>4258</v>
      </c>
      <c r="V42" s="170">
        <v>4303</v>
      </c>
      <c r="W42" s="170">
        <v>4160</v>
      </c>
      <c r="X42" s="170">
        <v>4146</v>
      </c>
      <c r="Y42" s="170">
        <v>4382</v>
      </c>
      <c r="Z42" s="170">
        <v>4341</v>
      </c>
      <c r="AA42" s="170">
        <v>4248</v>
      </c>
      <c r="AB42" s="170">
        <v>4071</v>
      </c>
      <c r="AC42" s="170">
        <v>3813</v>
      </c>
      <c r="AD42" s="170">
        <v>3581</v>
      </c>
    </row>
    <row r="43" spans="2:30" ht="15" customHeight="1" x14ac:dyDescent="0.25">
      <c r="B43" s="166">
        <v>2028</v>
      </c>
      <c r="C43" s="167">
        <v>11</v>
      </c>
      <c r="D43" s="168"/>
      <c r="E43" s="162" t="s">
        <v>20</v>
      </c>
      <c r="F43" s="163">
        <v>4</v>
      </c>
      <c r="G43" s="169">
        <v>3780</v>
      </c>
      <c r="H43" s="170">
        <v>3646</v>
      </c>
      <c r="I43" s="170">
        <v>3530</v>
      </c>
      <c r="J43" s="170">
        <v>3437</v>
      </c>
      <c r="K43" s="170">
        <v>3380</v>
      </c>
      <c r="L43" s="170">
        <v>3246</v>
      </c>
      <c r="M43" s="170">
        <v>3178</v>
      </c>
      <c r="N43" s="170">
        <v>3432</v>
      </c>
      <c r="O43" s="170">
        <v>3762</v>
      </c>
      <c r="P43" s="170">
        <v>4027</v>
      </c>
      <c r="Q43" s="170">
        <v>4197</v>
      </c>
      <c r="R43" s="170">
        <v>4354</v>
      </c>
      <c r="S43" s="170">
        <v>4267</v>
      </c>
      <c r="T43" s="170">
        <v>4198</v>
      </c>
      <c r="U43" s="170">
        <v>4207</v>
      </c>
      <c r="V43" s="170">
        <v>4181</v>
      </c>
      <c r="W43" s="170">
        <v>4074</v>
      </c>
      <c r="X43" s="170">
        <v>4234</v>
      </c>
      <c r="Y43" s="170">
        <v>4587</v>
      </c>
      <c r="Z43" s="170">
        <v>4570</v>
      </c>
      <c r="AA43" s="170">
        <v>4445</v>
      </c>
      <c r="AB43" s="170">
        <v>4286</v>
      </c>
      <c r="AC43" s="170">
        <v>4081</v>
      </c>
      <c r="AD43" s="170">
        <v>3869</v>
      </c>
    </row>
    <row r="44" spans="2:30" ht="15" customHeight="1" x14ac:dyDescent="0.25">
      <c r="B44" s="166">
        <v>2028</v>
      </c>
      <c r="C44" s="167">
        <v>11</v>
      </c>
      <c r="D44" s="168"/>
      <c r="E44" s="162" t="s">
        <v>21</v>
      </c>
      <c r="F44" s="163">
        <v>4</v>
      </c>
      <c r="G44" s="169">
        <v>3370</v>
      </c>
      <c r="H44" s="170">
        <v>3255</v>
      </c>
      <c r="I44" s="170">
        <v>3170</v>
      </c>
      <c r="J44" s="170">
        <v>3112</v>
      </c>
      <c r="K44" s="170">
        <v>3077</v>
      </c>
      <c r="L44" s="170">
        <v>2869</v>
      </c>
      <c r="M44" s="170">
        <v>2750</v>
      </c>
      <c r="N44" s="170">
        <v>2911</v>
      </c>
      <c r="O44" s="170">
        <v>3095</v>
      </c>
      <c r="P44" s="170">
        <v>3225</v>
      </c>
      <c r="Q44" s="170">
        <v>3333</v>
      </c>
      <c r="R44" s="170">
        <v>3435</v>
      </c>
      <c r="S44" s="170">
        <v>3476</v>
      </c>
      <c r="T44" s="170">
        <v>3466</v>
      </c>
      <c r="U44" s="170">
        <v>3467</v>
      </c>
      <c r="V44" s="170">
        <v>3478</v>
      </c>
      <c r="W44" s="170">
        <v>3456</v>
      </c>
      <c r="X44" s="170">
        <v>3613</v>
      </c>
      <c r="Y44" s="170">
        <v>4022</v>
      </c>
      <c r="Z44" s="170">
        <v>4108</v>
      </c>
      <c r="AA44" s="170">
        <v>4080</v>
      </c>
      <c r="AB44" s="170">
        <v>3936</v>
      </c>
      <c r="AC44" s="170">
        <v>3729</v>
      </c>
      <c r="AD44" s="170">
        <v>3509</v>
      </c>
    </row>
    <row r="45" spans="2:30" ht="15" customHeight="1" thickBot="1" x14ac:dyDescent="0.3">
      <c r="B45" s="166">
        <v>2028</v>
      </c>
      <c r="C45" s="171">
        <v>11</v>
      </c>
      <c r="D45" s="172"/>
      <c r="E45" s="162" t="s">
        <v>22</v>
      </c>
      <c r="F45" s="163">
        <v>2</v>
      </c>
      <c r="G45" s="173">
        <v>3493</v>
      </c>
      <c r="H45" s="174">
        <v>3341</v>
      </c>
      <c r="I45" s="174">
        <v>3234</v>
      </c>
      <c r="J45" s="174">
        <v>3142</v>
      </c>
      <c r="K45" s="174">
        <v>3082</v>
      </c>
      <c r="L45" s="174">
        <v>2957</v>
      </c>
      <c r="M45" s="174">
        <v>2865</v>
      </c>
      <c r="N45" s="174">
        <v>3047</v>
      </c>
      <c r="O45" s="174">
        <v>3266</v>
      </c>
      <c r="P45" s="174">
        <v>3433</v>
      </c>
      <c r="Q45" s="174">
        <v>3562</v>
      </c>
      <c r="R45" s="174">
        <v>3656</v>
      </c>
      <c r="S45" s="174">
        <v>3650</v>
      </c>
      <c r="T45" s="174">
        <v>3594</v>
      </c>
      <c r="U45" s="174">
        <v>3624</v>
      </c>
      <c r="V45" s="174">
        <v>3667</v>
      </c>
      <c r="W45" s="174">
        <v>3640</v>
      </c>
      <c r="X45" s="174">
        <v>3812</v>
      </c>
      <c r="Y45" s="174">
        <v>4200</v>
      </c>
      <c r="Z45" s="174">
        <v>4206</v>
      </c>
      <c r="AA45" s="174">
        <v>4103</v>
      </c>
      <c r="AB45" s="174">
        <v>3958</v>
      </c>
      <c r="AC45" s="174">
        <v>3721</v>
      </c>
      <c r="AD45" s="174">
        <v>3511</v>
      </c>
    </row>
    <row r="46" spans="2:30" ht="15" customHeight="1" x14ac:dyDescent="0.25">
      <c r="B46" s="166">
        <v>2028</v>
      </c>
      <c r="C46" s="175">
        <v>12</v>
      </c>
      <c r="D46" s="161">
        <v>6100488</v>
      </c>
      <c r="E46" s="162" t="s">
        <v>19</v>
      </c>
      <c r="F46" s="163">
        <v>19</v>
      </c>
      <c r="G46" s="169">
        <v>8193</v>
      </c>
      <c r="H46" s="170">
        <v>7867</v>
      </c>
      <c r="I46" s="170">
        <v>7627</v>
      </c>
      <c r="J46" s="170">
        <v>7430</v>
      </c>
      <c r="K46" s="170">
        <v>7349</v>
      </c>
      <c r="L46" s="170">
        <v>7186</v>
      </c>
      <c r="M46" s="170">
        <v>6933</v>
      </c>
      <c r="N46" s="170">
        <v>7624</v>
      </c>
      <c r="O46" s="170">
        <v>8483</v>
      </c>
      <c r="P46" s="170">
        <v>9109</v>
      </c>
      <c r="Q46" s="170">
        <v>9544</v>
      </c>
      <c r="R46" s="170">
        <v>9856</v>
      </c>
      <c r="S46" s="170">
        <v>9432</v>
      </c>
      <c r="T46" s="170">
        <v>9647</v>
      </c>
      <c r="U46" s="170">
        <v>10224</v>
      </c>
      <c r="V46" s="170">
        <v>10264</v>
      </c>
      <c r="W46" s="170">
        <v>9960</v>
      </c>
      <c r="X46" s="170">
        <v>9770</v>
      </c>
      <c r="Y46" s="170">
        <v>10470</v>
      </c>
      <c r="Z46" s="170">
        <v>10344</v>
      </c>
      <c r="AA46" s="170">
        <v>10112</v>
      </c>
      <c r="AB46" s="170">
        <v>9770</v>
      </c>
      <c r="AC46" s="170">
        <v>9261</v>
      </c>
      <c r="AD46" s="170">
        <v>8745</v>
      </c>
    </row>
    <row r="47" spans="2:30" ht="15" customHeight="1" x14ac:dyDescent="0.25">
      <c r="B47" s="166">
        <v>2028</v>
      </c>
      <c r="C47" s="167">
        <v>12</v>
      </c>
      <c r="D47" s="177"/>
      <c r="E47" s="162" t="s">
        <v>20</v>
      </c>
      <c r="F47" s="163">
        <v>5</v>
      </c>
      <c r="G47" s="169">
        <v>7350</v>
      </c>
      <c r="H47" s="170">
        <v>7098</v>
      </c>
      <c r="I47" s="170">
        <v>6799</v>
      </c>
      <c r="J47" s="170">
        <v>6624</v>
      </c>
      <c r="K47" s="170">
        <v>6535</v>
      </c>
      <c r="L47" s="170">
        <v>6462</v>
      </c>
      <c r="M47" s="170">
        <v>6163</v>
      </c>
      <c r="N47" s="170">
        <v>6591</v>
      </c>
      <c r="O47" s="170">
        <v>7242</v>
      </c>
      <c r="P47" s="170">
        <v>7687</v>
      </c>
      <c r="Q47" s="170">
        <v>7992</v>
      </c>
      <c r="R47" s="170">
        <v>8091</v>
      </c>
      <c r="S47" s="170">
        <v>7828</v>
      </c>
      <c r="T47" s="170">
        <v>7669</v>
      </c>
      <c r="U47" s="170">
        <v>7754</v>
      </c>
      <c r="V47" s="170">
        <v>7744</v>
      </c>
      <c r="W47" s="170">
        <v>7713</v>
      </c>
      <c r="X47" s="170">
        <v>7859</v>
      </c>
      <c r="Y47" s="170">
        <v>8706</v>
      </c>
      <c r="Z47" s="170">
        <v>8607</v>
      </c>
      <c r="AA47" s="170">
        <v>8408</v>
      </c>
      <c r="AB47" s="170">
        <v>8101</v>
      </c>
      <c r="AC47" s="170">
        <v>7770</v>
      </c>
      <c r="AD47" s="170">
        <v>7389</v>
      </c>
    </row>
    <row r="48" spans="2:30" ht="15" customHeight="1" x14ac:dyDescent="0.25">
      <c r="B48" s="166">
        <v>2028</v>
      </c>
      <c r="C48" s="167">
        <v>12</v>
      </c>
      <c r="D48" s="177"/>
      <c r="E48" s="162" t="s">
        <v>21</v>
      </c>
      <c r="F48" s="163">
        <v>5</v>
      </c>
      <c r="G48" s="169">
        <v>6106</v>
      </c>
      <c r="H48" s="170">
        <v>5896</v>
      </c>
      <c r="I48" s="170">
        <v>5736</v>
      </c>
      <c r="J48" s="170">
        <v>5539</v>
      </c>
      <c r="K48" s="170">
        <v>5423</v>
      </c>
      <c r="L48" s="170">
        <v>5295</v>
      </c>
      <c r="M48" s="170">
        <v>4988</v>
      </c>
      <c r="N48" s="170">
        <v>5323</v>
      </c>
      <c r="O48" s="170">
        <v>5638</v>
      </c>
      <c r="P48" s="170">
        <v>5931</v>
      </c>
      <c r="Q48" s="170">
        <v>6195</v>
      </c>
      <c r="R48" s="170">
        <v>6364</v>
      </c>
      <c r="S48" s="170">
        <v>6472</v>
      </c>
      <c r="T48" s="170">
        <v>6456</v>
      </c>
      <c r="U48" s="170">
        <v>6434</v>
      </c>
      <c r="V48" s="170">
        <v>6426</v>
      </c>
      <c r="W48" s="170">
        <v>6408</v>
      </c>
      <c r="X48" s="170">
        <v>6563</v>
      </c>
      <c r="Y48" s="170">
        <v>7354</v>
      </c>
      <c r="Z48" s="170">
        <v>7380</v>
      </c>
      <c r="AA48" s="170">
        <v>7178</v>
      </c>
      <c r="AB48" s="170">
        <v>6915</v>
      </c>
      <c r="AC48" s="170">
        <v>6674</v>
      </c>
      <c r="AD48" s="170">
        <v>6290</v>
      </c>
    </row>
    <row r="49" spans="2:30" ht="15" customHeight="1" thickBot="1" x14ac:dyDescent="0.3">
      <c r="B49" s="178">
        <v>2028</v>
      </c>
      <c r="C49" s="171">
        <v>12</v>
      </c>
      <c r="D49" s="179"/>
      <c r="E49" s="162" t="s">
        <v>22</v>
      </c>
      <c r="F49" s="163">
        <v>2</v>
      </c>
      <c r="G49" s="173">
        <v>7623</v>
      </c>
      <c r="H49" s="174">
        <v>7478</v>
      </c>
      <c r="I49" s="174">
        <v>7317</v>
      </c>
      <c r="J49" s="174">
        <v>7147</v>
      </c>
      <c r="K49" s="174">
        <v>7031</v>
      </c>
      <c r="L49" s="174">
        <v>6773</v>
      </c>
      <c r="M49" s="174">
        <v>6232</v>
      </c>
      <c r="N49" s="174">
        <v>6392</v>
      </c>
      <c r="O49" s="174">
        <v>6782</v>
      </c>
      <c r="P49" s="174">
        <v>7125</v>
      </c>
      <c r="Q49" s="174">
        <v>7434</v>
      </c>
      <c r="R49" s="174">
        <v>7646</v>
      </c>
      <c r="S49" s="174">
        <v>7584</v>
      </c>
      <c r="T49" s="174">
        <v>7629</v>
      </c>
      <c r="U49" s="174">
        <v>7662</v>
      </c>
      <c r="V49" s="174">
        <v>7705</v>
      </c>
      <c r="W49" s="174">
        <v>7691</v>
      </c>
      <c r="X49" s="174">
        <v>7818</v>
      </c>
      <c r="Y49" s="174">
        <v>8844</v>
      </c>
      <c r="Z49" s="174">
        <v>8954</v>
      </c>
      <c r="AA49" s="174">
        <v>8958</v>
      </c>
      <c r="AB49" s="174">
        <v>8740</v>
      </c>
      <c r="AC49" s="174">
        <v>8375</v>
      </c>
      <c r="AD49" s="174">
        <v>7989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ED8B-FC20-4A8E-AE8B-C8DA9C016AAF}">
  <dimension ref="B1:F29"/>
  <sheetViews>
    <sheetView showGridLines="0" tabSelected="1" workbookViewId="0">
      <selection activeCell="G14" sqref="G14"/>
    </sheetView>
  </sheetViews>
  <sheetFormatPr baseColWidth="10" defaultRowHeight="15" x14ac:dyDescent="0.25"/>
  <cols>
    <col min="1" max="1" width="8.28515625" customWidth="1"/>
    <col min="2" max="2" width="28.5703125" bestFit="1" customWidth="1"/>
    <col min="3" max="3" width="13.7109375" bestFit="1" customWidth="1"/>
    <col min="4" max="7" width="17.140625" customWidth="1"/>
  </cols>
  <sheetData>
    <row r="1" spans="2:6" ht="23.25" x14ac:dyDescent="0.25">
      <c r="B1" s="120" t="s">
        <v>54</v>
      </c>
      <c r="C1" s="121"/>
      <c r="D1" s="121"/>
      <c r="E1" s="121"/>
      <c r="F1" s="121"/>
    </row>
    <row r="2" spans="2:6" x14ac:dyDescent="0.25">
      <c r="B2" s="122"/>
      <c r="C2" s="123"/>
      <c r="D2" s="123"/>
      <c r="E2" s="123"/>
      <c r="F2" s="123"/>
    </row>
    <row r="3" spans="2:6" ht="15.75" x14ac:dyDescent="0.25">
      <c r="B3" s="124" t="s">
        <v>17</v>
      </c>
      <c r="C3" s="125"/>
      <c r="D3" s="125"/>
      <c r="E3" s="125"/>
      <c r="F3" s="126"/>
    </row>
    <row r="4" spans="2:6" ht="15.75" x14ac:dyDescent="0.25">
      <c r="B4" s="124" t="s">
        <v>52</v>
      </c>
      <c r="C4" s="127"/>
      <c r="D4" s="127"/>
      <c r="E4" s="127"/>
    </row>
    <row r="5" spans="2:6" ht="15.75" x14ac:dyDescent="0.25">
      <c r="B5" s="124" t="s">
        <v>0</v>
      </c>
      <c r="C5" s="128"/>
      <c r="D5" s="128"/>
      <c r="E5" s="128"/>
      <c r="F5" s="126"/>
    </row>
    <row r="6" spans="2:6" ht="15.75" x14ac:dyDescent="0.25">
      <c r="B6" s="124" t="s">
        <v>1</v>
      </c>
      <c r="C6" s="127" t="s">
        <v>2</v>
      </c>
      <c r="D6" s="127"/>
      <c r="E6" s="127"/>
    </row>
    <row r="7" spans="2:6" ht="15.75" x14ac:dyDescent="0.25">
      <c r="B7" s="124" t="s">
        <v>3</v>
      </c>
      <c r="C7" s="127" t="s">
        <v>4</v>
      </c>
      <c r="D7" s="127"/>
      <c r="E7" s="127"/>
    </row>
    <row r="8" spans="2:6" ht="15.75" x14ac:dyDescent="0.25">
      <c r="B8" s="129" t="s">
        <v>5</v>
      </c>
      <c r="C8" s="130" t="s">
        <v>6</v>
      </c>
      <c r="D8" s="130"/>
      <c r="E8" s="130"/>
    </row>
    <row r="9" spans="2:6" ht="16.5" thickBot="1" x14ac:dyDescent="0.3">
      <c r="B9" s="129"/>
      <c r="C9" s="131"/>
      <c r="D9" s="130"/>
      <c r="E9" s="130"/>
    </row>
    <row r="10" spans="2:6" ht="48" thickBot="1" x14ac:dyDescent="0.3">
      <c r="B10" s="70" t="s">
        <v>18</v>
      </c>
      <c r="C10" s="71" t="s">
        <v>84</v>
      </c>
      <c r="D10" s="72" t="s">
        <v>8</v>
      </c>
      <c r="E10" s="71" t="s">
        <v>85</v>
      </c>
      <c r="F10" s="73" t="s">
        <v>86</v>
      </c>
    </row>
    <row r="11" spans="2:6" ht="15.75" x14ac:dyDescent="0.25">
      <c r="B11" s="136">
        <v>2029</v>
      </c>
      <c r="C11" s="137">
        <f>SUM('[3]Curva 2029'!D4:D48)</f>
        <v>178514465</v>
      </c>
      <c r="D11" s="76"/>
      <c r="E11" s="76"/>
      <c r="F11" s="138"/>
    </row>
    <row r="12" spans="2:6" ht="15.75" x14ac:dyDescent="0.25">
      <c r="B12" s="180">
        <v>2030</v>
      </c>
      <c r="C12" s="181">
        <f>SUM('[3]Curva 2030'!D4:D48)</f>
        <v>116185322</v>
      </c>
      <c r="D12" s="182"/>
      <c r="E12" s="182"/>
      <c r="F12" s="183"/>
    </row>
    <row r="13" spans="2:6" ht="15.75" x14ac:dyDescent="0.25">
      <c r="B13" s="180">
        <v>2031</v>
      </c>
      <c r="C13" s="181">
        <f>SUM('[3]Curva 2031'!D4:D48)</f>
        <v>191265007</v>
      </c>
      <c r="D13" s="182"/>
      <c r="E13" s="182"/>
      <c r="F13" s="183"/>
    </row>
    <row r="14" spans="2:6" ht="15.75" x14ac:dyDescent="0.25">
      <c r="B14" s="180">
        <v>2032</v>
      </c>
      <c r="C14" s="181">
        <f>SUM('[3]Curva 2032'!D4:D48)</f>
        <v>133442355</v>
      </c>
      <c r="D14" s="182"/>
      <c r="E14" s="182"/>
      <c r="F14" s="183"/>
    </row>
    <row r="15" spans="2:6" ht="15.75" x14ac:dyDescent="0.25">
      <c r="B15" s="180">
        <v>2033</v>
      </c>
      <c r="C15" s="181">
        <f>SUM('[3]Curva 2033'!D4:D48)</f>
        <v>281969643</v>
      </c>
      <c r="D15" s="182"/>
      <c r="E15" s="182"/>
      <c r="F15" s="183"/>
    </row>
    <row r="16" spans="2:6" ht="15.75" x14ac:dyDescent="0.25">
      <c r="B16" s="180">
        <v>2034</v>
      </c>
      <c r="C16" s="181">
        <f>SUM('[3]Curva 2034'!D4:D48)</f>
        <v>314792721</v>
      </c>
      <c r="D16" s="182"/>
      <c r="E16" s="182"/>
      <c r="F16" s="183"/>
    </row>
    <row r="17" spans="2:6" ht="15.75" x14ac:dyDescent="0.25">
      <c r="B17" s="180">
        <v>2035</v>
      </c>
      <c r="C17" s="181">
        <f>SUM('[3]Curva 2035'!D4:D48)</f>
        <v>322763831</v>
      </c>
      <c r="D17" s="182"/>
      <c r="E17" s="182"/>
      <c r="F17" s="183"/>
    </row>
    <row r="18" spans="2:6" ht="15.75" x14ac:dyDescent="0.25">
      <c r="B18" s="180">
        <v>2036</v>
      </c>
      <c r="C18" s="181">
        <f>SUM('[3]Curva 2036'!D4:D48)</f>
        <v>258337261</v>
      </c>
      <c r="D18" s="182"/>
      <c r="E18" s="182"/>
      <c r="F18" s="183"/>
    </row>
    <row r="19" spans="2:6" ht="15.75" x14ac:dyDescent="0.25">
      <c r="B19" s="180">
        <v>2037</v>
      </c>
      <c r="C19" s="181">
        <f>SUM('[3]Curva 2037'!D4:D48)</f>
        <v>296868048</v>
      </c>
      <c r="D19" s="182"/>
      <c r="E19" s="182"/>
      <c r="F19" s="183"/>
    </row>
    <row r="20" spans="2:6" ht="15.75" x14ac:dyDescent="0.25">
      <c r="B20" s="180">
        <v>2038</v>
      </c>
      <c r="C20" s="140">
        <f>SUM('[3]Curva 2038'!D4:D48)</f>
        <v>227823652</v>
      </c>
      <c r="D20" s="80"/>
      <c r="E20" s="80"/>
      <c r="F20" s="141"/>
    </row>
    <row r="21" spans="2:6" ht="16.5" thickBot="1" x14ac:dyDescent="0.3">
      <c r="B21" s="48" t="s">
        <v>11</v>
      </c>
      <c r="C21" s="184">
        <f>SUM(C11:C20)</f>
        <v>2321962305</v>
      </c>
      <c r="D21" s="144"/>
      <c r="E21" s="185">
        <v>0</v>
      </c>
      <c r="F21" s="146"/>
    </row>
    <row r="22" spans="2:6" ht="15.75" x14ac:dyDescent="0.25">
      <c r="B22" s="147"/>
      <c r="C22" s="148"/>
      <c r="D22" s="148"/>
      <c r="E22" s="148"/>
      <c r="F22" s="148"/>
    </row>
    <row r="23" spans="2:6" ht="15.75" x14ac:dyDescent="0.25">
      <c r="B23" s="149" t="s">
        <v>12</v>
      </c>
      <c r="C23" s="150"/>
      <c r="D23" s="150"/>
    </row>
    <row r="25" spans="2:6" ht="15.75" x14ac:dyDescent="0.25">
      <c r="B25" s="151" t="s">
        <v>53</v>
      </c>
      <c r="C25" s="151"/>
      <c r="D25" s="151"/>
      <c r="E25" s="151"/>
      <c r="F25" s="151"/>
    </row>
    <row r="26" spans="2:6" ht="15.75" x14ac:dyDescent="0.25">
      <c r="B26" s="151" t="s">
        <v>13</v>
      </c>
      <c r="C26" s="151"/>
      <c r="D26" s="151"/>
      <c r="E26" s="151"/>
      <c r="F26" s="151"/>
    </row>
    <row r="27" spans="2:6" ht="15.75" x14ac:dyDescent="0.25">
      <c r="B27" s="152" t="s">
        <v>14</v>
      </c>
    </row>
    <row r="28" spans="2:6" x14ac:dyDescent="0.25">
      <c r="B28" s="153" t="s">
        <v>15</v>
      </c>
      <c r="C28" s="58"/>
      <c r="D28" s="58"/>
      <c r="E28" s="58"/>
      <c r="F28" s="58"/>
    </row>
    <row r="29" spans="2:6" x14ac:dyDescent="0.25">
      <c r="B29" s="58"/>
      <c r="C29" s="58"/>
      <c r="D29" s="58"/>
      <c r="E29" s="58"/>
      <c r="F29" s="58"/>
    </row>
  </sheetData>
  <mergeCells count="4">
    <mergeCell ref="F11:F20"/>
    <mergeCell ref="B25:F25"/>
    <mergeCell ref="B26:F26"/>
    <mergeCell ref="B28:F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CBE3-5CCF-4FF7-B7F4-D4F3C5240B77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2029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x14ac:dyDescent="0.25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191">
        <v>2029</v>
      </c>
      <c r="C4" s="192">
        <v>1</v>
      </c>
      <c r="D4" s="193">
        <v>16056275</v>
      </c>
      <c r="E4" s="194" t="s">
        <v>19</v>
      </c>
      <c r="F4" s="195">
        <v>21</v>
      </c>
      <c r="G4" s="196">
        <v>20081</v>
      </c>
      <c r="H4" s="197">
        <v>19264</v>
      </c>
      <c r="I4" s="197">
        <v>18643</v>
      </c>
      <c r="J4" s="197">
        <v>18205</v>
      </c>
      <c r="K4" s="197">
        <v>17988</v>
      </c>
      <c r="L4" s="197">
        <v>17841</v>
      </c>
      <c r="M4" s="197">
        <v>16781</v>
      </c>
      <c r="N4" s="197">
        <v>18278</v>
      </c>
      <c r="O4" s="197">
        <v>20332</v>
      </c>
      <c r="P4" s="197">
        <v>21644</v>
      </c>
      <c r="Q4" s="197">
        <v>22701</v>
      </c>
      <c r="R4" s="197">
        <v>23406</v>
      </c>
      <c r="S4" s="197">
        <v>22453</v>
      </c>
      <c r="T4" s="197">
        <v>23398</v>
      </c>
      <c r="U4" s="197">
        <v>25042</v>
      </c>
      <c r="V4" s="197">
        <v>25189</v>
      </c>
      <c r="W4" s="197">
        <v>24599</v>
      </c>
      <c r="X4" s="197">
        <v>23602</v>
      </c>
      <c r="Y4" s="197">
        <v>25354</v>
      </c>
      <c r="Z4" s="197">
        <v>25695</v>
      </c>
      <c r="AA4" s="197">
        <v>25155</v>
      </c>
      <c r="AB4" s="197">
        <v>24283</v>
      </c>
      <c r="AC4" s="197">
        <v>22860</v>
      </c>
      <c r="AD4" s="197">
        <v>21367</v>
      </c>
    </row>
    <row r="5" spans="2:30" x14ac:dyDescent="0.25">
      <c r="B5" s="198">
        <v>2029</v>
      </c>
      <c r="C5" s="199">
        <v>1</v>
      </c>
      <c r="D5" s="200"/>
      <c r="E5" s="201" t="s">
        <v>20</v>
      </c>
      <c r="F5" s="202">
        <v>4</v>
      </c>
      <c r="G5" s="203">
        <v>20528</v>
      </c>
      <c r="H5" s="204">
        <v>19731</v>
      </c>
      <c r="I5" s="204">
        <v>19101</v>
      </c>
      <c r="J5" s="204">
        <v>18603</v>
      </c>
      <c r="K5" s="204">
        <v>18343</v>
      </c>
      <c r="L5" s="204">
        <v>18105</v>
      </c>
      <c r="M5" s="204">
        <v>17000</v>
      </c>
      <c r="N5" s="204">
        <v>18359</v>
      </c>
      <c r="O5" s="204">
        <v>20299</v>
      </c>
      <c r="P5" s="204">
        <v>21632</v>
      </c>
      <c r="Q5" s="204">
        <v>22507</v>
      </c>
      <c r="R5" s="204">
        <v>23178</v>
      </c>
      <c r="S5" s="204">
        <v>22704</v>
      </c>
      <c r="T5" s="204">
        <v>22561</v>
      </c>
      <c r="U5" s="204">
        <v>22469</v>
      </c>
      <c r="V5" s="204">
        <v>22729</v>
      </c>
      <c r="W5" s="204">
        <v>22327</v>
      </c>
      <c r="X5" s="204">
        <v>22171</v>
      </c>
      <c r="Y5" s="204">
        <v>24702</v>
      </c>
      <c r="Z5" s="204">
        <v>25090</v>
      </c>
      <c r="AA5" s="204">
        <v>24508</v>
      </c>
      <c r="AB5" s="204">
        <v>23690</v>
      </c>
      <c r="AC5" s="204">
        <v>22426</v>
      </c>
      <c r="AD5" s="204">
        <v>21281</v>
      </c>
    </row>
    <row r="6" spans="2:30" x14ac:dyDescent="0.25">
      <c r="B6" s="198">
        <v>2029</v>
      </c>
      <c r="C6" s="199">
        <v>1</v>
      </c>
      <c r="D6" s="200"/>
      <c r="E6" s="201" t="s">
        <v>21</v>
      </c>
      <c r="F6" s="202">
        <v>4</v>
      </c>
      <c r="G6" s="203">
        <v>21446</v>
      </c>
      <c r="H6" s="204">
        <v>20556</v>
      </c>
      <c r="I6" s="204">
        <v>19885</v>
      </c>
      <c r="J6" s="204">
        <v>19401</v>
      </c>
      <c r="K6" s="204">
        <v>19127</v>
      </c>
      <c r="L6" s="204">
        <v>18819</v>
      </c>
      <c r="M6" s="204">
        <v>17324</v>
      </c>
      <c r="N6" s="204">
        <v>18078</v>
      </c>
      <c r="O6" s="204">
        <v>19201</v>
      </c>
      <c r="P6" s="204">
        <v>20054</v>
      </c>
      <c r="Q6" s="204">
        <v>20861</v>
      </c>
      <c r="R6" s="204">
        <v>21460</v>
      </c>
      <c r="S6" s="204">
        <v>21606</v>
      </c>
      <c r="T6" s="204">
        <v>21571</v>
      </c>
      <c r="U6" s="204">
        <v>21457</v>
      </c>
      <c r="V6" s="204">
        <v>21540</v>
      </c>
      <c r="W6" s="204">
        <v>21670</v>
      </c>
      <c r="X6" s="204">
        <v>21802</v>
      </c>
      <c r="Y6" s="204">
        <v>24818</v>
      </c>
      <c r="Z6" s="204">
        <v>25729</v>
      </c>
      <c r="AA6" s="204">
        <v>25592</v>
      </c>
      <c r="AB6" s="204">
        <v>24698</v>
      </c>
      <c r="AC6" s="204">
        <v>23434</v>
      </c>
      <c r="AD6" s="204">
        <v>22008</v>
      </c>
    </row>
    <row r="7" spans="2:30" ht="15.75" thickBot="1" x14ac:dyDescent="0.3">
      <c r="B7" s="198">
        <v>2029</v>
      </c>
      <c r="C7" s="205">
        <v>1</v>
      </c>
      <c r="D7" s="206"/>
      <c r="E7" s="201" t="s">
        <v>22</v>
      </c>
      <c r="F7" s="202">
        <v>2</v>
      </c>
      <c r="G7" s="207">
        <v>19123</v>
      </c>
      <c r="H7" s="208">
        <v>18633</v>
      </c>
      <c r="I7" s="208">
        <v>18201</v>
      </c>
      <c r="J7" s="208">
        <v>17861</v>
      </c>
      <c r="K7" s="208">
        <v>17614</v>
      </c>
      <c r="L7" s="208">
        <v>17202</v>
      </c>
      <c r="M7" s="208">
        <v>15906</v>
      </c>
      <c r="N7" s="208">
        <v>16611</v>
      </c>
      <c r="O7" s="208">
        <v>17771</v>
      </c>
      <c r="P7" s="208">
        <v>18815</v>
      </c>
      <c r="Q7" s="208">
        <v>19488</v>
      </c>
      <c r="R7" s="208">
        <v>20041</v>
      </c>
      <c r="S7" s="208">
        <v>20061</v>
      </c>
      <c r="T7" s="208">
        <v>19839</v>
      </c>
      <c r="U7" s="208">
        <v>19795</v>
      </c>
      <c r="V7" s="208">
        <v>19786</v>
      </c>
      <c r="W7" s="208">
        <v>19752</v>
      </c>
      <c r="X7" s="208">
        <v>20022</v>
      </c>
      <c r="Y7" s="208">
        <v>23019</v>
      </c>
      <c r="Z7" s="208">
        <v>23671</v>
      </c>
      <c r="AA7" s="208">
        <v>23531</v>
      </c>
      <c r="AB7" s="208">
        <v>22819</v>
      </c>
      <c r="AC7" s="208">
        <v>21797</v>
      </c>
      <c r="AD7" s="208">
        <v>20727</v>
      </c>
    </row>
    <row r="8" spans="2:30" x14ac:dyDescent="0.25">
      <c r="B8" s="198">
        <v>2029</v>
      </c>
      <c r="C8" s="209">
        <v>2</v>
      </c>
      <c r="D8" s="210">
        <v>16504740</v>
      </c>
      <c r="E8" s="201" t="s">
        <v>19</v>
      </c>
      <c r="F8" s="202">
        <v>20</v>
      </c>
      <c r="G8" s="203">
        <v>23100</v>
      </c>
      <c r="H8" s="204">
        <v>22239</v>
      </c>
      <c r="I8" s="204">
        <v>21541</v>
      </c>
      <c r="J8" s="204">
        <v>21011</v>
      </c>
      <c r="K8" s="204">
        <v>20748</v>
      </c>
      <c r="L8" s="204">
        <v>21193</v>
      </c>
      <c r="M8" s="204">
        <v>20077</v>
      </c>
      <c r="N8" s="204">
        <v>21491</v>
      </c>
      <c r="O8" s="204">
        <v>23601</v>
      </c>
      <c r="P8" s="204">
        <v>24921</v>
      </c>
      <c r="Q8" s="204">
        <v>25960</v>
      </c>
      <c r="R8" s="204">
        <v>26659</v>
      </c>
      <c r="S8" s="204">
        <v>25196</v>
      </c>
      <c r="T8" s="204">
        <v>26417</v>
      </c>
      <c r="U8" s="204">
        <v>28598</v>
      </c>
      <c r="V8" s="204">
        <v>28921</v>
      </c>
      <c r="W8" s="204">
        <v>28294</v>
      </c>
      <c r="X8" s="204">
        <v>27096</v>
      </c>
      <c r="Y8" s="204">
        <v>28836</v>
      </c>
      <c r="Z8" s="204">
        <v>29443</v>
      </c>
      <c r="AA8" s="204">
        <v>29088</v>
      </c>
      <c r="AB8" s="204">
        <v>28046</v>
      </c>
      <c r="AC8" s="204">
        <v>26247</v>
      </c>
      <c r="AD8" s="204">
        <v>24536</v>
      </c>
    </row>
    <row r="9" spans="2:30" x14ac:dyDescent="0.25">
      <c r="B9" s="198">
        <v>2029</v>
      </c>
      <c r="C9" s="199">
        <v>2</v>
      </c>
      <c r="D9" s="200"/>
      <c r="E9" s="201" t="s">
        <v>20</v>
      </c>
      <c r="F9" s="202">
        <v>4</v>
      </c>
      <c r="G9" s="203">
        <v>22650</v>
      </c>
      <c r="H9" s="204">
        <v>21823</v>
      </c>
      <c r="I9" s="204">
        <v>21199</v>
      </c>
      <c r="J9" s="204">
        <v>20689</v>
      </c>
      <c r="K9" s="204">
        <v>20402</v>
      </c>
      <c r="L9" s="204">
        <v>20197</v>
      </c>
      <c r="M9" s="204">
        <v>19000</v>
      </c>
      <c r="N9" s="204">
        <v>20240</v>
      </c>
      <c r="O9" s="204">
        <v>22288</v>
      </c>
      <c r="P9" s="204">
        <v>23806</v>
      </c>
      <c r="Q9" s="204">
        <v>24867</v>
      </c>
      <c r="R9" s="204">
        <v>25442</v>
      </c>
      <c r="S9" s="204">
        <v>24987</v>
      </c>
      <c r="T9" s="204">
        <v>24743</v>
      </c>
      <c r="U9" s="204">
        <v>25139</v>
      </c>
      <c r="V9" s="204">
        <v>25108</v>
      </c>
      <c r="W9" s="204">
        <v>24766</v>
      </c>
      <c r="X9" s="204">
        <v>24323</v>
      </c>
      <c r="Y9" s="204">
        <v>26865</v>
      </c>
      <c r="Z9" s="204">
        <v>27431</v>
      </c>
      <c r="AA9" s="204">
        <v>26962</v>
      </c>
      <c r="AB9" s="204">
        <v>25873</v>
      </c>
      <c r="AC9" s="204">
        <v>24620</v>
      </c>
      <c r="AD9" s="204">
        <v>23362</v>
      </c>
    </row>
    <row r="10" spans="2:30" ht="15.75" thickBot="1" x14ac:dyDescent="0.3">
      <c r="B10" s="198">
        <v>2029</v>
      </c>
      <c r="C10" s="205">
        <v>2</v>
      </c>
      <c r="D10" s="200"/>
      <c r="E10" s="201" t="s">
        <v>21</v>
      </c>
      <c r="F10" s="202">
        <v>4</v>
      </c>
      <c r="G10" s="207">
        <v>22364</v>
      </c>
      <c r="H10" s="208">
        <v>21614</v>
      </c>
      <c r="I10" s="208">
        <v>20972</v>
      </c>
      <c r="J10" s="208">
        <v>20508</v>
      </c>
      <c r="K10" s="208">
        <v>20212</v>
      </c>
      <c r="L10" s="208">
        <v>19895</v>
      </c>
      <c r="M10" s="208">
        <v>18208</v>
      </c>
      <c r="N10" s="208">
        <v>19025</v>
      </c>
      <c r="O10" s="208">
        <v>20026</v>
      </c>
      <c r="P10" s="208">
        <v>21005</v>
      </c>
      <c r="Q10" s="208">
        <v>21884</v>
      </c>
      <c r="R10" s="208">
        <v>22707</v>
      </c>
      <c r="S10" s="208">
        <v>22869</v>
      </c>
      <c r="T10" s="208">
        <v>22944</v>
      </c>
      <c r="U10" s="208">
        <v>23192</v>
      </c>
      <c r="V10" s="208">
        <v>23428</v>
      </c>
      <c r="W10" s="208">
        <v>23283</v>
      </c>
      <c r="X10" s="208">
        <v>23287</v>
      </c>
      <c r="Y10" s="208">
        <v>26103</v>
      </c>
      <c r="Z10" s="208">
        <v>27291</v>
      </c>
      <c r="AA10" s="208">
        <v>27438</v>
      </c>
      <c r="AB10" s="208">
        <v>26493</v>
      </c>
      <c r="AC10" s="208">
        <v>24978</v>
      </c>
      <c r="AD10" s="208">
        <v>23382</v>
      </c>
    </row>
    <row r="11" spans="2:30" x14ac:dyDescent="0.25">
      <c r="B11" s="198">
        <v>2029</v>
      </c>
      <c r="C11" s="209">
        <v>3</v>
      </c>
      <c r="D11" s="210">
        <v>17522140</v>
      </c>
      <c r="E11" s="201" t="s">
        <v>19</v>
      </c>
      <c r="F11" s="202">
        <v>19</v>
      </c>
      <c r="G11" s="203">
        <v>23840</v>
      </c>
      <c r="H11" s="204">
        <v>22913</v>
      </c>
      <c r="I11" s="204">
        <v>22273</v>
      </c>
      <c r="J11" s="204">
        <v>21725</v>
      </c>
      <c r="K11" s="204">
        <v>21471</v>
      </c>
      <c r="L11" s="204">
        <v>21675</v>
      </c>
      <c r="M11" s="204">
        <v>20628</v>
      </c>
      <c r="N11" s="204">
        <v>22205</v>
      </c>
      <c r="O11" s="204">
        <v>24347</v>
      </c>
      <c r="P11" s="204">
        <v>25733</v>
      </c>
      <c r="Q11" s="204">
        <v>26892</v>
      </c>
      <c r="R11" s="204">
        <v>27687</v>
      </c>
      <c r="S11" s="204">
        <v>26129</v>
      </c>
      <c r="T11" s="204">
        <v>27253</v>
      </c>
      <c r="U11" s="204">
        <v>29218</v>
      </c>
      <c r="V11" s="204">
        <v>29529</v>
      </c>
      <c r="W11" s="204">
        <v>28820</v>
      </c>
      <c r="X11" s="204">
        <v>27659</v>
      </c>
      <c r="Y11" s="204">
        <v>29710</v>
      </c>
      <c r="Z11" s="204">
        <v>30266</v>
      </c>
      <c r="AA11" s="204">
        <v>29819</v>
      </c>
      <c r="AB11" s="204">
        <v>28670</v>
      </c>
      <c r="AC11" s="204">
        <v>26841</v>
      </c>
      <c r="AD11" s="204">
        <v>25238</v>
      </c>
    </row>
    <row r="12" spans="2:30" x14ac:dyDescent="0.25">
      <c r="B12" s="198">
        <v>2029</v>
      </c>
      <c r="C12" s="199">
        <v>3</v>
      </c>
      <c r="D12" s="200"/>
      <c r="E12" s="201" t="s">
        <v>20</v>
      </c>
      <c r="F12" s="202">
        <v>5</v>
      </c>
      <c r="G12" s="203">
        <v>20188</v>
      </c>
      <c r="H12" s="204">
        <v>19476</v>
      </c>
      <c r="I12" s="204">
        <v>18915</v>
      </c>
      <c r="J12" s="204">
        <v>18443</v>
      </c>
      <c r="K12" s="204">
        <v>18113</v>
      </c>
      <c r="L12" s="204">
        <v>17879</v>
      </c>
      <c r="M12" s="204">
        <v>16914</v>
      </c>
      <c r="N12" s="204">
        <v>17996</v>
      </c>
      <c r="O12" s="204">
        <v>19857</v>
      </c>
      <c r="P12" s="204">
        <v>21159</v>
      </c>
      <c r="Q12" s="204">
        <v>22200</v>
      </c>
      <c r="R12" s="204">
        <v>22735</v>
      </c>
      <c r="S12" s="204">
        <v>22090</v>
      </c>
      <c r="T12" s="204">
        <v>21798</v>
      </c>
      <c r="U12" s="204">
        <v>21942</v>
      </c>
      <c r="V12" s="204">
        <v>22081</v>
      </c>
      <c r="W12" s="204">
        <v>21641</v>
      </c>
      <c r="X12" s="204">
        <v>21480</v>
      </c>
      <c r="Y12" s="204">
        <v>23962</v>
      </c>
      <c r="Z12" s="204">
        <v>24335</v>
      </c>
      <c r="AA12" s="204">
        <v>23842</v>
      </c>
      <c r="AB12" s="204">
        <v>23086</v>
      </c>
      <c r="AC12" s="204">
        <v>21992</v>
      </c>
      <c r="AD12" s="204">
        <v>21007</v>
      </c>
    </row>
    <row r="13" spans="2:30" x14ac:dyDescent="0.25">
      <c r="B13" s="198">
        <v>2029</v>
      </c>
      <c r="C13" s="199">
        <v>3</v>
      </c>
      <c r="D13" s="200"/>
      <c r="E13" s="201" t="s">
        <v>21</v>
      </c>
      <c r="F13" s="202">
        <v>4</v>
      </c>
      <c r="G13" s="203">
        <v>24937</v>
      </c>
      <c r="H13" s="204">
        <v>24134</v>
      </c>
      <c r="I13" s="204">
        <v>23426</v>
      </c>
      <c r="J13" s="204">
        <v>22899</v>
      </c>
      <c r="K13" s="204">
        <v>22508</v>
      </c>
      <c r="L13" s="204">
        <v>21973</v>
      </c>
      <c r="M13" s="204">
        <v>20565</v>
      </c>
      <c r="N13" s="204">
        <v>21454</v>
      </c>
      <c r="O13" s="204">
        <v>21972</v>
      </c>
      <c r="P13" s="204">
        <v>22220</v>
      </c>
      <c r="Q13" s="204">
        <v>23967</v>
      </c>
      <c r="R13" s="204">
        <v>24943</v>
      </c>
      <c r="S13" s="204">
        <v>25324</v>
      </c>
      <c r="T13" s="204">
        <v>25284</v>
      </c>
      <c r="U13" s="204">
        <v>25733</v>
      </c>
      <c r="V13" s="204">
        <v>25381</v>
      </c>
      <c r="W13" s="204">
        <v>24948</v>
      </c>
      <c r="X13" s="204">
        <v>25668</v>
      </c>
      <c r="Y13" s="204">
        <v>28937</v>
      </c>
      <c r="Z13" s="204">
        <v>29986</v>
      </c>
      <c r="AA13" s="204">
        <v>29988</v>
      </c>
      <c r="AB13" s="204">
        <v>29097</v>
      </c>
      <c r="AC13" s="204">
        <v>27686</v>
      </c>
      <c r="AD13" s="204">
        <v>25862</v>
      </c>
    </row>
    <row r="14" spans="2:30" ht="15.75" thickBot="1" x14ac:dyDescent="0.3">
      <c r="B14" s="198">
        <v>2029</v>
      </c>
      <c r="C14" s="205">
        <v>3</v>
      </c>
      <c r="D14" s="206"/>
      <c r="E14" s="201" t="s">
        <v>22</v>
      </c>
      <c r="F14" s="202">
        <v>3</v>
      </c>
      <c r="G14" s="207">
        <v>11091</v>
      </c>
      <c r="H14" s="208">
        <v>10623</v>
      </c>
      <c r="I14" s="208">
        <v>10300</v>
      </c>
      <c r="J14" s="208">
        <v>10064</v>
      </c>
      <c r="K14" s="208">
        <v>9941</v>
      </c>
      <c r="L14" s="208">
        <v>9663</v>
      </c>
      <c r="M14" s="208">
        <v>9188</v>
      </c>
      <c r="N14" s="208">
        <v>9638</v>
      </c>
      <c r="O14" s="208">
        <v>10201</v>
      </c>
      <c r="P14" s="208">
        <v>10698</v>
      </c>
      <c r="Q14" s="208">
        <v>11197</v>
      </c>
      <c r="R14" s="208">
        <v>11738</v>
      </c>
      <c r="S14" s="208">
        <v>11889</v>
      </c>
      <c r="T14" s="208">
        <v>11936</v>
      </c>
      <c r="U14" s="208">
        <v>11928</v>
      </c>
      <c r="V14" s="208">
        <v>11915</v>
      </c>
      <c r="W14" s="208">
        <v>11782</v>
      </c>
      <c r="X14" s="208">
        <v>11766</v>
      </c>
      <c r="Y14" s="208">
        <v>13237</v>
      </c>
      <c r="Z14" s="208">
        <v>13720</v>
      </c>
      <c r="AA14" s="208">
        <v>13679</v>
      </c>
      <c r="AB14" s="208">
        <v>13243</v>
      </c>
      <c r="AC14" s="208">
        <v>12484</v>
      </c>
      <c r="AD14" s="208">
        <v>11625</v>
      </c>
    </row>
    <row r="15" spans="2:30" x14ac:dyDescent="0.25">
      <c r="B15" s="198">
        <v>2029</v>
      </c>
      <c r="C15" s="209">
        <v>4</v>
      </c>
      <c r="D15" s="210">
        <v>15595744</v>
      </c>
      <c r="E15" s="201" t="s">
        <v>19</v>
      </c>
      <c r="F15" s="202">
        <v>21</v>
      </c>
      <c r="G15" s="203">
        <v>19646</v>
      </c>
      <c r="H15" s="204">
        <v>19009</v>
      </c>
      <c r="I15" s="204">
        <v>18521</v>
      </c>
      <c r="J15" s="204">
        <v>18094</v>
      </c>
      <c r="K15" s="204">
        <v>17976</v>
      </c>
      <c r="L15" s="204">
        <v>17900</v>
      </c>
      <c r="M15" s="204">
        <v>17416</v>
      </c>
      <c r="N15" s="204">
        <v>18926</v>
      </c>
      <c r="O15" s="204">
        <v>20925</v>
      </c>
      <c r="P15" s="204">
        <v>22566</v>
      </c>
      <c r="Q15" s="204">
        <v>23595</v>
      </c>
      <c r="R15" s="204">
        <v>23674</v>
      </c>
      <c r="S15" s="204">
        <v>22681</v>
      </c>
      <c r="T15" s="204">
        <v>23826</v>
      </c>
      <c r="U15" s="204">
        <v>25472</v>
      </c>
      <c r="V15" s="204">
        <v>25413</v>
      </c>
      <c r="W15" s="204">
        <v>24299</v>
      </c>
      <c r="X15" s="204">
        <v>23804</v>
      </c>
      <c r="Y15" s="204">
        <v>25586</v>
      </c>
      <c r="Z15" s="204">
        <v>25886</v>
      </c>
      <c r="AA15" s="204">
        <v>25146</v>
      </c>
      <c r="AB15" s="204">
        <v>24036</v>
      </c>
      <c r="AC15" s="204">
        <v>22474</v>
      </c>
      <c r="AD15" s="204">
        <v>20798</v>
      </c>
    </row>
    <row r="16" spans="2:30" x14ac:dyDescent="0.25">
      <c r="B16" s="198">
        <v>2029</v>
      </c>
      <c r="C16" s="199">
        <v>4</v>
      </c>
      <c r="D16" s="200"/>
      <c r="E16" s="201" t="s">
        <v>20</v>
      </c>
      <c r="F16" s="202">
        <v>4</v>
      </c>
      <c r="G16" s="203">
        <v>23459</v>
      </c>
      <c r="H16" s="204">
        <v>22550</v>
      </c>
      <c r="I16" s="204">
        <v>21849</v>
      </c>
      <c r="J16" s="204">
        <v>21332</v>
      </c>
      <c r="K16" s="204">
        <v>21044</v>
      </c>
      <c r="L16" s="204">
        <v>20528</v>
      </c>
      <c r="M16" s="204">
        <v>19776</v>
      </c>
      <c r="N16" s="204">
        <v>21294</v>
      </c>
      <c r="O16" s="204">
        <v>23198</v>
      </c>
      <c r="P16" s="204">
        <v>24469</v>
      </c>
      <c r="Q16" s="204">
        <v>25561</v>
      </c>
      <c r="R16" s="204">
        <v>26479</v>
      </c>
      <c r="S16" s="204">
        <v>26144</v>
      </c>
      <c r="T16" s="204">
        <v>26015</v>
      </c>
      <c r="U16" s="204">
        <v>26514</v>
      </c>
      <c r="V16" s="204">
        <v>26573</v>
      </c>
      <c r="W16" s="204">
        <v>26178</v>
      </c>
      <c r="X16" s="204">
        <v>25998</v>
      </c>
      <c r="Y16" s="204">
        <v>29065</v>
      </c>
      <c r="Z16" s="204">
        <v>29463</v>
      </c>
      <c r="AA16" s="204">
        <v>28664</v>
      </c>
      <c r="AB16" s="204">
        <v>27672</v>
      </c>
      <c r="AC16" s="204">
        <v>26039</v>
      </c>
      <c r="AD16" s="204">
        <v>24721</v>
      </c>
    </row>
    <row r="17" spans="2:30" ht="15.75" thickBot="1" x14ac:dyDescent="0.3">
      <c r="B17" s="198">
        <v>2029</v>
      </c>
      <c r="C17" s="205">
        <v>4</v>
      </c>
      <c r="D17" s="200"/>
      <c r="E17" s="201" t="s">
        <v>21</v>
      </c>
      <c r="F17" s="202">
        <v>5</v>
      </c>
      <c r="G17" s="207">
        <v>17631</v>
      </c>
      <c r="H17" s="208">
        <v>17012</v>
      </c>
      <c r="I17" s="208">
        <v>16516</v>
      </c>
      <c r="J17" s="208">
        <v>16093</v>
      </c>
      <c r="K17" s="208">
        <v>15798</v>
      </c>
      <c r="L17" s="208">
        <v>15324</v>
      </c>
      <c r="M17" s="208">
        <v>14553</v>
      </c>
      <c r="N17" s="208">
        <v>15268</v>
      </c>
      <c r="O17" s="208">
        <v>16247</v>
      </c>
      <c r="P17" s="208">
        <v>16801</v>
      </c>
      <c r="Q17" s="208">
        <v>17248</v>
      </c>
      <c r="R17" s="208">
        <v>17902</v>
      </c>
      <c r="S17" s="208">
        <v>18182</v>
      </c>
      <c r="T17" s="208">
        <v>18279</v>
      </c>
      <c r="U17" s="208">
        <v>18550</v>
      </c>
      <c r="V17" s="208">
        <v>18651</v>
      </c>
      <c r="W17" s="208">
        <v>18466</v>
      </c>
      <c r="X17" s="208">
        <v>18456</v>
      </c>
      <c r="Y17" s="208">
        <v>20881</v>
      </c>
      <c r="Z17" s="208">
        <v>21474</v>
      </c>
      <c r="AA17" s="208">
        <v>21244</v>
      </c>
      <c r="AB17" s="208">
        <v>20271</v>
      </c>
      <c r="AC17" s="208">
        <v>18833</v>
      </c>
      <c r="AD17" s="208">
        <v>17591</v>
      </c>
    </row>
    <row r="18" spans="2:30" x14ac:dyDescent="0.25">
      <c r="B18" s="198">
        <v>2029</v>
      </c>
      <c r="C18" s="209">
        <v>5</v>
      </c>
      <c r="D18" s="210">
        <v>13789118</v>
      </c>
      <c r="E18" s="201" t="s">
        <v>19</v>
      </c>
      <c r="F18" s="202">
        <v>21</v>
      </c>
      <c r="G18" s="203">
        <v>16894</v>
      </c>
      <c r="H18" s="204">
        <v>16214</v>
      </c>
      <c r="I18" s="204">
        <v>15748</v>
      </c>
      <c r="J18" s="204">
        <v>15405</v>
      </c>
      <c r="K18" s="204">
        <v>15310</v>
      </c>
      <c r="L18" s="204">
        <v>15287</v>
      </c>
      <c r="M18" s="204">
        <v>15160</v>
      </c>
      <c r="N18" s="204">
        <v>16729</v>
      </c>
      <c r="O18" s="204">
        <v>18348</v>
      </c>
      <c r="P18" s="204">
        <v>19323</v>
      </c>
      <c r="Q18" s="204">
        <v>20121</v>
      </c>
      <c r="R18" s="204">
        <v>20639</v>
      </c>
      <c r="S18" s="204">
        <v>19612</v>
      </c>
      <c r="T18" s="204">
        <v>20298</v>
      </c>
      <c r="U18" s="204">
        <v>21755</v>
      </c>
      <c r="V18" s="204">
        <v>21799</v>
      </c>
      <c r="W18" s="204">
        <v>21241</v>
      </c>
      <c r="X18" s="204">
        <v>20445</v>
      </c>
      <c r="Y18" s="204">
        <v>22160</v>
      </c>
      <c r="Z18" s="204">
        <v>22444</v>
      </c>
      <c r="AA18" s="204">
        <v>21910</v>
      </c>
      <c r="AB18" s="204">
        <v>20835</v>
      </c>
      <c r="AC18" s="204">
        <v>19335</v>
      </c>
      <c r="AD18" s="204">
        <v>17986</v>
      </c>
    </row>
    <row r="19" spans="2:30" x14ac:dyDescent="0.25">
      <c r="B19" s="198">
        <v>2029</v>
      </c>
      <c r="C19" s="199">
        <v>5</v>
      </c>
      <c r="D19" s="200"/>
      <c r="E19" s="201" t="s">
        <v>20</v>
      </c>
      <c r="F19" s="202">
        <v>4</v>
      </c>
      <c r="G19" s="203">
        <v>17564</v>
      </c>
      <c r="H19" s="204">
        <v>16870</v>
      </c>
      <c r="I19" s="204">
        <v>16326</v>
      </c>
      <c r="J19" s="204">
        <v>15933</v>
      </c>
      <c r="K19" s="204">
        <v>15726</v>
      </c>
      <c r="L19" s="204">
        <v>15100</v>
      </c>
      <c r="M19" s="204">
        <v>14778</v>
      </c>
      <c r="N19" s="204">
        <v>15876</v>
      </c>
      <c r="O19" s="204">
        <v>17493</v>
      </c>
      <c r="P19" s="204">
        <v>18403</v>
      </c>
      <c r="Q19" s="204">
        <v>19247</v>
      </c>
      <c r="R19" s="204">
        <v>19792</v>
      </c>
      <c r="S19" s="204">
        <v>19133</v>
      </c>
      <c r="T19" s="204">
        <v>18807</v>
      </c>
      <c r="U19" s="204">
        <v>18911</v>
      </c>
      <c r="V19" s="204">
        <v>18941</v>
      </c>
      <c r="W19" s="204">
        <v>18632</v>
      </c>
      <c r="X19" s="204">
        <v>18666</v>
      </c>
      <c r="Y19" s="204">
        <v>20876</v>
      </c>
      <c r="Z19" s="204">
        <v>20938</v>
      </c>
      <c r="AA19" s="204">
        <v>20276</v>
      </c>
      <c r="AB19" s="204">
        <v>19444</v>
      </c>
      <c r="AC19" s="204">
        <v>18354</v>
      </c>
      <c r="AD19" s="204">
        <v>17185</v>
      </c>
    </row>
    <row r="20" spans="2:30" x14ac:dyDescent="0.25">
      <c r="B20" s="198">
        <v>2029</v>
      </c>
      <c r="C20" s="199">
        <v>5</v>
      </c>
      <c r="D20" s="200"/>
      <c r="E20" s="201" t="s">
        <v>21</v>
      </c>
      <c r="F20" s="202">
        <v>4</v>
      </c>
      <c r="G20" s="203">
        <v>16728</v>
      </c>
      <c r="H20" s="204">
        <v>16099</v>
      </c>
      <c r="I20" s="204">
        <v>15664</v>
      </c>
      <c r="J20" s="204">
        <v>15117</v>
      </c>
      <c r="K20" s="204">
        <v>14942</v>
      </c>
      <c r="L20" s="204">
        <v>14232</v>
      </c>
      <c r="M20" s="204">
        <v>13451</v>
      </c>
      <c r="N20" s="204">
        <v>14205</v>
      </c>
      <c r="O20" s="204">
        <v>15423</v>
      </c>
      <c r="P20" s="204">
        <v>16209</v>
      </c>
      <c r="Q20" s="204">
        <v>16773</v>
      </c>
      <c r="R20" s="204">
        <v>17424</v>
      </c>
      <c r="S20" s="204">
        <v>17527</v>
      </c>
      <c r="T20" s="204">
        <v>17488</v>
      </c>
      <c r="U20" s="204">
        <v>17541</v>
      </c>
      <c r="V20" s="204">
        <v>17605</v>
      </c>
      <c r="W20" s="204">
        <v>17580</v>
      </c>
      <c r="X20" s="204">
        <v>17689</v>
      </c>
      <c r="Y20" s="204">
        <v>20016</v>
      </c>
      <c r="Z20" s="204">
        <v>20608</v>
      </c>
      <c r="AA20" s="204">
        <v>20671</v>
      </c>
      <c r="AB20" s="204">
        <v>20092</v>
      </c>
      <c r="AC20" s="204">
        <v>18955</v>
      </c>
      <c r="AD20" s="204">
        <v>17840</v>
      </c>
    </row>
    <row r="21" spans="2:30" ht="15.75" thickBot="1" x14ac:dyDescent="0.3">
      <c r="B21" s="198">
        <v>2029</v>
      </c>
      <c r="C21" s="205">
        <v>5</v>
      </c>
      <c r="D21" s="206"/>
      <c r="E21" s="201" t="s">
        <v>22</v>
      </c>
      <c r="F21" s="202">
        <v>2</v>
      </c>
      <c r="G21" s="207">
        <v>17034</v>
      </c>
      <c r="H21" s="208">
        <v>16291</v>
      </c>
      <c r="I21" s="208">
        <v>15823</v>
      </c>
      <c r="J21" s="208">
        <v>15369</v>
      </c>
      <c r="K21" s="208">
        <v>14999</v>
      </c>
      <c r="L21" s="208">
        <v>14082</v>
      </c>
      <c r="M21" s="208">
        <v>13938</v>
      </c>
      <c r="N21" s="208">
        <v>14961</v>
      </c>
      <c r="O21" s="208">
        <v>16029</v>
      </c>
      <c r="P21" s="208">
        <v>17017</v>
      </c>
      <c r="Q21" s="208">
        <v>17768</v>
      </c>
      <c r="R21" s="208">
        <v>18771</v>
      </c>
      <c r="S21" s="208">
        <v>18896</v>
      </c>
      <c r="T21" s="208">
        <v>18952</v>
      </c>
      <c r="U21" s="208">
        <v>19258</v>
      </c>
      <c r="V21" s="208">
        <v>19348</v>
      </c>
      <c r="W21" s="208">
        <v>19008</v>
      </c>
      <c r="X21" s="208">
        <v>18879</v>
      </c>
      <c r="Y21" s="208">
        <v>21371</v>
      </c>
      <c r="Z21" s="208">
        <v>22134</v>
      </c>
      <c r="AA21" s="208">
        <v>21872</v>
      </c>
      <c r="AB21" s="208">
        <v>20854</v>
      </c>
      <c r="AC21" s="208">
        <v>19680</v>
      </c>
      <c r="AD21" s="208">
        <v>18446</v>
      </c>
    </row>
    <row r="22" spans="2:30" x14ac:dyDescent="0.25">
      <c r="B22" s="198">
        <v>2029</v>
      </c>
      <c r="C22" s="209">
        <v>6</v>
      </c>
      <c r="D22" s="210">
        <v>11658404</v>
      </c>
      <c r="E22" s="201" t="s">
        <v>19</v>
      </c>
      <c r="F22" s="202">
        <v>19</v>
      </c>
      <c r="G22" s="203">
        <v>14861</v>
      </c>
      <c r="H22" s="204">
        <v>14107</v>
      </c>
      <c r="I22" s="204">
        <v>13734</v>
      </c>
      <c r="J22" s="204">
        <v>13510</v>
      </c>
      <c r="K22" s="204">
        <v>13714</v>
      </c>
      <c r="L22" s="204">
        <v>13617</v>
      </c>
      <c r="M22" s="204">
        <v>13445</v>
      </c>
      <c r="N22" s="204">
        <v>14629</v>
      </c>
      <c r="O22" s="204">
        <v>16135</v>
      </c>
      <c r="P22" s="204">
        <v>17036</v>
      </c>
      <c r="Q22" s="204">
        <v>17906</v>
      </c>
      <c r="R22" s="204">
        <v>18508</v>
      </c>
      <c r="S22" s="204">
        <v>17572</v>
      </c>
      <c r="T22" s="204">
        <v>18098</v>
      </c>
      <c r="U22" s="204">
        <v>19389</v>
      </c>
      <c r="V22" s="204">
        <v>19418</v>
      </c>
      <c r="W22" s="204">
        <v>18959</v>
      </c>
      <c r="X22" s="204">
        <v>18172</v>
      </c>
      <c r="Y22" s="204">
        <v>19686</v>
      </c>
      <c r="Z22" s="204">
        <v>20055</v>
      </c>
      <c r="AA22" s="204">
        <v>19490</v>
      </c>
      <c r="AB22" s="204">
        <v>18522</v>
      </c>
      <c r="AC22" s="204">
        <v>17160</v>
      </c>
      <c r="AD22" s="204">
        <v>15908</v>
      </c>
    </row>
    <row r="23" spans="2:30" x14ac:dyDescent="0.25">
      <c r="B23" s="198">
        <v>2029</v>
      </c>
      <c r="C23" s="199">
        <v>6</v>
      </c>
      <c r="D23" s="200"/>
      <c r="E23" s="201" t="s">
        <v>20</v>
      </c>
      <c r="F23" s="202">
        <v>5</v>
      </c>
      <c r="G23" s="203">
        <v>12892</v>
      </c>
      <c r="H23" s="204">
        <v>12434</v>
      </c>
      <c r="I23" s="204">
        <v>11996</v>
      </c>
      <c r="J23" s="204">
        <v>11678</v>
      </c>
      <c r="K23" s="204">
        <v>11600</v>
      </c>
      <c r="L23" s="204">
        <v>11174</v>
      </c>
      <c r="M23" s="204">
        <v>10949</v>
      </c>
      <c r="N23" s="204">
        <v>11893</v>
      </c>
      <c r="O23" s="204">
        <v>12995</v>
      </c>
      <c r="P23" s="204">
        <v>13945</v>
      </c>
      <c r="Q23" s="204">
        <v>14669</v>
      </c>
      <c r="R23" s="204">
        <v>15058</v>
      </c>
      <c r="S23" s="204">
        <v>14822</v>
      </c>
      <c r="T23" s="204">
        <v>14829</v>
      </c>
      <c r="U23" s="204">
        <v>15017</v>
      </c>
      <c r="V23" s="204">
        <v>14689</v>
      </c>
      <c r="W23" s="204">
        <v>14388</v>
      </c>
      <c r="X23" s="204">
        <v>14385</v>
      </c>
      <c r="Y23" s="204">
        <v>16092</v>
      </c>
      <c r="Z23" s="204">
        <v>16531</v>
      </c>
      <c r="AA23" s="204">
        <v>16155</v>
      </c>
      <c r="AB23" s="204">
        <v>15376</v>
      </c>
      <c r="AC23" s="204">
        <v>14512</v>
      </c>
      <c r="AD23" s="204">
        <v>13720</v>
      </c>
    </row>
    <row r="24" spans="2:30" x14ac:dyDescent="0.25">
      <c r="B24" s="198">
        <v>2029</v>
      </c>
      <c r="C24" s="199">
        <v>6</v>
      </c>
      <c r="D24" s="200"/>
      <c r="E24" s="201" t="s">
        <v>21</v>
      </c>
      <c r="F24" s="202">
        <v>4</v>
      </c>
      <c r="G24" s="203">
        <v>16216</v>
      </c>
      <c r="H24" s="204">
        <v>15599</v>
      </c>
      <c r="I24" s="204">
        <v>15187</v>
      </c>
      <c r="J24" s="204">
        <v>14910</v>
      </c>
      <c r="K24" s="204">
        <v>14717</v>
      </c>
      <c r="L24" s="204">
        <v>13716</v>
      </c>
      <c r="M24" s="204">
        <v>13162</v>
      </c>
      <c r="N24" s="204">
        <v>13812</v>
      </c>
      <c r="O24" s="204">
        <v>14650</v>
      </c>
      <c r="P24" s="204">
        <v>15494</v>
      </c>
      <c r="Q24" s="204">
        <v>16182</v>
      </c>
      <c r="R24" s="204">
        <v>16708</v>
      </c>
      <c r="S24" s="204">
        <v>16917</v>
      </c>
      <c r="T24" s="204">
        <v>17060</v>
      </c>
      <c r="U24" s="204">
        <v>17455</v>
      </c>
      <c r="V24" s="204">
        <v>17424</v>
      </c>
      <c r="W24" s="204">
        <v>17404</v>
      </c>
      <c r="X24" s="204">
        <v>17371</v>
      </c>
      <c r="Y24" s="204">
        <v>19598</v>
      </c>
      <c r="Z24" s="204">
        <v>20398</v>
      </c>
      <c r="AA24" s="204">
        <v>20146</v>
      </c>
      <c r="AB24" s="204">
        <v>19335</v>
      </c>
      <c r="AC24" s="204">
        <v>18215</v>
      </c>
      <c r="AD24" s="204">
        <v>17143</v>
      </c>
    </row>
    <row r="25" spans="2:30" ht="15.75" thickBot="1" x14ac:dyDescent="0.3">
      <c r="B25" s="198">
        <v>2029</v>
      </c>
      <c r="C25" s="205">
        <v>6</v>
      </c>
      <c r="D25" s="206"/>
      <c r="E25" s="201" t="s">
        <v>22</v>
      </c>
      <c r="F25" s="202">
        <v>2</v>
      </c>
      <c r="G25" s="207">
        <v>14787</v>
      </c>
      <c r="H25" s="208">
        <v>14278</v>
      </c>
      <c r="I25" s="208">
        <v>13918</v>
      </c>
      <c r="J25" s="208">
        <v>13598</v>
      </c>
      <c r="K25" s="208">
        <v>13432</v>
      </c>
      <c r="L25" s="208">
        <v>12493</v>
      </c>
      <c r="M25" s="208">
        <v>12061</v>
      </c>
      <c r="N25" s="208">
        <v>12843</v>
      </c>
      <c r="O25" s="208">
        <v>13961</v>
      </c>
      <c r="P25" s="208">
        <v>14646</v>
      </c>
      <c r="Q25" s="208">
        <v>15052</v>
      </c>
      <c r="R25" s="208">
        <v>15851</v>
      </c>
      <c r="S25" s="208">
        <v>16027</v>
      </c>
      <c r="T25" s="208">
        <v>16173</v>
      </c>
      <c r="U25" s="208">
        <v>17008</v>
      </c>
      <c r="V25" s="208">
        <v>16869</v>
      </c>
      <c r="W25" s="208">
        <v>16060</v>
      </c>
      <c r="X25" s="208">
        <v>15869</v>
      </c>
      <c r="Y25" s="208">
        <v>17764</v>
      </c>
      <c r="Z25" s="208">
        <v>18369</v>
      </c>
      <c r="AA25" s="208">
        <v>18121</v>
      </c>
      <c r="AB25" s="208">
        <v>17300</v>
      </c>
      <c r="AC25" s="208">
        <v>16068</v>
      </c>
      <c r="AD25" s="208">
        <v>15024</v>
      </c>
    </row>
    <row r="26" spans="2:30" x14ac:dyDescent="0.25">
      <c r="B26" s="198">
        <v>2029</v>
      </c>
      <c r="C26" s="209">
        <v>7</v>
      </c>
      <c r="D26" s="210">
        <v>13025431</v>
      </c>
      <c r="E26" s="201" t="s">
        <v>19</v>
      </c>
      <c r="F26" s="202">
        <v>20</v>
      </c>
      <c r="G26" s="203">
        <v>16071</v>
      </c>
      <c r="H26" s="204">
        <v>15491</v>
      </c>
      <c r="I26" s="204">
        <v>15041</v>
      </c>
      <c r="J26" s="204">
        <v>14702</v>
      </c>
      <c r="K26" s="204">
        <v>14656</v>
      </c>
      <c r="L26" s="204">
        <v>14688</v>
      </c>
      <c r="M26" s="204">
        <v>14334</v>
      </c>
      <c r="N26" s="204">
        <v>15467</v>
      </c>
      <c r="O26" s="204">
        <v>16873</v>
      </c>
      <c r="P26" s="204">
        <v>17872</v>
      </c>
      <c r="Q26" s="204">
        <v>18642</v>
      </c>
      <c r="R26" s="204">
        <v>19152</v>
      </c>
      <c r="S26" s="204">
        <v>18220</v>
      </c>
      <c r="T26" s="204">
        <v>18617</v>
      </c>
      <c r="U26" s="204">
        <v>20015</v>
      </c>
      <c r="V26" s="204">
        <v>20149</v>
      </c>
      <c r="W26" s="204">
        <v>19875</v>
      </c>
      <c r="X26" s="204">
        <v>19111</v>
      </c>
      <c r="Y26" s="204">
        <v>20626</v>
      </c>
      <c r="Z26" s="204">
        <v>21294</v>
      </c>
      <c r="AA26" s="204">
        <v>20750</v>
      </c>
      <c r="AB26" s="204">
        <v>19739</v>
      </c>
      <c r="AC26" s="204">
        <v>18234</v>
      </c>
      <c r="AD26" s="204">
        <v>16879</v>
      </c>
    </row>
    <row r="27" spans="2:30" x14ac:dyDescent="0.25">
      <c r="B27" s="198">
        <v>2029</v>
      </c>
      <c r="C27" s="199">
        <v>7</v>
      </c>
      <c r="D27" s="200"/>
      <c r="E27" s="201" t="s">
        <v>20</v>
      </c>
      <c r="F27" s="202">
        <v>4</v>
      </c>
      <c r="G27" s="203">
        <v>16880</v>
      </c>
      <c r="H27" s="204">
        <v>16458</v>
      </c>
      <c r="I27" s="204">
        <v>16001</v>
      </c>
      <c r="J27" s="204">
        <v>15696</v>
      </c>
      <c r="K27" s="204">
        <v>15566</v>
      </c>
      <c r="L27" s="204">
        <v>15218</v>
      </c>
      <c r="M27" s="204">
        <v>14885</v>
      </c>
      <c r="N27" s="204">
        <v>16254</v>
      </c>
      <c r="O27" s="204">
        <v>17907</v>
      </c>
      <c r="P27" s="204">
        <v>18904</v>
      </c>
      <c r="Q27" s="204">
        <v>19639</v>
      </c>
      <c r="R27" s="204">
        <v>20209</v>
      </c>
      <c r="S27" s="204">
        <v>19991</v>
      </c>
      <c r="T27" s="204">
        <v>19939</v>
      </c>
      <c r="U27" s="204">
        <v>20372</v>
      </c>
      <c r="V27" s="204">
        <v>19706</v>
      </c>
      <c r="W27" s="204">
        <v>20028</v>
      </c>
      <c r="X27" s="204">
        <v>19647</v>
      </c>
      <c r="Y27" s="204">
        <v>21767</v>
      </c>
      <c r="Z27" s="204">
        <v>22569</v>
      </c>
      <c r="AA27" s="204">
        <v>22044</v>
      </c>
      <c r="AB27" s="204">
        <v>21116</v>
      </c>
      <c r="AC27" s="204">
        <v>19886</v>
      </c>
      <c r="AD27" s="204">
        <v>18672</v>
      </c>
    </row>
    <row r="28" spans="2:30" x14ac:dyDescent="0.25">
      <c r="B28" s="198">
        <v>2029</v>
      </c>
      <c r="C28" s="199">
        <v>7</v>
      </c>
      <c r="D28" s="200"/>
      <c r="E28" s="201" t="s">
        <v>21</v>
      </c>
      <c r="F28" s="202">
        <v>5</v>
      </c>
      <c r="G28" s="203">
        <v>15238</v>
      </c>
      <c r="H28" s="204">
        <v>14653</v>
      </c>
      <c r="I28" s="204">
        <v>14299</v>
      </c>
      <c r="J28" s="204">
        <v>13794</v>
      </c>
      <c r="K28" s="204">
        <v>13720</v>
      </c>
      <c r="L28" s="204">
        <v>13261</v>
      </c>
      <c r="M28" s="204">
        <v>12537</v>
      </c>
      <c r="N28" s="204">
        <v>13439</v>
      </c>
      <c r="O28" s="204">
        <v>14613</v>
      </c>
      <c r="P28" s="204">
        <v>15318</v>
      </c>
      <c r="Q28" s="204">
        <v>15862</v>
      </c>
      <c r="R28" s="204">
        <v>16381</v>
      </c>
      <c r="S28" s="204">
        <v>16226</v>
      </c>
      <c r="T28" s="204">
        <v>15995</v>
      </c>
      <c r="U28" s="204">
        <v>16113</v>
      </c>
      <c r="V28" s="204">
        <v>16304</v>
      </c>
      <c r="W28" s="204">
        <v>16288</v>
      </c>
      <c r="X28" s="204">
        <v>16207</v>
      </c>
      <c r="Y28" s="204">
        <v>17932</v>
      </c>
      <c r="Z28" s="204">
        <v>18795</v>
      </c>
      <c r="AA28" s="204">
        <v>18461</v>
      </c>
      <c r="AB28" s="204">
        <v>17713</v>
      </c>
      <c r="AC28" s="204">
        <v>16639</v>
      </c>
      <c r="AD28" s="204">
        <v>15659</v>
      </c>
    </row>
    <row r="29" spans="2:30" ht="15.75" thickBot="1" x14ac:dyDescent="0.3">
      <c r="B29" s="198">
        <v>2029</v>
      </c>
      <c r="C29" s="205">
        <v>7</v>
      </c>
      <c r="D29" s="206"/>
      <c r="E29" s="201" t="s">
        <v>22</v>
      </c>
      <c r="F29" s="202">
        <v>2</v>
      </c>
      <c r="G29" s="207">
        <v>15710</v>
      </c>
      <c r="H29" s="208">
        <v>15255</v>
      </c>
      <c r="I29" s="208">
        <v>14857</v>
      </c>
      <c r="J29" s="208">
        <v>14477</v>
      </c>
      <c r="K29" s="208">
        <v>14377</v>
      </c>
      <c r="L29" s="208">
        <v>13994</v>
      </c>
      <c r="M29" s="208">
        <v>13716</v>
      </c>
      <c r="N29" s="208">
        <v>14526</v>
      </c>
      <c r="O29" s="208">
        <v>15550</v>
      </c>
      <c r="P29" s="208">
        <v>16409</v>
      </c>
      <c r="Q29" s="208">
        <v>17142</v>
      </c>
      <c r="R29" s="208">
        <v>17835</v>
      </c>
      <c r="S29" s="208">
        <v>19063</v>
      </c>
      <c r="T29" s="208">
        <v>18397</v>
      </c>
      <c r="U29" s="208">
        <v>18265</v>
      </c>
      <c r="V29" s="208">
        <v>18434</v>
      </c>
      <c r="W29" s="208">
        <v>18189</v>
      </c>
      <c r="X29" s="208">
        <v>18021</v>
      </c>
      <c r="Y29" s="208">
        <v>20055</v>
      </c>
      <c r="Z29" s="208">
        <v>20836</v>
      </c>
      <c r="AA29" s="208">
        <v>20410</v>
      </c>
      <c r="AB29" s="208">
        <v>19540</v>
      </c>
      <c r="AC29" s="208">
        <v>18223</v>
      </c>
      <c r="AD29" s="208">
        <v>17129</v>
      </c>
    </row>
    <row r="30" spans="2:30" x14ac:dyDescent="0.25">
      <c r="B30" s="198">
        <v>2029</v>
      </c>
      <c r="C30" s="209">
        <v>8</v>
      </c>
      <c r="D30" s="210">
        <v>15031592</v>
      </c>
      <c r="E30" s="201" t="s">
        <v>19</v>
      </c>
      <c r="F30" s="202">
        <v>21</v>
      </c>
      <c r="G30" s="203">
        <v>18195</v>
      </c>
      <c r="H30" s="204">
        <v>17543</v>
      </c>
      <c r="I30" s="204">
        <v>17036</v>
      </c>
      <c r="J30" s="204">
        <v>16683</v>
      </c>
      <c r="K30" s="204">
        <v>16593</v>
      </c>
      <c r="L30" s="204">
        <v>16560</v>
      </c>
      <c r="M30" s="204">
        <v>16145</v>
      </c>
      <c r="N30" s="204">
        <v>17580</v>
      </c>
      <c r="O30" s="204">
        <v>19532</v>
      </c>
      <c r="P30" s="204">
        <v>20813</v>
      </c>
      <c r="Q30" s="204">
        <v>21860</v>
      </c>
      <c r="R30" s="204">
        <v>22575</v>
      </c>
      <c r="S30" s="204">
        <v>21390</v>
      </c>
      <c r="T30" s="204">
        <v>22254</v>
      </c>
      <c r="U30" s="204">
        <v>23756</v>
      </c>
      <c r="V30" s="204">
        <v>23766</v>
      </c>
      <c r="W30" s="204">
        <v>23105</v>
      </c>
      <c r="X30" s="204">
        <v>22025</v>
      </c>
      <c r="Y30" s="204">
        <v>23732</v>
      </c>
      <c r="Z30" s="204">
        <v>24364</v>
      </c>
      <c r="AA30" s="204">
        <v>23827</v>
      </c>
      <c r="AB30" s="204">
        <v>22687</v>
      </c>
      <c r="AC30" s="204">
        <v>20953</v>
      </c>
      <c r="AD30" s="204">
        <v>19500</v>
      </c>
    </row>
    <row r="31" spans="2:30" x14ac:dyDescent="0.25">
      <c r="B31" s="198">
        <v>2029</v>
      </c>
      <c r="C31" s="199">
        <v>8</v>
      </c>
      <c r="D31" s="200"/>
      <c r="E31" s="201" t="s">
        <v>20</v>
      </c>
      <c r="F31" s="202">
        <v>4</v>
      </c>
      <c r="G31" s="203">
        <v>20311</v>
      </c>
      <c r="H31" s="204">
        <v>19527</v>
      </c>
      <c r="I31" s="204">
        <v>18941</v>
      </c>
      <c r="J31" s="204">
        <v>18503</v>
      </c>
      <c r="K31" s="204">
        <v>18186</v>
      </c>
      <c r="L31" s="204">
        <v>17732</v>
      </c>
      <c r="M31" s="204">
        <v>17144</v>
      </c>
      <c r="N31" s="204">
        <v>18601</v>
      </c>
      <c r="O31" s="204">
        <v>20596</v>
      </c>
      <c r="P31" s="204">
        <v>21994</v>
      </c>
      <c r="Q31" s="204">
        <v>23024</v>
      </c>
      <c r="R31" s="204">
        <v>23739</v>
      </c>
      <c r="S31" s="204">
        <v>23342</v>
      </c>
      <c r="T31" s="204">
        <v>23595</v>
      </c>
      <c r="U31" s="204">
        <v>23923</v>
      </c>
      <c r="V31" s="204">
        <v>23804</v>
      </c>
      <c r="W31" s="204">
        <v>23224</v>
      </c>
      <c r="X31" s="204">
        <v>22958</v>
      </c>
      <c r="Y31" s="204">
        <v>25280</v>
      </c>
      <c r="Z31" s="204">
        <v>25883</v>
      </c>
      <c r="AA31" s="204">
        <v>25372</v>
      </c>
      <c r="AB31" s="204">
        <v>24340</v>
      </c>
      <c r="AC31" s="204">
        <v>22885</v>
      </c>
      <c r="AD31" s="204">
        <v>21007</v>
      </c>
    </row>
    <row r="32" spans="2:30" x14ac:dyDescent="0.25">
      <c r="B32" s="198">
        <v>2029</v>
      </c>
      <c r="C32" s="199">
        <v>8</v>
      </c>
      <c r="D32" s="200"/>
      <c r="E32" s="201" t="s">
        <v>21</v>
      </c>
      <c r="F32" s="202">
        <v>4</v>
      </c>
      <c r="G32" s="203">
        <v>17094</v>
      </c>
      <c r="H32" s="204">
        <v>16605</v>
      </c>
      <c r="I32" s="204">
        <v>16131</v>
      </c>
      <c r="J32" s="204">
        <v>15720</v>
      </c>
      <c r="K32" s="204">
        <v>15472</v>
      </c>
      <c r="L32" s="204">
        <v>14683</v>
      </c>
      <c r="M32" s="204">
        <v>13755</v>
      </c>
      <c r="N32" s="204">
        <v>14517</v>
      </c>
      <c r="O32" s="204">
        <v>15490</v>
      </c>
      <c r="P32" s="204">
        <v>16432</v>
      </c>
      <c r="Q32" s="204">
        <v>17145</v>
      </c>
      <c r="R32" s="204">
        <v>17792</v>
      </c>
      <c r="S32" s="204">
        <v>17940</v>
      </c>
      <c r="T32" s="204">
        <v>18178</v>
      </c>
      <c r="U32" s="204">
        <v>18234</v>
      </c>
      <c r="V32" s="204">
        <v>18267</v>
      </c>
      <c r="W32" s="204">
        <v>18091</v>
      </c>
      <c r="X32" s="204">
        <v>17971</v>
      </c>
      <c r="Y32" s="204">
        <v>20255</v>
      </c>
      <c r="Z32" s="204">
        <v>21141</v>
      </c>
      <c r="AA32" s="204">
        <v>20908</v>
      </c>
      <c r="AB32" s="204">
        <v>20013</v>
      </c>
      <c r="AC32" s="204">
        <v>18718</v>
      </c>
      <c r="AD32" s="204">
        <v>17596</v>
      </c>
    </row>
    <row r="33" spans="2:30" ht="15.75" thickBot="1" x14ac:dyDescent="0.3">
      <c r="B33" s="198">
        <v>2029</v>
      </c>
      <c r="C33" s="205">
        <v>8</v>
      </c>
      <c r="D33" s="206"/>
      <c r="E33" s="201" t="s">
        <v>22</v>
      </c>
      <c r="F33" s="202">
        <v>2</v>
      </c>
      <c r="G33" s="207">
        <v>18254</v>
      </c>
      <c r="H33" s="208">
        <v>17627</v>
      </c>
      <c r="I33" s="208">
        <v>17111</v>
      </c>
      <c r="J33" s="208">
        <v>16397</v>
      </c>
      <c r="K33" s="208">
        <v>16497</v>
      </c>
      <c r="L33" s="208">
        <v>16103</v>
      </c>
      <c r="M33" s="208">
        <v>15295</v>
      </c>
      <c r="N33" s="208">
        <v>16314</v>
      </c>
      <c r="O33" s="208">
        <v>17577</v>
      </c>
      <c r="P33" s="208">
        <v>18718</v>
      </c>
      <c r="Q33" s="208">
        <v>19862</v>
      </c>
      <c r="R33" s="208">
        <v>20809</v>
      </c>
      <c r="S33" s="208">
        <v>21019</v>
      </c>
      <c r="T33" s="208">
        <v>20941</v>
      </c>
      <c r="U33" s="208">
        <v>21096</v>
      </c>
      <c r="V33" s="208">
        <v>20833</v>
      </c>
      <c r="W33" s="208">
        <v>17156</v>
      </c>
      <c r="X33" s="208">
        <v>20185</v>
      </c>
      <c r="Y33" s="208">
        <v>22451</v>
      </c>
      <c r="Z33" s="208">
        <v>23131</v>
      </c>
      <c r="AA33" s="208">
        <v>22616</v>
      </c>
      <c r="AB33" s="208">
        <v>21625</v>
      </c>
      <c r="AC33" s="208">
        <v>20210</v>
      </c>
      <c r="AD33" s="208">
        <v>18874</v>
      </c>
    </row>
    <row r="34" spans="2:30" x14ac:dyDescent="0.25">
      <c r="B34" s="198">
        <v>2029</v>
      </c>
      <c r="C34" s="209">
        <v>9</v>
      </c>
      <c r="D34" s="210">
        <v>12553650</v>
      </c>
      <c r="E34" s="201" t="s">
        <v>19</v>
      </c>
      <c r="F34" s="202">
        <v>20</v>
      </c>
      <c r="G34" s="203">
        <v>16979</v>
      </c>
      <c r="H34" s="204">
        <v>16034</v>
      </c>
      <c r="I34" s="204">
        <v>15548</v>
      </c>
      <c r="J34" s="204">
        <v>15242</v>
      </c>
      <c r="K34" s="204">
        <v>15315</v>
      </c>
      <c r="L34" s="204">
        <v>15115</v>
      </c>
      <c r="M34" s="204">
        <v>14860</v>
      </c>
      <c r="N34" s="204">
        <v>16247</v>
      </c>
      <c r="O34" s="204">
        <v>18078</v>
      </c>
      <c r="P34" s="204">
        <v>19359</v>
      </c>
      <c r="Q34" s="204">
        <v>20294</v>
      </c>
      <c r="R34" s="204">
        <v>20944</v>
      </c>
      <c r="S34" s="204">
        <v>19888</v>
      </c>
      <c r="T34" s="204">
        <v>20771</v>
      </c>
      <c r="U34" s="204">
        <v>21936</v>
      </c>
      <c r="V34" s="204">
        <v>21787</v>
      </c>
      <c r="W34" s="204">
        <v>21242</v>
      </c>
      <c r="X34" s="204">
        <v>20753</v>
      </c>
      <c r="Y34" s="204">
        <v>22313</v>
      </c>
      <c r="Z34" s="204">
        <v>22460</v>
      </c>
      <c r="AA34" s="204">
        <v>22003</v>
      </c>
      <c r="AB34" s="204">
        <v>21113</v>
      </c>
      <c r="AC34" s="204">
        <v>19652</v>
      </c>
      <c r="AD34" s="204">
        <v>18310</v>
      </c>
    </row>
    <row r="35" spans="2:30" x14ac:dyDescent="0.25">
      <c r="B35" s="198">
        <v>2029</v>
      </c>
      <c r="C35" s="199">
        <v>9</v>
      </c>
      <c r="D35" s="200"/>
      <c r="E35" s="201" t="s">
        <v>20</v>
      </c>
      <c r="F35" s="202">
        <v>5</v>
      </c>
      <c r="G35" s="203">
        <v>13894</v>
      </c>
      <c r="H35" s="204">
        <v>13408</v>
      </c>
      <c r="I35" s="204">
        <v>12997</v>
      </c>
      <c r="J35" s="204">
        <v>12698</v>
      </c>
      <c r="K35" s="204">
        <v>12521</v>
      </c>
      <c r="L35" s="204">
        <v>11956</v>
      </c>
      <c r="M35" s="204">
        <v>11785</v>
      </c>
      <c r="N35" s="204">
        <v>12773</v>
      </c>
      <c r="O35" s="204">
        <v>14109</v>
      </c>
      <c r="P35" s="204">
        <v>15123</v>
      </c>
      <c r="Q35" s="204">
        <v>15918</v>
      </c>
      <c r="R35" s="204">
        <v>16358</v>
      </c>
      <c r="S35" s="204">
        <v>16022</v>
      </c>
      <c r="T35" s="204">
        <v>16018</v>
      </c>
      <c r="U35" s="204">
        <v>16277</v>
      </c>
      <c r="V35" s="204">
        <v>16108</v>
      </c>
      <c r="W35" s="204">
        <v>15772</v>
      </c>
      <c r="X35" s="204">
        <v>15797</v>
      </c>
      <c r="Y35" s="204">
        <v>17428</v>
      </c>
      <c r="Z35" s="204">
        <v>17460</v>
      </c>
      <c r="AA35" s="204">
        <v>17085</v>
      </c>
      <c r="AB35" s="204">
        <v>16426</v>
      </c>
      <c r="AC35" s="204">
        <v>15588</v>
      </c>
      <c r="AD35" s="204">
        <v>14713</v>
      </c>
    </row>
    <row r="36" spans="2:30" ht="15.75" thickBot="1" x14ac:dyDescent="0.3">
      <c r="B36" s="198">
        <v>2029</v>
      </c>
      <c r="C36" s="205">
        <v>9</v>
      </c>
      <c r="D36" s="200"/>
      <c r="E36" s="201" t="s">
        <v>21</v>
      </c>
      <c r="F36" s="202">
        <v>5</v>
      </c>
      <c r="G36" s="207">
        <v>14479</v>
      </c>
      <c r="H36" s="208">
        <v>13908</v>
      </c>
      <c r="I36" s="208">
        <v>13427</v>
      </c>
      <c r="J36" s="208">
        <v>12289</v>
      </c>
      <c r="K36" s="208">
        <v>11900</v>
      </c>
      <c r="L36" s="208">
        <v>11334</v>
      </c>
      <c r="M36" s="208">
        <v>10806</v>
      </c>
      <c r="N36" s="208">
        <v>11405</v>
      </c>
      <c r="O36" s="208">
        <v>12109</v>
      </c>
      <c r="P36" s="208">
        <v>12805</v>
      </c>
      <c r="Q36" s="208">
        <v>13294</v>
      </c>
      <c r="R36" s="208">
        <v>13751</v>
      </c>
      <c r="S36" s="208">
        <v>13856</v>
      </c>
      <c r="T36" s="208">
        <v>13566</v>
      </c>
      <c r="U36" s="208">
        <v>13529</v>
      </c>
      <c r="V36" s="208">
        <v>13533</v>
      </c>
      <c r="W36" s="208">
        <v>13303</v>
      </c>
      <c r="X36" s="208">
        <v>13328</v>
      </c>
      <c r="Y36" s="208">
        <v>16294</v>
      </c>
      <c r="Z36" s="208">
        <v>16880</v>
      </c>
      <c r="AA36" s="208">
        <v>16643</v>
      </c>
      <c r="AB36" s="208">
        <v>15989</v>
      </c>
      <c r="AC36" s="208">
        <v>15008</v>
      </c>
      <c r="AD36" s="208">
        <v>14088</v>
      </c>
    </row>
    <row r="37" spans="2:30" x14ac:dyDescent="0.25">
      <c r="B37" s="198">
        <v>2029</v>
      </c>
      <c r="C37" s="209">
        <v>10</v>
      </c>
      <c r="D37" s="210">
        <v>14421772</v>
      </c>
      <c r="E37" s="201" t="s">
        <v>19</v>
      </c>
      <c r="F37" s="202">
        <v>22</v>
      </c>
      <c r="G37" s="203">
        <v>16909</v>
      </c>
      <c r="H37" s="204">
        <v>16284</v>
      </c>
      <c r="I37" s="204">
        <v>15819</v>
      </c>
      <c r="J37" s="204">
        <v>15481</v>
      </c>
      <c r="K37" s="204">
        <v>15245</v>
      </c>
      <c r="L37" s="204">
        <v>14836</v>
      </c>
      <c r="M37" s="204">
        <v>14724</v>
      </c>
      <c r="N37" s="204">
        <v>16262</v>
      </c>
      <c r="O37" s="204">
        <v>18194</v>
      </c>
      <c r="P37" s="204">
        <v>19351</v>
      </c>
      <c r="Q37" s="204">
        <v>20335</v>
      </c>
      <c r="R37" s="204">
        <v>20889</v>
      </c>
      <c r="S37" s="204">
        <v>19934</v>
      </c>
      <c r="T37" s="204">
        <v>20647</v>
      </c>
      <c r="U37" s="204">
        <v>22089</v>
      </c>
      <c r="V37" s="204">
        <v>22066</v>
      </c>
      <c r="W37" s="204">
        <v>21351</v>
      </c>
      <c r="X37" s="204">
        <v>21027</v>
      </c>
      <c r="Y37" s="204">
        <v>22234</v>
      </c>
      <c r="Z37" s="204">
        <v>22052</v>
      </c>
      <c r="AA37" s="204">
        <v>21590</v>
      </c>
      <c r="AB37" s="204">
        <v>20769</v>
      </c>
      <c r="AC37" s="204">
        <v>19367</v>
      </c>
      <c r="AD37" s="204">
        <v>18183</v>
      </c>
    </row>
    <row r="38" spans="2:30" x14ac:dyDescent="0.25">
      <c r="B38" s="198">
        <v>2029</v>
      </c>
      <c r="C38" s="199">
        <v>10</v>
      </c>
      <c r="D38" s="200"/>
      <c r="E38" s="201" t="s">
        <v>20</v>
      </c>
      <c r="F38" s="202">
        <v>4</v>
      </c>
      <c r="G38" s="203">
        <v>19522</v>
      </c>
      <c r="H38" s="204">
        <v>18854</v>
      </c>
      <c r="I38" s="204">
        <v>18274</v>
      </c>
      <c r="J38" s="204">
        <v>17744</v>
      </c>
      <c r="K38" s="204">
        <v>17226</v>
      </c>
      <c r="L38" s="204">
        <v>16723</v>
      </c>
      <c r="M38" s="204">
        <v>16611</v>
      </c>
      <c r="N38" s="204">
        <v>18103</v>
      </c>
      <c r="O38" s="204">
        <v>20091</v>
      </c>
      <c r="P38" s="204">
        <v>21408</v>
      </c>
      <c r="Q38" s="204">
        <v>22387</v>
      </c>
      <c r="R38" s="204">
        <v>22884</v>
      </c>
      <c r="S38" s="204">
        <v>22191</v>
      </c>
      <c r="T38" s="204">
        <v>21895</v>
      </c>
      <c r="U38" s="204">
        <v>22150</v>
      </c>
      <c r="V38" s="204">
        <v>22130</v>
      </c>
      <c r="W38" s="204">
        <v>21589</v>
      </c>
      <c r="X38" s="204">
        <v>21958</v>
      </c>
      <c r="Y38" s="204">
        <v>23911</v>
      </c>
      <c r="Z38" s="204">
        <v>23686</v>
      </c>
      <c r="AA38" s="204">
        <v>23091</v>
      </c>
      <c r="AB38" s="204">
        <v>22348</v>
      </c>
      <c r="AC38" s="204">
        <v>21301</v>
      </c>
      <c r="AD38" s="204">
        <v>20270</v>
      </c>
    </row>
    <row r="39" spans="2:30" x14ac:dyDescent="0.25">
      <c r="B39" s="198">
        <v>2029</v>
      </c>
      <c r="C39" s="199">
        <v>10</v>
      </c>
      <c r="D39" s="200"/>
      <c r="E39" s="201" t="s">
        <v>21</v>
      </c>
      <c r="F39" s="202">
        <v>4</v>
      </c>
      <c r="G39" s="203">
        <v>21165</v>
      </c>
      <c r="H39" s="204">
        <v>20280</v>
      </c>
      <c r="I39" s="204">
        <v>19484</v>
      </c>
      <c r="J39" s="204">
        <v>18907</v>
      </c>
      <c r="K39" s="204">
        <v>18547</v>
      </c>
      <c r="L39" s="204">
        <v>17816</v>
      </c>
      <c r="M39" s="204">
        <v>17177</v>
      </c>
      <c r="N39" s="204">
        <v>17825</v>
      </c>
      <c r="O39" s="204">
        <v>18668</v>
      </c>
      <c r="P39" s="204">
        <v>19433</v>
      </c>
      <c r="Q39" s="204">
        <v>20007</v>
      </c>
      <c r="R39" s="204">
        <v>20688</v>
      </c>
      <c r="S39" s="204">
        <v>20952</v>
      </c>
      <c r="T39" s="204">
        <v>20740</v>
      </c>
      <c r="U39" s="204">
        <v>20926</v>
      </c>
      <c r="V39" s="204">
        <v>21252</v>
      </c>
      <c r="W39" s="204">
        <v>21099</v>
      </c>
      <c r="X39" s="204">
        <v>21930</v>
      </c>
      <c r="Y39" s="204">
        <v>24561</v>
      </c>
      <c r="Z39" s="204">
        <v>24527</v>
      </c>
      <c r="AA39" s="204">
        <v>24160</v>
      </c>
      <c r="AB39" s="204">
        <v>23425</v>
      </c>
      <c r="AC39" s="204">
        <v>22176</v>
      </c>
      <c r="AD39" s="204">
        <v>20987</v>
      </c>
    </row>
    <row r="40" spans="2:30" ht="15.75" thickBot="1" x14ac:dyDescent="0.3">
      <c r="B40" s="198">
        <v>2029</v>
      </c>
      <c r="C40" s="205">
        <v>10</v>
      </c>
      <c r="D40" s="206"/>
      <c r="E40" s="201" t="s">
        <v>22</v>
      </c>
      <c r="F40" s="202">
        <v>1</v>
      </c>
      <c r="G40" s="207">
        <v>17090</v>
      </c>
      <c r="H40" s="208">
        <v>16563</v>
      </c>
      <c r="I40" s="208">
        <v>16108</v>
      </c>
      <c r="J40" s="208">
        <v>15764</v>
      </c>
      <c r="K40" s="208">
        <v>15597</v>
      </c>
      <c r="L40" s="208">
        <v>14938</v>
      </c>
      <c r="M40" s="208">
        <v>14566</v>
      </c>
      <c r="N40" s="208">
        <v>15436</v>
      </c>
      <c r="O40" s="208">
        <v>16578</v>
      </c>
      <c r="P40" s="208">
        <v>17573</v>
      </c>
      <c r="Q40" s="208">
        <v>18538</v>
      </c>
      <c r="R40" s="208">
        <v>19292</v>
      </c>
      <c r="S40" s="208">
        <v>19411</v>
      </c>
      <c r="T40" s="208">
        <v>19126</v>
      </c>
      <c r="U40" s="208">
        <v>18880</v>
      </c>
      <c r="V40" s="208">
        <v>18697</v>
      </c>
      <c r="W40" s="208">
        <v>18578</v>
      </c>
      <c r="X40" s="208">
        <v>19216</v>
      </c>
      <c r="Y40" s="208">
        <v>20343</v>
      </c>
      <c r="Z40" s="208">
        <v>20572</v>
      </c>
      <c r="AA40" s="208">
        <v>19742</v>
      </c>
      <c r="AB40" s="208">
        <v>18635</v>
      </c>
      <c r="AC40" s="208">
        <v>17554</v>
      </c>
      <c r="AD40" s="208">
        <v>16623</v>
      </c>
    </row>
    <row r="41" spans="2:30" x14ac:dyDescent="0.25">
      <c r="B41" s="198">
        <v>2029</v>
      </c>
      <c r="C41" s="209">
        <v>11</v>
      </c>
      <c r="D41" s="210">
        <v>14457102</v>
      </c>
      <c r="E41" s="201" t="s">
        <v>19</v>
      </c>
      <c r="F41" s="202">
        <v>20</v>
      </c>
      <c r="G41" s="203">
        <v>18154</v>
      </c>
      <c r="H41" s="204">
        <v>17488</v>
      </c>
      <c r="I41" s="204">
        <v>16989</v>
      </c>
      <c r="J41" s="204">
        <v>16603</v>
      </c>
      <c r="K41" s="204">
        <v>16404</v>
      </c>
      <c r="L41" s="204">
        <v>15999</v>
      </c>
      <c r="M41" s="204">
        <v>15833</v>
      </c>
      <c r="N41" s="204">
        <v>17340</v>
      </c>
      <c r="O41" s="204">
        <v>19311</v>
      </c>
      <c r="P41" s="204">
        <v>20521</v>
      </c>
      <c r="Q41" s="204">
        <v>21444</v>
      </c>
      <c r="R41" s="204">
        <v>21964</v>
      </c>
      <c r="S41" s="204">
        <v>20914</v>
      </c>
      <c r="T41" s="204">
        <v>21687</v>
      </c>
      <c r="U41" s="204">
        <v>23110</v>
      </c>
      <c r="V41" s="204">
        <v>23352</v>
      </c>
      <c r="W41" s="204">
        <v>22578</v>
      </c>
      <c r="X41" s="204">
        <v>22503</v>
      </c>
      <c r="Y41" s="204">
        <v>23784</v>
      </c>
      <c r="Z41" s="204">
        <v>23559</v>
      </c>
      <c r="AA41" s="204">
        <v>23056</v>
      </c>
      <c r="AB41" s="204">
        <v>22094</v>
      </c>
      <c r="AC41" s="204">
        <v>20696</v>
      </c>
      <c r="AD41" s="204">
        <v>19436</v>
      </c>
    </row>
    <row r="42" spans="2:30" x14ac:dyDescent="0.25">
      <c r="B42" s="198">
        <v>2029</v>
      </c>
      <c r="C42" s="199">
        <v>11</v>
      </c>
      <c r="D42" s="200"/>
      <c r="E42" s="201" t="s">
        <v>20</v>
      </c>
      <c r="F42" s="202">
        <v>4</v>
      </c>
      <c r="G42" s="203">
        <v>20516</v>
      </c>
      <c r="H42" s="204">
        <v>19786</v>
      </c>
      <c r="I42" s="204">
        <v>19160</v>
      </c>
      <c r="J42" s="204">
        <v>18657</v>
      </c>
      <c r="K42" s="204">
        <v>18346</v>
      </c>
      <c r="L42" s="204">
        <v>17616</v>
      </c>
      <c r="M42" s="204">
        <v>17248</v>
      </c>
      <c r="N42" s="204">
        <v>18625</v>
      </c>
      <c r="O42" s="204">
        <v>20420</v>
      </c>
      <c r="P42" s="204">
        <v>21854</v>
      </c>
      <c r="Q42" s="204">
        <v>22777</v>
      </c>
      <c r="R42" s="204">
        <v>23633</v>
      </c>
      <c r="S42" s="204">
        <v>23161</v>
      </c>
      <c r="T42" s="204">
        <v>22782</v>
      </c>
      <c r="U42" s="204">
        <v>22833</v>
      </c>
      <c r="V42" s="204">
        <v>22693</v>
      </c>
      <c r="W42" s="204">
        <v>22110</v>
      </c>
      <c r="X42" s="204">
        <v>22978</v>
      </c>
      <c r="Y42" s="204">
        <v>24895</v>
      </c>
      <c r="Z42" s="204">
        <v>24801</v>
      </c>
      <c r="AA42" s="204">
        <v>24127</v>
      </c>
      <c r="AB42" s="204">
        <v>23261</v>
      </c>
      <c r="AC42" s="204">
        <v>22149</v>
      </c>
      <c r="AD42" s="204">
        <v>20996</v>
      </c>
    </row>
    <row r="43" spans="2:30" x14ac:dyDescent="0.25">
      <c r="B43" s="198">
        <v>2029</v>
      </c>
      <c r="C43" s="199">
        <v>11</v>
      </c>
      <c r="D43" s="200"/>
      <c r="E43" s="201" t="s">
        <v>21</v>
      </c>
      <c r="F43" s="202">
        <v>4</v>
      </c>
      <c r="G43" s="203">
        <v>18290</v>
      </c>
      <c r="H43" s="204">
        <v>17665</v>
      </c>
      <c r="I43" s="204">
        <v>17202</v>
      </c>
      <c r="J43" s="204">
        <v>16891</v>
      </c>
      <c r="K43" s="204">
        <v>16701</v>
      </c>
      <c r="L43" s="204">
        <v>15571</v>
      </c>
      <c r="M43" s="204">
        <v>14927</v>
      </c>
      <c r="N43" s="204">
        <v>15800</v>
      </c>
      <c r="O43" s="204">
        <v>16800</v>
      </c>
      <c r="P43" s="204">
        <v>17504</v>
      </c>
      <c r="Q43" s="204">
        <v>18090</v>
      </c>
      <c r="R43" s="204">
        <v>18642</v>
      </c>
      <c r="S43" s="204">
        <v>18867</v>
      </c>
      <c r="T43" s="204">
        <v>18811</v>
      </c>
      <c r="U43" s="204">
        <v>18819</v>
      </c>
      <c r="V43" s="204">
        <v>18876</v>
      </c>
      <c r="W43" s="204">
        <v>18756</v>
      </c>
      <c r="X43" s="204">
        <v>19607</v>
      </c>
      <c r="Y43" s="204">
        <v>21829</v>
      </c>
      <c r="Z43" s="204">
        <v>22293</v>
      </c>
      <c r="AA43" s="204">
        <v>22142</v>
      </c>
      <c r="AB43" s="204">
        <v>21362</v>
      </c>
      <c r="AC43" s="204">
        <v>20239</v>
      </c>
      <c r="AD43" s="204">
        <v>19043</v>
      </c>
    </row>
    <row r="44" spans="2:30" ht="15.75" thickBot="1" x14ac:dyDescent="0.3">
      <c r="B44" s="198">
        <v>2029</v>
      </c>
      <c r="C44" s="205">
        <v>11</v>
      </c>
      <c r="D44" s="206"/>
      <c r="E44" s="201" t="s">
        <v>22</v>
      </c>
      <c r="F44" s="202">
        <v>2</v>
      </c>
      <c r="G44" s="207">
        <v>18960</v>
      </c>
      <c r="H44" s="208">
        <v>18133</v>
      </c>
      <c r="I44" s="208">
        <v>17554</v>
      </c>
      <c r="J44" s="208">
        <v>17054</v>
      </c>
      <c r="K44" s="208">
        <v>16727</v>
      </c>
      <c r="L44" s="208">
        <v>16051</v>
      </c>
      <c r="M44" s="208">
        <v>15549</v>
      </c>
      <c r="N44" s="208">
        <v>16537</v>
      </c>
      <c r="O44" s="208">
        <v>17725</v>
      </c>
      <c r="P44" s="208">
        <v>18631</v>
      </c>
      <c r="Q44" s="208">
        <v>19335</v>
      </c>
      <c r="R44" s="208">
        <v>19845</v>
      </c>
      <c r="S44" s="208">
        <v>19811</v>
      </c>
      <c r="T44" s="208">
        <v>19504</v>
      </c>
      <c r="U44" s="208">
        <v>19671</v>
      </c>
      <c r="V44" s="208">
        <v>19903</v>
      </c>
      <c r="W44" s="208">
        <v>19758</v>
      </c>
      <c r="X44" s="208">
        <v>20690</v>
      </c>
      <c r="Y44" s="208">
        <v>22793</v>
      </c>
      <c r="Z44" s="208">
        <v>22829</v>
      </c>
      <c r="AA44" s="208">
        <v>22268</v>
      </c>
      <c r="AB44" s="208">
        <v>21482</v>
      </c>
      <c r="AC44" s="208">
        <v>20194</v>
      </c>
      <c r="AD44" s="208">
        <v>19055</v>
      </c>
    </row>
    <row r="45" spans="2:30" x14ac:dyDescent="0.25">
      <c r="B45" s="198">
        <v>2029</v>
      </c>
      <c r="C45" s="209">
        <v>12</v>
      </c>
      <c r="D45" s="210">
        <v>17898497</v>
      </c>
      <c r="E45" s="201" t="s">
        <v>19</v>
      </c>
      <c r="F45" s="202">
        <v>20</v>
      </c>
      <c r="G45" s="203">
        <v>22835</v>
      </c>
      <c r="H45" s="204">
        <v>21926</v>
      </c>
      <c r="I45" s="204">
        <v>21259</v>
      </c>
      <c r="J45" s="204">
        <v>20709</v>
      </c>
      <c r="K45" s="204">
        <v>20484</v>
      </c>
      <c r="L45" s="204">
        <v>20030</v>
      </c>
      <c r="M45" s="204">
        <v>19325</v>
      </c>
      <c r="N45" s="204">
        <v>21250</v>
      </c>
      <c r="O45" s="204">
        <v>23645</v>
      </c>
      <c r="P45" s="204">
        <v>25389</v>
      </c>
      <c r="Q45" s="204">
        <v>26601</v>
      </c>
      <c r="R45" s="204">
        <v>27472</v>
      </c>
      <c r="S45" s="204">
        <v>26289</v>
      </c>
      <c r="T45" s="204">
        <v>26890</v>
      </c>
      <c r="U45" s="204">
        <v>28497</v>
      </c>
      <c r="V45" s="204">
        <v>28608</v>
      </c>
      <c r="W45" s="204">
        <v>27760</v>
      </c>
      <c r="X45" s="204">
        <v>27230</v>
      </c>
      <c r="Y45" s="204">
        <v>29184</v>
      </c>
      <c r="Z45" s="204">
        <v>28830</v>
      </c>
      <c r="AA45" s="204">
        <v>28186</v>
      </c>
      <c r="AB45" s="204">
        <v>27231</v>
      </c>
      <c r="AC45" s="204">
        <v>25812</v>
      </c>
      <c r="AD45" s="204">
        <v>24374</v>
      </c>
    </row>
    <row r="46" spans="2:30" x14ac:dyDescent="0.25">
      <c r="B46" s="198">
        <v>2029</v>
      </c>
      <c r="C46" s="199">
        <v>12</v>
      </c>
      <c r="D46" s="200"/>
      <c r="E46" s="201" t="s">
        <v>20</v>
      </c>
      <c r="F46" s="202">
        <v>4</v>
      </c>
      <c r="G46" s="203">
        <v>26954</v>
      </c>
      <c r="H46" s="204">
        <v>26033</v>
      </c>
      <c r="I46" s="204">
        <v>24936</v>
      </c>
      <c r="J46" s="204">
        <v>24293</v>
      </c>
      <c r="K46" s="204">
        <v>23967</v>
      </c>
      <c r="L46" s="204">
        <v>23698</v>
      </c>
      <c r="M46" s="204">
        <v>22604</v>
      </c>
      <c r="N46" s="204">
        <v>24173</v>
      </c>
      <c r="O46" s="204">
        <v>26558</v>
      </c>
      <c r="P46" s="204">
        <v>28190</v>
      </c>
      <c r="Q46" s="204">
        <v>29309</v>
      </c>
      <c r="R46" s="204">
        <v>29671</v>
      </c>
      <c r="S46" s="204">
        <v>28710</v>
      </c>
      <c r="T46" s="204">
        <v>28125</v>
      </c>
      <c r="U46" s="204">
        <v>28438</v>
      </c>
      <c r="V46" s="204">
        <v>28400</v>
      </c>
      <c r="W46" s="204">
        <v>28288</v>
      </c>
      <c r="X46" s="204">
        <v>28822</v>
      </c>
      <c r="Y46" s="204">
        <v>31927</v>
      </c>
      <c r="Z46" s="204">
        <v>31567</v>
      </c>
      <c r="AA46" s="204">
        <v>30837</v>
      </c>
      <c r="AB46" s="204">
        <v>29711</v>
      </c>
      <c r="AC46" s="204">
        <v>28495</v>
      </c>
      <c r="AD46" s="204">
        <v>27098</v>
      </c>
    </row>
    <row r="47" spans="2:30" x14ac:dyDescent="0.25">
      <c r="B47" s="198">
        <v>2029</v>
      </c>
      <c r="C47" s="199">
        <v>12</v>
      </c>
      <c r="D47" s="200"/>
      <c r="E47" s="201" t="s">
        <v>21</v>
      </c>
      <c r="F47" s="202">
        <v>5</v>
      </c>
      <c r="G47" s="203">
        <v>17915</v>
      </c>
      <c r="H47" s="204">
        <v>17300</v>
      </c>
      <c r="I47" s="204">
        <v>16828</v>
      </c>
      <c r="J47" s="204">
        <v>16251</v>
      </c>
      <c r="K47" s="204">
        <v>15911</v>
      </c>
      <c r="L47" s="204">
        <v>15535</v>
      </c>
      <c r="M47" s="204">
        <v>14636</v>
      </c>
      <c r="N47" s="204">
        <v>15619</v>
      </c>
      <c r="O47" s="204">
        <v>16541</v>
      </c>
      <c r="P47" s="204">
        <v>17400</v>
      </c>
      <c r="Q47" s="204">
        <v>18175</v>
      </c>
      <c r="R47" s="204">
        <v>18671</v>
      </c>
      <c r="S47" s="204">
        <v>18989</v>
      </c>
      <c r="T47" s="204">
        <v>18941</v>
      </c>
      <c r="U47" s="204">
        <v>18877</v>
      </c>
      <c r="V47" s="204">
        <v>18853</v>
      </c>
      <c r="W47" s="204">
        <v>18801</v>
      </c>
      <c r="X47" s="204">
        <v>19255</v>
      </c>
      <c r="Y47" s="204">
        <v>21576</v>
      </c>
      <c r="Z47" s="204">
        <v>21654</v>
      </c>
      <c r="AA47" s="204">
        <v>21060</v>
      </c>
      <c r="AB47" s="204">
        <v>20287</v>
      </c>
      <c r="AC47" s="204">
        <v>19580</v>
      </c>
      <c r="AD47" s="204">
        <v>18456</v>
      </c>
    </row>
    <row r="48" spans="2:30" ht="15.75" thickBot="1" x14ac:dyDescent="0.3">
      <c r="B48" s="198">
        <v>2029</v>
      </c>
      <c r="C48" s="205">
        <v>12</v>
      </c>
      <c r="D48" s="206"/>
      <c r="E48" s="201" t="s">
        <v>22</v>
      </c>
      <c r="F48" s="202">
        <v>2</v>
      </c>
      <c r="G48" s="207">
        <v>22366</v>
      </c>
      <c r="H48" s="208">
        <v>21939</v>
      </c>
      <c r="I48" s="208">
        <v>21469</v>
      </c>
      <c r="J48" s="208">
        <v>20969</v>
      </c>
      <c r="K48" s="208">
        <v>20629</v>
      </c>
      <c r="L48" s="208">
        <v>19870</v>
      </c>
      <c r="M48" s="208">
        <v>18285</v>
      </c>
      <c r="N48" s="208">
        <v>18755</v>
      </c>
      <c r="O48" s="208">
        <v>19899</v>
      </c>
      <c r="P48" s="208">
        <v>20905</v>
      </c>
      <c r="Q48" s="208">
        <v>21812</v>
      </c>
      <c r="R48" s="208">
        <v>22432</v>
      </c>
      <c r="S48" s="208">
        <v>22250</v>
      </c>
      <c r="T48" s="208">
        <v>22383</v>
      </c>
      <c r="U48" s="208">
        <v>22479</v>
      </c>
      <c r="V48" s="208">
        <v>22605</v>
      </c>
      <c r="W48" s="208">
        <v>22564</v>
      </c>
      <c r="X48" s="208">
        <v>22937</v>
      </c>
      <c r="Y48" s="208">
        <v>25949</v>
      </c>
      <c r="Z48" s="208">
        <v>26270</v>
      </c>
      <c r="AA48" s="208">
        <v>26281</v>
      </c>
      <c r="AB48" s="208">
        <v>25642</v>
      </c>
      <c r="AC48" s="208">
        <v>24573</v>
      </c>
      <c r="AD48" s="208">
        <v>23440</v>
      </c>
    </row>
    <row r="49" spans="2:30" x14ac:dyDescent="0.25"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</row>
  </sheetData>
  <mergeCells count="13">
    <mergeCell ref="C37:C40"/>
    <mergeCell ref="C41:C44"/>
    <mergeCell ref="C45:C48"/>
    <mergeCell ref="B4:B48"/>
    <mergeCell ref="C4:C7"/>
    <mergeCell ref="C8:C10"/>
    <mergeCell ref="C11:C14"/>
    <mergeCell ref="C15:C17"/>
    <mergeCell ref="C18:C21"/>
    <mergeCell ref="C22:C25"/>
    <mergeCell ref="C26:C29"/>
    <mergeCell ref="C30:C33"/>
    <mergeCell ref="C34:C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B6C7-8F38-46EE-B580-6E406872A913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2030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2030</v>
      </c>
      <c r="C4" s="213">
        <v>1</v>
      </c>
      <c r="D4" s="210">
        <v>10786178</v>
      </c>
      <c r="E4" s="201" t="s">
        <v>19</v>
      </c>
      <c r="F4" s="202">
        <v>21</v>
      </c>
      <c r="G4" s="214">
        <v>13490</v>
      </c>
      <c r="H4" s="215">
        <v>12941</v>
      </c>
      <c r="I4" s="215">
        <v>12524</v>
      </c>
      <c r="J4" s="215">
        <v>12230</v>
      </c>
      <c r="K4" s="215">
        <v>12084</v>
      </c>
      <c r="L4" s="215">
        <v>11985</v>
      </c>
      <c r="M4" s="215">
        <v>11273</v>
      </c>
      <c r="N4" s="215">
        <v>12279</v>
      </c>
      <c r="O4" s="215">
        <v>13658</v>
      </c>
      <c r="P4" s="215">
        <v>14540</v>
      </c>
      <c r="Q4" s="215">
        <v>15250</v>
      </c>
      <c r="R4" s="215">
        <v>15724</v>
      </c>
      <c r="S4" s="215">
        <v>15083</v>
      </c>
      <c r="T4" s="215">
        <v>15718</v>
      </c>
      <c r="U4" s="215">
        <v>16822</v>
      </c>
      <c r="V4" s="215">
        <v>16921</v>
      </c>
      <c r="W4" s="215">
        <v>16525</v>
      </c>
      <c r="X4" s="215">
        <v>15855</v>
      </c>
      <c r="Y4" s="215">
        <v>17032</v>
      </c>
      <c r="Z4" s="215">
        <v>17261</v>
      </c>
      <c r="AA4" s="215">
        <v>16899</v>
      </c>
      <c r="AB4" s="215">
        <v>16313</v>
      </c>
      <c r="AC4" s="215">
        <v>15357</v>
      </c>
      <c r="AD4" s="215">
        <v>14354</v>
      </c>
    </row>
    <row r="5" spans="2:30" x14ac:dyDescent="0.25">
      <c r="B5" s="198">
        <v>2030</v>
      </c>
      <c r="C5" s="199">
        <v>1</v>
      </c>
      <c r="D5" s="200"/>
      <c r="E5" s="201" t="s">
        <v>20</v>
      </c>
      <c r="F5" s="202">
        <v>4</v>
      </c>
      <c r="G5" s="203">
        <v>13790</v>
      </c>
      <c r="H5" s="204">
        <v>13255</v>
      </c>
      <c r="I5" s="204">
        <v>12832</v>
      </c>
      <c r="J5" s="204">
        <v>12497</v>
      </c>
      <c r="K5" s="204">
        <v>12322</v>
      </c>
      <c r="L5" s="204">
        <v>12162</v>
      </c>
      <c r="M5" s="204">
        <v>11420</v>
      </c>
      <c r="N5" s="204">
        <v>12333</v>
      </c>
      <c r="O5" s="204">
        <v>13636</v>
      </c>
      <c r="P5" s="204">
        <v>14532</v>
      </c>
      <c r="Q5" s="204">
        <v>15120</v>
      </c>
      <c r="R5" s="204">
        <v>15570</v>
      </c>
      <c r="S5" s="204">
        <v>15252</v>
      </c>
      <c r="T5" s="204">
        <v>15156</v>
      </c>
      <c r="U5" s="204">
        <v>15094</v>
      </c>
      <c r="V5" s="204">
        <v>15269</v>
      </c>
      <c r="W5" s="204">
        <v>14999</v>
      </c>
      <c r="X5" s="204">
        <v>14894</v>
      </c>
      <c r="Y5" s="204">
        <v>16594</v>
      </c>
      <c r="Z5" s="204">
        <v>16855</v>
      </c>
      <c r="AA5" s="204">
        <v>16464</v>
      </c>
      <c r="AB5" s="204">
        <v>15914</v>
      </c>
      <c r="AC5" s="204">
        <v>15065</v>
      </c>
      <c r="AD5" s="204">
        <v>14296</v>
      </c>
    </row>
    <row r="6" spans="2:30" x14ac:dyDescent="0.25">
      <c r="B6" s="198">
        <v>2030</v>
      </c>
      <c r="C6" s="199">
        <v>1</v>
      </c>
      <c r="D6" s="200"/>
      <c r="E6" s="201" t="s">
        <v>21</v>
      </c>
      <c r="F6" s="202">
        <v>4</v>
      </c>
      <c r="G6" s="203">
        <v>14406</v>
      </c>
      <c r="H6" s="204">
        <v>13809</v>
      </c>
      <c r="I6" s="204">
        <v>13358</v>
      </c>
      <c r="J6" s="204">
        <v>13033</v>
      </c>
      <c r="K6" s="204">
        <v>12849</v>
      </c>
      <c r="L6" s="204">
        <v>12642</v>
      </c>
      <c r="M6" s="204">
        <v>11637</v>
      </c>
      <c r="N6" s="204">
        <v>12145</v>
      </c>
      <c r="O6" s="204">
        <v>12899</v>
      </c>
      <c r="P6" s="204">
        <v>13472</v>
      </c>
      <c r="Q6" s="204">
        <v>14014</v>
      </c>
      <c r="R6" s="204">
        <v>14416</v>
      </c>
      <c r="S6" s="204">
        <v>14514</v>
      </c>
      <c r="T6" s="204">
        <v>14491</v>
      </c>
      <c r="U6" s="204">
        <v>14414</v>
      </c>
      <c r="V6" s="204">
        <v>14470</v>
      </c>
      <c r="W6" s="204">
        <v>14557</v>
      </c>
      <c r="X6" s="204">
        <v>14646</v>
      </c>
      <c r="Y6" s="204">
        <v>16672</v>
      </c>
      <c r="Z6" s="204">
        <v>17284</v>
      </c>
      <c r="AA6" s="204">
        <v>17192</v>
      </c>
      <c r="AB6" s="204">
        <v>16591</v>
      </c>
      <c r="AC6" s="204">
        <v>15742</v>
      </c>
      <c r="AD6" s="204">
        <v>14785</v>
      </c>
    </row>
    <row r="7" spans="2:30" ht="15.75" thickBot="1" x14ac:dyDescent="0.3">
      <c r="B7" s="198">
        <v>2030</v>
      </c>
      <c r="C7" s="205">
        <v>1</v>
      </c>
      <c r="D7" s="206"/>
      <c r="E7" s="201" t="s">
        <v>22</v>
      </c>
      <c r="F7" s="202">
        <v>2</v>
      </c>
      <c r="G7" s="207">
        <v>12846</v>
      </c>
      <c r="H7" s="208">
        <v>12517</v>
      </c>
      <c r="I7" s="208">
        <v>12227</v>
      </c>
      <c r="J7" s="208">
        <v>11998</v>
      </c>
      <c r="K7" s="208">
        <v>11833</v>
      </c>
      <c r="L7" s="208">
        <v>11556</v>
      </c>
      <c r="M7" s="208">
        <v>10685</v>
      </c>
      <c r="N7" s="208">
        <v>11158</v>
      </c>
      <c r="O7" s="208">
        <v>11938</v>
      </c>
      <c r="P7" s="208">
        <v>12639</v>
      </c>
      <c r="Q7" s="208">
        <v>13092</v>
      </c>
      <c r="R7" s="208">
        <v>13463</v>
      </c>
      <c r="S7" s="208">
        <v>13477</v>
      </c>
      <c r="T7" s="208">
        <v>13327</v>
      </c>
      <c r="U7" s="208">
        <v>13297</v>
      </c>
      <c r="V7" s="208">
        <v>13292</v>
      </c>
      <c r="W7" s="208">
        <v>13269</v>
      </c>
      <c r="X7" s="208">
        <v>13450</v>
      </c>
      <c r="Y7" s="208">
        <v>15463</v>
      </c>
      <c r="Z7" s="208">
        <v>15902</v>
      </c>
      <c r="AA7" s="208">
        <v>15807</v>
      </c>
      <c r="AB7" s="208">
        <v>15329</v>
      </c>
      <c r="AC7" s="208">
        <v>14643</v>
      </c>
      <c r="AD7" s="208">
        <v>13924</v>
      </c>
    </row>
    <row r="8" spans="2:30" x14ac:dyDescent="0.25">
      <c r="B8" s="198">
        <v>2030</v>
      </c>
      <c r="C8" s="209">
        <v>2</v>
      </c>
      <c r="D8" s="210">
        <v>11343568</v>
      </c>
      <c r="E8" s="201" t="s">
        <v>19</v>
      </c>
      <c r="F8" s="202">
        <v>20</v>
      </c>
      <c r="G8" s="203">
        <v>15876</v>
      </c>
      <c r="H8" s="204">
        <v>15285</v>
      </c>
      <c r="I8" s="204">
        <v>14805</v>
      </c>
      <c r="J8" s="204">
        <v>14440</v>
      </c>
      <c r="K8" s="204">
        <v>14260</v>
      </c>
      <c r="L8" s="204">
        <v>14566</v>
      </c>
      <c r="M8" s="204">
        <v>13799</v>
      </c>
      <c r="N8" s="204">
        <v>14771</v>
      </c>
      <c r="O8" s="204">
        <v>16221</v>
      </c>
      <c r="P8" s="204">
        <v>17128</v>
      </c>
      <c r="Q8" s="204">
        <v>17842</v>
      </c>
      <c r="R8" s="204">
        <v>18322</v>
      </c>
      <c r="S8" s="204">
        <v>17317</v>
      </c>
      <c r="T8" s="204">
        <v>18156</v>
      </c>
      <c r="U8" s="204">
        <v>19655</v>
      </c>
      <c r="V8" s="204">
        <v>19877</v>
      </c>
      <c r="W8" s="204">
        <v>19446</v>
      </c>
      <c r="X8" s="204">
        <v>18623</v>
      </c>
      <c r="Y8" s="204">
        <v>19819</v>
      </c>
      <c r="Z8" s="204">
        <v>20236</v>
      </c>
      <c r="AA8" s="204">
        <v>19992</v>
      </c>
      <c r="AB8" s="204">
        <v>19276</v>
      </c>
      <c r="AC8" s="204">
        <v>18039</v>
      </c>
      <c r="AD8" s="204">
        <v>16864</v>
      </c>
    </row>
    <row r="9" spans="2:30" x14ac:dyDescent="0.25">
      <c r="B9" s="198">
        <v>2030</v>
      </c>
      <c r="C9" s="199">
        <v>2</v>
      </c>
      <c r="D9" s="200"/>
      <c r="E9" s="201" t="s">
        <v>20</v>
      </c>
      <c r="F9" s="202">
        <v>4</v>
      </c>
      <c r="G9" s="203">
        <v>15567</v>
      </c>
      <c r="H9" s="204">
        <v>14999</v>
      </c>
      <c r="I9" s="204">
        <v>14570</v>
      </c>
      <c r="J9" s="204">
        <v>14220</v>
      </c>
      <c r="K9" s="204">
        <v>14022</v>
      </c>
      <c r="L9" s="204">
        <v>13881</v>
      </c>
      <c r="M9" s="204">
        <v>13058</v>
      </c>
      <c r="N9" s="204">
        <v>13911</v>
      </c>
      <c r="O9" s="204">
        <v>15319</v>
      </c>
      <c r="P9" s="204">
        <v>16362</v>
      </c>
      <c r="Q9" s="204">
        <v>17091</v>
      </c>
      <c r="R9" s="204">
        <v>17486</v>
      </c>
      <c r="S9" s="204">
        <v>17174</v>
      </c>
      <c r="T9" s="204">
        <v>17006</v>
      </c>
      <c r="U9" s="204">
        <v>17278</v>
      </c>
      <c r="V9" s="204">
        <v>17257</v>
      </c>
      <c r="W9" s="204">
        <v>17021</v>
      </c>
      <c r="X9" s="204">
        <v>16717</v>
      </c>
      <c r="Y9" s="204">
        <v>18464</v>
      </c>
      <c r="Z9" s="204">
        <v>18853</v>
      </c>
      <c r="AA9" s="204">
        <v>18531</v>
      </c>
      <c r="AB9" s="204">
        <v>17782</v>
      </c>
      <c r="AC9" s="204">
        <v>16921</v>
      </c>
      <c r="AD9" s="204">
        <v>16056</v>
      </c>
    </row>
    <row r="10" spans="2:30" ht="15.75" thickBot="1" x14ac:dyDescent="0.3">
      <c r="B10" s="198">
        <v>2030</v>
      </c>
      <c r="C10" s="205">
        <v>2</v>
      </c>
      <c r="D10" s="200"/>
      <c r="E10" s="201" t="s">
        <v>21</v>
      </c>
      <c r="F10" s="202">
        <v>4</v>
      </c>
      <c r="G10" s="207">
        <v>15370</v>
      </c>
      <c r="H10" s="208">
        <v>14855</v>
      </c>
      <c r="I10" s="208">
        <v>14414</v>
      </c>
      <c r="J10" s="208">
        <v>14095</v>
      </c>
      <c r="K10" s="208">
        <v>13891</v>
      </c>
      <c r="L10" s="208">
        <v>13673</v>
      </c>
      <c r="M10" s="208">
        <v>12514</v>
      </c>
      <c r="N10" s="208">
        <v>13076</v>
      </c>
      <c r="O10" s="208">
        <v>13764</v>
      </c>
      <c r="P10" s="208">
        <v>14437</v>
      </c>
      <c r="Q10" s="208">
        <v>15041</v>
      </c>
      <c r="R10" s="208">
        <v>15606</v>
      </c>
      <c r="S10" s="208">
        <v>15718</v>
      </c>
      <c r="T10" s="208">
        <v>15769</v>
      </c>
      <c r="U10" s="208">
        <v>15939</v>
      </c>
      <c r="V10" s="208">
        <v>16102</v>
      </c>
      <c r="W10" s="208">
        <v>16002</v>
      </c>
      <c r="X10" s="208">
        <v>16005</v>
      </c>
      <c r="Y10" s="208">
        <v>17940</v>
      </c>
      <c r="Z10" s="208">
        <v>18757</v>
      </c>
      <c r="AA10" s="208">
        <v>18858</v>
      </c>
      <c r="AB10" s="208">
        <v>18208</v>
      </c>
      <c r="AC10" s="208">
        <v>17167</v>
      </c>
      <c r="AD10" s="208">
        <v>16070</v>
      </c>
    </row>
    <row r="11" spans="2:30" x14ac:dyDescent="0.25">
      <c r="B11" s="198">
        <v>2030</v>
      </c>
      <c r="C11" s="209">
        <v>3</v>
      </c>
      <c r="D11" s="210">
        <v>12044748</v>
      </c>
      <c r="E11" s="201" t="s">
        <v>19</v>
      </c>
      <c r="F11" s="202">
        <v>20</v>
      </c>
      <c r="G11" s="203">
        <v>15568</v>
      </c>
      <c r="H11" s="204">
        <v>14963</v>
      </c>
      <c r="I11" s="204">
        <v>14545</v>
      </c>
      <c r="J11" s="204">
        <v>14187</v>
      </c>
      <c r="K11" s="204">
        <v>14021</v>
      </c>
      <c r="L11" s="204">
        <v>14155</v>
      </c>
      <c r="M11" s="204">
        <v>13471</v>
      </c>
      <c r="N11" s="204">
        <v>14501</v>
      </c>
      <c r="O11" s="204">
        <v>15899</v>
      </c>
      <c r="P11" s="204">
        <v>16805</v>
      </c>
      <c r="Q11" s="204">
        <v>17561</v>
      </c>
      <c r="R11" s="204">
        <v>18080</v>
      </c>
      <c r="S11" s="204">
        <v>17063</v>
      </c>
      <c r="T11" s="204">
        <v>17797</v>
      </c>
      <c r="U11" s="204">
        <v>19080</v>
      </c>
      <c r="V11" s="204">
        <v>19283</v>
      </c>
      <c r="W11" s="204">
        <v>18821</v>
      </c>
      <c r="X11" s="204">
        <v>18062</v>
      </c>
      <c r="Y11" s="204">
        <v>19402</v>
      </c>
      <c r="Z11" s="204">
        <v>19765</v>
      </c>
      <c r="AA11" s="204">
        <v>19473</v>
      </c>
      <c r="AB11" s="204">
        <v>18722</v>
      </c>
      <c r="AC11" s="204">
        <v>17528</v>
      </c>
      <c r="AD11" s="204">
        <v>16481</v>
      </c>
    </row>
    <row r="12" spans="2:30" x14ac:dyDescent="0.25">
      <c r="B12" s="198">
        <v>2030</v>
      </c>
      <c r="C12" s="199">
        <v>3</v>
      </c>
      <c r="D12" s="200"/>
      <c r="E12" s="201" t="s">
        <v>20</v>
      </c>
      <c r="F12" s="202">
        <v>5</v>
      </c>
      <c r="G12" s="203">
        <v>13877</v>
      </c>
      <c r="H12" s="204">
        <v>13388</v>
      </c>
      <c r="I12" s="204">
        <v>13002</v>
      </c>
      <c r="J12" s="204">
        <v>12678</v>
      </c>
      <c r="K12" s="204">
        <v>12451</v>
      </c>
      <c r="L12" s="204">
        <v>12290</v>
      </c>
      <c r="M12" s="204">
        <v>11627</v>
      </c>
      <c r="N12" s="204">
        <v>12371</v>
      </c>
      <c r="O12" s="204">
        <v>13650</v>
      </c>
      <c r="P12" s="204">
        <v>14545</v>
      </c>
      <c r="Q12" s="204">
        <v>15260</v>
      </c>
      <c r="R12" s="204">
        <v>15628</v>
      </c>
      <c r="S12" s="204">
        <v>15185</v>
      </c>
      <c r="T12" s="204">
        <v>14984</v>
      </c>
      <c r="U12" s="204">
        <v>15083</v>
      </c>
      <c r="V12" s="204">
        <v>15179</v>
      </c>
      <c r="W12" s="204">
        <v>14876</v>
      </c>
      <c r="X12" s="204">
        <v>14766</v>
      </c>
      <c r="Y12" s="204">
        <v>16471</v>
      </c>
      <c r="Z12" s="204">
        <v>16728</v>
      </c>
      <c r="AA12" s="204">
        <v>16389</v>
      </c>
      <c r="AB12" s="204">
        <v>15869</v>
      </c>
      <c r="AC12" s="204">
        <v>15118</v>
      </c>
      <c r="AD12" s="204">
        <v>14440</v>
      </c>
    </row>
    <row r="13" spans="2:30" x14ac:dyDescent="0.25">
      <c r="B13" s="198">
        <v>2030</v>
      </c>
      <c r="C13" s="199">
        <v>3</v>
      </c>
      <c r="D13" s="200"/>
      <c r="E13" s="201" t="s">
        <v>21</v>
      </c>
      <c r="F13" s="202">
        <v>5</v>
      </c>
      <c r="G13" s="203">
        <v>13713</v>
      </c>
      <c r="H13" s="204">
        <v>13272</v>
      </c>
      <c r="I13" s="204">
        <v>12883</v>
      </c>
      <c r="J13" s="204">
        <v>12592</v>
      </c>
      <c r="K13" s="204">
        <v>12377</v>
      </c>
      <c r="L13" s="204">
        <v>12083</v>
      </c>
      <c r="M13" s="204">
        <v>11309</v>
      </c>
      <c r="N13" s="204">
        <v>11798</v>
      </c>
      <c r="O13" s="204">
        <v>12083</v>
      </c>
      <c r="P13" s="204">
        <v>12220</v>
      </c>
      <c r="Q13" s="204">
        <v>13180</v>
      </c>
      <c r="R13" s="204">
        <v>13716</v>
      </c>
      <c r="S13" s="204">
        <v>13926</v>
      </c>
      <c r="T13" s="204">
        <v>13904</v>
      </c>
      <c r="U13" s="204">
        <v>14151</v>
      </c>
      <c r="V13" s="204">
        <v>13958</v>
      </c>
      <c r="W13" s="204">
        <v>13719</v>
      </c>
      <c r="X13" s="204">
        <v>14115</v>
      </c>
      <c r="Y13" s="204">
        <v>15913</v>
      </c>
      <c r="Z13" s="204">
        <v>16490</v>
      </c>
      <c r="AA13" s="204">
        <v>16491</v>
      </c>
      <c r="AB13" s="204">
        <v>16001</v>
      </c>
      <c r="AC13" s="204">
        <v>15225</v>
      </c>
      <c r="AD13" s="204">
        <v>14222</v>
      </c>
    </row>
    <row r="14" spans="2:30" ht="15.75" thickBot="1" x14ac:dyDescent="0.3">
      <c r="B14" s="198">
        <v>2030</v>
      </c>
      <c r="C14" s="205">
        <v>3</v>
      </c>
      <c r="D14" s="206"/>
      <c r="E14" s="201" t="s">
        <v>22</v>
      </c>
      <c r="F14" s="202">
        <v>1</v>
      </c>
      <c r="G14" s="207">
        <v>22872</v>
      </c>
      <c r="H14" s="208">
        <v>21906</v>
      </c>
      <c r="I14" s="208">
        <v>21241</v>
      </c>
      <c r="J14" s="208">
        <v>20754</v>
      </c>
      <c r="K14" s="208">
        <v>20501</v>
      </c>
      <c r="L14" s="208">
        <v>19926</v>
      </c>
      <c r="M14" s="208">
        <v>18948</v>
      </c>
      <c r="N14" s="208">
        <v>19876</v>
      </c>
      <c r="O14" s="208">
        <v>21037</v>
      </c>
      <c r="P14" s="208">
        <v>22062</v>
      </c>
      <c r="Q14" s="208">
        <v>23091</v>
      </c>
      <c r="R14" s="208">
        <v>24206</v>
      </c>
      <c r="S14" s="208">
        <v>24517</v>
      </c>
      <c r="T14" s="208">
        <v>24614</v>
      </c>
      <c r="U14" s="208">
        <v>24598</v>
      </c>
      <c r="V14" s="208">
        <v>24572</v>
      </c>
      <c r="W14" s="208">
        <v>24296</v>
      </c>
      <c r="X14" s="208">
        <v>24264</v>
      </c>
      <c r="Y14" s="208">
        <v>27297</v>
      </c>
      <c r="Z14" s="208">
        <v>28294</v>
      </c>
      <c r="AA14" s="208">
        <v>28209</v>
      </c>
      <c r="AB14" s="208">
        <v>27309</v>
      </c>
      <c r="AC14" s="208">
        <v>25744</v>
      </c>
      <c r="AD14" s="208">
        <v>23974</v>
      </c>
    </row>
    <row r="15" spans="2:30" x14ac:dyDescent="0.25">
      <c r="B15" s="198">
        <v>2030</v>
      </c>
      <c r="C15" s="209">
        <v>4</v>
      </c>
      <c r="D15" s="210">
        <v>10640632</v>
      </c>
      <c r="E15" s="201" t="s">
        <v>19</v>
      </c>
      <c r="F15" s="202">
        <v>20</v>
      </c>
      <c r="G15" s="203">
        <v>13246</v>
      </c>
      <c r="H15" s="204">
        <v>12816</v>
      </c>
      <c r="I15" s="204">
        <v>12487</v>
      </c>
      <c r="J15" s="204">
        <v>12200</v>
      </c>
      <c r="K15" s="204">
        <v>12120</v>
      </c>
      <c r="L15" s="204">
        <v>12069</v>
      </c>
      <c r="M15" s="204">
        <v>11742</v>
      </c>
      <c r="N15" s="204">
        <v>12761</v>
      </c>
      <c r="O15" s="204">
        <v>14108</v>
      </c>
      <c r="P15" s="204">
        <v>15214</v>
      </c>
      <c r="Q15" s="204">
        <v>15908</v>
      </c>
      <c r="R15" s="204">
        <v>15962</v>
      </c>
      <c r="S15" s="204">
        <v>15292</v>
      </c>
      <c r="T15" s="204">
        <v>16064</v>
      </c>
      <c r="U15" s="204">
        <v>17174</v>
      </c>
      <c r="V15" s="204">
        <v>17134</v>
      </c>
      <c r="W15" s="204">
        <v>16383</v>
      </c>
      <c r="X15" s="204">
        <v>16049</v>
      </c>
      <c r="Y15" s="204">
        <v>17250</v>
      </c>
      <c r="Z15" s="204">
        <v>17453</v>
      </c>
      <c r="AA15" s="204">
        <v>16954</v>
      </c>
      <c r="AB15" s="204">
        <v>16206</v>
      </c>
      <c r="AC15" s="204">
        <v>15152</v>
      </c>
      <c r="AD15" s="204">
        <v>14022</v>
      </c>
    </row>
    <row r="16" spans="2:30" x14ac:dyDescent="0.25">
      <c r="B16" s="198">
        <v>2030</v>
      </c>
      <c r="C16" s="199">
        <v>4</v>
      </c>
      <c r="D16" s="200"/>
      <c r="E16" s="201" t="s">
        <v>20</v>
      </c>
      <c r="F16" s="202">
        <v>4</v>
      </c>
      <c r="G16" s="203">
        <v>16005</v>
      </c>
      <c r="H16" s="204">
        <v>15385</v>
      </c>
      <c r="I16" s="204">
        <v>14907</v>
      </c>
      <c r="J16" s="204">
        <v>14555</v>
      </c>
      <c r="K16" s="204">
        <v>14358</v>
      </c>
      <c r="L16" s="204">
        <v>14006</v>
      </c>
      <c r="M16" s="204">
        <v>13493</v>
      </c>
      <c r="N16" s="204">
        <v>14528</v>
      </c>
      <c r="O16" s="204">
        <v>15828</v>
      </c>
      <c r="P16" s="204">
        <v>16695</v>
      </c>
      <c r="Q16" s="204">
        <v>17440</v>
      </c>
      <c r="R16" s="204">
        <v>18066</v>
      </c>
      <c r="S16" s="204">
        <v>17838</v>
      </c>
      <c r="T16" s="204">
        <v>17749</v>
      </c>
      <c r="U16" s="204">
        <v>18090</v>
      </c>
      <c r="V16" s="204">
        <v>18130</v>
      </c>
      <c r="W16" s="204">
        <v>17861</v>
      </c>
      <c r="X16" s="204">
        <v>17738</v>
      </c>
      <c r="Y16" s="204">
        <v>19830</v>
      </c>
      <c r="Z16" s="204">
        <v>20102</v>
      </c>
      <c r="AA16" s="204">
        <v>19557</v>
      </c>
      <c r="AB16" s="204">
        <v>18880</v>
      </c>
      <c r="AC16" s="204">
        <v>17766</v>
      </c>
      <c r="AD16" s="204">
        <v>16867</v>
      </c>
    </row>
    <row r="17" spans="2:30" x14ac:dyDescent="0.25">
      <c r="B17" s="198">
        <v>2030</v>
      </c>
      <c r="C17" s="199">
        <v>4</v>
      </c>
      <c r="D17" s="200"/>
      <c r="E17" s="201" t="s">
        <v>21</v>
      </c>
      <c r="F17" s="202">
        <v>4</v>
      </c>
      <c r="G17" s="203">
        <v>15037</v>
      </c>
      <c r="H17" s="204">
        <v>14509</v>
      </c>
      <c r="I17" s="204">
        <v>14086</v>
      </c>
      <c r="J17" s="204">
        <v>13725</v>
      </c>
      <c r="K17" s="204">
        <v>13473</v>
      </c>
      <c r="L17" s="204">
        <v>13069</v>
      </c>
      <c r="M17" s="204">
        <v>12411</v>
      </c>
      <c r="N17" s="204">
        <v>13021</v>
      </c>
      <c r="O17" s="204">
        <v>13856</v>
      </c>
      <c r="P17" s="204">
        <v>14329</v>
      </c>
      <c r="Q17" s="204">
        <v>14710</v>
      </c>
      <c r="R17" s="204">
        <v>15268</v>
      </c>
      <c r="S17" s="204">
        <v>15507</v>
      </c>
      <c r="T17" s="204">
        <v>15589</v>
      </c>
      <c r="U17" s="204">
        <v>15821</v>
      </c>
      <c r="V17" s="204">
        <v>15906</v>
      </c>
      <c r="W17" s="204">
        <v>15748</v>
      </c>
      <c r="X17" s="204">
        <v>15740</v>
      </c>
      <c r="Y17" s="204">
        <v>17809</v>
      </c>
      <c r="Z17" s="204">
        <v>18314</v>
      </c>
      <c r="AA17" s="204">
        <v>18118</v>
      </c>
      <c r="AB17" s="204">
        <v>17288</v>
      </c>
      <c r="AC17" s="204">
        <v>16061</v>
      </c>
      <c r="AD17" s="204">
        <v>15002</v>
      </c>
    </row>
    <row r="18" spans="2:30" ht="15.75" thickBot="1" x14ac:dyDescent="0.3">
      <c r="B18" s="198">
        <v>2030</v>
      </c>
      <c r="C18" s="205">
        <v>4</v>
      </c>
      <c r="D18" s="206"/>
      <c r="E18" s="201" t="s">
        <v>22</v>
      </c>
      <c r="F18" s="202">
        <v>2</v>
      </c>
      <c r="G18" s="207">
        <v>9684</v>
      </c>
      <c r="H18" s="208">
        <v>9262</v>
      </c>
      <c r="I18" s="208">
        <v>9011</v>
      </c>
      <c r="J18" s="208">
        <v>8843</v>
      </c>
      <c r="K18" s="208">
        <v>8728</v>
      </c>
      <c r="L18" s="208">
        <v>8414</v>
      </c>
      <c r="M18" s="208">
        <v>7955</v>
      </c>
      <c r="N18" s="208">
        <v>8235</v>
      </c>
      <c r="O18" s="208">
        <v>8478</v>
      </c>
      <c r="P18" s="208">
        <v>8575</v>
      </c>
      <c r="Q18" s="208">
        <v>8707</v>
      </c>
      <c r="R18" s="208">
        <v>8999</v>
      </c>
      <c r="S18" s="208">
        <v>9134</v>
      </c>
      <c r="T18" s="208">
        <v>9124</v>
      </c>
      <c r="U18" s="208">
        <v>9164</v>
      </c>
      <c r="V18" s="208">
        <v>9222</v>
      </c>
      <c r="W18" s="208">
        <v>9158</v>
      </c>
      <c r="X18" s="208">
        <v>9213</v>
      </c>
      <c r="Y18" s="208">
        <v>10573</v>
      </c>
      <c r="Z18" s="208">
        <v>10904</v>
      </c>
      <c r="AA18" s="208">
        <v>10801</v>
      </c>
      <c r="AB18" s="208">
        <v>10533</v>
      </c>
      <c r="AC18" s="208">
        <v>10120</v>
      </c>
      <c r="AD18" s="208">
        <v>9677</v>
      </c>
    </row>
    <row r="19" spans="2:30" x14ac:dyDescent="0.25">
      <c r="B19" s="198">
        <v>2030</v>
      </c>
      <c r="C19" s="209">
        <v>5</v>
      </c>
      <c r="D19" s="210">
        <v>8873151</v>
      </c>
      <c r="E19" s="201" t="s">
        <v>19</v>
      </c>
      <c r="F19" s="202">
        <v>22</v>
      </c>
      <c r="G19" s="203">
        <v>10377</v>
      </c>
      <c r="H19" s="204">
        <v>9959</v>
      </c>
      <c r="I19" s="204">
        <v>9673</v>
      </c>
      <c r="J19" s="204">
        <v>9462</v>
      </c>
      <c r="K19" s="204">
        <v>9404</v>
      </c>
      <c r="L19" s="204">
        <v>9390</v>
      </c>
      <c r="M19" s="204">
        <v>9312</v>
      </c>
      <c r="N19" s="204">
        <v>10275</v>
      </c>
      <c r="O19" s="204">
        <v>11270</v>
      </c>
      <c r="P19" s="204">
        <v>11869</v>
      </c>
      <c r="Q19" s="204">
        <v>12359</v>
      </c>
      <c r="R19" s="204">
        <v>12678</v>
      </c>
      <c r="S19" s="204">
        <v>12046</v>
      </c>
      <c r="T19" s="204">
        <v>12468</v>
      </c>
      <c r="U19" s="204">
        <v>13363</v>
      </c>
      <c r="V19" s="204">
        <v>13390</v>
      </c>
      <c r="W19" s="204">
        <v>13047</v>
      </c>
      <c r="X19" s="204">
        <v>12558</v>
      </c>
      <c r="Y19" s="204">
        <v>13612</v>
      </c>
      <c r="Z19" s="204">
        <v>13786</v>
      </c>
      <c r="AA19" s="204">
        <v>13458</v>
      </c>
      <c r="AB19" s="204">
        <v>12798</v>
      </c>
      <c r="AC19" s="204">
        <v>11876</v>
      </c>
      <c r="AD19" s="204">
        <v>11048</v>
      </c>
    </row>
    <row r="20" spans="2:30" x14ac:dyDescent="0.25">
      <c r="B20" s="198">
        <v>2030</v>
      </c>
      <c r="C20" s="199">
        <v>5</v>
      </c>
      <c r="D20" s="200"/>
      <c r="E20" s="201" t="s">
        <v>20</v>
      </c>
      <c r="F20" s="202">
        <v>4</v>
      </c>
      <c r="G20" s="203">
        <v>11302</v>
      </c>
      <c r="H20" s="204">
        <v>10856</v>
      </c>
      <c r="I20" s="204">
        <v>10506</v>
      </c>
      <c r="J20" s="204">
        <v>10253</v>
      </c>
      <c r="K20" s="204">
        <v>10119</v>
      </c>
      <c r="L20" s="204">
        <v>9717</v>
      </c>
      <c r="M20" s="204">
        <v>9509</v>
      </c>
      <c r="N20" s="204">
        <v>10216</v>
      </c>
      <c r="O20" s="204">
        <v>11256</v>
      </c>
      <c r="P20" s="204">
        <v>11842</v>
      </c>
      <c r="Q20" s="204">
        <v>12385</v>
      </c>
      <c r="R20" s="204">
        <v>12736</v>
      </c>
      <c r="S20" s="204">
        <v>12312</v>
      </c>
      <c r="T20" s="204">
        <v>12102</v>
      </c>
      <c r="U20" s="204">
        <v>12169</v>
      </c>
      <c r="V20" s="204">
        <v>12188</v>
      </c>
      <c r="W20" s="204">
        <v>11989</v>
      </c>
      <c r="X20" s="204">
        <v>12011</v>
      </c>
      <c r="Y20" s="204">
        <v>13434</v>
      </c>
      <c r="Z20" s="204">
        <v>13473</v>
      </c>
      <c r="AA20" s="204">
        <v>13048</v>
      </c>
      <c r="AB20" s="204">
        <v>12512</v>
      </c>
      <c r="AC20" s="204">
        <v>11811</v>
      </c>
      <c r="AD20" s="204">
        <v>11058</v>
      </c>
    </row>
    <row r="21" spans="2:30" x14ac:dyDescent="0.25">
      <c r="B21" s="198">
        <v>2030</v>
      </c>
      <c r="C21" s="199">
        <v>5</v>
      </c>
      <c r="D21" s="200"/>
      <c r="E21" s="201" t="s">
        <v>21</v>
      </c>
      <c r="F21" s="202">
        <v>4</v>
      </c>
      <c r="G21" s="203">
        <v>10764</v>
      </c>
      <c r="H21" s="204">
        <v>10360</v>
      </c>
      <c r="I21" s="204">
        <v>10080</v>
      </c>
      <c r="J21" s="204">
        <v>9728</v>
      </c>
      <c r="K21" s="204">
        <v>9615</v>
      </c>
      <c r="L21" s="204">
        <v>9158</v>
      </c>
      <c r="M21" s="204">
        <v>8656</v>
      </c>
      <c r="N21" s="204">
        <v>9141</v>
      </c>
      <c r="O21" s="204">
        <v>9925</v>
      </c>
      <c r="P21" s="204">
        <v>10430</v>
      </c>
      <c r="Q21" s="204">
        <v>10794</v>
      </c>
      <c r="R21" s="204">
        <v>11212</v>
      </c>
      <c r="S21" s="204">
        <v>11278</v>
      </c>
      <c r="T21" s="204">
        <v>11254</v>
      </c>
      <c r="U21" s="204">
        <v>11287</v>
      </c>
      <c r="V21" s="204">
        <v>11328</v>
      </c>
      <c r="W21" s="204">
        <v>11313</v>
      </c>
      <c r="X21" s="204">
        <v>11383</v>
      </c>
      <c r="Y21" s="204">
        <v>12880</v>
      </c>
      <c r="Z21" s="204">
        <v>13261</v>
      </c>
      <c r="AA21" s="204">
        <v>13301</v>
      </c>
      <c r="AB21" s="204">
        <v>12929</v>
      </c>
      <c r="AC21" s="204">
        <v>12197</v>
      </c>
      <c r="AD21" s="204">
        <v>11480</v>
      </c>
    </row>
    <row r="22" spans="2:30" ht="15.75" thickBot="1" x14ac:dyDescent="0.3">
      <c r="B22" s="198">
        <v>2030</v>
      </c>
      <c r="C22" s="205">
        <v>5</v>
      </c>
      <c r="D22" s="206"/>
      <c r="E22" s="201" t="s">
        <v>22</v>
      </c>
      <c r="F22" s="202">
        <v>1</v>
      </c>
      <c r="G22" s="207">
        <v>21922</v>
      </c>
      <c r="H22" s="208">
        <v>20966</v>
      </c>
      <c r="I22" s="208">
        <v>20364</v>
      </c>
      <c r="J22" s="208">
        <v>19780</v>
      </c>
      <c r="K22" s="208">
        <v>19304</v>
      </c>
      <c r="L22" s="208">
        <v>18123</v>
      </c>
      <c r="M22" s="208">
        <v>17937</v>
      </c>
      <c r="N22" s="208">
        <v>19254</v>
      </c>
      <c r="O22" s="208">
        <v>20629</v>
      </c>
      <c r="P22" s="208">
        <v>21901</v>
      </c>
      <c r="Q22" s="208">
        <v>22867</v>
      </c>
      <c r="R22" s="208">
        <v>24158</v>
      </c>
      <c r="S22" s="208">
        <v>24318</v>
      </c>
      <c r="T22" s="208">
        <v>24391</v>
      </c>
      <c r="U22" s="208">
        <v>24784</v>
      </c>
      <c r="V22" s="208">
        <v>24900</v>
      </c>
      <c r="W22" s="208">
        <v>24463</v>
      </c>
      <c r="X22" s="208">
        <v>24297</v>
      </c>
      <c r="Y22" s="208">
        <v>27505</v>
      </c>
      <c r="Z22" s="208">
        <v>28486</v>
      </c>
      <c r="AA22" s="208">
        <v>28148</v>
      </c>
      <c r="AB22" s="208">
        <v>26839</v>
      </c>
      <c r="AC22" s="208">
        <v>25328</v>
      </c>
      <c r="AD22" s="208">
        <v>23739</v>
      </c>
    </row>
    <row r="23" spans="2:30" x14ac:dyDescent="0.25">
      <c r="B23" s="198">
        <v>2030</v>
      </c>
      <c r="C23" s="209">
        <v>6</v>
      </c>
      <c r="D23" s="210">
        <v>6934167</v>
      </c>
      <c r="E23" s="201" t="s">
        <v>19</v>
      </c>
      <c r="F23" s="202">
        <v>18</v>
      </c>
      <c r="G23" s="203">
        <v>9330</v>
      </c>
      <c r="H23" s="204">
        <v>8856</v>
      </c>
      <c r="I23" s="204">
        <v>8623</v>
      </c>
      <c r="J23" s="204">
        <v>8482</v>
      </c>
      <c r="K23" s="204">
        <v>8610</v>
      </c>
      <c r="L23" s="204">
        <v>8549</v>
      </c>
      <c r="M23" s="204">
        <v>8441</v>
      </c>
      <c r="N23" s="204">
        <v>9185</v>
      </c>
      <c r="O23" s="204">
        <v>10130</v>
      </c>
      <c r="P23" s="204">
        <v>10696</v>
      </c>
      <c r="Q23" s="204">
        <v>11242</v>
      </c>
      <c r="R23" s="204">
        <v>11620</v>
      </c>
      <c r="S23" s="204">
        <v>11032</v>
      </c>
      <c r="T23" s="204">
        <v>11362</v>
      </c>
      <c r="U23" s="204">
        <v>12173</v>
      </c>
      <c r="V23" s="204">
        <v>12191</v>
      </c>
      <c r="W23" s="204">
        <v>11903</v>
      </c>
      <c r="X23" s="204">
        <v>11409</v>
      </c>
      <c r="Y23" s="204">
        <v>12359</v>
      </c>
      <c r="Z23" s="204">
        <v>12591</v>
      </c>
      <c r="AA23" s="204">
        <v>12236</v>
      </c>
      <c r="AB23" s="204">
        <v>11628</v>
      </c>
      <c r="AC23" s="204">
        <v>10773</v>
      </c>
      <c r="AD23" s="204">
        <v>9987</v>
      </c>
    </row>
    <row r="24" spans="2:30" x14ac:dyDescent="0.25">
      <c r="B24" s="198">
        <v>2030</v>
      </c>
      <c r="C24" s="199">
        <v>6</v>
      </c>
      <c r="D24" s="200"/>
      <c r="E24" s="201" t="s">
        <v>20</v>
      </c>
      <c r="F24" s="202">
        <v>5</v>
      </c>
      <c r="G24" s="203">
        <v>7668</v>
      </c>
      <c r="H24" s="204">
        <v>7395</v>
      </c>
      <c r="I24" s="204">
        <v>7135</v>
      </c>
      <c r="J24" s="204">
        <v>6946</v>
      </c>
      <c r="K24" s="204">
        <v>6900</v>
      </c>
      <c r="L24" s="204">
        <v>6646</v>
      </c>
      <c r="M24" s="204">
        <v>6512</v>
      </c>
      <c r="N24" s="204">
        <v>7074</v>
      </c>
      <c r="O24" s="204">
        <v>7729</v>
      </c>
      <c r="P24" s="204">
        <v>8294</v>
      </c>
      <c r="Q24" s="204">
        <v>8725</v>
      </c>
      <c r="R24" s="204">
        <v>8956</v>
      </c>
      <c r="S24" s="204">
        <v>8816</v>
      </c>
      <c r="T24" s="204">
        <v>8820</v>
      </c>
      <c r="U24" s="204">
        <v>8932</v>
      </c>
      <c r="V24" s="204">
        <v>8737</v>
      </c>
      <c r="W24" s="204">
        <v>8558</v>
      </c>
      <c r="X24" s="204">
        <v>8556</v>
      </c>
      <c r="Y24" s="204">
        <v>9571</v>
      </c>
      <c r="Z24" s="204">
        <v>9832</v>
      </c>
      <c r="AA24" s="204">
        <v>9608</v>
      </c>
      <c r="AB24" s="204">
        <v>9145</v>
      </c>
      <c r="AC24" s="204">
        <v>8632</v>
      </c>
      <c r="AD24" s="204">
        <v>8160</v>
      </c>
    </row>
    <row r="25" spans="2:30" x14ac:dyDescent="0.25">
      <c r="B25" s="198">
        <v>2030</v>
      </c>
      <c r="C25" s="199">
        <v>6</v>
      </c>
      <c r="D25" s="200"/>
      <c r="E25" s="201" t="s">
        <v>21</v>
      </c>
      <c r="F25" s="202">
        <v>5</v>
      </c>
      <c r="G25" s="203">
        <v>7716</v>
      </c>
      <c r="H25" s="204">
        <v>7422</v>
      </c>
      <c r="I25" s="204">
        <v>7226</v>
      </c>
      <c r="J25" s="204">
        <v>7095</v>
      </c>
      <c r="K25" s="204">
        <v>7003</v>
      </c>
      <c r="L25" s="204">
        <v>6526</v>
      </c>
      <c r="M25" s="204">
        <v>6263</v>
      </c>
      <c r="N25" s="204">
        <v>6572</v>
      </c>
      <c r="O25" s="204">
        <v>6971</v>
      </c>
      <c r="P25" s="204">
        <v>7373</v>
      </c>
      <c r="Q25" s="204">
        <v>7700</v>
      </c>
      <c r="R25" s="204">
        <v>7950</v>
      </c>
      <c r="S25" s="204">
        <v>8049</v>
      </c>
      <c r="T25" s="204">
        <v>8118</v>
      </c>
      <c r="U25" s="204">
        <v>8306</v>
      </c>
      <c r="V25" s="204">
        <v>8291</v>
      </c>
      <c r="W25" s="204">
        <v>8281</v>
      </c>
      <c r="X25" s="204">
        <v>8265</v>
      </c>
      <c r="Y25" s="204">
        <v>9325</v>
      </c>
      <c r="Z25" s="204">
        <v>9706</v>
      </c>
      <c r="AA25" s="204">
        <v>9586</v>
      </c>
      <c r="AB25" s="204">
        <v>9200</v>
      </c>
      <c r="AC25" s="204">
        <v>8667</v>
      </c>
      <c r="AD25" s="204">
        <v>8157</v>
      </c>
    </row>
    <row r="26" spans="2:30" ht="15.75" thickBot="1" x14ac:dyDescent="0.3">
      <c r="B26" s="198">
        <v>2030</v>
      </c>
      <c r="C26" s="205">
        <v>6</v>
      </c>
      <c r="D26" s="206"/>
      <c r="E26" s="201" t="s">
        <v>22</v>
      </c>
      <c r="F26" s="202">
        <v>2</v>
      </c>
      <c r="G26" s="207">
        <v>8795</v>
      </c>
      <c r="H26" s="208">
        <v>8492</v>
      </c>
      <c r="I26" s="208">
        <v>8278</v>
      </c>
      <c r="J26" s="208">
        <v>8088</v>
      </c>
      <c r="K26" s="208">
        <v>7989</v>
      </c>
      <c r="L26" s="208">
        <v>7431</v>
      </c>
      <c r="M26" s="208">
        <v>7173</v>
      </c>
      <c r="N26" s="208">
        <v>7639</v>
      </c>
      <c r="O26" s="208">
        <v>8304</v>
      </c>
      <c r="P26" s="208">
        <v>8711</v>
      </c>
      <c r="Q26" s="208">
        <v>8952</v>
      </c>
      <c r="R26" s="208">
        <v>9428</v>
      </c>
      <c r="S26" s="208">
        <v>9533</v>
      </c>
      <c r="T26" s="208">
        <v>9619</v>
      </c>
      <c r="U26" s="208">
        <v>10116</v>
      </c>
      <c r="V26" s="208">
        <v>10034</v>
      </c>
      <c r="W26" s="208">
        <v>9552</v>
      </c>
      <c r="X26" s="208">
        <v>9438</v>
      </c>
      <c r="Y26" s="208">
        <v>10566</v>
      </c>
      <c r="Z26" s="208">
        <v>10926</v>
      </c>
      <c r="AA26" s="208">
        <v>10778</v>
      </c>
      <c r="AB26" s="208">
        <v>10289</v>
      </c>
      <c r="AC26" s="208">
        <v>9557</v>
      </c>
      <c r="AD26" s="208">
        <v>8936</v>
      </c>
    </row>
    <row r="27" spans="2:30" x14ac:dyDescent="0.25">
      <c r="B27" s="198">
        <v>2030</v>
      </c>
      <c r="C27" s="209">
        <v>7</v>
      </c>
      <c r="D27" s="210">
        <v>8501159</v>
      </c>
      <c r="E27" s="201" t="s">
        <v>19</v>
      </c>
      <c r="F27" s="202">
        <v>22</v>
      </c>
      <c r="G27" s="203">
        <v>9535</v>
      </c>
      <c r="H27" s="204">
        <v>9191</v>
      </c>
      <c r="I27" s="204">
        <v>8924</v>
      </c>
      <c r="J27" s="204">
        <v>8723</v>
      </c>
      <c r="K27" s="204">
        <v>8696</v>
      </c>
      <c r="L27" s="204">
        <v>8715</v>
      </c>
      <c r="M27" s="204">
        <v>8505</v>
      </c>
      <c r="N27" s="204">
        <v>9177</v>
      </c>
      <c r="O27" s="204">
        <v>10011</v>
      </c>
      <c r="P27" s="204">
        <v>10604</v>
      </c>
      <c r="Q27" s="204">
        <v>11061</v>
      </c>
      <c r="R27" s="204">
        <v>11363</v>
      </c>
      <c r="S27" s="204">
        <v>10810</v>
      </c>
      <c r="T27" s="204">
        <v>11046</v>
      </c>
      <c r="U27" s="204">
        <v>11875</v>
      </c>
      <c r="V27" s="204">
        <v>11955</v>
      </c>
      <c r="W27" s="204">
        <v>11792</v>
      </c>
      <c r="X27" s="204">
        <v>11339</v>
      </c>
      <c r="Y27" s="204">
        <v>12238</v>
      </c>
      <c r="Z27" s="204">
        <v>12635</v>
      </c>
      <c r="AA27" s="204">
        <v>12312</v>
      </c>
      <c r="AB27" s="204">
        <v>11712</v>
      </c>
      <c r="AC27" s="204">
        <v>10818</v>
      </c>
      <c r="AD27" s="204">
        <v>10015</v>
      </c>
    </row>
    <row r="28" spans="2:30" x14ac:dyDescent="0.25">
      <c r="B28" s="198">
        <v>2030</v>
      </c>
      <c r="C28" s="199">
        <v>7</v>
      </c>
      <c r="D28" s="200"/>
      <c r="E28" s="201" t="s">
        <v>20</v>
      </c>
      <c r="F28" s="202">
        <v>3</v>
      </c>
      <c r="G28" s="203">
        <v>14689</v>
      </c>
      <c r="H28" s="204">
        <v>14322</v>
      </c>
      <c r="I28" s="204">
        <v>13924</v>
      </c>
      <c r="J28" s="204">
        <v>13659</v>
      </c>
      <c r="K28" s="204">
        <v>13545</v>
      </c>
      <c r="L28" s="204">
        <v>13243</v>
      </c>
      <c r="M28" s="204">
        <v>12953</v>
      </c>
      <c r="N28" s="204">
        <v>14145</v>
      </c>
      <c r="O28" s="204">
        <v>15583</v>
      </c>
      <c r="P28" s="204">
        <v>16450</v>
      </c>
      <c r="Q28" s="204">
        <v>17090</v>
      </c>
      <c r="R28" s="204">
        <v>17586</v>
      </c>
      <c r="S28" s="204">
        <v>17397</v>
      </c>
      <c r="T28" s="204">
        <v>17351</v>
      </c>
      <c r="U28" s="204">
        <v>17728</v>
      </c>
      <c r="V28" s="204">
        <v>17148</v>
      </c>
      <c r="W28" s="204">
        <v>17429</v>
      </c>
      <c r="X28" s="204">
        <v>17097</v>
      </c>
      <c r="Y28" s="204">
        <v>18942</v>
      </c>
      <c r="Z28" s="204">
        <v>19640</v>
      </c>
      <c r="AA28" s="204">
        <v>19183</v>
      </c>
      <c r="AB28" s="204">
        <v>18375</v>
      </c>
      <c r="AC28" s="204">
        <v>17305</v>
      </c>
      <c r="AD28" s="204">
        <v>16249</v>
      </c>
    </row>
    <row r="29" spans="2:30" x14ac:dyDescent="0.25">
      <c r="B29" s="198">
        <v>2030</v>
      </c>
      <c r="C29" s="199">
        <v>7</v>
      </c>
      <c r="D29" s="200"/>
      <c r="E29" s="201" t="s">
        <v>21</v>
      </c>
      <c r="F29" s="202">
        <v>4</v>
      </c>
      <c r="G29" s="203">
        <v>12432</v>
      </c>
      <c r="H29" s="204">
        <v>11955</v>
      </c>
      <c r="I29" s="204">
        <v>11665</v>
      </c>
      <c r="J29" s="204">
        <v>11253</v>
      </c>
      <c r="K29" s="204">
        <v>11193</v>
      </c>
      <c r="L29" s="204">
        <v>10818</v>
      </c>
      <c r="M29" s="204">
        <v>10228</v>
      </c>
      <c r="N29" s="204">
        <v>10964</v>
      </c>
      <c r="O29" s="204">
        <v>11921</v>
      </c>
      <c r="P29" s="204">
        <v>12497</v>
      </c>
      <c r="Q29" s="204">
        <v>12941</v>
      </c>
      <c r="R29" s="204">
        <v>13364</v>
      </c>
      <c r="S29" s="204">
        <v>13237</v>
      </c>
      <c r="T29" s="204">
        <v>13049</v>
      </c>
      <c r="U29" s="204">
        <v>13146</v>
      </c>
      <c r="V29" s="204">
        <v>13301</v>
      </c>
      <c r="W29" s="204">
        <v>13288</v>
      </c>
      <c r="X29" s="204">
        <v>13222</v>
      </c>
      <c r="Y29" s="204">
        <v>14629</v>
      </c>
      <c r="Z29" s="204">
        <v>15334</v>
      </c>
      <c r="AA29" s="204">
        <v>15061</v>
      </c>
      <c r="AB29" s="204">
        <v>14451</v>
      </c>
      <c r="AC29" s="204">
        <v>13575</v>
      </c>
      <c r="AD29" s="204">
        <v>12775</v>
      </c>
    </row>
    <row r="30" spans="2:30" ht="15.75" thickBot="1" x14ac:dyDescent="0.3">
      <c r="B30" s="198">
        <v>2030</v>
      </c>
      <c r="C30" s="205">
        <v>7</v>
      </c>
      <c r="D30" s="206"/>
      <c r="E30" s="201" t="s">
        <v>22</v>
      </c>
      <c r="F30" s="202">
        <v>2</v>
      </c>
      <c r="G30" s="207">
        <v>10253</v>
      </c>
      <c r="H30" s="208">
        <v>9957</v>
      </c>
      <c r="I30" s="208">
        <v>9697</v>
      </c>
      <c r="J30" s="208">
        <v>9448</v>
      </c>
      <c r="K30" s="208">
        <v>9383</v>
      </c>
      <c r="L30" s="208">
        <v>9133</v>
      </c>
      <c r="M30" s="208">
        <v>8952</v>
      </c>
      <c r="N30" s="208">
        <v>9481</v>
      </c>
      <c r="O30" s="208">
        <v>10149</v>
      </c>
      <c r="P30" s="208">
        <v>10710</v>
      </c>
      <c r="Q30" s="208">
        <v>11188</v>
      </c>
      <c r="R30" s="208">
        <v>11640</v>
      </c>
      <c r="S30" s="208">
        <v>12441</v>
      </c>
      <c r="T30" s="208">
        <v>12007</v>
      </c>
      <c r="U30" s="208">
        <v>11921</v>
      </c>
      <c r="V30" s="208">
        <v>12031</v>
      </c>
      <c r="W30" s="208">
        <v>11871</v>
      </c>
      <c r="X30" s="208">
        <v>11762</v>
      </c>
      <c r="Y30" s="208">
        <v>13089</v>
      </c>
      <c r="Z30" s="208">
        <v>13599</v>
      </c>
      <c r="AA30" s="208">
        <v>13321</v>
      </c>
      <c r="AB30" s="208">
        <v>12753</v>
      </c>
      <c r="AC30" s="208">
        <v>11894</v>
      </c>
      <c r="AD30" s="208">
        <v>11180</v>
      </c>
    </row>
    <row r="31" spans="2:30" x14ac:dyDescent="0.25">
      <c r="B31" s="198">
        <v>2030</v>
      </c>
      <c r="C31" s="209">
        <v>8</v>
      </c>
      <c r="D31" s="210">
        <v>9773960</v>
      </c>
      <c r="E31" s="201" t="s">
        <v>19</v>
      </c>
      <c r="F31" s="202">
        <v>20</v>
      </c>
      <c r="G31" s="203">
        <v>12422</v>
      </c>
      <c r="H31" s="204">
        <v>11978</v>
      </c>
      <c r="I31" s="204">
        <v>11631</v>
      </c>
      <c r="J31" s="204">
        <v>11390</v>
      </c>
      <c r="K31" s="204">
        <v>11328</v>
      </c>
      <c r="L31" s="204">
        <v>11306</v>
      </c>
      <c r="M31" s="204">
        <v>11023</v>
      </c>
      <c r="N31" s="204">
        <v>12003</v>
      </c>
      <c r="O31" s="204">
        <v>13336</v>
      </c>
      <c r="P31" s="204">
        <v>14210</v>
      </c>
      <c r="Q31" s="204">
        <v>14925</v>
      </c>
      <c r="R31" s="204">
        <v>15413</v>
      </c>
      <c r="S31" s="204">
        <v>14604</v>
      </c>
      <c r="T31" s="204">
        <v>15194</v>
      </c>
      <c r="U31" s="204">
        <v>16219</v>
      </c>
      <c r="V31" s="204">
        <v>16226</v>
      </c>
      <c r="W31" s="204">
        <v>15775</v>
      </c>
      <c r="X31" s="204">
        <v>15037</v>
      </c>
      <c r="Y31" s="204">
        <v>16202</v>
      </c>
      <c r="Z31" s="204">
        <v>16635</v>
      </c>
      <c r="AA31" s="204">
        <v>16268</v>
      </c>
      <c r="AB31" s="204">
        <v>15489</v>
      </c>
      <c r="AC31" s="204">
        <v>14305</v>
      </c>
      <c r="AD31" s="204">
        <v>13313</v>
      </c>
    </row>
    <row r="32" spans="2:30" x14ac:dyDescent="0.25">
      <c r="B32" s="198">
        <v>2030</v>
      </c>
      <c r="C32" s="199">
        <v>8</v>
      </c>
      <c r="D32" s="200"/>
      <c r="E32" s="201" t="s">
        <v>20</v>
      </c>
      <c r="F32" s="202">
        <v>5</v>
      </c>
      <c r="G32" s="203">
        <v>10565</v>
      </c>
      <c r="H32" s="204">
        <v>10158</v>
      </c>
      <c r="I32" s="204">
        <v>9853</v>
      </c>
      <c r="J32" s="204">
        <v>9625</v>
      </c>
      <c r="K32" s="204">
        <v>9460</v>
      </c>
      <c r="L32" s="204">
        <v>9224</v>
      </c>
      <c r="M32" s="204">
        <v>8918</v>
      </c>
      <c r="N32" s="204">
        <v>9676</v>
      </c>
      <c r="O32" s="204">
        <v>10714</v>
      </c>
      <c r="P32" s="204">
        <v>11441</v>
      </c>
      <c r="Q32" s="204">
        <v>11977</v>
      </c>
      <c r="R32" s="204">
        <v>12349</v>
      </c>
      <c r="S32" s="204">
        <v>12142</v>
      </c>
      <c r="T32" s="204">
        <v>12273</v>
      </c>
      <c r="U32" s="204">
        <v>12444</v>
      </c>
      <c r="V32" s="204">
        <v>12382</v>
      </c>
      <c r="W32" s="204">
        <v>12081</v>
      </c>
      <c r="X32" s="204">
        <v>11942</v>
      </c>
      <c r="Y32" s="204">
        <v>13150</v>
      </c>
      <c r="Z32" s="204">
        <v>13464</v>
      </c>
      <c r="AA32" s="204">
        <v>13198</v>
      </c>
      <c r="AB32" s="204">
        <v>12661</v>
      </c>
      <c r="AC32" s="204">
        <v>11904</v>
      </c>
      <c r="AD32" s="204">
        <v>10927</v>
      </c>
    </row>
    <row r="33" spans="2:30" x14ac:dyDescent="0.25">
      <c r="B33" s="198">
        <v>2030</v>
      </c>
      <c r="C33" s="199">
        <v>8</v>
      </c>
      <c r="D33" s="200"/>
      <c r="E33" s="201" t="s">
        <v>21</v>
      </c>
      <c r="F33" s="202">
        <v>4</v>
      </c>
      <c r="G33" s="203">
        <v>11115</v>
      </c>
      <c r="H33" s="204">
        <v>10797</v>
      </c>
      <c r="I33" s="204">
        <v>10489</v>
      </c>
      <c r="J33" s="204">
        <v>10222</v>
      </c>
      <c r="K33" s="204">
        <v>10060</v>
      </c>
      <c r="L33" s="204">
        <v>9547</v>
      </c>
      <c r="M33" s="204">
        <v>8944</v>
      </c>
      <c r="N33" s="204">
        <v>9439</v>
      </c>
      <c r="O33" s="204">
        <v>10072</v>
      </c>
      <c r="P33" s="204">
        <v>10684</v>
      </c>
      <c r="Q33" s="204">
        <v>11148</v>
      </c>
      <c r="R33" s="204">
        <v>11569</v>
      </c>
      <c r="S33" s="204">
        <v>11665</v>
      </c>
      <c r="T33" s="204">
        <v>11820</v>
      </c>
      <c r="U33" s="204">
        <v>11856</v>
      </c>
      <c r="V33" s="204">
        <v>11877</v>
      </c>
      <c r="W33" s="204">
        <v>11763</v>
      </c>
      <c r="X33" s="204">
        <v>11685</v>
      </c>
      <c r="Y33" s="204">
        <v>13170</v>
      </c>
      <c r="Z33" s="204">
        <v>13746</v>
      </c>
      <c r="AA33" s="204">
        <v>13595</v>
      </c>
      <c r="AB33" s="204">
        <v>13013</v>
      </c>
      <c r="AC33" s="204">
        <v>12171</v>
      </c>
      <c r="AD33" s="204">
        <v>11442</v>
      </c>
    </row>
    <row r="34" spans="2:30" ht="15.75" thickBot="1" x14ac:dyDescent="0.3">
      <c r="B34" s="198">
        <v>2030</v>
      </c>
      <c r="C34" s="205">
        <v>8</v>
      </c>
      <c r="D34" s="206"/>
      <c r="E34" s="201" t="s">
        <v>22</v>
      </c>
      <c r="F34" s="202">
        <v>2</v>
      </c>
      <c r="G34" s="207">
        <v>11869</v>
      </c>
      <c r="H34" s="208">
        <v>11461</v>
      </c>
      <c r="I34" s="208">
        <v>11126</v>
      </c>
      <c r="J34" s="208">
        <v>10662</v>
      </c>
      <c r="K34" s="208">
        <v>10727</v>
      </c>
      <c r="L34" s="208">
        <v>10471</v>
      </c>
      <c r="M34" s="208">
        <v>9945</v>
      </c>
      <c r="N34" s="208">
        <v>10608</v>
      </c>
      <c r="O34" s="208">
        <v>11429</v>
      </c>
      <c r="P34" s="208">
        <v>12171</v>
      </c>
      <c r="Q34" s="208">
        <v>12915</v>
      </c>
      <c r="R34" s="208">
        <v>13531</v>
      </c>
      <c r="S34" s="208">
        <v>13667</v>
      </c>
      <c r="T34" s="208">
        <v>13617</v>
      </c>
      <c r="U34" s="208">
        <v>13717</v>
      </c>
      <c r="V34" s="208">
        <v>13546</v>
      </c>
      <c r="W34" s="208">
        <v>11156</v>
      </c>
      <c r="X34" s="208">
        <v>13125</v>
      </c>
      <c r="Y34" s="208">
        <v>14598</v>
      </c>
      <c r="Z34" s="208">
        <v>15041</v>
      </c>
      <c r="AA34" s="208">
        <v>14706</v>
      </c>
      <c r="AB34" s="208">
        <v>14061</v>
      </c>
      <c r="AC34" s="208">
        <v>13141</v>
      </c>
      <c r="AD34" s="208">
        <v>12272</v>
      </c>
    </row>
    <row r="35" spans="2:30" x14ac:dyDescent="0.25">
      <c r="B35" s="198">
        <v>2030</v>
      </c>
      <c r="C35" s="209">
        <v>9</v>
      </c>
      <c r="D35" s="210">
        <v>7185686</v>
      </c>
      <c r="E35" s="201" t="s">
        <v>19</v>
      </c>
      <c r="F35" s="202">
        <v>21</v>
      </c>
      <c r="G35" s="203">
        <v>9256</v>
      </c>
      <c r="H35" s="204">
        <v>8741</v>
      </c>
      <c r="I35" s="204">
        <v>8476</v>
      </c>
      <c r="J35" s="204">
        <v>8309</v>
      </c>
      <c r="K35" s="204">
        <v>8349</v>
      </c>
      <c r="L35" s="204">
        <v>8240</v>
      </c>
      <c r="M35" s="204">
        <v>8101</v>
      </c>
      <c r="N35" s="204">
        <v>8857</v>
      </c>
      <c r="O35" s="204">
        <v>9855</v>
      </c>
      <c r="P35" s="204">
        <v>10554</v>
      </c>
      <c r="Q35" s="204">
        <v>11063</v>
      </c>
      <c r="R35" s="204">
        <v>11417</v>
      </c>
      <c r="S35" s="204">
        <v>10842</v>
      </c>
      <c r="T35" s="204">
        <v>11323</v>
      </c>
      <c r="U35" s="204">
        <v>11958</v>
      </c>
      <c r="V35" s="204">
        <v>11877</v>
      </c>
      <c r="W35" s="204">
        <v>11580</v>
      </c>
      <c r="X35" s="204">
        <v>11313</v>
      </c>
      <c r="Y35" s="204">
        <v>12164</v>
      </c>
      <c r="Z35" s="204">
        <v>12244</v>
      </c>
      <c r="AA35" s="204">
        <v>11995</v>
      </c>
      <c r="AB35" s="204">
        <v>11509</v>
      </c>
      <c r="AC35" s="204">
        <v>10713</v>
      </c>
      <c r="AD35" s="204">
        <v>9981</v>
      </c>
    </row>
    <row r="36" spans="2:30" x14ac:dyDescent="0.25">
      <c r="B36" s="198">
        <v>2030</v>
      </c>
      <c r="C36" s="199">
        <v>9</v>
      </c>
      <c r="D36" s="200"/>
      <c r="E36" s="201" t="s">
        <v>20</v>
      </c>
      <c r="F36" s="202">
        <v>4</v>
      </c>
      <c r="G36" s="203">
        <v>9941</v>
      </c>
      <c r="H36" s="204">
        <v>9593</v>
      </c>
      <c r="I36" s="204">
        <v>9299</v>
      </c>
      <c r="J36" s="204">
        <v>9086</v>
      </c>
      <c r="K36" s="204">
        <v>8959</v>
      </c>
      <c r="L36" s="204">
        <v>8555</v>
      </c>
      <c r="M36" s="204">
        <v>8432</v>
      </c>
      <c r="N36" s="204">
        <v>9139</v>
      </c>
      <c r="O36" s="204">
        <v>10095</v>
      </c>
      <c r="P36" s="204">
        <v>10820</v>
      </c>
      <c r="Q36" s="204">
        <v>11389</v>
      </c>
      <c r="R36" s="204">
        <v>11704</v>
      </c>
      <c r="S36" s="204">
        <v>11464</v>
      </c>
      <c r="T36" s="204">
        <v>11461</v>
      </c>
      <c r="U36" s="204">
        <v>11646</v>
      </c>
      <c r="V36" s="204">
        <v>11525</v>
      </c>
      <c r="W36" s="204">
        <v>11285</v>
      </c>
      <c r="X36" s="204">
        <v>11303</v>
      </c>
      <c r="Y36" s="204">
        <v>12470</v>
      </c>
      <c r="Z36" s="204">
        <v>12493</v>
      </c>
      <c r="AA36" s="204">
        <v>12224</v>
      </c>
      <c r="AB36" s="204">
        <v>11753</v>
      </c>
      <c r="AC36" s="204">
        <v>11153</v>
      </c>
      <c r="AD36" s="204">
        <v>10527</v>
      </c>
    </row>
    <row r="37" spans="2:30" ht="15.75" thickBot="1" x14ac:dyDescent="0.3">
      <c r="B37" s="198">
        <v>2030</v>
      </c>
      <c r="C37" s="205">
        <v>9</v>
      </c>
      <c r="D37" s="200"/>
      <c r="E37" s="201" t="s">
        <v>21</v>
      </c>
      <c r="F37" s="202">
        <v>5</v>
      </c>
      <c r="G37" s="207">
        <v>8287</v>
      </c>
      <c r="H37" s="208">
        <v>7961</v>
      </c>
      <c r="I37" s="208">
        <v>7685</v>
      </c>
      <c r="J37" s="208">
        <v>7034</v>
      </c>
      <c r="K37" s="208">
        <v>6812</v>
      </c>
      <c r="L37" s="208">
        <v>6488</v>
      </c>
      <c r="M37" s="208">
        <v>6185</v>
      </c>
      <c r="N37" s="208">
        <v>6528</v>
      </c>
      <c r="O37" s="208">
        <v>6931</v>
      </c>
      <c r="P37" s="208">
        <v>7330</v>
      </c>
      <c r="Q37" s="208">
        <v>7609</v>
      </c>
      <c r="R37" s="208">
        <v>7871</v>
      </c>
      <c r="S37" s="208">
        <v>7931</v>
      </c>
      <c r="T37" s="208">
        <v>7765</v>
      </c>
      <c r="U37" s="208">
        <v>7744</v>
      </c>
      <c r="V37" s="208">
        <v>7746</v>
      </c>
      <c r="W37" s="208">
        <v>7615</v>
      </c>
      <c r="X37" s="208">
        <v>7629</v>
      </c>
      <c r="Y37" s="208">
        <v>9327</v>
      </c>
      <c r="Z37" s="208">
        <v>9662</v>
      </c>
      <c r="AA37" s="208">
        <v>9527</v>
      </c>
      <c r="AB37" s="208">
        <v>9152</v>
      </c>
      <c r="AC37" s="208">
        <v>8590</v>
      </c>
      <c r="AD37" s="208">
        <v>8064</v>
      </c>
    </row>
    <row r="38" spans="2:30" x14ac:dyDescent="0.25">
      <c r="B38" s="198">
        <v>2030</v>
      </c>
      <c r="C38" s="209">
        <v>10</v>
      </c>
      <c r="D38" s="210">
        <v>8727967</v>
      </c>
      <c r="E38" s="201" t="s">
        <v>19</v>
      </c>
      <c r="F38" s="202">
        <v>22</v>
      </c>
      <c r="G38" s="203">
        <v>10233</v>
      </c>
      <c r="H38" s="204">
        <v>9855</v>
      </c>
      <c r="I38" s="204">
        <v>9574</v>
      </c>
      <c r="J38" s="204">
        <v>9369</v>
      </c>
      <c r="K38" s="204">
        <v>9226</v>
      </c>
      <c r="L38" s="204">
        <v>8978</v>
      </c>
      <c r="M38" s="204">
        <v>8911</v>
      </c>
      <c r="N38" s="204">
        <v>9842</v>
      </c>
      <c r="O38" s="204">
        <v>11011</v>
      </c>
      <c r="P38" s="204">
        <v>11711</v>
      </c>
      <c r="Q38" s="204">
        <v>12307</v>
      </c>
      <c r="R38" s="204">
        <v>12642</v>
      </c>
      <c r="S38" s="204">
        <v>12064</v>
      </c>
      <c r="T38" s="204">
        <v>12495</v>
      </c>
      <c r="U38" s="204">
        <v>13368</v>
      </c>
      <c r="V38" s="204">
        <v>13354</v>
      </c>
      <c r="W38" s="204">
        <v>12922</v>
      </c>
      <c r="X38" s="204">
        <v>12725</v>
      </c>
      <c r="Y38" s="204">
        <v>13456</v>
      </c>
      <c r="Z38" s="204">
        <v>13346</v>
      </c>
      <c r="AA38" s="204">
        <v>13066</v>
      </c>
      <c r="AB38" s="204">
        <v>12569</v>
      </c>
      <c r="AC38" s="204">
        <v>11721</v>
      </c>
      <c r="AD38" s="204">
        <v>11004</v>
      </c>
    </row>
    <row r="39" spans="2:30" x14ac:dyDescent="0.25">
      <c r="B39" s="198">
        <v>2030</v>
      </c>
      <c r="C39" s="199">
        <v>10</v>
      </c>
      <c r="D39" s="200"/>
      <c r="E39" s="201" t="s">
        <v>20</v>
      </c>
      <c r="F39" s="202">
        <v>4</v>
      </c>
      <c r="G39" s="203">
        <v>11815</v>
      </c>
      <c r="H39" s="204">
        <v>11410</v>
      </c>
      <c r="I39" s="204">
        <v>11060</v>
      </c>
      <c r="J39" s="204">
        <v>10739</v>
      </c>
      <c r="K39" s="204">
        <v>10425</v>
      </c>
      <c r="L39" s="204">
        <v>10121</v>
      </c>
      <c r="M39" s="204">
        <v>10053</v>
      </c>
      <c r="N39" s="204">
        <v>10956</v>
      </c>
      <c r="O39" s="204">
        <v>12159</v>
      </c>
      <c r="P39" s="204">
        <v>12956</v>
      </c>
      <c r="Q39" s="204">
        <v>13548</v>
      </c>
      <c r="R39" s="204">
        <v>13849</v>
      </c>
      <c r="S39" s="204">
        <v>13430</v>
      </c>
      <c r="T39" s="204">
        <v>13251</v>
      </c>
      <c r="U39" s="204">
        <v>13405</v>
      </c>
      <c r="V39" s="204">
        <v>13393</v>
      </c>
      <c r="W39" s="204">
        <v>13066</v>
      </c>
      <c r="X39" s="204">
        <v>13289</v>
      </c>
      <c r="Y39" s="204">
        <v>14471</v>
      </c>
      <c r="Z39" s="204">
        <v>14334</v>
      </c>
      <c r="AA39" s="204">
        <v>13975</v>
      </c>
      <c r="AB39" s="204">
        <v>13525</v>
      </c>
      <c r="AC39" s="204">
        <v>12891</v>
      </c>
      <c r="AD39" s="204">
        <v>12267</v>
      </c>
    </row>
    <row r="40" spans="2:30" x14ac:dyDescent="0.25">
      <c r="B40" s="198">
        <v>2030</v>
      </c>
      <c r="C40" s="199">
        <v>10</v>
      </c>
      <c r="D40" s="200"/>
      <c r="E40" s="201" t="s">
        <v>21</v>
      </c>
      <c r="F40" s="202">
        <v>4</v>
      </c>
      <c r="G40" s="203">
        <v>12809</v>
      </c>
      <c r="H40" s="204">
        <v>12273</v>
      </c>
      <c r="I40" s="204">
        <v>11792</v>
      </c>
      <c r="J40" s="204">
        <v>11443</v>
      </c>
      <c r="K40" s="204">
        <v>11224</v>
      </c>
      <c r="L40" s="204">
        <v>10782</v>
      </c>
      <c r="M40" s="204">
        <v>10395</v>
      </c>
      <c r="N40" s="204">
        <v>10788</v>
      </c>
      <c r="O40" s="204">
        <v>11298</v>
      </c>
      <c r="P40" s="204">
        <v>11760</v>
      </c>
      <c r="Q40" s="204">
        <v>12108</v>
      </c>
      <c r="R40" s="204">
        <v>12520</v>
      </c>
      <c r="S40" s="204">
        <v>12680</v>
      </c>
      <c r="T40" s="204">
        <v>12552</v>
      </c>
      <c r="U40" s="204">
        <v>12664</v>
      </c>
      <c r="V40" s="204">
        <v>12862</v>
      </c>
      <c r="W40" s="204">
        <v>12769</v>
      </c>
      <c r="X40" s="204">
        <v>13272</v>
      </c>
      <c r="Y40" s="204">
        <v>14864</v>
      </c>
      <c r="Z40" s="204">
        <v>14843</v>
      </c>
      <c r="AA40" s="204">
        <v>14622</v>
      </c>
      <c r="AB40" s="204">
        <v>14177</v>
      </c>
      <c r="AC40" s="204">
        <v>13421</v>
      </c>
      <c r="AD40" s="204">
        <v>12701</v>
      </c>
    </row>
    <row r="41" spans="2:30" ht="15.75" thickBot="1" x14ac:dyDescent="0.3">
      <c r="B41" s="198">
        <v>2030</v>
      </c>
      <c r="C41" s="205">
        <v>10</v>
      </c>
      <c r="D41" s="206"/>
      <c r="E41" s="201" t="s">
        <v>22</v>
      </c>
      <c r="F41" s="202">
        <v>1</v>
      </c>
      <c r="G41" s="207">
        <v>10343</v>
      </c>
      <c r="H41" s="208">
        <v>10024</v>
      </c>
      <c r="I41" s="208">
        <v>9748</v>
      </c>
      <c r="J41" s="208">
        <v>9541</v>
      </c>
      <c r="K41" s="208">
        <v>9439</v>
      </c>
      <c r="L41" s="208">
        <v>9040</v>
      </c>
      <c r="M41" s="208">
        <v>8815</v>
      </c>
      <c r="N41" s="208">
        <v>9342</v>
      </c>
      <c r="O41" s="208">
        <v>10033</v>
      </c>
      <c r="P41" s="208">
        <v>10635</v>
      </c>
      <c r="Q41" s="208">
        <v>11219</v>
      </c>
      <c r="R41" s="208">
        <v>11675</v>
      </c>
      <c r="S41" s="208">
        <v>11748</v>
      </c>
      <c r="T41" s="208">
        <v>11575</v>
      </c>
      <c r="U41" s="208">
        <v>11426</v>
      </c>
      <c r="V41" s="208">
        <v>11315</v>
      </c>
      <c r="W41" s="208">
        <v>11243</v>
      </c>
      <c r="X41" s="208">
        <v>11629</v>
      </c>
      <c r="Y41" s="208">
        <v>12311</v>
      </c>
      <c r="Z41" s="208">
        <v>12450</v>
      </c>
      <c r="AA41" s="208">
        <v>11948</v>
      </c>
      <c r="AB41" s="208">
        <v>11278</v>
      </c>
      <c r="AC41" s="208">
        <v>10624</v>
      </c>
      <c r="AD41" s="208">
        <v>10060</v>
      </c>
    </row>
    <row r="42" spans="2:30" x14ac:dyDescent="0.25">
      <c r="B42" s="198">
        <v>2030</v>
      </c>
      <c r="C42" s="209">
        <v>11</v>
      </c>
      <c r="D42" s="210">
        <v>8906141</v>
      </c>
      <c r="E42" s="201" t="s">
        <v>19</v>
      </c>
      <c r="F42" s="202">
        <v>19</v>
      </c>
      <c r="G42" s="203">
        <v>11772</v>
      </c>
      <c r="H42" s="204">
        <v>11340</v>
      </c>
      <c r="I42" s="204">
        <v>11017</v>
      </c>
      <c r="J42" s="204">
        <v>10766</v>
      </c>
      <c r="K42" s="204">
        <v>10637</v>
      </c>
      <c r="L42" s="204">
        <v>10375</v>
      </c>
      <c r="M42" s="204">
        <v>10267</v>
      </c>
      <c r="N42" s="204">
        <v>11244</v>
      </c>
      <c r="O42" s="204">
        <v>12522</v>
      </c>
      <c r="P42" s="204">
        <v>13307</v>
      </c>
      <c r="Q42" s="204">
        <v>13906</v>
      </c>
      <c r="R42" s="204">
        <v>14243</v>
      </c>
      <c r="S42" s="204">
        <v>13562</v>
      </c>
      <c r="T42" s="204">
        <v>14063</v>
      </c>
      <c r="U42" s="204">
        <v>14986</v>
      </c>
      <c r="V42" s="204">
        <v>15143</v>
      </c>
      <c r="W42" s="204">
        <v>14641</v>
      </c>
      <c r="X42" s="204">
        <v>14593</v>
      </c>
      <c r="Y42" s="204">
        <v>15423</v>
      </c>
      <c r="Z42" s="204">
        <v>15277</v>
      </c>
      <c r="AA42" s="204">
        <v>14951</v>
      </c>
      <c r="AB42" s="204">
        <v>14327</v>
      </c>
      <c r="AC42" s="204">
        <v>13421</v>
      </c>
      <c r="AD42" s="204">
        <v>12603</v>
      </c>
    </row>
    <row r="43" spans="2:30" x14ac:dyDescent="0.25">
      <c r="B43" s="198">
        <v>2030</v>
      </c>
      <c r="C43" s="199">
        <v>11</v>
      </c>
      <c r="D43" s="200"/>
      <c r="E43" s="201" t="s">
        <v>20</v>
      </c>
      <c r="F43" s="202">
        <v>5</v>
      </c>
      <c r="G43" s="203">
        <v>10111</v>
      </c>
      <c r="H43" s="204">
        <v>9751</v>
      </c>
      <c r="I43" s="204">
        <v>9443</v>
      </c>
      <c r="J43" s="204">
        <v>9195</v>
      </c>
      <c r="K43" s="204">
        <v>9041</v>
      </c>
      <c r="L43" s="204">
        <v>8682</v>
      </c>
      <c r="M43" s="204">
        <v>8501</v>
      </c>
      <c r="N43" s="204">
        <v>9179</v>
      </c>
      <c r="O43" s="204">
        <v>10064</v>
      </c>
      <c r="P43" s="204">
        <v>10771</v>
      </c>
      <c r="Q43" s="204">
        <v>11225</v>
      </c>
      <c r="R43" s="204">
        <v>11647</v>
      </c>
      <c r="S43" s="204">
        <v>11415</v>
      </c>
      <c r="T43" s="204">
        <v>11228</v>
      </c>
      <c r="U43" s="204">
        <v>11253</v>
      </c>
      <c r="V43" s="204">
        <v>11184</v>
      </c>
      <c r="W43" s="204">
        <v>10896</v>
      </c>
      <c r="X43" s="204">
        <v>11325</v>
      </c>
      <c r="Y43" s="204">
        <v>12269</v>
      </c>
      <c r="Z43" s="204">
        <v>12223</v>
      </c>
      <c r="AA43" s="204">
        <v>11890</v>
      </c>
      <c r="AB43" s="204">
        <v>11464</v>
      </c>
      <c r="AC43" s="204">
        <v>10916</v>
      </c>
      <c r="AD43" s="204">
        <v>10348</v>
      </c>
    </row>
    <row r="44" spans="2:30" x14ac:dyDescent="0.25">
      <c r="B44" s="198">
        <v>2030</v>
      </c>
      <c r="C44" s="199">
        <v>11</v>
      </c>
      <c r="D44" s="200"/>
      <c r="E44" s="201" t="s">
        <v>21</v>
      </c>
      <c r="F44" s="202">
        <v>4</v>
      </c>
      <c r="G44" s="203">
        <v>11267</v>
      </c>
      <c r="H44" s="204">
        <v>10882</v>
      </c>
      <c r="I44" s="204">
        <v>10597</v>
      </c>
      <c r="J44" s="204">
        <v>10406</v>
      </c>
      <c r="K44" s="204">
        <v>10288</v>
      </c>
      <c r="L44" s="204">
        <v>9592</v>
      </c>
      <c r="M44" s="204">
        <v>9195</v>
      </c>
      <c r="N44" s="204">
        <v>9733</v>
      </c>
      <c r="O44" s="204">
        <v>10350</v>
      </c>
      <c r="P44" s="204">
        <v>10783</v>
      </c>
      <c r="Q44" s="204">
        <v>11144</v>
      </c>
      <c r="R44" s="204">
        <v>11484</v>
      </c>
      <c r="S44" s="204">
        <v>11623</v>
      </c>
      <c r="T44" s="204">
        <v>11588</v>
      </c>
      <c r="U44" s="204">
        <v>11593</v>
      </c>
      <c r="V44" s="204">
        <v>11628</v>
      </c>
      <c r="W44" s="204">
        <v>11554</v>
      </c>
      <c r="X44" s="204">
        <v>12079</v>
      </c>
      <c r="Y44" s="204">
        <v>13447</v>
      </c>
      <c r="Z44" s="204">
        <v>13734</v>
      </c>
      <c r="AA44" s="204">
        <v>13641</v>
      </c>
      <c r="AB44" s="204">
        <v>13160</v>
      </c>
      <c r="AC44" s="204">
        <v>12468</v>
      </c>
      <c r="AD44" s="204">
        <v>11731</v>
      </c>
    </row>
    <row r="45" spans="2:30" ht="15.75" thickBot="1" x14ac:dyDescent="0.3">
      <c r="B45" s="198">
        <v>2030</v>
      </c>
      <c r="C45" s="205">
        <v>11</v>
      </c>
      <c r="D45" s="206"/>
      <c r="E45" s="201" t="s">
        <v>22</v>
      </c>
      <c r="F45" s="202">
        <v>2</v>
      </c>
      <c r="G45" s="207">
        <v>11680</v>
      </c>
      <c r="H45" s="208">
        <v>11171</v>
      </c>
      <c r="I45" s="208">
        <v>10814</v>
      </c>
      <c r="J45" s="208">
        <v>10506</v>
      </c>
      <c r="K45" s="208">
        <v>10305</v>
      </c>
      <c r="L45" s="208">
        <v>9888</v>
      </c>
      <c r="M45" s="208">
        <v>9579</v>
      </c>
      <c r="N45" s="208">
        <v>10188</v>
      </c>
      <c r="O45" s="208">
        <v>10920</v>
      </c>
      <c r="P45" s="208">
        <v>11478</v>
      </c>
      <c r="Q45" s="208">
        <v>11911</v>
      </c>
      <c r="R45" s="208">
        <v>12225</v>
      </c>
      <c r="S45" s="208">
        <v>12205</v>
      </c>
      <c r="T45" s="208">
        <v>12015</v>
      </c>
      <c r="U45" s="208">
        <v>12118</v>
      </c>
      <c r="V45" s="208">
        <v>12261</v>
      </c>
      <c r="W45" s="208">
        <v>12172</v>
      </c>
      <c r="X45" s="208">
        <v>12746</v>
      </c>
      <c r="Y45" s="208">
        <v>14041</v>
      </c>
      <c r="Z45" s="208">
        <v>14063</v>
      </c>
      <c r="AA45" s="208">
        <v>13718</v>
      </c>
      <c r="AB45" s="208">
        <v>13234</v>
      </c>
      <c r="AC45" s="208">
        <v>12440</v>
      </c>
      <c r="AD45" s="208">
        <v>11739</v>
      </c>
    </row>
    <row r="46" spans="2:30" x14ac:dyDescent="0.25">
      <c r="B46" s="198">
        <v>2030</v>
      </c>
      <c r="C46" s="209">
        <v>12</v>
      </c>
      <c r="D46" s="210">
        <v>12467965</v>
      </c>
      <c r="E46" s="201" t="s">
        <v>19</v>
      </c>
      <c r="F46" s="202">
        <v>21</v>
      </c>
      <c r="G46" s="203">
        <v>15149</v>
      </c>
      <c r="H46" s="204">
        <v>14546</v>
      </c>
      <c r="I46" s="204">
        <v>14104</v>
      </c>
      <c r="J46" s="204">
        <v>13739</v>
      </c>
      <c r="K46" s="204">
        <v>13590</v>
      </c>
      <c r="L46" s="204">
        <v>13288</v>
      </c>
      <c r="M46" s="204">
        <v>12820</v>
      </c>
      <c r="N46" s="204">
        <v>14098</v>
      </c>
      <c r="O46" s="204">
        <v>15687</v>
      </c>
      <c r="P46" s="204">
        <v>16844</v>
      </c>
      <c r="Q46" s="204">
        <v>17648</v>
      </c>
      <c r="R46" s="204">
        <v>18225</v>
      </c>
      <c r="S46" s="204">
        <v>17441</v>
      </c>
      <c r="T46" s="204">
        <v>17839</v>
      </c>
      <c r="U46" s="204">
        <v>18906</v>
      </c>
      <c r="V46" s="204">
        <v>18979</v>
      </c>
      <c r="W46" s="204">
        <v>18416</v>
      </c>
      <c r="X46" s="204">
        <v>18065</v>
      </c>
      <c r="Y46" s="204">
        <v>19361</v>
      </c>
      <c r="Z46" s="204">
        <v>19127</v>
      </c>
      <c r="AA46" s="204">
        <v>18699</v>
      </c>
      <c r="AB46" s="204">
        <v>18066</v>
      </c>
      <c r="AC46" s="204">
        <v>17124</v>
      </c>
      <c r="AD46" s="204">
        <v>16170</v>
      </c>
    </row>
    <row r="47" spans="2:30" x14ac:dyDescent="0.25">
      <c r="B47" s="198">
        <v>2030</v>
      </c>
      <c r="C47" s="199">
        <v>12</v>
      </c>
      <c r="D47" s="200"/>
      <c r="E47" s="201" t="s">
        <v>20</v>
      </c>
      <c r="F47" s="202">
        <v>4</v>
      </c>
      <c r="G47" s="203">
        <v>18776</v>
      </c>
      <c r="H47" s="204">
        <v>18134</v>
      </c>
      <c r="I47" s="204">
        <v>17370</v>
      </c>
      <c r="J47" s="204">
        <v>16922</v>
      </c>
      <c r="K47" s="204">
        <v>16695</v>
      </c>
      <c r="L47" s="204">
        <v>16508</v>
      </c>
      <c r="M47" s="204">
        <v>15746</v>
      </c>
      <c r="N47" s="204">
        <v>16839</v>
      </c>
      <c r="O47" s="204">
        <v>18500</v>
      </c>
      <c r="P47" s="204">
        <v>19637</v>
      </c>
      <c r="Q47" s="204">
        <v>20417</v>
      </c>
      <c r="R47" s="204">
        <v>20669</v>
      </c>
      <c r="S47" s="204">
        <v>19999</v>
      </c>
      <c r="T47" s="204">
        <v>19591</v>
      </c>
      <c r="U47" s="204">
        <v>19810</v>
      </c>
      <c r="V47" s="204">
        <v>19783</v>
      </c>
      <c r="W47" s="204">
        <v>19706</v>
      </c>
      <c r="X47" s="204">
        <v>20077</v>
      </c>
      <c r="Y47" s="204">
        <v>22240</v>
      </c>
      <c r="Z47" s="204">
        <v>21989</v>
      </c>
      <c r="AA47" s="204">
        <v>21481</v>
      </c>
      <c r="AB47" s="204">
        <v>20696</v>
      </c>
      <c r="AC47" s="204">
        <v>19849</v>
      </c>
      <c r="AD47" s="204">
        <v>18876</v>
      </c>
    </row>
    <row r="48" spans="2:30" x14ac:dyDescent="0.25">
      <c r="B48" s="198">
        <v>2030</v>
      </c>
      <c r="C48" s="199">
        <v>12</v>
      </c>
      <c r="D48" s="200"/>
      <c r="E48" s="201" t="s">
        <v>21</v>
      </c>
      <c r="F48" s="202">
        <v>4</v>
      </c>
      <c r="G48" s="203">
        <v>15599</v>
      </c>
      <c r="H48" s="204">
        <v>15064</v>
      </c>
      <c r="I48" s="204">
        <v>14653</v>
      </c>
      <c r="J48" s="204">
        <v>14151</v>
      </c>
      <c r="K48" s="204">
        <v>13854</v>
      </c>
      <c r="L48" s="204">
        <v>13527</v>
      </c>
      <c r="M48" s="204">
        <v>12744</v>
      </c>
      <c r="N48" s="204">
        <v>13600</v>
      </c>
      <c r="O48" s="204">
        <v>14403</v>
      </c>
      <c r="P48" s="204">
        <v>15151</v>
      </c>
      <c r="Q48" s="204">
        <v>15826</v>
      </c>
      <c r="R48" s="204">
        <v>16258</v>
      </c>
      <c r="S48" s="204">
        <v>16535</v>
      </c>
      <c r="T48" s="204">
        <v>16493</v>
      </c>
      <c r="U48" s="204">
        <v>16437</v>
      </c>
      <c r="V48" s="204">
        <v>16416</v>
      </c>
      <c r="W48" s="204">
        <v>16371</v>
      </c>
      <c r="X48" s="204">
        <v>16766</v>
      </c>
      <c r="Y48" s="204">
        <v>18787</v>
      </c>
      <c r="Z48" s="204">
        <v>18855</v>
      </c>
      <c r="AA48" s="204">
        <v>18338</v>
      </c>
      <c r="AB48" s="204">
        <v>17665</v>
      </c>
      <c r="AC48" s="204">
        <v>17049</v>
      </c>
      <c r="AD48" s="204">
        <v>16070</v>
      </c>
    </row>
    <row r="49" spans="2:30" ht="15.75" thickBot="1" x14ac:dyDescent="0.3">
      <c r="B49" s="198">
        <v>2030</v>
      </c>
      <c r="C49" s="205">
        <v>12</v>
      </c>
      <c r="D49" s="206"/>
      <c r="E49" s="201" t="s">
        <v>22</v>
      </c>
      <c r="F49" s="202">
        <v>2</v>
      </c>
      <c r="G49" s="207">
        <v>15580</v>
      </c>
      <c r="H49" s="208">
        <v>15283</v>
      </c>
      <c r="I49" s="208">
        <v>14955</v>
      </c>
      <c r="J49" s="208">
        <v>14607</v>
      </c>
      <c r="K49" s="208">
        <v>14370</v>
      </c>
      <c r="L49" s="208">
        <v>13841</v>
      </c>
      <c r="M49" s="208">
        <v>12738</v>
      </c>
      <c r="N49" s="208">
        <v>13065</v>
      </c>
      <c r="O49" s="208">
        <v>13861</v>
      </c>
      <c r="P49" s="208">
        <v>14562</v>
      </c>
      <c r="Q49" s="208">
        <v>15194</v>
      </c>
      <c r="R49" s="208">
        <v>15626</v>
      </c>
      <c r="S49" s="208">
        <v>15499</v>
      </c>
      <c r="T49" s="208">
        <v>15592</v>
      </c>
      <c r="U49" s="208">
        <v>15659</v>
      </c>
      <c r="V49" s="208">
        <v>15746</v>
      </c>
      <c r="W49" s="208">
        <v>15718</v>
      </c>
      <c r="X49" s="208">
        <v>15978</v>
      </c>
      <c r="Y49" s="208">
        <v>18076</v>
      </c>
      <c r="Z49" s="208">
        <v>18299</v>
      </c>
      <c r="AA49" s="208">
        <v>18307</v>
      </c>
      <c r="AB49" s="208">
        <v>17862</v>
      </c>
      <c r="AC49" s="208">
        <v>17117</v>
      </c>
      <c r="AD49" s="208">
        <v>16328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985-37C8-421E-8078-931B7DECAA06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2031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2031</v>
      </c>
      <c r="C4" s="213">
        <v>1</v>
      </c>
      <c r="D4" s="210">
        <v>16149399</v>
      </c>
      <c r="E4" s="201" t="s">
        <v>19</v>
      </c>
      <c r="F4" s="202">
        <v>21</v>
      </c>
      <c r="G4" s="214">
        <v>20197</v>
      </c>
      <c r="H4" s="215">
        <v>19376</v>
      </c>
      <c r="I4" s="215">
        <v>18751</v>
      </c>
      <c r="J4" s="215">
        <v>18311</v>
      </c>
      <c r="K4" s="215">
        <v>18093</v>
      </c>
      <c r="L4" s="215">
        <v>17945</v>
      </c>
      <c r="M4" s="215">
        <v>16878</v>
      </c>
      <c r="N4" s="215">
        <v>18384</v>
      </c>
      <c r="O4" s="215">
        <v>20450</v>
      </c>
      <c r="P4" s="215">
        <v>21769</v>
      </c>
      <c r="Q4" s="215">
        <v>22833</v>
      </c>
      <c r="R4" s="215">
        <v>23542</v>
      </c>
      <c r="S4" s="215">
        <v>22583</v>
      </c>
      <c r="T4" s="215">
        <v>23534</v>
      </c>
      <c r="U4" s="215">
        <v>25187</v>
      </c>
      <c r="V4" s="215">
        <v>25335</v>
      </c>
      <c r="W4" s="215">
        <v>24741</v>
      </c>
      <c r="X4" s="215">
        <v>23738</v>
      </c>
      <c r="Y4" s="215">
        <v>25501</v>
      </c>
      <c r="Z4" s="215">
        <v>25844</v>
      </c>
      <c r="AA4" s="215">
        <v>25301</v>
      </c>
      <c r="AB4" s="215">
        <v>24424</v>
      </c>
      <c r="AC4" s="215">
        <v>22993</v>
      </c>
      <c r="AD4" s="215">
        <v>21491</v>
      </c>
    </row>
    <row r="5" spans="2:30" x14ac:dyDescent="0.25">
      <c r="B5" s="198">
        <v>2031</v>
      </c>
      <c r="C5" s="199">
        <v>1</v>
      </c>
      <c r="D5" s="200"/>
      <c r="E5" s="201" t="s">
        <v>20</v>
      </c>
      <c r="F5" s="202">
        <v>4</v>
      </c>
      <c r="G5" s="203">
        <v>20647</v>
      </c>
      <c r="H5" s="204">
        <v>19846</v>
      </c>
      <c r="I5" s="204">
        <v>19212</v>
      </c>
      <c r="J5" s="204">
        <v>18711</v>
      </c>
      <c r="K5" s="204">
        <v>18449</v>
      </c>
      <c r="L5" s="204">
        <v>18210</v>
      </c>
      <c r="M5" s="204">
        <v>17099</v>
      </c>
      <c r="N5" s="204">
        <v>18465</v>
      </c>
      <c r="O5" s="204">
        <v>20417</v>
      </c>
      <c r="P5" s="204">
        <v>21757</v>
      </c>
      <c r="Q5" s="204">
        <v>22638</v>
      </c>
      <c r="R5" s="204">
        <v>23313</v>
      </c>
      <c r="S5" s="204">
        <v>22836</v>
      </c>
      <c r="T5" s="204">
        <v>22692</v>
      </c>
      <c r="U5" s="204">
        <v>22599</v>
      </c>
      <c r="V5" s="204">
        <v>22861</v>
      </c>
      <c r="W5" s="204">
        <v>22457</v>
      </c>
      <c r="X5" s="204">
        <v>22300</v>
      </c>
      <c r="Y5" s="204">
        <v>24845</v>
      </c>
      <c r="Z5" s="204">
        <v>25235</v>
      </c>
      <c r="AA5" s="204">
        <v>24650</v>
      </c>
      <c r="AB5" s="204">
        <v>23828</v>
      </c>
      <c r="AC5" s="204">
        <v>22556</v>
      </c>
      <c r="AD5" s="204">
        <v>21404</v>
      </c>
    </row>
    <row r="6" spans="2:30" x14ac:dyDescent="0.25">
      <c r="B6" s="198">
        <v>2031</v>
      </c>
      <c r="C6" s="199">
        <v>1</v>
      </c>
      <c r="D6" s="200"/>
      <c r="E6" s="201" t="s">
        <v>21</v>
      </c>
      <c r="F6" s="202">
        <v>4</v>
      </c>
      <c r="G6" s="203">
        <v>21570</v>
      </c>
      <c r="H6" s="204">
        <v>20675</v>
      </c>
      <c r="I6" s="204">
        <v>20000</v>
      </c>
      <c r="J6" s="204">
        <v>19513</v>
      </c>
      <c r="K6" s="204">
        <v>19238</v>
      </c>
      <c r="L6" s="204">
        <v>18928</v>
      </c>
      <c r="M6" s="204">
        <v>17424</v>
      </c>
      <c r="N6" s="204">
        <v>18183</v>
      </c>
      <c r="O6" s="204">
        <v>19313</v>
      </c>
      <c r="P6" s="204">
        <v>20170</v>
      </c>
      <c r="Q6" s="204">
        <v>20982</v>
      </c>
      <c r="R6" s="204">
        <v>21585</v>
      </c>
      <c r="S6" s="204">
        <v>21731</v>
      </c>
      <c r="T6" s="204">
        <v>21696</v>
      </c>
      <c r="U6" s="204">
        <v>21582</v>
      </c>
      <c r="V6" s="204">
        <v>21665</v>
      </c>
      <c r="W6" s="204">
        <v>21796</v>
      </c>
      <c r="X6" s="204">
        <v>21929</v>
      </c>
      <c r="Y6" s="204">
        <v>24961</v>
      </c>
      <c r="Z6" s="204">
        <v>25878</v>
      </c>
      <c r="AA6" s="204">
        <v>25741</v>
      </c>
      <c r="AB6" s="204">
        <v>24841</v>
      </c>
      <c r="AC6" s="204">
        <v>23570</v>
      </c>
      <c r="AD6" s="204">
        <v>22136</v>
      </c>
    </row>
    <row r="7" spans="2:30" ht="15.75" thickBot="1" x14ac:dyDescent="0.3">
      <c r="B7" s="198">
        <v>2031</v>
      </c>
      <c r="C7" s="205">
        <v>1</v>
      </c>
      <c r="D7" s="206"/>
      <c r="E7" s="201" t="s">
        <v>22</v>
      </c>
      <c r="F7" s="202">
        <v>2</v>
      </c>
      <c r="G7" s="207">
        <v>19234</v>
      </c>
      <c r="H7" s="208">
        <v>18741</v>
      </c>
      <c r="I7" s="208">
        <v>18306</v>
      </c>
      <c r="J7" s="208">
        <v>17964</v>
      </c>
      <c r="K7" s="208">
        <v>17716</v>
      </c>
      <c r="L7" s="208">
        <v>17302</v>
      </c>
      <c r="M7" s="208">
        <v>15999</v>
      </c>
      <c r="N7" s="208">
        <v>16707</v>
      </c>
      <c r="O7" s="208">
        <v>17874</v>
      </c>
      <c r="P7" s="208">
        <v>18924</v>
      </c>
      <c r="Q7" s="208">
        <v>19601</v>
      </c>
      <c r="R7" s="208">
        <v>20158</v>
      </c>
      <c r="S7" s="208">
        <v>20178</v>
      </c>
      <c r="T7" s="208">
        <v>19954</v>
      </c>
      <c r="U7" s="208">
        <v>19909</v>
      </c>
      <c r="V7" s="208">
        <v>19901</v>
      </c>
      <c r="W7" s="208">
        <v>19866</v>
      </c>
      <c r="X7" s="208">
        <v>20138</v>
      </c>
      <c r="Y7" s="208">
        <v>23152</v>
      </c>
      <c r="Z7" s="208">
        <v>23809</v>
      </c>
      <c r="AA7" s="208">
        <v>23667</v>
      </c>
      <c r="AB7" s="208">
        <v>22951</v>
      </c>
      <c r="AC7" s="208">
        <v>21923</v>
      </c>
      <c r="AD7" s="208">
        <v>20847</v>
      </c>
    </row>
    <row r="8" spans="2:30" x14ac:dyDescent="0.25">
      <c r="B8" s="198">
        <v>2031</v>
      </c>
      <c r="C8" s="209">
        <v>2</v>
      </c>
      <c r="D8" s="210">
        <v>16936356</v>
      </c>
      <c r="E8" s="201" t="s">
        <v>19</v>
      </c>
      <c r="F8" s="202">
        <v>20</v>
      </c>
      <c r="G8" s="203">
        <v>23704</v>
      </c>
      <c r="H8" s="204">
        <v>22820</v>
      </c>
      <c r="I8" s="204">
        <v>22104</v>
      </c>
      <c r="J8" s="204">
        <v>21560</v>
      </c>
      <c r="K8" s="204">
        <v>21290</v>
      </c>
      <c r="L8" s="204">
        <v>21747</v>
      </c>
      <c r="M8" s="204">
        <v>20602</v>
      </c>
      <c r="N8" s="204">
        <v>22053</v>
      </c>
      <c r="O8" s="204">
        <v>24218</v>
      </c>
      <c r="P8" s="204">
        <v>25572</v>
      </c>
      <c r="Q8" s="204">
        <v>26639</v>
      </c>
      <c r="R8" s="204">
        <v>27356</v>
      </c>
      <c r="S8" s="204">
        <v>25855</v>
      </c>
      <c r="T8" s="204">
        <v>27108</v>
      </c>
      <c r="U8" s="204">
        <v>29346</v>
      </c>
      <c r="V8" s="204">
        <v>29678</v>
      </c>
      <c r="W8" s="204">
        <v>29034</v>
      </c>
      <c r="X8" s="204">
        <v>27805</v>
      </c>
      <c r="Y8" s="204">
        <v>29591</v>
      </c>
      <c r="Z8" s="204">
        <v>30213</v>
      </c>
      <c r="AA8" s="204">
        <v>29849</v>
      </c>
      <c r="AB8" s="204">
        <v>28779</v>
      </c>
      <c r="AC8" s="204">
        <v>26934</v>
      </c>
      <c r="AD8" s="204">
        <v>25178</v>
      </c>
    </row>
    <row r="9" spans="2:30" x14ac:dyDescent="0.25">
      <c r="B9" s="198">
        <v>2031</v>
      </c>
      <c r="C9" s="199">
        <v>2</v>
      </c>
      <c r="D9" s="200"/>
      <c r="E9" s="201" t="s">
        <v>20</v>
      </c>
      <c r="F9" s="202">
        <v>4</v>
      </c>
      <c r="G9" s="203">
        <v>23242</v>
      </c>
      <c r="H9" s="204">
        <v>22394</v>
      </c>
      <c r="I9" s="204">
        <v>21754</v>
      </c>
      <c r="J9" s="204">
        <v>21230</v>
      </c>
      <c r="K9" s="204">
        <v>20936</v>
      </c>
      <c r="L9" s="204">
        <v>20725</v>
      </c>
      <c r="M9" s="204">
        <v>19497</v>
      </c>
      <c r="N9" s="204">
        <v>20769</v>
      </c>
      <c r="O9" s="204">
        <v>22871</v>
      </c>
      <c r="P9" s="204">
        <v>24429</v>
      </c>
      <c r="Q9" s="204">
        <v>25518</v>
      </c>
      <c r="R9" s="204">
        <v>26108</v>
      </c>
      <c r="S9" s="204">
        <v>25641</v>
      </c>
      <c r="T9" s="204">
        <v>25390</v>
      </c>
      <c r="U9" s="204">
        <v>25797</v>
      </c>
      <c r="V9" s="204">
        <v>25765</v>
      </c>
      <c r="W9" s="204">
        <v>25413</v>
      </c>
      <c r="X9" s="204">
        <v>24959</v>
      </c>
      <c r="Y9" s="204">
        <v>27567</v>
      </c>
      <c r="Z9" s="204">
        <v>28148</v>
      </c>
      <c r="AA9" s="204">
        <v>27667</v>
      </c>
      <c r="AB9" s="204">
        <v>26550</v>
      </c>
      <c r="AC9" s="204">
        <v>25264</v>
      </c>
      <c r="AD9" s="204">
        <v>23973</v>
      </c>
    </row>
    <row r="10" spans="2:30" ht="15.75" thickBot="1" x14ac:dyDescent="0.3">
      <c r="B10" s="198">
        <v>2031</v>
      </c>
      <c r="C10" s="205">
        <v>2</v>
      </c>
      <c r="D10" s="200"/>
      <c r="E10" s="201" t="s">
        <v>21</v>
      </c>
      <c r="F10" s="202">
        <v>4</v>
      </c>
      <c r="G10" s="207">
        <v>22948</v>
      </c>
      <c r="H10" s="208">
        <v>22179</v>
      </c>
      <c r="I10" s="208">
        <v>21521</v>
      </c>
      <c r="J10" s="208">
        <v>21044</v>
      </c>
      <c r="K10" s="208">
        <v>20740</v>
      </c>
      <c r="L10" s="208">
        <v>20415</v>
      </c>
      <c r="M10" s="208">
        <v>18684</v>
      </c>
      <c r="N10" s="208">
        <v>19522</v>
      </c>
      <c r="O10" s="208">
        <v>20550</v>
      </c>
      <c r="P10" s="208">
        <v>21555</v>
      </c>
      <c r="Q10" s="208">
        <v>22456</v>
      </c>
      <c r="R10" s="208">
        <v>23301</v>
      </c>
      <c r="S10" s="208">
        <v>23467</v>
      </c>
      <c r="T10" s="208">
        <v>23544</v>
      </c>
      <c r="U10" s="208">
        <v>23798</v>
      </c>
      <c r="V10" s="208">
        <v>24041</v>
      </c>
      <c r="W10" s="208">
        <v>23892</v>
      </c>
      <c r="X10" s="208">
        <v>23896</v>
      </c>
      <c r="Y10" s="208">
        <v>26785</v>
      </c>
      <c r="Z10" s="208">
        <v>28004</v>
      </c>
      <c r="AA10" s="208">
        <v>28155</v>
      </c>
      <c r="AB10" s="208">
        <v>27186</v>
      </c>
      <c r="AC10" s="208">
        <v>25631</v>
      </c>
      <c r="AD10" s="208">
        <v>23993</v>
      </c>
    </row>
    <row r="11" spans="2:30" x14ac:dyDescent="0.25">
      <c r="B11" s="198">
        <v>2031</v>
      </c>
      <c r="C11" s="209">
        <v>3</v>
      </c>
      <c r="D11" s="210">
        <v>17962344</v>
      </c>
      <c r="E11" s="201" t="s">
        <v>19</v>
      </c>
      <c r="F11" s="202">
        <v>20</v>
      </c>
      <c r="G11" s="203">
        <v>23217</v>
      </c>
      <c r="H11" s="204">
        <v>22314</v>
      </c>
      <c r="I11" s="204">
        <v>21691</v>
      </c>
      <c r="J11" s="204">
        <v>21157</v>
      </c>
      <c r="K11" s="204">
        <v>20910</v>
      </c>
      <c r="L11" s="204">
        <v>21109</v>
      </c>
      <c r="M11" s="204">
        <v>20089</v>
      </c>
      <c r="N11" s="204">
        <v>21625</v>
      </c>
      <c r="O11" s="204">
        <v>23710</v>
      </c>
      <c r="P11" s="204">
        <v>25061</v>
      </c>
      <c r="Q11" s="204">
        <v>26189</v>
      </c>
      <c r="R11" s="204">
        <v>26963</v>
      </c>
      <c r="S11" s="204">
        <v>25446</v>
      </c>
      <c r="T11" s="204">
        <v>26541</v>
      </c>
      <c r="U11" s="204">
        <v>28454</v>
      </c>
      <c r="V11" s="204">
        <v>28757</v>
      </c>
      <c r="W11" s="204">
        <v>28067</v>
      </c>
      <c r="X11" s="204">
        <v>26936</v>
      </c>
      <c r="Y11" s="204">
        <v>28934</v>
      </c>
      <c r="Z11" s="204">
        <v>29475</v>
      </c>
      <c r="AA11" s="204">
        <v>29040</v>
      </c>
      <c r="AB11" s="204">
        <v>27921</v>
      </c>
      <c r="AC11" s="204">
        <v>26139</v>
      </c>
      <c r="AD11" s="204">
        <v>24579</v>
      </c>
    </row>
    <row r="12" spans="2:30" x14ac:dyDescent="0.25">
      <c r="B12" s="198">
        <v>2031</v>
      </c>
      <c r="C12" s="199">
        <v>3</v>
      </c>
      <c r="D12" s="200"/>
      <c r="E12" s="201" t="s">
        <v>20</v>
      </c>
      <c r="F12" s="202">
        <v>5</v>
      </c>
      <c r="G12" s="203">
        <v>20695</v>
      </c>
      <c r="H12" s="204">
        <v>19966</v>
      </c>
      <c r="I12" s="204">
        <v>19390</v>
      </c>
      <c r="J12" s="204">
        <v>18906</v>
      </c>
      <c r="K12" s="204">
        <v>18569</v>
      </c>
      <c r="L12" s="204">
        <v>18328</v>
      </c>
      <c r="M12" s="204">
        <v>17339</v>
      </c>
      <c r="N12" s="204">
        <v>18449</v>
      </c>
      <c r="O12" s="204">
        <v>20356</v>
      </c>
      <c r="P12" s="204">
        <v>21690</v>
      </c>
      <c r="Q12" s="204">
        <v>22758</v>
      </c>
      <c r="R12" s="204">
        <v>23306</v>
      </c>
      <c r="S12" s="204">
        <v>22646</v>
      </c>
      <c r="T12" s="204">
        <v>22346</v>
      </c>
      <c r="U12" s="204">
        <v>22493</v>
      </c>
      <c r="V12" s="204">
        <v>22636</v>
      </c>
      <c r="W12" s="204">
        <v>22185</v>
      </c>
      <c r="X12" s="204">
        <v>22020</v>
      </c>
      <c r="Y12" s="204">
        <v>24564</v>
      </c>
      <c r="Z12" s="204">
        <v>24946</v>
      </c>
      <c r="AA12" s="204">
        <v>24441</v>
      </c>
      <c r="AB12" s="204">
        <v>23666</v>
      </c>
      <c r="AC12" s="204">
        <v>22545</v>
      </c>
      <c r="AD12" s="204">
        <v>21534</v>
      </c>
    </row>
    <row r="13" spans="2:30" x14ac:dyDescent="0.25">
      <c r="B13" s="198">
        <v>2031</v>
      </c>
      <c r="C13" s="199">
        <v>3</v>
      </c>
      <c r="D13" s="200"/>
      <c r="E13" s="201" t="s">
        <v>21</v>
      </c>
      <c r="F13" s="202">
        <v>5</v>
      </c>
      <c r="G13" s="203">
        <v>20451</v>
      </c>
      <c r="H13" s="204">
        <v>19792</v>
      </c>
      <c r="I13" s="204">
        <v>19212</v>
      </c>
      <c r="J13" s="204">
        <v>18779</v>
      </c>
      <c r="K13" s="204">
        <v>18458</v>
      </c>
      <c r="L13" s="204">
        <v>18020</v>
      </c>
      <c r="M13" s="204">
        <v>16865</v>
      </c>
      <c r="N13" s="204">
        <v>17595</v>
      </c>
      <c r="O13" s="204">
        <v>18019</v>
      </c>
      <c r="P13" s="204">
        <v>18223</v>
      </c>
      <c r="Q13" s="204">
        <v>19655</v>
      </c>
      <c r="R13" s="204">
        <v>20455</v>
      </c>
      <c r="S13" s="204">
        <v>20768</v>
      </c>
      <c r="T13" s="204">
        <v>20735</v>
      </c>
      <c r="U13" s="204">
        <v>21104</v>
      </c>
      <c r="V13" s="204">
        <v>20815</v>
      </c>
      <c r="W13" s="204">
        <v>20460</v>
      </c>
      <c r="X13" s="204">
        <v>21050</v>
      </c>
      <c r="Y13" s="204">
        <v>23731</v>
      </c>
      <c r="Z13" s="204">
        <v>24591</v>
      </c>
      <c r="AA13" s="204">
        <v>24594</v>
      </c>
      <c r="AB13" s="204">
        <v>23862</v>
      </c>
      <c r="AC13" s="204">
        <v>22705</v>
      </c>
      <c r="AD13" s="204">
        <v>21209</v>
      </c>
    </row>
    <row r="14" spans="2:30" ht="15.75" thickBot="1" x14ac:dyDescent="0.3">
      <c r="B14" s="198">
        <v>2031</v>
      </c>
      <c r="C14" s="205">
        <v>3</v>
      </c>
      <c r="D14" s="206"/>
      <c r="E14" s="201" t="s">
        <v>22</v>
      </c>
      <c r="F14" s="202">
        <v>1</v>
      </c>
      <c r="G14" s="207">
        <v>34108</v>
      </c>
      <c r="H14" s="208">
        <v>32669</v>
      </c>
      <c r="I14" s="208">
        <v>31676</v>
      </c>
      <c r="J14" s="208">
        <v>30951</v>
      </c>
      <c r="K14" s="208">
        <v>30573</v>
      </c>
      <c r="L14" s="208">
        <v>29716</v>
      </c>
      <c r="M14" s="208">
        <v>28258</v>
      </c>
      <c r="N14" s="208">
        <v>29641</v>
      </c>
      <c r="O14" s="208">
        <v>31373</v>
      </c>
      <c r="P14" s="208">
        <v>32901</v>
      </c>
      <c r="Q14" s="208">
        <v>34436</v>
      </c>
      <c r="R14" s="208">
        <v>36098</v>
      </c>
      <c r="S14" s="208">
        <v>36562</v>
      </c>
      <c r="T14" s="208">
        <v>36708</v>
      </c>
      <c r="U14" s="208">
        <v>36682</v>
      </c>
      <c r="V14" s="208">
        <v>36644</v>
      </c>
      <c r="W14" s="208">
        <v>36233</v>
      </c>
      <c r="X14" s="208">
        <v>36184</v>
      </c>
      <c r="Y14" s="208">
        <v>40708</v>
      </c>
      <c r="Z14" s="208">
        <v>42195</v>
      </c>
      <c r="AA14" s="208">
        <v>42068</v>
      </c>
      <c r="AB14" s="208">
        <v>40726</v>
      </c>
      <c r="AC14" s="208">
        <v>38392</v>
      </c>
      <c r="AD14" s="208">
        <v>35752</v>
      </c>
    </row>
    <row r="15" spans="2:30" x14ac:dyDescent="0.25">
      <c r="B15" s="198">
        <v>2031</v>
      </c>
      <c r="C15" s="209">
        <v>4</v>
      </c>
      <c r="D15" s="210">
        <v>16018850</v>
      </c>
      <c r="E15" s="201" t="s">
        <v>19</v>
      </c>
      <c r="F15" s="202">
        <v>20</v>
      </c>
      <c r="G15" s="203">
        <v>19941</v>
      </c>
      <c r="H15" s="204">
        <v>19294</v>
      </c>
      <c r="I15" s="204">
        <v>18799</v>
      </c>
      <c r="J15" s="204">
        <v>18366</v>
      </c>
      <c r="K15" s="204">
        <v>18246</v>
      </c>
      <c r="L15" s="204">
        <v>18169</v>
      </c>
      <c r="M15" s="204">
        <v>17677</v>
      </c>
      <c r="N15" s="204">
        <v>19210</v>
      </c>
      <c r="O15" s="204">
        <v>21239</v>
      </c>
      <c r="P15" s="204">
        <v>22904</v>
      </c>
      <c r="Q15" s="204">
        <v>23948</v>
      </c>
      <c r="R15" s="204">
        <v>24030</v>
      </c>
      <c r="S15" s="204">
        <v>23021</v>
      </c>
      <c r="T15" s="204">
        <v>24184</v>
      </c>
      <c r="U15" s="204">
        <v>25854</v>
      </c>
      <c r="V15" s="204">
        <v>25795</v>
      </c>
      <c r="W15" s="204">
        <v>24664</v>
      </c>
      <c r="X15" s="204">
        <v>24161</v>
      </c>
      <c r="Y15" s="204">
        <v>25970</v>
      </c>
      <c r="Z15" s="204">
        <v>26274</v>
      </c>
      <c r="AA15" s="204">
        <v>25523</v>
      </c>
      <c r="AB15" s="204">
        <v>24397</v>
      </c>
      <c r="AC15" s="204">
        <v>22811</v>
      </c>
      <c r="AD15" s="204">
        <v>21110</v>
      </c>
    </row>
    <row r="16" spans="2:30" x14ac:dyDescent="0.25">
      <c r="B16" s="198">
        <v>2031</v>
      </c>
      <c r="C16" s="199">
        <v>4</v>
      </c>
      <c r="D16" s="200"/>
      <c r="E16" s="201" t="s">
        <v>20</v>
      </c>
      <c r="F16" s="202">
        <v>4</v>
      </c>
      <c r="G16" s="203">
        <v>24095</v>
      </c>
      <c r="H16" s="204">
        <v>23162</v>
      </c>
      <c r="I16" s="204">
        <v>22441</v>
      </c>
      <c r="J16" s="204">
        <v>21911</v>
      </c>
      <c r="K16" s="204">
        <v>21615</v>
      </c>
      <c r="L16" s="204">
        <v>21085</v>
      </c>
      <c r="M16" s="204">
        <v>20313</v>
      </c>
      <c r="N16" s="204">
        <v>21871</v>
      </c>
      <c r="O16" s="204">
        <v>23828</v>
      </c>
      <c r="P16" s="204">
        <v>25133</v>
      </c>
      <c r="Q16" s="204">
        <v>26254</v>
      </c>
      <c r="R16" s="204">
        <v>27197</v>
      </c>
      <c r="S16" s="204">
        <v>26853</v>
      </c>
      <c r="T16" s="204">
        <v>26720</v>
      </c>
      <c r="U16" s="204">
        <v>27233</v>
      </c>
      <c r="V16" s="204">
        <v>27294</v>
      </c>
      <c r="W16" s="204">
        <v>26888</v>
      </c>
      <c r="X16" s="204">
        <v>26703</v>
      </c>
      <c r="Y16" s="204">
        <v>29853</v>
      </c>
      <c r="Z16" s="204">
        <v>30262</v>
      </c>
      <c r="AA16" s="204">
        <v>29441</v>
      </c>
      <c r="AB16" s="204">
        <v>28422</v>
      </c>
      <c r="AC16" s="204">
        <v>26745</v>
      </c>
      <c r="AD16" s="204">
        <v>25392</v>
      </c>
    </row>
    <row r="17" spans="2:30" x14ac:dyDescent="0.25">
      <c r="B17" s="198">
        <v>2031</v>
      </c>
      <c r="C17" s="199">
        <v>4</v>
      </c>
      <c r="D17" s="200"/>
      <c r="E17" s="201" t="s">
        <v>21</v>
      </c>
      <c r="F17" s="202">
        <v>4</v>
      </c>
      <c r="G17" s="203">
        <v>22637</v>
      </c>
      <c r="H17" s="204">
        <v>21842</v>
      </c>
      <c r="I17" s="204">
        <v>21205</v>
      </c>
      <c r="J17" s="204">
        <v>20661</v>
      </c>
      <c r="K17" s="204">
        <v>20283</v>
      </c>
      <c r="L17" s="204">
        <v>19675</v>
      </c>
      <c r="M17" s="204">
        <v>18684</v>
      </c>
      <c r="N17" s="204">
        <v>19603</v>
      </c>
      <c r="O17" s="204">
        <v>20860</v>
      </c>
      <c r="P17" s="204">
        <v>21571</v>
      </c>
      <c r="Q17" s="204">
        <v>22145</v>
      </c>
      <c r="R17" s="204">
        <v>22985</v>
      </c>
      <c r="S17" s="204">
        <v>23344</v>
      </c>
      <c r="T17" s="204">
        <v>23469</v>
      </c>
      <c r="U17" s="204">
        <v>23817</v>
      </c>
      <c r="V17" s="204">
        <v>23946</v>
      </c>
      <c r="W17" s="204">
        <v>23708</v>
      </c>
      <c r="X17" s="204">
        <v>23695</v>
      </c>
      <c r="Y17" s="204">
        <v>26810</v>
      </c>
      <c r="Z17" s="204">
        <v>27571</v>
      </c>
      <c r="AA17" s="204">
        <v>27275</v>
      </c>
      <c r="AB17" s="204">
        <v>26026</v>
      </c>
      <c r="AC17" s="204">
        <v>24180</v>
      </c>
      <c r="AD17" s="204">
        <v>22585</v>
      </c>
    </row>
    <row r="18" spans="2:30" ht="15.75" thickBot="1" x14ac:dyDescent="0.3">
      <c r="B18" s="198">
        <v>2031</v>
      </c>
      <c r="C18" s="205">
        <v>4</v>
      </c>
      <c r="D18" s="206"/>
      <c r="E18" s="201" t="s">
        <v>22</v>
      </c>
      <c r="F18" s="202">
        <v>2</v>
      </c>
      <c r="G18" s="207">
        <v>14579</v>
      </c>
      <c r="H18" s="208">
        <v>13943</v>
      </c>
      <c r="I18" s="208">
        <v>13566</v>
      </c>
      <c r="J18" s="208">
        <v>13312</v>
      </c>
      <c r="K18" s="208">
        <v>13139</v>
      </c>
      <c r="L18" s="208">
        <v>12667</v>
      </c>
      <c r="M18" s="208">
        <v>11976</v>
      </c>
      <c r="N18" s="208">
        <v>12397</v>
      </c>
      <c r="O18" s="208">
        <v>12763</v>
      </c>
      <c r="P18" s="208">
        <v>12910</v>
      </c>
      <c r="Q18" s="208">
        <v>13107</v>
      </c>
      <c r="R18" s="208">
        <v>13547</v>
      </c>
      <c r="S18" s="208">
        <v>13750</v>
      </c>
      <c r="T18" s="208">
        <v>13735</v>
      </c>
      <c r="U18" s="208">
        <v>13796</v>
      </c>
      <c r="V18" s="208">
        <v>13882</v>
      </c>
      <c r="W18" s="208">
        <v>13786</v>
      </c>
      <c r="X18" s="208">
        <v>13869</v>
      </c>
      <c r="Y18" s="208">
        <v>15917</v>
      </c>
      <c r="Z18" s="208">
        <v>16416</v>
      </c>
      <c r="AA18" s="208">
        <v>16261</v>
      </c>
      <c r="AB18" s="208">
        <v>15856</v>
      </c>
      <c r="AC18" s="208">
        <v>15236</v>
      </c>
      <c r="AD18" s="208">
        <v>14569</v>
      </c>
    </row>
    <row r="19" spans="2:30" x14ac:dyDescent="0.25">
      <c r="B19" s="198">
        <v>2031</v>
      </c>
      <c r="C19" s="209">
        <v>5</v>
      </c>
      <c r="D19" s="210">
        <v>14367120</v>
      </c>
      <c r="E19" s="201" t="s">
        <v>19</v>
      </c>
      <c r="F19" s="202">
        <v>20</v>
      </c>
      <c r="G19" s="203">
        <v>18482</v>
      </c>
      <c r="H19" s="204">
        <v>17738</v>
      </c>
      <c r="I19" s="204">
        <v>17229</v>
      </c>
      <c r="J19" s="204">
        <v>16853</v>
      </c>
      <c r="K19" s="204">
        <v>16749</v>
      </c>
      <c r="L19" s="204">
        <v>16724</v>
      </c>
      <c r="M19" s="204">
        <v>16586</v>
      </c>
      <c r="N19" s="204">
        <v>18301</v>
      </c>
      <c r="O19" s="204">
        <v>20073</v>
      </c>
      <c r="P19" s="204">
        <v>21140</v>
      </c>
      <c r="Q19" s="204">
        <v>22013</v>
      </c>
      <c r="R19" s="204">
        <v>22580</v>
      </c>
      <c r="S19" s="204">
        <v>21456</v>
      </c>
      <c r="T19" s="204">
        <v>22206</v>
      </c>
      <c r="U19" s="204">
        <v>23800</v>
      </c>
      <c r="V19" s="204">
        <v>23849</v>
      </c>
      <c r="W19" s="204">
        <v>23238</v>
      </c>
      <c r="X19" s="204">
        <v>22367</v>
      </c>
      <c r="Y19" s="204">
        <v>24243</v>
      </c>
      <c r="Z19" s="204">
        <v>24554</v>
      </c>
      <c r="AA19" s="204">
        <v>23970</v>
      </c>
      <c r="AB19" s="204">
        <v>22793</v>
      </c>
      <c r="AC19" s="204">
        <v>21153</v>
      </c>
      <c r="AD19" s="204">
        <v>19677</v>
      </c>
    </row>
    <row r="20" spans="2:30" x14ac:dyDescent="0.25">
      <c r="B20" s="198">
        <v>2031</v>
      </c>
      <c r="C20" s="199">
        <v>5</v>
      </c>
      <c r="D20" s="200"/>
      <c r="E20" s="201" t="s">
        <v>20</v>
      </c>
      <c r="F20" s="202">
        <v>5</v>
      </c>
      <c r="G20" s="203">
        <v>14640</v>
      </c>
      <c r="H20" s="204">
        <v>14062</v>
      </c>
      <c r="I20" s="204">
        <v>13608</v>
      </c>
      <c r="J20" s="204">
        <v>13281</v>
      </c>
      <c r="K20" s="204">
        <v>13108</v>
      </c>
      <c r="L20" s="204">
        <v>12586</v>
      </c>
      <c r="M20" s="204">
        <v>12318</v>
      </c>
      <c r="N20" s="204">
        <v>13233</v>
      </c>
      <c r="O20" s="204">
        <v>14581</v>
      </c>
      <c r="P20" s="204">
        <v>15340</v>
      </c>
      <c r="Q20" s="204">
        <v>16043</v>
      </c>
      <c r="R20" s="204">
        <v>16497</v>
      </c>
      <c r="S20" s="204">
        <v>15948</v>
      </c>
      <c r="T20" s="204">
        <v>15676</v>
      </c>
      <c r="U20" s="204">
        <v>15763</v>
      </c>
      <c r="V20" s="204">
        <v>15788</v>
      </c>
      <c r="W20" s="204">
        <v>15530</v>
      </c>
      <c r="X20" s="204">
        <v>15559</v>
      </c>
      <c r="Y20" s="204">
        <v>17401</v>
      </c>
      <c r="Z20" s="204">
        <v>17453</v>
      </c>
      <c r="AA20" s="204">
        <v>16901</v>
      </c>
      <c r="AB20" s="204">
        <v>16207</v>
      </c>
      <c r="AC20" s="204">
        <v>15299</v>
      </c>
      <c r="AD20" s="204">
        <v>14324</v>
      </c>
    </row>
    <row r="21" spans="2:30" x14ac:dyDescent="0.25">
      <c r="B21" s="198">
        <v>2031</v>
      </c>
      <c r="C21" s="199">
        <v>5</v>
      </c>
      <c r="D21" s="200"/>
      <c r="E21" s="201" t="s">
        <v>21</v>
      </c>
      <c r="F21" s="202">
        <v>4</v>
      </c>
      <c r="G21" s="203">
        <v>17429</v>
      </c>
      <c r="H21" s="204">
        <v>16774</v>
      </c>
      <c r="I21" s="204">
        <v>16321</v>
      </c>
      <c r="J21" s="204">
        <v>15751</v>
      </c>
      <c r="K21" s="204">
        <v>15568</v>
      </c>
      <c r="L21" s="204">
        <v>14828</v>
      </c>
      <c r="M21" s="204">
        <v>14015</v>
      </c>
      <c r="N21" s="204">
        <v>14801</v>
      </c>
      <c r="O21" s="204">
        <v>16069</v>
      </c>
      <c r="P21" s="204">
        <v>16888</v>
      </c>
      <c r="Q21" s="204">
        <v>17477</v>
      </c>
      <c r="R21" s="204">
        <v>18154</v>
      </c>
      <c r="S21" s="204">
        <v>18262</v>
      </c>
      <c r="T21" s="204">
        <v>18221</v>
      </c>
      <c r="U21" s="204">
        <v>18276</v>
      </c>
      <c r="V21" s="204">
        <v>18343</v>
      </c>
      <c r="W21" s="204">
        <v>18317</v>
      </c>
      <c r="X21" s="204">
        <v>18430</v>
      </c>
      <c r="Y21" s="204">
        <v>20855</v>
      </c>
      <c r="Z21" s="204">
        <v>21472</v>
      </c>
      <c r="AA21" s="204">
        <v>21537</v>
      </c>
      <c r="AB21" s="204">
        <v>20934</v>
      </c>
      <c r="AC21" s="204">
        <v>19749</v>
      </c>
      <c r="AD21" s="204">
        <v>18588</v>
      </c>
    </row>
    <row r="22" spans="2:30" ht="15.75" thickBot="1" x14ac:dyDescent="0.3">
      <c r="B22" s="198">
        <v>2031</v>
      </c>
      <c r="C22" s="205">
        <v>5</v>
      </c>
      <c r="D22" s="206"/>
      <c r="E22" s="201" t="s">
        <v>22</v>
      </c>
      <c r="F22" s="202">
        <v>2</v>
      </c>
      <c r="G22" s="207">
        <v>17748</v>
      </c>
      <c r="H22" s="208">
        <v>16974</v>
      </c>
      <c r="I22" s="208">
        <v>16486</v>
      </c>
      <c r="J22" s="208">
        <v>16014</v>
      </c>
      <c r="K22" s="208">
        <v>15628</v>
      </c>
      <c r="L22" s="208">
        <v>14672</v>
      </c>
      <c r="M22" s="208">
        <v>14522</v>
      </c>
      <c r="N22" s="208">
        <v>15588</v>
      </c>
      <c r="O22" s="208">
        <v>16700</v>
      </c>
      <c r="P22" s="208">
        <v>17731</v>
      </c>
      <c r="Q22" s="208">
        <v>18512</v>
      </c>
      <c r="R22" s="208">
        <v>19558</v>
      </c>
      <c r="S22" s="208">
        <v>19688</v>
      </c>
      <c r="T22" s="208">
        <v>19747</v>
      </c>
      <c r="U22" s="208">
        <v>20065</v>
      </c>
      <c r="V22" s="208">
        <v>20159</v>
      </c>
      <c r="W22" s="208">
        <v>19805</v>
      </c>
      <c r="X22" s="208">
        <v>19671</v>
      </c>
      <c r="Y22" s="208">
        <v>22267</v>
      </c>
      <c r="Z22" s="208">
        <v>23062</v>
      </c>
      <c r="AA22" s="208">
        <v>22788</v>
      </c>
      <c r="AB22" s="208">
        <v>21728</v>
      </c>
      <c r="AC22" s="208">
        <v>20505</v>
      </c>
      <c r="AD22" s="208">
        <v>19219</v>
      </c>
    </row>
    <row r="23" spans="2:30" x14ac:dyDescent="0.25">
      <c r="B23" s="198">
        <v>2031</v>
      </c>
      <c r="C23" s="209">
        <v>6</v>
      </c>
      <c r="D23" s="210">
        <v>12050582</v>
      </c>
      <c r="E23" s="201" t="s">
        <v>19</v>
      </c>
      <c r="F23" s="202">
        <v>18</v>
      </c>
      <c r="G23" s="203">
        <v>16214</v>
      </c>
      <c r="H23" s="204">
        <v>15391</v>
      </c>
      <c r="I23" s="204">
        <v>14985</v>
      </c>
      <c r="J23" s="204">
        <v>14741</v>
      </c>
      <c r="K23" s="204">
        <v>14963</v>
      </c>
      <c r="L23" s="204">
        <v>14857</v>
      </c>
      <c r="M23" s="204">
        <v>14669</v>
      </c>
      <c r="N23" s="204">
        <v>15962</v>
      </c>
      <c r="O23" s="204">
        <v>17604</v>
      </c>
      <c r="P23" s="204">
        <v>18588</v>
      </c>
      <c r="Q23" s="204">
        <v>19537</v>
      </c>
      <c r="R23" s="204">
        <v>20193</v>
      </c>
      <c r="S23" s="204">
        <v>19172</v>
      </c>
      <c r="T23" s="204">
        <v>19746</v>
      </c>
      <c r="U23" s="204">
        <v>21154</v>
      </c>
      <c r="V23" s="204">
        <v>21186</v>
      </c>
      <c r="W23" s="204">
        <v>20685</v>
      </c>
      <c r="X23" s="204">
        <v>19827</v>
      </c>
      <c r="Y23" s="204">
        <v>21479</v>
      </c>
      <c r="Z23" s="204">
        <v>21881</v>
      </c>
      <c r="AA23" s="204">
        <v>21265</v>
      </c>
      <c r="AB23" s="204">
        <v>20208</v>
      </c>
      <c r="AC23" s="204">
        <v>18723</v>
      </c>
      <c r="AD23" s="204">
        <v>17357</v>
      </c>
    </row>
    <row r="24" spans="2:30" x14ac:dyDescent="0.25">
      <c r="B24" s="198">
        <v>2031</v>
      </c>
      <c r="C24" s="199">
        <v>6</v>
      </c>
      <c r="D24" s="200"/>
      <c r="E24" s="201" t="s">
        <v>20</v>
      </c>
      <c r="F24" s="202">
        <v>4</v>
      </c>
      <c r="G24" s="203">
        <v>16657</v>
      </c>
      <c r="H24" s="204">
        <v>16065</v>
      </c>
      <c r="I24" s="204">
        <v>15499</v>
      </c>
      <c r="J24" s="204">
        <v>15088</v>
      </c>
      <c r="K24" s="204">
        <v>14988</v>
      </c>
      <c r="L24" s="204">
        <v>14437</v>
      </c>
      <c r="M24" s="204">
        <v>14147</v>
      </c>
      <c r="N24" s="204">
        <v>15367</v>
      </c>
      <c r="O24" s="204">
        <v>16790</v>
      </c>
      <c r="P24" s="204">
        <v>18017</v>
      </c>
      <c r="Q24" s="204">
        <v>18953</v>
      </c>
      <c r="R24" s="204">
        <v>19456</v>
      </c>
      <c r="S24" s="204">
        <v>19150</v>
      </c>
      <c r="T24" s="204">
        <v>19160</v>
      </c>
      <c r="U24" s="204">
        <v>19403</v>
      </c>
      <c r="V24" s="204">
        <v>18979</v>
      </c>
      <c r="W24" s="204">
        <v>18590</v>
      </c>
      <c r="X24" s="204">
        <v>18586</v>
      </c>
      <c r="Y24" s="204">
        <v>20792</v>
      </c>
      <c r="Z24" s="204">
        <v>21359</v>
      </c>
      <c r="AA24" s="204">
        <v>20873</v>
      </c>
      <c r="AB24" s="204">
        <v>19867</v>
      </c>
      <c r="AC24" s="204">
        <v>18751</v>
      </c>
      <c r="AD24" s="204">
        <v>17726</v>
      </c>
    </row>
    <row r="25" spans="2:30" x14ac:dyDescent="0.25">
      <c r="B25" s="198">
        <v>2031</v>
      </c>
      <c r="C25" s="199">
        <v>6</v>
      </c>
      <c r="D25" s="200"/>
      <c r="E25" s="201" t="s">
        <v>21</v>
      </c>
      <c r="F25" s="202">
        <v>5</v>
      </c>
      <c r="G25" s="203">
        <v>13409</v>
      </c>
      <c r="H25" s="204">
        <v>12899</v>
      </c>
      <c r="I25" s="204">
        <v>12558</v>
      </c>
      <c r="J25" s="204">
        <v>12329</v>
      </c>
      <c r="K25" s="204">
        <v>12170</v>
      </c>
      <c r="L25" s="204">
        <v>11342</v>
      </c>
      <c r="M25" s="204">
        <v>10884</v>
      </c>
      <c r="N25" s="204">
        <v>11421</v>
      </c>
      <c r="O25" s="204">
        <v>12114</v>
      </c>
      <c r="P25" s="204">
        <v>12812</v>
      </c>
      <c r="Q25" s="204">
        <v>13381</v>
      </c>
      <c r="R25" s="204">
        <v>13816</v>
      </c>
      <c r="S25" s="204">
        <v>13989</v>
      </c>
      <c r="T25" s="204">
        <v>14107</v>
      </c>
      <c r="U25" s="204">
        <v>14434</v>
      </c>
      <c r="V25" s="204">
        <v>14408</v>
      </c>
      <c r="W25" s="204">
        <v>14392</v>
      </c>
      <c r="X25" s="204">
        <v>14364</v>
      </c>
      <c r="Y25" s="204">
        <v>16206</v>
      </c>
      <c r="Z25" s="204">
        <v>16867</v>
      </c>
      <c r="AA25" s="204">
        <v>16659</v>
      </c>
      <c r="AB25" s="204">
        <v>15989</v>
      </c>
      <c r="AC25" s="204">
        <v>15062</v>
      </c>
      <c r="AD25" s="204">
        <v>14176</v>
      </c>
    </row>
    <row r="26" spans="2:30" ht="15.75" thickBot="1" x14ac:dyDescent="0.3">
      <c r="B26" s="198">
        <v>2031</v>
      </c>
      <c r="C26" s="205">
        <v>6</v>
      </c>
      <c r="D26" s="206"/>
      <c r="E26" s="201" t="s">
        <v>22</v>
      </c>
      <c r="F26" s="202">
        <v>3</v>
      </c>
      <c r="G26" s="207">
        <v>10190</v>
      </c>
      <c r="H26" s="208">
        <v>9839</v>
      </c>
      <c r="I26" s="208">
        <v>9591</v>
      </c>
      <c r="J26" s="208">
        <v>9370</v>
      </c>
      <c r="K26" s="208">
        <v>9256</v>
      </c>
      <c r="L26" s="208">
        <v>8609</v>
      </c>
      <c r="M26" s="208">
        <v>8311</v>
      </c>
      <c r="N26" s="208">
        <v>8850</v>
      </c>
      <c r="O26" s="208">
        <v>9621</v>
      </c>
      <c r="P26" s="208">
        <v>10093</v>
      </c>
      <c r="Q26" s="208">
        <v>10372</v>
      </c>
      <c r="R26" s="208">
        <v>10923</v>
      </c>
      <c r="S26" s="208">
        <v>11044</v>
      </c>
      <c r="T26" s="208">
        <v>11144</v>
      </c>
      <c r="U26" s="208">
        <v>11720</v>
      </c>
      <c r="V26" s="208">
        <v>11625</v>
      </c>
      <c r="W26" s="208">
        <v>11067</v>
      </c>
      <c r="X26" s="208">
        <v>10935</v>
      </c>
      <c r="Y26" s="208">
        <v>12241</v>
      </c>
      <c r="Z26" s="208">
        <v>12658</v>
      </c>
      <c r="AA26" s="208">
        <v>12487</v>
      </c>
      <c r="AB26" s="208">
        <v>11921</v>
      </c>
      <c r="AC26" s="208">
        <v>11072</v>
      </c>
      <c r="AD26" s="208">
        <v>10353</v>
      </c>
    </row>
    <row r="27" spans="2:30" x14ac:dyDescent="0.25">
      <c r="B27" s="198">
        <v>2031</v>
      </c>
      <c r="C27" s="209">
        <v>7</v>
      </c>
      <c r="D27" s="210">
        <v>13284772</v>
      </c>
      <c r="E27" s="201" t="s">
        <v>19</v>
      </c>
      <c r="F27" s="202">
        <v>23</v>
      </c>
      <c r="G27" s="203">
        <v>14253</v>
      </c>
      <c r="H27" s="204">
        <v>13738</v>
      </c>
      <c r="I27" s="204">
        <v>13340</v>
      </c>
      <c r="J27" s="204">
        <v>13039</v>
      </c>
      <c r="K27" s="204">
        <v>12998</v>
      </c>
      <c r="L27" s="204">
        <v>13027</v>
      </c>
      <c r="M27" s="204">
        <v>12713</v>
      </c>
      <c r="N27" s="204">
        <v>13717</v>
      </c>
      <c r="O27" s="204">
        <v>14964</v>
      </c>
      <c r="P27" s="204">
        <v>15850</v>
      </c>
      <c r="Q27" s="204">
        <v>16533</v>
      </c>
      <c r="R27" s="204">
        <v>16986</v>
      </c>
      <c r="S27" s="204">
        <v>16159</v>
      </c>
      <c r="T27" s="204">
        <v>16511</v>
      </c>
      <c r="U27" s="204">
        <v>17751</v>
      </c>
      <c r="V27" s="204">
        <v>17870</v>
      </c>
      <c r="W27" s="204">
        <v>17627</v>
      </c>
      <c r="X27" s="204">
        <v>16949</v>
      </c>
      <c r="Y27" s="204">
        <v>18293</v>
      </c>
      <c r="Z27" s="204">
        <v>18885</v>
      </c>
      <c r="AA27" s="204">
        <v>18403</v>
      </c>
      <c r="AB27" s="204">
        <v>17506</v>
      </c>
      <c r="AC27" s="204">
        <v>16171</v>
      </c>
      <c r="AD27" s="204">
        <v>14970</v>
      </c>
    </row>
    <row r="28" spans="2:30" x14ac:dyDescent="0.25">
      <c r="B28" s="198">
        <v>2031</v>
      </c>
      <c r="C28" s="199">
        <v>7</v>
      </c>
      <c r="D28" s="200"/>
      <c r="E28" s="201" t="s">
        <v>20</v>
      </c>
      <c r="F28" s="202">
        <v>4</v>
      </c>
      <c r="G28" s="203">
        <v>17216</v>
      </c>
      <c r="H28" s="204">
        <v>16785</v>
      </c>
      <c r="I28" s="204">
        <v>16319</v>
      </c>
      <c r="J28" s="204">
        <v>16009</v>
      </c>
      <c r="K28" s="204">
        <v>15875</v>
      </c>
      <c r="L28" s="204">
        <v>15521</v>
      </c>
      <c r="M28" s="204">
        <v>15181</v>
      </c>
      <c r="N28" s="204">
        <v>16578</v>
      </c>
      <c r="O28" s="204">
        <v>18263</v>
      </c>
      <c r="P28" s="204">
        <v>19280</v>
      </c>
      <c r="Q28" s="204">
        <v>20030</v>
      </c>
      <c r="R28" s="204">
        <v>20611</v>
      </c>
      <c r="S28" s="204">
        <v>20389</v>
      </c>
      <c r="T28" s="204">
        <v>20336</v>
      </c>
      <c r="U28" s="204">
        <v>20778</v>
      </c>
      <c r="V28" s="204">
        <v>20098</v>
      </c>
      <c r="W28" s="204">
        <v>20427</v>
      </c>
      <c r="X28" s="204">
        <v>20038</v>
      </c>
      <c r="Y28" s="204">
        <v>22200</v>
      </c>
      <c r="Z28" s="204">
        <v>23019</v>
      </c>
      <c r="AA28" s="204">
        <v>22482</v>
      </c>
      <c r="AB28" s="204">
        <v>21536</v>
      </c>
      <c r="AC28" s="204">
        <v>20282</v>
      </c>
      <c r="AD28" s="204">
        <v>19044</v>
      </c>
    </row>
    <row r="29" spans="2:30" x14ac:dyDescent="0.25">
      <c r="B29" s="198">
        <v>2031</v>
      </c>
      <c r="C29" s="199">
        <v>7</v>
      </c>
      <c r="D29" s="200"/>
      <c r="E29" s="201" t="s">
        <v>21</v>
      </c>
      <c r="F29" s="202">
        <v>3</v>
      </c>
      <c r="G29" s="203">
        <v>25902</v>
      </c>
      <c r="H29" s="204">
        <v>24908</v>
      </c>
      <c r="I29" s="204">
        <v>24305</v>
      </c>
      <c r="J29" s="204">
        <v>23447</v>
      </c>
      <c r="K29" s="204">
        <v>23322</v>
      </c>
      <c r="L29" s="204">
        <v>22541</v>
      </c>
      <c r="M29" s="204">
        <v>21312</v>
      </c>
      <c r="N29" s="204">
        <v>22845</v>
      </c>
      <c r="O29" s="204">
        <v>24840</v>
      </c>
      <c r="P29" s="204">
        <v>26039</v>
      </c>
      <c r="Q29" s="204">
        <v>26963</v>
      </c>
      <c r="R29" s="204">
        <v>27845</v>
      </c>
      <c r="S29" s="204">
        <v>27581</v>
      </c>
      <c r="T29" s="204">
        <v>27189</v>
      </c>
      <c r="U29" s="204">
        <v>27390</v>
      </c>
      <c r="V29" s="204">
        <v>27714</v>
      </c>
      <c r="W29" s="204">
        <v>27686</v>
      </c>
      <c r="X29" s="204">
        <v>27549</v>
      </c>
      <c r="Y29" s="204">
        <v>30482</v>
      </c>
      <c r="Z29" s="204">
        <v>31949</v>
      </c>
      <c r="AA29" s="204">
        <v>31381</v>
      </c>
      <c r="AB29" s="204">
        <v>30109</v>
      </c>
      <c r="AC29" s="204">
        <v>28284</v>
      </c>
      <c r="AD29" s="204">
        <v>26618</v>
      </c>
    </row>
    <row r="30" spans="2:30" ht="15.75" thickBot="1" x14ac:dyDescent="0.3">
      <c r="B30" s="198">
        <v>2031</v>
      </c>
      <c r="C30" s="205">
        <v>7</v>
      </c>
      <c r="D30" s="206"/>
      <c r="E30" s="201" t="s">
        <v>22</v>
      </c>
      <c r="F30" s="202">
        <v>1</v>
      </c>
      <c r="G30" s="207">
        <v>32045</v>
      </c>
      <c r="H30" s="208">
        <v>31118</v>
      </c>
      <c r="I30" s="208">
        <v>30306</v>
      </c>
      <c r="J30" s="208">
        <v>29529</v>
      </c>
      <c r="K30" s="208">
        <v>29326</v>
      </c>
      <c r="L30" s="208">
        <v>28545</v>
      </c>
      <c r="M30" s="208">
        <v>27978</v>
      </c>
      <c r="N30" s="208">
        <v>29631</v>
      </c>
      <c r="O30" s="208">
        <v>31719</v>
      </c>
      <c r="P30" s="208">
        <v>33472</v>
      </c>
      <c r="Q30" s="208">
        <v>34967</v>
      </c>
      <c r="R30" s="208">
        <v>36380</v>
      </c>
      <c r="S30" s="208">
        <v>38884</v>
      </c>
      <c r="T30" s="208">
        <v>37527</v>
      </c>
      <c r="U30" s="208">
        <v>37257</v>
      </c>
      <c r="V30" s="208">
        <v>37602</v>
      </c>
      <c r="W30" s="208">
        <v>37102</v>
      </c>
      <c r="X30" s="208">
        <v>36759</v>
      </c>
      <c r="Y30" s="208">
        <v>40909</v>
      </c>
      <c r="Z30" s="208">
        <v>42502</v>
      </c>
      <c r="AA30" s="208">
        <v>41633</v>
      </c>
      <c r="AB30" s="208">
        <v>39858</v>
      </c>
      <c r="AC30" s="208">
        <v>37172</v>
      </c>
      <c r="AD30" s="208">
        <v>34941</v>
      </c>
    </row>
    <row r="31" spans="2:30" x14ac:dyDescent="0.25">
      <c r="B31" s="198">
        <v>2031</v>
      </c>
      <c r="C31" s="209">
        <v>8</v>
      </c>
      <c r="D31" s="210">
        <v>14974469</v>
      </c>
      <c r="E31" s="201" t="s">
        <v>19</v>
      </c>
      <c r="F31" s="202">
        <v>19</v>
      </c>
      <c r="G31" s="203">
        <v>20034</v>
      </c>
      <c r="H31" s="204">
        <v>19316</v>
      </c>
      <c r="I31" s="204">
        <v>18757</v>
      </c>
      <c r="J31" s="204">
        <v>18369</v>
      </c>
      <c r="K31" s="204">
        <v>18269</v>
      </c>
      <c r="L31" s="204">
        <v>18234</v>
      </c>
      <c r="M31" s="204">
        <v>17777</v>
      </c>
      <c r="N31" s="204">
        <v>19357</v>
      </c>
      <c r="O31" s="204">
        <v>21506</v>
      </c>
      <c r="P31" s="204">
        <v>22917</v>
      </c>
      <c r="Q31" s="204">
        <v>24069</v>
      </c>
      <c r="R31" s="204">
        <v>24857</v>
      </c>
      <c r="S31" s="204">
        <v>23552</v>
      </c>
      <c r="T31" s="204">
        <v>24503</v>
      </c>
      <c r="U31" s="204">
        <v>26156</v>
      </c>
      <c r="V31" s="204">
        <v>26168</v>
      </c>
      <c r="W31" s="204">
        <v>25440</v>
      </c>
      <c r="X31" s="204">
        <v>24251</v>
      </c>
      <c r="Y31" s="204">
        <v>26130</v>
      </c>
      <c r="Z31" s="204">
        <v>26827</v>
      </c>
      <c r="AA31" s="204">
        <v>26235</v>
      </c>
      <c r="AB31" s="204">
        <v>24980</v>
      </c>
      <c r="AC31" s="204">
        <v>23071</v>
      </c>
      <c r="AD31" s="204">
        <v>21471</v>
      </c>
    </row>
    <row r="32" spans="2:30" x14ac:dyDescent="0.25">
      <c r="B32" s="198">
        <v>2031</v>
      </c>
      <c r="C32" s="199">
        <v>8</v>
      </c>
      <c r="D32" s="200"/>
      <c r="E32" s="201" t="s">
        <v>20</v>
      </c>
      <c r="F32" s="202">
        <v>5</v>
      </c>
      <c r="G32" s="203">
        <v>16187</v>
      </c>
      <c r="H32" s="204">
        <v>15562</v>
      </c>
      <c r="I32" s="204">
        <v>15096</v>
      </c>
      <c r="J32" s="204">
        <v>14746</v>
      </c>
      <c r="K32" s="204">
        <v>14494</v>
      </c>
      <c r="L32" s="204">
        <v>14132</v>
      </c>
      <c r="M32" s="204">
        <v>13663</v>
      </c>
      <c r="N32" s="204">
        <v>14824</v>
      </c>
      <c r="O32" s="204">
        <v>16414</v>
      </c>
      <c r="P32" s="204">
        <v>17528</v>
      </c>
      <c r="Q32" s="204">
        <v>18349</v>
      </c>
      <c r="R32" s="204">
        <v>18919</v>
      </c>
      <c r="S32" s="204">
        <v>18603</v>
      </c>
      <c r="T32" s="204">
        <v>18804</v>
      </c>
      <c r="U32" s="204">
        <v>19065</v>
      </c>
      <c r="V32" s="204">
        <v>18971</v>
      </c>
      <c r="W32" s="204">
        <v>18508</v>
      </c>
      <c r="X32" s="204">
        <v>18297</v>
      </c>
      <c r="Y32" s="204">
        <v>20147</v>
      </c>
      <c r="Z32" s="204">
        <v>20627</v>
      </c>
      <c r="AA32" s="204">
        <v>20220</v>
      </c>
      <c r="AB32" s="204">
        <v>19398</v>
      </c>
      <c r="AC32" s="204">
        <v>18238</v>
      </c>
      <c r="AD32" s="204">
        <v>16741</v>
      </c>
    </row>
    <row r="33" spans="2:30" x14ac:dyDescent="0.25">
      <c r="B33" s="198">
        <v>2031</v>
      </c>
      <c r="C33" s="199">
        <v>8</v>
      </c>
      <c r="D33" s="200"/>
      <c r="E33" s="201" t="s">
        <v>21</v>
      </c>
      <c r="F33" s="202">
        <v>5</v>
      </c>
      <c r="G33" s="203">
        <v>13623</v>
      </c>
      <c r="H33" s="204">
        <v>13233</v>
      </c>
      <c r="I33" s="204">
        <v>12856</v>
      </c>
      <c r="J33" s="204">
        <v>12528</v>
      </c>
      <c r="K33" s="204">
        <v>12331</v>
      </c>
      <c r="L33" s="204">
        <v>11702</v>
      </c>
      <c r="M33" s="204">
        <v>10962</v>
      </c>
      <c r="N33" s="204">
        <v>11569</v>
      </c>
      <c r="O33" s="204">
        <v>12345</v>
      </c>
      <c r="P33" s="204">
        <v>13095</v>
      </c>
      <c r="Q33" s="204">
        <v>13664</v>
      </c>
      <c r="R33" s="204">
        <v>14179</v>
      </c>
      <c r="S33" s="204">
        <v>14298</v>
      </c>
      <c r="T33" s="204">
        <v>14487</v>
      </c>
      <c r="U33" s="204">
        <v>14531</v>
      </c>
      <c r="V33" s="204">
        <v>14558</v>
      </c>
      <c r="W33" s="204">
        <v>14418</v>
      </c>
      <c r="X33" s="204">
        <v>14322</v>
      </c>
      <c r="Y33" s="204">
        <v>16142</v>
      </c>
      <c r="Z33" s="204">
        <v>16848</v>
      </c>
      <c r="AA33" s="204">
        <v>16663</v>
      </c>
      <c r="AB33" s="204">
        <v>15950</v>
      </c>
      <c r="AC33" s="204">
        <v>14918</v>
      </c>
      <c r="AD33" s="204">
        <v>14024</v>
      </c>
    </row>
    <row r="34" spans="2:30" ht="15.75" thickBot="1" x14ac:dyDescent="0.3">
      <c r="B34" s="198">
        <v>2031</v>
      </c>
      <c r="C34" s="205">
        <v>8</v>
      </c>
      <c r="D34" s="206"/>
      <c r="E34" s="201" t="s">
        <v>22</v>
      </c>
      <c r="F34" s="202">
        <v>2</v>
      </c>
      <c r="G34" s="207">
        <v>18184</v>
      </c>
      <c r="H34" s="208">
        <v>17560</v>
      </c>
      <c r="I34" s="208">
        <v>17046</v>
      </c>
      <c r="J34" s="208">
        <v>16335</v>
      </c>
      <c r="K34" s="208">
        <v>16434</v>
      </c>
      <c r="L34" s="208">
        <v>16042</v>
      </c>
      <c r="M34" s="208">
        <v>15237</v>
      </c>
      <c r="N34" s="208">
        <v>16252</v>
      </c>
      <c r="O34" s="208">
        <v>17510</v>
      </c>
      <c r="P34" s="208">
        <v>18647</v>
      </c>
      <c r="Q34" s="208">
        <v>19786</v>
      </c>
      <c r="R34" s="208">
        <v>20730</v>
      </c>
      <c r="S34" s="208">
        <v>20939</v>
      </c>
      <c r="T34" s="208">
        <v>20862</v>
      </c>
      <c r="U34" s="208">
        <v>21016</v>
      </c>
      <c r="V34" s="208">
        <v>20754</v>
      </c>
      <c r="W34" s="208">
        <v>17091</v>
      </c>
      <c r="X34" s="208">
        <v>20108</v>
      </c>
      <c r="Y34" s="208">
        <v>22366</v>
      </c>
      <c r="Z34" s="208">
        <v>23043</v>
      </c>
      <c r="AA34" s="208">
        <v>22530</v>
      </c>
      <c r="AB34" s="208">
        <v>21543</v>
      </c>
      <c r="AC34" s="208">
        <v>20133</v>
      </c>
      <c r="AD34" s="208">
        <v>18802</v>
      </c>
    </row>
    <row r="35" spans="2:30" x14ac:dyDescent="0.25">
      <c r="B35" s="198">
        <v>2031</v>
      </c>
      <c r="C35" s="209">
        <v>9</v>
      </c>
      <c r="D35" s="210">
        <v>15987632</v>
      </c>
      <c r="E35" s="201" t="s">
        <v>19</v>
      </c>
      <c r="F35" s="202">
        <v>22</v>
      </c>
      <c r="G35" s="203">
        <v>19658</v>
      </c>
      <c r="H35" s="204">
        <v>18564</v>
      </c>
      <c r="I35" s="204">
        <v>18002</v>
      </c>
      <c r="J35" s="204">
        <v>17646</v>
      </c>
      <c r="K35" s="204">
        <v>17731</v>
      </c>
      <c r="L35" s="204">
        <v>17500</v>
      </c>
      <c r="M35" s="204">
        <v>17205</v>
      </c>
      <c r="N35" s="204">
        <v>18810</v>
      </c>
      <c r="O35" s="204">
        <v>20930</v>
      </c>
      <c r="P35" s="204">
        <v>22414</v>
      </c>
      <c r="Q35" s="204">
        <v>23495</v>
      </c>
      <c r="R35" s="204">
        <v>24248</v>
      </c>
      <c r="S35" s="204">
        <v>23026</v>
      </c>
      <c r="T35" s="204">
        <v>24048</v>
      </c>
      <c r="U35" s="204">
        <v>25397</v>
      </c>
      <c r="V35" s="204">
        <v>25224</v>
      </c>
      <c r="W35" s="204">
        <v>24594</v>
      </c>
      <c r="X35" s="204">
        <v>24027</v>
      </c>
      <c r="Y35" s="204">
        <v>25833</v>
      </c>
      <c r="Z35" s="204">
        <v>26004</v>
      </c>
      <c r="AA35" s="204">
        <v>25474</v>
      </c>
      <c r="AB35" s="204">
        <v>24443</v>
      </c>
      <c r="AC35" s="204">
        <v>22753</v>
      </c>
      <c r="AD35" s="204">
        <v>21198</v>
      </c>
    </row>
    <row r="36" spans="2:30" x14ac:dyDescent="0.25">
      <c r="B36" s="198">
        <v>2031</v>
      </c>
      <c r="C36" s="199">
        <v>9</v>
      </c>
      <c r="D36" s="200"/>
      <c r="E36" s="201" t="s">
        <v>20</v>
      </c>
      <c r="F36" s="202">
        <v>4</v>
      </c>
      <c r="G36" s="203">
        <v>22119</v>
      </c>
      <c r="H36" s="204">
        <v>21344</v>
      </c>
      <c r="I36" s="204">
        <v>20690</v>
      </c>
      <c r="J36" s="204">
        <v>20215</v>
      </c>
      <c r="K36" s="204">
        <v>19932</v>
      </c>
      <c r="L36" s="204">
        <v>19034</v>
      </c>
      <c r="M36" s="204">
        <v>18760</v>
      </c>
      <c r="N36" s="204">
        <v>20333</v>
      </c>
      <c r="O36" s="204">
        <v>22460</v>
      </c>
      <c r="P36" s="204">
        <v>24075</v>
      </c>
      <c r="Q36" s="204">
        <v>25340</v>
      </c>
      <c r="R36" s="204">
        <v>26041</v>
      </c>
      <c r="S36" s="204">
        <v>25506</v>
      </c>
      <c r="T36" s="204">
        <v>25499</v>
      </c>
      <c r="U36" s="204">
        <v>25911</v>
      </c>
      <c r="V36" s="204">
        <v>25643</v>
      </c>
      <c r="W36" s="204">
        <v>25108</v>
      </c>
      <c r="X36" s="204">
        <v>25148</v>
      </c>
      <c r="Y36" s="204">
        <v>27745</v>
      </c>
      <c r="Z36" s="204">
        <v>27795</v>
      </c>
      <c r="AA36" s="204">
        <v>27198</v>
      </c>
      <c r="AB36" s="204">
        <v>26149</v>
      </c>
      <c r="AC36" s="204">
        <v>24816</v>
      </c>
      <c r="AD36" s="204">
        <v>23422</v>
      </c>
    </row>
    <row r="37" spans="2:30" ht="15.75" thickBot="1" x14ac:dyDescent="0.3">
      <c r="B37" s="198">
        <v>2031</v>
      </c>
      <c r="C37" s="205">
        <v>9</v>
      </c>
      <c r="D37" s="200"/>
      <c r="E37" s="201" t="s">
        <v>21</v>
      </c>
      <c r="F37" s="202">
        <v>4</v>
      </c>
      <c r="G37" s="207">
        <v>23049</v>
      </c>
      <c r="H37" s="208">
        <v>22141</v>
      </c>
      <c r="I37" s="208">
        <v>21374</v>
      </c>
      <c r="J37" s="208">
        <v>19563</v>
      </c>
      <c r="K37" s="208">
        <v>18945</v>
      </c>
      <c r="L37" s="208">
        <v>18043</v>
      </c>
      <c r="M37" s="208">
        <v>17202</v>
      </c>
      <c r="N37" s="208">
        <v>18156</v>
      </c>
      <c r="O37" s="208">
        <v>19277</v>
      </c>
      <c r="P37" s="208">
        <v>20385</v>
      </c>
      <c r="Q37" s="208">
        <v>21163</v>
      </c>
      <c r="R37" s="208">
        <v>21890</v>
      </c>
      <c r="S37" s="208">
        <v>22057</v>
      </c>
      <c r="T37" s="208">
        <v>21596</v>
      </c>
      <c r="U37" s="208">
        <v>21537</v>
      </c>
      <c r="V37" s="208">
        <v>21543</v>
      </c>
      <c r="W37" s="208">
        <v>21177</v>
      </c>
      <c r="X37" s="208">
        <v>21218</v>
      </c>
      <c r="Y37" s="208">
        <v>25939</v>
      </c>
      <c r="Z37" s="208">
        <v>26872</v>
      </c>
      <c r="AA37" s="208">
        <v>26495</v>
      </c>
      <c r="AB37" s="208">
        <v>25453</v>
      </c>
      <c r="AC37" s="208">
        <v>23891</v>
      </c>
      <c r="AD37" s="208">
        <v>22427</v>
      </c>
    </row>
    <row r="38" spans="2:30" x14ac:dyDescent="0.25">
      <c r="B38" s="198">
        <v>2031</v>
      </c>
      <c r="C38" s="209">
        <v>10</v>
      </c>
      <c r="D38" s="210">
        <v>17974170</v>
      </c>
      <c r="E38" s="201" t="s">
        <v>19</v>
      </c>
      <c r="F38" s="202">
        <v>22</v>
      </c>
      <c r="G38" s="203">
        <v>21075</v>
      </c>
      <c r="H38" s="204">
        <v>20295</v>
      </c>
      <c r="I38" s="204">
        <v>19715</v>
      </c>
      <c r="J38" s="204">
        <v>19294</v>
      </c>
      <c r="K38" s="204">
        <v>19000</v>
      </c>
      <c r="L38" s="204">
        <v>18490</v>
      </c>
      <c r="M38" s="204">
        <v>18350</v>
      </c>
      <c r="N38" s="204">
        <v>20268</v>
      </c>
      <c r="O38" s="204">
        <v>22676</v>
      </c>
      <c r="P38" s="204">
        <v>24118</v>
      </c>
      <c r="Q38" s="204">
        <v>25344</v>
      </c>
      <c r="R38" s="204">
        <v>26035</v>
      </c>
      <c r="S38" s="204">
        <v>24844</v>
      </c>
      <c r="T38" s="204">
        <v>25733</v>
      </c>
      <c r="U38" s="204">
        <v>27530</v>
      </c>
      <c r="V38" s="204">
        <v>27501</v>
      </c>
      <c r="W38" s="204">
        <v>26611</v>
      </c>
      <c r="X38" s="204">
        <v>26206</v>
      </c>
      <c r="Y38" s="204">
        <v>27711</v>
      </c>
      <c r="Z38" s="204">
        <v>27484</v>
      </c>
      <c r="AA38" s="204">
        <v>26908</v>
      </c>
      <c r="AB38" s="204">
        <v>25885</v>
      </c>
      <c r="AC38" s="204">
        <v>24137</v>
      </c>
      <c r="AD38" s="204">
        <v>22662</v>
      </c>
    </row>
    <row r="39" spans="2:30" x14ac:dyDescent="0.25">
      <c r="B39" s="198">
        <v>2031</v>
      </c>
      <c r="C39" s="199">
        <v>10</v>
      </c>
      <c r="D39" s="200"/>
      <c r="E39" s="201" t="s">
        <v>20</v>
      </c>
      <c r="F39" s="202">
        <v>4</v>
      </c>
      <c r="G39" s="203">
        <v>24331</v>
      </c>
      <c r="H39" s="204">
        <v>23498</v>
      </c>
      <c r="I39" s="204">
        <v>22776</v>
      </c>
      <c r="J39" s="204">
        <v>22115</v>
      </c>
      <c r="K39" s="204">
        <v>21470</v>
      </c>
      <c r="L39" s="204">
        <v>20842</v>
      </c>
      <c r="M39" s="204">
        <v>20703</v>
      </c>
      <c r="N39" s="204">
        <v>22562</v>
      </c>
      <c r="O39" s="204">
        <v>25040</v>
      </c>
      <c r="P39" s="204">
        <v>26681</v>
      </c>
      <c r="Q39" s="204">
        <v>27901</v>
      </c>
      <c r="R39" s="204">
        <v>28521</v>
      </c>
      <c r="S39" s="204">
        <v>27657</v>
      </c>
      <c r="T39" s="204">
        <v>27288</v>
      </c>
      <c r="U39" s="204">
        <v>27606</v>
      </c>
      <c r="V39" s="204">
        <v>27581</v>
      </c>
      <c r="W39" s="204">
        <v>26907</v>
      </c>
      <c r="X39" s="204">
        <v>27366</v>
      </c>
      <c r="Y39" s="204">
        <v>29801</v>
      </c>
      <c r="Z39" s="204">
        <v>29520</v>
      </c>
      <c r="AA39" s="204">
        <v>28779</v>
      </c>
      <c r="AB39" s="204">
        <v>27852</v>
      </c>
      <c r="AC39" s="204">
        <v>26548</v>
      </c>
      <c r="AD39" s="204">
        <v>25263</v>
      </c>
    </row>
    <row r="40" spans="2:30" x14ac:dyDescent="0.25">
      <c r="B40" s="198">
        <v>2031</v>
      </c>
      <c r="C40" s="199">
        <v>10</v>
      </c>
      <c r="D40" s="200"/>
      <c r="E40" s="201" t="s">
        <v>21</v>
      </c>
      <c r="F40" s="202">
        <v>4</v>
      </c>
      <c r="G40" s="203">
        <v>26378</v>
      </c>
      <c r="H40" s="204">
        <v>25275</v>
      </c>
      <c r="I40" s="204">
        <v>24284</v>
      </c>
      <c r="J40" s="204">
        <v>23565</v>
      </c>
      <c r="K40" s="204">
        <v>23115</v>
      </c>
      <c r="L40" s="204">
        <v>22205</v>
      </c>
      <c r="M40" s="204">
        <v>21408</v>
      </c>
      <c r="N40" s="204">
        <v>22216</v>
      </c>
      <c r="O40" s="204">
        <v>23266</v>
      </c>
      <c r="P40" s="204">
        <v>24219</v>
      </c>
      <c r="Q40" s="204">
        <v>24935</v>
      </c>
      <c r="R40" s="204">
        <v>25784</v>
      </c>
      <c r="S40" s="204">
        <v>26113</v>
      </c>
      <c r="T40" s="204">
        <v>25849</v>
      </c>
      <c r="U40" s="204">
        <v>26080</v>
      </c>
      <c r="V40" s="204">
        <v>26487</v>
      </c>
      <c r="W40" s="204">
        <v>26296</v>
      </c>
      <c r="X40" s="204">
        <v>27332</v>
      </c>
      <c r="Y40" s="204">
        <v>30610</v>
      </c>
      <c r="Z40" s="204">
        <v>30568</v>
      </c>
      <c r="AA40" s="204">
        <v>30112</v>
      </c>
      <c r="AB40" s="204">
        <v>29195</v>
      </c>
      <c r="AC40" s="204">
        <v>27638</v>
      </c>
      <c r="AD40" s="204">
        <v>26156</v>
      </c>
    </row>
    <row r="41" spans="2:30" ht="15.75" thickBot="1" x14ac:dyDescent="0.3">
      <c r="B41" s="198">
        <v>2031</v>
      </c>
      <c r="C41" s="205">
        <v>10</v>
      </c>
      <c r="D41" s="206"/>
      <c r="E41" s="201" t="s">
        <v>22</v>
      </c>
      <c r="F41" s="202">
        <v>1</v>
      </c>
      <c r="G41" s="207">
        <v>21300</v>
      </c>
      <c r="H41" s="208">
        <v>20643</v>
      </c>
      <c r="I41" s="208">
        <v>20075</v>
      </c>
      <c r="J41" s="208">
        <v>19648</v>
      </c>
      <c r="K41" s="208">
        <v>19439</v>
      </c>
      <c r="L41" s="208">
        <v>18617</v>
      </c>
      <c r="M41" s="208">
        <v>18154</v>
      </c>
      <c r="N41" s="208">
        <v>19238</v>
      </c>
      <c r="O41" s="208">
        <v>20662</v>
      </c>
      <c r="P41" s="208">
        <v>21901</v>
      </c>
      <c r="Q41" s="208">
        <v>23105</v>
      </c>
      <c r="R41" s="208">
        <v>24044</v>
      </c>
      <c r="S41" s="208">
        <v>24193</v>
      </c>
      <c r="T41" s="208">
        <v>23837</v>
      </c>
      <c r="U41" s="208">
        <v>23531</v>
      </c>
      <c r="V41" s="208">
        <v>23303</v>
      </c>
      <c r="W41" s="208">
        <v>23154</v>
      </c>
      <c r="X41" s="208">
        <v>23949</v>
      </c>
      <c r="Y41" s="208">
        <v>25353</v>
      </c>
      <c r="Z41" s="208">
        <v>25639</v>
      </c>
      <c r="AA41" s="208">
        <v>24605</v>
      </c>
      <c r="AB41" s="208">
        <v>23225</v>
      </c>
      <c r="AC41" s="208">
        <v>21878</v>
      </c>
      <c r="AD41" s="208">
        <v>20717</v>
      </c>
    </row>
    <row r="42" spans="2:30" x14ac:dyDescent="0.25">
      <c r="B42" s="198">
        <v>2031</v>
      </c>
      <c r="C42" s="209">
        <v>11</v>
      </c>
      <c r="D42" s="210">
        <v>17436221</v>
      </c>
      <c r="E42" s="201" t="s">
        <v>19</v>
      </c>
      <c r="F42" s="202">
        <v>18</v>
      </c>
      <c r="G42" s="203">
        <v>24328</v>
      </c>
      <c r="H42" s="204">
        <v>23435</v>
      </c>
      <c r="I42" s="204">
        <v>22767</v>
      </c>
      <c r="J42" s="204">
        <v>22249</v>
      </c>
      <c r="K42" s="204">
        <v>21982</v>
      </c>
      <c r="L42" s="204">
        <v>21440</v>
      </c>
      <c r="M42" s="204">
        <v>21218</v>
      </c>
      <c r="N42" s="204">
        <v>23237</v>
      </c>
      <c r="O42" s="204">
        <v>25878</v>
      </c>
      <c r="P42" s="204">
        <v>27499</v>
      </c>
      <c r="Q42" s="204">
        <v>28736</v>
      </c>
      <c r="R42" s="204">
        <v>29433</v>
      </c>
      <c r="S42" s="204">
        <v>28026</v>
      </c>
      <c r="T42" s="204">
        <v>29062</v>
      </c>
      <c r="U42" s="204">
        <v>30969</v>
      </c>
      <c r="V42" s="204">
        <v>31294</v>
      </c>
      <c r="W42" s="204">
        <v>30256</v>
      </c>
      <c r="X42" s="204">
        <v>30156</v>
      </c>
      <c r="Y42" s="204">
        <v>31873</v>
      </c>
      <c r="Z42" s="204">
        <v>31571</v>
      </c>
      <c r="AA42" s="204">
        <v>30896</v>
      </c>
      <c r="AB42" s="204">
        <v>29608</v>
      </c>
      <c r="AC42" s="204">
        <v>27734</v>
      </c>
      <c r="AD42" s="204">
        <v>26045</v>
      </c>
    </row>
    <row r="43" spans="2:30" x14ac:dyDescent="0.25">
      <c r="B43" s="198">
        <v>2031</v>
      </c>
      <c r="C43" s="199">
        <v>11</v>
      </c>
      <c r="D43" s="200"/>
      <c r="E43" s="201" t="s">
        <v>20</v>
      </c>
      <c r="F43" s="202">
        <v>5</v>
      </c>
      <c r="G43" s="203">
        <v>19795</v>
      </c>
      <c r="H43" s="204">
        <v>19091</v>
      </c>
      <c r="I43" s="204">
        <v>18487</v>
      </c>
      <c r="J43" s="204">
        <v>18001</v>
      </c>
      <c r="K43" s="204">
        <v>17701</v>
      </c>
      <c r="L43" s="204">
        <v>16996</v>
      </c>
      <c r="M43" s="204">
        <v>16642</v>
      </c>
      <c r="N43" s="204">
        <v>17971</v>
      </c>
      <c r="O43" s="204">
        <v>19702</v>
      </c>
      <c r="P43" s="204">
        <v>21086</v>
      </c>
      <c r="Q43" s="204">
        <v>21976</v>
      </c>
      <c r="R43" s="204">
        <v>22802</v>
      </c>
      <c r="S43" s="204">
        <v>22347</v>
      </c>
      <c r="T43" s="204">
        <v>21982</v>
      </c>
      <c r="U43" s="204">
        <v>22031</v>
      </c>
      <c r="V43" s="204">
        <v>21896</v>
      </c>
      <c r="W43" s="204">
        <v>21333</v>
      </c>
      <c r="X43" s="204">
        <v>22171</v>
      </c>
      <c r="Y43" s="204">
        <v>24020</v>
      </c>
      <c r="Z43" s="204">
        <v>23929</v>
      </c>
      <c r="AA43" s="204">
        <v>23279</v>
      </c>
      <c r="AB43" s="204">
        <v>22444</v>
      </c>
      <c r="AC43" s="204">
        <v>21371</v>
      </c>
      <c r="AD43" s="204">
        <v>20258</v>
      </c>
    </row>
    <row r="44" spans="2:30" x14ac:dyDescent="0.25">
      <c r="B44" s="198">
        <v>2031</v>
      </c>
      <c r="C44" s="199">
        <v>11</v>
      </c>
      <c r="D44" s="200"/>
      <c r="E44" s="201" t="s">
        <v>21</v>
      </c>
      <c r="F44" s="202">
        <v>5</v>
      </c>
      <c r="G44" s="203">
        <v>17647</v>
      </c>
      <c r="H44" s="204">
        <v>17044</v>
      </c>
      <c r="I44" s="204">
        <v>16598</v>
      </c>
      <c r="J44" s="204">
        <v>16298</v>
      </c>
      <c r="K44" s="204">
        <v>16114</v>
      </c>
      <c r="L44" s="204">
        <v>15024</v>
      </c>
      <c r="M44" s="204">
        <v>14402</v>
      </c>
      <c r="N44" s="204">
        <v>15245</v>
      </c>
      <c r="O44" s="204">
        <v>16210</v>
      </c>
      <c r="P44" s="204">
        <v>16888</v>
      </c>
      <c r="Q44" s="204">
        <v>17454</v>
      </c>
      <c r="R44" s="204">
        <v>17987</v>
      </c>
      <c r="S44" s="204">
        <v>18204</v>
      </c>
      <c r="T44" s="204">
        <v>18150</v>
      </c>
      <c r="U44" s="204">
        <v>18158</v>
      </c>
      <c r="V44" s="204">
        <v>18213</v>
      </c>
      <c r="W44" s="204">
        <v>18096</v>
      </c>
      <c r="X44" s="204">
        <v>18918</v>
      </c>
      <c r="Y44" s="204">
        <v>21061</v>
      </c>
      <c r="Z44" s="204">
        <v>21510</v>
      </c>
      <c r="AA44" s="204">
        <v>21364</v>
      </c>
      <c r="AB44" s="204">
        <v>20611</v>
      </c>
      <c r="AC44" s="204">
        <v>19528</v>
      </c>
      <c r="AD44" s="204">
        <v>18374</v>
      </c>
    </row>
    <row r="45" spans="2:30" ht="15.75" thickBot="1" x14ac:dyDescent="0.3">
      <c r="B45" s="198">
        <v>2031</v>
      </c>
      <c r="C45" s="205">
        <v>11</v>
      </c>
      <c r="D45" s="206"/>
      <c r="E45" s="201" t="s">
        <v>22</v>
      </c>
      <c r="F45" s="202">
        <v>2</v>
      </c>
      <c r="G45" s="207">
        <v>22867</v>
      </c>
      <c r="H45" s="208">
        <v>21869</v>
      </c>
      <c r="I45" s="208">
        <v>21171</v>
      </c>
      <c r="J45" s="208">
        <v>20569</v>
      </c>
      <c r="K45" s="208">
        <v>20174</v>
      </c>
      <c r="L45" s="208">
        <v>19359</v>
      </c>
      <c r="M45" s="208">
        <v>18753</v>
      </c>
      <c r="N45" s="208">
        <v>19945</v>
      </c>
      <c r="O45" s="208">
        <v>21378</v>
      </c>
      <c r="P45" s="208">
        <v>22470</v>
      </c>
      <c r="Q45" s="208">
        <v>23319</v>
      </c>
      <c r="R45" s="208">
        <v>23934</v>
      </c>
      <c r="S45" s="208">
        <v>23894</v>
      </c>
      <c r="T45" s="208">
        <v>23523</v>
      </c>
      <c r="U45" s="208">
        <v>23725</v>
      </c>
      <c r="V45" s="208">
        <v>24004</v>
      </c>
      <c r="W45" s="208">
        <v>23830</v>
      </c>
      <c r="X45" s="208">
        <v>24953</v>
      </c>
      <c r="Y45" s="208">
        <v>27489</v>
      </c>
      <c r="Z45" s="208">
        <v>27533</v>
      </c>
      <c r="AA45" s="208">
        <v>26856</v>
      </c>
      <c r="AB45" s="208">
        <v>25908</v>
      </c>
      <c r="AC45" s="208">
        <v>24355</v>
      </c>
      <c r="AD45" s="208">
        <v>22982</v>
      </c>
    </row>
    <row r="46" spans="2:30" x14ac:dyDescent="0.25">
      <c r="B46" s="198">
        <v>2031</v>
      </c>
      <c r="C46" s="209">
        <v>12</v>
      </c>
      <c r="D46" s="210">
        <v>18123092</v>
      </c>
      <c r="E46" s="201" t="s">
        <v>19</v>
      </c>
      <c r="F46" s="202">
        <v>21</v>
      </c>
      <c r="G46" s="203">
        <v>22020</v>
      </c>
      <c r="H46" s="204">
        <v>21144</v>
      </c>
      <c r="I46" s="204">
        <v>20501</v>
      </c>
      <c r="J46" s="204">
        <v>19970</v>
      </c>
      <c r="K46" s="204">
        <v>19754</v>
      </c>
      <c r="L46" s="204">
        <v>19315</v>
      </c>
      <c r="M46" s="204">
        <v>18635</v>
      </c>
      <c r="N46" s="204">
        <v>20492</v>
      </c>
      <c r="O46" s="204">
        <v>22802</v>
      </c>
      <c r="P46" s="204">
        <v>24484</v>
      </c>
      <c r="Q46" s="204">
        <v>25652</v>
      </c>
      <c r="R46" s="204">
        <v>26492</v>
      </c>
      <c r="S46" s="204">
        <v>25351</v>
      </c>
      <c r="T46" s="204">
        <v>25931</v>
      </c>
      <c r="U46" s="204">
        <v>27481</v>
      </c>
      <c r="V46" s="204">
        <v>27588</v>
      </c>
      <c r="W46" s="204">
        <v>26769</v>
      </c>
      <c r="X46" s="204">
        <v>26259</v>
      </c>
      <c r="Y46" s="204">
        <v>28143</v>
      </c>
      <c r="Z46" s="204">
        <v>27802</v>
      </c>
      <c r="AA46" s="204">
        <v>27181</v>
      </c>
      <c r="AB46" s="204">
        <v>26260</v>
      </c>
      <c r="AC46" s="204">
        <v>24892</v>
      </c>
      <c r="AD46" s="204">
        <v>23504</v>
      </c>
    </row>
    <row r="47" spans="2:30" x14ac:dyDescent="0.25">
      <c r="B47" s="198">
        <v>2031</v>
      </c>
      <c r="C47" s="199">
        <v>12</v>
      </c>
      <c r="D47" s="200"/>
      <c r="E47" s="201" t="s">
        <v>20</v>
      </c>
      <c r="F47" s="202">
        <v>4</v>
      </c>
      <c r="G47" s="203">
        <v>27292</v>
      </c>
      <c r="H47" s="204">
        <v>26359</v>
      </c>
      <c r="I47" s="204">
        <v>25249</v>
      </c>
      <c r="J47" s="204">
        <v>24598</v>
      </c>
      <c r="K47" s="204">
        <v>24268</v>
      </c>
      <c r="L47" s="204">
        <v>23996</v>
      </c>
      <c r="M47" s="204">
        <v>22888</v>
      </c>
      <c r="N47" s="204">
        <v>24476</v>
      </c>
      <c r="O47" s="204">
        <v>26891</v>
      </c>
      <c r="P47" s="204">
        <v>28544</v>
      </c>
      <c r="Q47" s="204">
        <v>29677</v>
      </c>
      <c r="R47" s="204">
        <v>30044</v>
      </c>
      <c r="S47" s="204">
        <v>29070</v>
      </c>
      <c r="T47" s="204">
        <v>28478</v>
      </c>
      <c r="U47" s="204">
        <v>28795</v>
      </c>
      <c r="V47" s="204">
        <v>28756</v>
      </c>
      <c r="W47" s="204">
        <v>28644</v>
      </c>
      <c r="X47" s="204">
        <v>29183</v>
      </c>
      <c r="Y47" s="204">
        <v>32327</v>
      </c>
      <c r="Z47" s="204">
        <v>31963</v>
      </c>
      <c r="AA47" s="204">
        <v>31224</v>
      </c>
      <c r="AB47" s="204">
        <v>30083</v>
      </c>
      <c r="AC47" s="204">
        <v>28852</v>
      </c>
      <c r="AD47" s="204">
        <v>27438</v>
      </c>
    </row>
    <row r="48" spans="2:30" x14ac:dyDescent="0.25">
      <c r="B48" s="198">
        <v>2031</v>
      </c>
      <c r="C48" s="199">
        <v>12</v>
      </c>
      <c r="D48" s="200"/>
      <c r="E48" s="201" t="s">
        <v>21</v>
      </c>
      <c r="F48" s="202">
        <v>4</v>
      </c>
      <c r="G48" s="203">
        <v>22674</v>
      </c>
      <c r="H48" s="204">
        <v>21896</v>
      </c>
      <c r="I48" s="204">
        <v>21299</v>
      </c>
      <c r="J48" s="204">
        <v>20569</v>
      </c>
      <c r="K48" s="204">
        <v>20139</v>
      </c>
      <c r="L48" s="204">
        <v>19662</v>
      </c>
      <c r="M48" s="204">
        <v>18524</v>
      </c>
      <c r="N48" s="204">
        <v>19768</v>
      </c>
      <c r="O48" s="204">
        <v>20936</v>
      </c>
      <c r="P48" s="204">
        <v>22023</v>
      </c>
      <c r="Q48" s="204">
        <v>23004</v>
      </c>
      <c r="R48" s="204">
        <v>23632</v>
      </c>
      <c r="S48" s="204">
        <v>24034</v>
      </c>
      <c r="T48" s="204">
        <v>23974</v>
      </c>
      <c r="U48" s="204">
        <v>23892</v>
      </c>
      <c r="V48" s="204">
        <v>23862</v>
      </c>
      <c r="W48" s="204">
        <v>23796</v>
      </c>
      <c r="X48" s="204">
        <v>24371</v>
      </c>
      <c r="Y48" s="204">
        <v>27308</v>
      </c>
      <c r="Z48" s="204">
        <v>27407</v>
      </c>
      <c r="AA48" s="204">
        <v>26656</v>
      </c>
      <c r="AB48" s="204">
        <v>25677</v>
      </c>
      <c r="AC48" s="204">
        <v>24782</v>
      </c>
      <c r="AD48" s="204">
        <v>23359</v>
      </c>
    </row>
    <row r="49" spans="2:30" ht="15.75" thickBot="1" x14ac:dyDescent="0.3">
      <c r="B49" s="198">
        <v>2031</v>
      </c>
      <c r="C49" s="205">
        <v>12</v>
      </c>
      <c r="D49" s="206"/>
      <c r="E49" s="201" t="s">
        <v>22</v>
      </c>
      <c r="F49" s="202">
        <v>2</v>
      </c>
      <c r="G49" s="207">
        <v>22647</v>
      </c>
      <c r="H49" s="208">
        <v>22215</v>
      </c>
      <c r="I49" s="208">
        <v>21738</v>
      </c>
      <c r="J49" s="208">
        <v>21232</v>
      </c>
      <c r="K49" s="208">
        <v>20888</v>
      </c>
      <c r="L49" s="208">
        <v>20120</v>
      </c>
      <c r="M49" s="208">
        <v>18515</v>
      </c>
      <c r="N49" s="208">
        <v>18990</v>
      </c>
      <c r="O49" s="208">
        <v>20149</v>
      </c>
      <c r="P49" s="208">
        <v>21167</v>
      </c>
      <c r="Q49" s="208">
        <v>22086</v>
      </c>
      <c r="R49" s="208">
        <v>22713</v>
      </c>
      <c r="S49" s="208">
        <v>22529</v>
      </c>
      <c r="T49" s="208">
        <v>22664</v>
      </c>
      <c r="U49" s="208">
        <v>22761</v>
      </c>
      <c r="V49" s="208">
        <v>22888</v>
      </c>
      <c r="W49" s="208">
        <v>22847</v>
      </c>
      <c r="X49" s="208">
        <v>23225</v>
      </c>
      <c r="Y49" s="208">
        <v>26274</v>
      </c>
      <c r="Z49" s="208">
        <v>26599</v>
      </c>
      <c r="AA49" s="208">
        <v>26611</v>
      </c>
      <c r="AB49" s="208">
        <v>25964</v>
      </c>
      <c r="AC49" s="208">
        <v>24881</v>
      </c>
      <c r="AD49" s="208">
        <v>23734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3D2E-0E9C-4042-9A32-ED16503268DF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2032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2032</v>
      </c>
      <c r="C4" s="213">
        <v>1</v>
      </c>
      <c r="D4" s="210">
        <v>11134777</v>
      </c>
      <c r="E4" s="201" t="s">
        <v>19</v>
      </c>
      <c r="F4" s="202">
        <v>20</v>
      </c>
      <c r="G4" s="214">
        <v>14622</v>
      </c>
      <c r="H4" s="215">
        <v>14027</v>
      </c>
      <c r="I4" s="215">
        <v>13575</v>
      </c>
      <c r="J4" s="215">
        <v>13256</v>
      </c>
      <c r="K4" s="215">
        <v>13098</v>
      </c>
      <c r="L4" s="215">
        <v>12991</v>
      </c>
      <c r="M4" s="215">
        <v>12219</v>
      </c>
      <c r="N4" s="215">
        <v>13309</v>
      </c>
      <c r="O4" s="215">
        <v>14805</v>
      </c>
      <c r="P4" s="215">
        <v>15760</v>
      </c>
      <c r="Q4" s="215">
        <v>16530</v>
      </c>
      <c r="R4" s="215">
        <v>17044</v>
      </c>
      <c r="S4" s="215">
        <v>16350</v>
      </c>
      <c r="T4" s="215">
        <v>17038</v>
      </c>
      <c r="U4" s="215">
        <v>18235</v>
      </c>
      <c r="V4" s="215">
        <v>18342</v>
      </c>
      <c r="W4" s="215">
        <v>17912</v>
      </c>
      <c r="X4" s="215">
        <v>17186</v>
      </c>
      <c r="Y4" s="215">
        <v>18461</v>
      </c>
      <c r="Z4" s="215">
        <v>18710</v>
      </c>
      <c r="AA4" s="215">
        <v>18317</v>
      </c>
      <c r="AB4" s="215">
        <v>17682</v>
      </c>
      <c r="AC4" s="215">
        <v>16646</v>
      </c>
      <c r="AD4" s="215">
        <v>15558</v>
      </c>
    </row>
    <row r="5" spans="2:30" x14ac:dyDescent="0.25">
      <c r="B5" s="198">
        <v>2032</v>
      </c>
      <c r="C5" s="199">
        <v>1</v>
      </c>
      <c r="D5" s="200"/>
      <c r="E5" s="201" t="s">
        <v>20</v>
      </c>
      <c r="F5" s="202">
        <v>5</v>
      </c>
      <c r="G5" s="203">
        <v>11388</v>
      </c>
      <c r="H5" s="204">
        <v>10947</v>
      </c>
      <c r="I5" s="204">
        <v>10597</v>
      </c>
      <c r="J5" s="204">
        <v>10321</v>
      </c>
      <c r="K5" s="204">
        <v>10176</v>
      </c>
      <c r="L5" s="204">
        <v>10044</v>
      </c>
      <c r="M5" s="204">
        <v>9431</v>
      </c>
      <c r="N5" s="204">
        <v>10185</v>
      </c>
      <c r="O5" s="204">
        <v>11262</v>
      </c>
      <c r="P5" s="204">
        <v>12001</v>
      </c>
      <c r="Q5" s="204">
        <v>12487</v>
      </c>
      <c r="R5" s="204">
        <v>12859</v>
      </c>
      <c r="S5" s="204">
        <v>12596</v>
      </c>
      <c r="T5" s="204">
        <v>12516</v>
      </c>
      <c r="U5" s="204">
        <v>12466</v>
      </c>
      <c r="V5" s="204">
        <v>12610</v>
      </c>
      <c r="W5" s="204">
        <v>12387</v>
      </c>
      <c r="X5" s="204">
        <v>12300</v>
      </c>
      <c r="Y5" s="204">
        <v>13704</v>
      </c>
      <c r="Z5" s="204">
        <v>13920</v>
      </c>
      <c r="AA5" s="204">
        <v>13597</v>
      </c>
      <c r="AB5" s="204">
        <v>13143</v>
      </c>
      <c r="AC5" s="204">
        <v>12442</v>
      </c>
      <c r="AD5" s="204">
        <v>11806</v>
      </c>
    </row>
    <row r="6" spans="2:30" x14ac:dyDescent="0.25">
      <c r="B6" s="198">
        <v>2032</v>
      </c>
      <c r="C6" s="199">
        <v>1</v>
      </c>
      <c r="D6" s="200"/>
      <c r="E6" s="201" t="s">
        <v>21</v>
      </c>
      <c r="F6" s="202">
        <v>4</v>
      </c>
      <c r="G6" s="203">
        <v>14872</v>
      </c>
      <c r="H6" s="204">
        <v>14255</v>
      </c>
      <c r="I6" s="204">
        <v>13790</v>
      </c>
      <c r="J6" s="204">
        <v>13454</v>
      </c>
      <c r="K6" s="204">
        <v>13264</v>
      </c>
      <c r="L6" s="204">
        <v>13050</v>
      </c>
      <c r="M6" s="204">
        <v>12014</v>
      </c>
      <c r="N6" s="204">
        <v>12537</v>
      </c>
      <c r="O6" s="204">
        <v>13316</v>
      </c>
      <c r="P6" s="204">
        <v>13907</v>
      </c>
      <c r="Q6" s="204">
        <v>14466</v>
      </c>
      <c r="R6" s="204">
        <v>14882</v>
      </c>
      <c r="S6" s="204">
        <v>14983</v>
      </c>
      <c r="T6" s="204">
        <v>14959</v>
      </c>
      <c r="U6" s="204">
        <v>14880</v>
      </c>
      <c r="V6" s="204">
        <v>14938</v>
      </c>
      <c r="W6" s="204">
        <v>15028</v>
      </c>
      <c r="X6" s="204">
        <v>15120</v>
      </c>
      <c r="Y6" s="204">
        <v>17211</v>
      </c>
      <c r="Z6" s="204">
        <v>17843</v>
      </c>
      <c r="AA6" s="204">
        <v>17748</v>
      </c>
      <c r="AB6" s="204">
        <v>17127</v>
      </c>
      <c r="AC6" s="204">
        <v>16251</v>
      </c>
      <c r="AD6" s="204">
        <v>15262</v>
      </c>
    </row>
    <row r="7" spans="2:30" ht="15.75" thickBot="1" x14ac:dyDescent="0.3">
      <c r="B7" s="198">
        <v>2032</v>
      </c>
      <c r="C7" s="205">
        <v>1</v>
      </c>
      <c r="D7" s="206"/>
      <c r="E7" s="201" t="s">
        <v>22</v>
      </c>
      <c r="F7" s="202">
        <v>2</v>
      </c>
      <c r="G7" s="207">
        <v>13262</v>
      </c>
      <c r="H7" s="208">
        <v>12922</v>
      </c>
      <c r="I7" s="208">
        <v>12622</v>
      </c>
      <c r="J7" s="208">
        <v>12386</v>
      </c>
      <c r="K7" s="208">
        <v>12215</v>
      </c>
      <c r="L7" s="208">
        <v>11929</v>
      </c>
      <c r="M7" s="208">
        <v>11031</v>
      </c>
      <c r="N7" s="208">
        <v>11519</v>
      </c>
      <c r="O7" s="208">
        <v>12324</v>
      </c>
      <c r="P7" s="208">
        <v>13048</v>
      </c>
      <c r="Q7" s="208">
        <v>13515</v>
      </c>
      <c r="R7" s="208">
        <v>13898</v>
      </c>
      <c r="S7" s="208">
        <v>13912</v>
      </c>
      <c r="T7" s="208">
        <v>13758</v>
      </c>
      <c r="U7" s="208">
        <v>13727</v>
      </c>
      <c r="V7" s="208">
        <v>13721</v>
      </c>
      <c r="W7" s="208">
        <v>13697</v>
      </c>
      <c r="X7" s="208">
        <v>13885</v>
      </c>
      <c r="Y7" s="208">
        <v>15963</v>
      </c>
      <c r="Z7" s="208">
        <v>16416</v>
      </c>
      <c r="AA7" s="208">
        <v>16318</v>
      </c>
      <c r="AB7" s="208">
        <v>15824</v>
      </c>
      <c r="AC7" s="208">
        <v>15116</v>
      </c>
      <c r="AD7" s="208">
        <v>14374</v>
      </c>
    </row>
    <row r="8" spans="2:30" x14ac:dyDescent="0.25">
      <c r="B8" s="198">
        <v>2032</v>
      </c>
      <c r="C8" s="209">
        <v>2</v>
      </c>
      <c r="D8" s="210">
        <v>12172347</v>
      </c>
      <c r="E8" s="201" t="s">
        <v>19</v>
      </c>
      <c r="F8" s="202">
        <v>20</v>
      </c>
      <c r="G8" s="203">
        <v>17036</v>
      </c>
      <c r="H8" s="204">
        <v>16401</v>
      </c>
      <c r="I8" s="204">
        <v>15886</v>
      </c>
      <c r="J8" s="204">
        <v>15495</v>
      </c>
      <c r="K8" s="204">
        <v>15302</v>
      </c>
      <c r="L8" s="204">
        <v>15630</v>
      </c>
      <c r="M8" s="204">
        <v>14807</v>
      </c>
      <c r="N8" s="204">
        <v>15850</v>
      </c>
      <c r="O8" s="204">
        <v>17406</v>
      </c>
      <c r="P8" s="204">
        <v>18379</v>
      </c>
      <c r="Q8" s="204">
        <v>19146</v>
      </c>
      <c r="R8" s="204">
        <v>19661</v>
      </c>
      <c r="S8" s="204">
        <v>18582</v>
      </c>
      <c r="T8" s="204">
        <v>19483</v>
      </c>
      <c r="U8" s="204">
        <v>21091</v>
      </c>
      <c r="V8" s="204">
        <v>21330</v>
      </c>
      <c r="W8" s="204">
        <v>20867</v>
      </c>
      <c r="X8" s="204">
        <v>19984</v>
      </c>
      <c r="Y8" s="204">
        <v>21267</v>
      </c>
      <c r="Z8" s="204">
        <v>21715</v>
      </c>
      <c r="AA8" s="204">
        <v>21453</v>
      </c>
      <c r="AB8" s="204">
        <v>20684</v>
      </c>
      <c r="AC8" s="204">
        <v>19357</v>
      </c>
      <c r="AD8" s="204">
        <v>18096</v>
      </c>
    </row>
    <row r="9" spans="2:30" x14ac:dyDescent="0.25">
      <c r="B9" s="198">
        <v>2032</v>
      </c>
      <c r="C9" s="199">
        <v>2</v>
      </c>
      <c r="D9" s="200"/>
      <c r="E9" s="201" t="s">
        <v>20</v>
      </c>
      <c r="F9" s="202">
        <v>4</v>
      </c>
      <c r="G9" s="203">
        <v>16704</v>
      </c>
      <c r="H9" s="204">
        <v>16095</v>
      </c>
      <c r="I9" s="204">
        <v>15635</v>
      </c>
      <c r="J9" s="204">
        <v>15258</v>
      </c>
      <c r="K9" s="204">
        <v>15047</v>
      </c>
      <c r="L9" s="204">
        <v>14895</v>
      </c>
      <c r="M9" s="204">
        <v>14012</v>
      </c>
      <c r="N9" s="204">
        <v>14927</v>
      </c>
      <c r="O9" s="204">
        <v>16438</v>
      </c>
      <c r="P9" s="204">
        <v>17557</v>
      </c>
      <c r="Q9" s="204">
        <v>18340</v>
      </c>
      <c r="R9" s="204">
        <v>18764</v>
      </c>
      <c r="S9" s="204">
        <v>18428</v>
      </c>
      <c r="T9" s="204">
        <v>18248</v>
      </c>
      <c r="U9" s="204">
        <v>18540</v>
      </c>
      <c r="V9" s="204">
        <v>18517</v>
      </c>
      <c r="W9" s="204">
        <v>18265</v>
      </c>
      <c r="X9" s="204">
        <v>17938</v>
      </c>
      <c r="Y9" s="204">
        <v>19813</v>
      </c>
      <c r="Z9" s="204">
        <v>20230</v>
      </c>
      <c r="AA9" s="204">
        <v>19884</v>
      </c>
      <c r="AB9" s="204">
        <v>19082</v>
      </c>
      <c r="AC9" s="204">
        <v>18157</v>
      </c>
      <c r="AD9" s="204">
        <v>17229</v>
      </c>
    </row>
    <row r="10" spans="2:30" ht="15.75" thickBot="1" x14ac:dyDescent="0.3">
      <c r="B10" s="198">
        <v>2032</v>
      </c>
      <c r="C10" s="205">
        <v>2</v>
      </c>
      <c r="D10" s="200"/>
      <c r="E10" s="201" t="s">
        <v>21</v>
      </c>
      <c r="F10" s="202">
        <v>5</v>
      </c>
      <c r="G10" s="207">
        <v>13195</v>
      </c>
      <c r="H10" s="208">
        <v>12752</v>
      </c>
      <c r="I10" s="208">
        <v>12374</v>
      </c>
      <c r="J10" s="208">
        <v>12100</v>
      </c>
      <c r="K10" s="208">
        <v>11925</v>
      </c>
      <c r="L10" s="208">
        <v>11738</v>
      </c>
      <c r="M10" s="208">
        <v>10743</v>
      </c>
      <c r="N10" s="208">
        <v>11225</v>
      </c>
      <c r="O10" s="208">
        <v>11816</v>
      </c>
      <c r="P10" s="208">
        <v>12393</v>
      </c>
      <c r="Q10" s="208">
        <v>12912</v>
      </c>
      <c r="R10" s="208">
        <v>13397</v>
      </c>
      <c r="S10" s="208">
        <v>13493</v>
      </c>
      <c r="T10" s="208">
        <v>13537</v>
      </c>
      <c r="U10" s="208">
        <v>13683</v>
      </c>
      <c r="V10" s="208">
        <v>13822</v>
      </c>
      <c r="W10" s="208">
        <v>13737</v>
      </c>
      <c r="X10" s="208">
        <v>13739</v>
      </c>
      <c r="Y10" s="208">
        <v>15401</v>
      </c>
      <c r="Z10" s="208">
        <v>16102</v>
      </c>
      <c r="AA10" s="208">
        <v>16188</v>
      </c>
      <c r="AB10" s="208">
        <v>15631</v>
      </c>
      <c r="AC10" s="208">
        <v>14737</v>
      </c>
      <c r="AD10" s="208">
        <v>13795</v>
      </c>
    </row>
    <row r="11" spans="2:30" x14ac:dyDescent="0.25">
      <c r="B11" s="198">
        <v>2032</v>
      </c>
      <c r="C11" s="209">
        <v>3</v>
      </c>
      <c r="D11" s="210">
        <v>12636491</v>
      </c>
      <c r="E11" s="201" t="s">
        <v>19</v>
      </c>
      <c r="F11" s="202">
        <v>20</v>
      </c>
      <c r="G11" s="203">
        <v>16333</v>
      </c>
      <c r="H11" s="204">
        <v>15698</v>
      </c>
      <c r="I11" s="204">
        <v>15259</v>
      </c>
      <c r="J11" s="204">
        <v>14884</v>
      </c>
      <c r="K11" s="204">
        <v>14710</v>
      </c>
      <c r="L11" s="204">
        <v>14850</v>
      </c>
      <c r="M11" s="204">
        <v>14133</v>
      </c>
      <c r="N11" s="204">
        <v>15213</v>
      </c>
      <c r="O11" s="204">
        <v>16680</v>
      </c>
      <c r="P11" s="204">
        <v>17630</v>
      </c>
      <c r="Q11" s="204">
        <v>18424</v>
      </c>
      <c r="R11" s="204">
        <v>18969</v>
      </c>
      <c r="S11" s="204">
        <v>17901</v>
      </c>
      <c r="T11" s="204">
        <v>18672</v>
      </c>
      <c r="U11" s="204">
        <v>20017</v>
      </c>
      <c r="V11" s="204">
        <v>20231</v>
      </c>
      <c r="W11" s="204">
        <v>19745</v>
      </c>
      <c r="X11" s="204">
        <v>18950</v>
      </c>
      <c r="Y11" s="204">
        <v>20355</v>
      </c>
      <c r="Z11" s="204">
        <v>20736</v>
      </c>
      <c r="AA11" s="204">
        <v>20429</v>
      </c>
      <c r="AB11" s="204">
        <v>19642</v>
      </c>
      <c r="AC11" s="204">
        <v>18389</v>
      </c>
      <c r="AD11" s="204">
        <v>17291</v>
      </c>
    </row>
    <row r="12" spans="2:30" x14ac:dyDescent="0.25">
      <c r="B12" s="198">
        <v>2032</v>
      </c>
      <c r="C12" s="199">
        <v>3</v>
      </c>
      <c r="D12" s="200"/>
      <c r="E12" s="201" t="s">
        <v>20</v>
      </c>
      <c r="F12" s="202">
        <v>4</v>
      </c>
      <c r="G12" s="203">
        <v>18199</v>
      </c>
      <c r="H12" s="204">
        <v>17557</v>
      </c>
      <c r="I12" s="204">
        <v>17051</v>
      </c>
      <c r="J12" s="204">
        <v>16626</v>
      </c>
      <c r="K12" s="204">
        <v>16329</v>
      </c>
      <c r="L12" s="204">
        <v>16117</v>
      </c>
      <c r="M12" s="204">
        <v>15247</v>
      </c>
      <c r="N12" s="204">
        <v>16223</v>
      </c>
      <c r="O12" s="204">
        <v>17901</v>
      </c>
      <c r="P12" s="204">
        <v>19074</v>
      </c>
      <c r="Q12" s="204">
        <v>20012</v>
      </c>
      <c r="R12" s="204">
        <v>20495</v>
      </c>
      <c r="S12" s="204">
        <v>19914</v>
      </c>
      <c r="T12" s="204">
        <v>19651</v>
      </c>
      <c r="U12" s="204">
        <v>19780</v>
      </c>
      <c r="V12" s="204">
        <v>19905</v>
      </c>
      <c r="W12" s="204">
        <v>19509</v>
      </c>
      <c r="X12" s="204">
        <v>19364</v>
      </c>
      <c r="Y12" s="204">
        <v>21601</v>
      </c>
      <c r="Z12" s="204">
        <v>21937</v>
      </c>
      <c r="AA12" s="204">
        <v>21493</v>
      </c>
      <c r="AB12" s="204">
        <v>20811</v>
      </c>
      <c r="AC12" s="204">
        <v>19825</v>
      </c>
      <c r="AD12" s="204">
        <v>18937</v>
      </c>
    </row>
    <row r="13" spans="2:30" x14ac:dyDescent="0.25">
      <c r="B13" s="198">
        <v>2032</v>
      </c>
      <c r="C13" s="199">
        <v>3</v>
      </c>
      <c r="D13" s="200"/>
      <c r="E13" s="201" t="s">
        <v>21</v>
      </c>
      <c r="F13" s="202">
        <v>4</v>
      </c>
      <c r="G13" s="203">
        <v>17984</v>
      </c>
      <c r="H13" s="204">
        <v>17405</v>
      </c>
      <c r="I13" s="204">
        <v>16894</v>
      </c>
      <c r="J13" s="204">
        <v>16514</v>
      </c>
      <c r="K13" s="204">
        <v>16232</v>
      </c>
      <c r="L13" s="204">
        <v>15846</v>
      </c>
      <c r="M13" s="204">
        <v>14831</v>
      </c>
      <c r="N13" s="204">
        <v>15472</v>
      </c>
      <c r="O13" s="204">
        <v>15845</v>
      </c>
      <c r="P13" s="204">
        <v>16025</v>
      </c>
      <c r="Q13" s="204">
        <v>17284</v>
      </c>
      <c r="R13" s="204">
        <v>17988</v>
      </c>
      <c r="S13" s="204">
        <v>18263</v>
      </c>
      <c r="T13" s="204">
        <v>18234</v>
      </c>
      <c r="U13" s="204">
        <v>18558</v>
      </c>
      <c r="V13" s="204">
        <v>18304</v>
      </c>
      <c r="W13" s="204">
        <v>17992</v>
      </c>
      <c r="X13" s="204">
        <v>18511</v>
      </c>
      <c r="Y13" s="204">
        <v>20869</v>
      </c>
      <c r="Z13" s="204">
        <v>21625</v>
      </c>
      <c r="AA13" s="204">
        <v>21627</v>
      </c>
      <c r="AB13" s="204">
        <v>20984</v>
      </c>
      <c r="AC13" s="204">
        <v>19967</v>
      </c>
      <c r="AD13" s="204">
        <v>18651</v>
      </c>
    </row>
    <row r="14" spans="2:30" ht="15.75" thickBot="1" x14ac:dyDescent="0.3">
      <c r="B14" s="198">
        <v>2032</v>
      </c>
      <c r="C14" s="205">
        <v>3</v>
      </c>
      <c r="D14" s="206"/>
      <c r="E14" s="201" t="s">
        <v>22</v>
      </c>
      <c r="F14" s="202">
        <v>3</v>
      </c>
      <c r="G14" s="207">
        <v>7998</v>
      </c>
      <c r="H14" s="208">
        <v>7661</v>
      </c>
      <c r="I14" s="208">
        <v>7428</v>
      </c>
      <c r="J14" s="208">
        <v>7258</v>
      </c>
      <c r="K14" s="208">
        <v>7169</v>
      </c>
      <c r="L14" s="208">
        <v>6968</v>
      </c>
      <c r="M14" s="208">
        <v>6626</v>
      </c>
      <c r="N14" s="208">
        <v>6951</v>
      </c>
      <c r="O14" s="208">
        <v>7357</v>
      </c>
      <c r="P14" s="208">
        <v>7715</v>
      </c>
      <c r="Q14" s="208">
        <v>8075</v>
      </c>
      <c r="R14" s="208">
        <v>8465</v>
      </c>
      <c r="S14" s="208">
        <v>8574</v>
      </c>
      <c r="T14" s="208">
        <v>8608</v>
      </c>
      <c r="U14" s="208">
        <v>8602</v>
      </c>
      <c r="V14" s="208">
        <v>8593</v>
      </c>
      <c r="W14" s="208">
        <v>8497</v>
      </c>
      <c r="X14" s="208">
        <v>8485</v>
      </c>
      <c r="Y14" s="208">
        <v>9546</v>
      </c>
      <c r="Z14" s="208">
        <v>9895</v>
      </c>
      <c r="AA14" s="208">
        <v>9865</v>
      </c>
      <c r="AB14" s="208">
        <v>9550</v>
      </c>
      <c r="AC14" s="208">
        <v>9003</v>
      </c>
      <c r="AD14" s="208">
        <v>8384</v>
      </c>
    </row>
    <row r="15" spans="2:30" x14ac:dyDescent="0.25">
      <c r="B15" s="198">
        <v>2032</v>
      </c>
      <c r="C15" s="209">
        <v>4</v>
      </c>
      <c r="D15" s="210">
        <v>11372910</v>
      </c>
      <c r="E15" s="201" t="s">
        <v>19</v>
      </c>
      <c r="F15" s="202">
        <v>22</v>
      </c>
      <c r="G15" s="203">
        <v>13675</v>
      </c>
      <c r="H15" s="204">
        <v>13232</v>
      </c>
      <c r="I15" s="204">
        <v>12892</v>
      </c>
      <c r="J15" s="204">
        <v>12595</v>
      </c>
      <c r="K15" s="204">
        <v>12513</v>
      </c>
      <c r="L15" s="204">
        <v>12460</v>
      </c>
      <c r="M15" s="204">
        <v>12123</v>
      </c>
      <c r="N15" s="204">
        <v>13174</v>
      </c>
      <c r="O15" s="204">
        <v>14566</v>
      </c>
      <c r="P15" s="204">
        <v>15708</v>
      </c>
      <c r="Q15" s="204">
        <v>16424</v>
      </c>
      <c r="R15" s="204">
        <v>16479</v>
      </c>
      <c r="S15" s="204">
        <v>15788</v>
      </c>
      <c r="T15" s="204">
        <v>16585</v>
      </c>
      <c r="U15" s="204">
        <v>17731</v>
      </c>
      <c r="V15" s="204">
        <v>17690</v>
      </c>
      <c r="W15" s="204">
        <v>16914</v>
      </c>
      <c r="X15" s="204">
        <v>16570</v>
      </c>
      <c r="Y15" s="204">
        <v>17810</v>
      </c>
      <c r="Z15" s="204">
        <v>18019</v>
      </c>
      <c r="AA15" s="204">
        <v>17504</v>
      </c>
      <c r="AB15" s="204">
        <v>16731</v>
      </c>
      <c r="AC15" s="204">
        <v>15643</v>
      </c>
      <c r="AD15" s="204">
        <v>14477</v>
      </c>
    </row>
    <row r="16" spans="2:30" x14ac:dyDescent="0.25">
      <c r="B16" s="198">
        <v>2032</v>
      </c>
      <c r="C16" s="199">
        <v>4</v>
      </c>
      <c r="D16" s="200"/>
      <c r="E16" s="201" t="s">
        <v>20</v>
      </c>
      <c r="F16" s="202">
        <v>4</v>
      </c>
      <c r="G16" s="203">
        <v>17107</v>
      </c>
      <c r="H16" s="204">
        <v>16444</v>
      </c>
      <c r="I16" s="204">
        <v>15933</v>
      </c>
      <c r="J16" s="204">
        <v>15556</v>
      </c>
      <c r="K16" s="204">
        <v>15346</v>
      </c>
      <c r="L16" s="204">
        <v>14970</v>
      </c>
      <c r="M16" s="204">
        <v>14421</v>
      </c>
      <c r="N16" s="204">
        <v>15528</v>
      </c>
      <c r="O16" s="204">
        <v>16917</v>
      </c>
      <c r="P16" s="204">
        <v>17844</v>
      </c>
      <c r="Q16" s="204">
        <v>18640</v>
      </c>
      <c r="R16" s="204">
        <v>19309</v>
      </c>
      <c r="S16" s="204">
        <v>19065</v>
      </c>
      <c r="T16" s="204">
        <v>18970</v>
      </c>
      <c r="U16" s="204">
        <v>19335</v>
      </c>
      <c r="V16" s="204">
        <v>19378</v>
      </c>
      <c r="W16" s="204">
        <v>19090</v>
      </c>
      <c r="X16" s="204">
        <v>18959</v>
      </c>
      <c r="Y16" s="204">
        <v>21195</v>
      </c>
      <c r="Z16" s="204">
        <v>21485</v>
      </c>
      <c r="AA16" s="204">
        <v>20902</v>
      </c>
      <c r="AB16" s="204">
        <v>20179</v>
      </c>
      <c r="AC16" s="204">
        <v>18988</v>
      </c>
      <c r="AD16" s="204">
        <v>18027</v>
      </c>
    </row>
    <row r="17" spans="2:30" ht="15.75" thickBot="1" x14ac:dyDescent="0.3">
      <c r="B17" s="198">
        <v>2032</v>
      </c>
      <c r="C17" s="205">
        <v>4</v>
      </c>
      <c r="D17" s="200"/>
      <c r="E17" s="201" t="s">
        <v>21</v>
      </c>
      <c r="F17" s="202">
        <v>4</v>
      </c>
      <c r="G17" s="207">
        <v>16072</v>
      </c>
      <c r="H17" s="208">
        <v>15507</v>
      </c>
      <c r="I17" s="208">
        <v>15055</v>
      </c>
      <c r="J17" s="208">
        <v>14669</v>
      </c>
      <c r="K17" s="208">
        <v>14400</v>
      </c>
      <c r="L17" s="208">
        <v>13969</v>
      </c>
      <c r="M17" s="208">
        <v>13265</v>
      </c>
      <c r="N17" s="208">
        <v>13917</v>
      </c>
      <c r="O17" s="208">
        <v>14810</v>
      </c>
      <c r="P17" s="208">
        <v>15315</v>
      </c>
      <c r="Q17" s="208">
        <v>15722</v>
      </c>
      <c r="R17" s="208">
        <v>16319</v>
      </c>
      <c r="S17" s="208">
        <v>16574</v>
      </c>
      <c r="T17" s="208">
        <v>16662</v>
      </c>
      <c r="U17" s="208">
        <v>16909</v>
      </c>
      <c r="V17" s="208">
        <v>17001</v>
      </c>
      <c r="W17" s="208">
        <v>16832</v>
      </c>
      <c r="X17" s="208">
        <v>16823</v>
      </c>
      <c r="Y17" s="208">
        <v>19034</v>
      </c>
      <c r="Z17" s="208">
        <v>19574</v>
      </c>
      <c r="AA17" s="208">
        <v>19364</v>
      </c>
      <c r="AB17" s="208">
        <v>18478</v>
      </c>
      <c r="AC17" s="208">
        <v>17167</v>
      </c>
      <c r="AD17" s="208">
        <v>16035</v>
      </c>
    </row>
    <row r="18" spans="2:30" x14ac:dyDescent="0.25">
      <c r="B18" s="198">
        <v>2032</v>
      </c>
      <c r="C18" s="209">
        <v>5</v>
      </c>
      <c r="D18" s="210">
        <v>9413445</v>
      </c>
      <c r="E18" s="201" t="s">
        <v>19</v>
      </c>
      <c r="F18" s="202">
        <v>19</v>
      </c>
      <c r="G18" s="203">
        <v>12747</v>
      </c>
      <c r="H18" s="204">
        <v>12234</v>
      </c>
      <c r="I18" s="204">
        <v>11882</v>
      </c>
      <c r="J18" s="204">
        <v>11623</v>
      </c>
      <c r="K18" s="204">
        <v>11552</v>
      </c>
      <c r="L18" s="204">
        <v>11534</v>
      </c>
      <c r="M18" s="204">
        <v>11439</v>
      </c>
      <c r="N18" s="204">
        <v>12622</v>
      </c>
      <c r="O18" s="204">
        <v>13844</v>
      </c>
      <c r="P18" s="204">
        <v>14580</v>
      </c>
      <c r="Q18" s="204">
        <v>15182</v>
      </c>
      <c r="R18" s="204">
        <v>15573</v>
      </c>
      <c r="S18" s="204">
        <v>14798</v>
      </c>
      <c r="T18" s="204">
        <v>15316</v>
      </c>
      <c r="U18" s="204">
        <v>16415</v>
      </c>
      <c r="V18" s="204">
        <v>16448</v>
      </c>
      <c r="W18" s="204">
        <v>16027</v>
      </c>
      <c r="X18" s="204">
        <v>15426</v>
      </c>
      <c r="Y18" s="204">
        <v>16721</v>
      </c>
      <c r="Z18" s="204">
        <v>16935</v>
      </c>
      <c r="AA18" s="204">
        <v>16532</v>
      </c>
      <c r="AB18" s="204">
        <v>15721</v>
      </c>
      <c r="AC18" s="204">
        <v>14589</v>
      </c>
      <c r="AD18" s="204">
        <v>13571</v>
      </c>
    </row>
    <row r="19" spans="2:30" x14ac:dyDescent="0.25">
      <c r="B19" s="198">
        <v>2032</v>
      </c>
      <c r="C19" s="199">
        <v>5</v>
      </c>
      <c r="D19" s="200"/>
      <c r="E19" s="201" t="s">
        <v>20</v>
      </c>
      <c r="F19" s="202">
        <v>4</v>
      </c>
      <c r="G19" s="203">
        <v>11991</v>
      </c>
      <c r="H19" s="204">
        <v>11517</v>
      </c>
      <c r="I19" s="204">
        <v>11145</v>
      </c>
      <c r="J19" s="204">
        <v>10877</v>
      </c>
      <c r="K19" s="204">
        <v>10735</v>
      </c>
      <c r="L19" s="204">
        <v>10308</v>
      </c>
      <c r="M19" s="204">
        <v>10088</v>
      </c>
      <c r="N19" s="204">
        <v>10838</v>
      </c>
      <c r="O19" s="204">
        <v>11942</v>
      </c>
      <c r="P19" s="204">
        <v>12563</v>
      </c>
      <c r="Q19" s="204">
        <v>13140</v>
      </c>
      <c r="R19" s="204">
        <v>13511</v>
      </c>
      <c r="S19" s="204">
        <v>13062</v>
      </c>
      <c r="T19" s="204">
        <v>12839</v>
      </c>
      <c r="U19" s="204">
        <v>12910</v>
      </c>
      <c r="V19" s="204">
        <v>12930</v>
      </c>
      <c r="W19" s="204">
        <v>12719</v>
      </c>
      <c r="X19" s="204">
        <v>12743</v>
      </c>
      <c r="Y19" s="204">
        <v>14252</v>
      </c>
      <c r="Z19" s="204">
        <v>14294</v>
      </c>
      <c r="AA19" s="204">
        <v>13842</v>
      </c>
      <c r="AB19" s="204">
        <v>13274</v>
      </c>
      <c r="AC19" s="204">
        <v>12530</v>
      </c>
      <c r="AD19" s="204">
        <v>11732</v>
      </c>
    </row>
    <row r="20" spans="2:30" x14ac:dyDescent="0.25">
      <c r="B20" s="198">
        <v>2032</v>
      </c>
      <c r="C20" s="199">
        <v>5</v>
      </c>
      <c r="D20" s="200"/>
      <c r="E20" s="201" t="s">
        <v>21</v>
      </c>
      <c r="F20" s="202">
        <v>5</v>
      </c>
      <c r="G20" s="203">
        <v>9136</v>
      </c>
      <c r="H20" s="204">
        <v>8792</v>
      </c>
      <c r="I20" s="204">
        <v>8555</v>
      </c>
      <c r="J20" s="204">
        <v>8256</v>
      </c>
      <c r="K20" s="204">
        <v>8160</v>
      </c>
      <c r="L20" s="204">
        <v>7772</v>
      </c>
      <c r="M20" s="204">
        <v>7346</v>
      </c>
      <c r="N20" s="204">
        <v>7758</v>
      </c>
      <c r="O20" s="204">
        <v>8423</v>
      </c>
      <c r="P20" s="204">
        <v>8852</v>
      </c>
      <c r="Q20" s="204">
        <v>9161</v>
      </c>
      <c r="R20" s="204">
        <v>9516</v>
      </c>
      <c r="S20" s="204">
        <v>9572</v>
      </c>
      <c r="T20" s="204">
        <v>9551</v>
      </c>
      <c r="U20" s="204">
        <v>9580</v>
      </c>
      <c r="V20" s="204">
        <v>9615</v>
      </c>
      <c r="W20" s="204">
        <v>9601</v>
      </c>
      <c r="X20" s="204">
        <v>9661</v>
      </c>
      <c r="Y20" s="204">
        <v>10932</v>
      </c>
      <c r="Z20" s="204">
        <v>11255</v>
      </c>
      <c r="AA20" s="204">
        <v>11289</v>
      </c>
      <c r="AB20" s="204">
        <v>10973</v>
      </c>
      <c r="AC20" s="204">
        <v>10352</v>
      </c>
      <c r="AD20" s="204">
        <v>9743</v>
      </c>
    </row>
    <row r="21" spans="2:30" ht="15.75" thickBot="1" x14ac:dyDescent="0.3">
      <c r="B21" s="198">
        <v>2032</v>
      </c>
      <c r="C21" s="205">
        <v>5</v>
      </c>
      <c r="D21" s="206"/>
      <c r="E21" s="201" t="s">
        <v>22</v>
      </c>
      <c r="F21" s="202">
        <v>3</v>
      </c>
      <c r="G21" s="207">
        <v>7752</v>
      </c>
      <c r="H21" s="208">
        <v>7414</v>
      </c>
      <c r="I21" s="208">
        <v>7201</v>
      </c>
      <c r="J21" s="208">
        <v>6995</v>
      </c>
      <c r="K21" s="208">
        <v>6826</v>
      </c>
      <c r="L21" s="208">
        <v>6409</v>
      </c>
      <c r="M21" s="208">
        <v>6343</v>
      </c>
      <c r="N21" s="208">
        <v>6809</v>
      </c>
      <c r="O21" s="208">
        <v>7295</v>
      </c>
      <c r="P21" s="208">
        <v>7745</v>
      </c>
      <c r="Q21" s="208">
        <v>8086</v>
      </c>
      <c r="R21" s="208">
        <v>8543</v>
      </c>
      <c r="S21" s="208">
        <v>8600</v>
      </c>
      <c r="T21" s="208">
        <v>8625</v>
      </c>
      <c r="U21" s="208">
        <v>8764</v>
      </c>
      <c r="V21" s="208">
        <v>8805</v>
      </c>
      <c r="W21" s="208">
        <v>8651</v>
      </c>
      <c r="X21" s="208">
        <v>8592</v>
      </c>
      <c r="Y21" s="208">
        <v>9726</v>
      </c>
      <c r="Z21" s="208">
        <v>10073</v>
      </c>
      <c r="AA21" s="208">
        <v>9954</v>
      </c>
      <c r="AB21" s="208">
        <v>9491</v>
      </c>
      <c r="AC21" s="208">
        <v>8957</v>
      </c>
      <c r="AD21" s="208">
        <v>8395</v>
      </c>
    </row>
    <row r="22" spans="2:30" x14ac:dyDescent="0.25">
      <c r="B22" s="198">
        <v>2032</v>
      </c>
      <c r="C22" s="209">
        <v>6</v>
      </c>
      <c r="D22" s="210">
        <v>8053054</v>
      </c>
      <c r="E22" s="201" t="s">
        <v>19</v>
      </c>
      <c r="F22" s="202">
        <v>21</v>
      </c>
      <c r="G22" s="203">
        <v>9288</v>
      </c>
      <c r="H22" s="204">
        <v>8816</v>
      </c>
      <c r="I22" s="204">
        <v>8583</v>
      </c>
      <c r="J22" s="204">
        <v>8443</v>
      </c>
      <c r="K22" s="204">
        <v>8571</v>
      </c>
      <c r="L22" s="204">
        <v>8510</v>
      </c>
      <c r="M22" s="204">
        <v>8403</v>
      </c>
      <c r="N22" s="204">
        <v>9143</v>
      </c>
      <c r="O22" s="204">
        <v>10084</v>
      </c>
      <c r="P22" s="204">
        <v>10647</v>
      </c>
      <c r="Q22" s="204">
        <v>11191</v>
      </c>
      <c r="R22" s="204">
        <v>11567</v>
      </c>
      <c r="S22" s="204">
        <v>10982</v>
      </c>
      <c r="T22" s="204">
        <v>11311</v>
      </c>
      <c r="U22" s="204">
        <v>12117</v>
      </c>
      <c r="V22" s="204">
        <v>12136</v>
      </c>
      <c r="W22" s="204">
        <v>11848</v>
      </c>
      <c r="X22" s="204">
        <v>11357</v>
      </c>
      <c r="Y22" s="204">
        <v>12303</v>
      </c>
      <c r="Z22" s="204">
        <v>12534</v>
      </c>
      <c r="AA22" s="204">
        <v>12180</v>
      </c>
      <c r="AB22" s="204">
        <v>11575</v>
      </c>
      <c r="AC22" s="204">
        <v>10724</v>
      </c>
      <c r="AD22" s="204">
        <v>9942</v>
      </c>
    </row>
    <row r="23" spans="2:30" x14ac:dyDescent="0.25">
      <c r="B23" s="198">
        <v>2032</v>
      </c>
      <c r="C23" s="199">
        <v>6</v>
      </c>
      <c r="D23" s="200"/>
      <c r="E23" s="201" t="s">
        <v>20</v>
      </c>
      <c r="F23" s="202">
        <v>4</v>
      </c>
      <c r="G23" s="203">
        <v>11131</v>
      </c>
      <c r="H23" s="204">
        <v>10736</v>
      </c>
      <c r="I23" s="204">
        <v>10358</v>
      </c>
      <c r="J23" s="204">
        <v>10083</v>
      </c>
      <c r="K23" s="204">
        <v>10016</v>
      </c>
      <c r="L23" s="204">
        <v>9648</v>
      </c>
      <c r="M23" s="204">
        <v>9454</v>
      </c>
      <c r="N23" s="204">
        <v>10269</v>
      </c>
      <c r="O23" s="204">
        <v>11220</v>
      </c>
      <c r="P23" s="204">
        <v>12040</v>
      </c>
      <c r="Q23" s="204">
        <v>12666</v>
      </c>
      <c r="R23" s="204">
        <v>13002</v>
      </c>
      <c r="S23" s="204">
        <v>12798</v>
      </c>
      <c r="T23" s="204">
        <v>12804</v>
      </c>
      <c r="U23" s="204">
        <v>12966</v>
      </c>
      <c r="V23" s="204">
        <v>12683</v>
      </c>
      <c r="W23" s="204">
        <v>12423</v>
      </c>
      <c r="X23" s="204">
        <v>12421</v>
      </c>
      <c r="Y23" s="204">
        <v>13895</v>
      </c>
      <c r="Z23" s="204">
        <v>14274</v>
      </c>
      <c r="AA23" s="204">
        <v>13949</v>
      </c>
      <c r="AB23" s="204">
        <v>13276</v>
      </c>
      <c r="AC23" s="204">
        <v>12531</v>
      </c>
      <c r="AD23" s="204">
        <v>11846</v>
      </c>
    </row>
    <row r="24" spans="2:30" x14ac:dyDescent="0.25">
      <c r="B24" s="198">
        <v>2032</v>
      </c>
      <c r="C24" s="199">
        <v>6</v>
      </c>
      <c r="D24" s="200"/>
      <c r="E24" s="201" t="s">
        <v>21</v>
      </c>
      <c r="F24" s="202">
        <v>4</v>
      </c>
      <c r="G24" s="203">
        <v>11201</v>
      </c>
      <c r="H24" s="204">
        <v>10775</v>
      </c>
      <c r="I24" s="204">
        <v>10490</v>
      </c>
      <c r="J24" s="204">
        <v>10299</v>
      </c>
      <c r="K24" s="204">
        <v>10166</v>
      </c>
      <c r="L24" s="204">
        <v>9474</v>
      </c>
      <c r="M24" s="204">
        <v>9092</v>
      </c>
      <c r="N24" s="204">
        <v>9541</v>
      </c>
      <c r="O24" s="204">
        <v>10119</v>
      </c>
      <c r="P24" s="204">
        <v>10703</v>
      </c>
      <c r="Q24" s="204">
        <v>11178</v>
      </c>
      <c r="R24" s="204">
        <v>11541</v>
      </c>
      <c r="S24" s="204">
        <v>11685</v>
      </c>
      <c r="T24" s="204">
        <v>11784</v>
      </c>
      <c r="U24" s="204">
        <v>12057</v>
      </c>
      <c r="V24" s="204">
        <v>12036</v>
      </c>
      <c r="W24" s="204">
        <v>12022</v>
      </c>
      <c r="X24" s="204">
        <v>11999</v>
      </c>
      <c r="Y24" s="204">
        <v>13538</v>
      </c>
      <c r="Z24" s="204">
        <v>14090</v>
      </c>
      <c r="AA24" s="204">
        <v>13916</v>
      </c>
      <c r="AB24" s="204">
        <v>13356</v>
      </c>
      <c r="AC24" s="204">
        <v>12582</v>
      </c>
      <c r="AD24" s="204">
        <v>11841</v>
      </c>
    </row>
    <row r="25" spans="2:30" ht="15.75" thickBot="1" x14ac:dyDescent="0.3">
      <c r="B25" s="198">
        <v>2032</v>
      </c>
      <c r="C25" s="205">
        <v>6</v>
      </c>
      <c r="D25" s="206"/>
      <c r="E25" s="201" t="s">
        <v>22</v>
      </c>
      <c r="F25" s="202">
        <v>1</v>
      </c>
      <c r="G25" s="207">
        <v>20429</v>
      </c>
      <c r="H25" s="208">
        <v>19725</v>
      </c>
      <c r="I25" s="208">
        <v>19228</v>
      </c>
      <c r="J25" s="208">
        <v>18786</v>
      </c>
      <c r="K25" s="208">
        <v>18557</v>
      </c>
      <c r="L25" s="208">
        <v>17260</v>
      </c>
      <c r="M25" s="208">
        <v>16662</v>
      </c>
      <c r="N25" s="208">
        <v>17743</v>
      </c>
      <c r="O25" s="208">
        <v>19288</v>
      </c>
      <c r="P25" s="208">
        <v>20234</v>
      </c>
      <c r="Q25" s="208">
        <v>20794</v>
      </c>
      <c r="R25" s="208">
        <v>21898</v>
      </c>
      <c r="S25" s="208">
        <v>22142</v>
      </c>
      <c r="T25" s="208">
        <v>22342</v>
      </c>
      <c r="U25" s="208">
        <v>23496</v>
      </c>
      <c r="V25" s="208">
        <v>23305</v>
      </c>
      <c r="W25" s="208">
        <v>22187</v>
      </c>
      <c r="X25" s="208">
        <v>21923</v>
      </c>
      <c r="Y25" s="208">
        <v>24541</v>
      </c>
      <c r="Z25" s="208">
        <v>25377</v>
      </c>
      <c r="AA25" s="208">
        <v>25034</v>
      </c>
      <c r="AB25" s="208">
        <v>23899</v>
      </c>
      <c r="AC25" s="208">
        <v>22198</v>
      </c>
      <c r="AD25" s="208">
        <v>20755</v>
      </c>
    </row>
    <row r="26" spans="2:30" x14ac:dyDescent="0.25">
      <c r="B26" s="198">
        <v>2032</v>
      </c>
      <c r="C26" s="209">
        <v>7</v>
      </c>
      <c r="D26" s="210">
        <v>8617285</v>
      </c>
      <c r="E26" s="201" t="s">
        <v>19</v>
      </c>
      <c r="F26" s="202">
        <v>20</v>
      </c>
      <c r="G26" s="203">
        <v>10632</v>
      </c>
      <c r="H26" s="204">
        <v>10248</v>
      </c>
      <c r="I26" s="204">
        <v>9951</v>
      </c>
      <c r="J26" s="204">
        <v>9726</v>
      </c>
      <c r="K26" s="204">
        <v>9696</v>
      </c>
      <c r="L26" s="204">
        <v>9717</v>
      </c>
      <c r="M26" s="204">
        <v>9483</v>
      </c>
      <c r="N26" s="204">
        <v>10233</v>
      </c>
      <c r="O26" s="204">
        <v>11163</v>
      </c>
      <c r="P26" s="204">
        <v>11823</v>
      </c>
      <c r="Q26" s="204">
        <v>12333</v>
      </c>
      <c r="R26" s="204">
        <v>12671</v>
      </c>
      <c r="S26" s="204">
        <v>12054</v>
      </c>
      <c r="T26" s="204">
        <v>12317</v>
      </c>
      <c r="U26" s="204">
        <v>13241</v>
      </c>
      <c r="V26" s="204">
        <v>13330</v>
      </c>
      <c r="W26" s="204">
        <v>13149</v>
      </c>
      <c r="X26" s="204">
        <v>12643</v>
      </c>
      <c r="Y26" s="204">
        <v>13646</v>
      </c>
      <c r="Z26" s="204">
        <v>14088</v>
      </c>
      <c r="AA26" s="204">
        <v>13728</v>
      </c>
      <c r="AB26" s="204">
        <v>13059</v>
      </c>
      <c r="AC26" s="204">
        <v>12063</v>
      </c>
      <c r="AD26" s="204">
        <v>11167</v>
      </c>
    </row>
    <row r="27" spans="2:30" x14ac:dyDescent="0.25">
      <c r="B27" s="198">
        <v>2032</v>
      </c>
      <c r="C27" s="199">
        <v>7</v>
      </c>
      <c r="D27" s="200"/>
      <c r="E27" s="201" t="s">
        <v>20</v>
      </c>
      <c r="F27" s="202">
        <v>5</v>
      </c>
      <c r="G27" s="203">
        <v>8934</v>
      </c>
      <c r="H27" s="204">
        <v>8710</v>
      </c>
      <c r="I27" s="204">
        <v>8469</v>
      </c>
      <c r="J27" s="204">
        <v>8307</v>
      </c>
      <c r="K27" s="204">
        <v>8238</v>
      </c>
      <c r="L27" s="204">
        <v>8054</v>
      </c>
      <c r="M27" s="204">
        <v>7878</v>
      </c>
      <c r="N27" s="204">
        <v>8603</v>
      </c>
      <c r="O27" s="204">
        <v>9477</v>
      </c>
      <c r="P27" s="204">
        <v>10005</v>
      </c>
      <c r="Q27" s="204">
        <v>10394</v>
      </c>
      <c r="R27" s="204">
        <v>10696</v>
      </c>
      <c r="S27" s="204">
        <v>10581</v>
      </c>
      <c r="T27" s="204">
        <v>10553</v>
      </c>
      <c r="U27" s="204">
        <v>10782</v>
      </c>
      <c r="V27" s="204">
        <v>10429</v>
      </c>
      <c r="W27" s="204">
        <v>10600</v>
      </c>
      <c r="X27" s="204">
        <v>10398</v>
      </c>
      <c r="Y27" s="204">
        <v>11520</v>
      </c>
      <c r="Z27" s="204">
        <v>11945</v>
      </c>
      <c r="AA27" s="204">
        <v>11667</v>
      </c>
      <c r="AB27" s="204">
        <v>11176</v>
      </c>
      <c r="AC27" s="204">
        <v>10525</v>
      </c>
      <c r="AD27" s="204">
        <v>9882</v>
      </c>
    </row>
    <row r="28" spans="2:30" x14ac:dyDescent="0.25">
      <c r="B28" s="198">
        <v>2032</v>
      </c>
      <c r="C28" s="199">
        <v>7</v>
      </c>
      <c r="D28" s="200"/>
      <c r="E28" s="201" t="s">
        <v>21</v>
      </c>
      <c r="F28" s="202">
        <v>4</v>
      </c>
      <c r="G28" s="203">
        <v>12601</v>
      </c>
      <c r="H28" s="204">
        <v>12118</v>
      </c>
      <c r="I28" s="204">
        <v>11824</v>
      </c>
      <c r="J28" s="204">
        <v>11407</v>
      </c>
      <c r="K28" s="204">
        <v>11346</v>
      </c>
      <c r="L28" s="204">
        <v>10966</v>
      </c>
      <c r="M28" s="204">
        <v>10368</v>
      </c>
      <c r="N28" s="204">
        <v>11114</v>
      </c>
      <c r="O28" s="204">
        <v>12084</v>
      </c>
      <c r="P28" s="204">
        <v>12668</v>
      </c>
      <c r="Q28" s="204">
        <v>13117</v>
      </c>
      <c r="R28" s="204">
        <v>13547</v>
      </c>
      <c r="S28" s="204">
        <v>13418</v>
      </c>
      <c r="T28" s="204">
        <v>13228</v>
      </c>
      <c r="U28" s="204">
        <v>13325</v>
      </c>
      <c r="V28" s="204">
        <v>13482</v>
      </c>
      <c r="W28" s="204">
        <v>13469</v>
      </c>
      <c r="X28" s="204">
        <v>13402</v>
      </c>
      <c r="Y28" s="204">
        <v>14829</v>
      </c>
      <c r="Z28" s="204">
        <v>15543</v>
      </c>
      <c r="AA28" s="204">
        <v>15267</v>
      </c>
      <c r="AB28" s="204">
        <v>14648</v>
      </c>
      <c r="AC28" s="204">
        <v>13760</v>
      </c>
      <c r="AD28" s="204">
        <v>12949</v>
      </c>
    </row>
    <row r="29" spans="2:30" ht="15.75" thickBot="1" x14ac:dyDescent="0.3">
      <c r="B29" s="198">
        <v>2032</v>
      </c>
      <c r="C29" s="205">
        <v>7</v>
      </c>
      <c r="D29" s="206"/>
      <c r="E29" s="201" t="s">
        <v>22</v>
      </c>
      <c r="F29" s="202">
        <v>2</v>
      </c>
      <c r="G29" s="207">
        <v>10393</v>
      </c>
      <c r="H29" s="208">
        <v>10093</v>
      </c>
      <c r="I29" s="208">
        <v>9829</v>
      </c>
      <c r="J29" s="208">
        <v>9577</v>
      </c>
      <c r="K29" s="208">
        <v>9511</v>
      </c>
      <c r="L29" s="208">
        <v>9258</v>
      </c>
      <c r="M29" s="208">
        <v>9074</v>
      </c>
      <c r="N29" s="208">
        <v>9610</v>
      </c>
      <c r="O29" s="208">
        <v>10287</v>
      </c>
      <c r="P29" s="208">
        <v>10856</v>
      </c>
      <c r="Q29" s="208">
        <v>11341</v>
      </c>
      <c r="R29" s="208">
        <v>11799</v>
      </c>
      <c r="S29" s="208">
        <v>12611</v>
      </c>
      <c r="T29" s="208">
        <v>12171</v>
      </c>
      <c r="U29" s="208">
        <v>12084</v>
      </c>
      <c r="V29" s="208">
        <v>12195</v>
      </c>
      <c r="W29" s="208">
        <v>12033</v>
      </c>
      <c r="X29" s="208">
        <v>11922</v>
      </c>
      <c r="Y29" s="208">
        <v>13268</v>
      </c>
      <c r="Z29" s="208">
        <v>13785</v>
      </c>
      <c r="AA29" s="208">
        <v>13503</v>
      </c>
      <c r="AB29" s="208">
        <v>12927</v>
      </c>
      <c r="AC29" s="208">
        <v>12056</v>
      </c>
      <c r="AD29" s="208">
        <v>11332</v>
      </c>
    </row>
    <row r="30" spans="2:30" x14ac:dyDescent="0.25">
      <c r="B30" s="198">
        <v>2032</v>
      </c>
      <c r="C30" s="209">
        <v>8</v>
      </c>
      <c r="D30" s="210">
        <v>10411492</v>
      </c>
      <c r="E30" s="201" t="s">
        <v>19</v>
      </c>
      <c r="F30" s="202">
        <v>21</v>
      </c>
      <c r="G30" s="203">
        <v>12603</v>
      </c>
      <c r="H30" s="204">
        <v>12151</v>
      </c>
      <c r="I30" s="204">
        <v>11800</v>
      </c>
      <c r="J30" s="204">
        <v>11555</v>
      </c>
      <c r="K30" s="204">
        <v>11493</v>
      </c>
      <c r="L30" s="204">
        <v>11470</v>
      </c>
      <c r="M30" s="204">
        <v>11183</v>
      </c>
      <c r="N30" s="204">
        <v>12177</v>
      </c>
      <c r="O30" s="204">
        <v>13529</v>
      </c>
      <c r="P30" s="204">
        <v>14416</v>
      </c>
      <c r="Q30" s="204">
        <v>15141</v>
      </c>
      <c r="R30" s="204">
        <v>15637</v>
      </c>
      <c r="S30" s="204">
        <v>14816</v>
      </c>
      <c r="T30" s="204">
        <v>15414</v>
      </c>
      <c r="U30" s="204">
        <v>16454</v>
      </c>
      <c r="V30" s="204">
        <v>16461</v>
      </c>
      <c r="W30" s="204">
        <v>16004</v>
      </c>
      <c r="X30" s="204">
        <v>15256</v>
      </c>
      <c r="Y30" s="204">
        <v>16437</v>
      </c>
      <c r="Z30" s="204">
        <v>16876</v>
      </c>
      <c r="AA30" s="204">
        <v>16503</v>
      </c>
      <c r="AB30" s="204">
        <v>15714</v>
      </c>
      <c r="AC30" s="204">
        <v>14513</v>
      </c>
      <c r="AD30" s="204">
        <v>13506</v>
      </c>
    </row>
    <row r="31" spans="2:30" x14ac:dyDescent="0.25">
      <c r="B31" s="198">
        <v>2032</v>
      </c>
      <c r="C31" s="199">
        <v>8</v>
      </c>
      <c r="D31" s="200"/>
      <c r="E31" s="201" t="s">
        <v>20</v>
      </c>
      <c r="F31" s="202">
        <v>3</v>
      </c>
      <c r="G31" s="203">
        <v>18757</v>
      </c>
      <c r="H31" s="204">
        <v>18033</v>
      </c>
      <c r="I31" s="204">
        <v>17493</v>
      </c>
      <c r="J31" s="204">
        <v>17088</v>
      </c>
      <c r="K31" s="204">
        <v>16795</v>
      </c>
      <c r="L31" s="204">
        <v>16376</v>
      </c>
      <c r="M31" s="204">
        <v>15833</v>
      </c>
      <c r="N31" s="204">
        <v>17179</v>
      </c>
      <c r="O31" s="204">
        <v>19021</v>
      </c>
      <c r="P31" s="204">
        <v>20312</v>
      </c>
      <c r="Q31" s="204">
        <v>21263</v>
      </c>
      <c r="R31" s="204">
        <v>21923</v>
      </c>
      <c r="S31" s="204">
        <v>21557</v>
      </c>
      <c r="T31" s="204">
        <v>21790</v>
      </c>
      <c r="U31" s="204">
        <v>22093</v>
      </c>
      <c r="V31" s="204">
        <v>21983</v>
      </c>
      <c r="W31" s="204">
        <v>21448</v>
      </c>
      <c r="X31" s="204">
        <v>21202</v>
      </c>
      <c r="Y31" s="204">
        <v>23347</v>
      </c>
      <c r="Z31" s="204">
        <v>23903</v>
      </c>
      <c r="AA31" s="204">
        <v>23431</v>
      </c>
      <c r="AB31" s="204">
        <v>22478</v>
      </c>
      <c r="AC31" s="204">
        <v>21135</v>
      </c>
      <c r="AD31" s="204">
        <v>19400</v>
      </c>
    </row>
    <row r="32" spans="2:30" x14ac:dyDescent="0.25">
      <c r="B32" s="198">
        <v>2032</v>
      </c>
      <c r="C32" s="199">
        <v>8</v>
      </c>
      <c r="D32" s="200"/>
      <c r="E32" s="201" t="s">
        <v>21</v>
      </c>
      <c r="F32" s="202">
        <v>5</v>
      </c>
      <c r="G32" s="203">
        <v>9472</v>
      </c>
      <c r="H32" s="204">
        <v>9201</v>
      </c>
      <c r="I32" s="204">
        <v>8938</v>
      </c>
      <c r="J32" s="204">
        <v>8711</v>
      </c>
      <c r="K32" s="204">
        <v>8573</v>
      </c>
      <c r="L32" s="204">
        <v>8136</v>
      </c>
      <c r="M32" s="204">
        <v>7622</v>
      </c>
      <c r="N32" s="204">
        <v>8044</v>
      </c>
      <c r="O32" s="204">
        <v>8583</v>
      </c>
      <c r="P32" s="204">
        <v>9105</v>
      </c>
      <c r="Q32" s="204">
        <v>9500</v>
      </c>
      <c r="R32" s="204">
        <v>9858</v>
      </c>
      <c r="S32" s="204">
        <v>9941</v>
      </c>
      <c r="T32" s="204">
        <v>10072</v>
      </c>
      <c r="U32" s="204">
        <v>10103</v>
      </c>
      <c r="V32" s="204">
        <v>10122</v>
      </c>
      <c r="W32" s="204">
        <v>10025</v>
      </c>
      <c r="X32" s="204">
        <v>9958</v>
      </c>
      <c r="Y32" s="204">
        <v>11223</v>
      </c>
      <c r="Z32" s="204">
        <v>11714</v>
      </c>
      <c r="AA32" s="204">
        <v>11585</v>
      </c>
      <c r="AB32" s="204">
        <v>11089</v>
      </c>
      <c r="AC32" s="204">
        <v>10372</v>
      </c>
      <c r="AD32" s="204">
        <v>9750</v>
      </c>
    </row>
    <row r="33" spans="2:30" ht="15.75" thickBot="1" x14ac:dyDescent="0.3">
      <c r="B33" s="198">
        <v>2032</v>
      </c>
      <c r="C33" s="205">
        <v>8</v>
      </c>
      <c r="D33" s="206"/>
      <c r="E33" s="201" t="s">
        <v>22</v>
      </c>
      <c r="F33" s="202">
        <v>2</v>
      </c>
      <c r="G33" s="207">
        <v>12643</v>
      </c>
      <c r="H33" s="208">
        <v>12209</v>
      </c>
      <c r="I33" s="208">
        <v>11851</v>
      </c>
      <c r="J33" s="208">
        <v>11357</v>
      </c>
      <c r="K33" s="208">
        <v>11426</v>
      </c>
      <c r="L33" s="208">
        <v>11154</v>
      </c>
      <c r="M33" s="208">
        <v>10594</v>
      </c>
      <c r="N33" s="208">
        <v>11300</v>
      </c>
      <c r="O33" s="208">
        <v>12174</v>
      </c>
      <c r="P33" s="208">
        <v>12965</v>
      </c>
      <c r="Q33" s="208">
        <v>13757</v>
      </c>
      <c r="R33" s="208">
        <v>14413</v>
      </c>
      <c r="S33" s="208">
        <v>14558</v>
      </c>
      <c r="T33" s="208">
        <v>14505</v>
      </c>
      <c r="U33" s="208">
        <v>14612</v>
      </c>
      <c r="V33" s="208">
        <v>14430</v>
      </c>
      <c r="W33" s="208">
        <v>11883</v>
      </c>
      <c r="X33" s="208">
        <v>13981</v>
      </c>
      <c r="Y33" s="208">
        <v>15551</v>
      </c>
      <c r="Z33" s="208">
        <v>16022</v>
      </c>
      <c r="AA33" s="208">
        <v>15665</v>
      </c>
      <c r="AB33" s="208">
        <v>14978</v>
      </c>
      <c r="AC33" s="208">
        <v>13998</v>
      </c>
      <c r="AD33" s="208">
        <v>13073</v>
      </c>
    </row>
    <row r="34" spans="2:30" x14ac:dyDescent="0.25">
      <c r="B34" s="198">
        <v>2032</v>
      </c>
      <c r="C34" s="209">
        <v>9</v>
      </c>
      <c r="D34" s="210">
        <v>11270988</v>
      </c>
      <c r="E34" s="201" t="s">
        <v>19</v>
      </c>
      <c r="F34" s="202">
        <v>22</v>
      </c>
      <c r="G34" s="203">
        <v>13858</v>
      </c>
      <c r="H34" s="204">
        <v>13087</v>
      </c>
      <c r="I34" s="204">
        <v>12691</v>
      </c>
      <c r="J34" s="204">
        <v>12440</v>
      </c>
      <c r="K34" s="204">
        <v>12500</v>
      </c>
      <c r="L34" s="204">
        <v>12337</v>
      </c>
      <c r="M34" s="204">
        <v>12129</v>
      </c>
      <c r="N34" s="204">
        <v>13261</v>
      </c>
      <c r="O34" s="204">
        <v>14755</v>
      </c>
      <c r="P34" s="204">
        <v>15801</v>
      </c>
      <c r="Q34" s="204">
        <v>16564</v>
      </c>
      <c r="R34" s="204">
        <v>17094</v>
      </c>
      <c r="S34" s="204">
        <v>16233</v>
      </c>
      <c r="T34" s="204">
        <v>16953</v>
      </c>
      <c r="U34" s="204">
        <v>17905</v>
      </c>
      <c r="V34" s="204">
        <v>17783</v>
      </c>
      <c r="W34" s="204">
        <v>17338</v>
      </c>
      <c r="X34" s="204">
        <v>16939</v>
      </c>
      <c r="Y34" s="204">
        <v>18212</v>
      </c>
      <c r="Z34" s="204">
        <v>18332</v>
      </c>
      <c r="AA34" s="204">
        <v>17959</v>
      </c>
      <c r="AB34" s="204">
        <v>17232</v>
      </c>
      <c r="AC34" s="204">
        <v>16040</v>
      </c>
      <c r="AD34" s="204">
        <v>14945</v>
      </c>
    </row>
    <row r="35" spans="2:30" x14ac:dyDescent="0.25">
      <c r="B35" s="198">
        <v>2032</v>
      </c>
      <c r="C35" s="199">
        <v>9</v>
      </c>
      <c r="D35" s="200"/>
      <c r="E35" s="201" t="s">
        <v>20</v>
      </c>
      <c r="F35" s="202">
        <v>4</v>
      </c>
      <c r="G35" s="203">
        <v>15593</v>
      </c>
      <c r="H35" s="204">
        <v>15047</v>
      </c>
      <c r="I35" s="204">
        <v>14586</v>
      </c>
      <c r="J35" s="204">
        <v>14251</v>
      </c>
      <c r="K35" s="204">
        <v>14052</v>
      </c>
      <c r="L35" s="204">
        <v>13419</v>
      </c>
      <c r="M35" s="204">
        <v>13226</v>
      </c>
      <c r="N35" s="204">
        <v>14335</v>
      </c>
      <c r="O35" s="204">
        <v>15834</v>
      </c>
      <c r="P35" s="204">
        <v>16972</v>
      </c>
      <c r="Q35" s="204">
        <v>17864</v>
      </c>
      <c r="R35" s="204">
        <v>18359</v>
      </c>
      <c r="S35" s="204">
        <v>17981</v>
      </c>
      <c r="T35" s="204">
        <v>17977</v>
      </c>
      <c r="U35" s="204">
        <v>18267</v>
      </c>
      <c r="V35" s="204">
        <v>18078</v>
      </c>
      <c r="W35" s="204">
        <v>17701</v>
      </c>
      <c r="X35" s="204">
        <v>17729</v>
      </c>
      <c r="Y35" s="204">
        <v>19559</v>
      </c>
      <c r="Z35" s="204">
        <v>19595</v>
      </c>
      <c r="AA35" s="204">
        <v>19174</v>
      </c>
      <c r="AB35" s="204">
        <v>18435</v>
      </c>
      <c r="AC35" s="204">
        <v>17495</v>
      </c>
      <c r="AD35" s="204">
        <v>16512</v>
      </c>
    </row>
    <row r="36" spans="2:30" ht="15.75" thickBot="1" x14ac:dyDescent="0.3">
      <c r="B36" s="198">
        <v>2032</v>
      </c>
      <c r="C36" s="205">
        <v>9</v>
      </c>
      <c r="D36" s="200"/>
      <c r="E36" s="201" t="s">
        <v>21</v>
      </c>
      <c r="F36" s="202">
        <v>4</v>
      </c>
      <c r="G36" s="207">
        <v>16249</v>
      </c>
      <c r="H36" s="208">
        <v>15609</v>
      </c>
      <c r="I36" s="208">
        <v>15068</v>
      </c>
      <c r="J36" s="208">
        <v>13791</v>
      </c>
      <c r="K36" s="208">
        <v>13356</v>
      </c>
      <c r="L36" s="208">
        <v>12720</v>
      </c>
      <c r="M36" s="208">
        <v>12127</v>
      </c>
      <c r="N36" s="208">
        <v>12800</v>
      </c>
      <c r="O36" s="208">
        <v>13590</v>
      </c>
      <c r="P36" s="208">
        <v>14371</v>
      </c>
      <c r="Q36" s="208">
        <v>14920</v>
      </c>
      <c r="R36" s="208">
        <v>15432</v>
      </c>
      <c r="S36" s="208">
        <v>15550</v>
      </c>
      <c r="T36" s="208">
        <v>15224</v>
      </c>
      <c r="U36" s="208">
        <v>15183</v>
      </c>
      <c r="V36" s="208">
        <v>15188</v>
      </c>
      <c r="W36" s="208">
        <v>14930</v>
      </c>
      <c r="X36" s="208">
        <v>14958</v>
      </c>
      <c r="Y36" s="208">
        <v>18286</v>
      </c>
      <c r="Z36" s="208">
        <v>18944</v>
      </c>
      <c r="AA36" s="208">
        <v>18679</v>
      </c>
      <c r="AB36" s="208">
        <v>17944</v>
      </c>
      <c r="AC36" s="208">
        <v>16843</v>
      </c>
      <c r="AD36" s="208">
        <v>15810</v>
      </c>
    </row>
    <row r="37" spans="2:30" x14ac:dyDescent="0.25">
      <c r="B37" s="198">
        <v>2032</v>
      </c>
      <c r="C37" s="209">
        <v>10</v>
      </c>
      <c r="D37" s="210">
        <v>12620734</v>
      </c>
      <c r="E37" s="201" t="s">
        <v>19</v>
      </c>
      <c r="F37" s="202">
        <v>20</v>
      </c>
      <c r="G37" s="203">
        <v>16278</v>
      </c>
      <c r="H37" s="204">
        <v>15676</v>
      </c>
      <c r="I37" s="204">
        <v>15228</v>
      </c>
      <c r="J37" s="204">
        <v>14903</v>
      </c>
      <c r="K37" s="204">
        <v>14675</v>
      </c>
      <c r="L37" s="204">
        <v>14281</v>
      </c>
      <c r="M37" s="204">
        <v>14173</v>
      </c>
      <c r="N37" s="204">
        <v>15654</v>
      </c>
      <c r="O37" s="204">
        <v>17514</v>
      </c>
      <c r="P37" s="204">
        <v>18628</v>
      </c>
      <c r="Q37" s="204">
        <v>19576</v>
      </c>
      <c r="R37" s="204">
        <v>20109</v>
      </c>
      <c r="S37" s="204">
        <v>19189</v>
      </c>
      <c r="T37" s="204">
        <v>19875</v>
      </c>
      <c r="U37" s="204">
        <v>21263</v>
      </c>
      <c r="V37" s="204">
        <v>21241</v>
      </c>
      <c r="W37" s="204">
        <v>20553</v>
      </c>
      <c r="X37" s="204">
        <v>20241</v>
      </c>
      <c r="Y37" s="204">
        <v>21403</v>
      </c>
      <c r="Z37" s="204">
        <v>21228</v>
      </c>
      <c r="AA37" s="204">
        <v>20783</v>
      </c>
      <c r="AB37" s="204">
        <v>19993</v>
      </c>
      <c r="AC37" s="204">
        <v>18643</v>
      </c>
      <c r="AD37" s="204">
        <v>17503</v>
      </c>
    </row>
    <row r="38" spans="2:30" x14ac:dyDescent="0.25">
      <c r="B38" s="198">
        <v>2032</v>
      </c>
      <c r="C38" s="199">
        <v>10</v>
      </c>
      <c r="D38" s="200"/>
      <c r="E38" s="201" t="s">
        <v>20</v>
      </c>
      <c r="F38" s="202">
        <v>5</v>
      </c>
      <c r="G38" s="203">
        <v>13667</v>
      </c>
      <c r="H38" s="204">
        <v>13199</v>
      </c>
      <c r="I38" s="204">
        <v>12794</v>
      </c>
      <c r="J38" s="204">
        <v>12423</v>
      </c>
      <c r="K38" s="204">
        <v>12060</v>
      </c>
      <c r="L38" s="204">
        <v>11708</v>
      </c>
      <c r="M38" s="204">
        <v>11630</v>
      </c>
      <c r="N38" s="204">
        <v>12674</v>
      </c>
      <c r="O38" s="204">
        <v>14066</v>
      </c>
      <c r="P38" s="204">
        <v>14987</v>
      </c>
      <c r="Q38" s="204">
        <v>15673</v>
      </c>
      <c r="R38" s="204">
        <v>16021</v>
      </c>
      <c r="S38" s="204">
        <v>15536</v>
      </c>
      <c r="T38" s="204">
        <v>15328</v>
      </c>
      <c r="U38" s="204">
        <v>15507</v>
      </c>
      <c r="V38" s="204">
        <v>15493</v>
      </c>
      <c r="W38" s="204">
        <v>15114</v>
      </c>
      <c r="X38" s="204">
        <v>15372</v>
      </c>
      <c r="Y38" s="204">
        <v>16740</v>
      </c>
      <c r="Z38" s="204">
        <v>16582</v>
      </c>
      <c r="AA38" s="204">
        <v>16166</v>
      </c>
      <c r="AB38" s="204">
        <v>15645</v>
      </c>
      <c r="AC38" s="204">
        <v>14913</v>
      </c>
      <c r="AD38" s="204">
        <v>14191</v>
      </c>
    </row>
    <row r="39" spans="2:30" x14ac:dyDescent="0.25">
      <c r="B39" s="198">
        <v>2032</v>
      </c>
      <c r="C39" s="199">
        <v>10</v>
      </c>
      <c r="D39" s="200"/>
      <c r="E39" s="201" t="s">
        <v>21</v>
      </c>
      <c r="F39" s="202">
        <v>5</v>
      </c>
      <c r="G39" s="203">
        <v>14817</v>
      </c>
      <c r="H39" s="204">
        <v>14198</v>
      </c>
      <c r="I39" s="204">
        <v>13641</v>
      </c>
      <c r="J39" s="204">
        <v>13237</v>
      </c>
      <c r="K39" s="204">
        <v>12984</v>
      </c>
      <c r="L39" s="204">
        <v>12473</v>
      </c>
      <c r="M39" s="204">
        <v>12025</v>
      </c>
      <c r="N39" s="204">
        <v>12479</v>
      </c>
      <c r="O39" s="204">
        <v>13069</v>
      </c>
      <c r="P39" s="204">
        <v>13605</v>
      </c>
      <c r="Q39" s="204">
        <v>14007</v>
      </c>
      <c r="R39" s="204">
        <v>14484</v>
      </c>
      <c r="S39" s="204">
        <v>14669</v>
      </c>
      <c r="T39" s="204">
        <v>14520</v>
      </c>
      <c r="U39" s="204">
        <v>14650</v>
      </c>
      <c r="V39" s="204">
        <v>14878</v>
      </c>
      <c r="W39" s="204">
        <v>14771</v>
      </c>
      <c r="X39" s="204">
        <v>15353</v>
      </c>
      <c r="Y39" s="204">
        <v>17195</v>
      </c>
      <c r="Z39" s="204">
        <v>17171</v>
      </c>
      <c r="AA39" s="204">
        <v>16915</v>
      </c>
      <c r="AB39" s="204">
        <v>16400</v>
      </c>
      <c r="AC39" s="204">
        <v>15525</v>
      </c>
      <c r="AD39" s="204">
        <v>14693</v>
      </c>
    </row>
    <row r="40" spans="2:30" ht="15.75" thickBot="1" x14ac:dyDescent="0.3">
      <c r="B40" s="198">
        <v>2032</v>
      </c>
      <c r="C40" s="205">
        <v>10</v>
      </c>
      <c r="D40" s="206"/>
      <c r="E40" s="201" t="s">
        <v>22</v>
      </c>
      <c r="F40" s="202">
        <v>1</v>
      </c>
      <c r="G40" s="207">
        <v>14956</v>
      </c>
      <c r="H40" s="208">
        <v>14495</v>
      </c>
      <c r="I40" s="208">
        <v>14096</v>
      </c>
      <c r="J40" s="208">
        <v>13796</v>
      </c>
      <c r="K40" s="208">
        <v>13649</v>
      </c>
      <c r="L40" s="208">
        <v>13072</v>
      </c>
      <c r="M40" s="208">
        <v>12747</v>
      </c>
      <c r="N40" s="208">
        <v>13509</v>
      </c>
      <c r="O40" s="208">
        <v>14508</v>
      </c>
      <c r="P40" s="208">
        <v>15378</v>
      </c>
      <c r="Q40" s="208">
        <v>16223</v>
      </c>
      <c r="R40" s="208">
        <v>16883</v>
      </c>
      <c r="S40" s="208">
        <v>16987</v>
      </c>
      <c r="T40" s="208">
        <v>16737</v>
      </c>
      <c r="U40" s="208">
        <v>16523</v>
      </c>
      <c r="V40" s="208">
        <v>16362</v>
      </c>
      <c r="W40" s="208">
        <v>16258</v>
      </c>
      <c r="X40" s="208">
        <v>16816</v>
      </c>
      <c r="Y40" s="208">
        <v>17802</v>
      </c>
      <c r="Z40" s="208">
        <v>18003</v>
      </c>
      <c r="AA40" s="208">
        <v>17277</v>
      </c>
      <c r="AB40" s="208">
        <v>16308</v>
      </c>
      <c r="AC40" s="208">
        <v>15362</v>
      </c>
      <c r="AD40" s="208">
        <v>14547</v>
      </c>
    </row>
    <row r="41" spans="2:30" x14ac:dyDescent="0.25">
      <c r="B41" s="198">
        <v>2032</v>
      </c>
      <c r="C41" s="209">
        <v>11</v>
      </c>
      <c r="D41" s="210">
        <v>12662162</v>
      </c>
      <c r="E41" s="201" t="s">
        <v>19</v>
      </c>
      <c r="F41" s="202">
        <v>20</v>
      </c>
      <c r="G41" s="203">
        <v>15900</v>
      </c>
      <c r="H41" s="204">
        <v>15317</v>
      </c>
      <c r="I41" s="204">
        <v>14880</v>
      </c>
      <c r="J41" s="204">
        <v>14541</v>
      </c>
      <c r="K41" s="204">
        <v>14367</v>
      </c>
      <c r="L41" s="204">
        <v>14013</v>
      </c>
      <c r="M41" s="204">
        <v>13867</v>
      </c>
      <c r="N41" s="204">
        <v>15187</v>
      </c>
      <c r="O41" s="204">
        <v>16913</v>
      </c>
      <c r="P41" s="204">
        <v>17973</v>
      </c>
      <c r="Q41" s="204">
        <v>18782</v>
      </c>
      <c r="R41" s="204">
        <v>19237</v>
      </c>
      <c r="S41" s="204">
        <v>18317</v>
      </c>
      <c r="T41" s="204">
        <v>18994</v>
      </c>
      <c r="U41" s="204">
        <v>20241</v>
      </c>
      <c r="V41" s="204">
        <v>20453</v>
      </c>
      <c r="W41" s="204">
        <v>19775</v>
      </c>
      <c r="X41" s="204">
        <v>19709</v>
      </c>
      <c r="Y41" s="204">
        <v>20831</v>
      </c>
      <c r="Z41" s="204">
        <v>20634</v>
      </c>
      <c r="AA41" s="204">
        <v>20193</v>
      </c>
      <c r="AB41" s="204">
        <v>19351</v>
      </c>
      <c r="AC41" s="204">
        <v>18127</v>
      </c>
      <c r="AD41" s="204">
        <v>17023</v>
      </c>
    </row>
    <row r="42" spans="2:30" x14ac:dyDescent="0.25">
      <c r="B42" s="198">
        <v>2032</v>
      </c>
      <c r="C42" s="199">
        <v>11</v>
      </c>
      <c r="D42" s="200"/>
      <c r="E42" s="201" t="s">
        <v>20</v>
      </c>
      <c r="F42" s="202">
        <v>4</v>
      </c>
      <c r="G42" s="203">
        <v>17969</v>
      </c>
      <c r="H42" s="204">
        <v>17329</v>
      </c>
      <c r="I42" s="204">
        <v>16781</v>
      </c>
      <c r="J42" s="204">
        <v>16340</v>
      </c>
      <c r="K42" s="204">
        <v>16068</v>
      </c>
      <c r="L42" s="204">
        <v>15429</v>
      </c>
      <c r="M42" s="204">
        <v>15107</v>
      </c>
      <c r="N42" s="204">
        <v>16313</v>
      </c>
      <c r="O42" s="204">
        <v>17885</v>
      </c>
      <c r="P42" s="204">
        <v>19141</v>
      </c>
      <c r="Q42" s="204">
        <v>19949</v>
      </c>
      <c r="R42" s="204">
        <v>20699</v>
      </c>
      <c r="S42" s="204">
        <v>20286</v>
      </c>
      <c r="T42" s="204">
        <v>19954</v>
      </c>
      <c r="U42" s="204">
        <v>19998</v>
      </c>
      <c r="V42" s="204">
        <v>19876</v>
      </c>
      <c r="W42" s="204">
        <v>19365</v>
      </c>
      <c r="X42" s="204">
        <v>20126</v>
      </c>
      <c r="Y42" s="204">
        <v>21804</v>
      </c>
      <c r="Z42" s="204">
        <v>21722</v>
      </c>
      <c r="AA42" s="204">
        <v>21131</v>
      </c>
      <c r="AB42" s="204">
        <v>20373</v>
      </c>
      <c r="AC42" s="204">
        <v>19399</v>
      </c>
      <c r="AD42" s="204">
        <v>18390</v>
      </c>
    </row>
    <row r="43" spans="2:30" x14ac:dyDescent="0.25">
      <c r="B43" s="198">
        <v>2032</v>
      </c>
      <c r="C43" s="199">
        <v>11</v>
      </c>
      <c r="D43" s="200"/>
      <c r="E43" s="201" t="s">
        <v>21</v>
      </c>
      <c r="F43" s="202">
        <v>4</v>
      </c>
      <c r="G43" s="203">
        <v>16019</v>
      </c>
      <c r="H43" s="204">
        <v>15472</v>
      </c>
      <c r="I43" s="204">
        <v>15067</v>
      </c>
      <c r="J43" s="204">
        <v>14794</v>
      </c>
      <c r="K43" s="204">
        <v>14627</v>
      </c>
      <c r="L43" s="204">
        <v>13638</v>
      </c>
      <c r="M43" s="204">
        <v>13073</v>
      </c>
      <c r="N43" s="204">
        <v>13838</v>
      </c>
      <c r="O43" s="204">
        <v>14715</v>
      </c>
      <c r="P43" s="204">
        <v>15330</v>
      </c>
      <c r="Q43" s="204">
        <v>15844</v>
      </c>
      <c r="R43" s="204">
        <v>16327</v>
      </c>
      <c r="S43" s="204">
        <v>16524</v>
      </c>
      <c r="T43" s="204">
        <v>16475</v>
      </c>
      <c r="U43" s="204">
        <v>16483</v>
      </c>
      <c r="V43" s="204">
        <v>16532</v>
      </c>
      <c r="W43" s="204">
        <v>16427</v>
      </c>
      <c r="X43" s="204">
        <v>17173</v>
      </c>
      <c r="Y43" s="204">
        <v>19119</v>
      </c>
      <c r="Z43" s="204">
        <v>19525</v>
      </c>
      <c r="AA43" s="204">
        <v>19393</v>
      </c>
      <c r="AB43" s="204">
        <v>18710</v>
      </c>
      <c r="AC43" s="204">
        <v>17727</v>
      </c>
      <c r="AD43" s="204">
        <v>16679</v>
      </c>
    </row>
    <row r="44" spans="2:30" ht="15.75" thickBot="1" x14ac:dyDescent="0.3">
      <c r="B44" s="198">
        <v>2032</v>
      </c>
      <c r="C44" s="205">
        <v>11</v>
      </c>
      <c r="D44" s="206"/>
      <c r="E44" s="201" t="s">
        <v>22</v>
      </c>
      <c r="F44" s="202">
        <v>2</v>
      </c>
      <c r="G44" s="207">
        <v>16606</v>
      </c>
      <c r="H44" s="208">
        <v>15882</v>
      </c>
      <c r="I44" s="208">
        <v>15375</v>
      </c>
      <c r="J44" s="208">
        <v>14937</v>
      </c>
      <c r="K44" s="208">
        <v>14650</v>
      </c>
      <c r="L44" s="208">
        <v>14058</v>
      </c>
      <c r="M44" s="208">
        <v>13619</v>
      </c>
      <c r="N44" s="208">
        <v>14484</v>
      </c>
      <c r="O44" s="208">
        <v>15525</v>
      </c>
      <c r="P44" s="208">
        <v>16318</v>
      </c>
      <c r="Q44" s="208">
        <v>16934</v>
      </c>
      <c r="R44" s="208">
        <v>17381</v>
      </c>
      <c r="S44" s="208">
        <v>17352</v>
      </c>
      <c r="T44" s="208">
        <v>17082</v>
      </c>
      <c r="U44" s="208">
        <v>17229</v>
      </c>
      <c r="V44" s="208">
        <v>17432</v>
      </c>
      <c r="W44" s="208">
        <v>17305</v>
      </c>
      <c r="X44" s="208">
        <v>18121</v>
      </c>
      <c r="Y44" s="208">
        <v>19963</v>
      </c>
      <c r="Z44" s="208">
        <v>19995</v>
      </c>
      <c r="AA44" s="208">
        <v>19503</v>
      </c>
      <c r="AB44" s="208">
        <v>18815</v>
      </c>
      <c r="AC44" s="208">
        <v>17686</v>
      </c>
      <c r="AD44" s="208">
        <v>16689</v>
      </c>
    </row>
    <row r="45" spans="2:30" x14ac:dyDescent="0.25">
      <c r="B45" s="198">
        <v>2032</v>
      </c>
      <c r="C45" s="209">
        <v>12</v>
      </c>
      <c r="D45" s="210">
        <v>13076670</v>
      </c>
      <c r="E45" s="201" t="s">
        <v>19</v>
      </c>
      <c r="F45" s="202">
        <v>22</v>
      </c>
      <c r="G45" s="203">
        <v>15166</v>
      </c>
      <c r="H45" s="204">
        <v>14563</v>
      </c>
      <c r="I45" s="204">
        <v>14120</v>
      </c>
      <c r="J45" s="204">
        <v>13754</v>
      </c>
      <c r="K45" s="204">
        <v>13605</v>
      </c>
      <c r="L45" s="204">
        <v>13303</v>
      </c>
      <c r="M45" s="204">
        <v>12835</v>
      </c>
      <c r="N45" s="204">
        <v>14114</v>
      </c>
      <c r="O45" s="204">
        <v>15705</v>
      </c>
      <c r="P45" s="204">
        <v>16863</v>
      </c>
      <c r="Q45" s="204">
        <v>17668</v>
      </c>
      <c r="R45" s="204">
        <v>18246</v>
      </c>
      <c r="S45" s="204">
        <v>17461</v>
      </c>
      <c r="T45" s="204">
        <v>17860</v>
      </c>
      <c r="U45" s="204">
        <v>18928</v>
      </c>
      <c r="V45" s="204">
        <v>19001</v>
      </c>
      <c r="W45" s="204">
        <v>18437</v>
      </c>
      <c r="X45" s="204">
        <v>18086</v>
      </c>
      <c r="Y45" s="204">
        <v>19383</v>
      </c>
      <c r="Z45" s="204">
        <v>19149</v>
      </c>
      <c r="AA45" s="204">
        <v>18721</v>
      </c>
      <c r="AB45" s="204">
        <v>18087</v>
      </c>
      <c r="AC45" s="204">
        <v>17144</v>
      </c>
      <c r="AD45" s="204">
        <v>16189</v>
      </c>
    </row>
    <row r="46" spans="2:30" x14ac:dyDescent="0.25">
      <c r="B46" s="198">
        <v>2032</v>
      </c>
      <c r="C46" s="199">
        <v>12</v>
      </c>
      <c r="D46" s="200"/>
      <c r="E46" s="201" t="s">
        <v>20</v>
      </c>
      <c r="F46" s="202">
        <v>3</v>
      </c>
      <c r="G46" s="203">
        <v>26257</v>
      </c>
      <c r="H46" s="204">
        <v>25359</v>
      </c>
      <c r="I46" s="204">
        <v>24291</v>
      </c>
      <c r="J46" s="204">
        <v>23665</v>
      </c>
      <c r="K46" s="204">
        <v>23347</v>
      </c>
      <c r="L46" s="204">
        <v>23085</v>
      </c>
      <c r="M46" s="204">
        <v>22019</v>
      </c>
      <c r="N46" s="204">
        <v>23548</v>
      </c>
      <c r="O46" s="204">
        <v>25871</v>
      </c>
      <c r="P46" s="204">
        <v>27461</v>
      </c>
      <c r="Q46" s="204">
        <v>28551</v>
      </c>
      <c r="R46" s="204">
        <v>28904</v>
      </c>
      <c r="S46" s="204">
        <v>27968</v>
      </c>
      <c r="T46" s="204">
        <v>27397</v>
      </c>
      <c r="U46" s="204">
        <v>27703</v>
      </c>
      <c r="V46" s="204">
        <v>27666</v>
      </c>
      <c r="W46" s="204">
        <v>27557</v>
      </c>
      <c r="X46" s="204">
        <v>28076</v>
      </c>
      <c r="Y46" s="204">
        <v>31101</v>
      </c>
      <c r="Z46" s="204">
        <v>30751</v>
      </c>
      <c r="AA46" s="204">
        <v>30040</v>
      </c>
      <c r="AB46" s="204">
        <v>28942</v>
      </c>
      <c r="AC46" s="204">
        <v>27758</v>
      </c>
      <c r="AD46" s="204">
        <v>26397</v>
      </c>
    </row>
    <row r="47" spans="2:30" x14ac:dyDescent="0.25">
      <c r="B47" s="198">
        <v>2032</v>
      </c>
      <c r="C47" s="199">
        <v>12</v>
      </c>
      <c r="D47" s="200"/>
      <c r="E47" s="201" t="s">
        <v>21</v>
      </c>
      <c r="F47" s="202">
        <v>4</v>
      </c>
      <c r="G47" s="203">
        <v>16361</v>
      </c>
      <c r="H47" s="204">
        <v>15799</v>
      </c>
      <c r="I47" s="204">
        <v>15368</v>
      </c>
      <c r="J47" s="204">
        <v>14842</v>
      </c>
      <c r="K47" s="204">
        <v>14531</v>
      </c>
      <c r="L47" s="204">
        <v>14187</v>
      </c>
      <c r="M47" s="204">
        <v>13366</v>
      </c>
      <c r="N47" s="204">
        <v>14264</v>
      </c>
      <c r="O47" s="204">
        <v>15106</v>
      </c>
      <c r="P47" s="204">
        <v>15890</v>
      </c>
      <c r="Q47" s="204">
        <v>16598</v>
      </c>
      <c r="R47" s="204">
        <v>17052</v>
      </c>
      <c r="S47" s="204">
        <v>17342</v>
      </c>
      <c r="T47" s="204">
        <v>17298</v>
      </c>
      <c r="U47" s="204">
        <v>17239</v>
      </c>
      <c r="V47" s="204">
        <v>17218</v>
      </c>
      <c r="W47" s="204">
        <v>17170</v>
      </c>
      <c r="X47" s="204">
        <v>17585</v>
      </c>
      <c r="Y47" s="204">
        <v>19704</v>
      </c>
      <c r="Z47" s="204">
        <v>19775</v>
      </c>
      <c r="AA47" s="204">
        <v>19233</v>
      </c>
      <c r="AB47" s="204">
        <v>18527</v>
      </c>
      <c r="AC47" s="204">
        <v>17881</v>
      </c>
      <c r="AD47" s="204">
        <v>16855</v>
      </c>
    </row>
    <row r="48" spans="2:30" ht="15.75" thickBot="1" x14ac:dyDescent="0.3">
      <c r="B48" s="198">
        <v>2032</v>
      </c>
      <c r="C48" s="205">
        <v>12</v>
      </c>
      <c r="D48" s="206"/>
      <c r="E48" s="201" t="s">
        <v>22</v>
      </c>
      <c r="F48" s="202">
        <v>2</v>
      </c>
      <c r="G48" s="207">
        <v>16341</v>
      </c>
      <c r="H48" s="208">
        <v>16029</v>
      </c>
      <c r="I48" s="208">
        <v>15685</v>
      </c>
      <c r="J48" s="208">
        <v>15320</v>
      </c>
      <c r="K48" s="208">
        <v>15071</v>
      </c>
      <c r="L48" s="208">
        <v>14517</v>
      </c>
      <c r="M48" s="208">
        <v>13359</v>
      </c>
      <c r="N48" s="208">
        <v>13702</v>
      </c>
      <c r="O48" s="208">
        <v>14538</v>
      </c>
      <c r="P48" s="208">
        <v>15273</v>
      </c>
      <c r="Q48" s="208">
        <v>15936</v>
      </c>
      <c r="R48" s="208">
        <v>16389</v>
      </c>
      <c r="S48" s="208">
        <v>16256</v>
      </c>
      <c r="T48" s="208">
        <v>16353</v>
      </c>
      <c r="U48" s="208">
        <v>16423</v>
      </c>
      <c r="V48" s="208">
        <v>16515</v>
      </c>
      <c r="W48" s="208">
        <v>16485</v>
      </c>
      <c r="X48" s="208">
        <v>16758</v>
      </c>
      <c r="Y48" s="208">
        <v>18958</v>
      </c>
      <c r="Z48" s="208">
        <v>19193</v>
      </c>
      <c r="AA48" s="208">
        <v>19201</v>
      </c>
      <c r="AB48" s="208">
        <v>18734</v>
      </c>
      <c r="AC48" s="208">
        <v>17953</v>
      </c>
      <c r="AD48" s="208">
        <v>17125</v>
      </c>
    </row>
    <row r="49" spans="2:30" x14ac:dyDescent="0.25"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</row>
  </sheetData>
  <mergeCells count="13">
    <mergeCell ref="C37:C40"/>
    <mergeCell ref="C41:C44"/>
    <mergeCell ref="C45:C48"/>
    <mergeCell ref="B4:B48"/>
    <mergeCell ref="C4:C7"/>
    <mergeCell ref="C8:C10"/>
    <mergeCell ref="C11:C14"/>
    <mergeCell ref="C15:C17"/>
    <mergeCell ref="C18:C21"/>
    <mergeCell ref="C22:C25"/>
    <mergeCell ref="C26:C29"/>
    <mergeCell ref="C30:C33"/>
    <mergeCell ref="C34:C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939D-6CCA-4155-AD1B-B43CB36641A6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2033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2033</v>
      </c>
      <c r="C4" s="213">
        <v>1</v>
      </c>
      <c r="D4" s="210">
        <v>24670096</v>
      </c>
      <c r="E4" s="201" t="s">
        <v>19</v>
      </c>
      <c r="F4" s="202">
        <v>20</v>
      </c>
      <c r="G4" s="214">
        <v>32396</v>
      </c>
      <c r="H4" s="215">
        <v>31079</v>
      </c>
      <c r="I4" s="215">
        <v>30076</v>
      </c>
      <c r="J4" s="215">
        <v>29371</v>
      </c>
      <c r="K4" s="215">
        <v>29020</v>
      </c>
      <c r="L4" s="215">
        <v>28784</v>
      </c>
      <c r="M4" s="215">
        <v>27073</v>
      </c>
      <c r="N4" s="215">
        <v>29488</v>
      </c>
      <c r="O4" s="215">
        <v>32801</v>
      </c>
      <c r="P4" s="215">
        <v>34918</v>
      </c>
      <c r="Q4" s="215">
        <v>36624</v>
      </c>
      <c r="R4" s="215">
        <v>37762</v>
      </c>
      <c r="S4" s="215">
        <v>36224</v>
      </c>
      <c r="T4" s="215">
        <v>37748</v>
      </c>
      <c r="U4" s="215">
        <v>40400</v>
      </c>
      <c r="V4" s="215">
        <v>40637</v>
      </c>
      <c r="W4" s="215">
        <v>39685</v>
      </c>
      <c r="X4" s="215">
        <v>38076</v>
      </c>
      <c r="Y4" s="215">
        <v>40903</v>
      </c>
      <c r="Z4" s="215">
        <v>41454</v>
      </c>
      <c r="AA4" s="215">
        <v>40583</v>
      </c>
      <c r="AB4" s="215">
        <v>39176</v>
      </c>
      <c r="AC4" s="215">
        <v>36881</v>
      </c>
      <c r="AD4" s="215">
        <v>34471</v>
      </c>
    </row>
    <row r="5" spans="2:30" x14ac:dyDescent="0.25">
      <c r="B5" s="198">
        <v>2033</v>
      </c>
      <c r="C5" s="199">
        <v>1</v>
      </c>
      <c r="D5" s="200"/>
      <c r="E5" s="201" t="s">
        <v>20</v>
      </c>
      <c r="F5" s="202">
        <v>4</v>
      </c>
      <c r="G5" s="203">
        <v>31540</v>
      </c>
      <c r="H5" s="204">
        <v>30316</v>
      </c>
      <c r="I5" s="204">
        <v>29349</v>
      </c>
      <c r="J5" s="204">
        <v>28583</v>
      </c>
      <c r="K5" s="204">
        <v>28183</v>
      </c>
      <c r="L5" s="204">
        <v>27818</v>
      </c>
      <c r="M5" s="204">
        <v>26120</v>
      </c>
      <c r="N5" s="204">
        <v>28208</v>
      </c>
      <c r="O5" s="204">
        <v>31189</v>
      </c>
      <c r="P5" s="204">
        <v>33237</v>
      </c>
      <c r="Q5" s="204">
        <v>34582</v>
      </c>
      <c r="R5" s="204">
        <v>35613</v>
      </c>
      <c r="S5" s="204">
        <v>34885</v>
      </c>
      <c r="T5" s="204">
        <v>34664</v>
      </c>
      <c r="U5" s="204">
        <v>34523</v>
      </c>
      <c r="V5" s="204">
        <v>34923</v>
      </c>
      <c r="W5" s="204">
        <v>34305</v>
      </c>
      <c r="X5" s="204">
        <v>34065</v>
      </c>
      <c r="Y5" s="204">
        <v>37954</v>
      </c>
      <c r="Z5" s="204">
        <v>38550</v>
      </c>
      <c r="AA5" s="204">
        <v>37656</v>
      </c>
      <c r="AB5" s="204">
        <v>36400</v>
      </c>
      <c r="AC5" s="204">
        <v>34458</v>
      </c>
      <c r="AD5" s="204">
        <v>32697</v>
      </c>
    </row>
    <row r="6" spans="2:30" x14ac:dyDescent="0.25">
      <c r="B6" s="198">
        <v>2033</v>
      </c>
      <c r="C6" s="199">
        <v>1</v>
      </c>
      <c r="D6" s="200"/>
      <c r="E6" s="201" t="s">
        <v>21</v>
      </c>
      <c r="F6" s="202">
        <v>5</v>
      </c>
      <c r="G6" s="203">
        <v>26360</v>
      </c>
      <c r="H6" s="204">
        <v>25267</v>
      </c>
      <c r="I6" s="204">
        <v>24442</v>
      </c>
      <c r="J6" s="204">
        <v>23847</v>
      </c>
      <c r="K6" s="204">
        <v>23510</v>
      </c>
      <c r="L6" s="204">
        <v>23131</v>
      </c>
      <c r="M6" s="204">
        <v>21294</v>
      </c>
      <c r="N6" s="204">
        <v>22222</v>
      </c>
      <c r="O6" s="204">
        <v>23602</v>
      </c>
      <c r="P6" s="204">
        <v>24650</v>
      </c>
      <c r="Q6" s="204">
        <v>25641</v>
      </c>
      <c r="R6" s="204">
        <v>26379</v>
      </c>
      <c r="S6" s="204">
        <v>26558</v>
      </c>
      <c r="T6" s="204">
        <v>26515</v>
      </c>
      <c r="U6" s="204">
        <v>26375</v>
      </c>
      <c r="V6" s="204">
        <v>26476</v>
      </c>
      <c r="W6" s="204">
        <v>26636</v>
      </c>
      <c r="X6" s="204">
        <v>26799</v>
      </c>
      <c r="Y6" s="204">
        <v>30505</v>
      </c>
      <c r="Z6" s="204">
        <v>31625</v>
      </c>
      <c r="AA6" s="204">
        <v>31458</v>
      </c>
      <c r="AB6" s="204">
        <v>30358</v>
      </c>
      <c r="AC6" s="204">
        <v>28804</v>
      </c>
      <c r="AD6" s="204">
        <v>27052</v>
      </c>
    </row>
    <row r="7" spans="2:30" ht="15.75" thickBot="1" x14ac:dyDescent="0.3">
      <c r="B7" s="198">
        <v>2033</v>
      </c>
      <c r="C7" s="205">
        <v>1</v>
      </c>
      <c r="D7" s="206"/>
      <c r="E7" s="201" t="s">
        <v>22</v>
      </c>
      <c r="F7" s="202">
        <v>2</v>
      </c>
      <c r="G7" s="207">
        <v>29382</v>
      </c>
      <c r="H7" s="208">
        <v>28629</v>
      </c>
      <c r="I7" s="208">
        <v>27965</v>
      </c>
      <c r="J7" s="208">
        <v>27443</v>
      </c>
      <c r="K7" s="208">
        <v>27063</v>
      </c>
      <c r="L7" s="208">
        <v>26431</v>
      </c>
      <c r="M7" s="208">
        <v>24440</v>
      </c>
      <c r="N7" s="208">
        <v>25522</v>
      </c>
      <c r="O7" s="208">
        <v>27304</v>
      </c>
      <c r="P7" s="208">
        <v>28909</v>
      </c>
      <c r="Q7" s="208">
        <v>29943</v>
      </c>
      <c r="R7" s="208">
        <v>30793</v>
      </c>
      <c r="S7" s="208">
        <v>30824</v>
      </c>
      <c r="T7" s="208">
        <v>30482</v>
      </c>
      <c r="U7" s="208">
        <v>30414</v>
      </c>
      <c r="V7" s="208">
        <v>30401</v>
      </c>
      <c r="W7" s="208">
        <v>30348</v>
      </c>
      <c r="X7" s="208">
        <v>30763</v>
      </c>
      <c r="Y7" s="208">
        <v>35368</v>
      </c>
      <c r="Z7" s="208">
        <v>36371</v>
      </c>
      <c r="AA7" s="208">
        <v>36155</v>
      </c>
      <c r="AB7" s="208">
        <v>35060</v>
      </c>
      <c r="AC7" s="208">
        <v>33491</v>
      </c>
      <c r="AD7" s="208">
        <v>31846</v>
      </c>
    </row>
    <row r="8" spans="2:30" x14ac:dyDescent="0.25">
      <c r="B8" s="198">
        <v>2033</v>
      </c>
      <c r="C8" s="209">
        <v>2</v>
      </c>
      <c r="D8" s="210">
        <v>24662212</v>
      </c>
      <c r="E8" s="201" t="s">
        <v>19</v>
      </c>
      <c r="F8" s="202">
        <v>20</v>
      </c>
      <c r="G8" s="203">
        <v>34517</v>
      </c>
      <c r="H8" s="204">
        <v>33230</v>
      </c>
      <c r="I8" s="204">
        <v>32187</v>
      </c>
      <c r="J8" s="204">
        <v>31395</v>
      </c>
      <c r="K8" s="204">
        <v>31002</v>
      </c>
      <c r="L8" s="204">
        <v>31667</v>
      </c>
      <c r="M8" s="204">
        <v>30000</v>
      </c>
      <c r="N8" s="204">
        <v>32114</v>
      </c>
      <c r="O8" s="204">
        <v>35266</v>
      </c>
      <c r="P8" s="204">
        <v>37238</v>
      </c>
      <c r="Q8" s="204">
        <v>38791</v>
      </c>
      <c r="R8" s="204">
        <v>39835</v>
      </c>
      <c r="S8" s="204">
        <v>37650</v>
      </c>
      <c r="T8" s="204">
        <v>39473</v>
      </c>
      <c r="U8" s="204">
        <v>42732</v>
      </c>
      <c r="V8" s="204">
        <v>43216</v>
      </c>
      <c r="W8" s="204">
        <v>42279</v>
      </c>
      <c r="X8" s="204">
        <v>40488</v>
      </c>
      <c r="Y8" s="204">
        <v>43089</v>
      </c>
      <c r="Z8" s="204">
        <v>43996</v>
      </c>
      <c r="AA8" s="204">
        <v>43465</v>
      </c>
      <c r="AB8" s="204">
        <v>41907</v>
      </c>
      <c r="AC8" s="204">
        <v>39220</v>
      </c>
      <c r="AD8" s="204">
        <v>36663</v>
      </c>
    </row>
    <row r="9" spans="2:30" x14ac:dyDescent="0.25">
      <c r="B9" s="198">
        <v>2033</v>
      </c>
      <c r="C9" s="199">
        <v>2</v>
      </c>
      <c r="D9" s="200"/>
      <c r="E9" s="201" t="s">
        <v>20</v>
      </c>
      <c r="F9" s="202">
        <v>4</v>
      </c>
      <c r="G9" s="203">
        <v>33844</v>
      </c>
      <c r="H9" s="204">
        <v>32609</v>
      </c>
      <c r="I9" s="204">
        <v>31677</v>
      </c>
      <c r="J9" s="204">
        <v>30915</v>
      </c>
      <c r="K9" s="204">
        <v>30486</v>
      </c>
      <c r="L9" s="204">
        <v>30179</v>
      </c>
      <c r="M9" s="204">
        <v>28391</v>
      </c>
      <c r="N9" s="204">
        <v>30243</v>
      </c>
      <c r="O9" s="204">
        <v>33305</v>
      </c>
      <c r="P9" s="204">
        <v>35572</v>
      </c>
      <c r="Q9" s="204">
        <v>37158</v>
      </c>
      <c r="R9" s="204">
        <v>38017</v>
      </c>
      <c r="S9" s="204">
        <v>37337</v>
      </c>
      <c r="T9" s="204">
        <v>36972</v>
      </c>
      <c r="U9" s="204">
        <v>37565</v>
      </c>
      <c r="V9" s="204">
        <v>37518</v>
      </c>
      <c r="W9" s="204">
        <v>37006</v>
      </c>
      <c r="X9" s="204">
        <v>36345</v>
      </c>
      <c r="Y9" s="204">
        <v>40143</v>
      </c>
      <c r="Z9" s="204">
        <v>40989</v>
      </c>
      <c r="AA9" s="204">
        <v>40288</v>
      </c>
      <c r="AB9" s="204">
        <v>38661</v>
      </c>
      <c r="AC9" s="204">
        <v>36788</v>
      </c>
      <c r="AD9" s="204">
        <v>34909</v>
      </c>
    </row>
    <row r="10" spans="2:30" ht="15.75" thickBot="1" x14ac:dyDescent="0.3">
      <c r="B10" s="198">
        <v>2033</v>
      </c>
      <c r="C10" s="205">
        <v>2</v>
      </c>
      <c r="D10" s="200"/>
      <c r="E10" s="201" t="s">
        <v>21</v>
      </c>
      <c r="F10" s="202">
        <v>4</v>
      </c>
      <c r="G10" s="207">
        <v>33417</v>
      </c>
      <c r="H10" s="208">
        <v>32297</v>
      </c>
      <c r="I10" s="208">
        <v>31338</v>
      </c>
      <c r="J10" s="208">
        <v>30644</v>
      </c>
      <c r="K10" s="208">
        <v>30201</v>
      </c>
      <c r="L10" s="208">
        <v>29728</v>
      </c>
      <c r="M10" s="208">
        <v>27207</v>
      </c>
      <c r="N10" s="208">
        <v>28428</v>
      </c>
      <c r="O10" s="208">
        <v>29925</v>
      </c>
      <c r="P10" s="208">
        <v>31387</v>
      </c>
      <c r="Q10" s="208">
        <v>32700</v>
      </c>
      <c r="R10" s="208">
        <v>33929</v>
      </c>
      <c r="S10" s="208">
        <v>34172</v>
      </c>
      <c r="T10" s="208">
        <v>34284</v>
      </c>
      <c r="U10" s="208">
        <v>34654</v>
      </c>
      <c r="V10" s="208">
        <v>35007</v>
      </c>
      <c r="W10" s="208">
        <v>34791</v>
      </c>
      <c r="X10" s="208">
        <v>34797</v>
      </c>
      <c r="Y10" s="208">
        <v>39004</v>
      </c>
      <c r="Z10" s="208">
        <v>40779</v>
      </c>
      <c r="AA10" s="208">
        <v>40999</v>
      </c>
      <c r="AB10" s="208">
        <v>39587</v>
      </c>
      <c r="AC10" s="208">
        <v>37323</v>
      </c>
      <c r="AD10" s="208">
        <v>34938</v>
      </c>
    </row>
    <row r="11" spans="2:30" x14ac:dyDescent="0.25">
      <c r="B11" s="198">
        <v>2033</v>
      </c>
      <c r="C11" s="209">
        <v>3</v>
      </c>
      <c r="D11" s="210">
        <v>26624178</v>
      </c>
      <c r="E11" s="201" t="s">
        <v>19</v>
      </c>
      <c r="F11" s="202">
        <v>22</v>
      </c>
      <c r="G11" s="203">
        <v>31284</v>
      </c>
      <c r="H11" s="204">
        <v>30068</v>
      </c>
      <c r="I11" s="204">
        <v>29227</v>
      </c>
      <c r="J11" s="204">
        <v>28509</v>
      </c>
      <c r="K11" s="204">
        <v>28176</v>
      </c>
      <c r="L11" s="204">
        <v>28444</v>
      </c>
      <c r="M11" s="204">
        <v>27070</v>
      </c>
      <c r="N11" s="204">
        <v>29139</v>
      </c>
      <c r="O11" s="204">
        <v>31949</v>
      </c>
      <c r="P11" s="204">
        <v>33769</v>
      </c>
      <c r="Q11" s="204">
        <v>35289</v>
      </c>
      <c r="R11" s="204">
        <v>36332</v>
      </c>
      <c r="S11" s="204">
        <v>34288</v>
      </c>
      <c r="T11" s="204">
        <v>35764</v>
      </c>
      <c r="U11" s="204">
        <v>38341</v>
      </c>
      <c r="V11" s="204">
        <v>38749</v>
      </c>
      <c r="W11" s="204">
        <v>37820</v>
      </c>
      <c r="X11" s="204">
        <v>36296</v>
      </c>
      <c r="Y11" s="204">
        <v>38988</v>
      </c>
      <c r="Z11" s="204">
        <v>39717</v>
      </c>
      <c r="AA11" s="204">
        <v>39130</v>
      </c>
      <c r="AB11" s="204">
        <v>37622</v>
      </c>
      <c r="AC11" s="204">
        <v>35222</v>
      </c>
      <c r="AD11" s="204">
        <v>33119</v>
      </c>
    </row>
    <row r="12" spans="2:30" x14ac:dyDescent="0.25">
      <c r="B12" s="198">
        <v>2033</v>
      </c>
      <c r="C12" s="199">
        <v>3</v>
      </c>
      <c r="D12" s="200"/>
      <c r="E12" s="201" t="s">
        <v>20</v>
      </c>
      <c r="F12" s="202">
        <v>4</v>
      </c>
      <c r="G12" s="203">
        <v>38343</v>
      </c>
      <c r="H12" s="204">
        <v>36992</v>
      </c>
      <c r="I12" s="204">
        <v>35926</v>
      </c>
      <c r="J12" s="204">
        <v>35029</v>
      </c>
      <c r="K12" s="204">
        <v>34403</v>
      </c>
      <c r="L12" s="204">
        <v>33957</v>
      </c>
      <c r="M12" s="204">
        <v>32125</v>
      </c>
      <c r="N12" s="204">
        <v>34181</v>
      </c>
      <c r="O12" s="204">
        <v>37716</v>
      </c>
      <c r="P12" s="204">
        <v>40187</v>
      </c>
      <c r="Q12" s="204">
        <v>42165</v>
      </c>
      <c r="R12" s="204">
        <v>43181</v>
      </c>
      <c r="S12" s="204">
        <v>41957</v>
      </c>
      <c r="T12" s="204">
        <v>41402</v>
      </c>
      <c r="U12" s="204">
        <v>41675</v>
      </c>
      <c r="V12" s="204">
        <v>41939</v>
      </c>
      <c r="W12" s="204">
        <v>41103</v>
      </c>
      <c r="X12" s="204">
        <v>40798</v>
      </c>
      <c r="Y12" s="204">
        <v>45511</v>
      </c>
      <c r="Z12" s="204">
        <v>46220</v>
      </c>
      <c r="AA12" s="204">
        <v>45284</v>
      </c>
      <c r="AB12" s="204">
        <v>43847</v>
      </c>
      <c r="AC12" s="204">
        <v>41770</v>
      </c>
      <c r="AD12" s="204">
        <v>39898</v>
      </c>
    </row>
    <row r="13" spans="2:30" x14ac:dyDescent="0.25">
      <c r="B13" s="198">
        <v>2033</v>
      </c>
      <c r="C13" s="199">
        <v>3</v>
      </c>
      <c r="D13" s="200"/>
      <c r="E13" s="201" t="s">
        <v>21</v>
      </c>
      <c r="F13" s="202">
        <v>4</v>
      </c>
      <c r="G13" s="203">
        <v>37890</v>
      </c>
      <c r="H13" s="204">
        <v>36671</v>
      </c>
      <c r="I13" s="204">
        <v>35595</v>
      </c>
      <c r="J13" s="204">
        <v>34793</v>
      </c>
      <c r="K13" s="204">
        <v>34199</v>
      </c>
      <c r="L13" s="204">
        <v>33387</v>
      </c>
      <c r="M13" s="204">
        <v>31248</v>
      </c>
      <c r="N13" s="204">
        <v>32599</v>
      </c>
      <c r="O13" s="204">
        <v>33385</v>
      </c>
      <c r="P13" s="204">
        <v>33763</v>
      </c>
      <c r="Q13" s="204">
        <v>36417</v>
      </c>
      <c r="R13" s="204">
        <v>37899</v>
      </c>
      <c r="S13" s="204">
        <v>38478</v>
      </c>
      <c r="T13" s="204">
        <v>38418</v>
      </c>
      <c r="U13" s="204">
        <v>39101</v>
      </c>
      <c r="V13" s="204">
        <v>38565</v>
      </c>
      <c r="W13" s="204">
        <v>37907</v>
      </c>
      <c r="X13" s="204">
        <v>39001</v>
      </c>
      <c r="Y13" s="204">
        <v>43969</v>
      </c>
      <c r="Z13" s="204">
        <v>45562</v>
      </c>
      <c r="AA13" s="204">
        <v>45566</v>
      </c>
      <c r="AB13" s="204">
        <v>44212</v>
      </c>
      <c r="AC13" s="204">
        <v>42068</v>
      </c>
      <c r="AD13" s="204">
        <v>39296</v>
      </c>
    </row>
    <row r="14" spans="2:30" ht="15.75" thickBot="1" x14ac:dyDescent="0.3">
      <c r="B14" s="198">
        <v>2033</v>
      </c>
      <c r="C14" s="205">
        <v>3</v>
      </c>
      <c r="D14" s="206"/>
      <c r="E14" s="201" t="s">
        <v>22</v>
      </c>
      <c r="F14" s="202">
        <v>1</v>
      </c>
      <c r="G14" s="207">
        <v>50556</v>
      </c>
      <c r="H14" s="208">
        <v>48422</v>
      </c>
      <c r="I14" s="208">
        <v>46951</v>
      </c>
      <c r="J14" s="208">
        <v>45876</v>
      </c>
      <c r="K14" s="208">
        <v>45316</v>
      </c>
      <c r="L14" s="208">
        <v>44046</v>
      </c>
      <c r="M14" s="208">
        <v>41884</v>
      </c>
      <c r="N14" s="208">
        <v>43935</v>
      </c>
      <c r="O14" s="208">
        <v>46502</v>
      </c>
      <c r="P14" s="208">
        <v>48766</v>
      </c>
      <c r="Q14" s="208">
        <v>51042</v>
      </c>
      <c r="R14" s="208">
        <v>53505</v>
      </c>
      <c r="S14" s="208">
        <v>54193</v>
      </c>
      <c r="T14" s="208">
        <v>54408</v>
      </c>
      <c r="U14" s="208">
        <v>54371</v>
      </c>
      <c r="V14" s="208">
        <v>54315</v>
      </c>
      <c r="W14" s="208">
        <v>53705</v>
      </c>
      <c r="X14" s="208">
        <v>53633</v>
      </c>
      <c r="Y14" s="208">
        <v>60338</v>
      </c>
      <c r="Z14" s="208">
        <v>62542</v>
      </c>
      <c r="AA14" s="208">
        <v>62353</v>
      </c>
      <c r="AB14" s="208">
        <v>60365</v>
      </c>
      <c r="AC14" s="208">
        <v>56906</v>
      </c>
      <c r="AD14" s="208">
        <v>52992</v>
      </c>
    </row>
    <row r="15" spans="2:30" x14ac:dyDescent="0.25">
      <c r="B15" s="198">
        <v>2033</v>
      </c>
      <c r="C15" s="209">
        <v>4</v>
      </c>
      <c r="D15" s="210">
        <v>24561001</v>
      </c>
      <c r="E15" s="201" t="s">
        <v>19</v>
      </c>
      <c r="F15" s="202">
        <v>19</v>
      </c>
      <c r="G15" s="203">
        <v>32184</v>
      </c>
      <c r="H15" s="204">
        <v>31140</v>
      </c>
      <c r="I15" s="204">
        <v>30340</v>
      </c>
      <c r="J15" s="204">
        <v>29642</v>
      </c>
      <c r="K15" s="204">
        <v>29448</v>
      </c>
      <c r="L15" s="204">
        <v>29323</v>
      </c>
      <c r="M15" s="204">
        <v>28531</v>
      </c>
      <c r="N15" s="204">
        <v>31004</v>
      </c>
      <c r="O15" s="204">
        <v>34279</v>
      </c>
      <c r="P15" s="204">
        <v>36966</v>
      </c>
      <c r="Q15" s="204">
        <v>38652</v>
      </c>
      <c r="R15" s="204">
        <v>38783</v>
      </c>
      <c r="S15" s="204">
        <v>37155</v>
      </c>
      <c r="T15" s="204">
        <v>39032</v>
      </c>
      <c r="U15" s="204">
        <v>41728</v>
      </c>
      <c r="V15" s="204">
        <v>41631</v>
      </c>
      <c r="W15" s="204">
        <v>39806</v>
      </c>
      <c r="X15" s="204">
        <v>38995</v>
      </c>
      <c r="Y15" s="204">
        <v>41914</v>
      </c>
      <c r="Z15" s="204">
        <v>42405</v>
      </c>
      <c r="AA15" s="204">
        <v>41193</v>
      </c>
      <c r="AB15" s="204">
        <v>39376</v>
      </c>
      <c r="AC15" s="204">
        <v>36815</v>
      </c>
      <c r="AD15" s="204">
        <v>34070</v>
      </c>
    </row>
    <row r="16" spans="2:30" x14ac:dyDescent="0.25">
      <c r="B16" s="198">
        <v>2033</v>
      </c>
      <c r="C16" s="199">
        <v>4</v>
      </c>
      <c r="D16" s="200"/>
      <c r="E16" s="201" t="s">
        <v>20</v>
      </c>
      <c r="F16" s="202">
        <v>5</v>
      </c>
      <c r="G16" s="203">
        <v>29555</v>
      </c>
      <c r="H16" s="204">
        <v>28410</v>
      </c>
      <c r="I16" s="204">
        <v>27527</v>
      </c>
      <c r="J16" s="204">
        <v>26876</v>
      </c>
      <c r="K16" s="204">
        <v>26513</v>
      </c>
      <c r="L16" s="204">
        <v>25863</v>
      </c>
      <c r="M16" s="204">
        <v>24915</v>
      </c>
      <c r="N16" s="204">
        <v>26827</v>
      </c>
      <c r="O16" s="204">
        <v>29227</v>
      </c>
      <c r="P16" s="204">
        <v>30828</v>
      </c>
      <c r="Q16" s="204">
        <v>32203</v>
      </c>
      <c r="R16" s="204">
        <v>33360</v>
      </c>
      <c r="S16" s="204">
        <v>32938</v>
      </c>
      <c r="T16" s="204">
        <v>32775</v>
      </c>
      <c r="U16" s="204">
        <v>33404</v>
      </c>
      <c r="V16" s="204">
        <v>33479</v>
      </c>
      <c r="W16" s="204">
        <v>32982</v>
      </c>
      <c r="X16" s="204">
        <v>32755</v>
      </c>
      <c r="Y16" s="204">
        <v>36618</v>
      </c>
      <c r="Z16" s="204">
        <v>37120</v>
      </c>
      <c r="AA16" s="204">
        <v>36113</v>
      </c>
      <c r="AB16" s="204">
        <v>34863</v>
      </c>
      <c r="AC16" s="204">
        <v>32806</v>
      </c>
      <c r="AD16" s="204">
        <v>31146</v>
      </c>
    </row>
    <row r="17" spans="2:30" x14ac:dyDescent="0.25">
      <c r="B17" s="198">
        <v>2033</v>
      </c>
      <c r="C17" s="199">
        <v>4</v>
      </c>
      <c r="D17" s="200"/>
      <c r="E17" s="201" t="s">
        <v>21</v>
      </c>
      <c r="F17" s="202">
        <v>4</v>
      </c>
      <c r="G17" s="203">
        <v>34709</v>
      </c>
      <c r="H17" s="204">
        <v>33490</v>
      </c>
      <c r="I17" s="204">
        <v>32513</v>
      </c>
      <c r="J17" s="204">
        <v>31679</v>
      </c>
      <c r="K17" s="204">
        <v>31098</v>
      </c>
      <c r="L17" s="204">
        <v>30167</v>
      </c>
      <c r="M17" s="204">
        <v>28648</v>
      </c>
      <c r="N17" s="204">
        <v>30056</v>
      </c>
      <c r="O17" s="204">
        <v>31984</v>
      </c>
      <c r="P17" s="204">
        <v>33075</v>
      </c>
      <c r="Q17" s="204">
        <v>33953</v>
      </c>
      <c r="R17" s="204">
        <v>35242</v>
      </c>
      <c r="S17" s="204">
        <v>35793</v>
      </c>
      <c r="T17" s="204">
        <v>35984</v>
      </c>
      <c r="U17" s="204">
        <v>36518</v>
      </c>
      <c r="V17" s="204">
        <v>36715</v>
      </c>
      <c r="W17" s="204">
        <v>36351</v>
      </c>
      <c r="X17" s="204">
        <v>36331</v>
      </c>
      <c r="Y17" s="204">
        <v>41106</v>
      </c>
      <c r="Z17" s="204">
        <v>42273</v>
      </c>
      <c r="AA17" s="204">
        <v>41820</v>
      </c>
      <c r="AB17" s="204">
        <v>39905</v>
      </c>
      <c r="AC17" s="204">
        <v>37073</v>
      </c>
      <c r="AD17" s="204">
        <v>34629</v>
      </c>
    </row>
    <row r="18" spans="2:30" ht="15.75" thickBot="1" x14ac:dyDescent="0.3">
      <c r="B18" s="198">
        <v>2033</v>
      </c>
      <c r="C18" s="205">
        <v>4</v>
      </c>
      <c r="D18" s="206"/>
      <c r="E18" s="201" t="s">
        <v>22</v>
      </c>
      <c r="F18" s="202">
        <v>2</v>
      </c>
      <c r="G18" s="207">
        <v>22353</v>
      </c>
      <c r="H18" s="208">
        <v>21378</v>
      </c>
      <c r="I18" s="208">
        <v>20800</v>
      </c>
      <c r="J18" s="208">
        <v>20411</v>
      </c>
      <c r="K18" s="208">
        <v>20146</v>
      </c>
      <c r="L18" s="208">
        <v>19422</v>
      </c>
      <c r="M18" s="208">
        <v>18362</v>
      </c>
      <c r="N18" s="208">
        <v>19007</v>
      </c>
      <c r="O18" s="208">
        <v>19569</v>
      </c>
      <c r="P18" s="208">
        <v>19794</v>
      </c>
      <c r="Q18" s="208">
        <v>20097</v>
      </c>
      <c r="R18" s="208">
        <v>20771</v>
      </c>
      <c r="S18" s="208">
        <v>21082</v>
      </c>
      <c r="T18" s="208">
        <v>21059</v>
      </c>
      <c r="U18" s="208">
        <v>21153</v>
      </c>
      <c r="V18" s="208">
        <v>21285</v>
      </c>
      <c r="W18" s="208">
        <v>21138</v>
      </c>
      <c r="X18" s="208">
        <v>21265</v>
      </c>
      <c r="Y18" s="208">
        <v>24404</v>
      </c>
      <c r="Z18" s="208">
        <v>25169</v>
      </c>
      <c r="AA18" s="208">
        <v>24932</v>
      </c>
      <c r="AB18" s="208">
        <v>24311</v>
      </c>
      <c r="AC18" s="208">
        <v>23360</v>
      </c>
      <c r="AD18" s="208">
        <v>22337</v>
      </c>
    </row>
    <row r="19" spans="2:30" x14ac:dyDescent="0.25">
      <c r="B19" s="198">
        <v>2033</v>
      </c>
      <c r="C19" s="209">
        <v>5</v>
      </c>
      <c r="D19" s="210">
        <v>23177367</v>
      </c>
      <c r="E19" s="201" t="s">
        <v>19</v>
      </c>
      <c r="F19" s="202">
        <v>21</v>
      </c>
      <c r="G19" s="203">
        <v>28396</v>
      </c>
      <c r="H19" s="204">
        <v>27254</v>
      </c>
      <c r="I19" s="204">
        <v>26470</v>
      </c>
      <c r="J19" s="204">
        <v>25893</v>
      </c>
      <c r="K19" s="204">
        <v>25733</v>
      </c>
      <c r="L19" s="204">
        <v>25695</v>
      </c>
      <c r="M19" s="204">
        <v>25482</v>
      </c>
      <c r="N19" s="204">
        <v>28118</v>
      </c>
      <c r="O19" s="204">
        <v>30841</v>
      </c>
      <c r="P19" s="204">
        <v>32479</v>
      </c>
      <c r="Q19" s="204">
        <v>33820</v>
      </c>
      <c r="R19" s="204">
        <v>34692</v>
      </c>
      <c r="S19" s="204">
        <v>32964</v>
      </c>
      <c r="T19" s="204">
        <v>34118</v>
      </c>
      <c r="U19" s="204">
        <v>36566</v>
      </c>
      <c r="V19" s="204">
        <v>36641</v>
      </c>
      <c r="W19" s="204">
        <v>35703</v>
      </c>
      <c r="X19" s="204">
        <v>34365</v>
      </c>
      <c r="Y19" s="204">
        <v>37248</v>
      </c>
      <c r="Z19" s="204">
        <v>37725</v>
      </c>
      <c r="AA19" s="204">
        <v>36827</v>
      </c>
      <c r="AB19" s="204">
        <v>35020</v>
      </c>
      <c r="AC19" s="204">
        <v>32499</v>
      </c>
      <c r="AD19" s="204">
        <v>30232</v>
      </c>
    </row>
    <row r="20" spans="2:30" x14ac:dyDescent="0.25">
      <c r="B20" s="198">
        <v>2033</v>
      </c>
      <c r="C20" s="199">
        <v>5</v>
      </c>
      <c r="D20" s="200"/>
      <c r="E20" s="201" t="s">
        <v>20</v>
      </c>
      <c r="F20" s="202">
        <v>4</v>
      </c>
      <c r="G20" s="203">
        <v>29523</v>
      </c>
      <c r="H20" s="204">
        <v>28357</v>
      </c>
      <c r="I20" s="204">
        <v>27442</v>
      </c>
      <c r="J20" s="204">
        <v>26781</v>
      </c>
      <c r="K20" s="204">
        <v>26432</v>
      </c>
      <c r="L20" s="204">
        <v>25381</v>
      </c>
      <c r="M20" s="204">
        <v>24839</v>
      </c>
      <c r="N20" s="204">
        <v>26684</v>
      </c>
      <c r="O20" s="204">
        <v>29403</v>
      </c>
      <c r="P20" s="204">
        <v>30933</v>
      </c>
      <c r="Q20" s="204">
        <v>32352</v>
      </c>
      <c r="R20" s="204">
        <v>33267</v>
      </c>
      <c r="S20" s="204">
        <v>32160</v>
      </c>
      <c r="T20" s="204">
        <v>31611</v>
      </c>
      <c r="U20" s="204">
        <v>31787</v>
      </c>
      <c r="V20" s="204">
        <v>31836</v>
      </c>
      <c r="W20" s="204">
        <v>31317</v>
      </c>
      <c r="X20" s="204">
        <v>31375</v>
      </c>
      <c r="Y20" s="204">
        <v>35090</v>
      </c>
      <c r="Z20" s="204">
        <v>35194</v>
      </c>
      <c r="AA20" s="204">
        <v>34081</v>
      </c>
      <c r="AB20" s="204">
        <v>32682</v>
      </c>
      <c r="AC20" s="204">
        <v>30850</v>
      </c>
      <c r="AD20" s="204">
        <v>28885</v>
      </c>
    </row>
    <row r="21" spans="2:30" x14ac:dyDescent="0.25">
      <c r="B21" s="198">
        <v>2033</v>
      </c>
      <c r="C21" s="199">
        <v>5</v>
      </c>
      <c r="D21" s="200"/>
      <c r="E21" s="201" t="s">
        <v>21</v>
      </c>
      <c r="F21" s="202">
        <v>4</v>
      </c>
      <c r="G21" s="203">
        <v>28117</v>
      </c>
      <c r="H21" s="204">
        <v>27060</v>
      </c>
      <c r="I21" s="204">
        <v>26329</v>
      </c>
      <c r="J21" s="204">
        <v>25409</v>
      </c>
      <c r="K21" s="204">
        <v>25115</v>
      </c>
      <c r="L21" s="204">
        <v>23921</v>
      </c>
      <c r="M21" s="204">
        <v>22609</v>
      </c>
      <c r="N21" s="204">
        <v>23877</v>
      </c>
      <c r="O21" s="204">
        <v>25924</v>
      </c>
      <c r="P21" s="204">
        <v>27244</v>
      </c>
      <c r="Q21" s="204">
        <v>28194</v>
      </c>
      <c r="R21" s="204">
        <v>29286</v>
      </c>
      <c r="S21" s="204">
        <v>29460</v>
      </c>
      <c r="T21" s="204">
        <v>29395</v>
      </c>
      <c r="U21" s="204">
        <v>29483</v>
      </c>
      <c r="V21" s="204">
        <v>29591</v>
      </c>
      <c r="W21" s="204">
        <v>29549</v>
      </c>
      <c r="X21" s="204">
        <v>29732</v>
      </c>
      <c r="Y21" s="204">
        <v>33644</v>
      </c>
      <c r="Z21" s="204">
        <v>34640</v>
      </c>
      <c r="AA21" s="204">
        <v>34744</v>
      </c>
      <c r="AB21" s="204">
        <v>33772</v>
      </c>
      <c r="AC21" s="204">
        <v>31860</v>
      </c>
      <c r="AD21" s="204">
        <v>29987</v>
      </c>
    </row>
    <row r="22" spans="2:30" ht="15.75" thickBot="1" x14ac:dyDescent="0.3">
      <c r="B22" s="198">
        <v>2033</v>
      </c>
      <c r="C22" s="205">
        <v>5</v>
      </c>
      <c r="D22" s="206"/>
      <c r="E22" s="201" t="s">
        <v>22</v>
      </c>
      <c r="F22" s="202">
        <v>2</v>
      </c>
      <c r="G22" s="207">
        <v>28631</v>
      </c>
      <c r="H22" s="208">
        <v>27383</v>
      </c>
      <c r="I22" s="208">
        <v>26596</v>
      </c>
      <c r="J22" s="208">
        <v>25833</v>
      </c>
      <c r="K22" s="208">
        <v>25212</v>
      </c>
      <c r="L22" s="208">
        <v>23669</v>
      </c>
      <c r="M22" s="208">
        <v>23427</v>
      </c>
      <c r="N22" s="208">
        <v>25147</v>
      </c>
      <c r="O22" s="208">
        <v>26942</v>
      </c>
      <c r="P22" s="208">
        <v>28604</v>
      </c>
      <c r="Q22" s="208">
        <v>29865</v>
      </c>
      <c r="R22" s="208">
        <v>31551</v>
      </c>
      <c r="S22" s="208">
        <v>31761</v>
      </c>
      <c r="T22" s="208">
        <v>31856</v>
      </c>
      <c r="U22" s="208">
        <v>32369</v>
      </c>
      <c r="V22" s="208">
        <v>32521</v>
      </c>
      <c r="W22" s="208">
        <v>31949</v>
      </c>
      <c r="X22" s="208">
        <v>31733</v>
      </c>
      <c r="Y22" s="208">
        <v>35922</v>
      </c>
      <c r="Z22" s="208">
        <v>37204</v>
      </c>
      <c r="AA22" s="208">
        <v>36763</v>
      </c>
      <c r="AB22" s="208">
        <v>35053</v>
      </c>
      <c r="AC22" s="208">
        <v>33079</v>
      </c>
      <c r="AD22" s="208">
        <v>31005</v>
      </c>
    </row>
    <row r="23" spans="2:30" x14ac:dyDescent="0.25">
      <c r="B23" s="198">
        <v>2033</v>
      </c>
      <c r="C23" s="209">
        <v>6</v>
      </c>
      <c r="D23" s="210">
        <v>20724168</v>
      </c>
      <c r="E23" s="201" t="s">
        <v>19</v>
      </c>
      <c r="F23" s="202">
        <v>20</v>
      </c>
      <c r="G23" s="203">
        <v>25096</v>
      </c>
      <c r="H23" s="204">
        <v>23822</v>
      </c>
      <c r="I23" s="204">
        <v>23193</v>
      </c>
      <c r="J23" s="204">
        <v>22815</v>
      </c>
      <c r="K23" s="204">
        <v>23160</v>
      </c>
      <c r="L23" s="204">
        <v>22996</v>
      </c>
      <c r="M23" s="204">
        <v>22705</v>
      </c>
      <c r="N23" s="204">
        <v>24705</v>
      </c>
      <c r="O23" s="204">
        <v>27247</v>
      </c>
      <c r="P23" s="204">
        <v>28770</v>
      </c>
      <c r="Q23" s="204">
        <v>30239</v>
      </c>
      <c r="R23" s="204">
        <v>31255</v>
      </c>
      <c r="S23" s="204">
        <v>29675</v>
      </c>
      <c r="T23" s="204">
        <v>30563</v>
      </c>
      <c r="U23" s="204">
        <v>32743</v>
      </c>
      <c r="V23" s="204">
        <v>32792</v>
      </c>
      <c r="W23" s="204">
        <v>32016</v>
      </c>
      <c r="X23" s="204">
        <v>30688</v>
      </c>
      <c r="Y23" s="204">
        <v>33245</v>
      </c>
      <c r="Z23" s="204">
        <v>33867</v>
      </c>
      <c r="AA23" s="204">
        <v>32913</v>
      </c>
      <c r="AB23" s="204">
        <v>31278</v>
      </c>
      <c r="AC23" s="204">
        <v>28979</v>
      </c>
      <c r="AD23" s="204">
        <v>26864</v>
      </c>
    </row>
    <row r="24" spans="2:30" x14ac:dyDescent="0.25">
      <c r="B24" s="198">
        <v>2033</v>
      </c>
      <c r="C24" s="199">
        <v>6</v>
      </c>
      <c r="D24" s="200"/>
      <c r="E24" s="201" t="s">
        <v>20</v>
      </c>
      <c r="F24" s="202">
        <v>4</v>
      </c>
      <c r="G24" s="203">
        <v>28645</v>
      </c>
      <c r="H24" s="204">
        <v>27629</v>
      </c>
      <c r="I24" s="204">
        <v>26655</v>
      </c>
      <c r="J24" s="204">
        <v>25948</v>
      </c>
      <c r="K24" s="204">
        <v>25776</v>
      </c>
      <c r="L24" s="204">
        <v>24828</v>
      </c>
      <c r="M24" s="204">
        <v>24329</v>
      </c>
      <c r="N24" s="204">
        <v>26427</v>
      </c>
      <c r="O24" s="204">
        <v>28874</v>
      </c>
      <c r="P24" s="204">
        <v>30986</v>
      </c>
      <c r="Q24" s="204">
        <v>32594</v>
      </c>
      <c r="R24" s="204">
        <v>33459</v>
      </c>
      <c r="S24" s="204">
        <v>32934</v>
      </c>
      <c r="T24" s="204">
        <v>32950</v>
      </c>
      <c r="U24" s="204">
        <v>33368</v>
      </c>
      <c r="V24" s="204">
        <v>32640</v>
      </c>
      <c r="W24" s="204">
        <v>31970</v>
      </c>
      <c r="X24" s="204">
        <v>31964</v>
      </c>
      <c r="Y24" s="204">
        <v>35757</v>
      </c>
      <c r="Z24" s="204">
        <v>36733</v>
      </c>
      <c r="AA24" s="204">
        <v>35896</v>
      </c>
      <c r="AB24" s="204">
        <v>34166</v>
      </c>
      <c r="AC24" s="204">
        <v>32247</v>
      </c>
      <c r="AD24" s="204">
        <v>30485</v>
      </c>
    </row>
    <row r="25" spans="2:30" x14ac:dyDescent="0.25">
      <c r="B25" s="198">
        <v>2033</v>
      </c>
      <c r="C25" s="199">
        <v>6</v>
      </c>
      <c r="D25" s="200"/>
      <c r="E25" s="201" t="s">
        <v>21</v>
      </c>
      <c r="F25" s="202">
        <v>4</v>
      </c>
      <c r="G25" s="203">
        <v>28826</v>
      </c>
      <c r="H25" s="204">
        <v>27729</v>
      </c>
      <c r="I25" s="204">
        <v>26996</v>
      </c>
      <c r="J25" s="204">
        <v>26505</v>
      </c>
      <c r="K25" s="204">
        <v>26162</v>
      </c>
      <c r="L25" s="204">
        <v>24382</v>
      </c>
      <c r="M25" s="204">
        <v>23397</v>
      </c>
      <c r="N25" s="204">
        <v>24552</v>
      </c>
      <c r="O25" s="204">
        <v>26041</v>
      </c>
      <c r="P25" s="204">
        <v>27543</v>
      </c>
      <c r="Q25" s="204">
        <v>28766</v>
      </c>
      <c r="R25" s="204">
        <v>29701</v>
      </c>
      <c r="S25" s="204">
        <v>30072</v>
      </c>
      <c r="T25" s="204">
        <v>30327</v>
      </c>
      <c r="U25" s="204">
        <v>31029</v>
      </c>
      <c r="V25" s="204">
        <v>30974</v>
      </c>
      <c r="W25" s="204">
        <v>30938</v>
      </c>
      <c r="X25" s="204">
        <v>30879</v>
      </c>
      <c r="Y25" s="204">
        <v>34838</v>
      </c>
      <c r="Z25" s="204">
        <v>36260</v>
      </c>
      <c r="AA25" s="204">
        <v>35812</v>
      </c>
      <c r="AB25" s="204">
        <v>34371</v>
      </c>
      <c r="AC25" s="204">
        <v>32379</v>
      </c>
      <c r="AD25" s="204">
        <v>30473</v>
      </c>
    </row>
    <row r="26" spans="2:30" ht="15.75" thickBot="1" x14ac:dyDescent="0.3">
      <c r="B26" s="198">
        <v>2033</v>
      </c>
      <c r="C26" s="205">
        <v>6</v>
      </c>
      <c r="D26" s="206"/>
      <c r="E26" s="201" t="s">
        <v>22</v>
      </c>
      <c r="F26" s="202">
        <v>2</v>
      </c>
      <c r="G26" s="207">
        <v>26286</v>
      </c>
      <c r="H26" s="208">
        <v>25381</v>
      </c>
      <c r="I26" s="208">
        <v>24741</v>
      </c>
      <c r="J26" s="208">
        <v>24172</v>
      </c>
      <c r="K26" s="208">
        <v>23877</v>
      </c>
      <c r="L26" s="208">
        <v>22208</v>
      </c>
      <c r="M26" s="208">
        <v>21439</v>
      </c>
      <c r="N26" s="208">
        <v>22830</v>
      </c>
      <c r="O26" s="208">
        <v>24818</v>
      </c>
      <c r="P26" s="208">
        <v>26035</v>
      </c>
      <c r="Q26" s="208">
        <v>26756</v>
      </c>
      <c r="R26" s="208">
        <v>28177</v>
      </c>
      <c r="S26" s="208">
        <v>28490</v>
      </c>
      <c r="T26" s="208">
        <v>28749</v>
      </c>
      <c r="U26" s="208">
        <v>30233</v>
      </c>
      <c r="V26" s="208">
        <v>29987</v>
      </c>
      <c r="W26" s="208">
        <v>28549</v>
      </c>
      <c r="X26" s="208">
        <v>28209</v>
      </c>
      <c r="Y26" s="208">
        <v>31577</v>
      </c>
      <c r="Z26" s="208">
        <v>32654</v>
      </c>
      <c r="AA26" s="208">
        <v>32212</v>
      </c>
      <c r="AB26" s="208">
        <v>30752</v>
      </c>
      <c r="AC26" s="208">
        <v>28562</v>
      </c>
      <c r="AD26" s="208">
        <v>26706</v>
      </c>
    </row>
    <row r="27" spans="2:30" x14ac:dyDescent="0.25">
      <c r="B27" s="198">
        <v>2033</v>
      </c>
      <c r="C27" s="209">
        <v>7</v>
      </c>
      <c r="D27" s="210">
        <v>21761716</v>
      </c>
      <c r="E27" s="201" t="s">
        <v>19</v>
      </c>
      <c r="F27" s="202">
        <v>19</v>
      </c>
      <c r="G27" s="203">
        <v>28262</v>
      </c>
      <c r="H27" s="204">
        <v>27243</v>
      </c>
      <c r="I27" s="204">
        <v>26452</v>
      </c>
      <c r="J27" s="204">
        <v>25855</v>
      </c>
      <c r="K27" s="204">
        <v>25774</v>
      </c>
      <c r="L27" s="204">
        <v>25832</v>
      </c>
      <c r="M27" s="204">
        <v>25209</v>
      </c>
      <c r="N27" s="204">
        <v>27201</v>
      </c>
      <c r="O27" s="204">
        <v>29674</v>
      </c>
      <c r="P27" s="204">
        <v>31430</v>
      </c>
      <c r="Q27" s="204">
        <v>32784</v>
      </c>
      <c r="R27" s="204">
        <v>33682</v>
      </c>
      <c r="S27" s="204">
        <v>32042</v>
      </c>
      <c r="T27" s="204">
        <v>32741</v>
      </c>
      <c r="U27" s="204">
        <v>35199</v>
      </c>
      <c r="V27" s="204">
        <v>35435</v>
      </c>
      <c r="W27" s="204">
        <v>34953</v>
      </c>
      <c r="X27" s="204">
        <v>33609</v>
      </c>
      <c r="Y27" s="204">
        <v>36274</v>
      </c>
      <c r="Z27" s="204">
        <v>37449</v>
      </c>
      <c r="AA27" s="204">
        <v>36492</v>
      </c>
      <c r="AB27" s="204">
        <v>34714</v>
      </c>
      <c r="AC27" s="204">
        <v>32066</v>
      </c>
      <c r="AD27" s="204">
        <v>29685</v>
      </c>
    </row>
    <row r="28" spans="2:30" x14ac:dyDescent="0.25">
      <c r="B28" s="198">
        <v>2033</v>
      </c>
      <c r="C28" s="199">
        <v>7</v>
      </c>
      <c r="D28" s="200"/>
      <c r="E28" s="201" t="s">
        <v>20</v>
      </c>
      <c r="F28" s="202">
        <v>5</v>
      </c>
      <c r="G28" s="203">
        <v>22561</v>
      </c>
      <c r="H28" s="204">
        <v>21997</v>
      </c>
      <c r="I28" s="204">
        <v>21386</v>
      </c>
      <c r="J28" s="204">
        <v>20979</v>
      </c>
      <c r="K28" s="204">
        <v>20804</v>
      </c>
      <c r="L28" s="204">
        <v>20340</v>
      </c>
      <c r="M28" s="204">
        <v>19894</v>
      </c>
      <c r="N28" s="204">
        <v>21725</v>
      </c>
      <c r="O28" s="204">
        <v>23934</v>
      </c>
      <c r="P28" s="204">
        <v>25266</v>
      </c>
      <c r="Q28" s="204">
        <v>26249</v>
      </c>
      <c r="R28" s="204">
        <v>27011</v>
      </c>
      <c r="S28" s="204">
        <v>26720</v>
      </c>
      <c r="T28" s="204">
        <v>26650</v>
      </c>
      <c r="U28" s="204">
        <v>27229</v>
      </c>
      <c r="V28" s="204">
        <v>26338</v>
      </c>
      <c r="W28" s="204">
        <v>26769</v>
      </c>
      <c r="X28" s="204">
        <v>26259</v>
      </c>
      <c r="Y28" s="204">
        <v>29093</v>
      </c>
      <c r="Z28" s="204">
        <v>30166</v>
      </c>
      <c r="AA28" s="204">
        <v>29463</v>
      </c>
      <c r="AB28" s="204">
        <v>28223</v>
      </c>
      <c r="AC28" s="204">
        <v>26579</v>
      </c>
      <c r="AD28" s="204">
        <v>24956</v>
      </c>
    </row>
    <row r="29" spans="2:30" x14ac:dyDescent="0.25">
      <c r="B29" s="198">
        <v>2033</v>
      </c>
      <c r="C29" s="199">
        <v>7</v>
      </c>
      <c r="D29" s="200"/>
      <c r="E29" s="201" t="s">
        <v>21</v>
      </c>
      <c r="F29" s="202">
        <v>5</v>
      </c>
      <c r="G29" s="203">
        <v>25459</v>
      </c>
      <c r="H29" s="204">
        <v>24481</v>
      </c>
      <c r="I29" s="204">
        <v>23889</v>
      </c>
      <c r="J29" s="204">
        <v>23045</v>
      </c>
      <c r="K29" s="204">
        <v>22923</v>
      </c>
      <c r="L29" s="204">
        <v>22155</v>
      </c>
      <c r="M29" s="204">
        <v>20946</v>
      </c>
      <c r="N29" s="204">
        <v>22453</v>
      </c>
      <c r="O29" s="204">
        <v>24414</v>
      </c>
      <c r="P29" s="204">
        <v>25593</v>
      </c>
      <c r="Q29" s="204">
        <v>26501</v>
      </c>
      <c r="R29" s="204">
        <v>27368</v>
      </c>
      <c r="S29" s="204">
        <v>27108</v>
      </c>
      <c r="T29" s="204">
        <v>26723</v>
      </c>
      <c r="U29" s="204">
        <v>26921</v>
      </c>
      <c r="V29" s="204">
        <v>27239</v>
      </c>
      <c r="W29" s="204">
        <v>27212</v>
      </c>
      <c r="X29" s="204">
        <v>27077</v>
      </c>
      <c r="Y29" s="204">
        <v>29959</v>
      </c>
      <c r="Z29" s="204">
        <v>31401</v>
      </c>
      <c r="AA29" s="204">
        <v>30843</v>
      </c>
      <c r="AB29" s="204">
        <v>29593</v>
      </c>
      <c r="AC29" s="204">
        <v>27799</v>
      </c>
      <c r="AD29" s="204">
        <v>26162</v>
      </c>
    </row>
    <row r="30" spans="2:30" ht="15.75" thickBot="1" x14ac:dyDescent="0.3">
      <c r="B30" s="198">
        <v>2033</v>
      </c>
      <c r="C30" s="205">
        <v>7</v>
      </c>
      <c r="D30" s="206"/>
      <c r="E30" s="201" t="s">
        <v>22</v>
      </c>
      <c r="F30" s="202">
        <v>2</v>
      </c>
      <c r="G30" s="207">
        <v>26246</v>
      </c>
      <c r="H30" s="208">
        <v>25487</v>
      </c>
      <c r="I30" s="208">
        <v>24822</v>
      </c>
      <c r="J30" s="208">
        <v>24186</v>
      </c>
      <c r="K30" s="208">
        <v>24019</v>
      </c>
      <c r="L30" s="208">
        <v>23379</v>
      </c>
      <c r="M30" s="208">
        <v>22916</v>
      </c>
      <c r="N30" s="208">
        <v>24269</v>
      </c>
      <c r="O30" s="208">
        <v>25980</v>
      </c>
      <c r="P30" s="208">
        <v>27415</v>
      </c>
      <c r="Q30" s="208">
        <v>28639</v>
      </c>
      <c r="R30" s="208">
        <v>29797</v>
      </c>
      <c r="S30" s="208">
        <v>31848</v>
      </c>
      <c r="T30" s="208">
        <v>30737</v>
      </c>
      <c r="U30" s="208">
        <v>30515</v>
      </c>
      <c r="V30" s="208">
        <v>30798</v>
      </c>
      <c r="W30" s="208">
        <v>30389</v>
      </c>
      <c r="X30" s="208">
        <v>30108</v>
      </c>
      <c r="Y30" s="208">
        <v>33507</v>
      </c>
      <c r="Z30" s="208">
        <v>34812</v>
      </c>
      <c r="AA30" s="208">
        <v>34100</v>
      </c>
      <c r="AB30" s="208">
        <v>32646</v>
      </c>
      <c r="AC30" s="208">
        <v>30446</v>
      </c>
      <c r="AD30" s="208">
        <v>28618</v>
      </c>
    </row>
    <row r="31" spans="2:30" x14ac:dyDescent="0.25">
      <c r="B31" s="198">
        <v>2033</v>
      </c>
      <c r="C31" s="209">
        <v>8</v>
      </c>
      <c r="D31" s="210">
        <v>23975770</v>
      </c>
      <c r="E31" s="201" t="s">
        <v>19</v>
      </c>
      <c r="F31" s="202">
        <v>22</v>
      </c>
      <c r="G31" s="203">
        <v>27702</v>
      </c>
      <c r="H31" s="204">
        <v>26710</v>
      </c>
      <c r="I31" s="204">
        <v>25937</v>
      </c>
      <c r="J31" s="204">
        <v>25400</v>
      </c>
      <c r="K31" s="204">
        <v>25263</v>
      </c>
      <c r="L31" s="204">
        <v>25213</v>
      </c>
      <c r="M31" s="204">
        <v>24581</v>
      </c>
      <c r="N31" s="204">
        <v>26766</v>
      </c>
      <c r="O31" s="204">
        <v>29739</v>
      </c>
      <c r="P31" s="204">
        <v>31689</v>
      </c>
      <c r="Q31" s="204">
        <v>33282</v>
      </c>
      <c r="R31" s="204">
        <v>34372</v>
      </c>
      <c r="S31" s="204">
        <v>32567</v>
      </c>
      <c r="T31" s="204">
        <v>33883</v>
      </c>
      <c r="U31" s="204">
        <v>36169</v>
      </c>
      <c r="V31" s="204">
        <v>36184</v>
      </c>
      <c r="W31" s="204">
        <v>35178</v>
      </c>
      <c r="X31" s="204">
        <v>33534</v>
      </c>
      <c r="Y31" s="204">
        <v>36132</v>
      </c>
      <c r="Z31" s="204">
        <v>37095</v>
      </c>
      <c r="AA31" s="204">
        <v>36277</v>
      </c>
      <c r="AB31" s="204">
        <v>34541</v>
      </c>
      <c r="AC31" s="204">
        <v>31902</v>
      </c>
      <c r="AD31" s="204">
        <v>29689</v>
      </c>
    </row>
    <row r="32" spans="2:30" x14ac:dyDescent="0.25">
      <c r="B32" s="198">
        <v>2033</v>
      </c>
      <c r="C32" s="199">
        <v>8</v>
      </c>
      <c r="D32" s="200"/>
      <c r="E32" s="201" t="s">
        <v>20</v>
      </c>
      <c r="F32" s="202">
        <v>4</v>
      </c>
      <c r="G32" s="203">
        <v>32396</v>
      </c>
      <c r="H32" s="204">
        <v>31146</v>
      </c>
      <c r="I32" s="204">
        <v>30212</v>
      </c>
      <c r="J32" s="204">
        <v>29512</v>
      </c>
      <c r="K32" s="204">
        <v>29007</v>
      </c>
      <c r="L32" s="204">
        <v>28284</v>
      </c>
      <c r="M32" s="204">
        <v>27345</v>
      </c>
      <c r="N32" s="204">
        <v>29669</v>
      </c>
      <c r="O32" s="204">
        <v>32851</v>
      </c>
      <c r="P32" s="204">
        <v>35081</v>
      </c>
      <c r="Q32" s="204">
        <v>36724</v>
      </c>
      <c r="R32" s="204">
        <v>37864</v>
      </c>
      <c r="S32" s="204">
        <v>37231</v>
      </c>
      <c r="T32" s="204">
        <v>37634</v>
      </c>
      <c r="U32" s="204">
        <v>38157</v>
      </c>
      <c r="V32" s="204">
        <v>37968</v>
      </c>
      <c r="W32" s="204">
        <v>37043</v>
      </c>
      <c r="X32" s="204">
        <v>36619</v>
      </c>
      <c r="Y32" s="204">
        <v>40322</v>
      </c>
      <c r="Z32" s="204">
        <v>41283</v>
      </c>
      <c r="AA32" s="204">
        <v>40469</v>
      </c>
      <c r="AB32" s="204">
        <v>38822</v>
      </c>
      <c r="AC32" s="204">
        <v>36502</v>
      </c>
      <c r="AD32" s="204">
        <v>33506</v>
      </c>
    </row>
    <row r="33" spans="2:30" x14ac:dyDescent="0.25">
      <c r="B33" s="198">
        <v>2033</v>
      </c>
      <c r="C33" s="199">
        <v>8</v>
      </c>
      <c r="D33" s="200"/>
      <c r="E33" s="201" t="s">
        <v>21</v>
      </c>
      <c r="F33" s="202">
        <v>3</v>
      </c>
      <c r="G33" s="203">
        <v>36355</v>
      </c>
      <c r="H33" s="204">
        <v>35314</v>
      </c>
      <c r="I33" s="204">
        <v>34305</v>
      </c>
      <c r="J33" s="204">
        <v>33432</v>
      </c>
      <c r="K33" s="204">
        <v>32904</v>
      </c>
      <c r="L33" s="204">
        <v>31227</v>
      </c>
      <c r="M33" s="204">
        <v>29253</v>
      </c>
      <c r="N33" s="204">
        <v>30872</v>
      </c>
      <c r="O33" s="204">
        <v>32942</v>
      </c>
      <c r="P33" s="204">
        <v>34945</v>
      </c>
      <c r="Q33" s="204">
        <v>36462</v>
      </c>
      <c r="R33" s="204">
        <v>37837</v>
      </c>
      <c r="S33" s="204">
        <v>38154</v>
      </c>
      <c r="T33" s="204">
        <v>38659</v>
      </c>
      <c r="U33" s="204">
        <v>38777</v>
      </c>
      <c r="V33" s="204">
        <v>38848</v>
      </c>
      <c r="W33" s="204">
        <v>38475</v>
      </c>
      <c r="X33" s="204">
        <v>38219</v>
      </c>
      <c r="Y33" s="204">
        <v>43076</v>
      </c>
      <c r="Z33" s="204">
        <v>44960</v>
      </c>
      <c r="AA33" s="204">
        <v>44464</v>
      </c>
      <c r="AB33" s="204">
        <v>42562</v>
      </c>
      <c r="AC33" s="204">
        <v>39808</v>
      </c>
      <c r="AD33" s="204">
        <v>37422</v>
      </c>
    </row>
    <row r="34" spans="2:30" ht="15.75" thickBot="1" x14ac:dyDescent="0.3">
      <c r="B34" s="198">
        <v>2033</v>
      </c>
      <c r="C34" s="205">
        <v>8</v>
      </c>
      <c r="D34" s="206"/>
      <c r="E34" s="201" t="s">
        <v>22</v>
      </c>
      <c r="F34" s="202">
        <v>2</v>
      </c>
      <c r="G34" s="207">
        <v>29115</v>
      </c>
      <c r="H34" s="208">
        <v>28115</v>
      </c>
      <c r="I34" s="208">
        <v>27292</v>
      </c>
      <c r="J34" s="208">
        <v>26153</v>
      </c>
      <c r="K34" s="208">
        <v>26313</v>
      </c>
      <c r="L34" s="208">
        <v>25685</v>
      </c>
      <c r="M34" s="208">
        <v>24396</v>
      </c>
      <c r="N34" s="208">
        <v>26021</v>
      </c>
      <c r="O34" s="208">
        <v>28035</v>
      </c>
      <c r="P34" s="208">
        <v>29856</v>
      </c>
      <c r="Q34" s="208">
        <v>31680</v>
      </c>
      <c r="R34" s="208">
        <v>33191</v>
      </c>
      <c r="S34" s="208">
        <v>33525</v>
      </c>
      <c r="T34" s="208">
        <v>33402</v>
      </c>
      <c r="U34" s="208">
        <v>33649</v>
      </c>
      <c r="V34" s="208">
        <v>33229</v>
      </c>
      <c r="W34" s="208">
        <v>27365</v>
      </c>
      <c r="X34" s="208">
        <v>32196</v>
      </c>
      <c r="Y34" s="208">
        <v>35810</v>
      </c>
      <c r="Z34" s="208">
        <v>36895</v>
      </c>
      <c r="AA34" s="208">
        <v>36074</v>
      </c>
      <c r="AB34" s="208">
        <v>34492</v>
      </c>
      <c r="AC34" s="208">
        <v>32235</v>
      </c>
      <c r="AD34" s="208">
        <v>30104</v>
      </c>
    </row>
    <row r="35" spans="2:30" x14ac:dyDescent="0.25">
      <c r="B35" s="198">
        <v>2033</v>
      </c>
      <c r="C35" s="209">
        <v>9</v>
      </c>
      <c r="D35" s="210">
        <v>20806214</v>
      </c>
      <c r="E35" s="201" t="s">
        <v>19</v>
      </c>
      <c r="F35" s="202">
        <v>22</v>
      </c>
      <c r="G35" s="203">
        <v>25583</v>
      </c>
      <c r="H35" s="204">
        <v>24159</v>
      </c>
      <c r="I35" s="204">
        <v>23427</v>
      </c>
      <c r="J35" s="204">
        <v>22965</v>
      </c>
      <c r="K35" s="204">
        <v>23075</v>
      </c>
      <c r="L35" s="204">
        <v>22774</v>
      </c>
      <c r="M35" s="204">
        <v>22390</v>
      </c>
      <c r="N35" s="204">
        <v>24480</v>
      </c>
      <c r="O35" s="204">
        <v>27238</v>
      </c>
      <c r="P35" s="204">
        <v>29169</v>
      </c>
      <c r="Q35" s="204">
        <v>30577</v>
      </c>
      <c r="R35" s="204">
        <v>31556</v>
      </c>
      <c r="S35" s="204">
        <v>29965</v>
      </c>
      <c r="T35" s="204">
        <v>31295</v>
      </c>
      <c r="U35" s="204">
        <v>33052</v>
      </c>
      <c r="V35" s="204">
        <v>32827</v>
      </c>
      <c r="W35" s="204">
        <v>32006</v>
      </c>
      <c r="X35" s="204">
        <v>31269</v>
      </c>
      <c r="Y35" s="204">
        <v>33619</v>
      </c>
      <c r="Z35" s="204">
        <v>33841</v>
      </c>
      <c r="AA35" s="204">
        <v>33152</v>
      </c>
      <c r="AB35" s="204">
        <v>31811</v>
      </c>
      <c r="AC35" s="204">
        <v>29610</v>
      </c>
      <c r="AD35" s="204">
        <v>27587</v>
      </c>
    </row>
    <row r="36" spans="2:30" x14ac:dyDescent="0.25">
      <c r="B36" s="198">
        <v>2033</v>
      </c>
      <c r="C36" s="199">
        <v>9</v>
      </c>
      <c r="D36" s="200"/>
      <c r="E36" s="201" t="s">
        <v>20</v>
      </c>
      <c r="F36" s="202">
        <v>4</v>
      </c>
      <c r="G36" s="203">
        <v>28785</v>
      </c>
      <c r="H36" s="204">
        <v>27777</v>
      </c>
      <c r="I36" s="204">
        <v>26926</v>
      </c>
      <c r="J36" s="204">
        <v>26307</v>
      </c>
      <c r="K36" s="204">
        <v>25940</v>
      </c>
      <c r="L36" s="204">
        <v>24770</v>
      </c>
      <c r="M36" s="204">
        <v>24415</v>
      </c>
      <c r="N36" s="204">
        <v>26462</v>
      </c>
      <c r="O36" s="204">
        <v>29230</v>
      </c>
      <c r="P36" s="204">
        <v>31331</v>
      </c>
      <c r="Q36" s="204">
        <v>32977</v>
      </c>
      <c r="R36" s="204">
        <v>33890</v>
      </c>
      <c r="S36" s="204">
        <v>33194</v>
      </c>
      <c r="T36" s="204">
        <v>33185</v>
      </c>
      <c r="U36" s="204">
        <v>33721</v>
      </c>
      <c r="V36" s="204">
        <v>33371</v>
      </c>
      <c r="W36" s="204">
        <v>32676</v>
      </c>
      <c r="X36" s="204">
        <v>32727</v>
      </c>
      <c r="Y36" s="204">
        <v>36106</v>
      </c>
      <c r="Z36" s="204">
        <v>36173</v>
      </c>
      <c r="AA36" s="204">
        <v>35395</v>
      </c>
      <c r="AB36" s="204">
        <v>34031</v>
      </c>
      <c r="AC36" s="204">
        <v>32295</v>
      </c>
      <c r="AD36" s="204">
        <v>30482</v>
      </c>
    </row>
    <row r="37" spans="2:30" ht="15.75" thickBot="1" x14ac:dyDescent="0.3">
      <c r="B37" s="198">
        <v>2033</v>
      </c>
      <c r="C37" s="205">
        <v>9</v>
      </c>
      <c r="D37" s="200"/>
      <c r="E37" s="201" t="s">
        <v>21</v>
      </c>
      <c r="F37" s="202">
        <v>4</v>
      </c>
      <c r="G37" s="207">
        <v>29996</v>
      </c>
      <c r="H37" s="208">
        <v>28814</v>
      </c>
      <c r="I37" s="208">
        <v>27816</v>
      </c>
      <c r="J37" s="208">
        <v>25459</v>
      </c>
      <c r="K37" s="208">
        <v>24654</v>
      </c>
      <c r="L37" s="208">
        <v>23482</v>
      </c>
      <c r="M37" s="208">
        <v>22387</v>
      </c>
      <c r="N37" s="208">
        <v>23628</v>
      </c>
      <c r="O37" s="208">
        <v>25087</v>
      </c>
      <c r="P37" s="208">
        <v>26528</v>
      </c>
      <c r="Q37" s="208">
        <v>27542</v>
      </c>
      <c r="R37" s="208">
        <v>28488</v>
      </c>
      <c r="S37" s="208">
        <v>28705</v>
      </c>
      <c r="T37" s="208">
        <v>28104</v>
      </c>
      <c r="U37" s="208">
        <v>28028</v>
      </c>
      <c r="V37" s="208">
        <v>28036</v>
      </c>
      <c r="W37" s="208">
        <v>27560</v>
      </c>
      <c r="X37" s="208">
        <v>27613</v>
      </c>
      <c r="Y37" s="208">
        <v>33757</v>
      </c>
      <c r="Z37" s="208">
        <v>34971</v>
      </c>
      <c r="AA37" s="208">
        <v>34481</v>
      </c>
      <c r="AB37" s="208">
        <v>33125</v>
      </c>
      <c r="AC37" s="208">
        <v>31092</v>
      </c>
      <c r="AD37" s="208">
        <v>29186</v>
      </c>
    </row>
    <row r="38" spans="2:30" x14ac:dyDescent="0.25">
      <c r="B38" s="198">
        <v>2033</v>
      </c>
      <c r="C38" s="209">
        <v>10</v>
      </c>
      <c r="D38" s="210">
        <v>22598706</v>
      </c>
      <c r="E38" s="201" t="s">
        <v>19</v>
      </c>
      <c r="F38" s="202">
        <v>20</v>
      </c>
      <c r="G38" s="203">
        <v>29146</v>
      </c>
      <c r="H38" s="204">
        <v>28069</v>
      </c>
      <c r="I38" s="204">
        <v>27267</v>
      </c>
      <c r="J38" s="204">
        <v>26685</v>
      </c>
      <c r="K38" s="204">
        <v>26277</v>
      </c>
      <c r="L38" s="204">
        <v>25572</v>
      </c>
      <c r="M38" s="204">
        <v>25379</v>
      </c>
      <c r="N38" s="204">
        <v>28030</v>
      </c>
      <c r="O38" s="204">
        <v>31361</v>
      </c>
      <c r="P38" s="204">
        <v>33355</v>
      </c>
      <c r="Q38" s="204">
        <v>35052</v>
      </c>
      <c r="R38" s="204">
        <v>36007</v>
      </c>
      <c r="S38" s="204">
        <v>34360</v>
      </c>
      <c r="T38" s="204">
        <v>35588</v>
      </c>
      <c r="U38" s="204">
        <v>38074</v>
      </c>
      <c r="V38" s="204">
        <v>38034</v>
      </c>
      <c r="W38" s="204">
        <v>36803</v>
      </c>
      <c r="X38" s="204">
        <v>36244</v>
      </c>
      <c r="Y38" s="204">
        <v>38325</v>
      </c>
      <c r="Z38" s="204">
        <v>38011</v>
      </c>
      <c r="AA38" s="204">
        <v>37215</v>
      </c>
      <c r="AB38" s="204">
        <v>35800</v>
      </c>
      <c r="AC38" s="204">
        <v>33382</v>
      </c>
      <c r="AD38" s="204">
        <v>31342</v>
      </c>
    </row>
    <row r="39" spans="2:30" x14ac:dyDescent="0.25">
      <c r="B39" s="198">
        <v>2033</v>
      </c>
      <c r="C39" s="199">
        <v>10</v>
      </c>
      <c r="D39" s="200"/>
      <c r="E39" s="201" t="s">
        <v>20</v>
      </c>
      <c r="F39" s="202">
        <v>5</v>
      </c>
      <c r="G39" s="203">
        <v>24472</v>
      </c>
      <c r="H39" s="204">
        <v>23635</v>
      </c>
      <c r="I39" s="204">
        <v>22908</v>
      </c>
      <c r="J39" s="204">
        <v>22244</v>
      </c>
      <c r="K39" s="204">
        <v>21595</v>
      </c>
      <c r="L39" s="204">
        <v>20964</v>
      </c>
      <c r="M39" s="204">
        <v>20824</v>
      </c>
      <c r="N39" s="204">
        <v>22694</v>
      </c>
      <c r="O39" s="204">
        <v>25186</v>
      </c>
      <c r="P39" s="204">
        <v>26836</v>
      </c>
      <c r="Q39" s="204">
        <v>28064</v>
      </c>
      <c r="R39" s="204">
        <v>28687</v>
      </c>
      <c r="S39" s="204">
        <v>27818</v>
      </c>
      <c r="T39" s="204">
        <v>27447</v>
      </c>
      <c r="U39" s="204">
        <v>27766</v>
      </c>
      <c r="V39" s="204">
        <v>27741</v>
      </c>
      <c r="W39" s="204">
        <v>27064</v>
      </c>
      <c r="X39" s="204">
        <v>27526</v>
      </c>
      <c r="Y39" s="204">
        <v>29975</v>
      </c>
      <c r="Z39" s="204">
        <v>29692</v>
      </c>
      <c r="AA39" s="204">
        <v>28947</v>
      </c>
      <c r="AB39" s="204">
        <v>28014</v>
      </c>
      <c r="AC39" s="204">
        <v>26702</v>
      </c>
      <c r="AD39" s="204">
        <v>25410</v>
      </c>
    </row>
    <row r="40" spans="2:30" x14ac:dyDescent="0.25">
      <c r="B40" s="198">
        <v>2033</v>
      </c>
      <c r="C40" s="199">
        <v>10</v>
      </c>
      <c r="D40" s="200"/>
      <c r="E40" s="201" t="s">
        <v>21</v>
      </c>
      <c r="F40" s="202">
        <v>5</v>
      </c>
      <c r="G40" s="203">
        <v>26532</v>
      </c>
      <c r="H40" s="204">
        <v>25422</v>
      </c>
      <c r="I40" s="204">
        <v>24425</v>
      </c>
      <c r="J40" s="204">
        <v>23702</v>
      </c>
      <c r="K40" s="204">
        <v>23250</v>
      </c>
      <c r="L40" s="204">
        <v>22334</v>
      </c>
      <c r="M40" s="204">
        <v>21532</v>
      </c>
      <c r="N40" s="204">
        <v>22345</v>
      </c>
      <c r="O40" s="204">
        <v>23402</v>
      </c>
      <c r="P40" s="204">
        <v>24360</v>
      </c>
      <c r="Q40" s="204">
        <v>25081</v>
      </c>
      <c r="R40" s="204">
        <v>25934</v>
      </c>
      <c r="S40" s="204">
        <v>26265</v>
      </c>
      <c r="T40" s="204">
        <v>26000</v>
      </c>
      <c r="U40" s="204">
        <v>26232</v>
      </c>
      <c r="V40" s="204">
        <v>26641</v>
      </c>
      <c r="W40" s="204">
        <v>26449</v>
      </c>
      <c r="X40" s="204">
        <v>27492</v>
      </c>
      <c r="Y40" s="204">
        <v>30789</v>
      </c>
      <c r="Z40" s="204">
        <v>30746</v>
      </c>
      <c r="AA40" s="204">
        <v>30287</v>
      </c>
      <c r="AB40" s="204">
        <v>29366</v>
      </c>
      <c r="AC40" s="204">
        <v>27799</v>
      </c>
      <c r="AD40" s="204">
        <v>26308</v>
      </c>
    </row>
    <row r="41" spans="2:30" ht="15.75" thickBot="1" x14ac:dyDescent="0.3">
      <c r="B41" s="198">
        <v>2033</v>
      </c>
      <c r="C41" s="205">
        <v>10</v>
      </c>
      <c r="D41" s="206"/>
      <c r="E41" s="201" t="s">
        <v>22</v>
      </c>
      <c r="F41" s="202">
        <v>1</v>
      </c>
      <c r="G41" s="207">
        <v>26780</v>
      </c>
      <c r="H41" s="208">
        <v>25955</v>
      </c>
      <c r="I41" s="208">
        <v>25241</v>
      </c>
      <c r="J41" s="208">
        <v>24703</v>
      </c>
      <c r="K41" s="208">
        <v>24440</v>
      </c>
      <c r="L41" s="208">
        <v>23407</v>
      </c>
      <c r="M41" s="208">
        <v>22824</v>
      </c>
      <c r="N41" s="208">
        <v>24188</v>
      </c>
      <c r="O41" s="208">
        <v>25978</v>
      </c>
      <c r="P41" s="208">
        <v>27536</v>
      </c>
      <c r="Q41" s="208">
        <v>29049</v>
      </c>
      <c r="R41" s="208">
        <v>30230</v>
      </c>
      <c r="S41" s="208">
        <v>30417</v>
      </c>
      <c r="T41" s="208">
        <v>29970</v>
      </c>
      <c r="U41" s="208">
        <v>29585</v>
      </c>
      <c r="V41" s="208">
        <v>29298</v>
      </c>
      <c r="W41" s="208">
        <v>29112</v>
      </c>
      <c r="X41" s="208">
        <v>30111</v>
      </c>
      <c r="Y41" s="208">
        <v>31877</v>
      </c>
      <c r="Z41" s="208">
        <v>32236</v>
      </c>
      <c r="AA41" s="208">
        <v>30935</v>
      </c>
      <c r="AB41" s="208">
        <v>29200</v>
      </c>
      <c r="AC41" s="208">
        <v>27507</v>
      </c>
      <c r="AD41" s="208">
        <v>26047</v>
      </c>
    </row>
    <row r="42" spans="2:30" x14ac:dyDescent="0.25">
      <c r="B42" s="198">
        <v>2033</v>
      </c>
      <c r="C42" s="209">
        <v>11</v>
      </c>
      <c r="D42" s="210">
        <v>22030668</v>
      </c>
      <c r="E42" s="201" t="s">
        <v>19</v>
      </c>
      <c r="F42" s="202">
        <v>20</v>
      </c>
      <c r="G42" s="203">
        <v>27665</v>
      </c>
      <c r="H42" s="204">
        <v>26650</v>
      </c>
      <c r="I42" s="204">
        <v>25889</v>
      </c>
      <c r="J42" s="204">
        <v>25300</v>
      </c>
      <c r="K42" s="204">
        <v>24997</v>
      </c>
      <c r="L42" s="204">
        <v>24381</v>
      </c>
      <c r="M42" s="204">
        <v>24128</v>
      </c>
      <c r="N42" s="204">
        <v>26424</v>
      </c>
      <c r="O42" s="204">
        <v>29427</v>
      </c>
      <c r="P42" s="204">
        <v>31271</v>
      </c>
      <c r="Q42" s="204">
        <v>32678</v>
      </c>
      <c r="R42" s="204">
        <v>33470</v>
      </c>
      <c r="S42" s="204">
        <v>31870</v>
      </c>
      <c r="T42" s="204">
        <v>33047</v>
      </c>
      <c r="U42" s="204">
        <v>35216</v>
      </c>
      <c r="V42" s="204">
        <v>35586</v>
      </c>
      <c r="W42" s="204">
        <v>34405</v>
      </c>
      <c r="X42" s="204">
        <v>34292</v>
      </c>
      <c r="Y42" s="204">
        <v>36244</v>
      </c>
      <c r="Z42" s="204">
        <v>35900</v>
      </c>
      <c r="AA42" s="204">
        <v>35134</v>
      </c>
      <c r="AB42" s="204">
        <v>33669</v>
      </c>
      <c r="AC42" s="204">
        <v>31538</v>
      </c>
      <c r="AD42" s="204">
        <v>29617</v>
      </c>
    </row>
    <row r="43" spans="2:30" x14ac:dyDescent="0.25">
      <c r="B43" s="198">
        <v>2033</v>
      </c>
      <c r="C43" s="199">
        <v>11</v>
      </c>
      <c r="D43" s="200"/>
      <c r="E43" s="201" t="s">
        <v>20</v>
      </c>
      <c r="F43" s="202">
        <v>4</v>
      </c>
      <c r="G43" s="203">
        <v>31265</v>
      </c>
      <c r="H43" s="204">
        <v>30151</v>
      </c>
      <c r="I43" s="204">
        <v>29197</v>
      </c>
      <c r="J43" s="204">
        <v>28430</v>
      </c>
      <c r="K43" s="204">
        <v>27957</v>
      </c>
      <c r="L43" s="204">
        <v>26844</v>
      </c>
      <c r="M43" s="204">
        <v>26284</v>
      </c>
      <c r="N43" s="204">
        <v>28383</v>
      </c>
      <c r="O43" s="204">
        <v>31117</v>
      </c>
      <c r="P43" s="204">
        <v>33303</v>
      </c>
      <c r="Q43" s="204">
        <v>34709</v>
      </c>
      <c r="R43" s="204">
        <v>36013</v>
      </c>
      <c r="S43" s="204">
        <v>35295</v>
      </c>
      <c r="T43" s="204">
        <v>34717</v>
      </c>
      <c r="U43" s="204">
        <v>34795</v>
      </c>
      <c r="V43" s="204">
        <v>34581</v>
      </c>
      <c r="W43" s="204">
        <v>33692</v>
      </c>
      <c r="X43" s="204">
        <v>35016</v>
      </c>
      <c r="Y43" s="204">
        <v>37936</v>
      </c>
      <c r="Z43" s="204">
        <v>37793</v>
      </c>
      <c r="AA43" s="204">
        <v>36766</v>
      </c>
      <c r="AB43" s="204">
        <v>35447</v>
      </c>
      <c r="AC43" s="204">
        <v>33752</v>
      </c>
      <c r="AD43" s="204">
        <v>31996</v>
      </c>
    </row>
    <row r="44" spans="2:30" x14ac:dyDescent="0.25">
      <c r="B44" s="198">
        <v>2033</v>
      </c>
      <c r="C44" s="199">
        <v>11</v>
      </c>
      <c r="D44" s="200"/>
      <c r="E44" s="201" t="s">
        <v>21</v>
      </c>
      <c r="F44" s="202">
        <v>4</v>
      </c>
      <c r="G44" s="203">
        <v>27871</v>
      </c>
      <c r="H44" s="204">
        <v>26919</v>
      </c>
      <c r="I44" s="204">
        <v>26214</v>
      </c>
      <c r="J44" s="204">
        <v>25740</v>
      </c>
      <c r="K44" s="204">
        <v>25450</v>
      </c>
      <c r="L44" s="204">
        <v>23728</v>
      </c>
      <c r="M44" s="204">
        <v>22746</v>
      </c>
      <c r="N44" s="204">
        <v>24077</v>
      </c>
      <c r="O44" s="204">
        <v>25602</v>
      </c>
      <c r="P44" s="204">
        <v>26673</v>
      </c>
      <c r="Q44" s="204">
        <v>27567</v>
      </c>
      <c r="R44" s="204">
        <v>28408</v>
      </c>
      <c r="S44" s="204">
        <v>28750</v>
      </c>
      <c r="T44" s="204">
        <v>28665</v>
      </c>
      <c r="U44" s="204">
        <v>28678</v>
      </c>
      <c r="V44" s="204">
        <v>28764</v>
      </c>
      <c r="W44" s="204">
        <v>28581</v>
      </c>
      <c r="X44" s="204">
        <v>29878</v>
      </c>
      <c r="Y44" s="204">
        <v>33264</v>
      </c>
      <c r="Z44" s="204">
        <v>33972</v>
      </c>
      <c r="AA44" s="204">
        <v>33742</v>
      </c>
      <c r="AB44" s="204">
        <v>32553</v>
      </c>
      <c r="AC44" s="204">
        <v>30842</v>
      </c>
      <c r="AD44" s="204">
        <v>29020</v>
      </c>
    </row>
    <row r="45" spans="2:30" ht="15.75" thickBot="1" x14ac:dyDescent="0.3">
      <c r="B45" s="198">
        <v>2033</v>
      </c>
      <c r="C45" s="205">
        <v>11</v>
      </c>
      <c r="D45" s="206"/>
      <c r="E45" s="201" t="s">
        <v>22</v>
      </c>
      <c r="F45" s="202">
        <v>2</v>
      </c>
      <c r="G45" s="207">
        <v>28892</v>
      </c>
      <c r="H45" s="208">
        <v>27632</v>
      </c>
      <c r="I45" s="208">
        <v>26750</v>
      </c>
      <c r="J45" s="208">
        <v>25989</v>
      </c>
      <c r="K45" s="208">
        <v>25490</v>
      </c>
      <c r="L45" s="208">
        <v>24460</v>
      </c>
      <c r="M45" s="208">
        <v>23695</v>
      </c>
      <c r="N45" s="208">
        <v>25201</v>
      </c>
      <c r="O45" s="208">
        <v>27011</v>
      </c>
      <c r="P45" s="208">
        <v>28391</v>
      </c>
      <c r="Q45" s="208">
        <v>29464</v>
      </c>
      <c r="R45" s="208">
        <v>30241</v>
      </c>
      <c r="S45" s="208">
        <v>30190</v>
      </c>
      <c r="T45" s="208">
        <v>29721</v>
      </c>
      <c r="U45" s="208">
        <v>29977</v>
      </c>
      <c r="V45" s="208">
        <v>30329</v>
      </c>
      <c r="W45" s="208">
        <v>30109</v>
      </c>
      <c r="X45" s="208">
        <v>31528</v>
      </c>
      <c r="Y45" s="208">
        <v>34733</v>
      </c>
      <c r="Z45" s="208">
        <v>34788</v>
      </c>
      <c r="AA45" s="208">
        <v>33933</v>
      </c>
      <c r="AB45" s="208">
        <v>32735</v>
      </c>
      <c r="AC45" s="208">
        <v>30772</v>
      </c>
      <c r="AD45" s="208">
        <v>29037</v>
      </c>
    </row>
    <row r="46" spans="2:30" x14ac:dyDescent="0.25">
      <c r="B46" s="198">
        <v>2033</v>
      </c>
      <c r="C46" s="209">
        <v>12</v>
      </c>
      <c r="D46" s="210">
        <v>26377547</v>
      </c>
      <c r="E46" s="201" t="s">
        <v>19</v>
      </c>
      <c r="F46" s="202">
        <v>21</v>
      </c>
      <c r="G46" s="203">
        <v>32050</v>
      </c>
      <c r="H46" s="204">
        <v>30774</v>
      </c>
      <c r="I46" s="204">
        <v>29839</v>
      </c>
      <c r="J46" s="204">
        <v>29066</v>
      </c>
      <c r="K46" s="204">
        <v>28751</v>
      </c>
      <c r="L46" s="204">
        <v>28113</v>
      </c>
      <c r="M46" s="204">
        <v>27123</v>
      </c>
      <c r="N46" s="204">
        <v>29825</v>
      </c>
      <c r="O46" s="204">
        <v>33187</v>
      </c>
      <c r="P46" s="204">
        <v>35635</v>
      </c>
      <c r="Q46" s="204">
        <v>37336</v>
      </c>
      <c r="R46" s="204">
        <v>38558</v>
      </c>
      <c r="S46" s="204">
        <v>36898</v>
      </c>
      <c r="T46" s="204">
        <v>37741</v>
      </c>
      <c r="U46" s="204">
        <v>39998</v>
      </c>
      <c r="V46" s="204">
        <v>40153</v>
      </c>
      <c r="W46" s="204">
        <v>38962</v>
      </c>
      <c r="X46" s="204">
        <v>38219</v>
      </c>
      <c r="Y46" s="204">
        <v>40961</v>
      </c>
      <c r="Z46" s="204">
        <v>40465</v>
      </c>
      <c r="AA46" s="204">
        <v>39560</v>
      </c>
      <c r="AB46" s="204">
        <v>38221</v>
      </c>
      <c r="AC46" s="204">
        <v>36229</v>
      </c>
      <c r="AD46" s="204">
        <v>34210</v>
      </c>
    </row>
    <row r="47" spans="2:30" x14ac:dyDescent="0.25">
      <c r="B47" s="198">
        <v>2033</v>
      </c>
      <c r="C47" s="199">
        <v>12</v>
      </c>
      <c r="D47" s="200"/>
      <c r="E47" s="201" t="s">
        <v>20</v>
      </c>
      <c r="F47" s="202">
        <v>5</v>
      </c>
      <c r="G47" s="203">
        <v>31778</v>
      </c>
      <c r="H47" s="204">
        <v>30692</v>
      </c>
      <c r="I47" s="204">
        <v>29399</v>
      </c>
      <c r="J47" s="204">
        <v>28641</v>
      </c>
      <c r="K47" s="204">
        <v>28257</v>
      </c>
      <c r="L47" s="204">
        <v>27940</v>
      </c>
      <c r="M47" s="204">
        <v>26650</v>
      </c>
      <c r="N47" s="204">
        <v>28499</v>
      </c>
      <c r="O47" s="204">
        <v>31311</v>
      </c>
      <c r="P47" s="204">
        <v>33236</v>
      </c>
      <c r="Q47" s="204">
        <v>34555</v>
      </c>
      <c r="R47" s="204">
        <v>34982</v>
      </c>
      <c r="S47" s="204">
        <v>33849</v>
      </c>
      <c r="T47" s="204">
        <v>33158</v>
      </c>
      <c r="U47" s="204">
        <v>33528</v>
      </c>
      <c r="V47" s="204">
        <v>33483</v>
      </c>
      <c r="W47" s="204">
        <v>33352</v>
      </c>
      <c r="X47" s="204">
        <v>33980</v>
      </c>
      <c r="Y47" s="204">
        <v>37641</v>
      </c>
      <c r="Z47" s="204">
        <v>37217</v>
      </c>
      <c r="AA47" s="204">
        <v>36357</v>
      </c>
      <c r="AB47" s="204">
        <v>35028</v>
      </c>
      <c r="AC47" s="204">
        <v>33595</v>
      </c>
      <c r="AD47" s="204">
        <v>31948</v>
      </c>
    </row>
    <row r="48" spans="2:30" x14ac:dyDescent="0.25">
      <c r="B48" s="198">
        <v>2033</v>
      </c>
      <c r="C48" s="199">
        <v>12</v>
      </c>
      <c r="D48" s="200"/>
      <c r="E48" s="201" t="s">
        <v>21</v>
      </c>
      <c r="F48" s="202">
        <v>3</v>
      </c>
      <c r="G48" s="203">
        <v>44002</v>
      </c>
      <c r="H48" s="204">
        <v>42492</v>
      </c>
      <c r="I48" s="204">
        <v>41333</v>
      </c>
      <c r="J48" s="204">
        <v>39917</v>
      </c>
      <c r="K48" s="204">
        <v>39081</v>
      </c>
      <c r="L48" s="204">
        <v>38157</v>
      </c>
      <c r="M48" s="204">
        <v>35948</v>
      </c>
      <c r="N48" s="204">
        <v>38363</v>
      </c>
      <c r="O48" s="204">
        <v>40629</v>
      </c>
      <c r="P48" s="204">
        <v>42737</v>
      </c>
      <c r="Q48" s="204">
        <v>44642</v>
      </c>
      <c r="R48" s="204">
        <v>45860</v>
      </c>
      <c r="S48" s="204">
        <v>46642</v>
      </c>
      <c r="T48" s="204">
        <v>46524</v>
      </c>
      <c r="U48" s="204">
        <v>46366</v>
      </c>
      <c r="V48" s="204">
        <v>46308</v>
      </c>
      <c r="W48" s="204">
        <v>46179</v>
      </c>
      <c r="X48" s="204">
        <v>47295</v>
      </c>
      <c r="Y48" s="204">
        <v>52995</v>
      </c>
      <c r="Z48" s="204">
        <v>53186</v>
      </c>
      <c r="AA48" s="204">
        <v>51728</v>
      </c>
      <c r="AB48" s="204">
        <v>49829</v>
      </c>
      <c r="AC48" s="204">
        <v>48092</v>
      </c>
      <c r="AD48" s="204">
        <v>45332</v>
      </c>
    </row>
    <row r="49" spans="2:30" ht="15.75" thickBot="1" x14ac:dyDescent="0.3">
      <c r="B49" s="198">
        <v>2033</v>
      </c>
      <c r="C49" s="205">
        <v>12</v>
      </c>
      <c r="D49" s="206"/>
      <c r="E49" s="201" t="s">
        <v>22</v>
      </c>
      <c r="F49" s="202">
        <v>2</v>
      </c>
      <c r="G49" s="207">
        <v>32962</v>
      </c>
      <c r="H49" s="208">
        <v>32333</v>
      </c>
      <c r="I49" s="208">
        <v>31639</v>
      </c>
      <c r="J49" s="208">
        <v>30902</v>
      </c>
      <c r="K49" s="208">
        <v>30401</v>
      </c>
      <c r="L49" s="208">
        <v>29283</v>
      </c>
      <c r="M49" s="208">
        <v>26948</v>
      </c>
      <c r="N49" s="208">
        <v>27640</v>
      </c>
      <c r="O49" s="208">
        <v>29325</v>
      </c>
      <c r="P49" s="208">
        <v>30808</v>
      </c>
      <c r="Q49" s="208">
        <v>32145</v>
      </c>
      <c r="R49" s="208">
        <v>33058</v>
      </c>
      <c r="S49" s="208">
        <v>32790</v>
      </c>
      <c r="T49" s="208">
        <v>32987</v>
      </c>
      <c r="U49" s="208">
        <v>33128</v>
      </c>
      <c r="V49" s="208">
        <v>33313</v>
      </c>
      <c r="W49" s="208">
        <v>33253</v>
      </c>
      <c r="X49" s="208">
        <v>33803</v>
      </c>
      <c r="Y49" s="208">
        <v>38241</v>
      </c>
      <c r="Z49" s="208">
        <v>38714</v>
      </c>
      <c r="AA49" s="208">
        <v>38731</v>
      </c>
      <c r="AB49" s="208">
        <v>37789</v>
      </c>
      <c r="AC49" s="208">
        <v>36214</v>
      </c>
      <c r="AD49" s="208">
        <v>34544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7002-16C3-40BB-928E-40C8DAA46998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2034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2034</v>
      </c>
      <c r="C4" s="213">
        <v>1</v>
      </c>
      <c r="D4" s="210">
        <v>26387763</v>
      </c>
      <c r="E4" s="201" t="s">
        <v>19</v>
      </c>
      <c r="F4" s="202">
        <v>21</v>
      </c>
      <c r="G4" s="214">
        <v>33001</v>
      </c>
      <c r="H4" s="215">
        <v>31660</v>
      </c>
      <c r="I4" s="215">
        <v>30638</v>
      </c>
      <c r="J4" s="215">
        <v>29920</v>
      </c>
      <c r="K4" s="215">
        <v>29563</v>
      </c>
      <c r="L4" s="215">
        <v>29321</v>
      </c>
      <c r="M4" s="215">
        <v>27579</v>
      </c>
      <c r="N4" s="215">
        <v>30039</v>
      </c>
      <c r="O4" s="215">
        <v>33415</v>
      </c>
      <c r="P4" s="215">
        <v>35571</v>
      </c>
      <c r="Q4" s="215">
        <v>37309</v>
      </c>
      <c r="R4" s="215">
        <v>38467</v>
      </c>
      <c r="S4" s="215">
        <v>36901</v>
      </c>
      <c r="T4" s="215">
        <v>38454</v>
      </c>
      <c r="U4" s="215">
        <v>41155</v>
      </c>
      <c r="V4" s="215">
        <v>41397</v>
      </c>
      <c r="W4" s="215">
        <v>40427</v>
      </c>
      <c r="X4" s="215">
        <v>38788</v>
      </c>
      <c r="Y4" s="215">
        <v>41668</v>
      </c>
      <c r="Z4" s="215">
        <v>42229</v>
      </c>
      <c r="AA4" s="215">
        <v>41342</v>
      </c>
      <c r="AB4" s="215">
        <v>39908</v>
      </c>
      <c r="AC4" s="215">
        <v>37570</v>
      </c>
      <c r="AD4" s="215">
        <v>35115</v>
      </c>
    </row>
    <row r="5" spans="2:30" x14ac:dyDescent="0.25">
      <c r="B5" s="198">
        <v>2034</v>
      </c>
      <c r="C5" s="199">
        <v>1</v>
      </c>
      <c r="D5" s="200"/>
      <c r="E5" s="201" t="s">
        <v>20</v>
      </c>
      <c r="F5" s="202">
        <v>4</v>
      </c>
      <c r="G5" s="203">
        <v>33736</v>
      </c>
      <c r="H5" s="204">
        <v>32427</v>
      </c>
      <c r="I5" s="204">
        <v>31392</v>
      </c>
      <c r="J5" s="204">
        <v>30573</v>
      </c>
      <c r="K5" s="204">
        <v>30145</v>
      </c>
      <c r="L5" s="204">
        <v>29754</v>
      </c>
      <c r="M5" s="204">
        <v>27939</v>
      </c>
      <c r="N5" s="204">
        <v>30172</v>
      </c>
      <c r="O5" s="204">
        <v>33360</v>
      </c>
      <c r="P5" s="204">
        <v>35551</v>
      </c>
      <c r="Q5" s="204">
        <v>36989</v>
      </c>
      <c r="R5" s="204">
        <v>38092</v>
      </c>
      <c r="S5" s="204">
        <v>37313</v>
      </c>
      <c r="T5" s="204">
        <v>37078</v>
      </c>
      <c r="U5" s="204">
        <v>36927</v>
      </c>
      <c r="V5" s="204">
        <v>37354</v>
      </c>
      <c r="W5" s="204">
        <v>36694</v>
      </c>
      <c r="X5" s="204">
        <v>36437</v>
      </c>
      <c r="Y5" s="204">
        <v>40596</v>
      </c>
      <c r="Z5" s="204">
        <v>41234</v>
      </c>
      <c r="AA5" s="204">
        <v>40277</v>
      </c>
      <c r="AB5" s="204">
        <v>38934</v>
      </c>
      <c r="AC5" s="204">
        <v>36857</v>
      </c>
      <c r="AD5" s="204">
        <v>34974</v>
      </c>
    </row>
    <row r="6" spans="2:30" x14ac:dyDescent="0.25">
      <c r="B6" s="198">
        <v>2034</v>
      </c>
      <c r="C6" s="199">
        <v>1</v>
      </c>
      <c r="D6" s="200"/>
      <c r="E6" s="201" t="s">
        <v>21</v>
      </c>
      <c r="F6" s="202">
        <v>4</v>
      </c>
      <c r="G6" s="203">
        <v>35245</v>
      </c>
      <c r="H6" s="204">
        <v>33783</v>
      </c>
      <c r="I6" s="204">
        <v>32679</v>
      </c>
      <c r="J6" s="204">
        <v>31884</v>
      </c>
      <c r="K6" s="204">
        <v>31434</v>
      </c>
      <c r="L6" s="204">
        <v>30927</v>
      </c>
      <c r="M6" s="204">
        <v>28470</v>
      </c>
      <c r="N6" s="204">
        <v>29711</v>
      </c>
      <c r="O6" s="204">
        <v>31557</v>
      </c>
      <c r="P6" s="204">
        <v>32958</v>
      </c>
      <c r="Q6" s="204">
        <v>34283</v>
      </c>
      <c r="R6" s="204">
        <v>35269</v>
      </c>
      <c r="S6" s="204">
        <v>35508</v>
      </c>
      <c r="T6" s="204">
        <v>35451</v>
      </c>
      <c r="U6" s="204">
        <v>35264</v>
      </c>
      <c r="V6" s="204">
        <v>35400</v>
      </c>
      <c r="W6" s="204">
        <v>35613</v>
      </c>
      <c r="X6" s="204">
        <v>35831</v>
      </c>
      <c r="Y6" s="204">
        <v>40786</v>
      </c>
      <c r="Z6" s="204">
        <v>42284</v>
      </c>
      <c r="AA6" s="204">
        <v>42060</v>
      </c>
      <c r="AB6" s="204">
        <v>40589</v>
      </c>
      <c r="AC6" s="204">
        <v>38512</v>
      </c>
      <c r="AD6" s="204">
        <v>36170</v>
      </c>
    </row>
    <row r="7" spans="2:30" ht="15.75" thickBot="1" x14ac:dyDescent="0.3">
      <c r="B7" s="198">
        <v>2034</v>
      </c>
      <c r="C7" s="205">
        <v>1</v>
      </c>
      <c r="D7" s="206"/>
      <c r="E7" s="201" t="s">
        <v>22</v>
      </c>
      <c r="F7" s="202">
        <v>2</v>
      </c>
      <c r="G7" s="207">
        <v>31428</v>
      </c>
      <c r="H7" s="208">
        <v>30623</v>
      </c>
      <c r="I7" s="208">
        <v>29912</v>
      </c>
      <c r="J7" s="208">
        <v>29353</v>
      </c>
      <c r="K7" s="208">
        <v>28948</v>
      </c>
      <c r="L7" s="208">
        <v>28271</v>
      </c>
      <c r="M7" s="208">
        <v>26141</v>
      </c>
      <c r="N7" s="208">
        <v>27299</v>
      </c>
      <c r="O7" s="208">
        <v>29205</v>
      </c>
      <c r="P7" s="208">
        <v>30921</v>
      </c>
      <c r="Q7" s="208">
        <v>32028</v>
      </c>
      <c r="R7" s="208">
        <v>32937</v>
      </c>
      <c r="S7" s="208">
        <v>32970</v>
      </c>
      <c r="T7" s="208">
        <v>32604</v>
      </c>
      <c r="U7" s="208">
        <v>32532</v>
      </c>
      <c r="V7" s="208">
        <v>32517</v>
      </c>
      <c r="W7" s="208">
        <v>32461</v>
      </c>
      <c r="X7" s="208">
        <v>32905</v>
      </c>
      <c r="Y7" s="208">
        <v>37830</v>
      </c>
      <c r="Z7" s="208">
        <v>38903</v>
      </c>
      <c r="AA7" s="208">
        <v>38672</v>
      </c>
      <c r="AB7" s="208">
        <v>37501</v>
      </c>
      <c r="AC7" s="208">
        <v>35822</v>
      </c>
      <c r="AD7" s="208">
        <v>34064</v>
      </c>
    </row>
    <row r="8" spans="2:30" x14ac:dyDescent="0.25">
      <c r="B8" s="198">
        <v>2034</v>
      </c>
      <c r="C8" s="209">
        <v>2</v>
      </c>
      <c r="D8" s="210">
        <v>26319688</v>
      </c>
      <c r="E8" s="201" t="s">
        <v>19</v>
      </c>
      <c r="F8" s="202">
        <v>20</v>
      </c>
      <c r="G8" s="203">
        <v>36837</v>
      </c>
      <c r="H8" s="204">
        <v>35464</v>
      </c>
      <c r="I8" s="204">
        <v>34350</v>
      </c>
      <c r="J8" s="204">
        <v>33505</v>
      </c>
      <c r="K8" s="204">
        <v>33086</v>
      </c>
      <c r="L8" s="204">
        <v>33796</v>
      </c>
      <c r="M8" s="204">
        <v>32016</v>
      </c>
      <c r="N8" s="204">
        <v>34272</v>
      </c>
      <c r="O8" s="204">
        <v>37636</v>
      </c>
      <c r="P8" s="204">
        <v>39740</v>
      </c>
      <c r="Q8" s="204">
        <v>41398</v>
      </c>
      <c r="R8" s="204">
        <v>42512</v>
      </c>
      <c r="S8" s="204">
        <v>40180</v>
      </c>
      <c r="T8" s="204">
        <v>42126</v>
      </c>
      <c r="U8" s="204">
        <v>45604</v>
      </c>
      <c r="V8" s="204">
        <v>46120</v>
      </c>
      <c r="W8" s="204">
        <v>45120</v>
      </c>
      <c r="X8" s="204">
        <v>43210</v>
      </c>
      <c r="Y8" s="204">
        <v>45985</v>
      </c>
      <c r="Z8" s="204">
        <v>46952</v>
      </c>
      <c r="AA8" s="204">
        <v>46386</v>
      </c>
      <c r="AB8" s="204">
        <v>44724</v>
      </c>
      <c r="AC8" s="204">
        <v>41856</v>
      </c>
      <c r="AD8" s="204">
        <v>39127</v>
      </c>
    </row>
    <row r="9" spans="2:30" x14ac:dyDescent="0.25">
      <c r="B9" s="198">
        <v>2034</v>
      </c>
      <c r="C9" s="199">
        <v>2</v>
      </c>
      <c r="D9" s="200"/>
      <c r="E9" s="201" t="s">
        <v>20</v>
      </c>
      <c r="F9" s="202">
        <v>4</v>
      </c>
      <c r="G9" s="203">
        <v>36119</v>
      </c>
      <c r="H9" s="204">
        <v>34801</v>
      </c>
      <c r="I9" s="204">
        <v>33806</v>
      </c>
      <c r="J9" s="204">
        <v>32992</v>
      </c>
      <c r="K9" s="204">
        <v>32535</v>
      </c>
      <c r="L9" s="204">
        <v>32207</v>
      </c>
      <c r="M9" s="204">
        <v>30299</v>
      </c>
      <c r="N9" s="204">
        <v>32276</v>
      </c>
      <c r="O9" s="204">
        <v>35543</v>
      </c>
      <c r="P9" s="204">
        <v>37963</v>
      </c>
      <c r="Q9" s="204">
        <v>39656</v>
      </c>
      <c r="R9" s="204">
        <v>40572</v>
      </c>
      <c r="S9" s="204">
        <v>39847</v>
      </c>
      <c r="T9" s="204">
        <v>39457</v>
      </c>
      <c r="U9" s="204">
        <v>40089</v>
      </c>
      <c r="V9" s="204">
        <v>40039</v>
      </c>
      <c r="W9" s="204">
        <v>39493</v>
      </c>
      <c r="X9" s="204">
        <v>38787</v>
      </c>
      <c r="Y9" s="204">
        <v>42840</v>
      </c>
      <c r="Z9" s="204">
        <v>43743</v>
      </c>
      <c r="AA9" s="204">
        <v>42995</v>
      </c>
      <c r="AB9" s="204">
        <v>41259</v>
      </c>
      <c r="AC9" s="204">
        <v>39261</v>
      </c>
      <c r="AD9" s="204">
        <v>37255</v>
      </c>
    </row>
    <row r="10" spans="2:30" ht="15.75" thickBot="1" x14ac:dyDescent="0.3">
      <c r="B10" s="198">
        <v>2034</v>
      </c>
      <c r="C10" s="205">
        <v>2</v>
      </c>
      <c r="D10" s="200"/>
      <c r="E10" s="201" t="s">
        <v>21</v>
      </c>
      <c r="F10" s="202">
        <v>4</v>
      </c>
      <c r="G10" s="207">
        <v>35663</v>
      </c>
      <c r="H10" s="208">
        <v>34467</v>
      </c>
      <c r="I10" s="208">
        <v>33444</v>
      </c>
      <c r="J10" s="208">
        <v>32704</v>
      </c>
      <c r="K10" s="208">
        <v>32231</v>
      </c>
      <c r="L10" s="208">
        <v>31725</v>
      </c>
      <c r="M10" s="208">
        <v>29036</v>
      </c>
      <c r="N10" s="208">
        <v>30338</v>
      </c>
      <c r="O10" s="208">
        <v>31936</v>
      </c>
      <c r="P10" s="208">
        <v>33497</v>
      </c>
      <c r="Q10" s="208">
        <v>34898</v>
      </c>
      <c r="R10" s="208">
        <v>36210</v>
      </c>
      <c r="S10" s="208">
        <v>36469</v>
      </c>
      <c r="T10" s="208">
        <v>36588</v>
      </c>
      <c r="U10" s="208">
        <v>36983</v>
      </c>
      <c r="V10" s="208">
        <v>37360</v>
      </c>
      <c r="W10" s="208">
        <v>37129</v>
      </c>
      <c r="X10" s="208">
        <v>37135</v>
      </c>
      <c r="Y10" s="208">
        <v>41625</v>
      </c>
      <c r="Z10" s="208">
        <v>43520</v>
      </c>
      <c r="AA10" s="208">
        <v>43754</v>
      </c>
      <c r="AB10" s="208">
        <v>42248</v>
      </c>
      <c r="AC10" s="208">
        <v>39831</v>
      </c>
      <c r="AD10" s="208">
        <v>37287</v>
      </c>
    </row>
    <row r="11" spans="2:30" x14ac:dyDescent="0.25">
      <c r="B11" s="198">
        <v>2034</v>
      </c>
      <c r="C11" s="209">
        <v>3</v>
      </c>
      <c r="D11" s="210">
        <v>28377487</v>
      </c>
      <c r="E11" s="201" t="s">
        <v>19</v>
      </c>
      <c r="F11" s="202">
        <v>22</v>
      </c>
      <c r="G11" s="203">
        <v>33344</v>
      </c>
      <c r="H11" s="204">
        <v>32048</v>
      </c>
      <c r="I11" s="204">
        <v>31152</v>
      </c>
      <c r="J11" s="204">
        <v>30386</v>
      </c>
      <c r="K11" s="204">
        <v>30031</v>
      </c>
      <c r="L11" s="204">
        <v>30317</v>
      </c>
      <c r="M11" s="204">
        <v>28853</v>
      </c>
      <c r="N11" s="204">
        <v>31058</v>
      </c>
      <c r="O11" s="204">
        <v>34053</v>
      </c>
      <c r="P11" s="204">
        <v>35992</v>
      </c>
      <c r="Q11" s="204">
        <v>37613</v>
      </c>
      <c r="R11" s="204">
        <v>38725</v>
      </c>
      <c r="S11" s="204">
        <v>36546</v>
      </c>
      <c r="T11" s="204">
        <v>38119</v>
      </c>
      <c r="U11" s="204">
        <v>40866</v>
      </c>
      <c r="V11" s="204">
        <v>41301</v>
      </c>
      <c r="W11" s="204">
        <v>40311</v>
      </c>
      <c r="X11" s="204">
        <v>38686</v>
      </c>
      <c r="Y11" s="204">
        <v>41555</v>
      </c>
      <c r="Z11" s="204">
        <v>42332</v>
      </c>
      <c r="AA11" s="204">
        <v>41707</v>
      </c>
      <c r="AB11" s="204">
        <v>40100</v>
      </c>
      <c r="AC11" s="204">
        <v>37541</v>
      </c>
      <c r="AD11" s="204">
        <v>35300</v>
      </c>
    </row>
    <row r="12" spans="2:30" x14ac:dyDescent="0.25">
      <c r="B12" s="198">
        <v>2034</v>
      </c>
      <c r="C12" s="199">
        <v>3</v>
      </c>
      <c r="D12" s="200"/>
      <c r="E12" s="201" t="s">
        <v>20</v>
      </c>
      <c r="F12" s="202">
        <v>4</v>
      </c>
      <c r="G12" s="203">
        <v>40868</v>
      </c>
      <c r="H12" s="204">
        <v>39428</v>
      </c>
      <c r="I12" s="204">
        <v>38292</v>
      </c>
      <c r="J12" s="204">
        <v>37336</v>
      </c>
      <c r="K12" s="204">
        <v>36669</v>
      </c>
      <c r="L12" s="204">
        <v>36194</v>
      </c>
      <c r="M12" s="204">
        <v>34240</v>
      </c>
      <c r="N12" s="204">
        <v>36432</v>
      </c>
      <c r="O12" s="204">
        <v>40200</v>
      </c>
      <c r="P12" s="204">
        <v>42834</v>
      </c>
      <c r="Q12" s="204">
        <v>44941</v>
      </c>
      <c r="R12" s="204">
        <v>46025</v>
      </c>
      <c r="S12" s="204">
        <v>44720</v>
      </c>
      <c r="T12" s="204">
        <v>44129</v>
      </c>
      <c r="U12" s="204">
        <v>44419</v>
      </c>
      <c r="V12" s="204">
        <v>44701</v>
      </c>
      <c r="W12" s="204">
        <v>43810</v>
      </c>
      <c r="X12" s="204">
        <v>43484</v>
      </c>
      <c r="Y12" s="204">
        <v>48508</v>
      </c>
      <c r="Z12" s="204">
        <v>49264</v>
      </c>
      <c r="AA12" s="204">
        <v>48266</v>
      </c>
      <c r="AB12" s="204">
        <v>46735</v>
      </c>
      <c r="AC12" s="204">
        <v>44521</v>
      </c>
      <c r="AD12" s="204">
        <v>42526</v>
      </c>
    </row>
    <row r="13" spans="2:30" x14ac:dyDescent="0.25">
      <c r="B13" s="198">
        <v>2034</v>
      </c>
      <c r="C13" s="199">
        <v>3</v>
      </c>
      <c r="D13" s="200"/>
      <c r="E13" s="201" t="s">
        <v>21</v>
      </c>
      <c r="F13" s="202">
        <v>4</v>
      </c>
      <c r="G13" s="203">
        <v>40386</v>
      </c>
      <c r="H13" s="204">
        <v>39086</v>
      </c>
      <c r="I13" s="204">
        <v>37940</v>
      </c>
      <c r="J13" s="204">
        <v>37085</v>
      </c>
      <c r="K13" s="204">
        <v>36452</v>
      </c>
      <c r="L13" s="204">
        <v>35586</v>
      </c>
      <c r="M13" s="204">
        <v>33305</v>
      </c>
      <c r="N13" s="204">
        <v>34746</v>
      </c>
      <c r="O13" s="204">
        <v>35584</v>
      </c>
      <c r="P13" s="204">
        <v>35987</v>
      </c>
      <c r="Q13" s="204">
        <v>38815</v>
      </c>
      <c r="R13" s="204">
        <v>40395</v>
      </c>
      <c r="S13" s="204">
        <v>41013</v>
      </c>
      <c r="T13" s="204">
        <v>40948</v>
      </c>
      <c r="U13" s="204">
        <v>41676</v>
      </c>
      <c r="V13" s="204">
        <v>41105</v>
      </c>
      <c r="W13" s="204">
        <v>40404</v>
      </c>
      <c r="X13" s="204">
        <v>41570</v>
      </c>
      <c r="Y13" s="204">
        <v>46864</v>
      </c>
      <c r="Z13" s="204">
        <v>48563</v>
      </c>
      <c r="AA13" s="204">
        <v>48567</v>
      </c>
      <c r="AB13" s="204">
        <v>47123</v>
      </c>
      <c r="AC13" s="204">
        <v>44838</v>
      </c>
      <c r="AD13" s="204">
        <v>41884</v>
      </c>
    </row>
    <row r="14" spans="2:30" ht="15.75" thickBot="1" x14ac:dyDescent="0.3">
      <c r="B14" s="198">
        <v>2034</v>
      </c>
      <c r="C14" s="205">
        <v>3</v>
      </c>
      <c r="D14" s="206"/>
      <c r="E14" s="201" t="s">
        <v>22</v>
      </c>
      <c r="F14" s="202">
        <v>1</v>
      </c>
      <c r="G14" s="207">
        <v>53885</v>
      </c>
      <c r="H14" s="208">
        <v>51611</v>
      </c>
      <c r="I14" s="208">
        <v>50043</v>
      </c>
      <c r="J14" s="208">
        <v>48897</v>
      </c>
      <c r="K14" s="208">
        <v>48300</v>
      </c>
      <c r="L14" s="208">
        <v>46947</v>
      </c>
      <c r="M14" s="208">
        <v>44642</v>
      </c>
      <c r="N14" s="208">
        <v>46828</v>
      </c>
      <c r="O14" s="208">
        <v>49564</v>
      </c>
      <c r="P14" s="208">
        <v>51978</v>
      </c>
      <c r="Q14" s="208">
        <v>54403</v>
      </c>
      <c r="R14" s="208">
        <v>57029</v>
      </c>
      <c r="S14" s="208">
        <v>57762</v>
      </c>
      <c r="T14" s="208">
        <v>57992</v>
      </c>
      <c r="U14" s="208">
        <v>57952</v>
      </c>
      <c r="V14" s="208">
        <v>57892</v>
      </c>
      <c r="W14" s="208">
        <v>57241</v>
      </c>
      <c r="X14" s="208">
        <v>57165</v>
      </c>
      <c r="Y14" s="208">
        <v>64312</v>
      </c>
      <c r="Z14" s="208">
        <v>66661</v>
      </c>
      <c r="AA14" s="208">
        <v>66460</v>
      </c>
      <c r="AB14" s="208">
        <v>64340</v>
      </c>
      <c r="AC14" s="208">
        <v>60653</v>
      </c>
      <c r="AD14" s="208">
        <v>56482</v>
      </c>
    </row>
    <row r="15" spans="2:30" x14ac:dyDescent="0.25">
      <c r="B15" s="198">
        <v>2034</v>
      </c>
      <c r="C15" s="209">
        <v>4</v>
      </c>
      <c r="D15" s="210">
        <v>26119863</v>
      </c>
      <c r="E15" s="201" t="s">
        <v>19</v>
      </c>
      <c r="F15" s="202">
        <v>18</v>
      </c>
      <c r="G15" s="203">
        <v>36128</v>
      </c>
      <c r="H15" s="204">
        <v>34956</v>
      </c>
      <c r="I15" s="204">
        <v>34059</v>
      </c>
      <c r="J15" s="204">
        <v>33274</v>
      </c>
      <c r="K15" s="204">
        <v>33057</v>
      </c>
      <c r="L15" s="204">
        <v>32917</v>
      </c>
      <c r="M15" s="204">
        <v>32027</v>
      </c>
      <c r="N15" s="204">
        <v>34804</v>
      </c>
      <c r="O15" s="204">
        <v>38480</v>
      </c>
      <c r="P15" s="204">
        <v>41497</v>
      </c>
      <c r="Q15" s="204">
        <v>43389</v>
      </c>
      <c r="R15" s="204">
        <v>43535</v>
      </c>
      <c r="S15" s="204">
        <v>41708</v>
      </c>
      <c r="T15" s="204">
        <v>43815</v>
      </c>
      <c r="U15" s="204">
        <v>46841</v>
      </c>
      <c r="V15" s="204">
        <v>46733</v>
      </c>
      <c r="W15" s="204">
        <v>44685</v>
      </c>
      <c r="X15" s="204">
        <v>43774</v>
      </c>
      <c r="Y15" s="204">
        <v>47050</v>
      </c>
      <c r="Z15" s="204">
        <v>47602</v>
      </c>
      <c r="AA15" s="204">
        <v>46242</v>
      </c>
      <c r="AB15" s="204">
        <v>44201</v>
      </c>
      <c r="AC15" s="204">
        <v>41327</v>
      </c>
      <c r="AD15" s="204">
        <v>38245</v>
      </c>
    </row>
    <row r="16" spans="2:30" x14ac:dyDescent="0.25">
      <c r="B16" s="198">
        <v>2034</v>
      </c>
      <c r="C16" s="199">
        <v>4</v>
      </c>
      <c r="D16" s="200"/>
      <c r="E16" s="201" t="s">
        <v>20</v>
      </c>
      <c r="F16" s="202">
        <v>5</v>
      </c>
      <c r="G16" s="203">
        <v>31431</v>
      </c>
      <c r="H16" s="204">
        <v>30214</v>
      </c>
      <c r="I16" s="204">
        <v>29274</v>
      </c>
      <c r="J16" s="204">
        <v>28582</v>
      </c>
      <c r="K16" s="204">
        <v>28196</v>
      </c>
      <c r="L16" s="204">
        <v>27504</v>
      </c>
      <c r="M16" s="204">
        <v>26497</v>
      </c>
      <c r="N16" s="204">
        <v>28530</v>
      </c>
      <c r="O16" s="204">
        <v>31082</v>
      </c>
      <c r="P16" s="204">
        <v>32785</v>
      </c>
      <c r="Q16" s="204">
        <v>34247</v>
      </c>
      <c r="R16" s="204">
        <v>35477</v>
      </c>
      <c r="S16" s="204">
        <v>35029</v>
      </c>
      <c r="T16" s="204">
        <v>34855</v>
      </c>
      <c r="U16" s="204">
        <v>35525</v>
      </c>
      <c r="V16" s="204">
        <v>35604</v>
      </c>
      <c r="W16" s="204">
        <v>35075</v>
      </c>
      <c r="X16" s="204">
        <v>34833</v>
      </c>
      <c r="Y16" s="204">
        <v>38942</v>
      </c>
      <c r="Z16" s="204">
        <v>39476</v>
      </c>
      <c r="AA16" s="204">
        <v>38405</v>
      </c>
      <c r="AB16" s="204">
        <v>37076</v>
      </c>
      <c r="AC16" s="204">
        <v>34888</v>
      </c>
      <c r="AD16" s="204">
        <v>33123</v>
      </c>
    </row>
    <row r="17" spans="2:30" x14ac:dyDescent="0.25">
      <c r="B17" s="198">
        <v>2034</v>
      </c>
      <c r="C17" s="199">
        <v>4</v>
      </c>
      <c r="D17" s="200"/>
      <c r="E17" s="201" t="s">
        <v>21</v>
      </c>
      <c r="F17" s="202">
        <v>5</v>
      </c>
      <c r="G17" s="203">
        <v>29529</v>
      </c>
      <c r="H17" s="204">
        <v>28492</v>
      </c>
      <c r="I17" s="204">
        <v>27661</v>
      </c>
      <c r="J17" s="204">
        <v>26952</v>
      </c>
      <c r="K17" s="204">
        <v>26458</v>
      </c>
      <c r="L17" s="204">
        <v>25665</v>
      </c>
      <c r="M17" s="204">
        <v>24373</v>
      </c>
      <c r="N17" s="204">
        <v>25571</v>
      </c>
      <c r="O17" s="204">
        <v>27211</v>
      </c>
      <c r="P17" s="204">
        <v>28139</v>
      </c>
      <c r="Q17" s="204">
        <v>28887</v>
      </c>
      <c r="R17" s="204">
        <v>29983</v>
      </c>
      <c r="S17" s="204">
        <v>30452</v>
      </c>
      <c r="T17" s="204">
        <v>30614</v>
      </c>
      <c r="U17" s="204">
        <v>31068</v>
      </c>
      <c r="V17" s="204">
        <v>31236</v>
      </c>
      <c r="W17" s="204">
        <v>30926</v>
      </c>
      <c r="X17" s="204">
        <v>30910</v>
      </c>
      <c r="Y17" s="204">
        <v>34972</v>
      </c>
      <c r="Z17" s="204">
        <v>35965</v>
      </c>
      <c r="AA17" s="204">
        <v>35579</v>
      </c>
      <c r="AB17" s="204">
        <v>33950</v>
      </c>
      <c r="AC17" s="204">
        <v>31541</v>
      </c>
      <c r="AD17" s="204">
        <v>29461</v>
      </c>
    </row>
    <row r="18" spans="2:30" ht="15.75" thickBot="1" x14ac:dyDescent="0.3">
      <c r="B18" s="198">
        <v>2034</v>
      </c>
      <c r="C18" s="205">
        <v>4</v>
      </c>
      <c r="D18" s="206"/>
      <c r="E18" s="201" t="s">
        <v>22</v>
      </c>
      <c r="F18" s="202">
        <v>2</v>
      </c>
      <c r="G18" s="207">
        <v>23772</v>
      </c>
      <c r="H18" s="208">
        <v>22735</v>
      </c>
      <c r="I18" s="208">
        <v>22120</v>
      </c>
      <c r="J18" s="208">
        <v>21707</v>
      </c>
      <c r="K18" s="208">
        <v>21424</v>
      </c>
      <c r="L18" s="208">
        <v>20654</v>
      </c>
      <c r="M18" s="208">
        <v>19528</v>
      </c>
      <c r="N18" s="208">
        <v>20214</v>
      </c>
      <c r="O18" s="208">
        <v>20811</v>
      </c>
      <c r="P18" s="208">
        <v>21050</v>
      </c>
      <c r="Q18" s="208">
        <v>21372</v>
      </c>
      <c r="R18" s="208">
        <v>22089</v>
      </c>
      <c r="S18" s="208">
        <v>22421</v>
      </c>
      <c r="T18" s="208">
        <v>22396</v>
      </c>
      <c r="U18" s="208">
        <v>22496</v>
      </c>
      <c r="V18" s="208">
        <v>22636</v>
      </c>
      <c r="W18" s="208">
        <v>22480</v>
      </c>
      <c r="X18" s="208">
        <v>22614</v>
      </c>
      <c r="Y18" s="208">
        <v>25953</v>
      </c>
      <c r="Z18" s="208">
        <v>26767</v>
      </c>
      <c r="AA18" s="208">
        <v>26514</v>
      </c>
      <c r="AB18" s="208">
        <v>25854</v>
      </c>
      <c r="AC18" s="208">
        <v>24843</v>
      </c>
      <c r="AD18" s="208">
        <v>23755</v>
      </c>
    </row>
    <row r="19" spans="2:30" x14ac:dyDescent="0.25">
      <c r="B19" s="198">
        <v>2034</v>
      </c>
      <c r="C19" s="209">
        <v>5</v>
      </c>
      <c r="D19" s="210">
        <v>25302307</v>
      </c>
      <c r="E19" s="201" t="s">
        <v>19</v>
      </c>
      <c r="F19" s="202">
        <v>21</v>
      </c>
      <c r="G19" s="203">
        <v>30999</v>
      </c>
      <c r="H19" s="204">
        <v>29752</v>
      </c>
      <c r="I19" s="204">
        <v>28897</v>
      </c>
      <c r="J19" s="204">
        <v>28267</v>
      </c>
      <c r="K19" s="204">
        <v>28093</v>
      </c>
      <c r="L19" s="204">
        <v>28050</v>
      </c>
      <c r="M19" s="204">
        <v>27818</v>
      </c>
      <c r="N19" s="204">
        <v>30696</v>
      </c>
      <c r="O19" s="204">
        <v>33668</v>
      </c>
      <c r="P19" s="204">
        <v>35457</v>
      </c>
      <c r="Q19" s="204">
        <v>36921</v>
      </c>
      <c r="R19" s="204">
        <v>37872</v>
      </c>
      <c r="S19" s="204">
        <v>35987</v>
      </c>
      <c r="T19" s="204">
        <v>37246</v>
      </c>
      <c r="U19" s="204">
        <v>39919</v>
      </c>
      <c r="V19" s="204">
        <v>40001</v>
      </c>
      <c r="W19" s="204">
        <v>38976</v>
      </c>
      <c r="X19" s="204">
        <v>37515</v>
      </c>
      <c r="Y19" s="204">
        <v>40663</v>
      </c>
      <c r="Z19" s="204">
        <v>41183</v>
      </c>
      <c r="AA19" s="204">
        <v>40204</v>
      </c>
      <c r="AB19" s="204">
        <v>38231</v>
      </c>
      <c r="AC19" s="204">
        <v>35479</v>
      </c>
      <c r="AD19" s="204">
        <v>33003</v>
      </c>
    </row>
    <row r="20" spans="2:30" x14ac:dyDescent="0.25">
      <c r="B20" s="198">
        <v>2034</v>
      </c>
      <c r="C20" s="199">
        <v>5</v>
      </c>
      <c r="D20" s="200"/>
      <c r="E20" s="201" t="s">
        <v>20</v>
      </c>
      <c r="F20" s="202">
        <v>4</v>
      </c>
      <c r="G20" s="203">
        <v>32230</v>
      </c>
      <c r="H20" s="204">
        <v>30956</v>
      </c>
      <c r="I20" s="204">
        <v>29958</v>
      </c>
      <c r="J20" s="204">
        <v>29236</v>
      </c>
      <c r="K20" s="204">
        <v>28856</v>
      </c>
      <c r="L20" s="204">
        <v>27708</v>
      </c>
      <c r="M20" s="204">
        <v>27117</v>
      </c>
      <c r="N20" s="204">
        <v>29131</v>
      </c>
      <c r="O20" s="204">
        <v>32098</v>
      </c>
      <c r="P20" s="204">
        <v>33769</v>
      </c>
      <c r="Q20" s="204">
        <v>35318</v>
      </c>
      <c r="R20" s="204">
        <v>36317</v>
      </c>
      <c r="S20" s="204">
        <v>35108</v>
      </c>
      <c r="T20" s="204">
        <v>34510</v>
      </c>
      <c r="U20" s="204">
        <v>34701</v>
      </c>
      <c r="V20" s="204">
        <v>34755</v>
      </c>
      <c r="W20" s="204">
        <v>34188</v>
      </c>
      <c r="X20" s="204">
        <v>34251</v>
      </c>
      <c r="Y20" s="204">
        <v>38307</v>
      </c>
      <c r="Z20" s="204">
        <v>38420</v>
      </c>
      <c r="AA20" s="204">
        <v>37206</v>
      </c>
      <c r="AB20" s="204">
        <v>35679</v>
      </c>
      <c r="AC20" s="204">
        <v>33679</v>
      </c>
      <c r="AD20" s="204">
        <v>31533</v>
      </c>
    </row>
    <row r="21" spans="2:30" x14ac:dyDescent="0.25">
      <c r="B21" s="198">
        <v>2034</v>
      </c>
      <c r="C21" s="199">
        <v>5</v>
      </c>
      <c r="D21" s="200"/>
      <c r="E21" s="201" t="s">
        <v>21</v>
      </c>
      <c r="F21" s="202">
        <v>4</v>
      </c>
      <c r="G21" s="203">
        <v>30695</v>
      </c>
      <c r="H21" s="204">
        <v>29541</v>
      </c>
      <c r="I21" s="204">
        <v>28743</v>
      </c>
      <c r="J21" s="204">
        <v>27739</v>
      </c>
      <c r="K21" s="204">
        <v>27418</v>
      </c>
      <c r="L21" s="204">
        <v>26114</v>
      </c>
      <c r="M21" s="204">
        <v>24682</v>
      </c>
      <c r="N21" s="204">
        <v>26066</v>
      </c>
      <c r="O21" s="204">
        <v>28301</v>
      </c>
      <c r="P21" s="204">
        <v>29742</v>
      </c>
      <c r="Q21" s="204">
        <v>30778</v>
      </c>
      <c r="R21" s="204">
        <v>31971</v>
      </c>
      <c r="S21" s="204">
        <v>32161</v>
      </c>
      <c r="T21" s="204">
        <v>32090</v>
      </c>
      <c r="U21" s="204">
        <v>32186</v>
      </c>
      <c r="V21" s="204">
        <v>32304</v>
      </c>
      <c r="W21" s="204">
        <v>32258</v>
      </c>
      <c r="X21" s="204">
        <v>32458</v>
      </c>
      <c r="Y21" s="204">
        <v>36729</v>
      </c>
      <c r="Z21" s="204">
        <v>37816</v>
      </c>
      <c r="AA21" s="204">
        <v>37930</v>
      </c>
      <c r="AB21" s="204">
        <v>36868</v>
      </c>
      <c r="AC21" s="204">
        <v>34781</v>
      </c>
      <c r="AD21" s="204">
        <v>32736</v>
      </c>
    </row>
    <row r="22" spans="2:30" ht="15.75" thickBot="1" x14ac:dyDescent="0.3">
      <c r="B22" s="198">
        <v>2034</v>
      </c>
      <c r="C22" s="205">
        <v>5</v>
      </c>
      <c r="D22" s="206"/>
      <c r="E22" s="201" t="s">
        <v>22</v>
      </c>
      <c r="F22" s="202">
        <v>2</v>
      </c>
      <c r="G22" s="207">
        <v>31256</v>
      </c>
      <c r="H22" s="208">
        <v>29893</v>
      </c>
      <c r="I22" s="208">
        <v>29035</v>
      </c>
      <c r="J22" s="208">
        <v>28202</v>
      </c>
      <c r="K22" s="208">
        <v>27523</v>
      </c>
      <c r="L22" s="208">
        <v>25839</v>
      </c>
      <c r="M22" s="208">
        <v>25575</v>
      </c>
      <c r="N22" s="208">
        <v>27452</v>
      </c>
      <c r="O22" s="208">
        <v>29412</v>
      </c>
      <c r="P22" s="208">
        <v>31226</v>
      </c>
      <c r="Q22" s="208">
        <v>32603</v>
      </c>
      <c r="R22" s="208">
        <v>34444</v>
      </c>
      <c r="S22" s="208">
        <v>34673</v>
      </c>
      <c r="T22" s="208">
        <v>34777</v>
      </c>
      <c r="U22" s="208">
        <v>35337</v>
      </c>
      <c r="V22" s="208">
        <v>35502</v>
      </c>
      <c r="W22" s="208">
        <v>34879</v>
      </c>
      <c r="X22" s="208">
        <v>34643</v>
      </c>
      <c r="Y22" s="208">
        <v>39215</v>
      </c>
      <c r="Z22" s="208">
        <v>40615</v>
      </c>
      <c r="AA22" s="208">
        <v>40133</v>
      </c>
      <c r="AB22" s="208">
        <v>38266</v>
      </c>
      <c r="AC22" s="208">
        <v>36112</v>
      </c>
      <c r="AD22" s="208">
        <v>33847</v>
      </c>
    </row>
    <row r="23" spans="2:30" x14ac:dyDescent="0.25">
      <c r="B23" s="198">
        <v>2034</v>
      </c>
      <c r="C23" s="209">
        <v>6</v>
      </c>
      <c r="D23" s="210">
        <v>23202918</v>
      </c>
      <c r="E23" s="201" t="s">
        <v>19</v>
      </c>
      <c r="F23" s="202">
        <v>20</v>
      </c>
      <c r="G23" s="203">
        <v>28098</v>
      </c>
      <c r="H23" s="204">
        <v>26672</v>
      </c>
      <c r="I23" s="204">
        <v>25968</v>
      </c>
      <c r="J23" s="204">
        <v>25544</v>
      </c>
      <c r="K23" s="204">
        <v>25930</v>
      </c>
      <c r="L23" s="204">
        <v>25746</v>
      </c>
      <c r="M23" s="204">
        <v>25420</v>
      </c>
      <c r="N23" s="204">
        <v>27660</v>
      </c>
      <c r="O23" s="204">
        <v>30506</v>
      </c>
      <c r="P23" s="204">
        <v>32211</v>
      </c>
      <c r="Q23" s="204">
        <v>33856</v>
      </c>
      <c r="R23" s="204">
        <v>34993</v>
      </c>
      <c r="S23" s="204">
        <v>33224</v>
      </c>
      <c r="T23" s="204">
        <v>34219</v>
      </c>
      <c r="U23" s="204">
        <v>36659</v>
      </c>
      <c r="V23" s="204">
        <v>36714</v>
      </c>
      <c r="W23" s="204">
        <v>35845</v>
      </c>
      <c r="X23" s="204">
        <v>34358</v>
      </c>
      <c r="Y23" s="204">
        <v>37221</v>
      </c>
      <c r="Z23" s="204">
        <v>37918</v>
      </c>
      <c r="AA23" s="204">
        <v>36850</v>
      </c>
      <c r="AB23" s="204">
        <v>35019</v>
      </c>
      <c r="AC23" s="204">
        <v>32445</v>
      </c>
      <c r="AD23" s="204">
        <v>30077</v>
      </c>
    </row>
    <row r="24" spans="2:30" x14ac:dyDescent="0.25">
      <c r="B24" s="198">
        <v>2034</v>
      </c>
      <c r="C24" s="199">
        <v>6</v>
      </c>
      <c r="D24" s="200"/>
      <c r="E24" s="201" t="s">
        <v>20</v>
      </c>
      <c r="F24" s="202">
        <v>4</v>
      </c>
      <c r="G24" s="203">
        <v>32072</v>
      </c>
      <c r="H24" s="204">
        <v>30933</v>
      </c>
      <c r="I24" s="204">
        <v>29843</v>
      </c>
      <c r="J24" s="204">
        <v>29052</v>
      </c>
      <c r="K24" s="204">
        <v>28860</v>
      </c>
      <c r="L24" s="204">
        <v>27798</v>
      </c>
      <c r="M24" s="204">
        <v>27239</v>
      </c>
      <c r="N24" s="204">
        <v>29588</v>
      </c>
      <c r="O24" s="204">
        <v>32328</v>
      </c>
      <c r="P24" s="204">
        <v>34692</v>
      </c>
      <c r="Q24" s="204">
        <v>36493</v>
      </c>
      <c r="R24" s="204">
        <v>37461</v>
      </c>
      <c r="S24" s="204">
        <v>36873</v>
      </c>
      <c r="T24" s="204">
        <v>36891</v>
      </c>
      <c r="U24" s="204">
        <v>37359</v>
      </c>
      <c r="V24" s="204">
        <v>36544</v>
      </c>
      <c r="W24" s="204">
        <v>35794</v>
      </c>
      <c r="X24" s="204">
        <v>35787</v>
      </c>
      <c r="Y24" s="204">
        <v>40034</v>
      </c>
      <c r="Z24" s="204">
        <v>41126</v>
      </c>
      <c r="AA24" s="204">
        <v>40190</v>
      </c>
      <c r="AB24" s="204">
        <v>38252</v>
      </c>
      <c r="AC24" s="204">
        <v>36104</v>
      </c>
      <c r="AD24" s="204">
        <v>34131</v>
      </c>
    </row>
    <row r="25" spans="2:30" x14ac:dyDescent="0.25">
      <c r="B25" s="198">
        <v>2034</v>
      </c>
      <c r="C25" s="199">
        <v>6</v>
      </c>
      <c r="D25" s="200"/>
      <c r="E25" s="201" t="s">
        <v>21</v>
      </c>
      <c r="F25" s="202">
        <v>4</v>
      </c>
      <c r="G25" s="203">
        <v>32273</v>
      </c>
      <c r="H25" s="204">
        <v>31046</v>
      </c>
      <c r="I25" s="204">
        <v>30225</v>
      </c>
      <c r="J25" s="204">
        <v>29675</v>
      </c>
      <c r="K25" s="204">
        <v>29291</v>
      </c>
      <c r="L25" s="204">
        <v>27298</v>
      </c>
      <c r="M25" s="204">
        <v>26196</v>
      </c>
      <c r="N25" s="204">
        <v>27489</v>
      </c>
      <c r="O25" s="204">
        <v>29156</v>
      </c>
      <c r="P25" s="204">
        <v>30837</v>
      </c>
      <c r="Q25" s="204">
        <v>32207</v>
      </c>
      <c r="R25" s="204">
        <v>33253</v>
      </c>
      <c r="S25" s="204">
        <v>33668</v>
      </c>
      <c r="T25" s="204">
        <v>33954</v>
      </c>
      <c r="U25" s="204">
        <v>34740</v>
      </c>
      <c r="V25" s="204">
        <v>34678</v>
      </c>
      <c r="W25" s="204">
        <v>34638</v>
      </c>
      <c r="X25" s="204">
        <v>34572</v>
      </c>
      <c r="Y25" s="204">
        <v>39005</v>
      </c>
      <c r="Z25" s="204">
        <v>40597</v>
      </c>
      <c r="AA25" s="204">
        <v>40095</v>
      </c>
      <c r="AB25" s="204">
        <v>38482</v>
      </c>
      <c r="AC25" s="204">
        <v>36252</v>
      </c>
      <c r="AD25" s="204">
        <v>34118</v>
      </c>
    </row>
    <row r="26" spans="2:30" ht="15.75" thickBot="1" x14ac:dyDescent="0.3">
      <c r="B26" s="198">
        <v>2034</v>
      </c>
      <c r="C26" s="205">
        <v>6</v>
      </c>
      <c r="D26" s="206"/>
      <c r="E26" s="201" t="s">
        <v>22</v>
      </c>
      <c r="F26" s="202">
        <v>2</v>
      </c>
      <c r="G26" s="207">
        <v>29430</v>
      </c>
      <c r="H26" s="208">
        <v>28416</v>
      </c>
      <c r="I26" s="208">
        <v>27700</v>
      </c>
      <c r="J26" s="208">
        <v>27064</v>
      </c>
      <c r="K26" s="208">
        <v>26733</v>
      </c>
      <c r="L26" s="208">
        <v>24865</v>
      </c>
      <c r="M26" s="208">
        <v>24003</v>
      </c>
      <c r="N26" s="208">
        <v>25561</v>
      </c>
      <c r="O26" s="208">
        <v>27786</v>
      </c>
      <c r="P26" s="208">
        <v>29149</v>
      </c>
      <c r="Q26" s="208">
        <v>29956</v>
      </c>
      <c r="R26" s="208">
        <v>31547</v>
      </c>
      <c r="S26" s="208">
        <v>31898</v>
      </c>
      <c r="T26" s="208">
        <v>32187</v>
      </c>
      <c r="U26" s="208">
        <v>33849</v>
      </c>
      <c r="V26" s="208">
        <v>33574</v>
      </c>
      <c r="W26" s="208">
        <v>31963</v>
      </c>
      <c r="X26" s="208">
        <v>31583</v>
      </c>
      <c r="Y26" s="208">
        <v>35354</v>
      </c>
      <c r="Z26" s="208">
        <v>36559</v>
      </c>
      <c r="AA26" s="208">
        <v>36065</v>
      </c>
      <c r="AB26" s="208">
        <v>34430</v>
      </c>
      <c r="AC26" s="208">
        <v>31979</v>
      </c>
      <c r="AD26" s="208">
        <v>29900</v>
      </c>
    </row>
    <row r="27" spans="2:30" x14ac:dyDescent="0.25">
      <c r="B27" s="198">
        <v>2034</v>
      </c>
      <c r="C27" s="209">
        <v>7</v>
      </c>
      <c r="D27" s="210">
        <v>23538518</v>
      </c>
      <c r="E27" s="201" t="s">
        <v>19</v>
      </c>
      <c r="F27" s="202">
        <v>19</v>
      </c>
      <c r="G27" s="203">
        <v>30570</v>
      </c>
      <c r="H27" s="204">
        <v>29467</v>
      </c>
      <c r="I27" s="204">
        <v>28612</v>
      </c>
      <c r="J27" s="204">
        <v>27966</v>
      </c>
      <c r="K27" s="204">
        <v>27879</v>
      </c>
      <c r="L27" s="204">
        <v>27941</v>
      </c>
      <c r="M27" s="204">
        <v>27267</v>
      </c>
      <c r="N27" s="204">
        <v>29422</v>
      </c>
      <c r="O27" s="204">
        <v>32097</v>
      </c>
      <c r="P27" s="204">
        <v>33996</v>
      </c>
      <c r="Q27" s="204">
        <v>35461</v>
      </c>
      <c r="R27" s="204">
        <v>36432</v>
      </c>
      <c r="S27" s="204">
        <v>34658</v>
      </c>
      <c r="T27" s="204">
        <v>35414</v>
      </c>
      <c r="U27" s="204">
        <v>38073</v>
      </c>
      <c r="V27" s="204">
        <v>38329</v>
      </c>
      <c r="W27" s="204">
        <v>37807</v>
      </c>
      <c r="X27" s="204">
        <v>36353</v>
      </c>
      <c r="Y27" s="204">
        <v>39236</v>
      </c>
      <c r="Z27" s="204">
        <v>40507</v>
      </c>
      <c r="AA27" s="204">
        <v>39472</v>
      </c>
      <c r="AB27" s="204">
        <v>37548</v>
      </c>
      <c r="AC27" s="204">
        <v>34684</v>
      </c>
      <c r="AD27" s="204">
        <v>32108</v>
      </c>
    </row>
    <row r="28" spans="2:30" x14ac:dyDescent="0.25">
      <c r="B28" s="198">
        <v>2034</v>
      </c>
      <c r="C28" s="199">
        <v>7</v>
      </c>
      <c r="D28" s="200"/>
      <c r="E28" s="201" t="s">
        <v>20</v>
      </c>
      <c r="F28" s="202">
        <v>5</v>
      </c>
      <c r="G28" s="203">
        <v>24403</v>
      </c>
      <c r="H28" s="204">
        <v>23793</v>
      </c>
      <c r="I28" s="204">
        <v>23132</v>
      </c>
      <c r="J28" s="204">
        <v>22692</v>
      </c>
      <c r="K28" s="204">
        <v>22503</v>
      </c>
      <c r="L28" s="204">
        <v>22000</v>
      </c>
      <c r="M28" s="204">
        <v>21519</v>
      </c>
      <c r="N28" s="204">
        <v>23499</v>
      </c>
      <c r="O28" s="204">
        <v>25888</v>
      </c>
      <c r="P28" s="204">
        <v>27329</v>
      </c>
      <c r="Q28" s="204">
        <v>28392</v>
      </c>
      <c r="R28" s="204">
        <v>29216</v>
      </c>
      <c r="S28" s="204">
        <v>28901</v>
      </c>
      <c r="T28" s="204">
        <v>28826</v>
      </c>
      <c r="U28" s="204">
        <v>29452</v>
      </c>
      <c r="V28" s="204">
        <v>28489</v>
      </c>
      <c r="W28" s="204">
        <v>28955</v>
      </c>
      <c r="X28" s="204">
        <v>28403</v>
      </c>
      <c r="Y28" s="204">
        <v>31469</v>
      </c>
      <c r="Z28" s="204">
        <v>32629</v>
      </c>
      <c r="AA28" s="204">
        <v>31868</v>
      </c>
      <c r="AB28" s="204">
        <v>30527</v>
      </c>
      <c r="AC28" s="204">
        <v>28749</v>
      </c>
      <c r="AD28" s="204">
        <v>26994</v>
      </c>
    </row>
    <row r="29" spans="2:30" x14ac:dyDescent="0.25">
      <c r="B29" s="198">
        <v>2034</v>
      </c>
      <c r="C29" s="199">
        <v>7</v>
      </c>
      <c r="D29" s="200"/>
      <c r="E29" s="201" t="s">
        <v>21</v>
      </c>
      <c r="F29" s="202">
        <v>5</v>
      </c>
      <c r="G29" s="203">
        <v>27537</v>
      </c>
      <c r="H29" s="204">
        <v>26480</v>
      </c>
      <c r="I29" s="204">
        <v>25839</v>
      </c>
      <c r="J29" s="204">
        <v>24927</v>
      </c>
      <c r="K29" s="204">
        <v>24794</v>
      </c>
      <c r="L29" s="204">
        <v>23963</v>
      </c>
      <c r="M29" s="204">
        <v>22656</v>
      </c>
      <c r="N29" s="204">
        <v>24286</v>
      </c>
      <c r="O29" s="204">
        <v>26407</v>
      </c>
      <c r="P29" s="204">
        <v>27682</v>
      </c>
      <c r="Q29" s="204">
        <v>28665</v>
      </c>
      <c r="R29" s="204">
        <v>29603</v>
      </c>
      <c r="S29" s="204">
        <v>29322</v>
      </c>
      <c r="T29" s="204">
        <v>28905</v>
      </c>
      <c r="U29" s="204">
        <v>29119</v>
      </c>
      <c r="V29" s="204">
        <v>29462</v>
      </c>
      <c r="W29" s="204">
        <v>29433</v>
      </c>
      <c r="X29" s="204">
        <v>29287</v>
      </c>
      <c r="Y29" s="204">
        <v>32405</v>
      </c>
      <c r="Z29" s="204">
        <v>33965</v>
      </c>
      <c r="AA29" s="204">
        <v>33362</v>
      </c>
      <c r="AB29" s="204">
        <v>32009</v>
      </c>
      <c r="AC29" s="204">
        <v>30069</v>
      </c>
      <c r="AD29" s="204">
        <v>28298</v>
      </c>
    </row>
    <row r="30" spans="2:30" ht="15.75" thickBot="1" x14ac:dyDescent="0.3">
      <c r="B30" s="198">
        <v>2034</v>
      </c>
      <c r="C30" s="205">
        <v>7</v>
      </c>
      <c r="D30" s="206"/>
      <c r="E30" s="201" t="s">
        <v>22</v>
      </c>
      <c r="F30" s="202">
        <v>2</v>
      </c>
      <c r="G30" s="207">
        <v>28389</v>
      </c>
      <c r="H30" s="208">
        <v>27568</v>
      </c>
      <c r="I30" s="208">
        <v>26848</v>
      </c>
      <c r="J30" s="208">
        <v>26161</v>
      </c>
      <c r="K30" s="208">
        <v>25980</v>
      </c>
      <c r="L30" s="208">
        <v>25288</v>
      </c>
      <c r="M30" s="208">
        <v>24786</v>
      </c>
      <c r="N30" s="208">
        <v>26251</v>
      </c>
      <c r="O30" s="208">
        <v>28101</v>
      </c>
      <c r="P30" s="208">
        <v>29654</v>
      </c>
      <c r="Q30" s="208">
        <v>30978</v>
      </c>
      <c r="R30" s="208">
        <v>32230</v>
      </c>
      <c r="S30" s="208">
        <v>34448</v>
      </c>
      <c r="T30" s="208">
        <v>33246</v>
      </c>
      <c r="U30" s="208">
        <v>33007</v>
      </c>
      <c r="V30" s="208">
        <v>33312</v>
      </c>
      <c r="W30" s="208">
        <v>32870</v>
      </c>
      <c r="X30" s="208">
        <v>32566</v>
      </c>
      <c r="Y30" s="208">
        <v>36242</v>
      </c>
      <c r="Z30" s="208">
        <v>37654</v>
      </c>
      <c r="AA30" s="208">
        <v>36884</v>
      </c>
      <c r="AB30" s="208">
        <v>35311</v>
      </c>
      <c r="AC30" s="208">
        <v>32932</v>
      </c>
      <c r="AD30" s="208">
        <v>30955</v>
      </c>
    </row>
    <row r="31" spans="2:30" x14ac:dyDescent="0.25">
      <c r="B31" s="198">
        <v>2034</v>
      </c>
      <c r="C31" s="209">
        <v>8</v>
      </c>
      <c r="D31" s="210">
        <v>25775890</v>
      </c>
      <c r="E31" s="201" t="s">
        <v>19</v>
      </c>
      <c r="F31" s="202">
        <v>21</v>
      </c>
      <c r="G31" s="203">
        <v>31201</v>
      </c>
      <c r="H31" s="204">
        <v>30083</v>
      </c>
      <c r="I31" s="204">
        <v>29212</v>
      </c>
      <c r="J31" s="204">
        <v>28607</v>
      </c>
      <c r="K31" s="204">
        <v>28453</v>
      </c>
      <c r="L31" s="204">
        <v>28397</v>
      </c>
      <c r="M31" s="204">
        <v>27685</v>
      </c>
      <c r="N31" s="204">
        <v>30146</v>
      </c>
      <c r="O31" s="204">
        <v>33494</v>
      </c>
      <c r="P31" s="204">
        <v>35691</v>
      </c>
      <c r="Q31" s="204">
        <v>37485</v>
      </c>
      <c r="R31" s="204">
        <v>38712</v>
      </c>
      <c r="S31" s="204">
        <v>36679</v>
      </c>
      <c r="T31" s="204">
        <v>38161</v>
      </c>
      <c r="U31" s="204">
        <v>40736</v>
      </c>
      <c r="V31" s="204">
        <v>40753</v>
      </c>
      <c r="W31" s="204">
        <v>39620</v>
      </c>
      <c r="X31" s="204">
        <v>37768</v>
      </c>
      <c r="Y31" s="204">
        <v>40694</v>
      </c>
      <c r="Z31" s="204">
        <v>41780</v>
      </c>
      <c r="AA31" s="204">
        <v>40858</v>
      </c>
      <c r="AB31" s="204">
        <v>38903</v>
      </c>
      <c r="AC31" s="204">
        <v>35930</v>
      </c>
      <c r="AD31" s="204">
        <v>33438</v>
      </c>
    </row>
    <row r="32" spans="2:30" x14ac:dyDescent="0.25">
      <c r="B32" s="198">
        <v>2034</v>
      </c>
      <c r="C32" s="199">
        <v>8</v>
      </c>
      <c r="D32" s="200"/>
      <c r="E32" s="201" t="s">
        <v>20</v>
      </c>
      <c r="F32" s="202">
        <v>4</v>
      </c>
      <c r="G32" s="203">
        <v>34829</v>
      </c>
      <c r="H32" s="204">
        <v>33484</v>
      </c>
      <c r="I32" s="204">
        <v>32480</v>
      </c>
      <c r="J32" s="204">
        <v>31728</v>
      </c>
      <c r="K32" s="204">
        <v>31185</v>
      </c>
      <c r="L32" s="204">
        <v>30407</v>
      </c>
      <c r="M32" s="204">
        <v>29398</v>
      </c>
      <c r="N32" s="204">
        <v>31897</v>
      </c>
      <c r="O32" s="204">
        <v>35318</v>
      </c>
      <c r="P32" s="204">
        <v>37715</v>
      </c>
      <c r="Q32" s="204">
        <v>39481</v>
      </c>
      <c r="R32" s="204">
        <v>40707</v>
      </c>
      <c r="S32" s="204">
        <v>40026</v>
      </c>
      <c r="T32" s="204">
        <v>40460</v>
      </c>
      <c r="U32" s="204">
        <v>41022</v>
      </c>
      <c r="V32" s="204">
        <v>40819</v>
      </c>
      <c r="W32" s="204">
        <v>39824</v>
      </c>
      <c r="X32" s="204">
        <v>39368</v>
      </c>
      <c r="Y32" s="204">
        <v>43350</v>
      </c>
      <c r="Z32" s="204">
        <v>44383</v>
      </c>
      <c r="AA32" s="204">
        <v>43507</v>
      </c>
      <c r="AB32" s="204">
        <v>41737</v>
      </c>
      <c r="AC32" s="204">
        <v>39243</v>
      </c>
      <c r="AD32" s="204">
        <v>36022</v>
      </c>
    </row>
    <row r="33" spans="2:30" x14ac:dyDescent="0.25">
      <c r="B33" s="198">
        <v>2034</v>
      </c>
      <c r="C33" s="199">
        <v>8</v>
      </c>
      <c r="D33" s="200"/>
      <c r="E33" s="201" t="s">
        <v>21</v>
      </c>
      <c r="F33" s="202">
        <v>4</v>
      </c>
      <c r="G33" s="203">
        <v>29313</v>
      </c>
      <c r="H33" s="204">
        <v>28474</v>
      </c>
      <c r="I33" s="204">
        <v>27661</v>
      </c>
      <c r="J33" s="204">
        <v>26957</v>
      </c>
      <c r="K33" s="204">
        <v>26531</v>
      </c>
      <c r="L33" s="204">
        <v>25179</v>
      </c>
      <c r="M33" s="204">
        <v>23587</v>
      </c>
      <c r="N33" s="204">
        <v>24893</v>
      </c>
      <c r="O33" s="204">
        <v>26562</v>
      </c>
      <c r="P33" s="204">
        <v>28177</v>
      </c>
      <c r="Q33" s="204">
        <v>29400</v>
      </c>
      <c r="R33" s="204">
        <v>30509</v>
      </c>
      <c r="S33" s="204">
        <v>30764</v>
      </c>
      <c r="T33" s="204">
        <v>31171</v>
      </c>
      <c r="U33" s="204">
        <v>31267</v>
      </c>
      <c r="V33" s="204">
        <v>31323</v>
      </c>
      <c r="W33" s="204">
        <v>31023</v>
      </c>
      <c r="X33" s="204">
        <v>30817</v>
      </c>
      <c r="Y33" s="204">
        <v>34732</v>
      </c>
      <c r="Z33" s="204">
        <v>36251</v>
      </c>
      <c r="AA33" s="204">
        <v>35852</v>
      </c>
      <c r="AB33" s="204">
        <v>34318</v>
      </c>
      <c r="AC33" s="204">
        <v>32097</v>
      </c>
      <c r="AD33" s="204">
        <v>30174</v>
      </c>
    </row>
    <row r="34" spans="2:30" ht="15.75" thickBot="1" x14ac:dyDescent="0.3">
      <c r="B34" s="198">
        <v>2034</v>
      </c>
      <c r="C34" s="205">
        <v>8</v>
      </c>
      <c r="D34" s="206"/>
      <c r="E34" s="201" t="s">
        <v>22</v>
      </c>
      <c r="F34" s="202">
        <v>2</v>
      </c>
      <c r="G34" s="207">
        <v>31301</v>
      </c>
      <c r="H34" s="208">
        <v>30226</v>
      </c>
      <c r="I34" s="208">
        <v>29341</v>
      </c>
      <c r="J34" s="208">
        <v>28117</v>
      </c>
      <c r="K34" s="208">
        <v>28288</v>
      </c>
      <c r="L34" s="208">
        <v>27613</v>
      </c>
      <c r="M34" s="208">
        <v>26228</v>
      </c>
      <c r="N34" s="208">
        <v>27975</v>
      </c>
      <c r="O34" s="208">
        <v>30140</v>
      </c>
      <c r="P34" s="208">
        <v>32097</v>
      </c>
      <c r="Q34" s="208">
        <v>34059</v>
      </c>
      <c r="R34" s="208">
        <v>35683</v>
      </c>
      <c r="S34" s="208">
        <v>36042</v>
      </c>
      <c r="T34" s="208">
        <v>35910</v>
      </c>
      <c r="U34" s="208">
        <v>36175</v>
      </c>
      <c r="V34" s="208">
        <v>35724</v>
      </c>
      <c r="W34" s="208">
        <v>29419</v>
      </c>
      <c r="X34" s="208">
        <v>34613</v>
      </c>
      <c r="Y34" s="208">
        <v>38499</v>
      </c>
      <c r="Z34" s="208">
        <v>39665</v>
      </c>
      <c r="AA34" s="208">
        <v>38782</v>
      </c>
      <c r="AB34" s="208">
        <v>37082</v>
      </c>
      <c r="AC34" s="208">
        <v>34655</v>
      </c>
      <c r="AD34" s="208">
        <v>32364</v>
      </c>
    </row>
    <row r="35" spans="2:30" x14ac:dyDescent="0.25">
      <c r="B35" s="198">
        <v>2034</v>
      </c>
      <c r="C35" s="209">
        <v>9</v>
      </c>
      <c r="D35" s="210">
        <v>26197416</v>
      </c>
      <c r="E35" s="201" t="s">
        <v>19</v>
      </c>
      <c r="F35" s="202">
        <v>21</v>
      </c>
      <c r="G35" s="203">
        <v>33745</v>
      </c>
      <c r="H35" s="204">
        <v>31868</v>
      </c>
      <c r="I35" s="204">
        <v>30902</v>
      </c>
      <c r="J35" s="204">
        <v>30292</v>
      </c>
      <c r="K35" s="204">
        <v>30438</v>
      </c>
      <c r="L35" s="204">
        <v>30041</v>
      </c>
      <c r="M35" s="204">
        <v>29535</v>
      </c>
      <c r="N35" s="204">
        <v>32290</v>
      </c>
      <c r="O35" s="204">
        <v>35929</v>
      </c>
      <c r="P35" s="204">
        <v>38476</v>
      </c>
      <c r="Q35" s="204">
        <v>40333</v>
      </c>
      <c r="R35" s="204">
        <v>41625</v>
      </c>
      <c r="S35" s="204">
        <v>39526</v>
      </c>
      <c r="T35" s="204">
        <v>41281</v>
      </c>
      <c r="U35" s="204">
        <v>43597</v>
      </c>
      <c r="V35" s="204">
        <v>43301</v>
      </c>
      <c r="W35" s="204">
        <v>42219</v>
      </c>
      <c r="X35" s="204">
        <v>41246</v>
      </c>
      <c r="Y35" s="204">
        <v>44346</v>
      </c>
      <c r="Z35" s="204">
        <v>44639</v>
      </c>
      <c r="AA35" s="204">
        <v>43730</v>
      </c>
      <c r="AB35" s="204">
        <v>41960</v>
      </c>
      <c r="AC35" s="204">
        <v>39058</v>
      </c>
      <c r="AD35" s="204">
        <v>36390</v>
      </c>
    </row>
    <row r="36" spans="2:30" x14ac:dyDescent="0.25">
      <c r="B36" s="198">
        <v>2034</v>
      </c>
      <c r="C36" s="199">
        <v>9</v>
      </c>
      <c r="D36" s="200"/>
      <c r="E36" s="201" t="s">
        <v>20</v>
      </c>
      <c r="F36" s="202">
        <v>5</v>
      </c>
      <c r="G36" s="203">
        <v>28995</v>
      </c>
      <c r="H36" s="204">
        <v>27980</v>
      </c>
      <c r="I36" s="204">
        <v>27122</v>
      </c>
      <c r="J36" s="204">
        <v>26499</v>
      </c>
      <c r="K36" s="204">
        <v>26129</v>
      </c>
      <c r="L36" s="204">
        <v>24951</v>
      </c>
      <c r="M36" s="204">
        <v>24593</v>
      </c>
      <c r="N36" s="204">
        <v>26655</v>
      </c>
      <c r="O36" s="204">
        <v>29443</v>
      </c>
      <c r="P36" s="204">
        <v>31559</v>
      </c>
      <c r="Q36" s="204">
        <v>33218</v>
      </c>
      <c r="R36" s="204">
        <v>34137</v>
      </c>
      <c r="S36" s="204">
        <v>33436</v>
      </c>
      <c r="T36" s="204">
        <v>33427</v>
      </c>
      <c r="U36" s="204">
        <v>33967</v>
      </c>
      <c r="V36" s="204">
        <v>33614</v>
      </c>
      <c r="W36" s="204">
        <v>32914</v>
      </c>
      <c r="X36" s="204">
        <v>32966</v>
      </c>
      <c r="Y36" s="204">
        <v>36370</v>
      </c>
      <c r="Z36" s="204">
        <v>36436</v>
      </c>
      <c r="AA36" s="204">
        <v>35653</v>
      </c>
      <c r="AB36" s="204">
        <v>34279</v>
      </c>
      <c r="AC36" s="204">
        <v>32530</v>
      </c>
      <c r="AD36" s="204">
        <v>30704</v>
      </c>
    </row>
    <row r="37" spans="2:30" ht="15.75" thickBot="1" x14ac:dyDescent="0.3">
      <c r="B37" s="198">
        <v>2034</v>
      </c>
      <c r="C37" s="205">
        <v>9</v>
      </c>
      <c r="D37" s="200"/>
      <c r="E37" s="201" t="s">
        <v>21</v>
      </c>
      <c r="F37" s="202">
        <v>4</v>
      </c>
      <c r="G37" s="207">
        <v>37768</v>
      </c>
      <c r="H37" s="208">
        <v>36280</v>
      </c>
      <c r="I37" s="208">
        <v>35024</v>
      </c>
      <c r="J37" s="208">
        <v>32056</v>
      </c>
      <c r="K37" s="208">
        <v>31043</v>
      </c>
      <c r="L37" s="208">
        <v>29566</v>
      </c>
      <c r="M37" s="208">
        <v>28188</v>
      </c>
      <c r="N37" s="208">
        <v>29750</v>
      </c>
      <c r="O37" s="208">
        <v>31587</v>
      </c>
      <c r="P37" s="208">
        <v>33402</v>
      </c>
      <c r="Q37" s="208">
        <v>34678</v>
      </c>
      <c r="R37" s="208">
        <v>35870</v>
      </c>
      <c r="S37" s="208">
        <v>36143</v>
      </c>
      <c r="T37" s="208">
        <v>35386</v>
      </c>
      <c r="U37" s="208">
        <v>35291</v>
      </c>
      <c r="V37" s="208">
        <v>35301</v>
      </c>
      <c r="W37" s="208">
        <v>34701</v>
      </c>
      <c r="X37" s="208">
        <v>34768</v>
      </c>
      <c r="Y37" s="208">
        <v>42503</v>
      </c>
      <c r="Z37" s="208">
        <v>44032</v>
      </c>
      <c r="AA37" s="208">
        <v>43415</v>
      </c>
      <c r="AB37" s="208">
        <v>41708</v>
      </c>
      <c r="AC37" s="208">
        <v>39148</v>
      </c>
      <c r="AD37" s="208">
        <v>36748</v>
      </c>
    </row>
    <row r="38" spans="2:30" x14ac:dyDescent="0.25">
      <c r="B38" s="198">
        <v>2034</v>
      </c>
      <c r="C38" s="209">
        <v>10</v>
      </c>
      <c r="D38" s="210">
        <v>28184854</v>
      </c>
      <c r="E38" s="201" t="s">
        <v>19</v>
      </c>
      <c r="F38" s="202">
        <v>21</v>
      </c>
      <c r="G38" s="203">
        <v>34620</v>
      </c>
      <c r="H38" s="204">
        <v>33340</v>
      </c>
      <c r="I38" s="204">
        <v>32387</v>
      </c>
      <c r="J38" s="204">
        <v>31696</v>
      </c>
      <c r="K38" s="204">
        <v>31212</v>
      </c>
      <c r="L38" s="204">
        <v>30375</v>
      </c>
      <c r="M38" s="204">
        <v>30145</v>
      </c>
      <c r="N38" s="204">
        <v>33294</v>
      </c>
      <c r="O38" s="204">
        <v>37250</v>
      </c>
      <c r="P38" s="204">
        <v>39619</v>
      </c>
      <c r="Q38" s="204">
        <v>41634</v>
      </c>
      <c r="R38" s="204">
        <v>42769</v>
      </c>
      <c r="S38" s="204">
        <v>40812</v>
      </c>
      <c r="T38" s="204">
        <v>42272</v>
      </c>
      <c r="U38" s="204">
        <v>45224</v>
      </c>
      <c r="V38" s="204">
        <v>45177</v>
      </c>
      <c r="W38" s="204">
        <v>43714</v>
      </c>
      <c r="X38" s="204">
        <v>43051</v>
      </c>
      <c r="Y38" s="204">
        <v>45522</v>
      </c>
      <c r="Z38" s="204">
        <v>45150</v>
      </c>
      <c r="AA38" s="204">
        <v>44204</v>
      </c>
      <c r="AB38" s="204">
        <v>42523</v>
      </c>
      <c r="AC38" s="204">
        <v>39651</v>
      </c>
      <c r="AD38" s="204">
        <v>37228</v>
      </c>
    </row>
    <row r="39" spans="2:30" x14ac:dyDescent="0.25">
      <c r="B39" s="198">
        <v>2034</v>
      </c>
      <c r="C39" s="199">
        <v>10</v>
      </c>
      <c r="D39" s="200"/>
      <c r="E39" s="201" t="s">
        <v>20</v>
      </c>
      <c r="F39" s="202">
        <v>4</v>
      </c>
      <c r="G39" s="203">
        <v>38152</v>
      </c>
      <c r="H39" s="204">
        <v>36846</v>
      </c>
      <c r="I39" s="204">
        <v>35714</v>
      </c>
      <c r="J39" s="204">
        <v>34678</v>
      </c>
      <c r="K39" s="204">
        <v>33666</v>
      </c>
      <c r="L39" s="204">
        <v>32682</v>
      </c>
      <c r="M39" s="204">
        <v>32464</v>
      </c>
      <c r="N39" s="204">
        <v>35380</v>
      </c>
      <c r="O39" s="204">
        <v>39264</v>
      </c>
      <c r="P39" s="204">
        <v>41838</v>
      </c>
      <c r="Q39" s="204">
        <v>43751</v>
      </c>
      <c r="R39" s="204">
        <v>44723</v>
      </c>
      <c r="S39" s="204">
        <v>43368</v>
      </c>
      <c r="T39" s="204">
        <v>42790</v>
      </c>
      <c r="U39" s="204">
        <v>43288</v>
      </c>
      <c r="V39" s="204">
        <v>43249</v>
      </c>
      <c r="W39" s="204">
        <v>42192</v>
      </c>
      <c r="X39" s="204">
        <v>42912</v>
      </c>
      <c r="Y39" s="204">
        <v>46730</v>
      </c>
      <c r="Z39" s="204">
        <v>46289</v>
      </c>
      <c r="AA39" s="204">
        <v>45128</v>
      </c>
      <c r="AB39" s="204">
        <v>43674</v>
      </c>
      <c r="AC39" s="204">
        <v>41629</v>
      </c>
      <c r="AD39" s="204">
        <v>39615</v>
      </c>
    </row>
    <row r="40" spans="2:30" x14ac:dyDescent="0.25">
      <c r="B40" s="198">
        <v>2034</v>
      </c>
      <c r="C40" s="199">
        <v>10</v>
      </c>
      <c r="D40" s="200"/>
      <c r="E40" s="201" t="s">
        <v>21</v>
      </c>
      <c r="F40" s="202">
        <v>5</v>
      </c>
      <c r="G40" s="203">
        <v>33090</v>
      </c>
      <c r="H40" s="204">
        <v>31707</v>
      </c>
      <c r="I40" s="204">
        <v>30463</v>
      </c>
      <c r="J40" s="204">
        <v>29561</v>
      </c>
      <c r="K40" s="204">
        <v>28997</v>
      </c>
      <c r="L40" s="204">
        <v>27855</v>
      </c>
      <c r="M40" s="204">
        <v>26855</v>
      </c>
      <c r="N40" s="204">
        <v>27869</v>
      </c>
      <c r="O40" s="204">
        <v>29187</v>
      </c>
      <c r="P40" s="204">
        <v>30382</v>
      </c>
      <c r="Q40" s="204">
        <v>31280</v>
      </c>
      <c r="R40" s="204">
        <v>32345</v>
      </c>
      <c r="S40" s="204">
        <v>32758</v>
      </c>
      <c r="T40" s="204">
        <v>32427</v>
      </c>
      <c r="U40" s="204">
        <v>32717</v>
      </c>
      <c r="V40" s="204">
        <v>33227</v>
      </c>
      <c r="W40" s="204">
        <v>32987</v>
      </c>
      <c r="X40" s="204">
        <v>34287</v>
      </c>
      <c r="Y40" s="204">
        <v>38400</v>
      </c>
      <c r="Z40" s="204">
        <v>38346</v>
      </c>
      <c r="AA40" s="204">
        <v>37774</v>
      </c>
      <c r="AB40" s="204">
        <v>36624</v>
      </c>
      <c r="AC40" s="204">
        <v>34671</v>
      </c>
      <c r="AD40" s="204">
        <v>32812</v>
      </c>
    </row>
    <row r="41" spans="2:30" ht="15.75" thickBot="1" x14ac:dyDescent="0.3">
      <c r="B41" s="198">
        <v>2034</v>
      </c>
      <c r="C41" s="205">
        <v>10</v>
      </c>
      <c r="D41" s="206"/>
      <c r="E41" s="201" t="s">
        <v>22</v>
      </c>
      <c r="F41" s="202">
        <v>1</v>
      </c>
      <c r="G41" s="207">
        <v>33400</v>
      </c>
      <c r="H41" s="208">
        <v>32370</v>
      </c>
      <c r="I41" s="208">
        <v>31480</v>
      </c>
      <c r="J41" s="208">
        <v>30809</v>
      </c>
      <c r="K41" s="208">
        <v>30482</v>
      </c>
      <c r="L41" s="208">
        <v>29194</v>
      </c>
      <c r="M41" s="208">
        <v>28466</v>
      </c>
      <c r="N41" s="208">
        <v>30167</v>
      </c>
      <c r="O41" s="208">
        <v>32399</v>
      </c>
      <c r="P41" s="208">
        <v>34343</v>
      </c>
      <c r="Q41" s="208">
        <v>36230</v>
      </c>
      <c r="R41" s="208">
        <v>37703</v>
      </c>
      <c r="S41" s="208">
        <v>37936</v>
      </c>
      <c r="T41" s="208">
        <v>37378</v>
      </c>
      <c r="U41" s="208">
        <v>36898</v>
      </c>
      <c r="V41" s="208">
        <v>36540</v>
      </c>
      <c r="W41" s="208">
        <v>36308</v>
      </c>
      <c r="X41" s="208">
        <v>37554</v>
      </c>
      <c r="Y41" s="208">
        <v>39756</v>
      </c>
      <c r="Z41" s="208">
        <v>40205</v>
      </c>
      <c r="AA41" s="208">
        <v>38582</v>
      </c>
      <c r="AB41" s="208">
        <v>36419</v>
      </c>
      <c r="AC41" s="208">
        <v>34307</v>
      </c>
      <c r="AD41" s="208">
        <v>32486</v>
      </c>
    </row>
    <row r="42" spans="2:30" x14ac:dyDescent="0.25">
      <c r="B42" s="198">
        <v>2034</v>
      </c>
      <c r="C42" s="209">
        <v>11</v>
      </c>
      <c r="D42" s="210">
        <v>27342752</v>
      </c>
      <c r="E42" s="201" t="s">
        <v>19</v>
      </c>
      <c r="F42" s="202">
        <v>20</v>
      </c>
      <c r="G42" s="203">
        <v>34335</v>
      </c>
      <c r="H42" s="204">
        <v>33075</v>
      </c>
      <c r="I42" s="204">
        <v>32132</v>
      </c>
      <c r="J42" s="204">
        <v>31401</v>
      </c>
      <c r="K42" s="204">
        <v>31024</v>
      </c>
      <c r="L42" s="204">
        <v>30260</v>
      </c>
      <c r="M42" s="204">
        <v>29945</v>
      </c>
      <c r="N42" s="204">
        <v>32795</v>
      </c>
      <c r="O42" s="204">
        <v>36523</v>
      </c>
      <c r="P42" s="204">
        <v>38811</v>
      </c>
      <c r="Q42" s="204">
        <v>40557</v>
      </c>
      <c r="R42" s="204">
        <v>41540</v>
      </c>
      <c r="S42" s="204">
        <v>39555</v>
      </c>
      <c r="T42" s="204">
        <v>41016</v>
      </c>
      <c r="U42" s="204">
        <v>43708</v>
      </c>
      <c r="V42" s="204">
        <v>44166</v>
      </c>
      <c r="W42" s="204">
        <v>42701</v>
      </c>
      <c r="X42" s="204">
        <v>42560</v>
      </c>
      <c r="Y42" s="204">
        <v>44983</v>
      </c>
      <c r="Z42" s="204">
        <v>44557</v>
      </c>
      <c r="AA42" s="204">
        <v>43605</v>
      </c>
      <c r="AB42" s="204">
        <v>41787</v>
      </c>
      <c r="AC42" s="204">
        <v>39143</v>
      </c>
      <c r="AD42" s="204">
        <v>36759</v>
      </c>
    </row>
    <row r="43" spans="2:30" x14ac:dyDescent="0.25">
      <c r="B43" s="198">
        <v>2034</v>
      </c>
      <c r="C43" s="199">
        <v>11</v>
      </c>
      <c r="D43" s="200"/>
      <c r="E43" s="201" t="s">
        <v>20</v>
      </c>
      <c r="F43" s="202">
        <v>4</v>
      </c>
      <c r="G43" s="203">
        <v>38803</v>
      </c>
      <c r="H43" s="204">
        <v>37421</v>
      </c>
      <c r="I43" s="204">
        <v>36238</v>
      </c>
      <c r="J43" s="204">
        <v>35285</v>
      </c>
      <c r="K43" s="204">
        <v>34698</v>
      </c>
      <c r="L43" s="204">
        <v>33317</v>
      </c>
      <c r="M43" s="204">
        <v>32622</v>
      </c>
      <c r="N43" s="204">
        <v>35226</v>
      </c>
      <c r="O43" s="204">
        <v>38620</v>
      </c>
      <c r="P43" s="204">
        <v>41334</v>
      </c>
      <c r="Q43" s="204">
        <v>43078</v>
      </c>
      <c r="R43" s="204">
        <v>44696</v>
      </c>
      <c r="S43" s="204">
        <v>43805</v>
      </c>
      <c r="T43" s="204">
        <v>43088</v>
      </c>
      <c r="U43" s="204">
        <v>43184</v>
      </c>
      <c r="V43" s="204">
        <v>42920</v>
      </c>
      <c r="W43" s="204">
        <v>41816</v>
      </c>
      <c r="X43" s="204">
        <v>43459</v>
      </c>
      <c r="Y43" s="204">
        <v>47084</v>
      </c>
      <c r="Z43" s="204">
        <v>46906</v>
      </c>
      <c r="AA43" s="204">
        <v>45631</v>
      </c>
      <c r="AB43" s="204">
        <v>43994</v>
      </c>
      <c r="AC43" s="204">
        <v>41891</v>
      </c>
      <c r="AD43" s="204">
        <v>39710</v>
      </c>
    </row>
    <row r="44" spans="2:30" x14ac:dyDescent="0.25">
      <c r="B44" s="198">
        <v>2034</v>
      </c>
      <c r="C44" s="199">
        <v>11</v>
      </c>
      <c r="D44" s="200"/>
      <c r="E44" s="201" t="s">
        <v>21</v>
      </c>
      <c r="F44" s="202">
        <v>4</v>
      </c>
      <c r="G44" s="203">
        <v>34592</v>
      </c>
      <c r="H44" s="204">
        <v>33410</v>
      </c>
      <c r="I44" s="204">
        <v>32535</v>
      </c>
      <c r="J44" s="204">
        <v>31947</v>
      </c>
      <c r="K44" s="204">
        <v>31586</v>
      </c>
      <c r="L44" s="204">
        <v>29449</v>
      </c>
      <c r="M44" s="204">
        <v>28231</v>
      </c>
      <c r="N44" s="204">
        <v>29883</v>
      </c>
      <c r="O44" s="204">
        <v>31775</v>
      </c>
      <c r="P44" s="204">
        <v>33105</v>
      </c>
      <c r="Q44" s="204">
        <v>34214</v>
      </c>
      <c r="R44" s="204">
        <v>35257</v>
      </c>
      <c r="S44" s="204">
        <v>35683</v>
      </c>
      <c r="T44" s="204">
        <v>35577</v>
      </c>
      <c r="U44" s="204">
        <v>35593</v>
      </c>
      <c r="V44" s="204">
        <v>35700</v>
      </c>
      <c r="W44" s="204">
        <v>35473</v>
      </c>
      <c r="X44" s="204">
        <v>37082</v>
      </c>
      <c r="Y44" s="204">
        <v>41285</v>
      </c>
      <c r="Z44" s="204">
        <v>42163</v>
      </c>
      <c r="AA44" s="204">
        <v>41878</v>
      </c>
      <c r="AB44" s="204">
        <v>40402</v>
      </c>
      <c r="AC44" s="204">
        <v>38279</v>
      </c>
      <c r="AD44" s="204">
        <v>36017</v>
      </c>
    </row>
    <row r="45" spans="2:30" ht="15.75" thickBot="1" x14ac:dyDescent="0.3">
      <c r="B45" s="198">
        <v>2034</v>
      </c>
      <c r="C45" s="205">
        <v>11</v>
      </c>
      <c r="D45" s="206"/>
      <c r="E45" s="201" t="s">
        <v>22</v>
      </c>
      <c r="F45" s="202">
        <v>2</v>
      </c>
      <c r="G45" s="207">
        <v>35859</v>
      </c>
      <c r="H45" s="208">
        <v>34295</v>
      </c>
      <c r="I45" s="208">
        <v>33200</v>
      </c>
      <c r="J45" s="208">
        <v>32255</v>
      </c>
      <c r="K45" s="208">
        <v>31636</v>
      </c>
      <c r="L45" s="208">
        <v>30358</v>
      </c>
      <c r="M45" s="208">
        <v>29408</v>
      </c>
      <c r="N45" s="208">
        <v>31277</v>
      </c>
      <c r="O45" s="208">
        <v>33524</v>
      </c>
      <c r="P45" s="208">
        <v>35237</v>
      </c>
      <c r="Q45" s="208">
        <v>36568</v>
      </c>
      <c r="R45" s="208">
        <v>37533</v>
      </c>
      <c r="S45" s="208">
        <v>37469</v>
      </c>
      <c r="T45" s="208">
        <v>36887</v>
      </c>
      <c r="U45" s="208">
        <v>37205</v>
      </c>
      <c r="V45" s="208">
        <v>37642</v>
      </c>
      <c r="W45" s="208">
        <v>37369</v>
      </c>
      <c r="X45" s="208">
        <v>39131</v>
      </c>
      <c r="Y45" s="208">
        <v>43108</v>
      </c>
      <c r="Z45" s="208">
        <v>43176</v>
      </c>
      <c r="AA45" s="208">
        <v>42115</v>
      </c>
      <c r="AB45" s="208">
        <v>40629</v>
      </c>
      <c r="AC45" s="208">
        <v>38192</v>
      </c>
      <c r="AD45" s="208">
        <v>36039</v>
      </c>
    </row>
    <row r="46" spans="2:30" x14ac:dyDescent="0.25">
      <c r="B46" s="198">
        <v>2034</v>
      </c>
      <c r="C46" s="209">
        <v>12</v>
      </c>
      <c r="D46" s="210">
        <v>28043265</v>
      </c>
      <c r="E46" s="201" t="s">
        <v>19</v>
      </c>
      <c r="F46" s="202">
        <v>19</v>
      </c>
      <c r="G46" s="203">
        <v>37660</v>
      </c>
      <c r="H46" s="204">
        <v>36162</v>
      </c>
      <c r="I46" s="204">
        <v>35062</v>
      </c>
      <c r="J46" s="204">
        <v>34154</v>
      </c>
      <c r="K46" s="204">
        <v>33784</v>
      </c>
      <c r="L46" s="204">
        <v>33034</v>
      </c>
      <c r="M46" s="204">
        <v>31871</v>
      </c>
      <c r="N46" s="204">
        <v>35047</v>
      </c>
      <c r="O46" s="204">
        <v>38997</v>
      </c>
      <c r="P46" s="204">
        <v>41874</v>
      </c>
      <c r="Q46" s="204">
        <v>43872</v>
      </c>
      <c r="R46" s="204">
        <v>45308</v>
      </c>
      <c r="S46" s="204">
        <v>43357</v>
      </c>
      <c r="T46" s="204">
        <v>44348</v>
      </c>
      <c r="U46" s="204">
        <v>47000</v>
      </c>
      <c r="V46" s="204">
        <v>47182</v>
      </c>
      <c r="W46" s="204">
        <v>45783</v>
      </c>
      <c r="X46" s="204">
        <v>44909</v>
      </c>
      <c r="Y46" s="204">
        <v>48131</v>
      </c>
      <c r="Z46" s="204">
        <v>47549</v>
      </c>
      <c r="AA46" s="204">
        <v>46486</v>
      </c>
      <c r="AB46" s="204">
        <v>44912</v>
      </c>
      <c r="AC46" s="204">
        <v>42571</v>
      </c>
      <c r="AD46" s="204">
        <v>40198</v>
      </c>
    </row>
    <row r="47" spans="2:30" x14ac:dyDescent="0.25">
      <c r="B47" s="198">
        <v>2034</v>
      </c>
      <c r="C47" s="199">
        <v>12</v>
      </c>
      <c r="D47" s="200"/>
      <c r="E47" s="201" t="s">
        <v>20</v>
      </c>
      <c r="F47" s="202">
        <v>5</v>
      </c>
      <c r="G47" s="203">
        <v>33785</v>
      </c>
      <c r="H47" s="204">
        <v>32630</v>
      </c>
      <c r="I47" s="204">
        <v>31256</v>
      </c>
      <c r="J47" s="204">
        <v>30450</v>
      </c>
      <c r="K47" s="204">
        <v>30041</v>
      </c>
      <c r="L47" s="204">
        <v>29704</v>
      </c>
      <c r="M47" s="204">
        <v>28333</v>
      </c>
      <c r="N47" s="204">
        <v>30299</v>
      </c>
      <c r="O47" s="204">
        <v>33289</v>
      </c>
      <c r="P47" s="204">
        <v>35334</v>
      </c>
      <c r="Q47" s="204">
        <v>36737</v>
      </c>
      <c r="R47" s="204">
        <v>37191</v>
      </c>
      <c r="S47" s="204">
        <v>35986</v>
      </c>
      <c r="T47" s="204">
        <v>35252</v>
      </c>
      <c r="U47" s="204">
        <v>35646</v>
      </c>
      <c r="V47" s="204">
        <v>35598</v>
      </c>
      <c r="W47" s="204">
        <v>35458</v>
      </c>
      <c r="X47" s="204">
        <v>36126</v>
      </c>
      <c r="Y47" s="204">
        <v>40018</v>
      </c>
      <c r="Z47" s="204">
        <v>39567</v>
      </c>
      <c r="AA47" s="204">
        <v>38653</v>
      </c>
      <c r="AB47" s="204">
        <v>37240</v>
      </c>
      <c r="AC47" s="204">
        <v>35716</v>
      </c>
      <c r="AD47" s="204">
        <v>33966</v>
      </c>
    </row>
    <row r="48" spans="2:30" x14ac:dyDescent="0.25">
      <c r="B48" s="198">
        <v>2034</v>
      </c>
      <c r="C48" s="199">
        <v>12</v>
      </c>
      <c r="D48" s="200"/>
      <c r="E48" s="201" t="s">
        <v>21</v>
      </c>
      <c r="F48" s="202">
        <v>5</v>
      </c>
      <c r="G48" s="203">
        <v>28069</v>
      </c>
      <c r="H48" s="204">
        <v>27105</v>
      </c>
      <c r="I48" s="204">
        <v>26366</v>
      </c>
      <c r="J48" s="204">
        <v>25462</v>
      </c>
      <c r="K48" s="204">
        <v>24930</v>
      </c>
      <c r="L48" s="204">
        <v>24340</v>
      </c>
      <c r="M48" s="204">
        <v>22931</v>
      </c>
      <c r="N48" s="204">
        <v>24471</v>
      </c>
      <c r="O48" s="204">
        <v>25917</v>
      </c>
      <c r="P48" s="204">
        <v>27262</v>
      </c>
      <c r="Q48" s="204">
        <v>28477</v>
      </c>
      <c r="R48" s="204">
        <v>29254</v>
      </c>
      <c r="S48" s="204">
        <v>29752</v>
      </c>
      <c r="T48" s="204">
        <v>29677</v>
      </c>
      <c r="U48" s="204">
        <v>29576</v>
      </c>
      <c r="V48" s="204">
        <v>29539</v>
      </c>
      <c r="W48" s="204">
        <v>29457</v>
      </c>
      <c r="X48" s="204">
        <v>30169</v>
      </c>
      <c r="Y48" s="204">
        <v>33805</v>
      </c>
      <c r="Z48" s="204">
        <v>33927</v>
      </c>
      <c r="AA48" s="204">
        <v>32997</v>
      </c>
      <c r="AB48" s="204">
        <v>31785</v>
      </c>
      <c r="AC48" s="204">
        <v>30678</v>
      </c>
      <c r="AD48" s="204">
        <v>28917</v>
      </c>
    </row>
    <row r="49" spans="2:30" ht="15.75" thickBot="1" x14ac:dyDescent="0.3">
      <c r="B49" s="198">
        <v>2034</v>
      </c>
      <c r="C49" s="205">
        <v>12</v>
      </c>
      <c r="D49" s="206"/>
      <c r="E49" s="201" t="s">
        <v>22</v>
      </c>
      <c r="F49" s="202">
        <v>2</v>
      </c>
      <c r="G49" s="207">
        <v>35044</v>
      </c>
      <c r="H49" s="208">
        <v>34374</v>
      </c>
      <c r="I49" s="208">
        <v>33637</v>
      </c>
      <c r="J49" s="208">
        <v>32854</v>
      </c>
      <c r="K49" s="208">
        <v>32321</v>
      </c>
      <c r="L49" s="208">
        <v>31133</v>
      </c>
      <c r="M49" s="208">
        <v>28650</v>
      </c>
      <c r="N49" s="208">
        <v>29385</v>
      </c>
      <c r="O49" s="208">
        <v>31177</v>
      </c>
      <c r="P49" s="208">
        <v>32753</v>
      </c>
      <c r="Q49" s="208">
        <v>34175</v>
      </c>
      <c r="R49" s="208">
        <v>35146</v>
      </c>
      <c r="S49" s="208">
        <v>34861</v>
      </c>
      <c r="T49" s="208">
        <v>35070</v>
      </c>
      <c r="U49" s="208">
        <v>35220</v>
      </c>
      <c r="V49" s="208">
        <v>35417</v>
      </c>
      <c r="W49" s="208">
        <v>35353</v>
      </c>
      <c r="X49" s="208">
        <v>35938</v>
      </c>
      <c r="Y49" s="208">
        <v>40657</v>
      </c>
      <c r="Z49" s="208">
        <v>41159</v>
      </c>
      <c r="AA49" s="208">
        <v>41177</v>
      </c>
      <c r="AB49" s="208">
        <v>40176</v>
      </c>
      <c r="AC49" s="208">
        <v>38501</v>
      </c>
      <c r="AD49" s="208">
        <v>36725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4060-58ED-4587-8168-6D004CAC87D2}">
  <dimension ref="B1:AD49"/>
  <sheetViews>
    <sheetView showGridLines="0" workbookViewId="0">
      <selection activeCell="B2" sqref="B2"/>
    </sheetView>
  </sheetViews>
  <sheetFormatPr baseColWidth="10" defaultRowHeight="15" x14ac:dyDescent="0.25"/>
  <cols>
    <col min="1" max="1" width="3.7109375" customWidth="1"/>
    <col min="2" max="2" width="5" bestFit="1" customWidth="1"/>
    <col min="3" max="3" width="3.85546875" bestFit="1" customWidth="1"/>
    <col min="4" max="4" width="10.140625" bestFit="1" customWidth="1"/>
    <col min="5" max="5" width="8.42578125" bestFit="1" customWidth="1"/>
    <col min="6" max="6" width="3" bestFit="1" customWidth="1"/>
    <col min="7" max="30" width="6.42578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2035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2035</v>
      </c>
      <c r="C4" s="213">
        <v>1</v>
      </c>
      <c r="D4" s="210">
        <v>27176289</v>
      </c>
      <c r="E4" s="201" t="s">
        <v>19</v>
      </c>
      <c r="F4" s="202">
        <v>21</v>
      </c>
      <c r="G4" s="214">
        <v>33987</v>
      </c>
      <c r="H4" s="215">
        <v>32606</v>
      </c>
      <c r="I4" s="215">
        <v>31554</v>
      </c>
      <c r="J4" s="215">
        <v>30814</v>
      </c>
      <c r="K4" s="215">
        <v>30446</v>
      </c>
      <c r="L4" s="215">
        <v>30198</v>
      </c>
      <c r="M4" s="215">
        <v>28403</v>
      </c>
      <c r="N4" s="215">
        <v>30937</v>
      </c>
      <c r="O4" s="215">
        <v>34413</v>
      </c>
      <c r="P4" s="215">
        <v>36634</v>
      </c>
      <c r="Q4" s="215">
        <v>38424</v>
      </c>
      <c r="R4" s="215">
        <v>39617</v>
      </c>
      <c r="S4" s="215">
        <v>38003</v>
      </c>
      <c r="T4" s="215">
        <v>39603</v>
      </c>
      <c r="U4" s="215">
        <v>42385</v>
      </c>
      <c r="V4" s="215">
        <v>42634</v>
      </c>
      <c r="W4" s="215">
        <v>41635</v>
      </c>
      <c r="X4" s="215">
        <v>39947</v>
      </c>
      <c r="Y4" s="215">
        <v>42913</v>
      </c>
      <c r="Z4" s="215">
        <v>43491</v>
      </c>
      <c r="AA4" s="215">
        <v>42577</v>
      </c>
      <c r="AB4" s="215">
        <v>41100</v>
      </c>
      <c r="AC4" s="215">
        <v>38693</v>
      </c>
      <c r="AD4" s="215">
        <v>36165</v>
      </c>
    </row>
    <row r="5" spans="2:30" x14ac:dyDescent="0.25">
      <c r="B5" s="198">
        <v>2035</v>
      </c>
      <c r="C5" s="199">
        <v>1</v>
      </c>
      <c r="D5" s="200"/>
      <c r="E5" s="201" t="s">
        <v>20</v>
      </c>
      <c r="F5" s="202">
        <v>4</v>
      </c>
      <c r="G5" s="203">
        <v>34744</v>
      </c>
      <c r="H5" s="204">
        <v>33396</v>
      </c>
      <c r="I5" s="204">
        <v>32330</v>
      </c>
      <c r="J5" s="204">
        <v>31487</v>
      </c>
      <c r="K5" s="204">
        <v>31046</v>
      </c>
      <c r="L5" s="204">
        <v>30643</v>
      </c>
      <c r="M5" s="204">
        <v>28774</v>
      </c>
      <c r="N5" s="204">
        <v>31073</v>
      </c>
      <c r="O5" s="204">
        <v>34357</v>
      </c>
      <c r="P5" s="204">
        <v>36613</v>
      </c>
      <c r="Q5" s="204">
        <v>38095</v>
      </c>
      <c r="R5" s="204">
        <v>39231</v>
      </c>
      <c r="S5" s="204">
        <v>38428</v>
      </c>
      <c r="T5" s="204">
        <v>38186</v>
      </c>
      <c r="U5" s="204">
        <v>38030</v>
      </c>
      <c r="V5" s="204">
        <v>38470</v>
      </c>
      <c r="W5" s="204">
        <v>37790</v>
      </c>
      <c r="X5" s="204">
        <v>37526</v>
      </c>
      <c r="Y5" s="204">
        <v>41809</v>
      </c>
      <c r="Z5" s="204">
        <v>42466</v>
      </c>
      <c r="AA5" s="204">
        <v>41481</v>
      </c>
      <c r="AB5" s="204">
        <v>40097</v>
      </c>
      <c r="AC5" s="204">
        <v>37958</v>
      </c>
      <c r="AD5" s="204">
        <v>36019</v>
      </c>
    </row>
    <row r="6" spans="2:30" x14ac:dyDescent="0.25">
      <c r="B6" s="198">
        <v>2035</v>
      </c>
      <c r="C6" s="199">
        <v>1</v>
      </c>
      <c r="D6" s="200"/>
      <c r="E6" s="201" t="s">
        <v>21</v>
      </c>
      <c r="F6" s="202">
        <v>4</v>
      </c>
      <c r="G6" s="203">
        <v>36298</v>
      </c>
      <c r="H6" s="204">
        <v>34792</v>
      </c>
      <c r="I6" s="204">
        <v>33656</v>
      </c>
      <c r="J6" s="204">
        <v>32837</v>
      </c>
      <c r="K6" s="204">
        <v>32373</v>
      </c>
      <c r="L6" s="204">
        <v>31851</v>
      </c>
      <c r="M6" s="204">
        <v>29321</v>
      </c>
      <c r="N6" s="204">
        <v>30599</v>
      </c>
      <c r="O6" s="204">
        <v>32500</v>
      </c>
      <c r="P6" s="204">
        <v>33942</v>
      </c>
      <c r="Q6" s="204">
        <v>35308</v>
      </c>
      <c r="R6" s="204">
        <v>36323</v>
      </c>
      <c r="S6" s="204">
        <v>36569</v>
      </c>
      <c r="T6" s="204">
        <v>36510</v>
      </c>
      <c r="U6" s="204">
        <v>36318</v>
      </c>
      <c r="V6" s="204">
        <v>36457</v>
      </c>
      <c r="W6" s="204">
        <v>36678</v>
      </c>
      <c r="X6" s="204">
        <v>36902</v>
      </c>
      <c r="Y6" s="204">
        <v>42005</v>
      </c>
      <c r="Z6" s="204">
        <v>43548</v>
      </c>
      <c r="AA6" s="204">
        <v>43316</v>
      </c>
      <c r="AB6" s="204">
        <v>41802</v>
      </c>
      <c r="AC6" s="204">
        <v>39663</v>
      </c>
      <c r="AD6" s="204">
        <v>37250</v>
      </c>
    </row>
    <row r="7" spans="2:30" ht="15.75" thickBot="1" x14ac:dyDescent="0.3">
      <c r="B7" s="198">
        <v>2035</v>
      </c>
      <c r="C7" s="205">
        <v>1</v>
      </c>
      <c r="D7" s="206"/>
      <c r="E7" s="201" t="s">
        <v>22</v>
      </c>
      <c r="F7" s="202">
        <v>2</v>
      </c>
      <c r="G7" s="207">
        <v>32367</v>
      </c>
      <c r="H7" s="208">
        <v>31538</v>
      </c>
      <c r="I7" s="208">
        <v>30806</v>
      </c>
      <c r="J7" s="208">
        <v>30231</v>
      </c>
      <c r="K7" s="208">
        <v>29813</v>
      </c>
      <c r="L7" s="208">
        <v>29115</v>
      </c>
      <c r="M7" s="208">
        <v>26922</v>
      </c>
      <c r="N7" s="208">
        <v>28114</v>
      </c>
      <c r="O7" s="208">
        <v>30078</v>
      </c>
      <c r="P7" s="208">
        <v>31845</v>
      </c>
      <c r="Q7" s="208">
        <v>32985</v>
      </c>
      <c r="R7" s="208">
        <v>33921</v>
      </c>
      <c r="S7" s="208">
        <v>33955</v>
      </c>
      <c r="T7" s="208">
        <v>33578</v>
      </c>
      <c r="U7" s="208">
        <v>33504</v>
      </c>
      <c r="V7" s="208">
        <v>33489</v>
      </c>
      <c r="W7" s="208">
        <v>33431</v>
      </c>
      <c r="X7" s="208">
        <v>33888</v>
      </c>
      <c r="Y7" s="208">
        <v>38961</v>
      </c>
      <c r="Z7" s="208">
        <v>40065</v>
      </c>
      <c r="AA7" s="208">
        <v>39828</v>
      </c>
      <c r="AB7" s="208">
        <v>38622</v>
      </c>
      <c r="AC7" s="208">
        <v>36893</v>
      </c>
      <c r="AD7" s="208">
        <v>35082</v>
      </c>
    </row>
    <row r="8" spans="2:30" x14ac:dyDescent="0.25">
      <c r="B8" s="198">
        <v>2035</v>
      </c>
      <c r="C8" s="209">
        <v>2</v>
      </c>
      <c r="D8" s="210">
        <v>27113736</v>
      </c>
      <c r="E8" s="201" t="s">
        <v>19</v>
      </c>
      <c r="F8" s="202">
        <v>20</v>
      </c>
      <c r="G8" s="203">
        <v>37948</v>
      </c>
      <c r="H8" s="204">
        <v>36534</v>
      </c>
      <c r="I8" s="204">
        <v>35387</v>
      </c>
      <c r="J8" s="204">
        <v>34516</v>
      </c>
      <c r="K8" s="204">
        <v>34084</v>
      </c>
      <c r="L8" s="204">
        <v>34815</v>
      </c>
      <c r="M8" s="204">
        <v>32982</v>
      </c>
      <c r="N8" s="204">
        <v>35306</v>
      </c>
      <c r="O8" s="204">
        <v>38772</v>
      </c>
      <c r="P8" s="204">
        <v>40939</v>
      </c>
      <c r="Q8" s="204">
        <v>42647</v>
      </c>
      <c r="R8" s="204">
        <v>43795</v>
      </c>
      <c r="S8" s="204">
        <v>41392</v>
      </c>
      <c r="T8" s="204">
        <v>43397</v>
      </c>
      <c r="U8" s="204">
        <v>46980</v>
      </c>
      <c r="V8" s="204">
        <v>47511</v>
      </c>
      <c r="W8" s="204">
        <v>46481</v>
      </c>
      <c r="X8" s="204">
        <v>44513</v>
      </c>
      <c r="Y8" s="204">
        <v>47372</v>
      </c>
      <c r="Z8" s="204">
        <v>48369</v>
      </c>
      <c r="AA8" s="204">
        <v>47786</v>
      </c>
      <c r="AB8" s="204">
        <v>46073</v>
      </c>
      <c r="AC8" s="204">
        <v>43118</v>
      </c>
      <c r="AD8" s="204">
        <v>40308</v>
      </c>
    </row>
    <row r="9" spans="2:30" x14ac:dyDescent="0.25">
      <c r="B9" s="198">
        <v>2035</v>
      </c>
      <c r="C9" s="199">
        <v>2</v>
      </c>
      <c r="D9" s="200"/>
      <c r="E9" s="201" t="s">
        <v>20</v>
      </c>
      <c r="F9" s="202">
        <v>4</v>
      </c>
      <c r="G9" s="203">
        <v>37208</v>
      </c>
      <c r="H9" s="204">
        <v>35851</v>
      </c>
      <c r="I9" s="204">
        <v>34826</v>
      </c>
      <c r="J9" s="204">
        <v>33988</v>
      </c>
      <c r="K9" s="204">
        <v>33517</v>
      </c>
      <c r="L9" s="204">
        <v>33179</v>
      </c>
      <c r="M9" s="204">
        <v>31213</v>
      </c>
      <c r="N9" s="204">
        <v>33249</v>
      </c>
      <c r="O9" s="204">
        <v>36615</v>
      </c>
      <c r="P9" s="204">
        <v>39108</v>
      </c>
      <c r="Q9" s="204">
        <v>40852</v>
      </c>
      <c r="R9" s="204">
        <v>41796</v>
      </c>
      <c r="S9" s="204">
        <v>41049</v>
      </c>
      <c r="T9" s="204">
        <v>40647</v>
      </c>
      <c r="U9" s="204">
        <v>41299</v>
      </c>
      <c r="V9" s="204">
        <v>41247</v>
      </c>
      <c r="W9" s="204">
        <v>40684</v>
      </c>
      <c r="X9" s="204">
        <v>39958</v>
      </c>
      <c r="Y9" s="204">
        <v>44133</v>
      </c>
      <c r="Z9" s="204">
        <v>45063</v>
      </c>
      <c r="AA9" s="204">
        <v>44292</v>
      </c>
      <c r="AB9" s="204">
        <v>42504</v>
      </c>
      <c r="AC9" s="204">
        <v>40445</v>
      </c>
      <c r="AD9" s="204">
        <v>38379</v>
      </c>
    </row>
    <row r="10" spans="2:30" ht="15.75" thickBot="1" x14ac:dyDescent="0.3">
      <c r="B10" s="198">
        <v>2035</v>
      </c>
      <c r="C10" s="205">
        <v>2</v>
      </c>
      <c r="D10" s="200"/>
      <c r="E10" s="201" t="s">
        <v>21</v>
      </c>
      <c r="F10" s="202">
        <v>4</v>
      </c>
      <c r="G10" s="207">
        <v>36739</v>
      </c>
      <c r="H10" s="208">
        <v>35507</v>
      </c>
      <c r="I10" s="208">
        <v>34453</v>
      </c>
      <c r="J10" s="208">
        <v>33690</v>
      </c>
      <c r="K10" s="208">
        <v>33203</v>
      </c>
      <c r="L10" s="208">
        <v>32683</v>
      </c>
      <c r="M10" s="208">
        <v>29912</v>
      </c>
      <c r="N10" s="208">
        <v>31254</v>
      </c>
      <c r="O10" s="208">
        <v>32899</v>
      </c>
      <c r="P10" s="208">
        <v>34507</v>
      </c>
      <c r="Q10" s="208">
        <v>35951</v>
      </c>
      <c r="R10" s="208">
        <v>37302</v>
      </c>
      <c r="S10" s="208">
        <v>37569</v>
      </c>
      <c r="T10" s="208">
        <v>37692</v>
      </c>
      <c r="U10" s="208">
        <v>38099</v>
      </c>
      <c r="V10" s="208">
        <v>38487</v>
      </c>
      <c r="W10" s="208">
        <v>38249</v>
      </c>
      <c r="X10" s="208">
        <v>38256</v>
      </c>
      <c r="Y10" s="208">
        <v>42881</v>
      </c>
      <c r="Z10" s="208">
        <v>44833</v>
      </c>
      <c r="AA10" s="208">
        <v>45074</v>
      </c>
      <c r="AB10" s="208">
        <v>43522</v>
      </c>
      <c r="AC10" s="208">
        <v>41033</v>
      </c>
      <c r="AD10" s="208">
        <v>38412</v>
      </c>
    </row>
    <row r="11" spans="2:30" x14ac:dyDescent="0.25">
      <c r="B11" s="198">
        <v>2035</v>
      </c>
      <c r="C11" s="209">
        <v>3</v>
      </c>
      <c r="D11" s="210">
        <v>28948124</v>
      </c>
      <c r="E11" s="201" t="s">
        <v>19</v>
      </c>
      <c r="F11" s="202">
        <v>19</v>
      </c>
      <c r="G11" s="203">
        <v>39386</v>
      </c>
      <c r="H11" s="204">
        <v>37855</v>
      </c>
      <c r="I11" s="204">
        <v>36796</v>
      </c>
      <c r="J11" s="204">
        <v>35891</v>
      </c>
      <c r="K11" s="204">
        <v>35472</v>
      </c>
      <c r="L11" s="204">
        <v>35810</v>
      </c>
      <c r="M11" s="204">
        <v>34080</v>
      </c>
      <c r="N11" s="204">
        <v>36685</v>
      </c>
      <c r="O11" s="204">
        <v>40223</v>
      </c>
      <c r="P11" s="204">
        <v>42513</v>
      </c>
      <c r="Q11" s="204">
        <v>44428</v>
      </c>
      <c r="R11" s="204">
        <v>45741</v>
      </c>
      <c r="S11" s="204">
        <v>43167</v>
      </c>
      <c r="T11" s="204">
        <v>45025</v>
      </c>
      <c r="U11" s="204">
        <v>48270</v>
      </c>
      <c r="V11" s="204">
        <v>48784</v>
      </c>
      <c r="W11" s="204">
        <v>47614</v>
      </c>
      <c r="X11" s="204">
        <v>45695</v>
      </c>
      <c r="Y11" s="204">
        <v>49084</v>
      </c>
      <c r="Z11" s="204">
        <v>50002</v>
      </c>
      <c r="AA11" s="204">
        <v>49264</v>
      </c>
      <c r="AB11" s="204">
        <v>47365</v>
      </c>
      <c r="AC11" s="204">
        <v>44343</v>
      </c>
      <c r="AD11" s="204">
        <v>41696</v>
      </c>
    </row>
    <row r="12" spans="2:30" x14ac:dyDescent="0.25">
      <c r="B12" s="198">
        <v>2035</v>
      </c>
      <c r="C12" s="199">
        <v>3</v>
      </c>
      <c r="D12" s="200"/>
      <c r="E12" s="201" t="s">
        <v>20</v>
      </c>
      <c r="F12" s="202">
        <v>5</v>
      </c>
      <c r="G12" s="203">
        <v>33352</v>
      </c>
      <c r="H12" s="204">
        <v>32177</v>
      </c>
      <c r="I12" s="204">
        <v>31250</v>
      </c>
      <c r="J12" s="204">
        <v>30469</v>
      </c>
      <c r="K12" s="204">
        <v>29925</v>
      </c>
      <c r="L12" s="204">
        <v>29537</v>
      </c>
      <c r="M12" s="204">
        <v>27943</v>
      </c>
      <c r="N12" s="204">
        <v>29732</v>
      </c>
      <c r="O12" s="204">
        <v>32806</v>
      </c>
      <c r="P12" s="204">
        <v>34956</v>
      </c>
      <c r="Q12" s="204">
        <v>36676</v>
      </c>
      <c r="R12" s="204">
        <v>37560</v>
      </c>
      <c r="S12" s="204">
        <v>36495</v>
      </c>
      <c r="T12" s="204">
        <v>36013</v>
      </c>
      <c r="U12" s="204">
        <v>36250</v>
      </c>
      <c r="V12" s="204">
        <v>36480</v>
      </c>
      <c r="W12" s="204">
        <v>35753</v>
      </c>
      <c r="X12" s="204">
        <v>35487</v>
      </c>
      <c r="Y12" s="204">
        <v>39587</v>
      </c>
      <c r="Z12" s="204">
        <v>40203</v>
      </c>
      <c r="AA12" s="204">
        <v>39389</v>
      </c>
      <c r="AB12" s="204">
        <v>38140</v>
      </c>
      <c r="AC12" s="204">
        <v>36333</v>
      </c>
      <c r="AD12" s="204">
        <v>34705</v>
      </c>
    </row>
    <row r="13" spans="2:30" x14ac:dyDescent="0.25">
      <c r="B13" s="198">
        <v>2035</v>
      </c>
      <c r="C13" s="199">
        <v>3</v>
      </c>
      <c r="D13" s="200"/>
      <c r="E13" s="201" t="s">
        <v>21</v>
      </c>
      <c r="F13" s="202">
        <v>4</v>
      </c>
      <c r="G13" s="203">
        <v>41198</v>
      </c>
      <c r="H13" s="204">
        <v>39872</v>
      </c>
      <c r="I13" s="204">
        <v>38702</v>
      </c>
      <c r="J13" s="204">
        <v>37830</v>
      </c>
      <c r="K13" s="204">
        <v>37184</v>
      </c>
      <c r="L13" s="204">
        <v>36301</v>
      </c>
      <c r="M13" s="204">
        <v>33975</v>
      </c>
      <c r="N13" s="204">
        <v>35444</v>
      </c>
      <c r="O13" s="204">
        <v>36299</v>
      </c>
      <c r="P13" s="204">
        <v>36710</v>
      </c>
      <c r="Q13" s="204">
        <v>39596</v>
      </c>
      <c r="R13" s="204">
        <v>41207</v>
      </c>
      <c r="S13" s="204">
        <v>41837</v>
      </c>
      <c r="T13" s="204">
        <v>41771</v>
      </c>
      <c r="U13" s="204">
        <v>42514</v>
      </c>
      <c r="V13" s="204">
        <v>41932</v>
      </c>
      <c r="W13" s="204">
        <v>41216</v>
      </c>
      <c r="X13" s="204">
        <v>42406</v>
      </c>
      <c r="Y13" s="204">
        <v>47806</v>
      </c>
      <c r="Z13" s="204">
        <v>49539</v>
      </c>
      <c r="AA13" s="204">
        <v>49544</v>
      </c>
      <c r="AB13" s="204">
        <v>48071</v>
      </c>
      <c r="AC13" s="204">
        <v>45740</v>
      </c>
      <c r="AD13" s="204">
        <v>42726</v>
      </c>
    </row>
    <row r="14" spans="2:30" ht="15.75" thickBot="1" x14ac:dyDescent="0.3">
      <c r="B14" s="198">
        <v>2035</v>
      </c>
      <c r="C14" s="205">
        <v>3</v>
      </c>
      <c r="D14" s="206"/>
      <c r="E14" s="201" t="s">
        <v>22</v>
      </c>
      <c r="F14" s="202">
        <v>3</v>
      </c>
      <c r="G14" s="207">
        <v>18323</v>
      </c>
      <c r="H14" s="208">
        <v>17550</v>
      </c>
      <c r="I14" s="208">
        <v>17016</v>
      </c>
      <c r="J14" s="208">
        <v>16627</v>
      </c>
      <c r="K14" s="208">
        <v>16424</v>
      </c>
      <c r="L14" s="208">
        <v>15964</v>
      </c>
      <c r="M14" s="208">
        <v>15180</v>
      </c>
      <c r="N14" s="208">
        <v>15923</v>
      </c>
      <c r="O14" s="208">
        <v>16854</v>
      </c>
      <c r="P14" s="208">
        <v>17674</v>
      </c>
      <c r="Q14" s="208">
        <v>18499</v>
      </c>
      <c r="R14" s="208">
        <v>19392</v>
      </c>
      <c r="S14" s="208">
        <v>19641</v>
      </c>
      <c r="T14" s="208">
        <v>19719</v>
      </c>
      <c r="U14" s="208">
        <v>19706</v>
      </c>
      <c r="V14" s="208">
        <v>19685</v>
      </c>
      <c r="W14" s="208">
        <v>19464</v>
      </c>
      <c r="X14" s="208">
        <v>19438</v>
      </c>
      <c r="Y14" s="208">
        <v>21868</v>
      </c>
      <c r="Z14" s="208">
        <v>22667</v>
      </c>
      <c r="AA14" s="208">
        <v>22599</v>
      </c>
      <c r="AB14" s="208">
        <v>21878</v>
      </c>
      <c r="AC14" s="208">
        <v>20624</v>
      </c>
      <c r="AD14" s="208">
        <v>19206</v>
      </c>
    </row>
    <row r="15" spans="2:30" x14ac:dyDescent="0.25">
      <c r="B15" s="198">
        <v>2035</v>
      </c>
      <c r="C15" s="209">
        <v>4</v>
      </c>
      <c r="D15" s="210">
        <v>26928204</v>
      </c>
      <c r="E15" s="201" t="s">
        <v>19</v>
      </c>
      <c r="F15" s="202">
        <v>21</v>
      </c>
      <c r="G15" s="203">
        <v>33922</v>
      </c>
      <c r="H15" s="204">
        <v>32821</v>
      </c>
      <c r="I15" s="204">
        <v>31979</v>
      </c>
      <c r="J15" s="204">
        <v>31243</v>
      </c>
      <c r="K15" s="204">
        <v>31039</v>
      </c>
      <c r="L15" s="204">
        <v>30907</v>
      </c>
      <c r="M15" s="204">
        <v>30071</v>
      </c>
      <c r="N15" s="204">
        <v>32679</v>
      </c>
      <c r="O15" s="204">
        <v>36130</v>
      </c>
      <c r="P15" s="204">
        <v>38963</v>
      </c>
      <c r="Q15" s="204">
        <v>40739</v>
      </c>
      <c r="R15" s="204">
        <v>40877</v>
      </c>
      <c r="S15" s="204">
        <v>39161</v>
      </c>
      <c r="T15" s="204">
        <v>41139</v>
      </c>
      <c r="U15" s="204">
        <v>43981</v>
      </c>
      <c r="V15" s="204">
        <v>43880</v>
      </c>
      <c r="W15" s="204">
        <v>41956</v>
      </c>
      <c r="X15" s="204">
        <v>41101</v>
      </c>
      <c r="Y15" s="204">
        <v>44177</v>
      </c>
      <c r="Z15" s="204">
        <v>44695</v>
      </c>
      <c r="AA15" s="204">
        <v>43418</v>
      </c>
      <c r="AB15" s="204">
        <v>41502</v>
      </c>
      <c r="AC15" s="204">
        <v>38804</v>
      </c>
      <c r="AD15" s="204">
        <v>35910</v>
      </c>
    </row>
    <row r="16" spans="2:30" x14ac:dyDescent="0.25">
      <c r="B16" s="198">
        <v>2035</v>
      </c>
      <c r="C16" s="199">
        <v>4</v>
      </c>
      <c r="D16" s="200"/>
      <c r="E16" s="201" t="s">
        <v>20</v>
      </c>
      <c r="F16" s="202">
        <v>4</v>
      </c>
      <c r="G16" s="203">
        <v>40505</v>
      </c>
      <c r="H16" s="204">
        <v>38936</v>
      </c>
      <c r="I16" s="204">
        <v>37725</v>
      </c>
      <c r="J16" s="204">
        <v>36833</v>
      </c>
      <c r="K16" s="204">
        <v>36335</v>
      </c>
      <c r="L16" s="204">
        <v>35445</v>
      </c>
      <c r="M16" s="204">
        <v>34146</v>
      </c>
      <c r="N16" s="204">
        <v>36766</v>
      </c>
      <c r="O16" s="204">
        <v>40055</v>
      </c>
      <c r="P16" s="204">
        <v>42250</v>
      </c>
      <c r="Q16" s="204">
        <v>44134</v>
      </c>
      <c r="R16" s="204">
        <v>45719</v>
      </c>
      <c r="S16" s="204">
        <v>45141</v>
      </c>
      <c r="T16" s="204">
        <v>44918</v>
      </c>
      <c r="U16" s="204">
        <v>45780</v>
      </c>
      <c r="V16" s="204">
        <v>45882</v>
      </c>
      <c r="W16" s="204">
        <v>45200</v>
      </c>
      <c r="X16" s="204">
        <v>44889</v>
      </c>
      <c r="Y16" s="204">
        <v>50184</v>
      </c>
      <c r="Z16" s="204">
        <v>50872</v>
      </c>
      <c r="AA16" s="204">
        <v>49492</v>
      </c>
      <c r="AB16" s="204">
        <v>47779</v>
      </c>
      <c r="AC16" s="204">
        <v>44959</v>
      </c>
      <c r="AD16" s="204">
        <v>42685</v>
      </c>
    </row>
    <row r="17" spans="2:30" ht="15.75" thickBot="1" x14ac:dyDescent="0.3">
      <c r="B17" s="198">
        <v>2035</v>
      </c>
      <c r="C17" s="205">
        <v>4</v>
      </c>
      <c r="D17" s="200"/>
      <c r="E17" s="201" t="s">
        <v>21</v>
      </c>
      <c r="F17" s="202">
        <v>5</v>
      </c>
      <c r="G17" s="207">
        <v>30443</v>
      </c>
      <c r="H17" s="208">
        <v>29374</v>
      </c>
      <c r="I17" s="208">
        <v>28517</v>
      </c>
      <c r="J17" s="208">
        <v>27786</v>
      </c>
      <c r="K17" s="208">
        <v>27277</v>
      </c>
      <c r="L17" s="208">
        <v>26460</v>
      </c>
      <c r="M17" s="208">
        <v>25127</v>
      </c>
      <c r="N17" s="208">
        <v>26362</v>
      </c>
      <c r="O17" s="208">
        <v>28053</v>
      </c>
      <c r="P17" s="208">
        <v>29010</v>
      </c>
      <c r="Q17" s="208">
        <v>29781</v>
      </c>
      <c r="R17" s="208">
        <v>30911</v>
      </c>
      <c r="S17" s="208">
        <v>31394</v>
      </c>
      <c r="T17" s="208">
        <v>31562</v>
      </c>
      <c r="U17" s="208">
        <v>32030</v>
      </c>
      <c r="V17" s="208">
        <v>32203</v>
      </c>
      <c r="W17" s="208">
        <v>31883</v>
      </c>
      <c r="X17" s="208">
        <v>31866</v>
      </c>
      <c r="Y17" s="208">
        <v>36054</v>
      </c>
      <c r="Z17" s="208">
        <v>37078</v>
      </c>
      <c r="AA17" s="208">
        <v>36680</v>
      </c>
      <c r="AB17" s="208">
        <v>35001</v>
      </c>
      <c r="AC17" s="208">
        <v>32517</v>
      </c>
      <c r="AD17" s="208">
        <v>30373</v>
      </c>
    </row>
    <row r="18" spans="2:30" x14ac:dyDescent="0.25">
      <c r="B18" s="198">
        <v>2035</v>
      </c>
      <c r="C18" s="209">
        <v>5</v>
      </c>
      <c r="D18" s="210">
        <v>25777583</v>
      </c>
      <c r="E18" s="201" t="s">
        <v>19</v>
      </c>
      <c r="F18" s="202">
        <v>20</v>
      </c>
      <c r="G18" s="203">
        <v>33161</v>
      </c>
      <c r="H18" s="204">
        <v>31827</v>
      </c>
      <c r="I18" s="204">
        <v>30912</v>
      </c>
      <c r="J18" s="204">
        <v>30238</v>
      </c>
      <c r="K18" s="204">
        <v>30051</v>
      </c>
      <c r="L18" s="204">
        <v>30006</v>
      </c>
      <c r="M18" s="204">
        <v>29758</v>
      </c>
      <c r="N18" s="204">
        <v>32836</v>
      </c>
      <c r="O18" s="204">
        <v>36015</v>
      </c>
      <c r="P18" s="204">
        <v>37929</v>
      </c>
      <c r="Q18" s="204">
        <v>39495</v>
      </c>
      <c r="R18" s="204">
        <v>40513</v>
      </c>
      <c r="S18" s="204">
        <v>38496</v>
      </c>
      <c r="T18" s="204">
        <v>39843</v>
      </c>
      <c r="U18" s="204">
        <v>42702</v>
      </c>
      <c r="V18" s="204">
        <v>42790</v>
      </c>
      <c r="W18" s="204">
        <v>41694</v>
      </c>
      <c r="X18" s="204">
        <v>40131</v>
      </c>
      <c r="Y18" s="204">
        <v>43498</v>
      </c>
      <c r="Z18" s="204">
        <v>44055</v>
      </c>
      <c r="AA18" s="204">
        <v>43007</v>
      </c>
      <c r="AB18" s="204">
        <v>40896</v>
      </c>
      <c r="AC18" s="204">
        <v>37952</v>
      </c>
      <c r="AD18" s="204">
        <v>35304</v>
      </c>
    </row>
    <row r="19" spans="2:30" x14ac:dyDescent="0.25">
      <c r="B19" s="198">
        <v>2035</v>
      </c>
      <c r="C19" s="199">
        <v>5</v>
      </c>
      <c r="D19" s="200"/>
      <c r="E19" s="201" t="s">
        <v>20</v>
      </c>
      <c r="F19" s="202">
        <v>4</v>
      </c>
      <c r="G19" s="203">
        <v>32835</v>
      </c>
      <c r="H19" s="204">
        <v>31538</v>
      </c>
      <c r="I19" s="204">
        <v>30520</v>
      </c>
      <c r="J19" s="204">
        <v>29785</v>
      </c>
      <c r="K19" s="204">
        <v>29398</v>
      </c>
      <c r="L19" s="204">
        <v>28228</v>
      </c>
      <c r="M19" s="204">
        <v>27626</v>
      </c>
      <c r="N19" s="204">
        <v>29678</v>
      </c>
      <c r="O19" s="204">
        <v>32701</v>
      </c>
      <c r="P19" s="204">
        <v>34403</v>
      </c>
      <c r="Q19" s="204">
        <v>35981</v>
      </c>
      <c r="R19" s="204">
        <v>36999</v>
      </c>
      <c r="S19" s="204">
        <v>35767</v>
      </c>
      <c r="T19" s="204">
        <v>35158</v>
      </c>
      <c r="U19" s="204">
        <v>35353</v>
      </c>
      <c r="V19" s="204">
        <v>35408</v>
      </c>
      <c r="W19" s="204">
        <v>34830</v>
      </c>
      <c r="X19" s="204">
        <v>34894</v>
      </c>
      <c r="Y19" s="204">
        <v>39027</v>
      </c>
      <c r="Z19" s="204">
        <v>39142</v>
      </c>
      <c r="AA19" s="204">
        <v>37905</v>
      </c>
      <c r="AB19" s="204">
        <v>36349</v>
      </c>
      <c r="AC19" s="204">
        <v>34311</v>
      </c>
      <c r="AD19" s="204">
        <v>32126</v>
      </c>
    </row>
    <row r="20" spans="2:30" x14ac:dyDescent="0.25">
      <c r="B20" s="198">
        <v>2035</v>
      </c>
      <c r="C20" s="199">
        <v>5</v>
      </c>
      <c r="D20" s="200"/>
      <c r="E20" s="201" t="s">
        <v>21</v>
      </c>
      <c r="F20" s="202">
        <v>4</v>
      </c>
      <c r="G20" s="203">
        <v>31272</v>
      </c>
      <c r="H20" s="204">
        <v>30096</v>
      </c>
      <c r="I20" s="204">
        <v>29283</v>
      </c>
      <c r="J20" s="204">
        <v>28260</v>
      </c>
      <c r="K20" s="204">
        <v>27933</v>
      </c>
      <c r="L20" s="204">
        <v>26605</v>
      </c>
      <c r="M20" s="204">
        <v>25146</v>
      </c>
      <c r="N20" s="204">
        <v>26555</v>
      </c>
      <c r="O20" s="204">
        <v>28832</v>
      </c>
      <c r="P20" s="204">
        <v>30301</v>
      </c>
      <c r="Q20" s="204">
        <v>31357</v>
      </c>
      <c r="R20" s="204">
        <v>32572</v>
      </c>
      <c r="S20" s="204">
        <v>32765</v>
      </c>
      <c r="T20" s="204">
        <v>32693</v>
      </c>
      <c r="U20" s="204">
        <v>32791</v>
      </c>
      <c r="V20" s="204">
        <v>32911</v>
      </c>
      <c r="W20" s="204">
        <v>32864</v>
      </c>
      <c r="X20" s="204">
        <v>33068</v>
      </c>
      <c r="Y20" s="204">
        <v>37419</v>
      </c>
      <c r="Z20" s="204">
        <v>38526</v>
      </c>
      <c r="AA20" s="204">
        <v>38642</v>
      </c>
      <c r="AB20" s="204">
        <v>37561</v>
      </c>
      <c r="AC20" s="204">
        <v>35434</v>
      </c>
      <c r="AD20" s="204">
        <v>33351</v>
      </c>
    </row>
    <row r="21" spans="2:30" ht="15.75" thickBot="1" x14ac:dyDescent="0.3">
      <c r="B21" s="198">
        <v>2035</v>
      </c>
      <c r="C21" s="205">
        <v>5</v>
      </c>
      <c r="D21" s="206"/>
      <c r="E21" s="201" t="s">
        <v>22</v>
      </c>
      <c r="F21" s="202">
        <v>3</v>
      </c>
      <c r="G21" s="207">
        <v>21229</v>
      </c>
      <c r="H21" s="208">
        <v>20303</v>
      </c>
      <c r="I21" s="208">
        <v>19720</v>
      </c>
      <c r="J21" s="208">
        <v>19154</v>
      </c>
      <c r="K21" s="208">
        <v>18693</v>
      </c>
      <c r="L21" s="208">
        <v>17550</v>
      </c>
      <c r="M21" s="208">
        <v>17370</v>
      </c>
      <c r="N21" s="208">
        <v>18645</v>
      </c>
      <c r="O21" s="208">
        <v>19976</v>
      </c>
      <c r="P21" s="208">
        <v>21208</v>
      </c>
      <c r="Q21" s="208">
        <v>22143</v>
      </c>
      <c r="R21" s="208">
        <v>23394</v>
      </c>
      <c r="S21" s="208">
        <v>23549</v>
      </c>
      <c r="T21" s="208">
        <v>23620</v>
      </c>
      <c r="U21" s="208">
        <v>24000</v>
      </c>
      <c r="V21" s="208">
        <v>24113</v>
      </c>
      <c r="W21" s="208">
        <v>23689</v>
      </c>
      <c r="X21" s="208">
        <v>23529</v>
      </c>
      <c r="Y21" s="208">
        <v>26635</v>
      </c>
      <c r="Z21" s="208">
        <v>27585</v>
      </c>
      <c r="AA21" s="208">
        <v>27258</v>
      </c>
      <c r="AB21" s="208">
        <v>25990</v>
      </c>
      <c r="AC21" s="208">
        <v>24527</v>
      </c>
      <c r="AD21" s="208">
        <v>22989</v>
      </c>
    </row>
    <row r="22" spans="2:30" x14ac:dyDescent="0.25">
      <c r="B22" s="198">
        <v>2035</v>
      </c>
      <c r="C22" s="209">
        <v>6</v>
      </c>
      <c r="D22" s="210">
        <v>23767352</v>
      </c>
      <c r="E22" s="201" t="s">
        <v>19</v>
      </c>
      <c r="F22" s="202">
        <v>20</v>
      </c>
      <c r="G22" s="203">
        <v>28782</v>
      </c>
      <c r="H22" s="204">
        <v>27321</v>
      </c>
      <c r="I22" s="204">
        <v>26599</v>
      </c>
      <c r="J22" s="204">
        <v>26166</v>
      </c>
      <c r="K22" s="204">
        <v>26560</v>
      </c>
      <c r="L22" s="204">
        <v>26372</v>
      </c>
      <c r="M22" s="204">
        <v>26039</v>
      </c>
      <c r="N22" s="204">
        <v>28333</v>
      </c>
      <c r="O22" s="204">
        <v>31248</v>
      </c>
      <c r="P22" s="204">
        <v>32994</v>
      </c>
      <c r="Q22" s="204">
        <v>34679</v>
      </c>
      <c r="R22" s="204">
        <v>35844</v>
      </c>
      <c r="S22" s="204">
        <v>34032</v>
      </c>
      <c r="T22" s="204">
        <v>35051</v>
      </c>
      <c r="U22" s="204">
        <v>37551</v>
      </c>
      <c r="V22" s="204">
        <v>37607</v>
      </c>
      <c r="W22" s="204">
        <v>36717</v>
      </c>
      <c r="X22" s="204">
        <v>35194</v>
      </c>
      <c r="Y22" s="204">
        <v>38126</v>
      </c>
      <c r="Z22" s="204">
        <v>38841</v>
      </c>
      <c r="AA22" s="204">
        <v>37746</v>
      </c>
      <c r="AB22" s="204">
        <v>35871</v>
      </c>
      <c r="AC22" s="204">
        <v>33234</v>
      </c>
      <c r="AD22" s="204">
        <v>30809</v>
      </c>
    </row>
    <row r="23" spans="2:30" x14ac:dyDescent="0.25">
      <c r="B23" s="198">
        <v>2035</v>
      </c>
      <c r="C23" s="199">
        <v>6</v>
      </c>
      <c r="D23" s="200"/>
      <c r="E23" s="201" t="s">
        <v>20</v>
      </c>
      <c r="F23" s="202">
        <v>5</v>
      </c>
      <c r="G23" s="203">
        <v>26282</v>
      </c>
      <c r="H23" s="204">
        <v>25349</v>
      </c>
      <c r="I23" s="204">
        <v>24455</v>
      </c>
      <c r="J23" s="204">
        <v>23807</v>
      </c>
      <c r="K23" s="204">
        <v>23649</v>
      </c>
      <c r="L23" s="204">
        <v>22779</v>
      </c>
      <c r="M23" s="204">
        <v>22321</v>
      </c>
      <c r="N23" s="204">
        <v>24246</v>
      </c>
      <c r="O23" s="204">
        <v>26491</v>
      </c>
      <c r="P23" s="204">
        <v>28429</v>
      </c>
      <c r="Q23" s="204">
        <v>29905</v>
      </c>
      <c r="R23" s="204">
        <v>30698</v>
      </c>
      <c r="S23" s="204">
        <v>30216</v>
      </c>
      <c r="T23" s="204">
        <v>30231</v>
      </c>
      <c r="U23" s="204">
        <v>30614</v>
      </c>
      <c r="V23" s="204">
        <v>29946</v>
      </c>
      <c r="W23" s="204">
        <v>29332</v>
      </c>
      <c r="X23" s="204">
        <v>29326</v>
      </c>
      <c r="Y23" s="204">
        <v>32807</v>
      </c>
      <c r="Z23" s="204">
        <v>33701</v>
      </c>
      <c r="AA23" s="204">
        <v>32934</v>
      </c>
      <c r="AB23" s="204">
        <v>31346</v>
      </c>
      <c r="AC23" s="204">
        <v>29586</v>
      </c>
      <c r="AD23" s="204">
        <v>27969</v>
      </c>
    </row>
    <row r="24" spans="2:30" x14ac:dyDescent="0.25">
      <c r="B24" s="198">
        <v>2035</v>
      </c>
      <c r="C24" s="199">
        <v>6</v>
      </c>
      <c r="D24" s="200"/>
      <c r="E24" s="201" t="s">
        <v>21</v>
      </c>
      <c r="F24" s="202">
        <v>4</v>
      </c>
      <c r="G24" s="203">
        <v>33059</v>
      </c>
      <c r="H24" s="204">
        <v>31801</v>
      </c>
      <c r="I24" s="204">
        <v>30960</v>
      </c>
      <c r="J24" s="204">
        <v>30397</v>
      </c>
      <c r="K24" s="204">
        <v>30004</v>
      </c>
      <c r="L24" s="204">
        <v>27963</v>
      </c>
      <c r="M24" s="204">
        <v>26833</v>
      </c>
      <c r="N24" s="204">
        <v>28158</v>
      </c>
      <c r="O24" s="204">
        <v>29865</v>
      </c>
      <c r="P24" s="204">
        <v>31587</v>
      </c>
      <c r="Q24" s="204">
        <v>32990</v>
      </c>
      <c r="R24" s="204">
        <v>34062</v>
      </c>
      <c r="S24" s="204">
        <v>34488</v>
      </c>
      <c r="T24" s="204">
        <v>34780</v>
      </c>
      <c r="U24" s="204">
        <v>35586</v>
      </c>
      <c r="V24" s="204">
        <v>35522</v>
      </c>
      <c r="W24" s="204">
        <v>35481</v>
      </c>
      <c r="X24" s="204">
        <v>35413</v>
      </c>
      <c r="Y24" s="204">
        <v>39954</v>
      </c>
      <c r="Z24" s="204">
        <v>41585</v>
      </c>
      <c r="AA24" s="204">
        <v>41071</v>
      </c>
      <c r="AB24" s="204">
        <v>39418</v>
      </c>
      <c r="AC24" s="204">
        <v>37134</v>
      </c>
      <c r="AD24" s="204">
        <v>34948</v>
      </c>
    </row>
    <row r="25" spans="2:30" ht="15.75" thickBot="1" x14ac:dyDescent="0.3">
      <c r="B25" s="198">
        <v>2035</v>
      </c>
      <c r="C25" s="205">
        <v>6</v>
      </c>
      <c r="D25" s="206"/>
      <c r="E25" s="201" t="s">
        <v>22</v>
      </c>
      <c r="F25" s="202">
        <v>1</v>
      </c>
      <c r="G25" s="207">
        <v>60293</v>
      </c>
      <c r="H25" s="208">
        <v>58215</v>
      </c>
      <c r="I25" s="208">
        <v>56747</v>
      </c>
      <c r="J25" s="208">
        <v>55444</v>
      </c>
      <c r="K25" s="208">
        <v>54767</v>
      </c>
      <c r="L25" s="208">
        <v>50939</v>
      </c>
      <c r="M25" s="208">
        <v>49174</v>
      </c>
      <c r="N25" s="208">
        <v>52365</v>
      </c>
      <c r="O25" s="208">
        <v>56924</v>
      </c>
      <c r="P25" s="208">
        <v>59717</v>
      </c>
      <c r="Q25" s="208">
        <v>61370</v>
      </c>
      <c r="R25" s="208">
        <v>64629</v>
      </c>
      <c r="S25" s="208">
        <v>65348</v>
      </c>
      <c r="T25" s="208">
        <v>65941</v>
      </c>
      <c r="U25" s="208">
        <v>69346</v>
      </c>
      <c r="V25" s="208">
        <v>68782</v>
      </c>
      <c r="W25" s="208">
        <v>65482</v>
      </c>
      <c r="X25" s="208">
        <v>64702</v>
      </c>
      <c r="Y25" s="208">
        <v>72429</v>
      </c>
      <c r="Z25" s="208">
        <v>74898</v>
      </c>
      <c r="AA25" s="208">
        <v>73885</v>
      </c>
      <c r="AB25" s="208">
        <v>70536</v>
      </c>
      <c r="AC25" s="208">
        <v>65513</v>
      </c>
      <c r="AD25" s="208">
        <v>61255</v>
      </c>
    </row>
    <row r="26" spans="2:30" x14ac:dyDescent="0.25">
      <c r="B26" s="198">
        <v>2035</v>
      </c>
      <c r="C26" s="209">
        <v>7</v>
      </c>
      <c r="D26" s="210">
        <v>24174763</v>
      </c>
      <c r="E26" s="201" t="s">
        <v>19</v>
      </c>
      <c r="F26" s="202">
        <v>20</v>
      </c>
      <c r="G26" s="203">
        <v>29826</v>
      </c>
      <c r="H26" s="204">
        <v>28750</v>
      </c>
      <c r="I26" s="204">
        <v>27916</v>
      </c>
      <c r="J26" s="204">
        <v>27286</v>
      </c>
      <c r="K26" s="204">
        <v>27201</v>
      </c>
      <c r="L26" s="204">
        <v>27261</v>
      </c>
      <c r="M26" s="204">
        <v>26604</v>
      </c>
      <c r="N26" s="204">
        <v>28706</v>
      </c>
      <c r="O26" s="204">
        <v>31316</v>
      </c>
      <c r="P26" s="204">
        <v>33169</v>
      </c>
      <c r="Q26" s="204">
        <v>34598</v>
      </c>
      <c r="R26" s="204">
        <v>35546</v>
      </c>
      <c r="S26" s="204">
        <v>33815</v>
      </c>
      <c r="T26" s="204">
        <v>34553</v>
      </c>
      <c r="U26" s="204">
        <v>37147</v>
      </c>
      <c r="V26" s="204">
        <v>37396</v>
      </c>
      <c r="W26" s="204">
        <v>36888</v>
      </c>
      <c r="X26" s="204">
        <v>35469</v>
      </c>
      <c r="Y26" s="204">
        <v>38282</v>
      </c>
      <c r="Z26" s="204">
        <v>39522</v>
      </c>
      <c r="AA26" s="204">
        <v>38512</v>
      </c>
      <c r="AB26" s="204">
        <v>36635</v>
      </c>
      <c r="AC26" s="204">
        <v>33841</v>
      </c>
      <c r="AD26" s="204">
        <v>31328</v>
      </c>
    </row>
    <row r="27" spans="2:30" x14ac:dyDescent="0.25">
      <c r="B27" s="198">
        <v>2035</v>
      </c>
      <c r="C27" s="199">
        <v>7</v>
      </c>
      <c r="D27" s="200"/>
      <c r="E27" s="201" t="s">
        <v>20</v>
      </c>
      <c r="F27" s="202">
        <v>4</v>
      </c>
      <c r="G27" s="203">
        <v>31329</v>
      </c>
      <c r="H27" s="204">
        <v>30545</v>
      </c>
      <c r="I27" s="204">
        <v>29697</v>
      </c>
      <c r="J27" s="204">
        <v>29132</v>
      </c>
      <c r="K27" s="204">
        <v>28889</v>
      </c>
      <c r="L27" s="204">
        <v>28244</v>
      </c>
      <c r="M27" s="204">
        <v>27625</v>
      </c>
      <c r="N27" s="204">
        <v>30167</v>
      </c>
      <c r="O27" s="204">
        <v>33235</v>
      </c>
      <c r="P27" s="204">
        <v>35085</v>
      </c>
      <c r="Q27" s="204">
        <v>36450</v>
      </c>
      <c r="R27" s="204">
        <v>37507</v>
      </c>
      <c r="S27" s="204">
        <v>37103</v>
      </c>
      <c r="T27" s="204">
        <v>37006</v>
      </c>
      <c r="U27" s="204">
        <v>37810</v>
      </c>
      <c r="V27" s="204">
        <v>36573</v>
      </c>
      <c r="W27" s="204">
        <v>37172</v>
      </c>
      <c r="X27" s="204">
        <v>36464</v>
      </c>
      <c r="Y27" s="204">
        <v>40399</v>
      </c>
      <c r="Z27" s="204">
        <v>41888</v>
      </c>
      <c r="AA27" s="204">
        <v>40912</v>
      </c>
      <c r="AB27" s="204">
        <v>39190</v>
      </c>
      <c r="AC27" s="204">
        <v>36907</v>
      </c>
      <c r="AD27" s="204">
        <v>34654</v>
      </c>
    </row>
    <row r="28" spans="2:30" x14ac:dyDescent="0.25">
      <c r="B28" s="198">
        <v>2035</v>
      </c>
      <c r="C28" s="199">
        <v>7</v>
      </c>
      <c r="D28" s="200"/>
      <c r="E28" s="201" t="s">
        <v>21</v>
      </c>
      <c r="F28" s="202">
        <v>5</v>
      </c>
      <c r="G28" s="203">
        <v>28281</v>
      </c>
      <c r="H28" s="204">
        <v>27196</v>
      </c>
      <c r="I28" s="204">
        <v>26538</v>
      </c>
      <c r="J28" s="204">
        <v>25600</v>
      </c>
      <c r="K28" s="204">
        <v>25464</v>
      </c>
      <c r="L28" s="204">
        <v>24611</v>
      </c>
      <c r="M28" s="204">
        <v>23269</v>
      </c>
      <c r="N28" s="204">
        <v>24943</v>
      </c>
      <c r="O28" s="204">
        <v>27121</v>
      </c>
      <c r="P28" s="204">
        <v>28430</v>
      </c>
      <c r="Q28" s="204">
        <v>29439</v>
      </c>
      <c r="R28" s="204">
        <v>30403</v>
      </c>
      <c r="S28" s="204">
        <v>30114</v>
      </c>
      <c r="T28" s="204">
        <v>29687</v>
      </c>
      <c r="U28" s="204">
        <v>29906</v>
      </c>
      <c r="V28" s="204">
        <v>30259</v>
      </c>
      <c r="W28" s="204">
        <v>30229</v>
      </c>
      <c r="X28" s="204">
        <v>30079</v>
      </c>
      <c r="Y28" s="204">
        <v>33281</v>
      </c>
      <c r="Z28" s="204">
        <v>34883</v>
      </c>
      <c r="AA28" s="204">
        <v>34263</v>
      </c>
      <c r="AB28" s="204">
        <v>32874</v>
      </c>
      <c r="AC28" s="204">
        <v>30882</v>
      </c>
      <c r="AD28" s="204">
        <v>29063</v>
      </c>
    </row>
    <row r="29" spans="2:30" ht="15.75" thickBot="1" x14ac:dyDescent="0.3">
      <c r="B29" s="198">
        <v>2035</v>
      </c>
      <c r="C29" s="205">
        <v>7</v>
      </c>
      <c r="D29" s="206"/>
      <c r="E29" s="201" t="s">
        <v>22</v>
      </c>
      <c r="F29" s="202">
        <v>2</v>
      </c>
      <c r="G29" s="207">
        <v>29156</v>
      </c>
      <c r="H29" s="208">
        <v>28314</v>
      </c>
      <c r="I29" s="208">
        <v>27574</v>
      </c>
      <c r="J29" s="208">
        <v>26868</v>
      </c>
      <c r="K29" s="208">
        <v>26683</v>
      </c>
      <c r="L29" s="208">
        <v>25972</v>
      </c>
      <c r="M29" s="208">
        <v>25456</v>
      </c>
      <c r="N29" s="208">
        <v>26960</v>
      </c>
      <c r="O29" s="208">
        <v>28860</v>
      </c>
      <c r="P29" s="208">
        <v>30455</v>
      </c>
      <c r="Q29" s="208">
        <v>31815</v>
      </c>
      <c r="R29" s="208">
        <v>33101</v>
      </c>
      <c r="S29" s="208">
        <v>35379</v>
      </c>
      <c r="T29" s="208">
        <v>34145</v>
      </c>
      <c r="U29" s="208">
        <v>33899</v>
      </c>
      <c r="V29" s="208">
        <v>34213</v>
      </c>
      <c r="W29" s="208">
        <v>33758</v>
      </c>
      <c r="X29" s="208">
        <v>33446</v>
      </c>
      <c r="Y29" s="208">
        <v>37222</v>
      </c>
      <c r="Z29" s="208">
        <v>38672</v>
      </c>
      <c r="AA29" s="208">
        <v>37881</v>
      </c>
      <c r="AB29" s="208">
        <v>36266</v>
      </c>
      <c r="AC29" s="208">
        <v>33822</v>
      </c>
      <c r="AD29" s="208">
        <v>31791</v>
      </c>
    </row>
    <row r="30" spans="2:30" x14ac:dyDescent="0.25">
      <c r="B30" s="198">
        <v>2035</v>
      </c>
      <c r="C30" s="209">
        <v>8</v>
      </c>
      <c r="D30" s="210">
        <v>26417286</v>
      </c>
      <c r="E30" s="201" t="s">
        <v>19</v>
      </c>
      <c r="F30" s="202">
        <v>21</v>
      </c>
      <c r="G30" s="203">
        <v>31977</v>
      </c>
      <c r="H30" s="204">
        <v>30832</v>
      </c>
      <c r="I30" s="204">
        <v>29939</v>
      </c>
      <c r="J30" s="204">
        <v>29319</v>
      </c>
      <c r="K30" s="204">
        <v>29161</v>
      </c>
      <c r="L30" s="204">
        <v>29104</v>
      </c>
      <c r="M30" s="204">
        <v>28374</v>
      </c>
      <c r="N30" s="204">
        <v>30896</v>
      </c>
      <c r="O30" s="204">
        <v>34327</v>
      </c>
      <c r="P30" s="204">
        <v>36579</v>
      </c>
      <c r="Q30" s="204">
        <v>38418</v>
      </c>
      <c r="R30" s="204">
        <v>39675</v>
      </c>
      <c r="S30" s="204">
        <v>37592</v>
      </c>
      <c r="T30" s="204">
        <v>39111</v>
      </c>
      <c r="U30" s="204">
        <v>41749</v>
      </c>
      <c r="V30" s="204">
        <v>41767</v>
      </c>
      <c r="W30" s="204">
        <v>40606</v>
      </c>
      <c r="X30" s="204">
        <v>38708</v>
      </c>
      <c r="Y30" s="204">
        <v>41707</v>
      </c>
      <c r="Z30" s="204">
        <v>42819</v>
      </c>
      <c r="AA30" s="204">
        <v>41875</v>
      </c>
      <c r="AB30" s="204">
        <v>39871</v>
      </c>
      <c r="AC30" s="204">
        <v>36824</v>
      </c>
      <c r="AD30" s="204">
        <v>34270</v>
      </c>
    </row>
    <row r="31" spans="2:30" x14ac:dyDescent="0.25">
      <c r="B31" s="198">
        <v>2035</v>
      </c>
      <c r="C31" s="199">
        <v>8</v>
      </c>
      <c r="D31" s="200"/>
      <c r="E31" s="201" t="s">
        <v>20</v>
      </c>
      <c r="F31" s="202">
        <v>4</v>
      </c>
      <c r="G31" s="203">
        <v>35695</v>
      </c>
      <c r="H31" s="204">
        <v>34318</v>
      </c>
      <c r="I31" s="204">
        <v>33289</v>
      </c>
      <c r="J31" s="204">
        <v>32518</v>
      </c>
      <c r="K31" s="204">
        <v>31961</v>
      </c>
      <c r="L31" s="204">
        <v>31164</v>
      </c>
      <c r="M31" s="204">
        <v>30130</v>
      </c>
      <c r="N31" s="204">
        <v>32691</v>
      </c>
      <c r="O31" s="204">
        <v>36197</v>
      </c>
      <c r="P31" s="204">
        <v>38653</v>
      </c>
      <c r="Q31" s="204">
        <v>40464</v>
      </c>
      <c r="R31" s="204">
        <v>41720</v>
      </c>
      <c r="S31" s="204">
        <v>41022</v>
      </c>
      <c r="T31" s="204">
        <v>41466</v>
      </c>
      <c r="U31" s="204">
        <v>42043</v>
      </c>
      <c r="V31" s="204">
        <v>41834</v>
      </c>
      <c r="W31" s="204">
        <v>40815</v>
      </c>
      <c r="X31" s="204">
        <v>40348</v>
      </c>
      <c r="Y31" s="204">
        <v>44428</v>
      </c>
      <c r="Z31" s="204">
        <v>45487</v>
      </c>
      <c r="AA31" s="204">
        <v>44590</v>
      </c>
      <c r="AB31" s="204">
        <v>42776</v>
      </c>
      <c r="AC31" s="204">
        <v>40219</v>
      </c>
      <c r="AD31" s="204">
        <v>36918</v>
      </c>
    </row>
    <row r="32" spans="2:30" x14ac:dyDescent="0.25">
      <c r="B32" s="198">
        <v>2035</v>
      </c>
      <c r="C32" s="199">
        <v>8</v>
      </c>
      <c r="D32" s="200"/>
      <c r="E32" s="201" t="s">
        <v>21</v>
      </c>
      <c r="F32" s="202">
        <v>4</v>
      </c>
      <c r="G32" s="203">
        <v>30042</v>
      </c>
      <c r="H32" s="204">
        <v>29182</v>
      </c>
      <c r="I32" s="204">
        <v>28349</v>
      </c>
      <c r="J32" s="204">
        <v>27627</v>
      </c>
      <c r="K32" s="204">
        <v>27191</v>
      </c>
      <c r="L32" s="204">
        <v>25805</v>
      </c>
      <c r="M32" s="204">
        <v>24174</v>
      </c>
      <c r="N32" s="204">
        <v>25512</v>
      </c>
      <c r="O32" s="204">
        <v>27223</v>
      </c>
      <c r="P32" s="204">
        <v>28878</v>
      </c>
      <c r="Q32" s="204">
        <v>30131</v>
      </c>
      <c r="R32" s="204">
        <v>31268</v>
      </c>
      <c r="S32" s="204">
        <v>31529</v>
      </c>
      <c r="T32" s="204">
        <v>31946</v>
      </c>
      <c r="U32" s="204">
        <v>32045</v>
      </c>
      <c r="V32" s="204">
        <v>32103</v>
      </c>
      <c r="W32" s="204">
        <v>31795</v>
      </c>
      <c r="X32" s="204">
        <v>31584</v>
      </c>
      <c r="Y32" s="204">
        <v>35597</v>
      </c>
      <c r="Z32" s="204">
        <v>37154</v>
      </c>
      <c r="AA32" s="204">
        <v>36744</v>
      </c>
      <c r="AB32" s="204">
        <v>35172</v>
      </c>
      <c r="AC32" s="204">
        <v>32896</v>
      </c>
      <c r="AD32" s="204">
        <v>30925</v>
      </c>
    </row>
    <row r="33" spans="2:30" ht="15.75" thickBot="1" x14ac:dyDescent="0.3">
      <c r="B33" s="198">
        <v>2035</v>
      </c>
      <c r="C33" s="205">
        <v>8</v>
      </c>
      <c r="D33" s="206"/>
      <c r="E33" s="201" t="s">
        <v>22</v>
      </c>
      <c r="F33" s="202">
        <v>2</v>
      </c>
      <c r="G33" s="207">
        <v>32080</v>
      </c>
      <c r="H33" s="208">
        <v>30978</v>
      </c>
      <c r="I33" s="208">
        <v>30071</v>
      </c>
      <c r="J33" s="208">
        <v>28817</v>
      </c>
      <c r="K33" s="208">
        <v>28992</v>
      </c>
      <c r="L33" s="208">
        <v>28300</v>
      </c>
      <c r="M33" s="208">
        <v>26881</v>
      </c>
      <c r="N33" s="208">
        <v>28671</v>
      </c>
      <c r="O33" s="208">
        <v>30890</v>
      </c>
      <c r="P33" s="208">
        <v>32896</v>
      </c>
      <c r="Q33" s="208">
        <v>34906</v>
      </c>
      <c r="R33" s="208">
        <v>36571</v>
      </c>
      <c r="S33" s="208">
        <v>36939</v>
      </c>
      <c r="T33" s="208">
        <v>36803</v>
      </c>
      <c r="U33" s="208">
        <v>37076</v>
      </c>
      <c r="V33" s="208">
        <v>36613</v>
      </c>
      <c r="W33" s="208">
        <v>30151</v>
      </c>
      <c r="X33" s="208">
        <v>35474</v>
      </c>
      <c r="Y33" s="208">
        <v>39457</v>
      </c>
      <c r="Z33" s="208">
        <v>40652</v>
      </c>
      <c r="AA33" s="208">
        <v>39747</v>
      </c>
      <c r="AB33" s="208">
        <v>38005</v>
      </c>
      <c r="AC33" s="208">
        <v>35518</v>
      </c>
      <c r="AD33" s="208">
        <v>33169</v>
      </c>
    </row>
    <row r="34" spans="2:30" x14ac:dyDescent="0.25">
      <c r="B34" s="198">
        <v>2035</v>
      </c>
      <c r="C34" s="209">
        <v>9</v>
      </c>
      <c r="D34" s="210">
        <v>26778775</v>
      </c>
      <c r="E34" s="201" t="s">
        <v>19</v>
      </c>
      <c r="F34" s="202">
        <v>20</v>
      </c>
      <c r="G34" s="203">
        <v>36219</v>
      </c>
      <c r="H34" s="204">
        <v>34204</v>
      </c>
      <c r="I34" s="204">
        <v>33167</v>
      </c>
      <c r="J34" s="204">
        <v>32513</v>
      </c>
      <c r="K34" s="204">
        <v>32669</v>
      </c>
      <c r="L34" s="204">
        <v>32243</v>
      </c>
      <c r="M34" s="204">
        <v>31700</v>
      </c>
      <c r="N34" s="204">
        <v>34657</v>
      </c>
      <c r="O34" s="204">
        <v>38562</v>
      </c>
      <c r="P34" s="204">
        <v>41296</v>
      </c>
      <c r="Q34" s="204">
        <v>43289</v>
      </c>
      <c r="R34" s="204">
        <v>44676</v>
      </c>
      <c r="S34" s="204">
        <v>42424</v>
      </c>
      <c r="T34" s="204">
        <v>44307</v>
      </c>
      <c r="U34" s="204">
        <v>46793</v>
      </c>
      <c r="V34" s="204">
        <v>46475</v>
      </c>
      <c r="W34" s="204">
        <v>45313</v>
      </c>
      <c r="X34" s="204">
        <v>44269</v>
      </c>
      <c r="Y34" s="204">
        <v>47597</v>
      </c>
      <c r="Z34" s="204">
        <v>47911</v>
      </c>
      <c r="AA34" s="204">
        <v>46936</v>
      </c>
      <c r="AB34" s="204">
        <v>45036</v>
      </c>
      <c r="AC34" s="204">
        <v>41921</v>
      </c>
      <c r="AD34" s="204">
        <v>39057</v>
      </c>
    </row>
    <row r="35" spans="2:30" x14ac:dyDescent="0.25">
      <c r="B35" s="198">
        <v>2035</v>
      </c>
      <c r="C35" s="199">
        <v>9</v>
      </c>
      <c r="D35" s="200"/>
      <c r="E35" s="201" t="s">
        <v>20</v>
      </c>
      <c r="F35" s="202">
        <v>5</v>
      </c>
      <c r="G35" s="203">
        <v>29639</v>
      </c>
      <c r="H35" s="204">
        <v>28601</v>
      </c>
      <c r="I35" s="204">
        <v>27724</v>
      </c>
      <c r="J35" s="204">
        <v>27087</v>
      </c>
      <c r="K35" s="204">
        <v>26709</v>
      </c>
      <c r="L35" s="204">
        <v>25505</v>
      </c>
      <c r="M35" s="204">
        <v>25139</v>
      </c>
      <c r="N35" s="204">
        <v>27246</v>
      </c>
      <c r="O35" s="204">
        <v>30096</v>
      </c>
      <c r="P35" s="204">
        <v>32259</v>
      </c>
      <c r="Q35" s="204">
        <v>33955</v>
      </c>
      <c r="R35" s="204">
        <v>34895</v>
      </c>
      <c r="S35" s="204">
        <v>34178</v>
      </c>
      <c r="T35" s="204">
        <v>34169</v>
      </c>
      <c r="U35" s="204">
        <v>34721</v>
      </c>
      <c r="V35" s="204">
        <v>34360</v>
      </c>
      <c r="W35" s="204">
        <v>33644</v>
      </c>
      <c r="X35" s="204">
        <v>33697</v>
      </c>
      <c r="Y35" s="204">
        <v>37177</v>
      </c>
      <c r="Z35" s="204">
        <v>37245</v>
      </c>
      <c r="AA35" s="204">
        <v>36444</v>
      </c>
      <c r="AB35" s="204">
        <v>35039</v>
      </c>
      <c r="AC35" s="204">
        <v>33252</v>
      </c>
      <c r="AD35" s="204">
        <v>31385</v>
      </c>
    </row>
    <row r="36" spans="2:30" ht="15.75" thickBot="1" x14ac:dyDescent="0.3">
      <c r="B36" s="198">
        <v>2035</v>
      </c>
      <c r="C36" s="205">
        <v>9</v>
      </c>
      <c r="D36" s="200"/>
      <c r="E36" s="201" t="s">
        <v>21</v>
      </c>
      <c r="F36" s="202">
        <v>5</v>
      </c>
      <c r="G36" s="207">
        <v>30885</v>
      </c>
      <c r="H36" s="208">
        <v>29668</v>
      </c>
      <c r="I36" s="208">
        <v>28641</v>
      </c>
      <c r="J36" s="208">
        <v>26214</v>
      </c>
      <c r="K36" s="208">
        <v>25385</v>
      </c>
      <c r="L36" s="208">
        <v>24178</v>
      </c>
      <c r="M36" s="208">
        <v>23051</v>
      </c>
      <c r="N36" s="208">
        <v>24329</v>
      </c>
      <c r="O36" s="208">
        <v>25830</v>
      </c>
      <c r="P36" s="208">
        <v>27315</v>
      </c>
      <c r="Q36" s="208">
        <v>28358</v>
      </c>
      <c r="R36" s="208">
        <v>29333</v>
      </c>
      <c r="S36" s="208">
        <v>29556</v>
      </c>
      <c r="T36" s="208">
        <v>28937</v>
      </c>
      <c r="U36" s="208">
        <v>28859</v>
      </c>
      <c r="V36" s="208">
        <v>28867</v>
      </c>
      <c r="W36" s="208">
        <v>28377</v>
      </c>
      <c r="X36" s="208">
        <v>28431</v>
      </c>
      <c r="Y36" s="208">
        <v>34757</v>
      </c>
      <c r="Z36" s="208">
        <v>36007</v>
      </c>
      <c r="AA36" s="208">
        <v>35503</v>
      </c>
      <c r="AB36" s="208">
        <v>34107</v>
      </c>
      <c r="AC36" s="208">
        <v>32014</v>
      </c>
      <c r="AD36" s="208">
        <v>30051</v>
      </c>
    </row>
    <row r="37" spans="2:30" x14ac:dyDescent="0.25">
      <c r="B37" s="198">
        <v>2035</v>
      </c>
      <c r="C37" s="209">
        <v>10</v>
      </c>
      <c r="D37" s="210">
        <v>28927685</v>
      </c>
      <c r="E37" s="201" t="s">
        <v>19</v>
      </c>
      <c r="F37" s="202">
        <v>22</v>
      </c>
      <c r="G37" s="203">
        <v>33917</v>
      </c>
      <c r="H37" s="204">
        <v>32664</v>
      </c>
      <c r="I37" s="204">
        <v>31730</v>
      </c>
      <c r="J37" s="204">
        <v>31053</v>
      </c>
      <c r="K37" s="204">
        <v>30579</v>
      </c>
      <c r="L37" s="204">
        <v>29758</v>
      </c>
      <c r="M37" s="204">
        <v>29533</v>
      </c>
      <c r="N37" s="204">
        <v>32619</v>
      </c>
      <c r="O37" s="204">
        <v>36494</v>
      </c>
      <c r="P37" s="204">
        <v>38815</v>
      </c>
      <c r="Q37" s="204">
        <v>40789</v>
      </c>
      <c r="R37" s="204">
        <v>41901</v>
      </c>
      <c r="S37" s="204">
        <v>39984</v>
      </c>
      <c r="T37" s="204">
        <v>41414</v>
      </c>
      <c r="U37" s="204">
        <v>44306</v>
      </c>
      <c r="V37" s="204">
        <v>44260</v>
      </c>
      <c r="W37" s="204">
        <v>42827</v>
      </c>
      <c r="X37" s="204">
        <v>42177</v>
      </c>
      <c r="Y37" s="204">
        <v>44598</v>
      </c>
      <c r="Z37" s="204">
        <v>44233</v>
      </c>
      <c r="AA37" s="204">
        <v>43306</v>
      </c>
      <c r="AB37" s="204">
        <v>41660</v>
      </c>
      <c r="AC37" s="204">
        <v>38847</v>
      </c>
      <c r="AD37" s="204">
        <v>36472</v>
      </c>
    </row>
    <row r="38" spans="2:30" x14ac:dyDescent="0.25">
      <c r="B38" s="198">
        <v>2035</v>
      </c>
      <c r="C38" s="199">
        <v>10</v>
      </c>
      <c r="D38" s="200"/>
      <c r="E38" s="201" t="s">
        <v>20</v>
      </c>
      <c r="F38" s="202">
        <v>4</v>
      </c>
      <c r="G38" s="203">
        <v>39158</v>
      </c>
      <c r="H38" s="204">
        <v>37817</v>
      </c>
      <c r="I38" s="204">
        <v>36655</v>
      </c>
      <c r="J38" s="204">
        <v>35592</v>
      </c>
      <c r="K38" s="204">
        <v>34553</v>
      </c>
      <c r="L38" s="204">
        <v>33544</v>
      </c>
      <c r="M38" s="204">
        <v>33320</v>
      </c>
      <c r="N38" s="204">
        <v>36312</v>
      </c>
      <c r="O38" s="204">
        <v>40299</v>
      </c>
      <c r="P38" s="204">
        <v>42940</v>
      </c>
      <c r="Q38" s="204">
        <v>44904</v>
      </c>
      <c r="R38" s="204">
        <v>45901</v>
      </c>
      <c r="S38" s="204">
        <v>44510</v>
      </c>
      <c r="T38" s="204">
        <v>43917</v>
      </c>
      <c r="U38" s="204">
        <v>44428</v>
      </c>
      <c r="V38" s="204">
        <v>44388</v>
      </c>
      <c r="W38" s="204">
        <v>43304</v>
      </c>
      <c r="X38" s="204">
        <v>44043</v>
      </c>
      <c r="Y38" s="204">
        <v>47962</v>
      </c>
      <c r="Z38" s="204">
        <v>47509</v>
      </c>
      <c r="AA38" s="204">
        <v>46318</v>
      </c>
      <c r="AB38" s="204">
        <v>44825</v>
      </c>
      <c r="AC38" s="204">
        <v>42726</v>
      </c>
      <c r="AD38" s="204">
        <v>40659</v>
      </c>
    </row>
    <row r="39" spans="2:30" x14ac:dyDescent="0.25">
      <c r="B39" s="198">
        <v>2035</v>
      </c>
      <c r="C39" s="199">
        <v>10</v>
      </c>
      <c r="D39" s="200"/>
      <c r="E39" s="201" t="s">
        <v>21</v>
      </c>
      <c r="F39" s="202">
        <v>4</v>
      </c>
      <c r="G39" s="203">
        <v>42453</v>
      </c>
      <c r="H39" s="204">
        <v>40678</v>
      </c>
      <c r="I39" s="204">
        <v>39082</v>
      </c>
      <c r="J39" s="204">
        <v>37925</v>
      </c>
      <c r="K39" s="204">
        <v>37201</v>
      </c>
      <c r="L39" s="204">
        <v>35737</v>
      </c>
      <c r="M39" s="204">
        <v>34453</v>
      </c>
      <c r="N39" s="204">
        <v>35754</v>
      </c>
      <c r="O39" s="204">
        <v>37445</v>
      </c>
      <c r="P39" s="204">
        <v>38979</v>
      </c>
      <c r="Q39" s="204">
        <v>40131</v>
      </c>
      <c r="R39" s="204">
        <v>41496</v>
      </c>
      <c r="S39" s="204">
        <v>42027</v>
      </c>
      <c r="T39" s="204">
        <v>41602</v>
      </c>
      <c r="U39" s="204">
        <v>41973</v>
      </c>
      <c r="V39" s="204">
        <v>42628</v>
      </c>
      <c r="W39" s="204">
        <v>42320</v>
      </c>
      <c r="X39" s="204">
        <v>43989</v>
      </c>
      <c r="Y39" s="204">
        <v>49265</v>
      </c>
      <c r="Z39" s="204">
        <v>49196</v>
      </c>
      <c r="AA39" s="204">
        <v>48462</v>
      </c>
      <c r="AB39" s="204">
        <v>46987</v>
      </c>
      <c r="AC39" s="204">
        <v>44481</v>
      </c>
      <c r="AD39" s="204">
        <v>42095</v>
      </c>
    </row>
    <row r="40" spans="2:30" ht="15.75" thickBot="1" x14ac:dyDescent="0.3">
      <c r="B40" s="198">
        <v>2035</v>
      </c>
      <c r="C40" s="205">
        <v>10</v>
      </c>
      <c r="D40" s="206"/>
      <c r="E40" s="201" t="s">
        <v>22</v>
      </c>
      <c r="F40" s="202">
        <v>1</v>
      </c>
      <c r="G40" s="207">
        <v>34281</v>
      </c>
      <c r="H40" s="208">
        <v>33223</v>
      </c>
      <c r="I40" s="208">
        <v>32309</v>
      </c>
      <c r="J40" s="208">
        <v>31621</v>
      </c>
      <c r="K40" s="208">
        <v>31285</v>
      </c>
      <c r="L40" s="208">
        <v>29963</v>
      </c>
      <c r="M40" s="208">
        <v>29216</v>
      </c>
      <c r="N40" s="208">
        <v>30962</v>
      </c>
      <c r="O40" s="208">
        <v>33253</v>
      </c>
      <c r="P40" s="208">
        <v>35248</v>
      </c>
      <c r="Q40" s="208">
        <v>37185</v>
      </c>
      <c r="R40" s="208">
        <v>38696</v>
      </c>
      <c r="S40" s="208">
        <v>38936</v>
      </c>
      <c r="T40" s="208">
        <v>38363</v>
      </c>
      <c r="U40" s="208">
        <v>37871</v>
      </c>
      <c r="V40" s="208">
        <v>37503</v>
      </c>
      <c r="W40" s="208">
        <v>37265</v>
      </c>
      <c r="X40" s="208">
        <v>38543</v>
      </c>
      <c r="Y40" s="208">
        <v>40804</v>
      </c>
      <c r="Z40" s="208">
        <v>41264</v>
      </c>
      <c r="AA40" s="208">
        <v>39599</v>
      </c>
      <c r="AB40" s="208">
        <v>37378</v>
      </c>
      <c r="AC40" s="208">
        <v>35211</v>
      </c>
      <c r="AD40" s="208">
        <v>33342</v>
      </c>
    </row>
    <row r="41" spans="2:30" x14ac:dyDescent="0.25">
      <c r="B41" s="198">
        <v>2035</v>
      </c>
      <c r="C41" s="209">
        <v>11</v>
      </c>
      <c r="D41" s="210">
        <v>27980750</v>
      </c>
      <c r="E41" s="201" t="s">
        <v>19</v>
      </c>
      <c r="F41" s="202">
        <v>20</v>
      </c>
      <c r="G41" s="203">
        <v>35137</v>
      </c>
      <c r="H41" s="204">
        <v>33847</v>
      </c>
      <c r="I41" s="204">
        <v>32882</v>
      </c>
      <c r="J41" s="204">
        <v>32133</v>
      </c>
      <c r="K41" s="204">
        <v>31748</v>
      </c>
      <c r="L41" s="204">
        <v>30966</v>
      </c>
      <c r="M41" s="204">
        <v>30644</v>
      </c>
      <c r="N41" s="204">
        <v>33560</v>
      </c>
      <c r="O41" s="204">
        <v>37375</v>
      </c>
      <c r="P41" s="204">
        <v>39716</v>
      </c>
      <c r="Q41" s="204">
        <v>41503</v>
      </c>
      <c r="R41" s="204">
        <v>42510</v>
      </c>
      <c r="S41" s="204">
        <v>40478</v>
      </c>
      <c r="T41" s="204">
        <v>41973</v>
      </c>
      <c r="U41" s="204">
        <v>44727</v>
      </c>
      <c r="V41" s="204">
        <v>45197</v>
      </c>
      <c r="W41" s="204">
        <v>43697</v>
      </c>
      <c r="X41" s="204">
        <v>43554</v>
      </c>
      <c r="Y41" s="204">
        <v>46033</v>
      </c>
      <c r="Z41" s="204">
        <v>45596</v>
      </c>
      <c r="AA41" s="204">
        <v>44623</v>
      </c>
      <c r="AB41" s="204">
        <v>42762</v>
      </c>
      <c r="AC41" s="204">
        <v>40056</v>
      </c>
      <c r="AD41" s="204">
        <v>37617</v>
      </c>
    </row>
    <row r="42" spans="2:30" x14ac:dyDescent="0.25">
      <c r="B42" s="198">
        <v>2035</v>
      </c>
      <c r="C42" s="199">
        <v>11</v>
      </c>
      <c r="D42" s="200"/>
      <c r="E42" s="201" t="s">
        <v>20</v>
      </c>
      <c r="F42" s="202">
        <v>4</v>
      </c>
      <c r="G42" s="203">
        <v>39708</v>
      </c>
      <c r="H42" s="204">
        <v>38294</v>
      </c>
      <c r="I42" s="204">
        <v>37083</v>
      </c>
      <c r="J42" s="204">
        <v>36109</v>
      </c>
      <c r="K42" s="204">
        <v>35507</v>
      </c>
      <c r="L42" s="204">
        <v>34094</v>
      </c>
      <c r="M42" s="204">
        <v>33383</v>
      </c>
      <c r="N42" s="204">
        <v>36048</v>
      </c>
      <c r="O42" s="204">
        <v>39521</v>
      </c>
      <c r="P42" s="204">
        <v>42298</v>
      </c>
      <c r="Q42" s="204">
        <v>44083</v>
      </c>
      <c r="R42" s="204">
        <v>45739</v>
      </c>
      <c r="S42" s="204">
        <v>44827</v>
      </c>
      <c r="T42" s="204">
        <v>44094</v>
      </c>
      <c r="U42" s="204">
        <v>44192</v>
      </c>
      <c r="V42" s="204">
        <v>43921</v>
      </c>
      <c r="W42" s="204">
        <v>42792</v>
      </c>
      <c r="X42" s="204">
        <v>44473</v>
      </c>
      <c r="Y42" s="204">
        <v>48182</v>
      </c>
      <c r="Z42" s="204">
        <v>48000</v>
      </c>
      <c r="AA42" s="204">
        <v>46696</v>
      </c>
      <c r="AB42" s="204">
        <v>45021</v>
      </c>
      <c r="AC42" s="204">
        <v>42868</v>
      </c>
      <c r="AD42" s="204">
        <v>40637</v>
      </c>
    </row>
    <row r="43" spans="2:30" x14ac:dyDescent="0.25">
      <c r="B43" s="198">
        <v>2035</v>
      </c>
      <c r="C43" s="199">
        <v>11</v>
      </c>
      <c r="D43" s="200"/>
      <c r="E43" s="201" t="s">
        <v>21</v>
      </c>
      <c r="F43" s="202">
        <v>4</v>
      </c>
      <c r="G43" s="203">
        <v>35399</v>
      </c>
      <c r="H43" s="204">
        <v>34190</v>
      </c>
      <c r="I43" s="204">
        <v>33294</v>
      </c>
      <c r="J43" s="204">
        <v>32692</v>
      </c>
      <c r="K43" s="204">
        <v>32323</v>
      </c>
      <c r="L43" s="204">
        <v>30137</v>
      </c>
      <c r="M43" s="204">
        <v>28890</v>
      </c>
      <c r="N43" s="204">
        <v>30580</v>
      </c>
      <c r="O43" s="204">
        <v>32516</v>
      </c>
      <c r="P43" s="204">
        <v>33877</v>
      </c>
      <c r="Q43" s="204">
        <v>35012</v>
      </c>
      <c r="R43" s="204">
        <v>36080</v>
      </c>
      <c r="S43" s="204">
        <v>36515</v>
      </c>
      <c r="T43" s="204">
        <v>36407</v>
      </c>
      <c r="U43" s="204">
        <v>36423</v>
      </c>
      <c r="V43" s="204">
        <v>36533</v>
      </c>
      <c r="W43" s="204">
        <v>36300</v>
      </c>
      <c r="X43" s="204">
        <v>37948</v>
      </c>
      <c r="Y43" s="204">
        <v>42248</v>
      </c>
      <c r="Z43" s="204">
        <v>43147</v>
      </c>
      <c r="AA43" s="204">
        <v>42855</v>
      </c>
      <c r="AB43" s="204">
        <v>41345</v>
      </c>
      <c r="AC43" s="204">
        <v>39172</v>
      </c>
      <c r="AD43" s="204">
        <v>36857</v>
      </c>
    </row>
    <row r="44" spans="2:30" ht="15.75" thickBot="1" x14ac:dyDescent="0.3">
      <c r="B44" s="198">
        <v>2035</v>
      </c>
      <c r="C44" s="205">
        <v>11</v>
      </c>
      <c r="D44" s="206"/>
      <c r="E44" s="201" t="s">
        <v>22</v>
      </c>
      <c r="F44" s="202">
        <v>2</v>
      </c>
      <c r="G44" s="207">
        <v>36695</v>
      </c>
      <c r="H44" s="208">
        <v>35095</v>
      </c>
      <c r="I44" s="208">
        <v>33975</v>
      </c>
      <c r="J44" s="208">
        <v>33008</v>
      </c>
      <c r="K44" s="208">
        <v>32374</v>
      </c>
      <c r="L44" s="208">
        <v>31066</v>
      </c>
      <c r="M44" s="208">
        <v>30094</v>
      </c>
      <c r="N44" s="208">
        <v>32007</v>
      </c>
      <c r="O44" s="208">
        <v>34306</v>
      </c>
      <c r="P44" s="208">
        <v>36059</v>
      </c>
      <c r="Q44" s="208">
        <v>37421</v>
      </c>
      <c r="R44" s="208">
        <v>38408</v>
      </c>
      <c r="S44" s="208">
        <v>38344</v>
      </c>
      <c r="T44" s="208">
        <v>37748</v>
      </c>
      <c r="U44" s="208">
        <v>38073</v>
      </c>
      <c r="V44" s="208">
        <v>38521</v>
      </c>
      <c r="W44" s="208">
        <v>38241</v>
      </c>
      <c r="X44" s="208">
        <v>40044</v>
      </c>
      <c r="Y44" s="208">
        <v>44114</v>
      </c>
      <c r="Z44" s="208">
        <v>44184</v>
      </c>
      <c r="AA44" s="208">
        <v>43098</v>
      </c>
      <c r="AB44" s="208">
        <v>41577</v>
      </c>
      <c r="AC44" s="208">
        <v>39083</v>
      </c>
      <c r="AD44" s="208">
        <v>36880</v>
      </c>
    </row>
    <row r="45" spans="2:30" x14ac:dyDescent="0.25">
      <c r="B45" s="198">
        <v>2035</v>
      </c>
      <c r="C45" s="209">
        <v>12</v>
      </c>
      <c r="D45" s="210">
        <v>28773284</v>
      </c>
      <c r="E45" s="201" t="s">
        <v>19</v>
      </c>
      <c r="F45" s="202">
        <v>20</v>
      </c>
      <c r="G45" s="203">
        <v>36709</v>
      </c>
      <c r="H45" s="204">
        <v>35248</v>
      </c>
      <c r="I45" s="204">
        <v>34176</v>
      </c>
      <c r="J45" s="204">
        <v>33291</v>
      </c>
      <c r="K45" s="204">
        <v>32930</v>
      </c>
      <c r="L45" s="204">
        <v>32199</v>
      </c>
      <c r="M45" s="204">
        <v>31066</v>
      </c>
      <c r="N45" s="204">
        <v>34161</v>
      </c>
      <c r="O45" s="204">
        <v>38012</v>
      </c>
      <c r="P45" s="204">
        <v>40816</v>
      </c>
      <c r="Q45" s="204">
        <v>42763</v>
      </c>
      <c r="R45" s="204">
        <v>44163</v>
      </c>
      <c r="S45" s="204">
        <v>42262</v>
      </c>
      <c r="T45" s="204">
        <v>43227</v>
      </c>
      <c r="U45" s="204">
        <v>45812</v>
      </c>
      <c r="V45" s="204">
        <v>45990</v>
      </c>
      <c r="W45" s="204">
        <v>44626</v>
      </c>
      <c r="X45" s="204">
        <v>43774</v>
      </c>
      <c r="Y45" s="204">
        <v>46915</v>
      </c>
      <c r="Z45" s="204">
        <v>46347</v>
      </c>
      <c r="AA45" s="204">
        <v>45311</v>
      </c>
      <c r="AB45" s="204">
        <v>43777</v>
      </c>
      <c r="AC45" s="204">
        <v>41495</v>
      </c>
      <c r="AD45" s="204">
        <v>39183</v>
      </c>
    </row>
    <row r="46" spans="2:30" x14ac:dyDescent="0.25">
      <c r="B46" s="198">
        <v>2035</v>
      </c>
      <c r="C46" s="199">
        <v>12</v>
      </c>
      <c r="D46" s="200"/>
      <c r="E46" s="201" t="s">
        <v>20</v>
      </c>
      <c r="F46" s="202">
        <v>4</v>
      </c>
      <c r="G46" s="203">
        <v>43331</v>
      </c>
      <c r="H46" s="204">
        <v>41850</v>
      </c>
      <c r="I46" s="204">
        <v>40087</v>
      </c>
      <c r="J46" s="204">
        <v>39053</v>
      </c>
      <c r="K46" s="204">
        <v>38529</v>
      </c>
      <c r="L46" s="204">
        <v>38097</v>
      </c>
      <c r="M46" s="204">
        <v>36338</v>
      </c>
      <c r="N46" s="204">
        <v>38860</v>
      </c>
      <c r="O46" s="204">
        <v>42694</v>
      </c>
      <c r="P46" s="204">
        <v>45318</v>
      </c>
      <c r="Q46" s="204">
        <v>47117</v>
      </c>
      <c r="R46" s="204">
        <v>47699</v>
      </c>
      <c r="S46" s="204">
        <v>46154</v>
      </c>
      <c r="T46" s="204">
        <v>45213</v>
      </c>
      <c r="U46" s="204">
        <v>45717</v>
      </c>
      <c r="V46" s="204">
        <v>45655</v>
      </c>
      <c r="W46" s="204">
        <v>45476</v>
      </c>
      <c r="X46" s="204">
        <v>46333</v>
      </c>
      <c r="Y46" s="204">
        <v>51325</v>
      </c>
      <c r="Z46" s="204">
        <v>50747</v>
      </c>
      <c r="AA46" s="204">
        <v>49574</v>
      </c>
      <c r="AB46" s="204">
        <v>47762</v>
      </c>
      <c r="AC46" s="204">
        <v>45808</v>
      </c>
      <c r="AD46" s="204">
        <v>43562</v>
      </c>
    </row>
    <row r="47" spans="2:30" x14ac:dyDescent="0.25">
      <c r="B47" s="198">
        <v>2035</v>
      </c>
      <c r="C47" s="199">
        <v>12</v>
      </c>
      <c r="D47" s="200"/>
      <c r="E47" s="201" t="s">
        <v>21</v>
      </c>
      <c r="F47" s="202">
        <v>5</v>
      </c>
      <c r="G47" s="203">
        <v>28799</v>
      </c>
      <c r="H47" s="204">
        <v>27811</v>
      </c>
      <c r="I47" s="204">
        <v>27053</v>
      </c>
      <c r="J47" s="204">
        <v>26125</v>
      </c>
      <c r="K47" s="204">
        <v>25578</v>
      </c>
      <c r="L47" s="204">
        <v>24973</v>
      </c>
      <c r="M47" s="204">
        <v>23528</v>
      </c>
      <c r="N47" s="204">
        <v>25108</v>
      </c>
      <c r="O47" s="204">
        <v>26591</v>
      </c>
      <c r="P47" s="204">
        <v>27971</v>
      </c>
      <c r="Q47" s="204">
        <v>29218</v>
      </c>
      <c r="R47" s="204">
        <v>30015</v>
      </c>
      <c r="S47" s="204">
        <v>30527</v>
      </c>
      <c r="T47" s="204">
        <v>30450</v>
      </c>
      <c r="U47" s="204">
        <v>30346</v>
      </c>
      <c r="V47" s="204">
        <v>30308</v>
      </c>
      <c r="W47" s="204">
        <v>30224</v>
      </c>
      <c r="X47" s="204">
        <v>30954</v>
      </c>
      <c r="Y47" s="204">
        <v>34685</v>
      </c>
      <c r="Z47" s="204">
        <v>34810</v>
      </c>
      <c r="AA47" s="204">
        <v>33856</v>
      </c>
      <c r="AB47" s="204">
        <v>32613</v>
      </c>
      <c r="AC47" s="204">
        <v>31476</v>
      </c>
      <c r="AD47" s="204">
        <v>29669</v>
      </c>
    </row>
    <row r="48" spans="2:30" ht="15.75" thickBot="1" x14ac:dyDescent="0.3">
      <c r="B48" s="198">
        <v>2035</v>
      </c>
      <c r="C48" s="205">
        <v>12</v>
      </c>
      <c r="D48" s="206"/>
      <c r="E48" s="201" t="s">
        <v>22</v>
      </c>
      <c r="F48" s="202">
        <v>2</v>
      </c>
      <c r="G48" s="207">
        <v>35956</v>
      </c>
      <c r="H48" s="208">
        <v>35269</v>
      </c>
      <c r="I48" s="208">
        <v>34513</v>
      </c>
      <c r="J48" s="208">
        <v>33709</v>
      </c>
      <c r="K48" s="208">
        <v>33163</v>
      </c>
      <c r="L48" s="208">
        <v>31943</v>
      </c>
      <c r="M48" s="208">
        <v>29395</v>
      </c>
      <c r="N48" s="208">
        <v>30150</v>
      </c>
      <c r="O48" s="208">
        <v>31989</v>
      </c>
      <c r="P48" s="208">
        <v>33606</v>
      </c>
      <c r="Q48" s="208">
        <v>35065</v>
      </c>
      <c r="R48" s="208">
        <v>36061</v>
      </c>
      <c r="S48" s="208">
        <v>35769</v>
      </c>
      <c r="T48" s="208">
        <v>35983</v>
      </c>
      <c r="U48" s="208">
        <v>36137</v>
      </c>
      <c r="V48" s="208">
        <v>36339</v>
      </c>
      <c r="W48" s="208">
        <v>36273</v>
      </c>
      <c r="X48" s="208">
        <v>36873</v>
      </c>
      <c r="Y48" s="208">
        <v>41715</v>
      </c>
      <c r="Z48" s="208">
        <v>42231</v>
      </c>
      <c r="AA48" s="208">
        <v>42249</v>
      </c>
      <c r="AB48" s="208">
        <v>41221</v>
      </c>
      <c r="AC48" s="208">
        <v>39503</v>
      </c>
      <c r="AD48" s="208">
        <v>37682</v>
      </c>
    </row>
    <row r="49" spans="2:30" x14ac:dyDescent="0.25"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</row>
  </sheetData>
  <mergeCells count="13">
    <mergeCell ref="C37:C40"/>
    <mergeCell ref="C41:C44"/>
    <mergeCell ref="C45:C48"/>
    <mergeCell ref="B4:B48"/>
    <mergeCell ref="C4:C7"/>
    <mergeCell ref="C8:C10"/>
    <mergeCell ref="C11:C14"/>
    <mergeCell ref="C15:C17"/>
    <mergeCell ref="C18:C21"/>
    <mergeCell ref="C22:C25"/>
    <mergeCell ref="C26:C29"/>
    <mergeCell ref="C30:C33"/>
    <mergeCell ref="C34:C3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2964-1971-4807-8E83-DBD174B2FC1D}">
  <dimension ref="B1:AD49"/>
  <sheetViews>
    <sheetView showGridLines="0" workbookViewId="0">
      <selection activeCell="D46" sqref="D46"/>
    </sheetView>
  </sheetViews>
  <sheetFormatPr baseColWidth="10" defaultRowHeight="15" x14ac:dyDescent="0.25"/>
  <cols>
    <col min="1" max="1" width="3.7109375" customWidth="1"/>
    <col min="2" max="2" width="5.140625" bestFit="1" customWidth="1"/>
    <col min="3" max="3" width="4" bestFit="1" customWidth="1"/>
    <col min="4" max="4" width="11.42578125" bestFit="1" customWidth="1"/>
    <col min="5" max="5" width="8.42578125" bestFit="1" customWidth="1"/>
    <col min="6" max="6" width="3.140625" bestFit="1" customWidth="1"/>
    <col min="7" max="30" width="6.5703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2036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" customHeight="1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2036</v>
      </c>
      <c r="C4" s="213">
        <v>1</v>
      </c>
      <c r="D4" s="216">
        <v>21587729</v>
      </c>
      <c r="E4" s="201" t="s">
        <v>19</v>
      </c>
      <c r="F4" s="202">
        <v>21</v>
      </c>
      <c r="G4" s="214">
        <v>26998</v>
      </c>
      <c r="H4" s="215">
        <v>25901</v>
      </c>
      <c r="I4" s="215">
        <v>25065</v>
      </c>
      <c r="J4" s="215">
        <v>24477</v>
      </c>
      <c r="K4" s="215">
        <v>24185</v>
      </c>
      <c r="L4" s="215">
        <v>23988</v>
      </c>
      <c r="M4" s="215">
        <v>22562</v>
      </c>
      <c r="N4" s="215">
        <v>24575</v>
      </c>
      <c r="O4" s="215">
        <v>27336</v>
      </c>
      <c r="P4" s="215">
        <v>29100</v>
      </c>
      <c r="Q4" s="215">
        <v>30522</v>
      </c>
      <c r="R4" s="215">
        <v>31470</v>
      </c>
      <c r="S4" s="215">
        <v>30188</v>
      </c>
      <c r="T4" s="215">
        <v>31459</v>
      </c>
      <c r="U4" s="215">
        <v>33669</v>
      </c>
      <c r="V4" s="215">
        <v>33867</v>
      </c>
      <c r="W4" s="215">
        <v>33073</v>
      </c>
      <c r="X4" s="215">
        <v>31732</v>
      </c>
      <c r="Y4" s="215">
        <v>34088</v>
      </c>
      <c r="Z4" s="215">
        <v>34548</v>
      </c>
      <c r="AA4" s="215">
        <v>33821</v>
      </c>
      <c r="AB4" s="215">
        <v>32649</v>
      </c>
      <c r="AC4" s="215">
        <v>30736</v>
      </c>
      <c r="AD4" s="215">
        <v>28728</v>
      </c>
    </row>
    <row r="5" spans="2:30" x14ac:dyDescent="0.25">
      <c r="B5" s="198">
        <v>2036</v>
      </c>
      <c r="C5" s="199">
        <v>1</v>
      </c>
      <c r="D5" s="217"/>
      <c r="E5" s="201" t="s">
        <v>20</v>
      </c>
      <c r="F5" s="202">
        <v>4</v>
      </c>
      <c r="G5" s="203">
        <v>27600</v>
      </c>
      <c r="H5" s="204">
        <v>26529</v>
      </c>
      <c r="I5" s="204">
        <v>25682</v>
      </c>
      <c r="J5" s="204">
        <v>25012</v>
      </c>
      <c r="K5" s="204">
        <v>24662</v>
      </c>
      <c r="L5" s="204">
        <v>24342</v>
      </c>
      <c r="M5" s="204">
        <v>22857</v>
      </c>
      <c r="N5" s="204">
        <v>24683</v>
      </c>
      <c r="O5" s="204">
        <v>27292</v>
      </c>
      <c r="P5" s="204">
        <v>29084</v>
      </c>
      <c r="Q5" s="204">
        <v>30261</v>
      </c>
      <c r="R5" s="204">
        <v>31163</v>
      </c>
      <c r="S5" s="204">
        <v>30526</v>
      </c>
      <c r="T5" s="204">
        <v>30333</v>
      </c>
      <c r="U5" s="204">
        <v>30210</v>
      </c>
      <c r="V5" s="204">
        <v>30559</v>
      </c>
      <c r="W5" s="204">
        <v>30019</v>
      </c>
      <c r="X5" s="204">
        <v>29809</v>
      </c>
      <c r="Y5" s="204">
        <v>33212</v>
      </c>
      <c r="Z5" s="204">
        <v>33733</v>
      </c>
      <c r="AA5" s="204">
        <v>32951</v>
      </c>
      <c r="AB5" s="204">
        <v>31852</v>
      </c>
      <c r="AC5" s="204">
        <v>30152</v>
      </c>
      <c r="AD5" s="204">
        <v>28612</v>
      </c>
    </row>
    <row r="6" spans="2:30" x14ac:dyDescent="0.25">
      <c r="B6" s="198">
        <v>2036</v>
      </c>
      <c r="C6" s="199">
        <v>1</v>
      </c>
      <c r="D6" s="217"/>
      <c r="E6" s="201" t="s">
        <v>21</v>
      </c>
      <c r="F6" s="202">
        <v>4</v>
      </c>
      <c r="G6" s="203">
        <v>28834</v>
      </c>
      <c r="H6" s="204">
        <v>27638</v>
      </c>
      <c r="I6" s="204">
        <v>26735</v>
      </c>
      <c r="J6" s="204">
        <v>26084</v>
      </c>
      <c r="K6" s="204">
        <v>25716</v>
      </c>
      <c r="L6" s="204">
        <v>25302</v>
      </c>
      <c r="M6" s="204">
        <v>23292</v>
      </c>
      <c r="N6" s="204">
        <v>24307</v>
      </c>
      <c r="O6" s="204">
        <v>25816</v>
      </c>
      <c r="P6" s="204">
        <v>26963</v>
      </c>
      <c r="Q6" s="204">
        <v>28047</v>
      </c>
      <c r="R6" s="204">
        <v>28854</v>
      </c>
      <c r="S6" s="204">
        <v>29049</v>
      </c>
      <c r="T6" s="204">
        <v>29002</v>
      </c>
      <c r="U6" s="204">
        <v>28850</v>
      </c>
      <c r="V6" s="204">
        <v>28960</v>
      </c>
      <c r="W6" s="204">
        <v>29135</v>
      </c>
      <c r="X6" s="204">
        <v>29313</v>
      </c>
      <c r="Y6" s="204">
        <v>33367</v>
      </c>
      <c r="Z6" s="204">
        <v>34593</v>
      </c>
      <c r="AA6" s="204">
        <v>34409</v>
      </c>
      <c r="AB6" s="204">
        <v>33206</v>
      </c>
      <c r="AC6" s="204">
        <v>31507</v>
      </c>
      <c r="AD6" s="204">
        <v>29590</v>
      </c>
    </row>
    <row r="7" spans="2:30" ht="15.75" thickBot="1" x14ac:dyDescent="0.3">
      <c r="B7" s="198">
        <v>2036</v>
      </c>
      <c r="C7" s="205">
        <v>1</v>
      </c>
      <c r="D7" s="218"/>
      <c r="E7" s="201" t="s">
        <v>22</v>
      </c>
      <c r="F7" s="202">
        <v>2</v>
      </c>
      <c r="G7" s="207">
        <v>25711</v>
      </c>
      <c r="H7" s="208">
        <v>25052</v>
      </c>
      <c r="I7" s="208">
        <v>24471</v>
      </c>
      <c r="J7" s="208">
        <v>24014</v>
      </c>
      <c r="K7" s="208">
        <v>23682</v>
      </c>
      <c r="L7" s="208">
        <v>23128</v>
      </c>
      <c r="M7" s="208">
        <v>21386</v>
      </c>
      <c r="N7" s="208">
        <v>22333</v>
      </c>
      <c r="O7" s="208">
        <v>23893</v>
      </c>
      <c r="P7" s="208">
        <v>25297</v>
      </c>
      <c r="Q7" s="208">
        <v>26202</v>
      </c>
      <c r="R7" s="208">
        <v>26946</v>
      </c>
      <c r="S7" s="208">
        <v>26973</v>
      </c>
      <c r="T7" s="208">
        <v>26673</v>
      </c>
      <c r="U7" s="208">
        <v>26614</v>
      </c>
      <c r="V7" s="208">
        <v>26602</v>
      </c>
      <c r="W7" s="208">
        <v>26556</v>
      </c>
      <c r="X7" s="208">
        <v>26920</v>
      </c>
      <c r="Y7" s="208">
        <v>30949</v>
      </c>
      <c r="Z7" s="208">
        <v>31826</v>
      </c>
      <c r="AA7" s="208">
        <v>31637</v>
      </c>
      <c r="AB7" s="208">
        <v>30680</v>
      </c>
      <c r="AC7" s="208">
        <v>29306</v>
      </c>
      <c r="AD7" s="208">
        <v>27867</v>
      </c>
    </row>
    <row r="8" spans="2:30" x14ac:dyDescent="0.25">
      <c r="B8" s="198">
        <v>2036</v>
      </c>
      <c r="C8" s="209">
        <v>2</v>
      </c>
      <c r="D8" s="216">
        <v>21896787</v>
      </c>
      <c r="E8" s="201" t="s">
        <v>19</v>
      </c>
      <c r="F8" s="202">
        <v>21</v>
      </c>
      <c r="G8" s="203">
        <v>29187</v>
      </c>
      <c r="H8" s="204">
        <v>28099</v>
      </c>
      <c r="I8" s="204">
        <v>27217</v>
      </c>
      <c r="J8" s="204">
        <v>26547</v>
      </c>
      <c r="K8" s="204">
        <v>26215</v>
      </c>
      <c r="L8" s="204">
        <v>26778</v>
      </c>
      <c r="M8" s="204">
        <v>25368</v>
      </c>
      <c r="N8" s="204">
        <v>27155</v>
      </c>
      <c r="O8" s="204">
        <v>29820</v>
      </c>
      <c r="P8" s="204">
        <v>31488</v>
      </c>
      <c r="Q8" s="204">
        <v>32802</v>
      </c>
      <c r="R8" s="204">
        <v>33684</v>
      </c>
      <c r="S8" s="204">
        <v>31836</v>
      </c>
      <c r="T8" s="204">
        <v>33378</v>
      </c>
      <c r="U8" s="204">
        <v>36134</v>
      </c>
      <c r="V8" s="204">
        <v>36543</v>
      </c>
      <c r="W8" s="204">
        <v>35750</v>
      </c>
      <c r="X8" s="204">
        <v>34237</v>
      </c>
      <c r="Y8" s="204">
        <v>36435</v>
      </c>
      <c r="Z8" s="204">
        <v>37202</v>
      </c>
      <c r="AA8" s="204">
        <v>36754</v>
      </c>
      <c r="AB8" s="204">
        <v>35436</v>
      </c>
      <c r="AC8" s="204">
        <v>33164</v>
      </c>
      <c r="AD8" s="204">
        <v>31002</v>
      </c>
    </row>
    <row r="9" spans="2:30" x14ac:dyDescent="0.25">
      <c r="B9" s="198">
        <v>2036</v>
      </c>
      <c r="C9" s="199">
        <v>2</v>
      </c>
      <c r="D9" s="217"/>
      <c r="E9" s="201" t="s">
        <v>20</v>
      </c>
      <c r="F9" s="202">
        <v>4</v>
      </c>
      <c r="G9" s="203">
        <v>30049</v>
      </c>
      <c r="H9" s="204">
        <v>28953</v>
      </c>
      <c r="I9" s="204">
        <v>28125</v>
      </c>
      <c r="J9" s="204">
        <v>27448</v>
      </c>
      <c r="K9" s="204">
        <v>27068</v>
      </c>
      <c r="L9" s="204">
        <v>26795</v>
      </c>
      <c r="M9" s="204">
        <v>25207</v>
      </c>
      <c r="N9" s="204">
        <v>26852</v>
      </c>
      <c r="O9" s="204">
        <v>29570</v>
      </c>
      <c r="P9" s="204">
        <v>31583</v>
      </c>
      <c r="Q9" s="204">
        <v>32992</v>
      </c>
      <c r="R9" s="204">
        <v>33754</v>
      </c>
      <c r="S9" s="204">
        <v>33151</v>
      </c>
      <c r="T9" s="204">
        <v>32826</v>
      </c>
      <c r="U9" s="204">
        <v>33352</v>
      </c>
      <c r="V9" s="204">
        <v>33311</v>
      </c>
      <c r="W9" s="204">
        <v>32856</v>
      </c>
      <c r="X9" s="204">
        <v>32269</v>
      </c>
      <c r="Y9" s="204">
        <v>35641</v>
      </c>
      <c r="Z9" s="204">
        <v>36393</v>
      </c>
      <c r="AA9" s="204">
        <v>35770</v>
      </c>
      <c r="AB9" s="204">
        <v>34326</v>
      </c>
      <c r="AC9" s="204">
        <v>32663</v>
      </c>
      <c r="AD9" s="204">
        <v>30994</v>
      </c>
    </row>
    <row r="10" spans="2:30" ht="15.75" thickBot="1" x14ac:dyDescent="0.3">
      <c r="B10" s="198">
        <v>2036</v>
      </c>
      <c r="C10" s="205">
        <v>2</v>
      </c>
      <c r="D10" s="218"/>
      <c r="E10" s="201" t="s">
        <v>21</v>
      </c>
      <c r="F10" s="202">
        <v>4</v>
      </c>
      <c r="G10" s="207">
        <v>29670</v>
      </c>
      <c r="H10" s="208">
        <v>28675</v>
      </c>
      <c r="I10" s="208">
        <v>27824</v>
      </c>
      <c r="J10" s="208">
        <v>27208</v>
      </c>
      <c r="K10" s="208">
        <v>26815</v>
      </c>
      <c r="L10" s="208">
        <v>26394</v>
      </c>
      <c r="M10" s="208">
        <v>24156</v>
      </c>
      <c r="N10" s="208">
        <v>25240</v>
      </c>
      <c r="O10" s="208">
        <v>26569</v>
      </c>
      <c r="P10" s="208">
        <v>27868</v>
      </c>
      <c r="Q10" s="208">
        <v>29034</v>
      </c>
      <c r="R10" s="208">
        <v>30125</v>
      </c>
      <c r="S10" s="208">
        <v>30340</v>
      </c>
      <c r="T10" s="208">
        <v>30440</v>
      </c>
      <c r="U10" s="208">
        <v>30768</v>
      </c>
      <c r="V10" s="208">
        <v>31082</v>
      </c>
      <c r="W10" s="208">
        <v>30889</v>
      </c>
      <c r="X10" s="208">
        <v>30895</v>
      </c>
      <c r="Y10" s="208">
        <v>34630</v>
      </c>
      <c r="Z10" s="208">
        <v>36206</v>
      </c>
      <c r="AA10" s="208">
        <v>36401</v>
      </c>
      <c r="AB10" s="208">
        <v>35148</v>
      </c>
      <c r="AC10" s="208">
        <v>33138</v>
      </c>
      <c r="AD10" s="208">
        <v>31021</v>
      </c>
    </row>
    <row r="11" spans="2:30" x14ac:dyDescent="0.25">
      <c r="B11" s="198">
        <v>2036</v>
      </c>
      <c r="C11" s="209">
        <v>3</v>
      </c>
      <c r="D11" s="216">
        <v>23104539</v>
      </c>
      <c r="E11" s="201" t="s">
        <v>19</v>
      </c>
      <c r="F11" s="202">
        <v>20</v>
      </c>
      <c r="G11" s="203">
        <v>29863</v>
      </c>
      <c r="H11" s="204">
        <v>28703</v>
      </c>
      <c r="I11" s="204">
        <v>27900</v>
      </c>
      <c r="J11" s="204">
        <v>27214</v>
      </c>
      <c r="K11" s="204">
        <v>26896</v>
      </c>
      <c r="L11" s="204">
        <v>27152</v>
      </c>
      <c r="M11" s="204">
        <v>25840</v>
      </c>
      <c r="N11" s="204">
        <v>27815</v>
      </c>
      <c r="O11" s="204">
        <v>30498</v>
      </c>
      <c r="P11" s="204">
        <v>32235</v>
      </c>
      <c r="Q11" s="204">
        <v>33687</v>
      </c>
      <c r="R11" s="204">
        <v>34682</v>
      </c>
      <c r="S11" s="204">
        <v>32730</v>
      </c>
      <c r="T11" s="204">
        <v>34139</v>
      </c>
      <c r="U11" s="204">
        <v>36600</v>
      </c>
      <c r="V11" s="204">
        <v>36990</v>
      </c>
      <c r="W11" s="204">
        <v>36102</v>
      </c>
      <c r="X11" s="204">
        <v>34648</v>
      </c>
      <c r="Y11" s="204">
        <v>37217</v>
      </c>
      <c r="Z11" s="204">
        <v>37913</v>
      </c>
      <c r="AA11" s="204">
        <v>37353</v>
      </c>
      <c r="AB11" s="204">
        <v>35914</v>
      </c>
      <c r="AC11" s="204">
        <v>33622</v>
      </c>
      <c r="AD11" s="204">
        <v>31615</v>
      </c>
    </row>
    <row r="12" spans="2:30" x14ac:dyDescent="0.25">
      <c r="B12" s="198">
        <v>2036</v>
      </c>
      <c r="C12" s="199">
        <v>3</v>
      </c>
      <c r="D12" s="217"/>
      <c r="E12" s="201" t="s">
        <v>20</v>
      </c>
      <c r="F12" s="202">
        <v>5</v>
      </c>
      <c r="G12" s="203">
        <v>26619</v>
      </c>
      <c r="H12" s="204">
        <v>25681</v>
      </c>
      <c r="I12" s="204">
        <v>24941</v>
      </c>
      <c r="J12" s="204">
        <v>24319</v>
      </c>
      <c r="K12" s="204">
        <v>23884</v>
      </c>
      <c r="L12" s="204">
        <v>23575</v>
      </c>
      <c r="M12" s="204">
        <v>22302</v>
      </c>
      <c r="N12" s="204">
        <v>23730</v>
      </c>
      <c r="O12" s="204">
        <v>26184</v>
      </c>
      <c r="P12" s="204">
        <v>27900</v>
      </c>
      <c r="Q12" s="204">
        <v>29272</v>
      </c>
      <c r="R12" s="204">
        <v>29978</v>
      </c>
      <c r="S12" s="204">
        <v>29128</v>
      </c>
      <c r="T12" s="204">
        <v>28743</v>
      </c>
      <c r="U12" s="204">
        <v>28932</v>
      </c>
      <c r="V12" s="204">
        <v>29116</v>
      </c>
      <c r="W12" s="204">
        <v>28536</v>
      </c>
      <c r="X12" s="204">
        <v>28324</v>
      </c>
      <c r="Y12" s="204">
        <v>31596</v>
      </c>
      <c r="Z12" s="204">
        <v>32088</v>
      </c>
      <c r="AA12" s="204">
        <v>31438</v>
      </c>
      <c r="AB12" s="204">
        <v>30441</v>
      </c>
      <c r="AC12" s="204">
        <v>28999</v>
      </c>
      <c r="AD12" s="204">
        <v>27699</v>
      </c>
    </row>
    <row r="13" spans="2:30" x14ac:dyDescent="0.25">
      <c r="B13" s="198">
        <v>2036</v>
      </c>
      <c r="C13" s="199">
        <v>3</v>
      </c>
      <c r="D13" s="217"/>
      <c r="E13" s="201" t="s">
        <v>21</v>
      </c>
      <c r="F13" s="202">
        <v>5</v>
      </c>
      <c r="G13" s="203">
        <v>26305</v>
      </c>
      <c r="H13" s="204">
        <v>25459</v>
      </c>
      <c r="I13" s="204">
        <v>24712</v>
      </c>
      <c r="J13" s="204">
        <v>24155</v>
      </c>
      <c r="K13" s="204">
        <v>23743</v>
      </c>
      <c r="L13" s="204">
        <v>23179</v>
      </c>
      <c r="M13" s="204">
        <v>21693</v>
      </c>
      <c r="N13" s="204">
        <v>22632</v>
      </c>
      <c r="O13" s="204">
        <v>23177</v>
      </c>
      <c r="P13" s="204">
        <v>23440</v>
      </c>
      <c r="Q13" s="204">
        <v>25282</v>
      </c>
      <c r="R13" s="204">
        <v>26311</v>
      </c>
      <c r="S13" s="204">
        <v>26713</v>
      </c>
      <c r="T13" s="204">
        <v>26671</v>
      </c>
      <c r="U13" s="204">
        <v>27145</v>
      </c>
      <c r="V13" s="204">
        <v>26774</v>
      </c>
      <c r="W13" s="204">
        <v>26317</v>
      </c>
      <c r="X13" s="204">
        <v>27076</v>
      </c>
      <c r="Y13" s="204">
        <v>30525</v>
      </c>
      <c r="Z13" s="204">
        <v>31631</v>
      </c>
      <c r="AA13" s="204">
        <v>31634</v>
      </c>
      <c r="AB13" s="204">
        <v>30694</v>
      </c>
      <c r="AC13" s="204">
        <v>29205</v>
      </c>
      <c r="AD13" s="204">
        <v>27281</v>
      </c>
    </row>
    <row r="14" spans="2:30" ht="15.75" thickBot="1" x14ac:dyDescent="0.3">
      <c r="B14" s="198">
        <v>2036</v>
      </c>
      <c r="C14" s="205">
        <v>3</v>
      </c>
      <c r="D14" s="218"/>
      <c r="E14" s="201" t="s">
        <v>22</v>
      </c>
      <c r="F14" s="202">
        <v>1</v>
      </c>
      <c r="G14" s="207">
        <v>43873</v>
      </c>
      <c r="H14" s="208">
        <v>42021</v>
      </c>
      <c r="I14" s="208">
        <v>40744</v>
      </c>
      <c r="J14" s="208">
        <v>39811</v>
      </c>
      <c r="K14" s="208">
        <v>39325</v>
      </c>
      <c r="L14" s="208">
        <v>38223</v>
      </c>
      <c r="M14" s="208">
        <v>36347</v>
      </c>
      <c r="N14" s="208">
        <v>38127</v>
      </c>
      <c r="O14" s="208">
        <v>40354</v>
      </c>
      <c r="P14" s="208">
        <v>42320</v>
      </c>
      <c r="Q14" s="208">
        <v>44294</v>
      </c>
      <c r="R14" s="208">
        <v>46432</v>
      </c>
      <c r="S14" s="208">
        <v>47029</v>
      </c>
      <c r="T14" s="208">
        <v>47216</v>
      </c>
      <c r="U14" s="208">
        <v>47184</v>
      </c>
      <c r="V14" s="208">
        <v>47135</v>
      </c>
      <c r="W14" s="208">
        <v>46605</v>
      </c>
      <c r="X14" s="208">
        <v>46543</v>
      </c>
      <c r="Y14" s="208">
        <v>52362</v>
      </c>
      <c r="Z14" s="208">
        <v>54274</v>
      </c>
      <c r="AA14" s="208">
        <v>54110</v>
      </c>
      <c r="AB14" s="208">
        <v>52385</v>
      </c>
      <c r="AC14" s="208">
        <v>49383</v>
      </c>
      <c r="AD14" s="208">
        <v>45987</v>
      </c>
    </row>
    <row r="15" spans="2:30" x14ac:dyDescent="0.25">
      <c r="B15" s="198">
        <v>2036</v>
      </c>
      <c r="C15" s="209">
        <v>4</v>
      </c>
      <c r="D15" s="216">
        <v>21591346</v>
      </c>
      <c r="E15" s="201" t="s">
        <v>19</v>
      </c>
      <c r="F15" s="202">
        <v>20</v>
      </c>
      <c r="G15" s="203">
        <v>26878</v>
      </c>
      <c r="H15" s="204">
        <v>26006</v>
      </c>
      <c r="I15" s="204">
        <v>25338</v>
      </c>
      <c r="J15" s="204">
        <v>24755</v>
      </c>
      <c r="K15" s="204">
        <v>24593</v>
      </c>
      <c r="L15" s="204">
        <v>24489</v>
      </c>
      <c r="M15" s="204">
        <v>23827</v>
      </c>
      <c r="N15" s="204">
        <v>25893</v>
      </c>
      <c r="O15" s="204">
        <v>28628</v>
      </c>
      <c r="P15" s="204">
        <v>30872</v>
      </c>
      <c r="Q15" s="204">
        <v>32279</v>
      </c>
      <c r="R15" s="204">
        <v>32389</v>
      </c>
      <c r="S15" s="204">
        <v>31029</v>
      </c>
      <c r="T15" s="204">
        <v>32597</v>
      </c>
      <c r="U15" s="204">
        <v>34848</v>
      </c>
      <c r="V15" s="204">
        <v>34768</v>
      </c>
      <c r="W15" s="204">
        <v>33244</v>
      </c>
      <c r="X15" s="204">
        <v>32566</v>
      </c>
      <c r="Y15" s="204">
        <v>35004</v>
      </c>
      <c r="Z15" s="204">
        <v>35414</v>
      </c>
      <c r="AA15" s="204">
        <v>34402</v>
      </c>
      <c r="AB15" s="204">
        <v>32884</v>
      </c>
      <c r="AC15" s="204">
        <v>30746</v>
      </c>
      <c r="AD15" s="204">
        <v>28453</v>
      </c>
    </row>
    <row r="16" spans="2:30" x14ac:dyDescent="0.25">
      <c r="B16" s="198">
        <v>2036</v>
      </c>
      <c r="C16" s="199">
        <v>4</v>
      </c>
      <c r="D16" s="217"/>
      <c r="E16" s="201" t="s">
        <v>20</v>
      </c>
      <c r="F16" s="202">
        <v>4</v>
      </c>
      <c r="G16" s="203">
        <v>32477</v>
      </c>
      <c r="H16" s="204">
        <v>31219</v>
      </c>
      <c r="I16" s="204">
        <v>30248</v>
      </c>
      <c r="J16" s="204">
        <v>29533</v>
      </c>
      <c r="K16" s="204">
        <v>29134</v>
      </c>
      <c r="L16" s="204">
        <v>28420</v>
      </c>
      <c r="M16" s="204">
        <v>27379</v>
      </c>
      <c r="N16" s="204">
        <v>29480</v>
      </c>
      <c r="O16" s="204">
        <v>32117</v>
      </c>
      <c r="P16" s="204">
        <v>33876</v>
      </c>
      <c r="Q16" s="204">
        <v>35387</v>
      </c>
      <c r="R16" s="204">
        <v>36658</v>
      </c>
      <c r="S16" s="204">
        <v>36195</v>
      </c>
      <c r="T16" s="204">
        <v>36015</v>
      </c>
      <c r="U16" s="204">
        <v>36707</v>
      </c>
      <c r="V16" s="204">
        <v>36789</v>
      </c>
      <c r="W16" s="204">
        <v>36242</v>
      </c>
      <c r="X16" s="204">
        <v>35993</v>
      </c>
      <c r="Y16" s="204">
        <v>40238</v>
      </c>
      <c r="Z16" s="204">
        <v>40790</v>
      </c>
      <c r="AA16" s="204">
        <v>39683</v>
      </c>
      <c r="AB16" s="204">
        <v>38310</v>
      </c>
      <c r="AC16" s="204">
        <v>36049</v>
      </c>
      <c r="AD16" s="204">
        <v>34225</v>
      </c>
    </row>
    <row r="17" spans="2:30" x14ac:dyDescent="0.25">
      <c r="B17" s="198">
        <v>2036</v>
      </c>
      <c r="C17" s="199">
        <v>4</v>
      </c>
      <c r="D17" s="217"/>
      <c r="E17" s="201" t="s">
        <v>21</v>
      </c>
      <c r="F17" s="202">
        <v>4</v>
      </c>
      <c r="G17" s="203">
        <v>30512</v>
      </c>
      <c r="H17" s="204">
        <v>29440</v>
      </c>
      <c r="I17" s="204">
        <v>28582</v>
      </c>
      <c r="J17" s="204">
        <v>27849</v>
      </c>
      <c r="K17" s="204">
        <v>27338</v>
      </c>
      <c r="L17" s="204">
        <v>26519</v>
      </c>
      <c r="M17" s="204">
        <v>25184</v>
      </c>
      <c r="N17" s="204">
        <v>26422</v>
      </c>
      <c r="O17" s="204">
        <v>28117</v>
      </c>
      <c r="P17" s="204">
        <v>29075</v>
      </c>
      <c r="Q17" s="204">
        <v>29848</v>
      </c>
      <c r="R17" s="204">
        <v>30981</v>
      </c>
      <c r="S17" s="204">
        <v>31465</v>
      </c>
      <c r="T17" s="204">
        <v>31633</v>
      </c>
      <c r="U17" s="204">
        <v>32102</v>
      </c>
      <c r="V17" s="204">
        <v>32276</v>
      </c>
      <c r="W17" s="204">
        <v>31955</v>
      </c>
      <c r="X17" s="204">
        <v>31938</v>
      </c>
      <c r="Y17" s="204">
        <v>36136</v>
      </c>
      <c r="Z17" s="204">
        <v>37162</v>
      </c>
      <c r="AA17" s="204">
        <v>36763</v>
      </c>
      <c r="AB17" s="204">
        <v>35080</v>
      </c>
      <c r="AC17" s="204">
        <v>32591</v>
      </c>
      <c r="AD17" s="204">
        <v>30442</v>
      </c>
    </row>
    <row r="18" spans="2:30" ht="15.75" thickBot="1" x14ac:dyDescent="0.3">
      <c r="B18" s="198">
        <v>2036</v>
      </c>
      <c r="C18" s="205">
        <v>4</v>
      </c>
      <c r="D18" s="218"/>
      <c r="E18" s="201" t="s">
        <v>22</v>
      </c>
      <c r="F18" s="202">
        <v>2</v>
      </c>
      <c r="G18" s="207">
        <v>19650</v>
      </c>
      <c r="H18" s="208">
        <v>18793</v>
      </c>
      <c r="I18" s="208">
        <v>18285</v>
      </c>
      <c r="J18" s="208">
        <v>17943</v>
      </c>
      <c r="K18" s="208">
        <v>17710</v>
      </c>
      <c r="L18" s="208">
        <v>17073</v>
      </c>
      <c r="M18" s="208">
        <v>16142</v>
      </c>
      <c r="N18" s="208">
        <v>16709</v>
      </c>
      <c r="O18" s="208">
        <v>17203</v>
      </c>
      <c r="P18" s="208">
        <v>17401</v>
      </c>
      <c r="Q18" s="208">
        <v>17667</v>
      </c>
      <c r="R18" s="208">
        <v>18259</v>
      </c>
      <c r="S18" s="208">
        <v>18533</v>
      </c>
      <c r="T18" s="208">
        <v>18513</v>
      </c>
      <c r="U18" s="208">
        <v>18596</v>
      </c>
      <c r="V18" s="208">
        <v>18712</v>
      </c>
      <c r="W18" s="208">
        <v>18582</v>
      </c>
      <c r="X18" s="208">
        <v>18693</v>
      </c>
      <c r="Y18" s="208">
        <v>21453</v>
      </c>
      <c r="Z18" s="208">
        <v>22126</v>
      </c>
      <c r="AA18" s="208">
        <v>21917</v>
      </c>
      <c r="AB18" s="208">
        <v>21372</v>
      </c>
      <c r="AC18" s="208">
        <v>20536</v>
      </c>
      <c r="AD18" s="208">
        <v>19637</v>
      </c>
    </row>
    <row r="19" spans="2:30" x14ac:dyDescent="0.25">
      <c r="B19" s="198">
        <v>2036</v>
      </c>
      <c r="C19" s="209">
        <v>5</v>
      </c>
      <c r="D19" s="216">
        <v>20731565</v>
      </c>
      <c r="E19" s="201" t="s">
        <v>19</v>
      </c>
      <c r="F19" s="202">
        <v>20</v>
      </c>
      <c r="G19" s="203">
        <v>26670</v>
      </c>
      <c r="H19" s="204">
        <v>25596</v>
      </c>
      <c r="I19" s="204">
        <v>24861</v>
      </c>
      <c r="J19" s="204">
        <v>24319</v>
      </c>
      <c r="K19" s="204">
        <v>24169</v>
      </c>
      <c r="L19" s="204">
        <v>24132</v>
      </c>
      <c r="M19" s="204">
        <v>23933</v>
      </c>
      <c r="N19" s="204">
        <v>26409</v>
      </c>
      <c r="O19" s="204">
        <v>28965</v>
      </c>
      <c r="P19" s="204">
        <v>30504</v>
      </c>
      <c r="Q19" s="204">
        <v>31764</v>
      </c>
      <c r="R19" s="204">
        <v>32582</v>
      </c>
      <c r="S19" s="204">
        <v>30960</v>
      </c>
      <c r="T19" s="204">
        <v>32044</v>
      </c>
      <c r="U19" s="204">
        <v>34343</v>
      </c>
      <c r="V19" s="204">
        <v>34413</v>
      </c>
      <c r="W19" s="204">
        <v>33532</v>
      </c>
      <c r="X19" s="204">
        <v>32275</v>
      </c>
      <c r="Y19" s="204">
        <v>34983</v>
      </c>
      <c r="Z19" s="204">
        <v>35431</v>
      </c>
      <c r="AA19" s="204">
        <v>34588</v>
      </c>
      <c r="AB19" s="204">
        <v>32891</v>
      </c>
      <c r="AC19" s="204">
        <v>30523</v>
      </c>
      <c r="AD19" s="204">
        <v>28394</v>
      </c>
    </row>
    <row r="20" spans="2:30" x14ac:dyDescent="0.25">
      <c r="B20" s="198">
        <v>2036</v>
      </c>
      <c r="C20" s="199">
        <v>5</v>
      </c>
      <c r="D20" s="217"/>
      <c r="E20" s="201" t="s">
        <v>20</v>
      </c>
      <c r="F20" s="202">
        <v>5</v>
      </c>
      <c r="G20" s="203">
        <v>21126</v>
      </c>
      <c r="H20" s="204">
        <v>20291</v>
      </c>
      <c r="I20" s="204">
        <v>19637</v>
      </c>
      <c r="J20" s="204">
        <v>19164</v>
      </c>
      <c r="K20" s="204">
        <v>18915</v>
      </c>
      <c r="L20" s="204">
        <v>18162</v>
      </c>
      <c r="M20" s="204">
        <v>17774</v>
      </c>
      <c r="N20" s="204">
        <v>19095</v>
      </c>
      <c r="O20" s="204">
        <v>21040</v>
      </c>
      <c r="P20" s="204">
        <v>22135</v>
      </c>
      <c r="Q20" s="204">
        <v>23150</v>
      </c>
      <c r="R20" s="204">
        <v>23805</v>
      </c>
      <c r="S20" s="204">
        <v>23013</v>
      </c>
      <c r="T20" s="204">
        <v>22621</v>
      </c>
      <c r="U20" s="204">
        <v>22746</v>
      </c>
      <c r="V20" s="204">
        <v>22781</v>
      </c>
      <c r="W20" s="204">
        <v>22410</v>
      </c>
      <c r="X20" s="204">
        <v>22451</v>
      </c>
      <c r="Y20" s="204">
        <v>25110</v>
      </c>
      <c r="Z20" s="204">
        <v>25184</v>
      </c>
      <c r="AA20" s="204">
        <v>24388</v>
      </c>
      <c r="AB20" s="204">
        <v>23387</v>
      </c>
      <c r="AC20" s="204">
        <v>22076</v>
      </c>
      <c r="AD20" s="204">
        <v>20670</v>
      </c>
    </row>
    <row r="21" spans="2:30" x14ac:dyDescent="0.25">
      <c r="B21" s="198">
        <v>2036</v>
      </c>
      <c r="C21" s="199">
        <v>5</v>
      </c>
      <c r="D21" s="217"/>
      <c r="E21" s="201" t="s">
        <v>21</v>
      </c>
      <c r="F21" s="202">
        <v>4</v>
      </c>
      <c r="G21" s="203">
        <v>25150</v>
      </c>
      <c r="H21" s="204">
        <v>24204</v>
      </c>
      <c r="I21" s="204">
        <v>23551</v>
      </c>
      <c r="J21" s="204">
        <v>22728</v>
      </c>
      <c r="K21" s="204">
        <v>22465</v>
      </c>
      <c r="L21" s="204">
        <v>21397</v>
      </c>
      <c r="M21" s="204">
        <v>20223</v>
      </c>
      <c r="N21" s="204">
        <v>21357</v>
      </c>
      <c r="O21" s="204">
        <v>23188</v>
      </c>
      <c r="P21" s="204">
        <v>24369</v>
      </c>
      <c r="Q21" s="204">
        <v>25218</v>
      </c>
      <c r="R21" s="204">
        <v>26196</v>
      </c>
      <c r="S21" s="204">
        <v>26351</v>
      </c>
      <c r="T21" s="204">
        <v>26293</v>
      </c>
      <c r="U21" s="204">
        <v>26372</v>
      </c>
      <c r="V21" s="204">
        <v>26468</v>
      </c>
      <c r="W21" s="204">
        <v>26431</v>
      </c>
      <c r="X21" s="204">
        <v>26595</v>
      </c>
      <c r="Y21" s="204">
        <v>30094</v>
      </c>
      <c r="Z21" s="204">
        <v>30984</v>
      </c>
      <c r="AA21" s="204">
        <v>31078</v>
      </c>
      <c r="AB21" s="204">
        <v>30208</v>
      </c>
      <c r="AC21" s="204">
        <v>28498</v>
      </c>
      <c r="AD21" s="204">
        <v>26822</v>
      </c>
    </row>
    <row r="22" spans="2:30" ht="15.75" thickBot="1" x14ac:dyDescent="0.3">
      <c r="B22" s="198">
        <v>2036</v>
      </c>
      <c r="C22" s="205">
        <v>5</v>
      </c>
      <c r="D22" s="218"/>
      <c r="E22" s="201" t="s">
        <v>22</v>
      </c>
      <c r="F22" s="202">
        <v>2</v>
      </c>
      <c r="G22" s="207">
        <v>25610</v>
      </c>
      <c r="H22" s="208">
        <v>24493</v>
      </c>
      <c r="I22" s="208">
        <v>23790</v>
      </c>
      <c r="J22" s="208">
        <v>23107</v>
      </c>
      <c r="K22" s="208">
        <v>22551</v>
      </c>
      <c r="L22" s="208">
        <v>21172</v>
      </c>
      <c r="M22" s="208">
        <v>20955</v>
      </c>
      <c r="N22" s="208">
        <v>22493</v>
      </c>
      <c r="O22" s="208">
        <v>24099</v>
      </c>
      <c r="P22" s="208">
        <v>25585</v>
      </c>
      <c r="Q22" s="208">
        <v>26713</v>
      </c>
      <c r="R22" s="208">
        <v>28222</v>
      </c>
      <c r="S22" s="208">
        <v>28409</v>
      </c>
      <c r="T22" s="208">
        <v>28494</v>
      </c>
      <c r="U22" s="208">
        <v>28953</v>
      </c>
      <c r="V22" s="208">
        <v>29089</v>
      </c>
      <c r="W22" s="208">
        <v>28578</v>
      </c>
      <c r="X22" s="208">
        <v>28384</v>
      </c>
      <c r="Y22" s="208">
        <v>32131</v>
      </c>
      <c r="Z22" s="208">
        <v>33278</v>
      </c>
      <c r="AA22" s="208">
        <v>32883</v>
      </c>
      <c r="AB22" s="208">
        <v>31354</v>
      </c>
      <c r="AC22" s="208">
        <v>29589</v>
      </c>
      <c r="AD22" s="208">
        <v>27733</v>
      </c>
    </row>
    <row r="23" spans="2:30" x14ac:dyDescent="0.25">
      <c r="B23" s="198">
        <v>2036</v>
      </c>
      <c r="C23" s="209">
        <v>6</v>
      </c>
      <c r="D23" s="216">
        <v>18905342</v>
      </c>
      <c r="E23" s="201" t="s">
        <v>19</v>
      </c>
      <c r="F23" s="202">
        <v>18</v>
      </c>
      <c r="G23" s="203">
        <v>25438</v>
      </c>
      <c r="H23" s="204">
        <v>24146</v>
      </c>
      <c r="I23" s="204">
        <v>23509</v>
      </c>
      <c r="J23" s="204">
        <v>23125</v>
      </c>
      <c r="K23" s="204">
        <v>23474</v>
      </c>
      <c r="L23" s="204">
        <v>23308</v>
      </c>
      <c r="M23" s="204">
        <v>23014</v>
      </c>
      <c r="N23" s="204">
        <v>25041</v>
      </c>
      <c r="O23" s="204">
        <v>27617</v>
      </c>
      <c r="P23" s="204">
        <v>29161</v>
      </c>
      <c r="Q23" s="204">
        <v>30650</v>
      </c>
      <c r="R23" s="204">
        <v>31680</v>
      </c>
      <c r="S23" s="204">
        <v>30078</v>
      </c>
      <c r="T23" s="204">
        <v>30979</v>
      </c>
      <c r="U23" s="204">
        <v>33188</v>
      </c>
      <c r="V23" s="204">
        <v>33238</v>
      </c>
      <c r="W23" s="204">
        <v>32451</v>
      </c>
      <c r="X23" s="204">
        <v>31105</v>
      </c>
      <c r="Y23" s="204">
        <v>33697</v>
      </c>
      <c r="Z23" s="204">
        <v>34328</v>
      </c>
      <c r="AA23" s="204">
        <v>33361</v>
      </c>
      <c r="AB23" s="204">
        <v>31703</v>
      </c>
      <c r="AC23" s="204">
        <v>29373</v>
      </c>
      <c r="AD23" s="204">
        <v>27229</v>
      </c>
    </row>
    <row r="24" spans="2:30" x14ac:dyDescent="0.25">
      <c r="B24" s="198">
        <v>2036</v>
      </c>
      <c r="C24" s="199">
        <v>6</v>
      </c>
      <c r="D24" s="217"/>
      <c r="E24" s="201" t="s">
        <v>20</v>
      </c>
      <c r="F24" s="202">
        <v>4</v>
      </c>
      <c r="G24" s="203">
        <v>26131</v>
      </c>
      <c r="H24" s="204">
        <v>25204</v>
      </c>
      <c r="I24" s="204">
        <v>24316</v>
      </c>
      <c r="J24" s="204">
        <v>23671</v>
      </c>
      <c r="K24" s="204">
        <v>23514</v>
      </c>
      <c r="L24" s="204">
        <v>22649</v>
      </c>
      <c r="M24" s="204">
        <v>22194</v>
      </c>
      <c r="N24" s="204">
        <v>24108</v>
      </c>
      <c r="O24" s="204">
        <v>26340</v>
      </c>
      <c r="P24" s="204">
        <v>28266</v>
      </c>
      <c r="Q24" s="204">
        <v>29734</v>
      </c>
      <c r="R24" s="204">
        <v>30523</v>
      </c>
      <c r="S24" s="204">
        <v>30043</v>
      </c>
      <c r="T24" s="204">
        <v>30058</v>
      </c>
      <c r="U24" s="204">
        <v>30440</v>
      </c>
      <c r="V24" s="204">
        <v>29775</v>
      </c>
      <c r="W24" s="204">
        <v>29164</v>
      </c>
      <c r="X24" s="204">
        <v>29159</v>
      </c>
      <c r="Y24" s="204">
        <v>32619</v>
      </c>
      <c r="Z24" s="204">
        <v>33509</v>
      </c>
      <c r="AA24" s="204">
        <v>32746</v>
      </c>
      <c r="AB24" s="204">
        <v>31167</v>
      </c>
      <c r="AC24" s="204">
        <v>29417</v>
      </c>
      <c r="AD24" s="204">
        <v>27810</v>
      </c>
    </row>
    <row r="25" spans="2:30" x14ac:dyDescent="0.25">
      <c r="B25" s="198">
        <v>2036</v>
      </c>
      <c r="C25" s="199">
        <v>6</v>
      </c>
      <c r="D25" s="217"/>
      <c r="E25" s="201" t="s">
        <v>21</v>
      </c>
      <c r="F25" s="202">
        <v>5</v>
      </c>
      <c r="G25" s="203">
        <v>21037</v>
      </c>
      <c r="H25" s="204">
        <v>20237</v>
      </c>
      <c r="I25" s="204">
        <v>19702</v>
      </c>
      <c r="J25" s="204">
        <v>19343</v>
      </c>
      <c r="K25" s="204">
        <v>19093</v>
      </c>
      <c r="L25" s="204">
        <v>17794</v>
      </c>
      <c r="M25" s="204">
        <v>17075</v>
      </c>
      <c r="N25" s="204">
        <v>17918</v>
      </c>
      <c r="O25" s="204">
        <v>19005</v>
      </c>
      <c r="P25" s="204">
        <v>20100</v>
      </c>
      <c r="Q25" s="204">
        <v>20993</v>
      </c>
      <c r="R25" s="204">
        <v>21675</v>
      </c>
      <c r="S25" s="204">
        <v>21946</v>
      </c>
      <c r="T25" s="204">
        <v>22132</v>
      </c>
      <c r="U25" s="204">
        <v>22645</v>
      </c>
      <c r="V25" s="204">
        <v>22604</v>
      </c>
      <c r="W25" s="204">
        <v>22578</v>
      </c>
      <c r="X25" s="204">
        <v>22535</v>
      </c>
      <c r="Y25" s="204">
        <v>25425</v>
      </c>
      <c r="Z25" s="204">
        <v>26462</v>
      </c>
      <c r="AA25" s="204">
        <v>26135</v>
      </c>
      <c r="AB25" s="204">
        <v>25083</v>
      </c>
      <c r="AC25" s="204">
        <v>23630</v>
      </c>
      <c r="AD25" s="204">
        <v>22239</v>
      </c>
    </row>
    <row r="26" spans="2:30" ht="15.75" thickBot="1" x14ac:dyDescent="0.3">
      <c r="B26" s="198">
        <v>2036</v>
      </c>
      <c r="C26" s="205">
        <v>6</v>
      </c>
      <c r="D26" s="218"/>
      <c r="E26" s="201" t="s">
        <v>22</v>
      </c>
      <c r="F26" s="202">
        <v>3</v>
      </c>
      <c r="G26" s="207">
        <v>15986</v>
      </c>
      <c r="H26" s="208">
        <v>15435</v>
      </c>
      <c r="I26" s="208">
        <v>15046</v>
      </c>
      <c r="J26" s="208">
        <v>14701</v>
      </c>
      <c r="K26" s="208">
        <v>14521</v>
      </c>
      <c r="L26" s="208">
        <v>13506</v>
      </c>
      <c r="M26" s="208">
        <v>13038</v>
      </c>
      <c r="N26" s="208">
        <v>13884</v>
      </c>
      <c r="O26" s="208">
        <v>15093</v>
      </c>
      <c r="P26" s="208">
        <v>15833</v>
      </c>
      <c r="Q26" s="208">
        <v>16272</v>
      </c>
      <c r="R26" s="208">
        <v>17136</v>
      </c>
      <c r="S26" s="208">
        <v>17327</v>
      </c>
      <c r="T26" s="208">
        <v>17484</v>
      </c>
      <c r="U26" s="208">
        <v>18387</v>
      </c>
      <c r="V26" s="208">
        <v>18237</v>
      </c>
      <c r="W26" s="208">
        <v>17362</v>
      </c>
      <c r="X26" s="208">
        <v>17155</v>
      </c>
      <c r="Y26" s="208">
        <v>19204</v>
      </c>
      <c r="Z26" s="208">
        <v>19859</v>
      </c>
      <c r="AA26" s="208">
        <v>19590</v>
      </c>
      <c r="AB26" s="208">
        <v>18702</v>
      </c>
      <c r="AC26" s="208">
        <v>17370</v>
      </c>
      <c r="AD26" s="208">
        <v>16242</v>
      </c>
    </row>
    <row r="27" spans="2:30" x14ac:dyDescent="0.25">
      <c r="B27" s="198">
        <v>2036</v>
      </c>
      <c r="C27" s="209">
        <v>7</v>
      </c>
      <c r="D27" s="216">
        <v>19436957</v>
      </c>
      <c r="E27" s="201" t="s">
        <v>19</v>
      </c>
      <c r="F27" s="202">
        <v>23</v>
      </c>
      <c r="G27" s="203">
        <v>20853</v>
      </c>
      <c r="H27" s="204">
        <v>20101</v>
      </c>
      <c r="I27" s="204">
        <v>19517</v>
      </c>
      <c r="J27" s="204">
        <v>19077</v>
      </c>
      <c r="K27" s="204">
        <v>19017</v>
      </c>
      <c r="L27" s="204">
        <v>19060</v>
      </c>
      <c r="M27" s="204">
        <v>18600</v>
      </c>
      <c r="N27" s="204">
        <v>20070</v>
      </c>
      <c r="O27" s="204">
        <v>21894</v>
      </c>
      <c r="P27" s="204">
        <v>23190</v>
      </c>
      <c r="Q27" s="204">
        <v>24189</v>
      </c>
      <c r="R27" s="204">
        <v>24852</v>
      </c>
      <c r="S27" s="204">
        <v>23642</v>
      </c>
      <c r="T27" s="204">
        <v>24158</v>
      </c>
      <c r="U27" s="204">
        <v>25971</v>
      </c>
      <c r="V27" s="204">
        <v>26146</v>
      </c>
      <c r="W27" s="204">
        <v>25790</v>
      </c>
      <c r="X27" s="204">
        <v>24798</v>
      </c>
      <c r="Y27" s="204">
        <v>26764</v>
      </c>
      <c r="Z27" s="204">
        <v>27631</v>
      </c>
      <c r="AA27" s="204">
        <v>26925</v>
      </c>
      <c r="AB27" s="204">
        <v>25613</v>
      </c>
      <c r="AC27" s="204">
        <v>23660</v>
      </c>
      <c r="AD27" s="204">
        <v>21903</v>
      </c>
    </row>
    <row r="28" spans="2:30" x14ac:dyDescent="0.25">
      <c r="B28" s="198">
        <v>2036</v>
      </c>
      <c r="C28" s="199">
        <v>7</v>
      </c>
      <c r="D28" s="217"/>
      <c r="E28" s="201" t="s">
        <v>20</v>
      </c>
      <c r="F28" s="202">
        <v>4</v>
      </c>
      <c r="G28" s="203">
        <v>25189</v>
      </c>
      <c r="H28" s="204">
        <v>24559</v>
      </c>
      <c r="I28" s="204">
        <v>23877</v>
      </c>
      <c r="J28" s="204">
        <v>23423</v>
      </c>
      <c r="K28" s="204">
        <v>23227</v>
      </c>
      <c r="L28" s="204">
        <v>22709</v>
      </c>
      <c r="M28" s="204">
        <v>22211</v>
      </c>
      <c r="N28" s="204">
        <v>24255</v>
      </c>
      <c r="O28" s="204">
        <v>26721</v>
      </c>
      <c r="P28" s="204">
        <v>28209</v>
      </c>
      <c r="Q28" s="204">
        <v>29306</v>
      </c>
      <c r="R28" s="204">
        <v>30157</v>
      </c>
      <c r="S28" s="204">
        <v>29832</v>
      </c>
      <c r="T28" s="204">
        <v>29754</v>
      </c>
      <c r="U28" s="204">
        <v>30400</v>
      </c>
      <c r="V28" s="204">
        <v>29406</v>
      </c>
      <c r="W28" s="204">
        <v>29887</v>
      </c>
      <c r="X28" s="204">
        <v>29317</v>
      </c>
      <c r="Y28" s="204">
        <v>32481</v>
      </c>
      <c r="Z28" s="204">
        <v>33679</v>
      </c>
      <c r="AA28" s="204">
        <v>32894</v>
      </c>
      <c r="AB28" s="204">
        <v>31509</v>
      </c>
      <c r="AC28" s="204">
        <v>29674</v>
      </c>
      <c r="AD28" s="204">
        <v>27863</v>
      </c>
    </row>
    <row r="29" spans="2:30" x14ac:dyDescent="0.25">
      <c r="B29" s="198">
        <v>2036</v>
      </c>
      <c r="C29" s="199">
        <v>7</v>
      </c>
      <c r="D29" s="217"/>
      <c r="E29" s="201" t="s">
        <v>21</v>
      </c>
      <c r="F29" s="202">
        <v>3</v>
      </c>
      <c r="G29" s="203">
        <v>37898</v>
      </c>
      <c r="H29" s="204">
        <v>36443</v>
      </c>
      <c r="I29" s="204">
        <v>35561</v>
      </c>
      <c r="J29" s="204">
        <v>34305</v>
      </c>
      <c r="K29" s="204">
        <v>34123</v>
      </c>
      <c r="L29" s="204">
        <v>32980</v>
      </c>
      <c r="M29" s="204">
        <v>31181</v>
      </c>
      <c r="N29" s="204">
        <v>33424</v>
      </c>
      <c r="O29" s="204">
        <v>36343</v>
      </c>
      <c r="P29" s="204">
        <v>38098</v>
      </c>
      <c r="Q29" s="204">
        <v>39450</v>
      </c>
      <c r="R29" s="204">
        <v>40741</v>
      </c>
      <c r="S29" s="204">
        <v>40354</v>
      </c>
      <c r="T29" s="204">
        <v>39781</v>
      </c>
      <c r="U29" s="204">
        <v>40074</v>
      </c>
      <c r="V29" s="204">
        <v>40548</v>
      </c>
      <c r="W29" s="204">
        <v>40508</v>
      </c>
      <c r="X29" s="204">
        <v>40307</v>
      </c>
      <c r="Y29" s="204">
        <v>44598</v>
      </c>
      <c r="Z29" s="204">
        <v>46744</v>
      </c>
      <c r="AA29" s="204">
        <v>45914</v>
      </c>
      <c r="AB29" s="204">
        <v>44053</v>
      </c>
      <c r="AC29" s="204">
        <v>41382</v>
      </c>
      <c r="AD29" s="204">
        <v>38945</v>
      </c>
    </row>
    <row r="30" spans="2:30" ht="15.75" thickBot="1" x14ac:dyDescent="0.3">
      <c r="B30" s="198">
        <v>2036</v>
      </c>
      <c r="C30" s="205">
        <v>7</v>
      </c>
      <c r="D30" s="218"/>
      <c r="E30" s="201" t="s">
        <v>22</v>
      </c>
      <c r="F30" s="202">
        <v>1</v>
      </c>
      <c r="G30" s="207">
        <v>46884</v>
      </c>
      <c r="H30" s="208">
        <v>45529</v>
      </c>
      <c r="I30" s="208">
        <v>44340</v>
      </c>
      <c r="J30" s="208">
        <v>43205</v>
      </c>
      <c r="K30" s="208">
        <v>42907</v>
      </c>
      <c r="L30" s="208">
        <v>41764</v>
      </c>
      <c r="M30" s="208">
        <v>40935</v>
      </c>
      <c r="N30" s="208">
        <v>43353</v>
      </c>
      <c r="O30" s="208">
        <v>46408</v>
      </c>
      <c r="P30" s="208">
        <v>48973</v>
      </c>
      <c r="Q30" s="208">
        <v>51160</v>
      </c>
      <c r="R30" s="208">
        <v>53227</v>
      </c>
      <c r="S30" s="208">
        <v>56891</v>
      </c>
      <c r="T30" s="208">
        <v>54906</v>
      </c>
      <c r="U30" s="208">
        <v>54511</v>
      </c>
      <c r="V30" s="208">
        <v>55015</v>
      </c>
      <c r="W30" s="208">
        <v>54284</v>
      </c>
      <c r="X30" s="208">
        <v>53783</v>
      </c>
      <c r="Y30" s="208">
        <v>59854</v>
      </c>
      <c r="Z30" s="208">
        <v>62185</v>
      </c>
      <c r="AA30" s="208">
        <v>60914</v>
      </c>
      <c r="AB30" s="208">
        <v>58317</v>
      </c>
      <c r="AC30" s="208">
        <v>54386</v>
      </c>
      <c r="AD30" s="208">
        <v>51122</v>
      </c>
    </row>
    <row r="31" spans="2:30" x14ac:dyDescent="0.25">
      <c r="B31" s="198">
        <v>2036</v>
      </c>
      <c r="C31" s="209">
        <v>8</v>
      </c>
      <c r="D31" s="216">
        <v>20959039</v>
      </c>
      <c r="E31" s="201" t="s">
        <v>19</v>
      </c>
      <c r="F31" s="202">
        <v>19</v>
      </c>
      <c r="G31" s="203">
        <v>28040</v>
      </c>
      <c r="H31" s="204">
        <v>27036</v>
      </c>
      <c r="I31" s="204">
        <v>26254</v>
      </c>
      <c r="J31" s="204">
        <v>25710</v>
      </c>
      <c r="K31" s="204">
        <v>25571</v>
      </c>
      <c r="L31" s="204">
        <v>25521</v>
      </c>
      <c r="M31" s="204">
        <v>24881</v>
      </c>
      <c r="N31" s="204">
        <v>27093</v>
      </c>
      <c r="O31" s="204">
        <v>30102</v>
      </c>
      <c r="P31" s="204">
        <v>32076</v>
      </c>
      <c r="Q31" s="204">
        <v>33689</v>
      </c>
      <c r="R31" s="204">
        <v>34791</v>
      </c>
      <c r="S31" s="204">
        <v>32964</v>
      </c>
      <c r="T31" s="204">
        <v>34296</v>
      </c>
      <c r="U31" s="204">
        <v>36610</v>
      </c>
      <c r="V31" s="204">
        <v>36626</v>
      </c>
      <c r="W31" s="204">
        <v>35607</v>
      </c>
      <c r="X31" s="204">
        <v>33943</v>
      </c>
      <c r="Y31" s="204">
        <v>36573</v>
      </c>
      <c r="Z31" s="204">
        <v>37548</v>
      </c>
      <c r="AA31" s="204">
        <v>36720</v>
      </c>
      <c r="AB31" s="204">
        <v>34963</v>
      </c>
      <c r="AC31" s="204">
        <v>32291</v>
      </c>
      <c r="AD31" s="204">
        <v>30051</v>
      </c>
    </row>
    <row r="32" spans="2:30" x14ac:dyDescent="0.25">
      <c r="B32" s="198">
        <v>2036</v>
      </c>
      <c r="C32" s="199">
        <v>8</v>
      </c>
      <c r="D32" s="217"/>
      <c r="E32" s="201" t="s">
        <v>20</v>
      </c>
      <c r="F32" s="202">
        <v>5</v>
      </c>
      <c r="G32" s="203">
        <v>22656</v>
      </c>
      <c r="H32" s="204">
        <v>21782</v>
      </c>
      <c r="I32" s="204">
        <v>21128</v>
      </c>
      <c r="J32" s="204">
        <v>20639</v>
      </c>
      <c r="K32" s="204">
        <v>20286</v>
      </c>
      <c r="L32" s="204">
        <v>19780</v>
      </c>
      <c r="M32" s="204">
        <v>19123</v>
      </c>
      <c r="N32" s="204">
        <v>20749</v>
      </c>
      <c r="O32" s="204">
        <v>22974</v>
      </c>
      <c r="P32" s="204">
        <v>24533</v>
      </c>
      <c r="Q32" s="204">
        <v>25682</v>
      </c>
      <c r="R32" s="204">
        <v>26480</v>
      </c>
      <c r="S32" s="204">
        <v>26037</v>
      </c>
      <c r="T32" s="204">
        <v>26319</v>
      </c>
      <c r="U32" s="204">
        <v>26685</v>
      </c>
      <c r="V32" s="204">
        <v>26553</v>
      </c>
      <c r="W32" s="204">
        <v>25905</v>
      </c>
      <c r="X32" s="204">
        <v>25609</v>
      </c>
      <c r="Y32" s="204">
        <v>28199</v>
      </c>
      <c r="Z32" s="204">
        <v>28871</v>
      </c>
      <c r="AA32" s="204">
        <v>28301</v>
      </c>
      <c r="AB32" s="204">
        <v>27150</v>
      </c>
      <c r="AC32" s="204">
        <v>25527</v>
      </c>
      <c r="AD32" s="204">
        <v>23432</v>
      </c>
    </row>
    <row r="33" spans="2:30" x14ac:dyDescent="0.25">
      <c r="B33" s="198">
        <v>2036</v>
      </c>
      <c r="C33" s="199">
        <v>8</v>
      </c>
      <c r="D33" s="217"/>
      <c r="E33" s="201" t="s">
        <v>21</v>
      </c>
      <c r="F33" s="202">
        <v>5</v>
      </c>
      <c r="G33" s="203">
        <v>19068</v>
      </c>
      <c r="H33" s="204">
        <v>18522</v>
      </c>
      <c r="I33" s="204">
        <v>17993</v>
      </c>
      <c r="J33" s="204">
        <v>17535</v>
      </c>
      <c r="K33" s="204">
        <v>17259</v>
      </c>
      <c r="L33" s="204">
        <v>16379</v>
      </c>
      <c r="M33" s="204">
        <v>15343</v>
      </c>
      <c r="N33" s="204">
        <v>16193</v>
      </c>
      <c r="O33" s="204">
        <v>17278</v>
      </c>
      <c r="P33" s="204">
        <v>18329</v>
      </c>
      <c r="Q33" s="204">
        <v>19124</v>
      </c>
      <c r="R33" s="204">
        <v>19846</v>
      </c>
      <c r="S33" s="204">
        <v>20012</v>
      </c>
      <c r="T33" s="204">
        <v>20277</v>
      </c>
      <c r="U33" s="204">
        <v>20339</v>
      </c>
      <c r="V33" s="204">
        <v>20376</v>
      </c>
      <c r="W33" s="204">
        <v>20180</v>
      </c>
      <c r="X33" s="204">
        <v>20046</v>
      </c>
      <c r="Y33" s="204">
        <v>22593</v>
      </c>
      <c r="Z33" s="204">
        <v>23582</v>
      </c>
      <c r="AA33" s="204">
        <v>23322</v>
      </c>
      <c r="AB33" s="204">
        <v>22324</v>
      </c>
      <c r="AC33" s="204">
        <v>20879</v>
      </c>
      <c r="AD33" s="204">
        <v>19628</v>
      </c>
    </row>
    <row r="34" spans="2:30" ht="15.75" thickBot="1" x14ac:dyDescent="0.3">
      <c r="B34" s="198">
        <v>2036</v>
      </c>
      <c r="C34" s="205">
        <v>8</v>
      </c>
      <c r="D34" s="218"/>
      <c r="E34" s="201" t="s">
        <v>22</v>
      </c>
      <c r="F34" s="202">
        <v>2</v>
      </c>
      <c r="G34" s="207">
        <v>25452</v>
      </c>
      <c r="H34" s="208">
        <v>24577</v>
      </c>
      <c r="I34" s="208">
        <v>23858</v>
      </c>
      <c r="J34" s="208">
        <v>22863</v>
      </c>
      <c r="K34" s="208">
        <v>23002</v>
      </c>
      <c r="L34" s="208">
        <v>22453</v>
      </c>
      <c r="M34" s="208">
        <v>21327</v>
      </c>
      <c r="N34" s="208">
        <v>22747</v>
      </c>
      <c r="O34" s="208">
        <v>24508</v>
      </c>
      <c r="P34" s="208">
        <v>26099</v>
      </c>
      <c r="Q34" s="208">
        <v>27694</v>
      </c>
      <c r="R34" s="208">
        <v>29015</v>
      </c>
      <c r="S34" s="208">
        <v>29307</v>
      </c>
      <c r="T34" s="208">
        <v>29199</v>
      </c>
      <c r="U34" s="208">
        <v>29415</v>
      </c>
      <c r="V34" s="208">
        <v>29048</v>
      </c>
      <c r="W34" s="208">
        <v>23922</v>
      </c>
      <c r="X34" s="208">
        <v>28145</v>
      </c>
      <c r="Y34" s="208">
        <v>31304</v>
      </c>
      <c r="Z34" s="208">
        <v>32253</v>
      </c>
      <c r="AA34" s="208">
        <v>31535</v>
      </c>
      <c r="AB34" s="208">
        <v>30152</v>
      </c>
      <c r="AC34" s="208">
        <v>28179</v>
      </c>
      <c r="AD34" s="208">
        <v>26316</v>
      </c>
    </row>
    <row r="35" spans="2:30" x14ac:dyDescent="0.25">
      <c r="B35" s="198">
        <v>2036</v>
      </c>
      <c r="C35" s="209">
        <v>9</v>
      </c>
      <c r="D35" s="216">
        <v>21467290</v>
      </c>
      <c r="E35" s="201" t="s">
        <v>19</v>
      </c>
      <c r="F35" s="202">
        <v>22</v>
      </c>
      <c r="G35" s="203">
        <v>26395</v>
      </c>
      <c r="H35" s="204">
        <v>24927</v>
      </c>
      <c r="I35" s="204">
        <v>24171</v>
      </c>
      <c r="J35" s="204">
        <v>23694</v>
      </c>
      <c r="K35" s="204">
        <v>23808</v>
      </c>
      <c r="L35" s="204">
        <v>23498</v>
      </c>
      <c r="M35" s="204">
        <v>23102</v>
      </c>
      <c r="N35" s="204">
        <v>25257</v>
      </c>
      <c r="O35" s="204">
        <v>28103</v>
      </c>
      <c r="P35" s="204">
        <v>30096</v>
      </c>
      <c r="Q35" s="204">
        <v>31548</v>
      </c>
      <c r="R35" s="204">
        <v>32559</v>
      </c>
      <c r="S35" s="204">
        <v>30917</v>
      </c>
      <c r="T35" s="204">
        <v>32290</v>
      </c>
      <c r="U35" s="204">
        <v>34102</v>
      </c>
      <c r="V35" s="204">
        <v>33870</v>
      </c>
      <c r="W35" s="204">
        <v>33023</v>
      </c>
      <c r="X35" s="204">
        <v>32262</v>
      </c>
      <c r="Y35" s="204">
        <v>34688</v>
      </c>
      <c r="Z35" s="204">
        <v>34917</v>
      </c>
      <c r="AA35" s="204">
        <v>34206</v>
      </c>
      <c r="AB35" s="204">
        <v>32821</v>
      </c>
      <c r="AC35" s="204">
        <v>30551</v>
      </c>
      <c r="AD35" s="204">
        <v>28464</v>
      </c>
    </row>
    <row r="36" spans="2:30" x14ac:dyDescent="0.25">
      <c r="B36" s="198">
        <v>2036</v>
      </c>
      <c r="C36" s="199">
        <v>9</v>
      </c>
      <c r="D36" s="217"/>
      <c r="E36" s="201" t="s">
        <v>20</v>
      </c>
      <c r="F36" s="202">
        <v>4</v>
      </c>
      <c r="G36" s="203">
        <v>29700</v>
      </c>
      <c r="H36" s="204">
        <v>28660</v>
      </c>
      <c r="I36" s="204">
        <v>27782</v>
      </c>
      <c r="J36" s="204">
        <v>27143</v>
      </c>
      <c r="K36" s="204">
        <v>26764</v>
      </c>
      <c r="L36" s="204">
        <v>25557</v>
      </c>
      <c r="M36" s="204">
        <v>25190</v>
      </c>
      <c r="N36" s="204">
        <v>27303</v>
      </c>
      <c r="O36" s="204">
        <v>30159</v>
      </c>
      <c r="P36" s="204">
        <v>32326</v>
      </c>
      <c r="Q36" s="204">
        <v>34025</v>
      </c>
      <c r="R36" s="204">
        <v>34967</v>
      </c>
      <c r="S36" s="204">
        <v>34248</v>
      </c>
      <c r="T36" s="204">
        <v>34239</v>
      </c>
      <c r="U36" s="204">
        <v>34792</v>
      </c>
      <c r="V36" s="204">
        <v>34431</v>
      </c>
      <c r="W36" s="204">
        <v>33714</v>
      </c>
      <c r="X36" s="204">
        <v>33767</v>
      </c>
      <c r="Y36" s="204">
        <v>37254</v>
      </c>
      <c r="Z36" s="204">
        <v>37322</v>
      </c>
      <c r="AA36" s="204">
        <v>36520</v>
      </c>
      <c r="AB36" s="204">
        <v>35112</v>
      </c>
      <c r="AC36" s="204">
        <v>33321</v>
      </c>
      <c r="AD36" s="204">
        <v>31450</v>
      </c>
    </row>
    <row r="37" spans="2:30" ht="15.75" thickBot="1" x14ac:dyDescent="0.3">
      <c r="B37" s="198">
        <v>2036</v>
      </c>
      <c r="C37" s="205">
        <v>9</v>
      </c>
      <c r="D37" s="218"/>
      <c r="E37" s="201" t="s">
        <v>21</v>
      </c>
      <c r="F37" s="202">
        <v>4</v>
      </c>
      <c r="G37" s="207">
        <v>30949</v>
      </c>
      <c r="H37" s="208">
        <v>29729</v>
      </c>
      <c r="I37" s="208">
        <v>28700</v>
      </c>
      <c r="J37" s="208">
        <v>26268</v>
      </c>
      <c r="K37" s="208">
        <v>25438</v>
      </c>
      <c r="L37" s="208">
        <v>24228</v>
      </c>
      <c r="M37" s="208">
        <v>23098</v>
      </c>
      <c r="N37" s="208">
        <v>24379</v>
      </c>
      <c r="O37" s="208">
        <v>25884</v>
      </c>
      <c r="P37" s="208">
        <v>27371</v>
      </c>
      <c r="Q37" s="208">
        <v>28417</v>
      </c>
      <c r="R37" s="208">
        <v>29393</v>
      </c>
      <c r="S37" s="208">
        <v>29617</v>
      </c>
      <c r="T37" s="208">
        <v>28997</v>
      </c>
      <c r="U37" s="208">
        <v>28919</v>
      </c>
      <c r="V37" s="208">
        <v>28927</v>
      </c>
      <c r="W37" s="208">
        <v>28436</v>
      </c>
      <c r="X37" s="208">
        <v>28490</v>
      </c>
      <c r="Y37" s="208">
        <v>34829</v>
      </c>
      <c r="Z37" s="208">
        <v>36082</v>
      </c>
      <c r="AA37" s="208">
        <v>35576</v>
      </c>
      <c r="AB37" s="208">
        <v>34177</v>
      </c>
      <c r="AC37" s="208">
        <v>32080</v>
      </c>
      <c r="AD37" s="208">
        <v>30113</v>
      </c>
    </row>
    <row r="38" spans="2:30" x14ac:dyDescent="0.25">
      <c r="B38" s="198">
        <v>2036</v>
      </c>
      <c r="C38" s="209">
        <v>10</v>
      </c>
      <c r="D38" s="216">
        <v>23207362</v>
      </c>
      <c r="E38" s="201" t="s">
        <v>19</v>
      </c>
      <c r="F38" s="202">
        <v>22</v>
      </c>
      <c r="G38" s="203">
        <v>27210</v>
      </c>
      <c r="H38" s="204">
        <v>26204</v>
      </c>
      <c r="I38" s="204">
        <v>25456</v>
      </c>
      <c r="J38" s="204">
        <v>24912</v>
      </c>
      <c r="K38" s="204">
        <v>24532</v>
      </c>
      <c r="L38" s="204">
        <v>23873</v>
      </c>
      <c r="M38" s="204">
        <v>23693</v>
      </c>
      <c r="N38" s="204">
        <v>26168</v>
      </c>
      <c r="O38" s="204">
        <v>29278</v>
      </c>
      <c r="P38" s="204">
        <v>31139</v>
      </c>
      <c r="Q38" s="204">
        <v>32723</v>
      </c>
      <c r="R38" s="204">
        <v>33615</v>
      </c>
      <c r="S38" s="204">
        <v>32077</v>
      </c>
      <c r="T38" s="204">
        <v>33225</v>
      </c>
      <c r="U38" s="204">
        <v>35545</v>
      </c>
      <c r="V38" s="204">
        <v>35508</v>
      </c>
      <c r="W38" s="204">
        <v>34358</v>
      </c>
      <c r="X38" s="204">
        <v>33836</v>
      </c>
      <c r="Y38" s="204">
        <v>35779</v>
      </c>
      <c r="Z38" s="204">
        <v>35487</v>
      </c>
      <c r="AA38" s="204">
        <v>34743</v>
      </c>
      <c r="AB38" s="204">
        <v>33422</v>
      </c>
      <c r="AC38" s="204">
        <v>31165</v>
      </c>
      <c r="AD38" s="204">
        <v>29260</v>
      </c>
    </row>
    <row r="39" spans="2:30" x14ac:dyDescent="0.25">
      <c r="B39" s="198">
        <v>2036</v>
      </c>
      <c r="C39" s="199">
        <v>10</v>
      </c>
      <c r="D39" s="217"/>
      <c r="E39" s="201" t="s">
        <v>20</v>
      </c>
      <c r="F39" s="202">
        <v>4</v>
      </c>
      <c r="G39" s="203">
        <v>31414</v>
      </c>
      <c r="H39" s="204">
        <v>30339</v>
      </c>
      <c r="I39" s="204">
        <v>29407</v>
      </c>
      <c r="J39" s="204">
        <v>28554</v>
      </c>
      <c r="K39" s="204">
        <v>27721</v>
      </c>
      <c r="L39" s="204">
        <v>26911</v>
      </c>
      <c r="M39" s="204">
        <v>26731</v>
      </c>
      <c r="N39" s="204">
        <v>29131</v>
      </c>
      <c r="O39" s="204">
        <v>32330</v>
      </c>
      <c r="P39" s="204">
        <v>34449</v>
      </c>
      <c r="Q39" s="204">
        <v>36025</v>
      </c>
      <c r="R39" s="204">
        <v>36825</v>
      </c>
      <c r="S39" s="204">
        <v>35709</v>
      </c>
      <c r="T39" s="204">
        <v>35233</v>
      </c>
      <c r="U39" s="204">
        <v>35643</v>
      </c>
      <c r="V39" s="204">
        <v>35611</v>
      </c>
      <c r="W39" s="204">
        <v>34741</v>
      </c>
      <c r="X39" s="204">
        <v>35334</v>
      </c>
      <c r="Y39" s="204">
        <v>38478</v>
      </c>
      <c r="Z39" s="204">
        <v>38115</v>
      </c>
      <c r="AA39" s="204">
        <v>37159</v>
      </c>
      <c r="AB39" s="204">
        <v>35961</v>
      </c>
      <c r="AC39" s="204">
        <v>34277</v>
      </c>
      <c r="AD39" s="204">
        <v>32619</v>
      </c>
    </row>
    <row r="40" spans="2:30" x14ac:dyDescent="0.25">
      <c r="B40" s="198">
        <v>2036</v>
      </c>
      <c r="C40" s="199">
        <v>10</v>
      </c>
      <c r="D40" s="217"/>
      <c r="E40" s="201" t="s">
        <v>21</v>
      </c>
      <c r="F40" s="202">
        <v>4</v>
      </c>
      <c r="G40" s="203">
        <v>34058</v>
      </c>
      <c r="H40" s="204">
        <v>32634</v>
      </c>
      <c r="I40" s="204">
        <v>31354</v>
      </c>
      <c r="J40" s="204">
        <v>30425</v>
      </c>
      <c r="K40" s="204">
        <v>29845</v>
      </c>
      <c r="L40" s="204">
        <v>28670</v>
      </c>
      <c r="M40" s="204">
        <v>27640</v>
      </c>
      <c r="N40" s="204">
        <v>28684</v>
      </c>
      <c r="O40" s="204">
        <v>30040</v>
      </c>
      <c r="P40" s="204">
        <v>31271</v>
      </c>
      <c r="Q40" s="204">
        <v>32195</v>
      </c>
      <c r="R40" s="204">
        <v>33291</v>
      </c>
      <c r="S40" s="204">
        <v>33716</v>
      </c>
      <c r="T40" s="204">
        <v>33375</v>
      </c>
      <c r="U40" s="204">
        <v>33673</v>
      </c>
      <c r="V40" s="204">
        <v>34199</v>
      </c>
      <c r="W40" s="204">
        <v>33952</v>
      </c>
      <c r="X40" s="204">
        <v>35290</v>
      </c>
      <c r="Y40" s="204">
        <v>39523</v>
      </c>
      <c r="Z40" s="204">
        <v>39468</v>
      </c>
      <c r="AA40" s="204">
        <v>38879</v>
      </c>
      <c r="AB40" s="204">
        <v>37696</v>
      </c>
      <c r="AC40" s="204">
        <v>35685</v>
      </c>
      <c r="AD40" s="204">
        <v>33771</v>
      </c>
    </row>
    <row r="41" spans="2:30" ht="15.75" thickBot="1" x14ac:dyDescent="0.3">
      <c r="B41" s="198">
        <v>2036</v>
      </c>
      <c r="C41" s="205">
        <v>10</v>
      </c>
      <c r="D41" s="218"/>
      <c r="E41" s="201" t="s">
        <v>22</v>
      </c>
      <c r="F41" s="202">
        <v>1</v>
      </c>
      <c r="G41" s="207">
        <v>27502</v>
      </c>
      <c r="H41" s="208">
        <v>26654</v>
      </c>
      <c r="I41" s="208">
        <v>25920</v>
      </c>
      <c r="J41" s="208">
        <v>25368</v>
      </c>
      <c r="K41" s="208">
        <v>25098</v>
      </c>
      <c r="L41" s="208">
        <v>24038</v>
      </c>
      <c r="M41" s="208">
        <v>23439</v>
      </c>
      <c r="N41" s="208">
        <v>24840</v>
      </c>
      <c r="O41" s="208">
        <v>26677</v>
      </c>
      <c r="P41" s="208">
        <v>28278</v>
      </c>
      <c r="Q41" s="208">
        <v>29832</v>
      </c>
      <c r="R41" s="208">
        <v>31044</v>
      </c>
      <c r="S41" s="208">
        <v>31236</v>
      </c>
      <c r="T41" s="208">
        <v>30777</v>
      </c>
      <c r="U41" s="208">
        <v>30382</v>
      </c>
      <c r="V41" s="208">
        <v>30087</v>
      </c>
      <c r="W41" s="208">
        <v>29896</v>
      </c>
      <c r="X41" s="208">
        <v>30922</v>
      </c>
      <c r="Y41" s="208">
        <v>32735</v>
      </c>
      <c r="Z41" s="208">
        <v>33104</v>
      </c>
      <c r="AA41" s="208">
        <v>31769</v>
      </c>
      <c r="AB41" s="208">
        <v>29987</v>
      </c>
      <c r="AC41" s="208">
        <v>28248</v>
      </c>
      <c r="AD41" s="208">
        <v>26749</v>
      </c>
    </row>
    <row r="42" spans="2:30" x14ac:dyDescent="0.25">
      <c r="B42" s="198">
        <v>2036</v>
      </c>
      <c r="C42" s="209">
        <v>11</v>
      </c>
      <c r="D42" s="216">
        <v>22348545</v>
      </c>
      <c r="E42" s="201" t="s">
        <v>19</v>
      </c>
      <c r="F42" s="202">
        <v>18</v>
      </c>
      <c r="G42" s="203">
        <v>31182</v>
      </c>
      <c r="H42" s="204">
        <v>30038</v>
      </c>
      <c r="I42" s="204">
        <v>29181</v>
      </c>
      <c r="J42" s="204">
        <v>28517</v>
      </c>
      <c r="K42" s="204">
        <v>28175</v>
      </c>
      <c r="L42" s="204">
        <v>27481</v>
      </c>
      <c r="M42" s="204">
        <v>27195</v>
      </c>
      <c r="N42" s="204">
        <v>29783</v>
      </c>
      <c r="O42" s="204">
        <v>33168</v>
      </c>
      <c r="P42" s="204">
        <v>35247</v>
      </c>
      <c r="Q42" s="204">
        <v>36832</v>
      </c>
      <c r="R42" s="204">
        <v>37726</v>
      </c>
      <c r="S42" s="204">
        <v>35922</v>
      </c>
      <c r="T42" s="204">
        <v>37249</v>
      </c>
      <c r="U42" s="204">
        <v>39694</v>
      </c>
      <c r="V42" s="204">
        <v>40110</v>
      </c>
      <c r="W42" s="204">
        <v>38780</v>
      </c>
      <c r="X42" s="204">
        <v>38652</v>
      </c>
      <c r="Y42" s="204">
        <v>40852</v>
      </c>
      <c r="Z42" s="204">
        <v>40465</v>
      </c>
      <c r="AA42" s="204">
        <v>39601</v>
      </c>
      <c r="AB42" s="204">
        <v>37949</v>
      </c>
      <c r="AC42" s="204">
        <v>35548</v>
      </c>
      <c r="AD42" s="204">
        <v>33383</v>
      </c>
    </row>
    <row r="43" spans="2:30" x14ac:dyDescent="0.25">
      <c r="B43" s="198">
        <v>2036</v>
      </c>
      <c r="C43" s="199">
        <v>11</v>
      </c>
      <c r="D43" s="217"/>
      <c r="E43" s="201" t="s">
        <v>20</v>
      </c>
      <c r="F43" s="202">
        <v>5</v>
      </c>
      <c r="G43" s="203">
        <v>25372</v>
      </c>
      <c r="H43" s="204">
        <v>24469</v>
      </c>
      <c r="I43" s="204">
        <v>23695</v>
      </c>
      <c r="J43" s="204">
        <v>23072</v>
      </c>
      <c r="K43" s="204">
        <v>22688</v>
      </c>
      <c r="L43" s="204">
        <v>21785</v>
      </c>
      <c r="M43" s="204">
        <v>21331</v>
      </c>
      <c r="N43" s="204">
        <v>23034</v>
      </c>
      <c r="O43" s="204">
        <v>25253</v>
      </c>
      <c r="P43" s="204">
        <v>27027</v>
      </c>
      <c r="Q43" s="204">
        <v>28168</v>
      </c>
      <c r="R43" s="204">
        <v>29226</v>
      </c>
      <c r="S43" s="204">
        <v>28643</v>
      </c>
      <c r="T43" s="204">
        <v>28175</v>
      </c>
      <c r="U43" s="204">
        <v>28237</v>
      </c>
      <c r="V43" s="204">
        <v>28064</v>
      </c>
      <c r="W43" s="204">
        <v>27343</v>
      </c>
      <c r="X43" s="204">
        <v>28417</v>
      </c>
      <c r="Y43" s="204">
        <v>30787</v>
      </c>
      <c r="Z43" s="204">
        <v>30671</v>
      </c>
      <c r="AA43" s="204">
        <v>29837</v>
      </c>
      <c r="AB43" s="204">
        <v>28767</v>
      </c>
      <c r="AC43" s="204">
        <v>27392</v>
      </c>
      <c r="AD43" s="204">
        <v>25966</v>
      </c>
    </row>
    <row r="44" spans="2:30" x14ac:dyDescent="0.25">
      <c r="B44" s="198">
        <v>2036</v>
      </c>
      <c r="C44" s="199">
        <v>11</v>
      </c>
      <c r="D44" s="217"/>
      <c r="E44" s="201" t="s">
        <v>21</v>
      </c>
      <c r="F44" s="202">
        <v>5</v>
      </c>
      <c r="G44" s="203">
        <v>22619</v>
      </c>
      <c r="H44" s="204">
        <v>21846</v>
      </c>
      <c r="I44" s="204">
        <v>21274</v>
      </c>
      <c r="J44" s="204">
        <v>20889</v>
      </c>
      <c r="K44" s="204">
        <v>20654</v>
      </c>
      <c r="L44" s="204">
        <v>19256</v>
      </c>
      <c r="M44" s="204">
        <v>18460</v>
      </c>
      <c r="N44" s="204">
        <v>19540</v>
      </c>
      <c r="O44" s="204">
        <v>20777</v>
      </c>
      <c r="P44" s="204">
        <v>21646</v>
      </c>
      <c r="Q44" s="204">
        <v>22372</v>
      </c>
      <c r="R44" s="204">
        <v>23054</v>
      </c>
      <c r="S44" s="204">
        <v>23332</v>
      </c>
      <c r="T44" s="204">
        <v>23263</v>
      </c>
      <c r="U44" s="204">
        <v>23273</v>
      </c>
      <c r="V44" s="204">
        <v>23344</v>
      </c>
      <c r="W44" s="204">
        <v>23195</v>
      </c>
      <c r="X44" s="204">
        <v>24247</v>
      </c>
      <c r="Y44" s="204">
        <v>26995</v>
      </c>
      <c r="Z44" s="204">
        <v>27570</v>
      </c>
      <c r="AA44" s="204">
        <v>27383</v>
      </c>
      <c r="AB44" s="204">
        <v>26418</v>
      </c>
      <c r="AC44" s="204">
        <v>25030</v>
      </c>
      <c r="AD44" s="204">
        <v>23551</v>
      </c>
    </row>
    <row r="45" spans="2:30" ht="15.75" thickBot="1" x14ac:dyDescent="0.3">
      <c r="B45" s="198">
        <v>2036</v>
      </c>
      <c r="C45" s="205">
        <v>11</v>
      </c>
      <c r="D45" s="218"/>
      <c r="E45" s="201" t="s">
        <v>22</v>
      </c>
      <c r="F45" s="202">
        <v>2</v>
      </c>
      <c r="G45" s="207">
        <v>29309</v>
      </c>
      <c r="H45" s="208">
        <v>28031</v>
      </c>
      <c r="I45" s="208">
        <v>27136</v>
      </c>
      <c r="J45" s="208">
        <v>26364</v>
      </c>
      <c r="K45" s="208">
        <v>25858</v>
      </c>
      <c r="L45" s="208">
        <v>24813</v>
      </c>
      <c r="M45" s="208">
        <v>24037</v>
      </c>
      <c r="N45" s="208">
        <v>25564</v>
      </c>
      <c r="O45" s="208">
        <v>27401</v>
      </c>
      <c r="P45" s="208">
        <v>28801</v>
      </c>
      <c r="Q45" s="208">
        <v>29889</v>
      </c>
      <c r="R45" s="208">
        <v>30677</v>
      </c>
      <c r="S45" s="208">
        <v>30626</v>
      </c>
      <c r="T45" s="208">
        <v>30150</v>
      </c>
      <c r="U45" s="208">
        <v>30409</v>
      </c>
      <c r="V45" s="208">
        <v>30767</v>
      </c>
      <c r="W45" s="208">
        <v>30543</v>
      </c>
      <c r="X45" s="208">
        <v>31983</v>
      </c>
      <c r="Y45" s="208">
        <v>35234</v>
      </c>
      <c r="Z45" s="208">
        <v>35290</v>
      </c>
      <c r="AA45" s="208">
        <v>34423</v>
      </c>
      <c r="AB45" s="208">
        <v>33208</v>
      </c>
      <c r="AC45" s="208">
        <v>31216</v>
      </c>
      <c r="AD45" s="208">
        <v>29456</v>
      </c>
    </row>
    <row r="46" spans="2:30" x14ac:dyDescent="0.25">
      <c r="B46" s="198">
        <v>2036</v>
      </c>
      <c r="C46" s="209">
        <v>12</v>
      </c>
      <c r="D46" s="216">
        <v>23100760</v>
      </c>
      <c r="E46" s="201" t="s">
        <v>19</v>
      </c>
      <c r="F46" s="202">
        <v>21</v>
      </c>
      <c r="G46" s="203">
        <v>28068</v>
      </c>
      <c r="H46" s="204">
        <v>26951</v>
      </c>
      <c r="I46" s="204">
        <v>26132</v>
      </c>
      <c r="J46" s="204">
        <v>25455</v>
      </c>
      <c r="K46" s="204">
        <v>25179</v>
      </c>
      <c r="L46" s="204">
        <v>24620</v>
      </c>
      <c r="M46" s="204">
        <v>23754</v>
      </c>
      <c r="N46" s="204">
        <v>26120</v>
      </c>
      <c r="O46" s="204">
        <v>29065</v>
      </c>
      <c r="P46" s="204">
        <v>31209</v>
      </c>
      <c r="Q46" s="204">
        <v>32698</v>
      </c>
      <c r="R46" s="204">
        <v>33768</v>
      </c>
      <c r="S46" s="204">
        <v>32314</v>
      </c>
      <c r="T46" s="204">
        <v>33053</v>
      </c>
      <c r="U46" s="204">
        <v>35029</v>
      </c>
      <c r="V46" s="204">
        <v>35165</v>
      </c>
      <c r="W46" s="204">
        <v>34122</v>
      </c>
      <c r="X46" s="204">
        <v>33471</v>
      </c>
      <c r="Y46" s="204">
        <v>35872</v>
      </c>
      <c r="Z46" s="204">
        <v>35438</v>
      </c>
      <c r="AA46" s="204">
        <v>34646</v>
      </c>
      <c r="AB46" s="204">
        <v>33473</v>
      </c>
      <c r="AC46" s="204">
        <v>31728</v>
      </c>
      <c r="AD46" s="204">
        <v>29960</v>
      </c>
    </row>
    <row r="47" spans="2:30" x14ac:dyDescent="0.25">
      <c r="B47" s="198">
        <v>2036</v>
      </c>
      <c r="C47" s="199">
        <v>12</v>
      </c>
      <c r="D47" s="217"/>
      <c r="E47" s="201" t="s">
        <v>20</v>
      </c>
      <c r="F47" s="202">
        <v>4</v>
      </c>
      <c r="G47" s="203">
        <v>34788</v>
      </c>
      <c r="H47" s="204">
        <v>33599</v>
      </c>
      <c r="I47" s="204">
        <v>32184</v>
      </c>
      <c r="J47" s="204">
        <v>31354</v>
      </c>
      <c r="K47" s="204">
        <v>30933</v>
      </c>
      <c r="L47" s="204">
        <v>30586</v>
      </c>
      <c r="M47" s="204">
        <v>29174</v>
      </c>
      <c r="N47" s="204">
        <v>31199</v>
      </c>
      <c r="O47" s="204">
        <v>34277</v>
      </c>
      <c r="P47" s="204">
        <v>36384</v>
      </c>
      <c r="Q47" s="204">
        <v>37828</v>
      </c>
      <c r="R47" s="204">
        <v>38296</v>
      </c>
      <c r="S47" s="204">
        <v>37055</v>
      </c>
      <c r="T47" s="204">
        <v>36299</v>
      </c>
      <c r="U47" s="204">
        <v>36704</v>
      </c>
      <c r="V47" s="204">
        <v>36655</v>
      </c>
      <c r="W47" s="204">
        <v>36511</v>
      </c>
      <c r="X47" s="204">
        <v>37199</v>
      </c>
      <c r="Y47" s="204">
        <v>41206</v>
      </c>
      <c r="Z47" s="204">
        <v>40742</v>
      </c>
      <c r="AA47" s="204">
        <v>39800</v>
      </c>
      <c r="AB47" s="204">
        <v>38346</v>
      </c>
      <c r="AC47" s="204">
        <v>36777</v>
      </c>
      <c r="AD47" s="204">
        <v>34974</v>
      </c>
    </row>
    <row r="48" spans="2:30" x14ac:dyDescent="0.25">
      <c r="B48" s="198">
        <v>2036</v>
      </c>
      <c r="C48" s="199">
        <v>12</v>
      </c>
      <c r="D48" s="217"/>
      <c r="E48" s="201" t="s">
        <v>21</v>
      </c>
      <c r="F48" s="202">
        <v>4</v>
      </c>
      <c r="G48" s="203">
        <v>28902</v>
      </c>
      <c r="H48" s="204">
        <v>27910</v>
      </c>
      <c r="I48" s="204">
        <v>27149</v>
      </c>
      <c r="J48" s="204">
        <v>26219</v>
      </c>
      <c r="K48" s="204">
        <v>25670</v>
      </c>
      <c r="L48" s="204">
        <v>25063</v>
      </c>
      <c r="M48" s="204">
        <v>23612</v>
      </c>
      <c r="N48" s="204">
        <v>25198</v>
      </c>
      <c r="O48" s="204">
        <v>26686</v>
      </c>
      <c r="P48" s="204">
        <v>28071</v>
      </c>
      <c r="Q48" s="204">
        <v>29322</v>
      </c>
      <c r="R48" s="204">
        <v>30123</v>
      </c>
      <c r="S48" s="204">
        <v>30636</v>
      </c>
      <c r="T48" s="204">
        <v>30559</v>
      </c>
      <c r="U48" s="204">
        <v>30455</v>
      </c>
      <c r="V48" s="204">
        <v>30416</v>
      </c>
      <c r="W48" s="204">
        <v>30332</v>
      </c>
      <c r="X48" s="204">
        <v>31065</v>
      </c>
      <c r="Y48" s="204">
        <v>34809</v>
      </c>
      <c r="Z48" s="204">
        <v>34934</v>
      </c>
      <c r="AA48" s="204">
        <v>33977</v>
      </c>
      <c r="AB48" s="204">
        <v>32729</v>
      </c>
      <c r="AC48" s="204">
        <v>31588</v>
      </c>
      <c r="AD48" s="204">
        <v>29775</v>
      </c>
    </row>
    <row r="49" spans="2:30" ht="15.75" thickBot="1" x14ac:dyDescent="0.3">
      <c r="B49" s="198">
        <v>2036</v>
      </c>
      <c r="C49" s="205">
        <v>12</v>
      </c>
      <c r="D49" s="218"/>
      <c r="E49" s="201" t="s">
        <v>22</v>
      </c>
      <c r="F49" s="202">
        <v>2</v>
      </c>
      <c r="G49" s="207">
        <v>28867</v>
      </c>
      <c r="H49" s="208">
        <v>28316</v>
      </c>
      <c r="I49" s="208">
        <v>27709</v>
      </c>
      <c r="J49" s="208">
        <v>27063</v>
      </c>
      <c r="K49" s="208">
        <v>26625</v>
      </c>
      <c r="L49" s="208">
        <v>25646</v>
      </c>
      <c r="M49" s="208">
        <v>23600</v>
      </c>
      <c r="N49" s="208">
        <v>24206</v>
      </c>
      <c r="O49" s="208">
        <v>25682</v>
      </c>
      <c r="P49" s="208">
        <v>26980</v>
      </c>
      <c r="Q49" s="208">
        <v>28152</v>
      </c>
      <c r="R49" s="208">
        <v>28951</v>
      </c>
      <c r="S49" s="208">
        <v>28717</v>
      </c>
      <c r="T49" s="208">
        <v>28889</v>
      </c>
      <c r="U49" s="208">
        <v>29012</v>
      </c>
      <c r="V49" s="208">
        <v>29175</v>
      </c>
      <c r="W49" s="208">
        <v>29122</v>
      </c>
      <c r="X49" s="208">
        <v>29604</v>
      </c>
      <c r="Y49" s="208">
        <v>33491</v>
      </c>
      <c r="Z49" s="208">
        <v>33905</v>
      </c>
      <c r="AA49" s="208">
        <v>33920</v>
      </c>
      <c r="AB49" s="208">
        <v>33095</v>
      </c>
      <c r="AC49" s="208">
        <v>31715</v>
      </c>
      <c r="AD49" s="208">
        <v>30253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F599-B1FF-4A2F-9AE3-32004EC5B0E9}">
  <dimension ref="B1:AD49"/>
  <sheetViews>
    <sheetView showGridLines="0" workbookViewId="0">
      <selection activeCell="R12" sqref="R12"/>
    </sheetView>
  </sheetViews>
  <sheetFormatPr baseColWidth="10" defaultRowHeight="15" x14ac:dyDescent="0.25"/>
  <cols>
    <col min="1" max="1" width="3.7109375" customWidth="1"/>
    <col min="2" max="2" width="5.140625" bestFit="1" customWidth="1"/>
    <col min="3" max="3" width="4" bestFit="1" customWidth="1"/>
    <col min="4" max="4" width="11.42578125" bestFit="1" customWidth="1"/>
    <col min="5" max="5" width="8.42578125" bestFit="1" customWidth="1"/>
    <col min="6" max="6" width="3.140625" bestFit="1" customWidth="1"/>
    <col min="7" max="30" width="6.5703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2037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2037</v>
      </c>
      <c r="C4" s="213">
        <v>1</v>
      </c>
      <c r="D4" s="216">
        <v>24948639</v>
      </c>
      <c r="E4" s="201" t="s">
        <v>19</v>
      </c>
      <c r="F4" s="202">
        <v>20</v>
      </c>
      <c r="G4" s="214">
        <v>32762</v>
      </c>
      <c r="H4" s="215">
        <v>31430</v>
      </c>
      <c r="I4" s="215">
        <v>30416</v>
      </c>
      <c r="J4" s="215">
        <v>29702</v>
      </c>
      <c r="K4" s="215">
        <v>29348</v>
      </c>
      <c r="L4" s="215">
        <v>29108</v>
      </c>
      <c r="M4" s="215">
        <v>27379</v>
      </c>
      <c r="N4" s="215">
        <v>29821</v>
      </c>
      <c r="O4" s="215">
        <v>33172</v>
      </c>
      <c r="P4" s="215">
        <v>35312</v>
      </c>
      <c r="Q4" s="215">
        <v>37038</v>
      </c>
      <c r="R4" s="215">
        <v>38188</v>
      </c>
      <c r="S4" s="215">
        <v>36633</v>
      </c>
      <c r="T4" s="215">
        <v>38175</v>
      </c>
      <c r="U4" s="215">
        <v>40856</v>
      </c>
      <c r="V4" s="215">
        <v>41096</v>
      </c>
      <c r="W4" s="215">
        <v>40133</v>
      </c>
      <c r="X4" s="215">
        <v>38506</v>
      </c>
      <c r="Y4" s="215">
        <v>41365</v>
      </c>
      <c r="Z4" s="215">
        <v>41922</v>
      </c>
      <c r="AA4" s="215">
        <v>41041</v>
      </c>
      <c r="AB4" s="215">
        <v>39618</v>
      </c>
      <c r="AC4" s="215">
        <v>37297</v>
      </c>
      <c r="AD4" s="215">
        <v>34860</v>
      </c>
    </row>
    <row r="5" spans="2:30" x14ac:dyDescent="0.25">
      <c r="B5" s="198">
        <v>2037</v>
      </c>
      <c r="C5" s="199">
        <v>1</v>
      </c>
      <c r="D5" s="217"/>
      <c r="E5" s="201" t="s">
        <v>20</v>
      </c>
      <c r="F5" s="202">
        <v>5</v>
      </c>
      <c r="G5" s="203">
        <v>25517</v>
      </c>
      <c r="H5" s="204">
        <v>24527</v>
      </c>
      <c r="I5" s="204">
        <v>23744</v>
      </c>
      <c r="J5" s="204">
        <v>23125</v>
      </c>
      <c r="K5" s="204">
        <v>22801</v>
      </c>
      <c r="L5" s="204">
        <v>22505</v>
      </c>
      <c r="M5" s="204">
        <v>21132</v>
      </c>
      <c r="N5" s="204">
        <v>22821</v>
      </c>
      <c r="O5" s="204">
        <v>25233</v>
      </c>
      <c r="P5" s="204">
        <v>26890</v>
      </c>
      <c r="Q5" s="204">
        <v>27978</v>
      </c>
      <c r="R5" s="204">
        <v>28812</v>
      </c>
      <c r="S5" s="204">
        <v>28223</v>
      </c>
      <c r="T5" s="204">
        <v>28044</v>
      </c>
      <c r="U5" s="204">
        <v>27930</v>
      </c>
      <c r="V5" s="204">
        <v>28254</v>
      </c>
      <c r="W5" s="204">
        <v>27754</v>
      </c>
      <c r="X5" s="204">
        <v>27560</v>
      </c>
      <c r="Y5" s="204">
        <v>30706</v>
      </c>
      <c r="Z5" s="204">
        <v>31188</v>
      </c>
      <c r="AA5" s="204">
        <v>30465</v>
      </c>
      <c r="AB5" s="204">
        <v>29448</v>
      </c>
      <c r="AC5" s="204">
        <v>27877</v>
      </c>
      <c r="AD5" s="204">
        <v>26453</v>
      </c>
    </row>
    <row r="6" spans="2:30" x14ac:dyDescent="0.25">
      <c r="B6" s="198">
        <v>2037</v>
      </c>
      <c r="C6" s="199">
        <v>1</v>
      </c>
      <c r="D6" s="217"/>
      <c r="E6" s="201" t="s">
        <v>21</v>
      </c>
      <c r="F6" s="202">
        <v>4</v>
      </c>
      <c r="G6" s="203">
        <v>33323</v>
      </c>
      <c r="H6" s="204">
        <v>31940</v>
      </c>
      <c r="I6" s="204">
        <v>30897</v>
      </c>
      <c r="J6" s="204">
        <v>30145</v>
      </c>
      <c r="K6" s="204">
        <v>29719</v>
      </c>
      <c r="L6" s="204">
        <v>29241</v>
      </c>
      <c r="M6" s="204">
        <v>26918</v>
      </c>
      <c r="N6" s="204">
        <v>28091</v>
      </c>
      <c r="O6" s="204">
        <v>29836</v>
      </c>
      <c r="P6" s="204">
        <v>31160</v>
      </c>
      <c r="Q6" s="204">
        <v>32414</v>
      </c>
      <c r="R6" s="204">
        <v>33346</v>
      </c>
      <c r="S6" s="204">
        <v>33572</v>
      </c>
      <c r="T6" s="204">
        <v>33517</v>
      </c>
      <c r="U6" s="204">
        <v>33341</v>
      </c>
      <c r="V6" s="204">
        <v>33469</v>
      </c>
      <c r="W6" s="204">
        <v>33671</v>
      </c>
      <c r="X6" s="204">
        <v>33877</v>
      </c>
      <c r="Y6" s="204">
        <v>38562</v>
      </c>
      <c r="Z6" s="204">
        <v>39978</v>
      </c>
      <c r="AA6" s="204">
        <v>39766</v>
      </c>
      <c r="AB6" s="204">
        <v>38376</v>
      </c>
      <c r="AC6" s="204">
        <v>36412</v>
      </c>
      <c r="AD6" s="204">
        <v>34197</v>
      </c>
    </row>
    <row r="7" spans="2:30" ht="15.75" thickBot="1" x14ac:dyDescent="0.3">
      <c r="B7" s="198">
        <v>2037</v>
      </c>
      <c r="C7" s="205">
        <v>1</v>
      </c>
      <c r="D7" s="218"/>
      <c r="E7" s="201" t="s">
        <v>22</v>
      </c>
      <c r="F7" s="202">
        <v>2</v>
      </c>
      <c r="G7" s="207">
        <v>29714</v>
      </c>
      <c r="H7" s="208">
        <v>28953</v>
      </c>
      <c r="I7" s="208">
        <v>28281</v>
      </c>
      <c r="J7" s="208">
        <v>27753</v>
      </c>
      <c r="K7" s="208">
        <v>27369</v>
      </c>
      <c r="L7" s="208">
        <v>26729</v>
      </c>
      <c r="M7" s="208">
        <v>24716</v>
      </c>
      <c r="N7" s="208">
        <v>25810</v>
      </c>
      <c r="O7" s="208">
        <v>27612</v>
      </c>
      <c r="P7" s="208">
        <v>29235</v>
      </c>
      <c r="Q7" s="208">
        <v>30281</v>
      </c>
      <c r="R7" s="208">
        <v>31141</v>
      </c>
      <c r="S7" s="208">
        <v>31172</v>
      </c>
      <c r="T7" s="208">
        <v>30826</v>
      </c>
      <c r="U7" s="208">
        <v>30757</v>
      </c>
      <c r="V7" s="208">
        <v>30744</v>
      </c>
      <c r="W7" s="208">
        <v>30690</v>
      </c>
      <c r="X7" s="208">
        <v>31111</v>
      </c>
      <c r="Y7" s="208">
        <v>35767</v>
      </c>
      <c r="Z7" s="208">
        <v>36781</v>
      </c>
      <c r="AA7" s="208">
        <v>36563</v>
      </c>
      <c r="AB7" s="208">
        <v>35456</v>
      </c>
      <c r="AC7" s="208">
        <v>33869</v>
      </c>
      <c r="AD7" s="208">
        <v>32206</v>
      </c>
    </row>
    <row r="8" spans="2:30" x14ac:dyDescent="0.25">
      <c r="B8" s="198">
        <v>2037</v>
      </c>
      <c r="C8" s="209">
        <v>2</v>
      </c>
      <c r="D8" s="216">
        <v>24753432</v>
      </c>
      <c r="E8" s="201" t="s">
        <v>19</v>
      </c>
      <c r="F8" s="202">
        <v>20</v>
      </c>
      <c r="G8" s="203">
        <v>34645</v>
      </c>
      <c r="H8" s="204">
        <v>33353</v>
      </c>
      <c r="I8" s="204">
        <v>32306</v>
      </c>
      <c r="J8" s="204">
        <v>31511</v>
      </c>
      <c r="K8" s="204">
        <v>31117</v>
      </c>
      <c r="L8" s="204">
        <v>31785</v>
      </c>
      <c r="M8" s="204">
        <v>30111</v>
      </c>
      <c r="N8" s="204">
        <v>32232</v>
      </c>
      <c r="O8" s="204">
        <v>35396</v>
      </c>
      <c r="P8" s="204">
        <v>37375</v>
      </c>
      <c r="Q8" s="204">
        <v>38935</v>
      </c>
      <c r="R8" s="204">
        <v>39982</v>
      </c>
      <c r="S8" s="204">
        <v>37789</v>
      </c>
      <c r="T8" s="204">
        <v>39620</v>
      </c>
      <c r="U8" s="204">
        <v>42890</v>
      </c>
      <c r="V8" s="204">
        <v>43376</v>
      </c>
      <c r="W8" s="204">
        <v>42435</v>
      </c>
      <c r="X8" s="204">
        <v>40638</v>
      </c>
      <c r="Y8" s="204">
        <v>43248</v>
      </c>
      <c r="Z8" s="204">
        <v>44158</v>
      </c>
      <c r="AA8" s="204">
        <v>43626</v>
      </c>
      <c r="AB8" s="204">
        <v>42062</v>
      </c>
      <c r="AC8" s="204">
        <v>39365</v>
      </c>
      <c r="AD8" s="204">
        <v>36799</v>
      </c>
    </row>
    <row r="9" spans="2:30" x14ac:dyDescent="0.25">
      <c r="B9" s="198">
        <v>2037</v>
      </c>
      <c r="C9" s="199">
        <v>2</v>
      </c>
      <c r="D9" s="217"/>
      <c r="E9" s="201" t="s">
        <v>20</v>
      </c>
      <c r="F9" s="202">
        <v>4</v>
      </c>
      <c r="G9" s="203">
        <v>33969</v>
      </c>
      <c r="H9" s="204">
        <v>32730</v>
      </c>
      <c r="I9" s="204">
        <v>31794</v>
      </c>
      <c r="J9" s="204">
        <v>31029</v>
      </c>
      <c r="K9" s="204">
        <v>30599</v>
      </c>
      <c r="L9" s="204">
        <v>30291</v>
      </c>
      <c r="M9" s="204">
        <v>28496</v>
      </c>
      <c r="N9" s="204">
        <v>30355</v>
      </c>
      <c r="O9" s="204">
        <v>33428</v>
      </c>
      <c r="P9" s="204">
        <v>35704</v>
      </c>
      <c r="Q9" s="204">
        <v>37296</v>
      </c>
      <c r="R9" s="204">
        <v>38158</v>
      </c>
      <c r="S9" s="204">
        <v>37475</v>
      </c>
      <c r="T9" s="204">
        <v>37109</v>
      </c>
      <c r="U9" s="204">
        <v>37704</v>
      </c>
      <c r="V9" s="204">
        <v>37656</v>
      </c>
      <c r="W9" s="204">
        <v>37143</v>
      </c>
      <c r="X9" s="204">
        <v>36479</v>
      </c>
      <c r="Y9" s="204">
        <v>40291</v>
      </c>
      <c r="Z9" s="204">
        <v>41140</v>
      </c>
      <c r="AA9" s="204">
        <v>40437</v>
      </c>
      <c r="AB9" s="204">
        <v>38804</v>
      </c>
      <c r="AC9" s="204">
        <v>36924</v>
      </c>
      <c r="AD9" s="204">
        <v>35038</v>
      </c>
    </row>
    <row r="10" spans="2:30" ht="15.75" thickBot="1" x14ac:dyDescent="0.3">
      <c r="B10" s="198">
        <v>2037</v>
      </c>
      <c r="C10" s="205">
        <v>2</v>
      </c>
      <c r="D10" s="218"/>
      <c r="E10" s="201" t="s">
        <v>21</v>
      </c>
      <c r="F10" s="202">
        <v>4</v>
      </c>
      <c r="G10" s="207">
        <v>33540</v>
      </c>
      <c r="H10" s="208">
        <v>32416</v>
      </c>
      <c r="I10" s="208">
        <v>31454</v>
      </c>
      <c r="J10" s="208">
        <v>30758</v>
      </c>
      <c r="K10" s="208">
        <v>30313</v>
      </c>
      <c r="L10" s="208">
        <v>29838</v>
      </c>
      <c r="M10" s="208">
        <v>27308</v>
      </c>
      <c r="N10" s="208">
        <v>28533</v>
      </c>
      <c r="O10" s="208">
        <v>30035</v>
      </c>
      <c r="P10" s="208">
        <v>31503</v>
      </c>
      <c r="Q10" s="208">
        <v>32821</v>
      </c>
      <c r="R10" s="208">
        <v>34055</v>
      </c>
      <c r="S10" s="208">
        <v>34299</v>
      </c>
      <c r="T10" s="208">
        <v>34411</v>
      </c>
      <c r="U10" s="208">
        <v>34782</v>
      </c>
      <c r="V10" s="208">
        <v>35137</v>
      </c>
      <c r="W10" s="208">
        <v>34919</v>
      </c>
      <c r="X10" s="208">
        <v>34926</v>
      </c>
      <c r="Y10" s="208">
        <v>39148</v>
      </c>
      <c r="Z10" s="208">
        <v>40930</v>
      </c>
      <c r="AA10" s="208">
        <v>41150</v>
      </c>
      <c r="AB10" s="208">
        <v>39734</v>
      </c>
      <c r="AC10" s="208">
        <v>37461</v>
      </c>
      <c r="AD10" s="208">
        <v>35068</v>
      </c>
    </row>
    <row r="11" spans="2:30" x14ac:dyDescent="0.25">
      <c r="B11" s="198">
        <v>2037</v>
      </c>
      <c r="C11" s="209">
        <v>3</v>
      </c>
      <c r="D11" s="216">
        <v>26561350</v>
      </c>
      <c r="E11" s="201" t="s">
        <v>19</v>
      </c>
      <c r="F11" s="202">
        <v>21</v>
      </c>
      <c r="G11" s="203">
        <v>32697</v>
      </c>
      <c r="H11" s="204">
        <v>31425</v>
      </c>
      <c r="I11" s="204">
        <v>30547</v>
      </c>
      <c r="J11" s="204">
        <v>29796</v>
      </c>
      <c r="K11" s="204">
        <v>29448</v>
      </c>
      <c r="L11" s="204">
        <v>29728</v>
      </c>
      <c r="M11" s="204">
        <v>28292</v>
      </c>
      <c r="N11" s="204">
        <v>30454</v>
      </c>
      <c r="O11" s="204">
        <v>33391</v>
      </c>
      <c r="P11" s="204">
        <v>35293</v>
      </c>
      <c r="Q11" s="204">
        <v>36883</v>
      </c>
      <c r="R11" s="204">
        <v>37973</v>
      </c>
      <c r="S11" s="204">
        <v>35836</v>
      </c>
      <c r="T11" s="204">
        <v>37378</v>
      </c>
      <c r="U11" s="204">
        <v>40072</v>
      </c>
      <c r="V11" s="204">
        <v>40499</v>
      </c>
      <c r="W11" s="204">
        <v>39527</v>
      </c>
      <c r="X11" s="204">
        <v>37935</v>
      </c>
      <c r="Y11" s="204">
        <v>40748</v>
      </c>
      <c r="Z11" s="204">
        <v>41510</v>
      </c>
      <c r="AA11" s="204">
        <v>40897</v>
      </c>
      <c r="AB11" s="204">
        <v>39321</v>
      </c>
      <c r="AC11" s="204">
        <v>36812</v>
      </c>
      <c r="AD11" s="204">
        <v>34614</v>
      </c>
    </row>
    <row r="12" spans="2:30" x14ac:dyDescent="0.25">
      <c r="B12" s="198">
        <v>2037</v>
      </c>
      <c r="C12" s="199">
        <v>3</v>
      </c>
      <c r="D12" s="217"/>
      <c r="E12" s="201" t="s">
        <v>20</v>
      </c>
      <c r="F12" s="202">
        <v>4</v>
      </c>
      <c r="G12" s="203">
        <v>38252</v>
      </c>
      <c r="H12" s="204">
        <v>36904</v>
      </c>
      <c r="I12" s="204">
        <v>35841</v>
      </c>
      <c r="J12" s="204">
        <v>34946</v>
      </c>
      <c r="K12" s="204">
        <v>34322</v>
      </c>
      <c r="L12" s="204">
        <v>33877</v>
      </c>
      <c r="M12" s="204">
        <v>32049</v>
      </c>
      <c r="N12" s="204">
        <v>34100</v>
      </c>
      <c r="O12" s="204">
        <v>37627</v>
      </c>
      <c r="P12" s="204">
        <v>40093</v>
      </c>
      <c r="Q12" s="204">
        <v>42065</v>
      </c>
      <c r="R12" s="204">
        <v>43079</v>
      </c>
      <c r="S12" s="204">
        <v>41858</v>
      </c>
      <c r="T12" s="204">
        <v>41305</v>
      </c>
      <c r="U12" s="204">
        <v>41576</v>
      </c>
      <c r="V12" s="204">
        <v>41840</v>
      </c>
      <c r="W12" s="204">
        <v>41006</v>
      </c>
      <c r="X12" s="204">
        <v>40701</v>
      </c>
      <c r="Y12" s="204">
        <v>45404</v>
      </c>
      <c r="Z12" s="204">
        <v>46111</v>
      </c>
      <c r="AA12" s="204">
        <v>45177</v>
      </c>
      <c r="AB12" s="204">
        <v>43744</v>
      </c>
      <c r="AC12" s="204">
        <v>41672</v>
      </c>
      <c r="AD12" s="204">
        <v>39804</v>
      </c>
    </row>
    <row r="13" spans="2:30" x14ac:dyDescent="0.25">
      <c r="B13" s="198">
        <v>2037</v>
      </c>
      <c r="C13" s="199">
        <v>3</v>
      </c>
      <c r="D13" s="217"/>
      <c r="E13" s="201" t="s">
        <v>21</v>
      </c>
      <c r="F13" s="202">
        <v>5</v>
      </c>
      <c r="G13" s="203">
        <v>30241</v>
      </c>
      <c r="H13" s="204">
        <v>29267</v>
      </c>
      <c r="I13" s="204">
        <v>28409</v>
      </c>
      <c r="J13" s="204">
        <v>27769</v>
      </c>
      <c r="K13" s="204">
        <v>27295</v>
      </c>
      <c r="L13" s="204">
        <v>26647</v>
      </c>
      <c r="M13" s="204">
        <v>24939</v>
      </c>
      <c r="N13" s="204">
        <v>26017</v>
      </c>
      <c r="O13" s="204">
        <v>26645</v>
      </c>
      <c r="P13" s="204">
        <v>26947</v>
      </c>
      <c r="Q13" s="204">
        <v>29065</v>
      </c>
      <c r="R13" s="204">
        <v>30248</v>
      </c>
      <c r="S13" s="204">
        <v>30710</v>
      </c>
      <c r="T13" s="204">
        <v>30661</v>
      </c>
      <c r="U13" s="204">
        <v>31207</v>
      </c>
      <c r="V13" s="204">
        <v>30779</v>
      </c>
      <c r="W13" s="204">
        <v>30254</v>
      </c>
      <c r="X13" s="204">
        <v>31127</v>
      </c>
      <c r="Y13" s="204">
        <v>35092</v>
      </c>
      <c r="Z13" s="204">
        <v>36364</v>
      </c>
      <c r="AA13" s="204">
        <v>36367</v>
      </c>
      <c r="AB13" s="204">
        <v>35286</v>
      </c>
      <c r="AC13" s="204">
        <v>33575</v>
      </c>
      <c r="AD13" s="204">
        <v>31362</v>
      </c>
    </row>
    <row r="14" spans="2:30" ht="15.75" thickBot="1" x14ac:dyDescent="0.3">
      <c r="B14" s="198">
        <v>2037</v>
      </c>
      <c r="C14" s="205">
        <v>3</v>
      </c>
      <c r="D14" s="218"/>
      <c r="E14" s="201" t="s">
        <v>22</v>
      </c>
      <c r="F14" s="202">
        <v>1</v>
      </c>
      <c r="G14" s="207">
        <v>50437</v>
      </c>
      <c r="H14" s="208">
        <v>48308</v>
      </c>
      <c r="I14" s="208">
        <v>46840</v>
      </c>
      <c r="J14" s="208">
        <v>45767</v>
      </c>
      <c r="K14" s="208">
        <v>45209</v>
      </c>
      <c r="L14" s="208">
        <v>43942</v>
      </c>
      <c r="M14" s="208">
        <v>41785</v>
      </c>
      <c r="N14" s="208">
        <v>43831</v>
      </c>
      <c r="O14" s="208">
        <v>46392</v>
      </c>
      <c r="P14" s="208">
        <v>48651</v>
      </c>
      <c r="Q14" s="208">
        <v>50921</v>
      </c>
      <c r="R14" s="208">
        <v>53379</v>
      </c>
      <c r="S14" s="208">
        <v>54065</v>
      </c>
      <c r="T14" s="208">
        <v>54280</v>
      </c>
      <c r="U14" s="208">
        <v>54243</v>
      </c>
      <c r="V14" s="208">
        <v>54187</v>
      </c>
      <c r="W14" s="208">
        <v>53578</v>
      </c>
      <c r="X14" s="208">
        <v>53506</v>
      </c>
      <c r="Y14" s="208">
        <v>60196</v>
      </c>
      <c r="Z14" s="208">
        <v>62394</v>
      </c>
      <c r="AA14" s="208">
        <v>62206</v>
      </c>
      <c r="AB14" s="208">
        <v>60222</v>
      </c>
      <c r="AC14" s="208">
        <v>56771</v>
      </c>
      <c r="AD14" s="208">
        <v>52867</v>
      </c>
    </row>
    <row r="15" spans="2:30" x14ac:dyDescent="0.25">
      <c r="B15" s="198">
        <v>2037</v>
      </c>
      <c r="C15" s="209">
        <v>4</v>
      </c>
      <c r="D15" s="216">
        <v>24754182</v>
      </c>
      <c r="E15" s="201" t="s">
        <v>19</v>
      </c>
      <c r="F15" s="202">
        <v>20</v>
      </c>
      <c r="G15" s="203">
        <v>30815</v>
      </c>
      <c r="H15" s="204">
        <v>29815</v>
      </c>
      <c r="I15" s="204">
        <v>29050</v>
      </c>
      <c r="J15" s="204">
        <v>28381</v>
      </c>
      <c r="K15" s="204">
        <v>28196</v>
      </c>
      <c r="L15" s="204">
        <v>28076</v>
      </c>
      <c r="M15" s="204">
        <v>27317</v>
      </c>
      <c r="N15" s="204">
        <v>29686</v>
      </c>
      <c r="O15" s="204">
        <v>32821</v>
      </c>
      <c r="P15" s="204">
        <v>35394</v>
      </c>
      <c r="Q15" s="204">
        <v>37008</v>
      </c>
      <c r="R15" s="204">
        <v>37133</v>
      </c>
      <c r="S15" s="204">
        <v>35574</v>
      </c>
      <c r="T15" s="204">
        <v>37372</v>
      </c>
      <c r="U15" s="204">
        <v>39953</v>
      </c>
      <c r="V15" s="204">
        <v>39861</v>
      </c>
      <c r="W15" s="204">
        <v>38114</v>
      </c>
      <c r="X15" s="204">
        <v>37337</v>
      </c>
      <c r="Y15" s="204">
        <v>40131</v>
      </c>
      <c r="Z15" s="204">
        <v>40602</v>
      </c>
      <c r="AA15" s="204">
        <v>39442</v>
      </c>
      <c r="AB15" s="204">
        <v>37701</v>
      </c>
      <c r="AC15" s="204">
        <v>35250</v>
      </c>
      <c r="AD15" s="204">
        <v>32621</v>
      </c>
    </row>
    <row r="16" spans="2:30" x14ac:dyDescent="0.25">
      <c r="B16" s="198">
        <v>2037</v>
      </c>
      <c r="C16" s="199">
        <v>4</v>
      </c>
      <c r="D16" s="217"/>
      <c r="E16" s="201" t="s">
        <v>20</v>
      </c>
      <c r="F16" s="202">
        <v>4</v>
      </c>
      <c r="G16" s="203">
        <v>37235</v>
      </c>
      <c r="H16" s="204">
        <v>35792</v>
      </c>
      <c r="I16" s="204">
        <v>34679</v>
      </c>
      <c r="J16" s="204">
        <v>33860</v>
      </c>
      <c r="K16" s="204">
        <v>33402</v>
      </c>
      <c r="L16" s="204">
        <v>32583</v>
      </c>
      <c r="M16" s="204">
        <v>31389</v>
      </c>
      <c r="N16" s="204">
        <v>33798</v>
      </c>
      <c r="O16" s="204">
        <v>36821</v>
      </c>
      <c r="P16" s="204">
        <v>38838</v>
      </c>
      <c r="Q16" s="204">
        <v>40571</v>
      </c>
      <c r="R16" s="204">
        <v>42028</v>
      </c>
      <c r="S16" s="204">
        <v>41497</v>
      </c>
      <c r="T16" s="204">
        <v>41291</v>
      </c>
      <c r="U16" s="204">
        <v>42084</v>
      </c>
      <c r="V16" s="204">
        <v>42178</v>
      </c>
      <c r="W16" s="204">
        <v>41551</v>
      </c>
      <c r="X16" s="204">
        <v>41265</v>
      </c>
      <c r="Y16" s="204">
        <v>46133</v>
      </c>
      <c r="Z16" s="204">
        <v>46765</v>
      </c>
      <c r="AA16" s="204">
        <v>45496</v>
      </c>
      <c r="AB16" s="204">
        <v>43922</v>
      </c>
      <c r="AC16" s="204">
        <v>41329</v>
      </c>
      <c r="AD16" s="204">
        <v>39239</v>
      </c>
    </row>
    <row r="17" spans="2:30" x14ac:dyDescent="0.25">
      <c r="B17" s="198">
        <v>2037</v>
      </c>
      <c r="C17" s="199">
        <v>4</v>
      </c>
      <c r="D17" s="217"/>
      <c r="E17" s="201" t="s">
        <v>21</v>
      </c>
      <c r="F17" s="202">
        <v>4</v>
      </c>
      <c r="G17" s="203">
        <v>34982</v>
      </c>
      <c r="H17" s="204">
        <v>33753</v>
      </c>
      <c r="I17" s="204">
        <v>32769</v>
      </c>
      <c r="J17" s="204">
        <v>31928</v>
      </c>
      <c r="K17" s="204">
        <v>31343</v>
      </c>
      <c r="L17" s="204">
        <v>30404</v>
      </c>
      <c r="M17" s="204">
        <v>28873</v>
      </c>
      <c r="N17" s="204">
        <v>30292</v>
      </c>
      <c r="O17" s="204">
        <v>32235</v>
      </c>
      <c r="P17" s="204">
        <v>33335</v>
      </c>
      <c r="Q17" s="204">
        <v>34220</v>
      </c>
      <c r="R17" s="204">
        <v>35519</v>
      </c>
      <c r="S17" s="204">
        <v>36074</v>
      </c>
      <c r="T17" s="204">
        <v>36267</v>
      </c>
      <c r="U17" s="204">
        <v>36805</v>
      </c>
      <c r="V17" s="204">
        <v>37004</v>
      </c>
      <c r="W17" s="204">
        <v>36636</v>
      </c>
      <c r="X17" s="204">
        <v>36617</v>
      </c>
      <c r="Y17" s="204">
        <v>41429</v>
      </c>
      <c r="Z17" s="204">
        <v>42606</v>
      </c>
      <c r="AA17" s="204">
        <v>42149</v>
      </c>
      <c r="AB17" s="204">
        <v>40219</v>
      </c>
      <c r="AC17" s="204">
        <v>37365</v>
      </c>
      <c r="AD17" s="204">
        <v>34901</v>
      </c>
    </row>
    <row r="18" spans="2:30" ht="15.75" thickBot="1" x14ac:dyDescent="0.3">
      <c r="B18" s="198">
        <v>2037</v>
      </c>
      <c r="C18" s="205">
        <v>4</v>
      </c>
      <c r="D18" s="218"/>
      <c r="E18" s="201" t="s">
        <v>22</v>
      </c>
      <c r="F18" s="202">
        <v>2</v>
      </c>
      <c r="G18" s="207">
        <v>22529</v>
      </c>
      <c r="H18" s="208">
        <v>21546</v>
      </c>
      <c r="I18" s="208">
        <v>20964</v>
      </c>
      <c r="J18" s="208">
        <v>20572</v>
      </c>
      <c r="K18" s="208">
        <v>20304</v>
      </c>
      <c r="L18" s="208">
        <v>19575</v>
      </c>
      <c r="M18" s="208">
        <v>18507</v>
      </c>
      <c r="N18" s="208">
        <v>19157</v>
      </c>
      <c r="O18" s="208">
        <v>19723</v>
      </c>
      <c r="P18" s="208">
        <v>19950</v>
      </c>
      <c r="Q18" s="208">
        <v>20255</v>
      </c>
      <c r="R18" s="208">
        <v>20934</v>
      </c>
      <c r="S18" s="208">
        <v>21248</v>
      </c>
      <c r="T18" s="208">
        <v>21225</v>
      </c>
      <c r="U18" s="208">
        <v>21320</v>
      </c>
      <c r="V18" s="208">
        <v>21453</v>
      </c>
      <c r="W18" s="208">
        <v>21304</v>
      </c>
      <c r="X18" s="208">
        <v>21432</v>
      </c>
      <c r="Y18" s="208">
        <v>24596</v>
      </c>
      <c r="Z18" s="208">
        <v>25367</v>
      </c>
      <c r="AA18" s="208">
        <v>25128</v>
      </c>
      <c r="AB18" s="208">
        <v>24503</v>
      </c>
      <c r="AC18" s="208">
        <v>23544</v>
      </c>
      <c r="AD18" s="208">
        <v>22513</v>
      </c>
    </row>
    <row r="19" spans="2:30" x14ac:dyDescent="0.25">
      <c r="B19" s="198">
        <v>2037</v>
      </c>
      <c r="C19" s="209">
        <v>5</v>
      </c>
      <c r="D19" s="216">
        <v>23879353</v>
      </c>
      <c r="E19" s="201" t="s">
        <v>19</v>
      </c>
      <c r="F19" s="202">
        <v>19</v>
      </c>
      <c r="G19" s="203">
        <v>32336</v>
      </c>
      <c r="H19" s="204">
        <v>31035</v>
      </c>
      <c r="I19" s="204">
        <v>30143</v>
      </c>
      <c r="J19" s="204">
        <v>29485</v>
      </c>
      <c r="K19" s="204">
        <v>29303</v>
      </c>
      <c r="L19" s="204">
        <v>29259</v>
      </c>
      <c r="M19" s="204">
        <v>29017</v>
      </c>
      <c r="N19" s="204">
        <v>32019</v>
      </c>
      <c r="O19" s="204">
        <v>35119</v>
      </c>
      <c r="P19" s="204">
        <v>36985</v>
      </c>
      <c r="Q19" s="204">
        <v>38512</v>
      </c>
      <c r="R19" s="204">
        <v>39505</v>
      </c>
      <c r="S19" s="204">
        <v>37538</v>
      </c>
      <c r="T19" s="204">
        <v>38852</v>
      </c>
      <c r="U19" s="204">
        <v>41639</v>
      </c>
      <c r="V19" s="204">
        <v>41725</v>
      </c>
      <c r="W19" s="204">
        <v>40656</v>
      </c>
      <c r="X19" s="204">
        <v>39133</v>
      </c>
      <c r="Y19" s="204">
        <v>42416</v>
      </c>
      <c r="Z19" s="204">
        <v>42959</v>
      </c>
      <c r="AA19" s="204">
        <v>41937</v>
      </c>
      <c r="AB19" s="204">
        <v>39879</v>
      </c>
      <c r="AC19" s="204">
        <v>37008</v>
      </c>
      <c r="AD19" s="204">
        <v>34426</v>
      </c>
    </row>
    <row r="20" spans="2:30" x14ac:dyDescent="0.25">
      <c r="B20" s="198">
        <v>2037</v>
      </c>
      <c r="C20" s="199">
        <v>5</v>
      </c>
      <c r="D20" s="217"/>
      <c r="E20" s="201" t="s">
        <v>20</v>
      </c>
      <c r="F20" s="202">
        <v>5</v>
      </c>
      <c r="G20" s="203">
        <v>24334</v>
      </c>
      <c r="H20" s="204">
        <v>23372</v>
      </c>
      <c r="I20" s="204">
        <v>22618</v>
      </c>
      <c r="J20" s="204">
        <v>22074</v>
      </c>
      <c r="K20" s="204">
        <v>21786</v>
      </c>
      <c r="L20" s="204">
        <v>20920</v>
      </c>
      <c r="M20" s="204">
        <v>20473</v>
      </c>
      <c r="N20" s="204">
        <v>21994</v>
      </c>
      <c r="O20" s="204">
        <v>24235</v>
      </c>
      <c r="P20" s="204">
        <v>25496</v>
      </c>
      <c r="Q20" s="204">
        <v>26665</v>
      </c>
      <c r="R20" s="204">
        <v>27420</v>
      </c>
      <c r="S20" s="204">
        <v>26507</v>
      </c>
      <c r="T20" s="204">
        <v>26055</v>
      </c>
      <c r="U20" s="204">
        <v>26199</v>
      </c>
      <c r="V20" s="204">
        <v>26240</v>
      </c>
      <c r="W20" s="204">
        <v>25812</v>
      </c>
      <c r="X20" s="204">
        <v>25860</v>
      </c>
      <c r="Y20" s="204">
        <v>28922</v>
      </c>
      <c r="Z20" s="204">
        <v>29008</v>
      </c>
      <c r="AA20" s="204">
        <v>28091</v>
      </c>
      <c r="AB20" s="204">
        <v>26938</v>
      </c>
      <c r="AC20" s="204">
        <v>25428</v>
      </c>
      <c r="AD20" s="204">
        <v>23808</v>
      </c>
    </row>
    <row r="21" spans="2:30" x14ac:dyDescent="0.25">
      <c r="B21" s="198">
        <v>2037</v>
      </c>
      <c r="C21" s="199">
        <v>5</v>
      </c>
      <c r="D21" s="217"/>
      <c r="E21" s="201" t="s">
        <v>21</v>
      </c>
      <c r="F21" s="202">
        <v>5</v>
      </c>
      <c r="G21" s="203">
        <v>23175</v>
      </c>
      <c r="H21" s="204">
        <v>22304</v>
      </c>
      <c r="I21" s="204">
        <v>21701</v>
      </c>
      <c r="J21" s="204">
        <v>20943</v>
      </c>
      <c r="K21" s="204">
        <v>20701</v>
      </c>
      <c r="L21" s="204">
        <v>19716</v>
      </c>
      <c r="M21" s="204">
        <v>18635</v>
      </c>
      <c r="N21" s="204">
        <v>19680</v>
      </c>
      <c r="O21" s="204">
        <v>21367</v>
      </c>
      <c r="P21" s="204">
        <v>22456</v>
      </c>
      <c r="Q21" s="204">
        <v>23238</v>
      </c>
      <c r="R21" s="204">
        <v>24139</v>
      </c>
      <c r="S21" s="204">
        <v>24282</v>
      </c>
      <c r="T21" s="204">
        <v>24228</v>
      </c>
      <c r="U21" s="204">
        <v>24301</v>
      </c>
      <c r="V21" s="204">
        <v>24390</v>
      </c>
      <c r="W21" s="204">
        <v>24355</v>
      </c>
      <c r="X21" s="204">
        <v>24506</v>
      </c>
      <c r="Y21" s="204">
        <v>27731</v>
      </c>
      <c r="Z21" s="204">
        <v>28551</v>
      </c>
      <c r="AA21" s="204">
        <v>28637</v>
      </c>
      <c r="AB21" s="204">
        <v>27836</v>
      </c>
      <c r="AC21" s="204">
        <v>26260</v>
      </c>
      <c r="AD21" s="204">
        <v>24716</v>
      </c>
    </row>
    <row r="22" spans="2:30" ht="15.75" thickBot="1" x14ac:dyDescent="0.3">
      <c r="B22" s="198">
        <v>2037</v>
      </c>
      <c r="C22" s="205">
        <v>5</v>
      </c>
      <c r="D22" s="218"/>
      <c r="E22" s="201" t="s">
        <v>22</v>
      </c>
      <c r="F22" s="202">
        <v>2</v>
      </c>
      <c r="G22" s="207">
        <v>29499</v>
      </c>
      <c r="H22" s="208">
        <v>28212</v>
      </c>
      <c r="I22" s="208">
        <v>27402</v>
      </c>
      <c r="J22" s="208">
        <v>26616</v>
      </c>
      <c r="K22" s="208">
        <v>25975</v>
      </c>
      <c r="L22" s="208">
        <v>24386</v>
      </c>
      <c r="M22" s="208">
        <v>24136</v>
      </c>
      <c r="N22" s="208">
        <v>25908</v>
      </c>
      <c r="O22" s="208">
        <v>27758</v>
      </c>
      <c r="P22" s="208">
        <v>29470</v>
      </c>
      <c r="Q22" s="208">
        <v>30769</v>
      </c>
      <c r="R22" s="208">
        <v>32507</v>
      </c>
      <c r="S22" s="208">
        <v>32723</v>
      </c>
      <c r="T22" s="208">
        <v>32821</v>
      </c>
      <c r="U22" s="208">
        <v>33349</v>
      </c>
      <c r="V22" s="208">
        <v>33505</v>
      </c>
      <c r="W22" s="208">
        <v>32917</v>
      </c>
      <c r="X22" s="208">
        <v>32694</v>
      </c>
      <c r="Y22" s="208">
        <v>37010</v>
      </c>
      <c r="Z22" s="208">
        <v>38330</v>
      </c>
      <c r="AA22" s="208">
        <v>37876</v>
      </c>
      <c r="AB22" s="208">
        <v>36114</v>
      </c>
      <c r="AC22" s="208">
        <v>34081</v>
      </c>
      <c r="AD22" s="208">
        <v>31944</v>
      </c>
    </row>
    <row r="23" spans="2:30" x14ac:dyDescent="0.25">
      <c r="B23" s="198">
        <v>2037</v>
      </c>
      <c r="C23" s="209">
        <v>6</v>
      </c>
      <c r="D23" s="216">
        <v>22067533</v>
      </c>
      <c r="E23" s="201" t="s">
        <v>19</v>
      </c>
      <c r="F23" s="202">
        <v>19</v>
      </c>
      <c r="G23" s="203">
        <v>28130</v>
      </c>
      <c r="H23" s="204">
        <v>26702</v>
      </c>
      <c r="I23" s="204">
        <v>25997</v>
      </c>
      <c r="J23" s="204">
        <v>25573</v>
      </c>
      <c r="K23" s="204">
        <v>25959</v>
      </c>
      <c r="L23" s="204">
        <v>25775</v>
      </c>
      <c r="M23" s="204">
        <v>25449</v>
      </c>
      <c r="N23" s="204">
        <v>27691</v>
      </c>
      <c r="O23" s="204">
        <v>30540</v>
      </c>
      <c r="P23" s="204">
        <v>32247</v>
      </c>
      <c r="Q23" s="204">
        <v>33894</v>
      </c>
      <c r="R23" s="204">
        <v>35032</v>
      </c>
      <c r="S23" s="204">
        <v>33261</v>
      </c>
      <c r="T23" s="204">
        <v>34257</v>
      </c>
      <c r="U23" s="204">
        <v>36700</v>
      </c>
      <c r="V23" s="204">
        <v>36755</v>
      </c>
      <c r="W23" s="204">
        <v>35886</v>
      </c>
      <c r="X23" s="204">
        <v>34397</v>
      </c>
      <c r="Y23" s="204">
        <v>37263</v>
      </c>
      <c r="Z23" s="204">
        <v>37961</v>
      </c>
      <c r="AA23" s="204">
        <v>36891</v>
      </c>
      <c r="AB23" s="204">
        <v>35058</v>
      </c>
      <c r="AC23" s="204">
        <v>32481</v>
      </c>
      <c r="AD23" s="204">
        <v>30111</v>
      </c>
    </row>
    <row r="24" spans="2:30" x14ac:dyDescent="0.25">
      <c r="B24" s="198">
        <v>2037</v>
      </c>
      <c r="C24" s="199">
        <v>6</v>
      </c>
      <c r="D24" s="217"/>
      <c r="E24" s="201" t="s">
        <v>20</v>
      </c>
      <c r="F24" s="202">
        <v>4</v>
      </c>
      <c r="G24" s="203">
        <v>30502</v>
      </c>
      <c r="H24" s="204">
        <v>29420</v>
      </c>
      <c r="I24" s="204">
        <v>28383</v>
      </c>
      <c r="J24" s="204">
        <v>27630</v>
      </c>
      <c r="K24" s="204">
        <v>27447</v>
      </c>
      <c r="L24" s="204">
        <v>26438</v>
      </c>
      <c r="M24" s="204">
        <v>25906</v>
      </c>
      <c r="N24" s="204">
        <v>28140</v>
      </c>
      <c r="O24" s="204">
        <v>30746</v>
      </c>
      <c r="P24" s="204">
        <v>32994</v>
      </c>
      <c r="Q24" s="204">
        <v>34707</v>
      </c>
      <c r="R24" s="204">
        <v>35628</v>
      </c>
      <c r="S24" s="204">
        <v>35069</v>
      </c>
      <c r="T24" s="204">
        <v>35086</v>
      </c>
      <c r="U24" s="204">
        <v>35531</v>
      </c>
      <c r="V24" s="204">
        <v>34756</v>
      </c>
      <c r="W24" s="204">
        <v>34042</v>
      </c>
      <c r="X24" s="204">
        <v>34036</v>
      </c>
      <c r="Y24" s="204">
        <v>38075</v>
      </c>
      <c r="Z24" s="204">
        <v>39114</v>
      </c>
      <c r="AA24" s="204">
        <v>38223</v>
      </c>
      <c r="AB24" s="204">
        <v>36381</v>
      </c>
      <c r="AC24" s="204">
        <v>34337</v>
      </c>
      <c r="AD24" s="204">
        <v>32461</v>
      </c>
    </row>
    <row r="25" spans="2:30" x14ac:dyDescent="0.25">
      <c r="B25" s="198">
        <v>2037</v>
      </c>
      <c r="C25" s="199">
        <v>6</v>
      </c>
      <c r="D25" s="217"/>
      <c r="E25" s="201" t="s">
        <v>21</v>
      </c>
      <c r="F25" s="202">
        <v>4</v>
      </c>
      <c r="G25" s="203">
        <v>30694</v>
      </c>
      <c r="H25" s="204">
        <v>29527</v>
      </c>
      <c r="I25" s="204">
        <v>28746</v>
      </c>
      <c r="J25" s="204">
        <v>28223</v>
      </c>
      <c r="K25" s="204">
        <v>27858</v>
      </c>
      <c r="L25" s="204">
        <v>25963</v>
      </c>
      <c r="M25" s="204">
        <v>24914</v>
      </c>
      <c r="N25" s="204">
        <v>26144</v>
      </c>
      <c r="O25" s="204">
        <v>27729</v>
      </c>
      <c r="P25" s="204">
        <v>29328</v>
      </c>
      <c r="Q25" s="204">
        <v>30631</v>
      </c>
      <c r="R25" s="204">
        <v>31626</v>
      </c>
      <c r="S25" s="204">
        <v>32021</v>
      </c>
      <c r="T25" s="204">
        <v>32293</v>
      </c>
      <c r="U25" s="204">
        <v>33040</v>
      </c>
      <c r="V25" s="204">
        <v>32981</v>
      </c>
      <c r="W25" s="204">
        <v>32943</v>
      </c>
      <c r="X25" s="204">
        <v>32880</v>
      </c>
      <c r="Y25" s="204">
        <v>37096</v>
      </c>
      <c r="Z25" s="204">
        <v>38610</v>
      </c>
      <c r="AA25" s="204">
        <v>38133</v>
      </c>
      <c r="AB25" s="204">
        <v>36599</v>
      </c>
      <c r="AC25" s="204">
        <v>34478</v>
      </c>
      <c r="AD25" s="204">
        <v>32449</v>
      </c>
    </row>
    <row r="26" spans="2:30" ht="15.75" thickBot="1" x14ac:dyDescent="0.3">
      <c r="B26" s="198">
        <v>2037</v>
      </c>
      <c r="C26" s="205">
        <v>6</v>
      </c>
      <c r="D26" s="218"/>
      <c r="E26" s="201" t="s">
        <v>22</v>
      </c>
      <c r="F26" s="202">
        <v>3</v>
      </c>
      <c r="G26" s="207">
        <v>18660</v>
      </c>
      <c r="H26" s="208">
        <v>18017</v>
      </c>
      <c r="I26" s="208">
        <v>17563</v>
      </c>
      <c r="J26" s="208">
        <v>17160</v>
      </c>
      <c r="K26" s="208">
        <v>16950</v>
      </c>
      <c r="L26" s="208">
        <v>15765</v>
      </c>
      <c r="M26" s="208">
        <v>15219</v>
      </c>
      <c r="N26" s="208">
        <v>16207</v>
      </c>
      <c r="O26" s="208">
        <v>17618</v>
      </c>
      <c r="P26" s="208">
        <v>18482</v>
      </c>
      <c r="Q26" s="208">
        <v>18994</v>
      </c>
      <c r="R26" s="208">
        <v>20002</v>
      </c>
      <c r="S26" s="208">
        <v>20225</v>
      </c>
      <c r="T26" s="208">
        <v>20408</v>
      </c>
      <c r="U26" s="208">
        <v>21462</v>
      </c>
      <c r="V26" s="208">
        <v>21287</v>
      </c>
      <c r="W26" s="208">
        <v>20266</v>
      </c>
      <c r="X26" s="208">
        <v>20025</v>
      </c>
      <c r="Y26" s="208">
        <v>22416</v>
      </c>
      <c r="Z26" s="208">
        <v>23180</v>
      </c>
      <c r="AA26" s="208">
        <v>22867</v>
      </c>
      <c r="AB26" s="208">
        <v>21830</v>
      </c>
      <c r="AC26" s="208">
        <v>20276</v>
      </c>
      <c r="AD26" s="208">
        <v>18958</v>
      </c>
    </row>
    <row r="27" spans="2:30" x14ac:dyDescent="0.25">
      <c r="B27" s="198">
        <v>2037</v>
      </c>
      <c r="C27" s="209">
        <v>7</v>
      </c>
      <c r="D27" s="216">
        <v>22621995</v>
      </c>
      <c r="E27" s="201" t="s">
        <v>19</v>
      </c>
      <c r="F27" s="202">
        <v>22</v>
      </c>
      <c r="G27" s="203">
        <v>25373</v>
      </c>
      <c r="H27" s="204">
        <v>24458</v>
      </c>
      <c r="I27" s="204">
        <v>23748</v>
      </c>
      <c r="J27" s="204">
        <v>23212</v>
      </c>
      <c r="K27" s="204">
        <v>23140</v>
      </c>
      <c r="L27" s="204">
        <v>23191</v>
      </c>
      <c r="M27" s="204">
        <v>22632</v>
      </c>
      <c r="N27" s="204">
        <v>24420</v>
      </c>
      <c r="O27" s="204">
        <v>26641</v>
      </c>
      <c r="P27" s="204">
        <v>28217</v>
      </c>
      <c r="Q27" s="204">
        <v>29433</v>
      </c>
      <c r="R27" s="204">
        <v>30239</v>
      </c>
      <c r="S27" s="204">
        <v>28767</v>
      </c>
      <c r="T27" s="204">
        <v>29394</v>
      </c>
      <c r="U27" s="204">
        <v>31601</v>
      </c>
      <c r="V27" s="204">
        <v>31813</v>
      </c>
      <c r="W27" s="204">
        <v>31380</v>
      </c>
      <c r="X27" s="204">
        <v>30173</v>
      </c>
      <c r="Y27" s="204">
        <v>32566</v>
      </c>
      <c r="Z27" s="204">
        <v>33621</v>
      </c>
      <c r="AA27" s="204">
        <v>32762</v>
      </c>
      <c r="AB27" s="204">
        <v>31165</v>
      </c>
      <c r="AC27" s="204">
        <v>28788</v>
      </c>
      <c r="AD27" s="204">
        <v>26650</v>
      </c>
    </row>
    <row r="28" spans="2:30" x14ac:dyDescent="0.25">
      <c r="B28" s="198">
        <v>2037</v>
      </c>
      <c r="C28" s="199">
        <v>7</v>
      </c>
      <c r="D28" s="217"/>
      <c r="E28" s="201" t="s">
        <v>20</v>
      </c>
      <c r="F28" s="202">
        <v>4</v>
      </c>
      <c r="G28" s="203">
        <v>29317</v>
      </c>
      <c r="H28" s="204">
        <v>28583</v>
      </c>
      <c r="I28" s="204">
        <v>27790</v>
      </c>
      <c r="J28" s="204">
        <v>27261</v>
      </c>
      <c r="K28" s="204">
        <v>27034</v>
      </c>
      <c r="L28" s="204">
        <v>26430</v>
      </c>
      <c r="M28" s="204">
        <v>25851</v>
      </c>
      <c r="N28" s="204">
        <v>28230</v>
      </c>
      <c r="O28" s="204">
        <v>31100</v>
      </c>
      <c r="P28" s="204">
        <v>32832</v>
      </c>
      <c r="Q28" s="204">
        <v>34109</v>
      </c>
      <c r="R28" s="204">
        <v>35098</v>
      </c>
      <c r="S28" s="204">
        <v>34720</v>
      </c>
      <c r="T28" s="204">
        <v>34629</v>
      </c>
      <c r="U28" s="204">
        <v>35381</v>
      </c>
      <c r="V28" s="204">
        <v>34224</v>
      </c>
      <c r="W28" s="204">
        <v>34784</v>
      </c>
      <c r="X28" s="204">
        <v>34122</v>
      </c>
      <c r="Y28" s="204">
        <v>37804</v>
      </c>
      <c r="Z28" s="204">
        <v>39198</v>
      </c>
      <c r="AA28" s="204">
        <v>38285</v>
      </c>
      <c r="AB28" s="204">
        <v>36673</v>
      </c>
      <c r="AC28" s="204">
        <v>34537</v>
      </c>
      <c r="AD28" s="204">
        <v>32429</v>
      </c>
    </row>
    <row r="29" spans="2:30" x14ac:dyDescent="0.25">
      <c r="B29" s="198">
        <v>2037</v>
      </c>
      <c r="C29" s="199">
        <v>7</v>
      </c>
      <c r="D29" s="217"/>
      <c r="E29" s="201" t="s">
        <v>21</v>
      </c>
      <c r="F29" s="202">
        <v>4</v>
      </c>
      <c r="G29" s="203">
        <v>33081</v>
      </c>
      <c r="H29" s="204">
        <v>31811</v>
      </c>
      <c r="I29" s="204">
        <v>31041</v>
      </c>
      <c r="J29" s="204">
        <v>29945</v>
      </c>
      <c r="K29" s="204">
        <v>29786</v>
      </c>
      <c r="L29" s="204">
        <v>28788</v>
      </c>
      <c r="M29" s="204">
        <v>27218</v>
      </c>
      <c r="N29" s="204">
        <v>29176</v>
      </c>
      <c r="O29" s="204">
        <v>31724</v>
      </c>
      <c r="P29" s="204">
        <v>33255</v>
      </c>
      <c r="Q29" s="204">
        <v>34436</v>
      </c>
      <c r="R29" s="204">
        <v>35563</v>
      </c>
      <c r="S29" s="204">
        <v>35225</v>
      </c>
      <c r="T29" s="204">
        <v>34725</v>
      </c>
      <c r="U29" s="204">
        <v>34981</v>
      </c>
      <c r="V29" s="204">
        <v>35394</v>
      </c>
      <c r="W29" s="204">
        <v>35359</v>
      </c>
      <c r="X29" s="204">
        <v>35184</v>
      </c>
      <c r="Y29" s="204">
        <v>38929</v>
      </c>
      <c r="Z29" s="204">
        <v>40803</v>
      </c>
      <c r="AA29" s="204">
        <v>40078</v>
      </c>
      <c r="AB29" s="204">
        <v>38454</v>
      </c>
      <c r="AC29" s="204">
        <v>36123</v>
      </c>
      <c r="AD29" s="204">
        <v>33995</v>
      </c>
    </row>
    <row r="30" spans="2:30" ht="15.75" thickBot="1" x14ac:dyDescent="0.3">
      <c r="B30" s="198">
        <v>2037</v>
      </c>
      <c r="C30" s="205">
        <v>7</v>
      </c>
      <c r="D30" s="218"/>
      <c r="E30" s="201" t="s">
        <v>22</v>
      </c>
      <c r="F30" s="202">
        <v>1</v>
      </c>
      <c r="G30" s="207">
        <v>54567</v>
      </c>
      <c r="H30" s="208">
        <v>52990</v>
      </c>
      <c r="I30" s="208">
        <v>51606</v>
      </c>
      <c r="J30" s="208">
        <v>50285</v>
      </c>
      <c r="K30" s="208">
        <v>49938</v>
      </c>
      <c r="L30" s="208">
        <v>48607</v>
      </c>
      <c r="M30" s="208">
        <v>47643</v>
      </c>
      <c r="N30" s="208">
        <v>50457</v>
      </c>
      <c r="O30" s="208">
        <v>54013</v>
      </c>
      <c r="P30" s="208">
        <v>56998</v>
      </c>
      <c r="Q30" s="208">
        <v>59543</v>
      </c>
      <c r="R30" s="208">
        <v>61949</v>
      </c>
      <c r="S30" s="208">
        <v>66214</v>
      </c>
      <c r="T30" s="208">
        <v>63903</v>
      </c>
      <c r="U30" s="208">
        <v>63443</v>
      </c>
      <c r="V30" s="208">
        <v>64031</v>
      </c>
      <c r="W30" s="208">
        <v>63180</v>
      </c>
      <c r="X30" s="208">
        <v>62596</v>
      </c>
      <c r="Y30" s="208">
        <v>69662</v>
      </c>
      <c r="Z30" s="208">
        <v>72375</v>
      </c>
      <c r="AA30" s="208">
        <v>70896</v>
      </c>
      <c r="AB30" s="208">
        <v>67873</v>
      </c>
      <c r="AC30" s="208">
        <v>63299</v>
      </c>
      <c r="AD30" s="208">
        <v>59499</v>
      </c>
    </row>
    <row r="31" spans="2:30" x14ac:dyDescent="0.25">
      <c r="B31" s="198">
        <v>2037</v>
      </c>
      <c r="C31" s="209">
        <v>8</v>
      </c>
      <c r="D31" s="216">
        <v>24234529</v>
      </c>
      <c r="E31" s="201" t="s">
        <v>19</v>
      </c>
      <c r="F31" s="202">
        <v>19</v>
      </c>
      <c r="G31" s="203">
        <v>32423</v>
      </c>
      <c r="H31" s="204">
        <v>31262</v>
      </c>
      <c r="I31" s="204">
        <v>30357</v>
      </c>
      <c r="J31" s="204">
        <v>29728</v>
      </c>
      <c r="K31" s="204">
        <v>29567</v>
      </c>
      <c r="L31" s="204">
        <v>29510</v>
      </c>
      <c r="M31" s="204">
        <v>28769</v>
      </c>
      <c r="N31" s="204">
        <v>31327</v>
      </c>
      <c r="O31" s="204">
        <v>34806</v>
      </c>
      <c r="P31" s="204">
        <v>37089</v>
      </c>
      <c r="Q31" s="204">
        <v>38953</v>
      </c>
      <c r="R31" s="204">
        <v>40228</v>
      </c>
      <c r="S31" s="204">
        <v>38116</v>
      </c>
      <c r="T31" s="204">
        <v>39656</v>
      </c>
      <c r="U31" s="204">
        <v>42331</v>
      </c>
      <c r="V31" s="204">
        <v>42350</v>
      </c>
      <c r="W31" s="204">
        <v>41172</v>
      </c>
      <c r="X31" s="204">
        <v>39248</v>
      </c>
      <c r="Y31" s="204">
        <v>42288</v>
      </c>
      <c r="Z31" s="204">
        <v>43416</v>
      </c>
      <c r="AA31" s="204">
        <v>42458</v>
      </c>
      <c r="AB31" s="204">
        <v>40427</v>
      </c>
      <c r="AC31" s="204">
        <v>37337</v>
      </c>
      <c r="AD31" s="204">
        <v>34748</v>
      </c>
    </row>
    <row r="32" spans="2:30" x14ac:dyDescent="0.25">
      <c r="B32" s="198">
        <v>2037</v>
      </c>
      <c r="C32" s="199">
        <v>8</v>
      </c>
      <c r="D32" s="217"/>
      <c r="E32" s="201" t="s">
        <v>20</v>
      </c>
      <c r="F32" s="202">
        <v>5</v>
      </c>
      <c r="G32" s="203">
        <v>26197</v>
      </c>
      <c r="H32" s="204">
        <v>25186</v>
      </c>
      <c r="I32" s="204">
        <v>24430</v>
      </c>
      <c r="J32" s="204">
        <v>23865</v>
      </c>
      <c r="K32" s="204">
        <v>23456</v>
      </c>
      <c r="L32" s="204">
        <v>22871</v>
      </c>
      <c r="M32" s="204">
        <v>22112</v>
      </c>
      <c r="N32" s="204">
        <v>23992</v>
      </c>
      <c r="O32" s="204">
        <v>26565</v>
      </c>
      <c r="P32" s="204">
        <v>28367</v>
      </c>
      <c r="Q32" s="204">
        <v>29696</v>
      </c>
      <c r="R32" s="204">
        <v>30618</v>
      </c>
      <c r="S32" s="204">
        <v>30106</v>
      </c>
      <c r="T32" s="204">
        <v>30432</v>
      </c>
      <c r="U32" s="204">
        <v>30855</v>
      </c>
      <c r="V32" s="204">
        <v>30702</v>
      </c>
      <c r="W32" s="204">
        <v>29954</v>
      </c>
      <c r="X32" s="204">
        <v>29611</v>
      </c>
      <c r="Y32" s="204">
        <v>32606</v>
      </c>
      <c r="Z32" s="204">
        <v>33383</v>
      </c>
      <c r="AA32" s="204">
        <v>32724</v>
      </c>
      <c r="AB32" s="204">
        <v>31393</v>
      </c>
      <c r="AC32" s="204">
        <v>29517</v>
      </c>
      <c r="AD32" s="204">
        <v>27094</v>
      </c>
    </row>
    <row r="33" spans="2:30" x14ac:dyDescent="0.25">
      <c r="B33" s="198">
        <v>2037</v>
      </c>
      <c r="C33" s="199">
        <v>8</v>
      </c>
      <c r="D33" s="217"/>
      <c r="E33" s="201" t="s">
        <v>21</v>
      </c>
      <c r="F33" s="202">
        <v>5</v>
      </c>
      <c r="G33" s="203">
        <v>22048</v>
      </c>
      <c r="H33" s="204">
        <v>21417</v>
      </c>
      <c r="I33" s="204">
        <v>20805</v>
      </c>
      <c r="J33" s="204">
        <v>20276</v>
      </c>
      <c r="K33" s="204">
        <v>19956</v>
      </c>
      <c r="L33" s="204">
        <v>18938</v>
      </c>
      <c r="M33" s="204">
        <v>17741</v>
      </c>
      <c r="N33" s="204">
        <v>18723</v>
      </c>
      <c r="O33" s="204">
        <v>19979</v>
      </c>
      <c r="P33" s="204">
        <v>21193</v>
      </c>
      <c r="Q33" s="204">
        <v>22113</v>
      </c>
      <c r="R33" s="204">
        <v>22947</v>
      </c>
      <c r="S33" s="204">
        <v>23139</v>
      </c>
      <c r="T33" s="204">
        <v>23445</v>
      </c>
      <c r="U33" s="204">
        <v>23518</v>
      </c>
      <c r="V33" s="204">
        <v>23560</v>
      </c>
      <c r="W33" s="204">
        <v>23334</v>
      </c>
      <c r="X33" s="204">
        <v>23179</v>
      </c>
      <c r="Y33" s="204">
        <v>26124</v>
      </c>
      <c r="Z33" s="204">
        <v>27267</v>
      </c>
      <c r="AA33" s="204">
        <v>26966</v>
      </c>
      <c r="AB33" s="204">
        <v>25813</v>
      </c>
      <c r="AC33" s="204">
        <v>24142</v>
      </c>
      <c r="AD33" s="204">
        <v>22696</v>
      </c>
    </row>
    <row r="34" spans="2:30" ht="15.75" thickBot="1" x14ac:dyDescent="0.3">
      <c r="B34" s="198">
        <v>2037</v>
      </c>
      <c r="C34" s="205">
        <v>8</v>
      </c>
      <c r="D34" s="218"/>
      <c r="E34" s="201" t="s">
        <v>22</v>
      </c>
      <c r="F34" s="202">
        <v>2</v>
      </c>
      <c r="G34" s="207">
        <v>29430</v>
      </c>
      <c r="H34" s="208">
        <v>28418</v>
      </c>
      <c r="I34" s="208">
        <v>27586</v>
      </c>
      <c r="J34" s="208">
        <v>26436</v>
      </c>
      <c r="K34" s="208">
        <v>26597</v>
      </c>
      <c r="L34" s="208">
        <v>25962</v>
      </c>
      <c r="M34" s="208">
        <v>24659</v>
      </c>
      <c r="N34" s="208">
        <v>26302</v>
      </c>
      <c r="O34" s="208">
        <v>28338</v>
      </c>
      <c r="P34" s="208">
        <v>30178</v>
      </c>
      <c r="Q34" s="208">
        <v>32022</v>
      </c>
      <c r="R34" s="208">
        <v>33550</v>
      </c>
      <c r="S34" s="208">
        <v>33887</v>
      </c>
      <c r="T34" s="208">
        <v>33762</v>
      </c>
      <c r="U34" s="208">
        <v>34012</v>
      </c>
      <c r="V34" s="208">
        <v>33588</v>
      </c>
      <c r="W34" s="208">
        <v>27660</v>
      </c>
      <c r="X34" s="208">
        <v>32543</v>
      </c>
      <c r="Y34" s="208">
        <v>36197</v>
      </c>
      <c r="Z34" s="208">
        <v>37293</v>
      </c>
      <c r="AA34" s="208">
        <v>36463</v>
      </c>
      <c r="AB34" s="208">
        <v>34865</v>
      </c>
      <c r="AC34" s="208">
        <v>32583</v>
      </c>
      <c r="AD34" s="208">
        <v>30429</v>
      </c>
    </row>
    <row r="35" spans="2:30" x14ac:dyDescent="0.25">
      <c r="B35" s="198">
        <v>2037</v>
      </c>
      <c r="C35" s="209">
        <v>9</v>
      </c>
      <c r="D35" s="216">
        <v>24690656</v>
      </c>
      <c r="E35" s="201" t="s">
        <v>19</v>
      </c>
      <c r="F35" s="202">
        <v>22</v>
      </c>
      <c r="G35" s="203">
        <v>30359</v>
      </c>
      <c r="H35" s="204">
        <v>28670</v>
      </c>
      <c r="I35" s="204">
        <v>27801</v>
      </c>
      <c r="J35" s="204">
        <v>27252</v>
      </c>
      <c r="K35" s="204">
        <v>27383</v>
      </c>
      <c r="L35" s="204">
        <v>27026</v>
      </c>
      <c r="M35" s="204">
        <v>26571</v>
      </c>
      <c r="N35" s="204">
        <v>29050</v>
      </c>
      <c r="O35" s="204">
        <v>32323</v>
      </c>
      <c r="P35" s="204">
        <v>34615</v>
      </c>
      <c r="Q35" s="204">
        <v>36285</v>
      </c>
      <c r="R35" s="204">
        <v>37448</v>
      </c>
      <c r="S35" s="204">
        <v>35560</v>
      </c>
      <c r="T35" s="204">
        <v>37138</v>
      </c>
      <c r="U35" s="204">
        <v>39222</v>
      </c>
      <c r="V35" s="204">
        <v>38955</v>
      </c>
      <c r="W35" s="204">
        <v>37982</v>
      </c>
      <c r="X35" s="204">
        <v>37106</v>
      </c>
      <c r="Y35" s="204">
        <v>39896</v>
      </c>
      <c r="Z35" s="204">
        <v>40159</v>
      </c>
      <c r="AA35" s="204">
        <v>39342</v>
      </c>
      <c r="AB35" s="204">
        <v>37749</v>
      </c>
      <c r="AC35" s="204">
        <v>35138</v>
      </c>
      <c r="AD35" s="204">
        <v>32738</v>
      </c>
    </row>
    <row r="36" spans="2:30" x14ac:dyDescent="0.25">
      <c r="B36" s="198">
        <v>2037</v>
      </c>
      <c r="C36" s="199">
        <v>9</v>
      </c>
      <c r="D36" s="217"/>
      <c r="E36" s="201" t="s">
        <v>20</v>
      </c>
      <c r="F36" s="202">
        <v>4</v>
      </c>
      <c r="G36" s="203">
        <v>34159</v>
      </c>
      <c r="H36" s="204">
        <v>32963</v>
      </c>
      <c r="I36" s="204">
        <v>31953</v>
      </c>
      <c r="J36" s="204">
        <v>31219</v>
      </c>
      <c r="K36" s="204">
        <v>30783</v>
      </c>
      <c r="L36" s="204">
        <v>29395</v>
      </c>
      <c r="M36" s="204">
        <v>28973</v>
      </c>
      <c r="N36" s="204">
        <v>31402</v>
      </c>
      <c r="O36" s="204">
        <v>34687</v>
      </c>
      <c r="P36" s="204">
        <v>37180</v>
      </c>
      <c r="Q36" s="204">
        <v>39134</v>
      </c>
      <c r="R36" s="204">
        <v>40217</v>
      </c>
      <c r="S36" s="204">
        <v>39391</v>
      </c>
      <c r="T36" s="204">
        <v>39380</v>
      </c>
      <c r="U36" s="204">
        <v>40017</v>
      </c>
      <c r="V36" s="204">
        <v>39601</v>
      </c>
      <c r="W36" s="204">
        <v>38776</v>
      </c>
      <c r="X36" s="204">
        <v>38837</v>
      </c>
      <c r="Y36" s="204">
        <v>42847</v>
      </c>
      <c r="Z36" s="204">
        <v>42926</v>
      </c>
      <c r="AA36" s="204">
        <v>42003</v>
      </c>
      <c r="AB36" s="204">
        <v>40384</v>
      </c>
      <c r="AC36" s="204">
        <v>38324</v>
      </c>
      <c r="AD36" s="204">
        <v>36173</v>
      </c>
    </row>
    <row r="37" spans="2:30" ht="15.75" thickBot="1" x14ac:dyDescent="0.3">
      <c r="B37" s="198">
        <v>2037</v>
      </c>
      <c r="C37" s="205">
        <v>9</v>
      </c>
      <c r="D37" s="218"/>
      <c r="E37" s="201" t="s">
        <v>21</v>
      </c>
      <c r="F37" s="202">
        <v>4</v>
      </c>
      <c r="G37" s="207">
        <v>35596</v>
      </c>
      <c r="H37" s="208">
        <v>34193</v>
      </c>
      <c r="I37" s="208">
        <v>33009</v>
      </c>
      <c r="J37" s="208">
        <v>30212</v>
      </c>
      <c r="K37" s="208">
        <v>29257</v>
      </c>
      <c r="L37" s="208">
        <v>27866</v>
      </c>
      <c r="M37" s="208">
        <v>26567</v>
      </c>
      <c r="N37" s="208">
        <v>28039</v>
      </c>
      <c r="O37" s="208">
        <v>29770</v>
      </c>
      <c r="P37" s="208">
        <v>31481</v>
      </c>
      <c r="Q37" s="208">
        <v>32683</v>
      </c>
      <c r="R37" s="208">
        <v>33807</v>
      </c>
      <c r="S37" s="208">
        <v>34064</v>
      </c>
      <c r="T37" s="208">
        <v>33351</v>
      </c>
      <c r="U37" s="208">
        <v>33261</v>
      </c>
      <c r="V37" s="208">
        <v>33270</v>
      </c>
      <c r="W37" s="208">
        <v>32705</v>
      </c>
      <c r="X37" s="208">
        <v>32768</v>
      </c>
      <c r="Y37" s="208">
        <v>40059</v>
      </c>
      <c r="Z37" s="208">
        <v>41499</v>
      </c>
      <c r="AA37" s="208">
        <v>40918</v>
      </c>
      <c r="AB37" s="208">
        <v>39309</v>
      </c>
      <c r="AC37" s="208">
        <v>36897</v>
      </c>
      <c r="AD37" s="208">
        <v>34635</v>
      </c>
    </row>
    <row r="38" spans="2:30" x14ac:dyDescent="0.25">
      <c r="B38" s="198">
        <v>2037</v>
      </c>
      <c r="C38" s="209">
        <v>10</v>
      </c>
      <c r="D38" s="216">
        <v>26450351</v>
      </c>
      <c r="E38" s="201" t="s">
        <v>19</v>
      </c>
      <c r="F38" s="202">
        <v>21</v>
      </c>
      <c r="G38" s="203">
        <v>32490</v>
      </c>
      <c r="H38" s="204">
        <v>31289</v>
      </c>
      <c r="I38" s="204">
        <v>30394</v>
      </c>
      <c r="J38" s="204">
        <v>29745</v>
      </c>
      <c r="K38" s="204">
        <v>29292</v>
      </c>
      <c r="L38" s="204">
        <v>28505</v>
      </c>
      <c r="M38" s="204">
        <v>28290</v>
      </c>
      <c r="N38" s="204">
        <v>31245</v>
      </c>
      <c r="O38" s="204">
        <v>34958</v>
      </c>
      <c r="P38" s="204">
        <v>37181</v>
      </c>
      <c r="Q38" s="204">
        <v>39072</v>
      </c>
      <c r="R38" s="204">
        <v>40137</v>
      </c>
      <c r="S38" s="204">
        <v>38301</v>
      </c>
      <c r="T38" s="204">
        <v>39671</v>
      </c>
      <c r="U38" s="204">
        <v>42441</v>
      </c>
      <c r="V38" s="204">
        <v>42397</v>
      </c>
      <c r="W38" s="204">
        <v>41024</v>
      </c>
      <c r="X38" s="204">
        <v>40401</v>
      </c>
      <c r="Y38" s="204">
        <v>42721</v>
      </c>
      <c r="Z38" s="204">
        <v>42371</v>
      </c>
      <c r="AA38" s="204">
        <v>41483</v>
      </c>
      <c r="AB38" s="204">
        <v>39906</v>
      </c>
      <c r="AC38" s="204">
        <v>37211</v>
      </c>
      <c r="AD38" s="204">
        <v>34937</v>
      </c>
    </row>
    <row r="39" spans="2:30" x14ac:dyDescent="0.25">
      <c r="B39" s="198">
        <v>2037</v>
      </c>
      <c r="C39" s="199">
        <v>10</v>
      </c>
      <c r="D39" s="217"/>
      <c r="E39" s="201" t="s">
        <v>20</v>
      </c>
      <c r="F39" s="202">
        <v>5</v>
      </c>
      <c r="G39" s="203">
        <v>28643</v>
      </c>
      <c r="H39" s="204">
        <v>27663</v>
      </c>
      <c r="I39" s="204">
        <v>26813</v>
      </c>
      <c r="J39" s="204">
        <v>26035</v>
      </c>
      <c r="K39" s="204">
        <v>25275</v>
      </c>
      <c r="L39" s="204">
        <v>24537</v>
      </c>
      <c r="M39" s="204">
        <v>24373</v>
      </c>
      <c r="N39" s="204">
        <v>26562</v>
      </c>
      <c r="O39" s="204">
        <v>29478</v>
      </c>
      <c r="P39" s="204">
        <v>31410</v>
      </c>
      <c r="Q39" s="204">
        <v>32847</v>
      </c>
      <c r="R39" s="204">
        <v>33576</v>
      </c>
      <c r="S39" s="204">
        <v>32559</v>
      </c>
      <c r="T39" s="204">
        <v>32125</v>
      </c>
      <c r="U39" s="204">
        <v>32499</v>
      </c>
      <c r="V39" s="204">
        <v>32470</v>
      </c>
      <c r="W39" s="204">
        <v>31676</v>
      </c>
      <c r="X39" s="204">
        <v>32217</v>
      </c>
      <c r="Y39" s="204">
        <v>35083</v>
      </c>
      <c r="Z39" s="204">
        <v>34753</v>
      </c>
      <c r="AA39" s="204">
        <v>33881</v>
      </c>
      <c r="AB39" s="204">
        <v>32789</v>
      </c>
      <c r="AC39" s="204">
        <v>31253</v>
      </c>
      <c r="AD39" s="204">
        <v>29741</v>
      </c>
    </row>
    <row r="40" spans="2:30" x14ac:dyDescent="0.25">
      <c r="B40" s="198">
        <v>2037</v>
      </c>
      <c r="C40" s="199">
        <v>10</v>
      </c>
      <c r="D40" s="217"/>
      <c r="E40" s="201" t="s">
        <v>21</v>
      </c>
      <c r="F40" s="202">
        <v>4</v>
      </c>
      <c r="G40" s="203">
        <v>38817</v>
      </c>
      <c r="H40" s="204">
        <v>37194</v>
      </c>
      <c r="I40" s="204">
        <v>35735</v>
      </c>
      <c r="J40" s="204">
        <v>34677</v>
      </c>
      <c r="K40" s="204">
        <v>34015</v>
      </c>
      <c r="L40" s="204">
        <v>32676</v>
      </c>
      <c r="M40" s="204">
        <v>31503</v>
      </c>
      <c r="N40" s="204">
        <v>32692</v>
      </c>
      <c r="O40" s="204">
        <v>34238</v>
      </c>
      <c r="P40" s="204">
        <v>35640</v>
      </c>
      <c r="Q40" s="204">
        <v>36694</v>
      </c>
      <c r="R40" s="204">
        <v>37943</v>
      </c>
      <c r="S40" s="204">
        <v>38427</v>
      </c>
      <c r="T40" s="204">
        <v>38039</v>
      </c>
      <c r="U40" s="204">
        <v>38379</v>
      </c>
      <c r="V40" s="204">
        <v>38977</v>
      </c>
      <c r="W40" s="204">
        <v>38696</v>
      </c>
      <c r="X40" s="204">
        <v>40221</v>
      </c>
      <c r="Y40" s="204">
        <v>45046</v>
      </c>
      <c r="Z40" s="204">
        <v>44983</v>
      </c>
      <c r="AA40" s="204">
        <v>44311</v>
      </c>
      <c r="AB40" s="204">
        <v>42963</v>
      </c>
      <c r="AC40" s="204">
        <v>40672</v>
      </c>
      <c r="AD40" s="204">
        <v>38490</v>
      </c>
    </row>
    <row r="41" spans="2:30" ht="15.75" thickBot="1" x14ac:dyDescent="0.3">
      <c r="B41" s="198">
        <v>2037</v>
      </c>
      <c r="C41" s="205">
        <v>10</v>
      </c>
      <c r="D41" s="218"/>
      <c r="E41" s="201" t="s">
        <v>22</v>
      </c>
      <c r="F41" s="202">
        <v>1</v>
      </c>
      <c r="G41" s="207">
        <v>31345</v>
      </c>
      <c r="H41" s="208">
        <v>30378</v>
      </c>
      <c r="I41" s="208">
        <v>29543</v>
      </c>
      <c r="J41" s="208">
        <v>28913</v>
      </c>
      <c r="K41" s="208">
        <v>28606</v>
      </c>
      <c r="L41" s="208">
        <v>27397</v>
      </c>
      <c r="M41" s="208">
        <v>26714</v>
      </c>
      <c r="N41" s="208">
        <v>28311</v>
      </c>
      <c r="O41" s="208">
        <v>30405</v>
      </c>
      <c r="P41" s="208">
        <v>32229</v>
      </c>
      <c r="Q41" s="208">
        <v>34000</v>
      </c>
      <c r="R41" s="208">
        <v>35383</v>
      </c>
      <c r="S41" s="208">
        <v>35601</v>
      </c>
      <c r="T41" s="208">
        <v>35078</v>
      </c>
      <c r="U41" s="208">
        <v>34628</v>
      </c>
      <c r="V41" s="208">
        <v>34292</v>
      </c>
      <c r="W41" s="208">
        <v>34074</v>
      </c>
      <c r="X41" s="208">
        <v>35243</v>
      </c>
      <c r="Y41" s="208">
        <v>37310</v>
      </c>
      <c r="Z41" s="208">
        <v>37730</v>
      </c>
      <c r="AA41" s="208">
        <v>36208</v>
      </c>
      <c r="AB41" s="208">
        <v>34177</v>
      </c>
      <c r="AC41" s="208">
        <v>32195</v>
      </c>
      <c r="AD41" s="208">
        <v>30487</v>
      </c>
    </row>
    <row r="42" spans="2:30" x14ac:dyDescent="0.25">
      <c r="B42" s="198">
        <v>2037</v>
      </c>
      <c r="C42" s="209">
        <v>11</v>
      </c>
      <c r="D42" s="216">
        <v>25537546</v>
      </c>
      <c r="E42" s="201" t="s">
        <v>19</v>
      </c>
      <c r="F42" s="202">
        <v>19</v>
      </c>
      <c r="G42" s="203">
        <v>33756</v>
      </c>
      <c r="H42" s="204">
        <v>32518</v>
      </c>
      <c r="I42" s="204">
        <v>31590</v>
      </c>
      <c r="J42" s="204">
        <v>30871</v>
      </c>
      <c r="K42" s="204">
        <v>30501</v>
      </c>
      <c r="L42" s="204">
        <v>29749</v>
      </c>
      <c r="M42" s="204">
        <v>29440</v>
      </c>
      <c r="N42" s="204">
        <v>32242</v>
      </c>
      <c r="O42" s="204">
        <v>35907</v>
      </c>
      <c r="P42" s="204">
        <v>38156</v>
      </c>
      <c r="Q42" s="204">
        <v>39873</v>
      </c>
      <c r="R42" s="204">
        <v>40840</v>
      </c>
      <c r="S42" s="204">
        <v>38888</v>
      </c>
      <c r="T42" s="204">
        <v>40324</v>
      </c>
      <c r="U42" s="204">
        <v>42970</v>
      </c>
      <c r="V42" s="204">
        <v>43421</v>
      </c>
      <c r="W42" s="204">
        <v>41981</v>
      </c>
      <c r="X42" s="204">
        <v>41843</v>
      </c>
      <c r="Y42" s="204">
        <v>44225</v>
      </c>
      <c r="Z42" s="204">
        <v>43805</v>
      </c>
      <c r="AA42" s="204">
        <v>42870</v>
      </c>
      <c r="AB42" s="204">
        <v>41082</v>
      </c>
      <c r="AC42" s="204">
        <v>38483</v>
      </c>
      <c r="AD42" s="204">
        <v>36139</v>
      </c>
    </row>
    <row r="43" spans="2:30" x14ac:dyDescent="0.25">
      <c r="B43" s="198">
        <v>2037</v>
      </c>
      <c r="C43" s="199">
        <v>11</v>
      </c>
      <c r="D43" s="217"/>
      <c r="E43" s="201" t="s">
        <v>20</v>
      </c>
      <c r="F43" s="202">
        <v>4</v>
      </c>
      <c r="G43" s="203">
        <v>36241</v>
      </c>
      <c r="H43" s="204">
        <v>34951</v>
      </c>
      <c r="I43" s="204">
        <v>33845</v>
      </c>
      <c r="J43" s="204">
        <v>32956</v>
      </c>
      <c r="K43" s="204">
        <v>32407</v>
      </c>
      <c r="L43" s="204">
        <v>31117</v>
      </c>
      <c r="M43" s="204">
        <v>30468</v>
      </c>
      <c r="N43" s="204">
        <v>32901</v>
      </c>
      <c r="O43" s="204">
        <v>36070</v>
      </c>
      <c r="P43" s="204">
        <v>38605</v>
      </c>
      <c r="Q43" s="204">
        <v>40234</v>
      </c>
      <c r="R43" s="204">
        <v>41745</v>
      </c>
      <c r="S43" s="204">
        <v>40913</v>
      </c>
      <c r="T43" s="204">
        <v>40244</v>
      </c>
      <c r="U43" s="204">
        <v>40333</v>
      </c>
      <c r="V43" s="204">
        <v>40086</v>
      </c>
      <c r="W43" s="204">
        <v>39055</v>
      </c>
      <c r="X43" s="204">
        <v>40590</v>
      </c>
      <c r="Y43" s="204">
        <v>43975</v>
      </c>
      <c r="Z43" s="204">
        <v>43809</v>
      </c>
      <c r="AA43" s="204">
        <v>42618</v>
      </c>
      <c r="AB43" s="204">
        <v>41090</v>
      </c>
      <c r="AC43" s="204">
        <v>39125</v>
      </c>
      <c r="AD43" s="204">
        <v>37089</v>
      </c>
    </row>
    <row r="44" spans="2:30" x14ac:dyDescent="0.25">
      <c r="B44" s="198">
        <v>2037</v>
      </c>
      <c r="C44" s="199">
        <v>11</v>
      </c>
      <c r="D44" s="217"/>
      <c r="E44" s="201" t="s">
        <v>21</v>
      </c>
      <c r="F44" s="202">
        <v>5</v>
      </c>
      <c r="G44" s="203">
        <v>25846</v>
      </c>
      <c r="H44" s="204">
        <v>24964</v>
      </c>
      <c r="I44" s="204">
        <v>24310</v>
      </c>
      <c r="J44" s="204">
        <v>23870</v>
      </c>
      <c r="K44" s="204">
        <v>23601</v>
      </c>
      <c r="L44" s="204">
        <v>22004</v>
      </c>
      <c r="M44" s="204">
        <v>21094</v>
      </c>
      <c r="N44" s="204">
        <v>22328</v>
      </c>
      <c r="O44" s="204">
        <v>23741</v>
      </c>
      <c r="P44" s="204">
        <v>24735</v>
      </c>
      <c r="Q44" s="204">
        <v>25564</v>
      </c>
      <c r="R44" s="204">
        <v>26344</v>
      </c>
      <c r="S44" s="204">
        <v>26662</v>
      </c>
      <c r="T44" s="204">
        <v>26583</v>
      </c>
      <c r="U44" s="204">
        <v>26594</v>
      </c>
      <c r="V44" s="204">
        <v>26675</v>
      </c>
      <c r="W44" s="204">
        <v>26505</v>
      </c>
      <c r="X44" s="204">
        <v>27707</v>
      </c>
      <c r="Y44" s="204">
        <v>30847</v>
      </c>
      <c r="Z44" s="204">
        <v>31504</v>
      </c>
      <c r="AA44" s="204">
        <v>31290</v>
      </c>
      <c r="AB44" s="204">
        <v>30188</v>
      </c>
      <c r="AC44" s="204">
        <v>28601</v>
      </c>
      <c r="AD44" s="204">
        <v>26911</v>
      </c>
    </row>
    <row r="45" spans="2:30" ht="15.75" thickBot="1" x14ac:dyDescent="0.3">
      <c r="B45" s="198">
        <v>2037</v>
      </c>
      <c r="C45" s="205">
        <v>11</v>
      </c>
      <c r="D45" s="218"/>
      <c r="E45" s="201" t="s">
        <v>22</v>
      </c>
      <c r="F45" s="202">
        <v>2</v>
      </c>
      <c r="G45" s="207">
        <v>33491</v>
      </c>
      <c r="H45" s="208">
        <v>32031</v>
      </c>
      <c r="I45" s="208">
        <v>31008</v>
      </c>
      <c r="J45" s="208">
        <v>30126</v>
      </c>
      <c r="K45" s="208">
        <v>29547</v>
      </c>
      <c r="L45" s="208">
        <v>28353</v>
      </c>
      <c r="M45" s="208">
        <v>27466</v>
      </c>
      <c r="N45" s="208">
        <v>29212</v>
      </c>
      <c r="O45" s="208">
        <v>31311</v>
      </c>
      <c r="P45" s="208">
        <v>32911</v>
      </c>
      <c r="Q45" s="208">
        <v>34154</v>
      </c>
      <c r="R45" s="208">
        <v>35055</v>
      </c>
      <c r="S45" s="208">
        <v>34996</v>
      </c>
      <c r="T45" s="208">
        <v>34452</v>
      </c>
      <c r="U45" s="208">
        <v>34748</v>
      </c>
      <c r="V45" s="208">
        <v>35157</v>
      </c>
      <c r="W45" s="208">
        <v>34902</v>
      </c>
      <c r="X45" s="208">
        <v>36547</v>
      </c>
      <c r="Y45" s="208">
        <v>40262</v>
      </c>
      <c r="Z45" s="208">
        <v>40326</v>
      </c>
      <c r="AA45" s="208">
        <v>39335</v>
      </c>
      <c r="AB45" s="208">
        <v>37946</v>
      </c>
      <c r="AC45" s="208">
        <v>35671</v>
      </c>
      <c r="AD45" s="208">
        <v>33659</v>
      </c>
    </row>
    <row r="46" spans="2:30" x14ac:dyDescent="0.25">
      <c r="B46" s="198">
        <v>2037</v>
      </c>
      <c r="C46" s="209">
        <v>12</v>
      </c>
      <c r="D46" s="216">
        <v>26368482</v>
      </c>
      <c r="E46" s="201" t="s">
        <v>19</v>
      </c>
      <c r="F46" s="202">
        <v>21</v>
      </c>
      <c r="G46" s="203">
        <v>32039</v>
      </c>
      <c r="H46" s="204">
        <v>30764</v>
      </c>
      <c r="I46" s="204">
        <v>29828</v>
      </c>
      <c r="J46" s="204">
        <v>29056</v>
      </c>
      <c r="K46" s="204">
        <v>28741</v>
      </c>
      <c r="L46" s="204">
        <v>28103</v>
      </c>
      <c r="M46" s="204">
        <v>27114</v>
      </c>
      <c r="N46" s="204">
        <v>29815</v>
      </c>
      <c r="O46" s="204">
        <v>33176</v>
      </c>
      <c r="P46" s="204">
        <v>35623</v>
      </c>
      <c r="Q46" s="204">
        <v>37323</v>
      </c>
      <c r="R46" s="204">
        <v>38545</v>
      </c>
      <c r="S46" s="204">
        <v>36885</v>
      </c>
      <c r="T46" s="204">
        <v>37728</v>
      </c>
      <c r="U46" s="204">
        <v>39984</v>
      </c>
      <c r="V46" s="204">
        <v>40139</v>
      </c>
      <c r="W46" s="204">
        <v>38949</v>
      </c>
      <c r="X46" s="204">
        <v>38206</v>
      </c>
      <c r="Y46" s="204">
        <v>40947</v>
      </c>
      <c r="Z46" s="204">
        <v>40451</v>
      </c>
      <c r="AA46" s="204">
        <v>39547</v>
      </c>
      <c r="AB46" s="204">
        <v>38207</v>
      </c>
      <c r="AC46" s="204">
        <v>36216</v>
      </c>
      <c r="AD46" s="204">
        <v>34198</v>
      </c>
    </row>
    <row r="47" spans="2:30" x14ac:dyDescent="0.25">
      <c r="B47" s="198">
        <v>2037</v>
      </c>
      <c r="C47" s="199">
        <v>12</v>
      </c>
      <c r="D47" s="217"/>
      <c r="E47" s="201" t="s">
        <v>20</v>
      </c>
      <c r="F47" s="202">
        <v>4</v>
      </c>
      <c r="G47" s="203">
        <v>39709</v>
      </c>
      <c r="H47" s="204">
        <v>38352</v>
      </c>
      <c r="I47" s="204">
        <v>36736</v>
      </c>
      <c r="J47" s="204">
        <v>35789</v>
      </c>
      <c r="K47" s="204">
        <v>35309</v>
      </c>
      <c r="L47" s="204">
        <v>34913</v>
      </c>
      <c r="M47" s="204">
        <v>33301</v>
      </c>
      <c r="N47" s="204">
        <v>35612</v>
      </c>
      <c r="O47" s="204">
        <v>39126</v>
      </c>
      <c r="P47" s="204">
        <v>41530</v>
      </c>
      <c r="Q47" s="204">
        <v>43179</v>
      </c>
      <c r="R47" s="204">
        <v>43713</v>
      </c>
      <c r="S47" s="204">
        <v>42296</v>
      </c>
      <c r="T47" s="204">
        <v>41434</v>
      </c>
      <c r="U47" s="204">
        <v>41896</v>
      </c>
      <c r="V47" s="204">
        <v>41840</v>
      </c>
      <c r="W47" s="204">
        <v>41675</v>
      </c>
      <c r="X47" s="204">
        <v>42461</v>
      </c>
      <c r="Y47" s="204">
        <v>47035</v>
      </c>
      <c r="Z47" s="204">
        <v>46505</v>
      </c>
      <c r="AA47" s="204">
        <v>45430</v>
      </c>
      <c r="AB47" s="204">
        <v>43770</v>
      </c>
      <c r="AC47" s="204">
        <v>41979</v>
      </c>
      <c r="AD47" s="204">
        <v>39922</v>
      </c>
    </row>
    <row r="48" spans="2:30" x14ac:dyDescent="0.25">
      <c r="B48" s="198">
        <v>2037</v>
      </c>
      <c r="C48" s="199">
        <v>12</v>
      </c>
      <c r="D48" s="217"/>
      <c r="E48" s="201" t="s">
        <v>21</v>
      </c>
      <c r="F48" s="202">
        <v>4</v>
      </c>
      <c r="G48" s="203">
        <v>32990</v>
      </c>
      <c r="H48" s="204">
        <v>31858</v>
      </c>
      <c r="I48" s="204">
        <v>30990</v>
      </c>
      <c r="J48" s="204">
        <v>29927</v>
      </c>
      <c r="K48" s="204">
        <v>29301</v>
      </c>
      <c r="L48" s="204">
        <v>28608</v>
      </c>
      <c r="M48" s="204">
        <v>26952</v>
      </c>
      <c r="N48" s="204">
        <v>28762</v>
      </c>
      <c r="O48" s="204">
        <v>30461</v>
      </c>
      <c r="P48" s="204">
        <v>32042</v>
      </c>
      <c r="Q48" s="204">
        <v>33470</v>
      </c>
      <c r="R48" s="204">
        <v>34384</v>
      </c>
      <c r="S48" s="204">
        <v>34969</v>
      </c>
      <c r="T48" s="204">
        <v>34881</v>
      </c>
      <c r="U48" s="204">
        <v>34763</v>
      </c>
      <c r="V48" s="204">
        <v>34719</v>
      </c>
      <c r="W48" s="204">
        <v>34622</v>
      </c>
      <c r="X48" s="204">
        <v>35459</v>
      </c>
      <c r="Y48" s="204">
        <v>39732</v>
      </c>
      <c r="Z48" s="204">
        <v>39876</v>
      </c>
      <c r="AA48" s="204">
        <v>38783</v>
      </c>
      <c r="AB48" s="204">
        <v>37359</v>
      </c>
      <c r="AC48" s="204">
        <v>36057</v>
      </c>
      <c r="AD48" s="204">
        <v>33987</v>
      </c>
    </row>
    <row r="49" spans="2:30" ht="15.75" thickBot="1" x14ac:dyDescent="0.3">
      <c r="B49" s="198">
        <v>2037</v>
      </c>
      <c r="C49" s="205">
        <v>12</v>
      </c>
      <c r="D49" s="218"/>
      <c r="E49" s="201" t="s">
        <v>22</v>
      </c>
      <c r="F49" s="202">
        <v>2</v>
      </c>
      <c r="G49" s="207">
        <v>32951</v>
      </c>
      <c r="H49" s="208">
        <v>32322</v>
      </c>
      <c r="I49" s="208">
        <v>31629</v>
      </c>
      <c r="J49" s="208">
        <v>30891</v>
      </c>
      <c r="K49" s="208">
        <v>30391</v>
      </c>
      <c r="L49" s="208">
        <v>29273</v>
      </c>
      <c r="M49" s="208">
        <v>26939</v>
      </c>
      <c r="N49" s="208">
        <v>27630</v>
      </c>
      <c r="O49" s="208">
        <v>29315</v>
      </c>
      <c r="P49" s="208">
        <v>30797</v>
      </c>
      <c r="Q49" s="208">
        <v>32134</v>
      </c>
      <c r="R49" s="208">
        <v>33047</v>
      </c>
      <c r="S49" s="208">
        <v>32779</v>
      </c>
      <c r="T49" s="208">
        <v>32975</v>
      </c>
      <c r="U49" s="208">
        <v>33116</v>
      </c>
      <c r="V49" s="208">
        <v>33302</v>
      </c>
      <c r="W49" s="208">
        <v>33242</v>
      </c>
      <c r="X49" s="208">
        <v>33791</v>
      </c>
      <c r="Y49" s="208">
        <v>38228</v>
      </c>
      <c r="Z49" s="208">
        <v>38701</v>
      </c>
      <c r="AA49" s="208">
        <v>38718</v>
      </c>
      <c r="AB49" s="208">
        <v>37776</v>
      </c>
      <c r="AC49" s="208">
        <v>36202</v>
      </c>
      <c r="AD49" s="208">
        <v>34532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45159-9B6D-4C11-ADD8-02F76796AC57}">
  <dimension ref="B1:AD49"/>
  <sheetViews>
    <sheetView showGridLines="0" topLeftCell="A10" workbookViewId="0">
      <selection activeCell="G8" sqref="G8"/>
    </sheetView>
  </sheetViews>
  <sheetFormatPr baseColWidth="10" defaultRowHeight="15" x14ac:dyDescent="0.25"/>
  <cols>
    <col min="1" max="1" width="3.7109375" customWidth="1"/>
    <col min="2" max="2" width="5.140625" bestFit="1" customWidth="1"/>
    <col min="3" max="3" width="4" bestFit="1" customWidth="1"/>
    <col min="4" max="4" width="11.42578125" bestFit="1" customWidth="1"/>
    <col min="5" max="5" width="8.42578125" bestFit="1" customWidth="1"/>
    <col min="6" max="6" width="3.140625" bestFit="1" customWidth="1"/>
    <col min="7" max="30" width="6.5703125" bestFit="1" customWidth="1"/>
  </cols>
  <sheetData>
    <row r="1" spans="2:30" ht="15.75" x14ac:dyDescent="0.25">
      <c r="B1" s="154" t="str">
        <f>"CUADRO DE NECESIDADES HORARIAS  - AÑO "&amp;B4&amp;" / MERCADO REGULADO"</f>
        <v>CUADRO DE NECESIDADES HORARIAS  - AÑO 2038 / MERCADO REGULADO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</row>
    <row r="3" spans="2:30" ht="15.75" thickBot="1" x14ac:dyDescent="0.3">
      <c r="B3" s="186" t="s">
        <v>23</v>
      </c>
      <c r="C3" s="187" t="s">
        <v>18</v>
      </c>
      <c r="D3" s="188" t="s">
        <v>56</v>
      </c>
      <c r="E3" s="187" t="s">
        <v>57</v>
      </c>
      <c r="F3" s="187" t="s">
        <v>58</v>
      </c>
      <c r="G3" s="189" t="s">
        <v>59</v>
      </c>
      <c r="H3" s="189" t="s">
        <v>60</v>
      </c>
      <c r="I3" s="189" t="s">
        <v>61</v>
      </c>
      <c r="J3" s="189" t="s">
        <v>62</v>
      </c>
      <c r="K3" s="189" t="s">
        <v>63</v>
      </c>
      <c r="L3" s="189" t="s">
        <v>64</v>
      </c>
      <c r="M3" s="189" t="s">
        <v>65</v>
      </c>
      <c r="N3" s="189" t="s">
        <v>66</v>
      </c>
      <c r="O3" s="189" t="s">
        <v>67</v>
      </c>
      <c r="P3" s="189" t="s">
        <v>68</v>
      </c>
      <c r="Q3" s="189" t="s">
        <v>69</v>
      </c>
      <c r="R3" s="189" t="s">
        <v>70</v>
      </c>
      <c r="S3" s="189" t="s">
        <v>71</v>
      </c>
      <c r="T3" s="189" t="s">
        <v>72</v>
      </c>
      <c r="U3" s="189" t="s">
        <v>73</v>
      </c>
      <c r="V3" s="189" t="s">
        <v>74</v>
      </c>
      <c r="W3" s="189" t="s">
        <v>75</v>
      </c>
      <c r="X3" s="189" t="s">
        <v>76</v>
      </c>
      <c r="Y3" s="189" t="s">
        <v>77</v>
      </c>
      <c r="Z3" s="189" t="s">
        <v>78</v>
      </c>
      <c r="AA3" s="189" t="s">
        <v>79</v>
      </c>
      <c r="AB3" s="189" t="s">
        <v>80</v>
      </c>
      <c r="AC3" s="189" t="s">
        <v>81</v>
      </c>
      <c r="AD3" s="190" t="s">
        <v>82</v>
      </c>
    </row>
    <row r="4" spans="2:30" x14ac:dyDescent="0.25">
      <c r="B4" s="212">
        <v>2038</v>
      </c>
      <c r="C4" s="213">
        <v>1</v>
      </c>
      <c r="D4" s="216">
        <v>19094403</v>
      </c>
      <c r="E4" s="201" t="s">
        <v>19</v>
      </c>
      <c r="F4" s="202">
        <v>19</v>
      </c>
      <c r="G4" s="214">
        <v>26394</v>
      </c>
      <c r="H4" s="215">
        <v>25321</v>
      </c>
      <c r="I4" s="215">
        <v>24504</v>
      </c>
      <c r="J4" s="215">
        <v>23929</v>
      </c>
      <c r="K4" s="215">
        <v>23644</v>
      </c>
      <c r="L4" s="215">
        <v>23451</v>
      </c>
      <c r="M4" s="215">
        <v>22057</v>
      </c>
      <c r="N4" s="215">
        <v>24025</v>
      </c>
      <c r="O4" s="215">
        <v>26724</v>
      </c>
      <c r="P4" s="215">
        <v>28449</v>
      </c>
      <c r="Q4" s="215">
        <v>29839</v>
      </c>
      <c r="R4" s="215">
        <v>30765</v>
      </c>
      <c r="S4" s="215">
        <v>29512</v>
      </c>
      <c r="T4" s="215">
        <v>30755</v>
      </c>
      <c r="U4" s="215">
        <v>32915</v>
      </c>
      <c r="V4" s="215">
        <v>33108</v>
      </c>
      <c r="W4" s="215">
        <v>32332</v>
      </c>
      <c r="X4" s="215">
        <v>31022</v>
      </c>
      <c r="Y4" s="215">
        <v>33325</v>
      </c>
      <c r="Z4" s="215">
        <v>33774</v>
      </c>
      <c r="AA4" s="215">
        <v>33064</v>
      </c>
      <c r="AB4" s="215">
        <v>31917</v>
      </c>
      <c r="AC4" s="215">
        <v>30048</v>
      </c>
      <c r="AD4" s="215">
        <v>28084</v>
      </c>
    </row>
    <row r="5" spans="2:30" x14ac:dyDescent="0.25">
      <c r="B5" s="198">
        <v>2038</v>
      </c>
      <c r="C5" s="199">
        <v>1</v>
      </c>
      <c r="D5" s="217"/>
      <c r="E5" s="201" t="s">
        <v>20</v>
      </c>
      <c r="F5" s="202">
        <v>5</v>
      </c>
      <c r="G5" s="203">
        <v>19529</v>
      </c>
      <c r="H5" s="204">
        <v>18772</v>
      </c>
      <c r="I5" s="204">
        <v>18172</v>
      </c>
      <c r="J5" s="204">
        <v>17698</v>
      </c>
      <c r="K5" s="204">
        <v>17451</v>
      </c>
      <c r="L5" s="204">
        <v>17224</v>
      </c>
      <c r="M5" s="204">
        <v>16173</v>
      </c>
      <c r="N5" s="204">
        <v>17466</v>
      </c>
      <c r="O5" s="204">
        <v>19312</v>
      </c>
      <c r="P5" s="204">
        <v>20580</v>
      </c>
      <c r="Q5" s="204">
        <v>21413</v>
      </c>
      <c r="R5" s="204">
        <v>22051</v>
      </c>
      <c r="S5" s="204">
        <v>21600</v>
      </c>
      <c r="T5" s="204">
        <v>21464</v>
      </c>
      <c r="U5" s="204">
        <v>21376</v>
      </c>
      <c r="V5" s="204">
        <v>21624</v>
      </c>
      <c r="W5" s="204">
        <v>21242</v>
      </c>
      <c r="X5" s="204">
        <v>21093</v>
      </c>
      <c r="Y5" s="204">
        <v>23501</v>
      </c>
      <c r="Z5" s="204">
        <v>23870</v>
      </c>
      <c r="AA5" s="204">
        <v>23316</v>
      </c>
      <c r="AB5" s="204">
        <v>22538</v>
      </c>
      <c r="AC5" s="204">
        <v>21336</v>
      </c>
      <c r="AD5" s="204">
        <v>20246</v>
      </c>
    </row>
    <row r="6" spans="2:30" x14ac:dyDescent="0.25">
      <c r="B6" s="198">
        <v>2038</v>
      </c>
      <c r="C6" s="199">
        <v>1</v>
      </c>
      <c r="D6" s="217"/>
      <c r="E6" s="201" t="s">
        <v>21</v>
      </c>
      <c r="F6" s="202">
        <v>5</v>
      </c>
      <c r="G6" s="203">
        <v>20403</v>
      </c>
      <c r="H6" s="204">
        <v>19556</v>
      </c>
      <c r="I6" s="204">
        <v>18918</v>
      </c>
      <c r="J6" s="204">
        <v>18457</v>
      </c>
      <c r="K6" s="204">
        <v>18196</v>
      </c>
      <c r="L6" s="204">
        <v>17903</v>
      </c>
      <c r="M6" s="204">
        <v>16481</v>
      </c>
      <c r="N6" s="204">
        <v>17199</v>
      </c>
      <c r="O6" s="204">
        <v>18268</v>
      </c>
      <c r="P6" s="204">
        <v>19079</v>
      </c>
      <c r="Q6" s="204">
        <v>19846</v>
      </c>
      <c r="R6" s="204">
        <v>20417</v>
      </c>
      <c r="S6" s="204">
        <v>20555</v>
      </c>
      <c r="T6" s="204">
        <v>20522</v>
      </c>
      <c r="U6" s="204">
        <v>20414</v>
      </c>
      <c r="V6" s="204">
        <v>20492</v>
      </c>
      <c r="W6" s="204">
        <v>20616</v>
      </c>
      <c r="X6" s="204">
        <v>20742</v>
      </c>
      <c r="Y6" s="204">
        <v>23611</v>
      </c>
      <c r="Z6" s="204">
        <v>24478</v>
      </c>
      <c r="AA6" s="204">
        <v>24348</v>
      </c>
      <c r="AB6" s="204">
        <v>23497</v>
      </c>
      <c r="AC6" s="204">
        <v>22294</v>
      </c>
      <c r="AD6" s="204">
        <v>20938</v>
      </c>
    </row>
    <row r="7" spans="2:30" ht="15.75" thickBot="1" x14ac:dyDescent="0.3">
      <c r="B7" s="198">
        <v>2038</v>
      </c>
      <c r="C7" s="205">
        <v>1</v>
      </c>
      <c r="D7" s="218"/>
      <c r="E7" s="201" t="s">
        <v>22</v>
      </c>
      <c r="F7" s="202">
        <v>2</v>
      </c>
      <c r="G7" s="207">
        <v>22741</v>
      </c>
      <c r="H7" s="208">
        <v>22159</v>
      </c>
      <c r="I7" s="208">
        <v>21645</v>
      </c>
      <c r="J7" s="208">
        <v>21240</v>
      </c>
      <c r="K7" s="208">
        <v>20947</v>
      </c>
      <c r="L7" s="208">
        <v>20457</v>
      </c>
      <c r="M7" s="208">
        <v>18916</v>
      </c>
      <c r="N7" s="208">
        <v>19753</v>
      </c>
      <c r="O7" s="208">
        <v>21133</v>
      </c>
      <c r="P7" s="208">
        <v>22375</v>
      </c>
      <c r="Q7" s="208">
        <v>23176</v>
      </c>
      <c r="R7" s="208">
        <v>23834</v>
      </c>
      <c r="S7" s="208">
        <v>23857</v>
      </c>
      <c r="T7" s="208">
        <v>23593</v>
      </c>
      <c r="U7" s="208">
        <v>23540</v>
      </c>
      <c r="V7" s="208">
        <v>23530</v>
      </c>
      <c r="W7" s="208">
        <v>23489</v>
      </c>
      <c r="X7" s="208">
        <v>23810</v>
      </c>
      <c r="Y7" s="208">
        <v>27374</v>
      </c>
      <c r="Z7" s="208">
        <v>28150</v>
      </c>
      <c r="AA7" s="208">
        <v>27983</v>
      </c>
      <c r="AB7" s="208">
        <v>27136</v>
      </c>
      <c r="AC7" s="208">
        <v>25921</v>
      </c>
      <c r="AD7" s="208">
        <v>24649</v>
      </c>
    </row>
    <row r="8" spans="2:30" x14ac:dyDescent="0.25">
      <c r="B8" s="198">
        <v>2038</v>
      </c>
      <c r="C8" s="209">
        <v>2</v>
      </c>
      <c r="D8" s="216">
        <v>19014200</v>
      </c>
      <c r="E8" s="201" t="s">
        <v>19</v>
      </c>
      <c r="F8" s="202">
        <v>20</v>
      </c>
      <c r="G8" s="203">
        <v>26612</v>
      </c>
      <c r="H8" s="204">
        <v>25620</v>
      </c>
      <c r="I8" s="204">
        <v>24816</v>
      </c>
      <c r="J8" s="204">
        <v>24205</v>
      </c>
      <c r="K8" s="204">
        <v>23902</v>
      </c>
      <c r="L8" s="204">
        <v>24415</v>
      </c>
      <c r="M8" s="204">
        <v>23130</v>
      </c>
      <c r="N8" s="204">
        <v>24759</v>
      </c>
      <c r="O8" s="204">
        <v>27190</v>
      </c>
      <c r="P8" s="204">
        <v>28710</v>
      </c>
      <c r="Q8" s="204">
        <v>29908</v>
      </c>
      <c r="R8" s="204">
        <v>30712</v>
      </c>
      <c r="S8" s="204">
        <v>29027</v>
      </c>
      <c r="T8" s="204">
        <v>30433</v>
      </c>
      <c r="U8" s="204">
        <v>32946</v>
      </c>
      <c r="V8" s="204">
        <v>33319</v>
      </c>
      <c r="W8" s="204">
        <v>32596</v>
      </c>
      <c r="X8" s="204">
        <v>31216</v>
      </c>
      <c r="Y8" s="204">
        <v>33221</v>
      </c>
      <c r="Z8" s="204">
        <v>33920</v>
      </c>
      <c r="AA8" s="204">
        <v>33511</v>
      </c>
      <c r="AB8" s="204">
        <v>32310</v>
      </c>
      <c r="AC8" s="204">
        <v>30238</v>
      </c>
      <c r="AD8" s="204">
        <v>28267</v>
      </c>
    </row>
    <row r="9" spans="2:30" x14ac:dyDescent="0.25">
      <c r="B9" s="198">
        <v>2038</v>
      </c>
      <c r="C9" s="199">
        <v>2</v>
      </c>
      <c r="D9" s="217"/>
      <c r="E9" s="201" t="s">
        <v>20</v>
      </c>
      <c r="F9" s="202">
        <v>4</v>
      </c>
      <c r="G9" s="203">
        <v>26093</v>
      </c>
      <c r="H9" s="204">
        <v>25141</v>
      </c>
      <c r="I9" s="204">
        <v>24422</v>
      </c>
      <c r="J9" s="204">
        <v>23835</v>
      </c>
      <c r="K9" s="204">
        <v>23504</v>
      </c>
      <c r="L9" s="204">
        <v>23267</v>
      </c>
      <c r="M9" s="204">
        <v>21889</v>
      </c>
      <c r="N9" s="204">
        <v>23317</v>
      </c>
      <c r="O9" s="204">
        <v>25677</v>
      </c>
      <c r="P9" s="204">
        <v>27425</v>
      </c>
      <c r="Q9" s="204">
        <v>28648</v>
      </c>
      <c r="R9" s="204">
        <v>29311</v>
      </c>
      <c r="S9" s="204">
        <v>28786</v>
      </c>
      <c r="T9" s="204">
        <v>28505</v>
      </c>
      <c r="U9" s="204">
        <v>28962</v>
      </c>
      <c r="V9" s="204">
        <v>28925</v>
      </c>
      <c r="W9" s="204">
        <v>28531</v>
      </c>
      <c r="X9" s="204">
        <v>28021</v>
      </c>
      <c r="Y9" s="204">
        <v>30949</v>
      </c>
      <c r="Z9" s="204">
        <v>31602</v>
      </c>
      <c r="AA9" s="204">
        <v>31061</v>
      </c>
      <c r="AB9" s="204">
        <v>29807</v>
      </c>
      <c r="AC9" s="204">
        <v>28363</v>
      </c>
      <c r="AD9" s="204">
        <v>26914</v>
      </c>
    </row>
    <row r="10" spans="2:30" ht="15.75" thickBot="1" x14ac:dyDescent="0.3">
      <c r="B10" s="198">
        <v>2038</v>
      </c>
      <c r="C10" s="205">
        <v>2</v>
      </c>
      <c r="D10" s="218"/>
      <c r="E10" s="201" t="s">
        <v>21</v>
      </c>
      <c r="F10" s="202">
        <v>4</v>
      </c>
      <c r="G10" s="207">
        <v>25764</v>
      </c>
      <c r="H10" s="208">
        <v>24900</v>
      </c>
      <c r="I10" s="208">
        <v>24161</v>
      </c>
      <c r="J10" s="208">
        <v>23626</v>
      </c>
      <c r="K10" s="208">
        <v>23285</v>
      </c>
      <c r="L10" s="208">
        <v>22919</v>
      </c>
      <c r="M10" s="208">
        <v>20976</v>
      </c>
      <c r="N10" s="208">
        <v>21917</v>
      </c>
      <c r="O10" s="208">
        <v>23071</v>
      </c>
      <c r="P10" s="208">
        <v>24199</v>
      </c>
      <c r="Q10" s="208">
        <v>25211</v>
      </c>
      <c r="R10" s="208">
        <v>26159</v>
      </c>
      <c r="S10" s="208">
        <v>26346</v>
      </c>
      <c r="T10" s="208">
        <v>26433</v>
      </c>
      <c r="U10" s="208">
        <v>26718</v>
      </c>
      <c r="V10" s="208">
        <v>26990</v>
      </c>
      <c r="W10" s="208">
        <v>26823</v>
      </c>
      <c r="X10" s="208">
        <v>26828</v>
      </c>
      <c r="Y10" s="208">
        <v>30071</v>
      </c>
      <c r="Z10" s="208">
        <v>31440</v>
      </c>
      <c r="AA10" s="208">
        <v>31609</v>
      </c>
      <c r="AB10" s="208">
        <v>30521</v>
      </c>
      <c r="AC10" s="208">
        <v>28776</v>
      </c>
      <c r="AD10" s="208">
        <v>26937</v>
      </c>
    </row>
    <row r="11" spans="2:30" x14ac:dyDescent="0.25">
      <c r="B11" s="198">
        <v>2038</v>
      </c>
      <c r="C11" s="209">
        <v>3</v>
      </c>
      <c r="D11" s="216">
        <v>20438264</v>
      </c>
      <c r="E11" s="201" t="s">
        <v>19</v>
      </c>
      <c r="F11" s="202">
        <v>22</v>
      </c>
      <c r="G11" s="203">
        <v>24016</v>
      </c>
      <c r="H11" s="204">
        <v>23082</v>
      </c>
      <c r="I11" s="204">
        <v>22437</v>
      </c>
      <c r="J11" s="204">
        <v>21885</v>
      </c>
      <c r="K11" s="204">
        <v>21629</v>
      </c>
      <c r="L11" s="204">
        <v>21835</v>
      </c>
      <c r="M11" s="204">
        <v>20780</v>
      </c>
      <c r="N11" s="204">
        <v>22369</v>
      </c>
      <c r="O11" s="204">
        <v>24526</v>
      </c>
      <c r="P11" s="204">
        <v>25923</v>
      </c>
      <c r="Q11" s="204">
        <v>27090</v>
      </c>
      <c r="R11" s="204">
        <v>27891</v>
      </c>
      <c r="S11" s="204">
        <v>26321</v>
      </c>
      <c r="T11" s="204">
        <v>27454</v>
      </c>
      <c r="U11" s="204">
        <v>29433</v>
      </c>
      <c r="V11" s="204">
        <v>29746</v>
      </c>
      <c r="W11" s="204">
        <v>29033</v>
      </c>
      <c r="X11" s="204">
        <v>27863</v>
      </c>
      <c r="Y11" s="204">
        <v>29929</v>
      </c>
      <c r="Z11" s="204">
        <v>30489</v>
      </c>
      <c r="AA11" s="204">
        <v>30039</v>
      </c>
      <c r="AB11" s="204">
        <v>28881</v>
      </c>
      <c r="AC11" s="204">
        <v>27038</v>
      </c>
      <c r="AD11" s="204">
        <v>25424</v>
      </c>
    </row>
    <row r="12" spans="2:30" x14ac:dyDescent="0.25">
      <c r="B12" s="198">
        <v>2038</v>
      </c>
      <c r="C12" s="199">
        <v>3</v>
      </c>
      <c r="D12" s="217"/>
      <c r="E12" s="201" t="s">
        <v>20</v>
      </c>
      <c r="F12" s="202">
        <v>4</v>
      </c>
      <c r="G12" s="203">
        <v>29434</v>
      </c>
      <c r="H12" s="204">
        <v>28397</v>
      </c>
      <c r="I12" s="204">
        <v>27579</v>
      </c>
      <c r="J12" s="204">
        <v>26890</v>
      </c>
      <c r="K12" s="204">
        <v>26410</v>
      </c>
      <c r="L12" s="204">
        <v>26068</v>
      </c>
      <c r="M12" s="204">
        <v>24661</v>
      </c>
      <c r="N12" s="204">
        <v>26239</v>
      </c>
      <c r="O12" s="204">
        <v>28953</v>
      </c>
      <c r="P12" s="204">
        <v>30850</v>
      </c>
      <c r="Q12" s="204">
        <v>32368</v>
      </c>
      <c r="R12" s="204">
        <v>33148</v>
      </c>
      <c r="S12" s="204">
        <v>32209</v>
      </c>
      <c r="T12" s="204">
        <v>31783</v>
      </c>
      <c r="U12" s="204">
        <v>31992</v>
      </c>
      <c r="V12" s="204">
        <v>32195</v>
      </c>
      <c r="W12" s="204">
        <v>31553</v>
      </c>
      <c r="X12" s="204">
        <v>31319</v>
      </c>
      <c r="Y12" s="204">
        <v>34937</v>
      </c>
      <c r="Z12" s="204">
        <v>35481</v>
      </c>
      <c r="AA12" s="204">
        <v>34762</v>
      </c>
      <c r="AB12" s="204">
        <v>33660</v>
      </c>
      <c r="AC12" s="204">
        <v>32065</v>
      </c>
      <c r="AD12" s="204">
        <v>30628</v>
      </c>
    </row>
    <row r="13" spans="2:30" x14ac:dyDescent="0.25">
      <c r="B13" s="198">
        <v>2038</v>
      </c>
      <c r="C13" s="199">
        <v>3</v>
      </c>
      <c r="D13" s="217"/>
      <c r="E13" s="201" t="s">
        <v>21</v>
      </c>
      <c r="F13" s="202">
        <v>4</v>
      </c>
      <c r="G13" s="203">
        <v>29087</v>
      </c>
      <c r="H13" s="204">
        <v>28151</v>
      </c>
      <c r="I13" s="204">
        <v>27325</v>
      </c>
      <c r="J13" s="204">
        <v>26709</v>
      </c>
      <c r="K13" s="204">
        <v>26253</v>
      </c>
      <c r="L13" s="204">
        <v>25630</v>
      </c>
      <c r="M13" s="204">
        <v>23987</v>
      </c>
      <c r="N13" s="204">
        <v>25025</v>
      </c>
      <c r="O13" s="204">
        <v>25628</v>
      </c>
      <c r="P13" s="204">
        <v>25918</v>
      </c>
      <c r="Q13" s="204">
        <v>27956</v>
      </c>
      <c r="R13" s="204">
        <v>29094</v>
      </c>
      <c r="S13" s="204">
        <v>29538</v>
      </c>
      <c r="T13" s="204">
        <v>29492</v>
      </c>
      <c r="U13" s="204">
        <v>30016</v>
      </c>
      <c r="V13" s="204">
        <v>29605</v>
      </c>
      <c r="W13" s="204">
        <v>29100</v>
      </c>
      <c r="X13" s="204">
        <v>29940</v>
      </c>
      <c r="Y13" s="204">
        <v>33753</v>
      </c>
      <c r="Z13" s="204">
        <v>34976</v>
      </c>
      <c r="AA13" s="204">
        <v>34979</v>
      </c>
      <c r="AB13" s="204">
        <v>33939</v>
      </c>
      <c r="AC13" s="204">
        <v>32294</v>
      </c>
      <c r="AD13" s="204">
        <v>30166</v>
      </c>
    </row>
    <row r="14" spans="2:30" ht="15.75" thickBot="1" x14ac:dyDescent="0.3">
      <c r="B14" s="198">
        <v>2038</v>
      </c>
      <c r="C14" s="205">
        <v>3</v>
      </c>
      <c r="D14" s="218"/>
      <c r="E14" s="201" t="s">
        <v>22</v>
      </c>
      <c r="F14" s="202">
        <v>1</v>
      </c>
      <c r="G14" s="207">
        <v>38810</v>
      </c>
      <c r="H14" s="208">
        <v>37172</v>
      </c>
      <c r="I14" s="208">
        <v>36042</v>
      </c>
      <c r="J14" s="208">
        <v>35217</v>
      </c>
      <c r="K14" s="208">
        <v>34787</v>
      </c>
      <c r="L14" s="208">
        <v>33812</v>
      </c>
      <c r="M14" s="208">
        <v>32153</v>
      </c>
      <c r="N14" s="208">
        <v>33727</v>
      </c>
      <c r="O14" s="208">
        <v>35697</v>
      </c>
      <c r="P14" s="208">
        <v>37436</v>
      </c>
      <c r="Q14" s="208">
        <v>39183</v>
      </c>
      <c r="R14" s="208">
        <v>41073</v>
      </c>
      <c r="S14" s="208">
        <v>41602</v>
      </c>
      <c r="T14" s="208">
        <v>41767</v>
      </c>
      <c r="U14" s="208">
        <v>41738</v>
      </c>
      <c r="V14" s="208">
        <v>41695</v>
      </c>
      <c r="W14" s="208">
        <v>41227</v>
      </c>
      <c r="X14" s="208">
        <v>41172</v>
      </c>
      <c r="Y14" s="208">
        <v>46319</v>
      </c>
      <c r="Z14" s="208">
        <v>48011</v>
      </c>
      <c r="AA14" s="208">
        <v>47866</v>
      </c>
      <c r="AB14" s="208">
        <v>46340</v>
      </c>
      <c r="AC14" s="208">
        <v>43684</v>
      </c>
      <c r="AD14" s="208">
        <v>40680</v>
      </c>
    </row>
    <row r="15" spans="2:30" x14ac:dyDescent="0.25">
      <c r="B15" s="198">
        <v>2038</v>
      </c>
      <c r="C15" s="209">
        <v>4</v>
      </c>
      <c r="D15" s="216">
        <v>18969884</v>
      </c>
      <c r="E15" s="201" t="s">
        <v>19</v>
      </c>
      <c r="F15" s="202">
        <v>20</v>
      </c>
      <c r="G15" s="203">
        <v>23615</v>
      </c>
      <c r="H15" s="204">
        <v>22848</v>
      </c>
      <c r="I15" s="204">
        <v>22262</v>
      </c>
      <c r="J15" s="204">
        <v>21749</v>
      </c>
      <c r="K15" s="204">
        <v>21607</v>
      </c>
      <c r="L15" s="204">
        <v>21516</v>
      </c>
      <c r="M15" s="204">
        <v>20934</v>
      </c>
      <c r="N15" s="204">
        <v>22749</v>
      </c>
      <c r="O15" s="204">
        <v>25152</v>
      </c>
      <c r="P15" s="204">
        <v>27124</v>
      </c>
      <c r="Q15" s="204">
        <v>28360</v>
      </c>
      <c r="R15" s="204">
        <v>28456</v>
      </c>
      <c r="S15" s="204">
        <v>27262</v>
      </c>
      <c r="T15" s="204">
        <v>28639</v>
      </c>
      <c r="U15" s="204">
        <v>30617</v>
      </c>
      <c r="V15" s="204">
        <v>30546</v>
      </c>
      <c r="W15" s="204">
        <v>29208</v>
      </c>
      <c r="X15" s="204">
        <v>28612</v>
      </c>
      <c r="Y15" s="204">
        <v>30754</v>
      </c>
      <c r="Z15" s="204">
        <v>31114</v>
      </c>
      <c r="AA15" s="204">
        <v>30225</v>
      </c>
      <c r="AB15" s="204">
        <v>28892</v>
      </c>
      <c r="AC15" s="204">
        <v>27013</v>
      </c>
      <c r="AD15" s="204">
        <v>24999</v>
      </c>
    </row>
    <row r="16" spans="2:30" x14ac:dyDescent="0.25">
      <c r="B16" s="198">
        <v>2038</v>
      </c>
      <c r="C16" s="199">
        <v>4</v>
      </c>
      <c r="D16" s="217"/>
      <c r="E16" s="201" t="s">
        <v>20</v>
      </c>
      <c r="F16" s="202">
        <v>4</v>
      </c>
      <c r="G16" s="203">
        <v>28534</v>
      </c>
      <c r="H16" s="204">
        <v>27429</v>
      </c>
      <c r="I16" s="204">
        <v>26576</v>
      </c>
      <c r="J16" s="204">
        <v>25948</v>
      </c>
      <c r="K16" s="204">
        <v>25597</v>
      </c>
      <c r="L16" s="204">
        <v>24969</v>
      </c>
      <c r="M16" s="204">
        <v>24055</v>
      </c>
      <c r="N16" s="204">
        <v>25900</v>
      </c>
      <c r="O16" s="204">
        <v>28217</v>
      </c>
      <c r="P16" s="204">
        <v>29763</v>
      </c>
      <c r="Q16" s="204">
        <v>31091</v>
      </c>
      <c r="R16" s="204">
        <v>32207</v>
      </c>
      <c r="S16" s="204">
        <v>31800</v>
      </c>
      <c r="T16" s="204">
        <v>31643</v>
      </c>
      <c r="U16" s="204">
        <v>32250</v>
      </c>
      <c r="V16" s="204">
        <v>32322</v>
      </c>
      <c r="W16" s="204">
        <v>31842</v>
      </c>
      <c r="X16" s="204">
        <v>31623</v>
      </c>
      <c r="Y16" s="204">
        <v>35353</v>
      </c>
      <c r="Z16" s="204">
        <v>35837</v>
      </c>
      <c r="AA16" s="204">
        <v>34865</v>
      </c>
      <c r="AB16" s="204">
        <v>33658</v>
      </c>
      <c r="AC16" s="204">
        <v>31672</v>
      </c>
      <c r="AD16" s="204">
        <v>30070</v>
      </c>
    </row>
    <row r="17" spans="2:30" x14ac:dyDescent="0.25">
      <c r="B17" s="198">
        <v>2038</v>
      </c>
      <c r="C17" s="199">
        <v>4</v>
      </c>
      <c r="D17" s="217"/>
      <c r="E17" s="201" t="s">
        <v>21</v>
      </c>
      <c r="F17" s="202">
        <v>4</v>
      </c>
      <c r="G17" s="203">
        <v>26807</v>
      </c>
      <c r="H17" s="204">
        <v>25866</v>
      </c>
      <c r="I17" s="204">
        <v>25112</v>
      </c>
      <c r="J17" s="204">
        <v>24468</v>
      </c>
      <c r="K17" s="204">
        <v>24019</v>
      </c>
      <c r="L17" s="204">
        <v>23300</v>
      </c>
      <c r="M17" s="204">
        <v>22126</v>
      </c>
      <c r="N17" s="204">
        <v>23214</v>
      </c>
      <c r="O17" s="204">
        <v>24703</v>
      </c>
      <c r="P17" s="204">
        <v>25545</v>
      </c>
      <c r="Q17" s="204">
        <v>26224</v>
      </c>
      <c r="R17" s="204">
        <v>27219</v>
      </c>
      <c r="S17" s="204">
        <v>27645</v>
      </c>
      <c r="T17" s="204">
        <v>27793</v>
      </c>
      <c r="U17" s="204">
        <v>28205</v>
      </c>
      <c r="V17" s="204">
        <v>28357</v>
      </c>
      <c r="W17" s="204">
        <v>28076</v>
      </c>
      <c r="X17" s="204">
        <v>28061</v>
      </c>
      <c r="Y17" s="204">
        <v>31749</v>
      </c>
      <c r="Z17" s="204">
        <v>32650</v>
      </c>
      <c r="AA17" s="204">
        <v>32300</v>
      </c>
      <c r="AB17" s="204">
        <v>30821</v>
      </c>
      <c r="AC17" s="204">
        <v>28634</v>
      </c>
      <c r="AD17" s="204">
        <v>26746</v>
      </c>
    </row>
    <row r="18" spans="2:30" ht="15.75" thickBot="1" x14ac:dyDescent="0.3">
      <c r="B18" s="198">
        <v>2038</v>
      </c>
      <c r="C18" s="205">
        <v>4</v>
      </c>
      <c r="D18" s="218"/>
      <c r="E18" s="201" t="s">
        <v>22</v>
      </c>
      <c r="F18" s="202">
        <v>2</v>
      </c>
      <c r="G18" s="207">
        <v>17265</v>
      </c>
      <c r="H18" s="208">
        <v>16512</v>
      </c>
      <c r="I18" s="208">
        <v>16065</v>
      </c>
      <c r="J18" s="208">
        <v>15765</v>
      </c>
      <c r="K18" s="208">
        <v>15560</v>
      </c>
      <c r="L18" s="208">
        <v>15001</v>
      </c>
      <c r="M18" s="208">
        <v>14182</v>
      </c>
      <c r="N18" s="208">
        <v>14681</v>
      </c>
      <c r="O18" s="208">
        <v>15115</v>
      </c>
      <c r="P18" s="208">
        <v>15288</v>
      </c>
      <c r="Q18" s="208">
        <v>15522</v>
      </c>
      <c r="R18" s="208">
        <v>16042</v>
      </c>
      <c r="S18" s="208">
        <v>16283</v>
      </c>
      <c r="T18" s="208">
        <v>16265</v>
      </c>
      <c r="U18" s="208">
        <v>16338</v>
      </c>
      <c r="V18" s="208">
        <v>16440</v>
      </c>
      <c r="W18" s="208">
        <v>16326</v>
      </c>
      <c r="X18" s="208">
        <v>16424</v>
      </c>
      <c r="Y18" s="208">
        <v>18849</v>
      </c>
      <c r="Z18" s="208">
        <v>19440</v>
      </c>
      <c r="AA18" s="208">
        <v>19256</v>
      </c>
      <c r="AB18" s="208">
        <v>18777</v>
      </c>
      <c r="AC18" s="208">
        <v>18042</v>
      </c>
      <c r="AD18" s="208">
        <v>17252</v>
      </c>
    </row>
    <row r="19" spans="2:30" x14ac:dyDescent="0.25">
      <c r="B19" s="198">
        <v>2038</v>
      </c>
      <c r="C19" s="209">
        <v>5</v>
      </c>
      <c r="D19" s="216">
        <v>18389147</v>
      </c>
      <c r="E19" s="201" t="s">
        <v>19</v>
      </c>
      <c r="F19" s="202">
        <v>21</v>
      </c>
      <c r="G19" s="203">
        <v>22530</v>
      </c>
      <c r="H19" s="204">
        <v>21623</v>
      </c>
      <c r="I19" s="204">
        <v>21002</v>
      </c>
      <c r="J19" s="204">
        <v>20544</v>
      </c>
      <c r="K19" s="204">
        <v>20417</v>
      </c>
      <c r="L19" s="204">
        <v>20386</v>
      </c>
      <c r="M19" s="204">
        <v>20218</v>
      </c>
      <c r="N19" s="204">
        <v>22309</v>
      </c>
      <c r="O19" s="204">
        <v>24469</v>
      </c>
      <c r="P19" s="204">
        <v>25769</v>
      </c>
      <c r="Q19" s="204">
        <v>26833</v>
      </c>
      <c r="R19" s="204">
        <v>27525</v>
      </c>
      <c r="S19" s="204">
        <v>26154</v>
      </c>
      <c r="T19" s="204">
        <v>27070</v>
      </c>
      <c r="U19" s="204">
        <v>29012</v>
      </c>
      <c r="V19" s="204">
        <v>29072</v>
      </c>
      <c r="W19" s="204">
        <v>28327</v>
      </c>
      <c r="X19" s="204">
        <v>27265</v>
      </c>
      <c r="Y19" s="204">
        <v>29553</v>
      </c>
      <c r="Z19" s="204">
        <v>29931</v>
      </c>
      <c r="AA19" s="204">
        <v>29219</v>
      </c>
      <c r="AB19" s="204">
        <v>27785</v>
      </c>
      <c r="AC19" s="204">
        <v>25785</v>
      </c>
      <c r="AD19" s="204">
        <v>23986</v>
      </c>
    </row>
    <row r="20" spans="2:30" x14ac:dyDescent="0.25">
      <c r="B20" s="198">
        <v>2038</v>
      </c>
      <c r="C20" s="199">
        <v>5</v>
      </c>
      <c r="D20" s="217"/>
      <c r="E20" s="201" t="s">
        <v>20</v>
      </c>
      <c r="F20" s="202">
        <v>4</v>
      </c>
      <c r="G20" s="203">
        <v>23424</v>
      </c>
      <c r="H20" s="204">
        <v>22498</v>
      </c>
      <c r="I20" s="204">
        <v>21773</v>
      </c>
      <c r="J20" s="204">
        <v>21248</v>
      </c>
      <c r="K20" s="204">
        <v>20972</v>
      </c>
      <c r="L20" s="204">
        <v>20137</v>
      </c>
      <c r="M20" s="204">
        <v>19708</v>
      </c>
      <c r="N20" s="204">
        <v>21172</v>
      </c>
      <c r="O20" s="204">
        <v>23328</v>
      </c>
      <c r="P20" s="204">
        <v>24542</v>
      </c>
      <c r="Q20" s="204">
        <v>25668</v>
      </c>
      <c r="R20" s="204">
        <v>26395</v>
      </c>
      <c r="S20" s="204">
        <v>25516</v>
      </c>
      <c r="T20" s="204">
        <v>25081</v>
      </c>
      <c r="U20" s="204">
        <v>25220</v>
      </c>
      <c r="V20" s="204">
        <v>25259</v>
      </c>
      <c r="W20" s="204">
        <v>24847</v>
      </c>
      <c r="X20" s="204">
        <v>24893</v>
      </c>
      <c r="Y20" s="204">
        <v>27841</v>
      </c>
      <c r="Z20" s="204">
        <v>27923</v>
      </c>
      <c r="AA20" s="204">
        <v>27041</v>
      </c>
      <c r="AB20" s="204">
        <v>25931</v>
      </c>
      <c r="AC20" s="204">
        <v>24477</v>
      </c>
      <c r="AD20" s="204">
        <v>22918</v>
      </c>
    </row>
    <row r="21" spans="2:30" x14ac:dyDescent="0.25">
      <c r="B21" s="198">
        <v>2038</v>
      </c>
      <c r="C21" s="199">
        <v>5</v>
      </c>
      <c r="D21" s="217"/>
      <c r="E21" s="201" t="s">
        <v>21</v>
      </c>
      <c r="F21" s="202">
        <v>5</v>
      </c>
      <c r="G21" s="203">
        <v>17847</v>
      </c>
      <c r="H21" s="204">
        <v>17176</v>
      </c>
      <c r="I21" s="204">
        <v>16712</v>
      </c>
      <c r="J21" s="204">
        <v>16128</v>
      </c>
      <c r="K21" s="204">
        <v>15941</v>
      </c>
      <c r="L21" s="204">
        <v>15183</v>
      </c>
      <c r="M21" s="204">
        <v>14351</v>
      </c>
      <c r="N21" s="204">
        <v>15155</v>
      </c>
      <c r="O21" s="204">
        <v>16455</v>
      </c>
      <c r="P21" s="204">
        <v>17293</v>
      </c>
      <c r="Q21" s="204">
        <v>17895</v>
      </c>
      <c r="R21" s="204">
        <v>18589</v>
      </c>
      <c r="S21" s="204">
        <v>18699</v>
      </c>
      <c r="T21" s="204">
        <v>18658</v>
      </c>
      <c r="U21" s="204">
        <v>18714</v>
      </c>
      <c r="V21" s="204">
        <v>18782</v>
      </c>
      <c r="W21" s="204">
        <v>18756</v>
      </c>
      <c r="X21" s="204">
        <v>18872</v>
      </c>
      <c r="Y21" s="204">
        <v>21355</v>
      </c>
      <c r="Z21" s="204">
        <v>21987</v>
      </c>
      <c r="AA21" s="204">
        <v>22053</v>
      </c>
      <c r="AB21" s="204">
        <v>21436</v>
      </c>
      <c r="AC21" s="204">
        <v>20222</v>
      </c>
      <c r="AD21" s="204">
        <v>19033</v>
      </c>
    </row>
    <row r="22" spans="2:30" ht="15.75" thickBot="1" x14ac:dyDescent="0.3">
      <c r="B22" s="198">
        <v>2038</v>
      </c>
      <c r="C22" s="205">
        <v>5</v>
      </c>
      <c r="D22" s="218"/>
      <c r="E22" s="201" t="s">
        <v>22</v>
      </c>
      <c r="F22" s="202">
        <v>1</v>
      </c>
      <c r="G22" s="207">
        <v>45433</v>
      </c>
      <c r="H22" s="208">
        <v>43451</v>
      </c>
      <c r="I22" s="208">
        <v>42203</v>
      </c>
      <c r="J22" s="208">
        <v>40993</v>
      </c>
      <c r="K22" s="208">
        <v>40006</v>
      </c>
      <c r="L22" s="208">
        <v>37559</v>
      </c>
      <c r="M22" s="208">
        <v>37174</v>
      </c>
      <c r="N22" s="208">
        <v>39903</v>
      </c>
      <c r="O22" s="208">
        <v>42752</v>
      </c>
      <c r="P22" s="208">
        <v>45389</v>
      </c>
      <c r="Q22" s="208">
        <v>47390</v>
      </c>
      <c r="R22" s="208">
        <v>50066</v>
      </c>
      <c r="S22" s="208">
        <v>50399</v>
      </c>
      <c r="T22" s="208">
        <v>50550</v>
      </c>
      <c r="U22" s="208">
        <v>51364</v>
      </c>
      <c r="V22" s="208">
        <v>51604</v>
      </c>
      <c r="W22" s="208">
        <v>50698</v>
      </c>
      <c r="X22" s="208">
        <v>50355</v>
      </c>
      <c r="Y22" s="208">
        <v>57002</v>
      </c>
      <c r="Z22" s="208">
        <v>59036</v>
      </c>
      <c r="AA22" s="208">
        <v>58336</v>
      </c>
      <c r="AB22" s="208">
        <v>55622</v>
      </c>
      <c r="AC22" s="208">
        <v>52491</v>
      </c>
      <c r="AD22" s="208">
        <v>49199</v>
      </c>
    </row>
    <row r="23" spans="2:30" x14ac:dyDescent="0.25">
      <c r="B23" s="198">
        <v>2038</v>
      </c>
      <c r="C23" s="209">
        <v>6</v>
      </c>
      <c r="D23" s="216">
        <v>16958586</v>
      </c>
      <c r="E23" s="201" t="s">
        <v>19</v>
      </c>
      <c r="F23" s="202">
        <v>20</v>
      </c>
      <c r="G23" s="203">
        <v>20536</v>
      </c>
      <c r="H23" s="204">
        <v>19494</v>
      </c>
      <c r="I23" s="204">
        <v>18979</v>
      </c>
      <c r="J23" s="204">
        <v>18670</v>
      </c>
      <c r="K23" s="204">
        <v>18951</v>
      </c>
      <c r="L23" s="204">
        <v>18817</v>
      </c>
      <c r="M23" s="204">
        <v>18579</v>
      </c>
      <c r="N23" s="204">
        <v>20216</v>
      </c>
      <c r="O23" s="204">
        <v>22296</v>
      </c>
      <c r="P23" s="204">
        <v>23542</v>
      </c>
      <c r="Q23" s="204">
        <v>24745</v>
      </c>
      <c r="R23" s="204">
        <v>25576</v>
      </c>
      <c r="S23" s="204">
        <v>24283</v>
      </c>
      <c r="T23" s="204">
        <v>25010</v>
      </c>
      <c r="U23" s="204">
        <v>26793</v>
      </c>
      <c r="V23" s="204">
        <v>26834</v>
      </c>
      <c r="W23" s="204">
        <v>26199</v>
      </c>
      <c r="X23" s="204">
        <v>25112</v>
      </c>
      <c r="Y23" s="204">
        <v>27204</v>
      </c>
      <c r="Z23" s="204">
        <v>27714</v>
      </c>
      <c r="AA23" s="204">
        <v>26933</v>
      </c>
      <c r="AB23" s="204">
        <v>25595</v>
      </c>
      <c r="AC23" s="204">
        <v>23713</v>
      </c>
      <c r="AD23" s="204">
        <v>21983</v>
      </c>
    </row>
    <row r="24" spans="2:30" x14ac:dyDescent="0.25">
      <c r="B24" s="198">
        <v>2038</v>
      </c>
      <c r="C24" s="199">
        <v>6</v>
      </c>
      <c r="D24" s="217"/>
      <c r="E24" s="201" t="s">
        <v>20</v>
      </c>
      <c r="F24" s="202">
        <v>4</v>
      </c>
      <c r="G24" s="203">
        <v>23441</v>
      </c>
      <c r="H24" s="204">
        <v>22609</v>
      </c>
      <c r="I24" s="204">
        <v>21812</v>
      </c>
      <c r="J24" s="204">
        <v>21233</v>
      </c>
      <c r="K24" s="204">
        <v>21093</v>
      </c>
      <c r="L24" s="204">
        <v>20317</v>
      </c>
      <c r="M24" s="204">
        <v>19908</v>
      </c>
      <c r="N24" s="204">
        <v>21625</v>
      </c>
      <c r="O24" s="204">
        <v>23628</v>
      </c>
      <c r="P24" s="204">
        <v>25356</v>
      </c>
      <c r="Q24" s="204">
        <v>26672</v>
      </c>
      <c r="R24" s="204">
        <v>27380</v>
      </c>
      <c r="S24" s="204">
        <v>26950</v>
      </c>
      <c r="T24" s="204">
        <v>26963</v>
      </c>
      <c r="U24" s="204">
        <v>27305</v>
      </c>
      <c r="V24" s="204">
        <v>26709</v>
      </c>
      <c r="W24" s="204">
        <v>26161</v>
      </c>
      <c r="X24" s="204">
        <v>26156</v>
      </c>
      <c r="Y24" s="204">
        <v>29260</v>
      </c>
      <c r="Z24" s="204">
        <v>30058</v>
      </c>
      <c r="AA24" s="204">
        <v>29374</v>
      </c>
      <c r="AB24" s="204">
        <v>27958</v>
      </c>
      <c r="AC24" s="204">
        <v>26388</v>
      </c>
      <c r="AD24" s="204">
        <v>24946</v>
      </c>
    </row>
    <row r="25" spans="2:30" x14ac:dyDescent="0.25">
      <c r="B25" s="198">
        <v>2038</v>
      </c>
      <c r="C25" s="199">
        <v>6</v>
      </c>
      <c r="D25" s="217"/>
      <c r="E25" s="201" t="s">
        <v>21</v>
      </c>
      <c r="F25" s="202">
        <v>4</v>
      </c>
      <c r="G25" s="203">
        <v>23588</v>
      </c>
      <c r="H25" s="204">
        <v>22691</v>
      </c>
      <c r="I25" s="204">
        <v>22091</v>
      </c>
      <c r="J25" s="204">
        <v>21689</v>
      </c>
      <c r="K25" s="204">
        <v>21408</v>
      </c>
      <c r="L25" s="204">
        <v>19952</v>
      </c>
      <c r="M25" s="204">
        <v>19146</v>
      </c>
      <c r="N25" s="204">
        <v>20091</v>
      </c>
      <c r="O25" s="204">
        <v>21310</v>
      </c>
      <c r="P25" s="204">
        <v>22538</v>
      </c>
      <c r="Q25" s="204">
        <v>23539</v>
      </c>
      <c r="R25" s="204">
        <v>24304</v>
      </c>
      <c r="S25" s="204">
        <v>24608</v>
      </c>
      <c r="T25" s="204">
        <v>24816</v>
      </c>
      <c r="U25" s="204">
        <v>25391</v>
      </c>
      <c r="V25" s="204">
        <v>25346</v>
      </c>
      <c r="W25" s="204">
        <v>25316</v>
      </c>
      <c r="X25" s="204">
        <v>25268</v>
      </c>
      <c r="Y25" s="204">
        <v>28508</v>
      </c>
      <c r="Z25" s="204">
        <v>29672</v>
      </c>
      <c r="AA25" s="204">
        <v>29305</v>
      </c>
      <c r="AB25" s="204">
        <v>28126</v>
      </c>
      <c r="AC25" s="204">
        <v>26496</v>
      </c>
      <c r="AD25" s="204">
        <v>24936</v>
      </c>
    </row>
    <row r="26" spans="2:30" ht="15.75" thickBot="1" x14ac:dyDescent="0.3">
      <c r="B26" s="198">
        <v>2038</v>
      </c>
      <c r="C26" s="205">
        <v>6</v>
      </c>
      <c r="D26" s="218"/>
      <c r="E26" s="201" t="s">
        <v>22</v>
      </c>
      <c r="F26" s="202">
        <v>2</v>
      </c>
      <c r="G26" s="207">
        <v>21510</v>
      </c>
      <c r="H26" s="208">
        <v>20769</v>
      </c>
      <c r="I26" s="208">
        <v>20245</v>
      </c>
      <c r="J26" s="208">
        <v>19780</v>
      </c>
      <c r="K26" s="208">
        <v>19539</v>
      </c>
      <c r="L26" s="208">
        <v>18173</v>
      </c>
      <c r="M26" s="208">
        <v>17544</v>
      </c>
      <c r="N26" s="208">
        <v>18682</v>
      </c>
      <c r="O26" s="208">
        <v>20308</v>
      </c>
      <c r="P26" s="208">
        <v>21305</v>
      </c>
      <c r="Q26" s="208">
        <v>21894</v>
      </c>
      <c r="R26" s="208">
        <v>23057</v>
      </c>
      <c r="S26" s="208">
        <v>23314</v>
      </c>
      <c r="T26" s="208">
        <v>23525</v>
      </c>
      <c r="U26" s="208">
        <v>24740</v>
      </c>
      <c r="V26" s="208">
        <v>24539</v>
      </c>
      <c r="W26" s="208">
        <v>23361</v>
      </c>
      <c r="X26" s="208">
        <v>23083</v>
      </c>
      <c r="Y26" s="208">
        <v>25840</v>
      </c>
      <c r="Z26" s="208">
        <v>26721</v>
      </c>
      <c r="AA26" s="208">
        <v>26359</v>
      </c>
      <c r="AB26" s="208">
        <v>25164</v>
      </c>
      <c r="AC26" s="208">
        <v>23373</v>
      </c>
      <c r="AD26" s="208">
        <v>21854</v>
      </c>
    </row>
    <row r="27" spans="2:30" x14ac:dyDescent="0.25">
      <c r="B27" s="198">
        <v>2038</v>
      </c>
      <c r="C27" s="209">
        <v>7</v>
      </c>
      <c r="D27" s="216">
        <v>17280378</v>
      </c>
      <c r="E27" s="201" t="s">
        <v>19</v>
      </c>
      <c r="F27" s="202">
        <v>20</v>
      </c>
      <c r="G27" s="203">
        <v>21320</v>
      </c>
      <c r="H27" s="204">
        <v>20551</v>
      </c>
      <c r="I27" s="204">
        <v>19955</v>
      </c>
      <c r="J27" s="204">
        <v>19504</v>
      </c>
      <c r="K27" s="204">
        <v>19443</v>
      </c>
      <c r="L27" s="204">
        <v>19487</v>
      </c>
      <c r="M27" s="204">
        <v>19017</v>
      </c>
      <c r="N27" s="204">
        <v>20520</v>
      </c>
      <c r="O27" s="204">
        <v>22385</v>
      </c>
      <c r="P27" s="204">
        <v>23710</v>
      </c>
      <c r="Q27" s="204">
        <v>24731</v>
      </c>
      <c r="R27" s="204">
        <v>25408</v>
      </c>
      <c r="S27" s="204">
        <v>24171</v>
      </c>
      <c r="T27" s="204">
        <v>24699</v>
      </c>
      <c r="U27" s="204">
        <v>26553</v>
      </c>
      <c r="V27" s="204">
        <v>26731</v>
      </c>
      <c r="W27" s="204">
        <v>26368</v>
      </c>
      <c r="X27" s="204">
        <v>25353</v>
      </c>
      <c r="Y27" s="204">
        <v>27364</v>
      </c>
      <c r="Z27" s="204">
        <v>28251</v>
      </c>
      <c r="AA27" s="204">
        <v>27529</v>
      </c>
      <c r="AB27" s="204">
        <v>26187</v>
      </c>
      <c r="AC27" s="204">
        <v>24190</v>
      </c>
      <c r="AD27" s="204">
        <v>22393</v>
      </c>
    </row>
    <row r="28" spans="2:30" x14ac:dyDescent="0.25">
      <c r="B28" s="198">
        <v>2038</v>
      </c>
      <c r="C28" s="199">
        <v>7</v>
      </c>
      <c r="D28" s="217"/>
      <c r="E28" s="201" t="s">
        <v>20</v>
      </c>
      <c r="F28" s="202">
        <v>5</v>
      </c>
      <c r="G28" s="203">
        <v>17915</v>
      </c>
      <c r="H28" s="204">
        <v>17467</v>
      </c>
      <c r="I28" s="204">
        <v>16982</v>
      </c>
      <c r="J28" s="204">
        <v>16659</v>
      </c>
      <c r="K28" s="204">
        <v>16520</v>
      </c>
      <c r="L28" s="204">
        <v>16151</v>
      </c>
      <c r="M28" s="204">
        <v>15798</v>
      </c>
      <c r="N28" s="204">
        <v>17251</v>
      </c>
      <c r="O28" s="204">
        <v>19005</v>
      </c>
      <c r="P28" s="204">
        <v>20063</v>
      </c>
      <c r="Q28" s="204">
        <v>20844</v>
      </c>
      <c r="R28" s="204">
        <v>21448</v>
      </c>
      <c r="S28" s="204">
        <v>21217</v>
      </c>
      <c r="T28" s="204">
        <v>21162</v>
      </c>
      <c r="U28" s="204">
        <v>21622</v>
      </c>
      <c r="V28" s="204">
        <v>20914</v>
      </c>
      <c r="W28" s="204">
        <v>21257</v>
      </c>
      <c r="X28" s="204">
        <v>20852</v>
      </c>
      <c r="Y28" s="204">
        <v>23102</v>
      </c>
      <c r="Z28" s="204">
        <v>23954</v>
      </c>
      <c r="AA28" s="204">
        <v>23396</v>
      </c>
      <c r="AB28" s="204">
        <v>22411</v>
      </c>
      <c r="AC28" s="204">
        <v>21105</v>
      </c>
      <c r="AD28" s="204">
        <v>19817</v>
      </c>
    </row>
    <row r="29" spans="2:30" x14ac:dyDescent="0.25">
      <c r="B29" s="198">
        <v>2038</v>
      </c>
      <c r="C29" s="199">
        <v>7</v>
      </c>
      <c r="D29" s="217"/>
      <c r="E29" s="201" t="s">
        <v>21</v>
      </c>
      <c r="F29" s="202">
        <v>4</v>
      </c>
      <c r="G29" s="203">
        <v>25270</v>
      </c>
      <c r="H29" s="204">
        <v>24300</v>
      </c>
      <c r="I29" s="204">
        <v>23712</v>
      </c>
      <c r="J29" s="204">
        <v>22874</v>
      </c>
      <c r="K29" s="204">
        <v>22753</v>
      </c>
      <c r="L29" s="204">
        <v>21990</v>
      </c>
      <c r="M29" s="204">
        <v>20791</v>
      </c>
      <c r="N29" s="204">
        <v>22287</v>
      </c>
      <c r="O29" s="204">
        <v>24233</v>
      </c>
      <c r="P29" s="204">
        <v>25403</v>
      </c>
      <c r="Q29" s="204">
        <v>26305</v>
      </c>
      <c r="R29" s="204">
        <v>27165</v>
      </c>
      <c r="S29" s="204">
        <v>26907</v>
      </c>
      <c r="T29" s="204">
        <v>26525</v>
      </c>
      <c r="U29" s="204">
        <v>26721</v>
      </c>
      <c r="V29" s="204">
        <v>27037</v>
      </c>
      <c r="W29" s="204">
        <v>27010</v>
      </c>
      <c r="X29" s="204">
        <v>26876</v>
      </c>
      <c r="Y29" s="204">
        <v>29737</v>
      </c>
      <c r="Z29" s="204">
        <v>31168</v>
      </c>
      <c r="AA29" s="204">
        <v>30615</v>
      </c>
      <c r="AB29" s="204">
        <v>29374</v>
      </c>
      <c r="AC29" s="204">
        <v>27593</v>
      </c>
      <c r="AD29" s="204">
        <v>25968</v>
      </c>
    </row>
    <row r="30" spans="2:30" ht="15.75" thickBot="1" x14ac:dyDescent="0.3">
      <c r="B30" s="198">
        <v>2038</v>
      </c>
      <c r="C30" s="205">
        <v>7</v>
      </c>
      <c r="D30" s="218"/>
      <c r="E30" s="201" t="s">
        <v>22</v>
      </c>
      <c r="F30" s="202">
        <v>2</v>
      </c>
      <c r="G30" s="207">
        <v>20841</v>
      </c>
      <c r="H30" s="208">
        <v>20239</v>
      </c>
      <c r="I30" s="208">
        <v>19710</v>
      </c>
      <c r="J30" s="208">
        <v>19206</v>
      </c>
      <c r="K30" s="208">
        <v>19073</v>
      </c>
      <c r="L30" s="208">
        <v>18565</v>
      </c>
      <c r="M30" s="208">
        <v>18197</v>
      </c>
      <c r="N30" s="208">
        <v>19272</v>
      </c>
      <c r="O30" s="208">
        <v>20630</v>
      </c>
      <c r="P30" s="208">
        <v>21770</v>
      </c>
      <c r="Q30" s="208">
        <v>22742</v>
      </c>
      <c r="R30" s="208">
        <v>23661</v>
      </c>
      <c r="S30" s="208">
        <v>25290</v>
      </c>
      <c r="T30" s="208">
        <v>24407</v>
      </c>
      <c r="U30" s="208">
        <v>24231</v>
      </c>
      <c r="V30" s="208">
        <v>24456</v>
      </c>
      <c r="W30" s="208">
        <v>24131</v>
      </c>
      <c r="X30" s="208">
        <v>23908</v>
      </c>
      <c r="Y30" s="208">
        <v>26607</v>
      </c>
      <c r="Z30" s="208">
        <v>27643</v>
      </c>
      <c r="AA30" s="208">
        <v>27078</v>
      </c>
      <c r="AB30" s="208">
        <v>25923</v>
      </c>
      <c r="AC30" s="208">
        <v>24176</v>
      </c>
      <c r="AD30" s="208">
        <v>22725</v>
      </c>
    </row>
    <row r="31" spans="2:30" x14ac:dyDescent="0.25">
      <c r="B31" s="198">
        <v>2038</v>
      </c>
      <c r="C31" s="209">
        <v>8</v>
      </c>
      <c r="D31" s="216">
        <v>18656474</v>
      </c>
      <c r="E31" s="201" t="s">
        <v>19</v>
      </c>
      <c r="F31" s="202">
        <v>21</v>
      </c>
      <c r="G31" s="203">
        <v>22583</v>
      </c>
      <c r="H31" s="204">
        <v>21774</v>
      </c>
      <c r="I31" s="204">
        <v>21144</v>
      </c>
      <c r="J31" s="204">
        <v>20706</v>
      </c>
      <c r="K31" s="204">
        <v>20594</v>
      </c>
      <c r="L31" s="204">
        <v>20554</v>
      </c>
      <c r="M31" s="204">
        <v>20038</v>
      </c>
      <c r="N31" s="204">
        <v>21820</v>
      </c>
      <c r="O31" s="204">
        <v>24243</v>
      </c>
      <c r="P31" s="204">
        <v>25833</v>
      </c>
      <c r="Q31" s="204">
        <v>27131</v>
      </c>
      <c r="R31" s="204">
        <v>28019</v>
      </c>
      <c r="S31" s="204">
        <v>26548</v>
      </c>
      <c r="T31" s="204">
        <v>27621</v>
      </c>
      <c r="U31" s="204">
        <v>29484</v>
      </c>
      <c r="V31" s="204">
        <v>29497</v>
      </c>
      <c r="W31" s="204">
        <v>28677</v>
      </c>
      <c r="X31" s="204">
        <v>27337</v>
      </c>
      <c r="Y31" s="204">
        <v>29454</v>
      </c>
      <c r="Z31" s="204">
        <v>30240</v>
      </c>
      <c r="AA31" s="204">
        <v>29573</v>
      </c>
      <c r="AB31" s="204">
        <v>28158</v>
      </c>
      <c r="AC31" s="204">
        <v>26006</v>
      </c>
      <c r="AD31" s="204">
        <v>24202</v>
      </c>
    </row>
    <row r="32" spans="2:30" x14ac:dyDescent="0.25">
      <c r="B32" s="198">
        <v>2038</v>
      </c>
      <c r="C32" s="199">
        <v>8</v>
      </c>
      <c r="D32" s="217"/>
      <c r="E32" s="201" t="s">
        <v>20</v>
      </c>
      <c r="F32" s="202">
        <v>3</v>
      </c>
      <c r="G32" s="203">
        <v>33612</v>
      </c>
      <c r="H32" s="204">
        <v>32314</v>
      </c>
      <c r="I32" s="204">
        <v>31345</v>
      </c>
      <c r="J32" s="204">
        <v>30620</v>
      </c>
      <c r="K32" s="204">
        <v>30095</v>
      </c>
      <c r="L32" s="204">
        <v>29345</v>
      </c>
      <c r="M32" s="204">
        <v>28371</v>
      </c>
      <c r="N32" s="204">
        <v>30782</v>
      </c>
      <c r="O32" s="204">
        <v>34084</v>
      </c>
      <c r="P32" s="204">
        <v>36397</v>
      </c>
      <c r="Q32" s="204">
        <v>38102</v>
      </c>
      <c r="R32" s="204">
        <v>39285</v>
      </c>
      <c r="S32" s="204">
        <v>38628</v>
      </c>
      <c r="T32" s="204">
        <v>39046</v>
      </c>
      <c r="U32" s="204">
        <v>39589</v>
      </c>
      <c r="V32" s="204">
        <v>39392</v>
      </c>
      <c r="W32" s="204">
        <v>38432</v>
      </c>
      <c r="X32" s="204">
        <v>37993</v>
      </c>
      <c r="Y32" s="204">
        <v>41835</v>
      </c>
      <c r="Z32" s="204">
        <v>42832</v>
      </c>
      <c r="AA32" s="204">
        <v>41987</v>
      </c>
      <c r="AB32" s="204">
        <v>40279</v>
      </c>
      <c r="AC32" s="204">
        <v>37871</v>
      </c>
      <c r="AD32" s="204">
        <v>34763</v>
      </c>
    </row>
    <row r="33" spans="2:30" x14ac:dyDescent="0.25">
      <c r="B33" s="198">
        <v>2038</v>
      </c>
      <c r="C33" s="199">
        <v>8</v>
      </c>
      <c r="D33" s="217"/>
      <c r="E33" s="201" t="s">
        <v>21</v>
      </c>
      <c r="F33" s="202">
        <v>5</v>
      </c>
      <c r="G33" s="203">
        <v>16973</v>
      </c>
      <c r="H33" s="204">
        <v>16487</v>
      </c>
      <c r="I33" s="204">
        <v>16017</v>
      </c>
      <c r="J33" s="204">
        <v>15609</v>
      </c>
      <c r="K33" s="204">
        <v>15362</v>
      </c>
      <c r="L33" s="204">
        <v>14579</v>
      </c>
      <c r="M33" s="204">
        <v>13658</v>
      </c>
      <c r="N33" s="204">
        <v>14414</v>
      </c>
      <c r="O33" s="204">
        <v>15380</v>
      </c>
      <c r="P33" s="204">
        <v>16315</v>
      </c>
      <c r="Q33" s="204">
        <v>17023</v>
      </c>
      <c r="R33" s="204">
        <v>17666</v>
      </c>
      <c r="S33" s="204">
        <v>17813</v>
      </c>
      <c r="T33" s="204">
        <v>18049</v>
      </c>
      <c r="U33" s="204">
        <v>18105</v>
      </c>
      <c r="V33" s="204">
        <v>18137</v>
      </c>
      <c r="W33" s="204">
        <v>17963</v>
      </c>
      <c r="X33" s="204">
        <v>17844</v>
      </c>
      <c r="Y33" s="204">
        <v>20111</v>
      </c>
      <c r="Z33" s="204">
        <v>20991</v>
      </c>
      <c r="AA33" s="204">
        <v>20760</v>
      </c>
      <c r="AB33" s="204">
        <v>19871</v>
      </c>
      <c r="AC33" s="204">
        <v>18586</v>
      </c>
      <c r="AD33" s="204">
        <v>17472</v>
      </c>
    </row>
    <row r="34" spans="2:30" ht="15.75" thickBot="1" x14ac:dyDescent="0.3">
      <c r="B34" s="198">
        <v>2038</v>
      </c>
      <c r="C34" s="205">
        <v>8</v>
      </c>
      <c r="D34" s="218"/>
      <c r="E34" s="201" t="s">
        <v>22</v>
      </c>
      <c r="F34" s="202">
        <v>2</v>
      </c>
      <c r="G34" s="207">
        <v>22656</v>
      </c>
      <c r="H34" s="208">
        <v>21877</v>
      </c>
      <c r="I34" s="208">
        <v>21237</v>
      </c>
      <c r="J34" s="208">
        <v>20351</v>
      </c>
      <c r="K34" s="208">
        <v>20475</v>
      </c>
      <c r="L34" s="208">
        <v>19986</v>
      </c>
      <c r="M34" s="208">
        <v>18984</v>
      </c>
      <c r="N34" s="208">
        <v>20248</v>
      </c>
      <c r="O34" s="208">
        <v>21815</v>
      </c>
      <c r="P34" s="208">
        <v>23232</v>
      </c>
      <c r="Q34" s="208">
        <v>24652</v>
      </c>
      <c r="R34" s="208">
        <v>25827</v>
      </c>
      <c r="S34" s="208">
        <v>26087</v>
      </c>
      <c r="T34" s="208">
        <v>25991</v>
      </c>
      <c r="U34" s="208">
        <v>26184</v>
      </c>
      <c r="V34" s="208">
        <v>25857</v>
      </c>
      <c r="W34" s="208">
        <v>21294</v>
      </c>
      <c r="X34" s="208">
        <v>25053</v>
      </c>
      <c r="Y34" s="208">
        <v>27865</v>
      </c>
      <c r="Z34" s="208">
        <v>28709</v>
      </c>
      <c r="AA34" s="208">
        <v>28070</v>
      </c>
      <c r="AB34" s="208">
        <v>26840</v>
      </c>
      <c r="AC34" s="208">
        <v>25083</v>
      </c>
      <c r="AD34" s="208">
        <v>23425</v>
      </c>
    </row>
    <row r="35" spans="2:30" x14ac:dyDescent="0.25">
      <c r="B35" s="198">
        <v>2038</v>
      </c>
      <c r="C35" s="209">
        <v>9</v>
      </c>
      <c r="D35" s="216">
        <v>18935604</v>
      </c>
      <c r="E35" s="201" t="s">
        <v>19</v>
      </c>
      <c r="F35" s="202">
        <v>22</v>
      </c>
      <c r="G35" s="203">
        <v>23283</v>
      </c>
      <c r="H35" s="204">
        <v>21987</v>
      </c>
      <c r="I35" s="204">
        <v>21321</v>
      </c>
      <c r="J35" s="204">
        <v>20900</v>
      </c>
      <c r="K35" s="204">
        <v>21001</v>
      </c>
      <c r="L35" s="204">
        <v>20727</v>
      </c>
      <c r="M35" s="204">
        <v>20377</v>
      </c>
      <c r="N35" s="204">
        <v>22279</v>
      </c>
      <c r="O35" s="204">
        <v>24789</v>
      </c>
      <c r="P35" s="204">
        <v>26546</v>
      </c>
      <c r="Q35" s="204">
        <v>27827</v>
      </c>
      <c r="R35" s="204">
        <v>28719</v>
      </c>
      <c r="S35" s="204">
        <v>27271</v>
      </c>
      <c r="T35" s="204">
        <v>28482</v>
      </c>
      <c r="U35" s="204">
        <v>30080</v>
      </c>
      <c r="V35" s="204">
        <v>29875</v>
      </c>
      <c r="W35" s="204">
        <v>29129</v>
      </c>
      <c r="X35" s="204">
        <v>28457</v>
      </c>
      <c r="Y35" s="204">
        <v>30597</v>
      </c>
      <c r="Z35" s="204">
        <v>30799</v>
      </c>
      <c r="AA35" s="204">
        <v>30172</v>
      </c>
      <c r="AB35" s="204">
        <v>28951</v>
      </c>
      <c r="AC35" s="204">
        <v>26948</v>
      </c>
      <c r="AD35" s="204">
        <v>25107</v>
      </c>
    </row>
    <row r="36" spans="2:30" x14ac:dyDescent="0.25">
      <c r="B36" s="198">
        <v>2038</v>
      </c>
      <c r="C36" s="199">
        <v>9</v>
      </c>
      <c r="D36" s="217"/>
      <c r="E36" s="201" t="s">
        <v>20</v>
      </c>
      <c r="F36" s="202">
        <v>4</v>
      </c>
      <c r="G36" s="203">
        <v>26197</v>
      </c>
      <c r="H36" s="204">
        <v>25280</v>
      </c>
      <c r="I36" s="204">
        <v>24505</v>
      </c>
      <c r="J36" s="204">
        <v>23942</v>
      </c>
      <c r="K36" s="204">
        <v>23608</v>
      </c>
      <c r="L36" s="204">
        <v>22543</v>
      </c>
      <c r="M36" s="204">
        <v>22220</v>
      </c>
      <c r="N36" s="204">
        <v>24083</v>
      </c>
      <c r="O36" s="204">
        <v>26602</v>
      </c>
      <c r="P36" s="204">
        <v>28514</v>
      </c>
      <c r="Q36" s="204">
        <v>30013</v>
      </c>
      <c r="R36" s="204">
        <v>30843</v>
      </c>
      <c r="S36" s="204">
        <v>30209</v>
      </c>
      <c r="T36" s="204">
        <v>30201</v>
      </c>
      <c r="U36" s="204">
        <v>30689</v>
      </c>
      <c r="V36" s="204">
        <v>30371</v>
      </c>
      <c r="W36" s="204">
        <v>29738</v>
      </c>
      <c r="X36" s="204">
        <v>29785</v>
      </c>
      <c r="Y36" s="204">
        <v>32860</v>
      </c>
      <c r="Z36" s="204">
        <v>32920</v>
      </c>
      <c r="AA36" s="204">
        <v>32213</v>
      </c>
      <c r="AB36" s="204">
        <v>30971</v>
      </c>
      <c r="AC36" s="204">
        <v>29391</v>
      </c>
      <c r="AD36" s="204">
        <v>27741</v>
      </c>
    </row>
    <row r="37" spans="2:30" ht="15.75" thickBot="1" x14ac:dyDescent="0.3">
      <c r="B37" s="198">
        <v>2038</v>
      </c>
      <c r="C37" s="205">
        <v>9</v>
      </c>
      <c r="D37" s="218"/>
      <c r="E37" s="201" t="s">
        <v>21</v>
      </c>
      <c r="F37" s="202">
        <v>4</v>
      </c>
      <c r="G37" s="207">
        <v>27299</v>
      </c>
      <c r="H37" s="208">
        <v>26223</v>
      </c>
      <c r="I37" s="208">
        <v>25315</v>
      </c>
      <c r="J37" s="208">
        <v>23170</v>
      </c>
      <c r="K37" s="208">
        <v>22438</v>
      </c>
      <c r="L37" s="208">
        <v>21370</v>
      </c>
      <c r="M37" s="208">
        <v>20374</v>
      </c>
      <c r="N37" s="208">
        <v>21504</v>
      </c>
      <c r="O37" s="208">
        <v>22831</v>
      </c>
      <c r="P37" s="208">
        <v>24143</v>
      </c>
      <c r="Q37" s="208">
        <v>25065</v>
      </c>
      <c r="R37" s="208">
        <v>25927</v>
      </c>
      <c r="S37" s="208">
        <v>26124</v>
      </c>
      <c r="T37" s="208">
        <v>25577</v>
      </c>
      <c r="U37" s="208">
        <v>25508</v>
      </c>
      <c r="V37" s="208">
        <v>25515</v>
      </c>
      <c r="W37" s="208">
        <v>25082</v>
      </c>
      <c r="X37" s="208">
        <v>25130</v>
      </c>
      <c r="Y37" s="208">
        <v>30722</v>
      </c>
      <c r="Z37" s="208">
        <v>31826</v>
      </c>
      <c r="AA37" s="208">
        <v>31381</v>
      </c>
      <c r="AB37" s="208">
        <v>30147</v>
      </c>
      <c r="AC37" s="208">
        <v>28297</v>
      </c>
      <c r="AD37" s="208">
        <v>26562</v>
      </c>
    </row>
    <row r="38" spans="2:30" x14ac:dyDescent="0.25">
      <c r="B38" s="198">
        <v>2038</v>
      </c>
      <c r="C38" s="209">
        <v>10</v>
      </c>
      <c r="D38" s="216">
        <v>20204384</v>
      </c>
      <c r="E38" s="201" t="s">
        <v>19</v>
      </c>
      <c r="F38" s="202">
        <v>20</v>
      </c>
      <c r="G38" s="203">
        <v>26058</v>
      </c>
      <c r="H38" s="204">
        <v>25095</v>
      </c>
      <c r="I38" s="204">
        <v>24378</v>
      </c>
      <c r="J38" s="204">
        <v>23857</v>
      </c>
      <c r="K38" s="204">
        <v>23493</v>
      </c>
      <c r="L38" s="204">
        <v>22863</v>
      </c>
      <c r="M38" s="204">
        <v>22690</v>
      </c>
      <c r="N38" s="204">
        <v>25061</v>
      </c>
      <c r="O38" s="204">
        <v>28038</v>
      </c>
      <c r="P38" s="204">
        <v>29821</v>
      </c>
      <c r="Q38" s="204">
        <v>31338</v>
      </c>
      <c r="R38" s="204">
        <v>32192</v>
      </c>
      <c r="S38" s="204">
        <v>30719</v>
      </c>
      <c r="T38" s="204">
        <v>31818</v>
      </c>
      <c r="U38" s="204">
        <v>34040</v>
      </c>
      <c r="V38" s="204">
        <v>34004</v>
      </c>
      <c r="W38" s="204">
        <v>32904</v>
      </c>
      <c r="X38" s="204">
        <v>32404</v>
      </c>
      <c r="Y38" s="204">
        <v>34264</v>
      </c>
      <c r="Z38" s="204">
        <v>33984</v>
      </c>
      <c r="AA38" s="204">
        <v>33272</v>
      </c>
      <c r="AB38" s="204">
        <v>32007</v>
      </c>
      <c r="AC38" s="204">
        <v>29845</v>
      </c>
      <c r="AD38" s="204">
        <v>28021</v>
      </c>
    </row>
    <row r="39" spans="2:30" x14ac:dyDescent="0.25">
      <c r="B39" s="198">
        <v>2038</v>
      </c>
      <c r="C39" s="199">
        <v>10</v>
      </c>
      <c r="D39" s="217"/>
      <c r="E39" s="201" t="s">
        <v>20</v>
      </c>
      <c r="F39" s="202">
        <v>5</v>
      </c>
      <c r="G39" s="203">
        <v>21880</v>
      </c>
      <c r="H39" s="204">
        <v>21131</v>
      </c>
      <c r="I39" s="204">
        <v>20481</v>
      </c>
      <c r="J39" s="204">
        <v>19887</v>
      </c>
      <c r="K39" s="204">
        <v>19307</v>
      </c>
      <c r="L39" s="204">
        <v>18743</v>
      </c>
      <c r="M39" s="204">
        <v>18618</v>
      </c>
      <c r="N39" s="204">
        <v>20290</v>
      </c>
      <c r="O39" s="204">
        <v>22517</v>
      </c>
      <c r="P39" s="204">
        <v>23993</v>
      </c>
      <c r="Q39" s="204">
        <v>25091</v>
      </c>
      <c r="R39" s="204">
        <v>25648</v>
      </c>
      <c r="S39" s="204">
        <v>24871</v>
      </c>
      <c r="T39" s="204">
        <v>24539</v>
      </c>
      <c r="U39" s="204">
        <v>24825</v>
      </c>
      <c r="V39" s="204">
        <v>24802</v>
      </c>
      <c r="W39" s="204">
        <v>24196</v>
      </c>
      <c r="X39" s="204">
        <v>24609</v>
      </c>
      <c r="Y39" s="204">
        <v>26799</v>
      </c>
      <c r="Z39" s="204">
        <v>26546</v>
      </c>
      <c r="AA39" s="204">
        <v>25880</v>
      </c>
      <c r="AB39" s="204">
        <v>25046</v>
      </c>
      <c r="AC39" s="204">
        <v>23873</v>
      </c>
      <c r="AD39" s="204">
        <v>22718</v>
      </c>
    </row>
    <row r="40" spans="2:30" x14ac:dyDescent="0.25">
      <c r="B40" s="198">
        <v>2038</v>
      </c>
      <c r="C40" s="199">
        <v>10</v>
      </c>
      <c r="D40" s="217"/>
      <c r="E40" s="201" t="s">
        <v>21</v>
      </c>
      <c r="F40" s="202">
        <v>5</v>
      </c>
      <c r="G40" s="203">
        <v>23721</v>
      </c>
      <c r="H40" s="204">
        <v>22729</v>
      </c>
      <c r="I40" s="204">
        <v>21838</v>
      </c>
      <c r="J40" s="204">
        <v>21191</v>
      </c>
      <c r="K40" s="204">
        <v>20786</v>
      </c>
      <c r="L40" s="204">
        <v>19968</v>
      </c>
      <c r="M40" s="204">
        <v>19251</v>
      </c>
      <c r="N40" s="204">
        <v>19978</v>
      </c>
      <c r="O40" s="204">
        <v>20923</v>
      </c>
      <c r="P40" s="204">
        <v>21780</v>
      </c>
      <c r="Q40" s="204">
        <v>22423</v>
      </c>
      <c r="R40" s="204">
        <v>23186</v>
      </c>
      <c r="S40" s="204">
        <v>23483</v>
      </c>
      <c r="T40" s="204">
        <v>23245</v>
      </c>
      <c r="U40" s="204">
        <v>23453</v>
      </c>
      <c r="V40" s="204">
        <v>23819</v>
      </c>
      <c r="W40" s="204">
        <v>23647</v>
      </c>
      <c r="X40" s="204">
        <v>24579</v>
      </c>
      <c r="Y40" s="204">
        <v>27527</v>
      </c>
      <c r="Z40" s="204">
        <v>27489</v>
      </c>
      <c r="AA40" s="204">
        <v>27078</v>
      </c>
      <c r="AB40" s="204">
        <v>26254</v>
      </c>
      <c r="AC40" s="204">
        <v>24854</v>
      </c>
      <c r="AD40" s="204">
        <v>23521</v>
      </c>
    </row>
    <row r="41" spans="2:30" ht="15.75" thickBot="1" x14ac:dyDescent="0.3">
      <c r="B41" s="198">
        <v>2038</v>
      </c>
      <c r="C41" s="205">
        <v>10</v>
      </c>
      <c r="D41" s="218"/>
      <c r="E41" s="201" t="s">
        <v>22</v>
      </c>
      <c r="F41" s="202">
        <v>1</v>
      </c>
      <c r="G41" s="207">
        <v>23943</v>
      </c>
      <c r="H41" s="208">
        <v>23205</v>
      </c>
      <c r="I41" s="208">
        <v>22566</v>
      </c>
      <c r="J41" s="208">
        <v>22085</v>
      </c>
      <c r="K41" s="208">
        <v>21851</v>
      </c>
      <c r="L41" s="208">
        <v>20927</v>
      </c>
      <c r="M41" s="208">
        <v>20406</v>
      </c>
      <c r="N41" s="208">
        <v>21626</v>
      </c>
      <c r="O41" s="208">
        <v>23225</v>
      </c>
      <c r="P41" s="208">
        <v>24619</v>
      </c>
      <c r="Q41" s="208">
        <v>25972</v>
      </c>
      <c r="R41" s="208">
        <v>27027</v>
      </c>
      <c r="S41" s="208">
        <v>27195</v>
      </c>
      <c r="T41" s="208">
        <v>26794</v>
      </c>
      <c r="U41" s="208">
        <v>26451</v>
      </c>
      <c r="V41" s="208">
        <v>26194</v>
      </c>
      <c r="W41" s="208">
        <v>26027</v>
      </c>
      <c r="X41" s="208">
        <v>26920</v>
      </c>
      <c r="Y41" s="208">
        <v>28499</v>
      </c>
      <c r="Z41" s="208">
        <v>28821</v>
      </c>
      <c r="AA41" s="208">
        <v>27658</v>
      </c>
      <c r="AB41" s="208">
        <v>26107</v>
      </c>
      <c r="AC41" s="208">
        <v>24593</v>
      </c>
      <c r="AD41" s="208">
        <v>23288</v>
      </c>
    </row>
    <row r="42" spans="2:30" x14ac:dyDescent="0.25">
      <c r="B42" s="198">
        <v>2038</v>
      </c>
      <c r="C42" s="209">
        <v>11</v>
      </c>
      <c r="D42" s="216">
        <v>19626152</v>
      </c>
      <c r="E42" s="201" t="s">
        <v>19</v>
      </c>
      <c r="F42" s="202">
        <v>20</v>
      </c>
      <c r="G42" s="203">
        <v>24645</v>
      </c>
      <c r="H42" s="204">
        <v>23741</v>
      </c>
      <c r="I42" s="204">
        <v>23064</v>
      </c>
      <c r="J42" s="204">
        <v>22539</v>
      </c>
      <c r="K42" s="204">
        <v>22269</v>
      </c>
      <c r="L42" s="204">
        <v>21720</v>
      </c>
      <c r="M42" s="204">
        <v>21494</v>
      </c>
      <c r="N42" s="204">
        <v>23540</v>
      </c>
      <c r="O42" s="204">
        <v>26215</v>
      </c>
      <c r="P42" s="204">
        <v>27858</v>
      </c>
      <c r="Q42" s="204">
        <v>29111</v>
      </c>
      <c r="R42" s="204">
        <v>29817</v>
      </c>
      <c r="S42" s="204">
        <v>28392</v>
      </c>
      <c r="T42" s="204">
        <v>29440</v>
      </c>
      <c r="U42" s="204">
        <v>31373</v>
      </c>
      <c r="V42" s="204">
        <v>31702</v>
      </c>
      <c r="W42" s="204">
        <v>30650</v>
      </c>
      <c r="X42" s="204">
        <v>30549</v>
      </c>
      <c r="Y42" s="204">
        <v>32288</v>
      </c>
      <c r="Z42" s="204">
        <v>31982</v>
      </c>
      <c r="AA42" s="204">
        <v>31299</v>
      </c>
      <c r="AB42" s="204">
        <v>29994</v>
      </c>
      <c r="AC42" s="204">
        <v>28096</v>
      </c>
      <c r="AD42" s="204">
        <v>26385</v>
      </c>
    </row>
    <row r="43" spans="2:30" x14ac:dyDescent="0.25">
      <c r="B43" s="198">
        <v>2038</v>
      </c>
      <c r="C43" s="199">
        <v>11</v>
      </c>
      <c r="D43" s="217"/>
      <c r="E43" s="201" t="s">
        <v>20</v>
      </c>
      <c r="F43" s="202">
        <v>4</v>
      </c>
      <c r="G43" s="203">
        <v>27852</v>
      </c>
      <c r="H43" s="204">
        <v>26860</v>
      </c>
      <c r="I43" s="204">
        <v>26011</v>
      </c>
      <c r="J43" s="204">
        <v>25327</v>
      </c>
      <c r="K43" s="204">
        <v>24905</v>
      </c>
      <c r="L43" s="204">
        <v>23914</v>
      </c>
      <c r="M43" s="204">
        <v>23415</v>
      </c>
      <c r="N43" s="204">
        <v>25285</v>
      </c>
      <c r="O43" s="204">
        <v>27721</v>
      </c>
      <c r="P43" s="204">
        <v>29668</v>
      </c>
      <c r="Q43" s="204">
        <v>30921</v>
      </c>
      <c r="R43" s="204">
        <v>32082</v>
      </c>
      <c r="S43" s="204">
        <v>31443</v>
      </c>
      <c r="T43" s="204">
        <v>30928</v>
      </c>
      <c r="U43" s="204">
        <v>30997</v>
      </c>
      <c r="V43" s="204">
        <v>30807</v>
      </c>
      <c r="W43" s="204">
        <v>30015</v>
      </c>
      <c r="X43" s="204">
        <v>31194</v>
      </c>
      <c r="Y43" s="204">
        <v>33796</v>
      </c>
      <c r="Z43" s="204">
        <v>33668</v>
      </c>
      <c r="AA43" s="204">
        <v>32753</v>
      </c>
      <c r="AB43" s="204">
        <v>31578</v>
      </c>
      <c r="AC43" s="204">
        <v>30069</v>
      </c>
      <c r="AD43" s="204">
        <v>28503</v>
      </c>
    </row>
    <row r="44" spans="2:30" x14ac:dyDescent="0.25">
      <c r="B44" s="198">
        <v>2038</v>
      </c>
      <c r="C44" s="199">
        <v>11</v>
      </c>
      <c r="D44" s="217"/>
      <c r="E44" s="201" t="s">
        <v>21</v>
      </c>
      <c r="F44" s="202">
        <v>4</v>
      </c>
      <c r="G44" s="203">
        <v>24829</v>
      </c>
      <c r="H44" s="204">
        <v>23981</v>
      </c>
      <c r="I44" s="204">
        <v>23353</v>
      </c>
      <c r="J44" s="204">
        <v>22931</v>
      </c>
      <c r="K44" s="204">
        <v>22672</v>
      </c>
      <c r="L44" s="204">
        <v>21138</v>
      </c>
      <c r="M44" s="204">
        <v>20264</v>
      </c>
      <c r="N44" s="204">
        <v>21449</v>
      </c>
      <c r="O44" s="204">
        <v>22807</v>
      </c>
      <c r="P44" s="204">
        <v>23762</v>
      </c>
      <c r="Q44" s="204">
        <v>24558</v>
      </c>
      <c r="R44" s="204">
        <v>25307</v>
      </c>
      <c r="S44" s="204">
        <v>25612</v>
      </c>
      <c r="T44" s="204">
        <v>25537</v>
      </c>
      <c r="U44" s="204">
        <v>25548</v>
      </c>
      <c r="V44" s="204">
        <v>25625</v>
      </c>
      <c r="W44" s="204">
        <v>25462</v>
      </c>
      <c r="X44" s="204">
        <v>26617</v>
      </c>
      <c r="Y44" s="204">
        <v>29633</v>
      </c>
      <c r="Z44" s="204">
        <v>30264</v>
      </c>
      <c r="AA44" s="204">
        <v>30059</v>
      </c>
      <c r="AB44" s="204">
        <v>29000</v>
      </c>
      <c r="AC44" s="204">
        <v>27476</v>
      </c>
      <c r="AD44" s="204">
        <v>25852</v>
      </c>
    </row>
    <row r="45" spans="2:30" ht="15.75" thickBot="1" x14ac:dyDescent="0.3">
      <c r="B45" s="198">
        <v>2038</v>
      </c>
      <c r="C45" s="205">
        <v>11</v>
      </c>
      <c r="D45" s="218"/>
      <c r="E45" s="201" t="s">
        <v>22</v>
      </c>
      <c r="F45" s="202">
        <v>2</v>
      </c>
      <c r="G45" s="207">
        <v>25739</v>
      </c>
      <c r="H45" s="208">
        <v>24616</v>
      </c>
      <c r="I45" s="208">
        <v>23830</v>
      </c>
      <c r="J45" s="208">
        <v>23152</v>
      </c>
      <c r="K45" s="208">
        <v>22708</v>
      </c>
      <c r="L45" s="208">
        <v>21790</v>
      </c>
      <c r="M45" s="208">
        <v>21109</v>
      </c>
      <c r="N45" s="208">
        <v>22450</v>
      </c>
      <c r="O45" s="208">
        <v>24063</v>
      </c>
      <c r="P45" s="208">
        <v>25293</v>
      </c>
      <c r="Q45" s="208">
        <v>26248</v>
      </c>
      <c r="R45" s="208">
        <v>26940</v>
      </c>
      <c r="S45" s="208">
        <v>26895</v>
      </c>
      <c r="T45" s="208">
        <v>26477</v>
      </c>
      <c r="U45" s="208">
        <v>26705</v>
      </c>
      <c r="V45" s="208">
        <v>27019</v>
      </c>
      <c r="W45" s="208">
        <v>26823</v>
      </c>
      <c r="X45" s="208">
        <v>28087</v>
      </c>
      <c r="Y45" s="208">
        <v>30942</v>
      </c>
      <c r="Z45" s="208">
        <v>30991</v>
      </c>
      <c r="AA45" s="208">
        <v>30229</v>
      </c>
      <c r="AB45" s="208">
        <v>29162</v>
      </c>
      <c r="AC45" s="208">
        <v>27414</v>
      </c>
      <c r="AD45" s="208">
        <v>25868</v>
      </c>
    </row>
    <row r="46" spans="2:30" x14ac:dyDescent="0.25">
      <c r="B46" s="198">
        <v>2038</v>
      </c>
      <c r="C46" s="209">
        <v>12</v>
      </c>
      <c r="D46" s="216">
        <v>20256176</v>
      </c>
      <c r="E46" s="201" t="s">
        <v>19</v>
      </c>
      <c r="F46" s="202">
        <v>22</v>
      </c>
      <c r="G46" s="203">
        <v>23493</v>
      </c>
      <c r="H46" s="204">
        <v>22558</v>
      </c>
      <c r="I46" s="204">
        <v>21873</v>
      </c>
      <c r="J46" s="204">
        <v>21306</v>
      </c>
      <c r="K46" s="204">
        <v>21075</v>
      </c>
      <c r="L46" s="204">
        <v>20607</v>
      </c>
      <c r="M46" s="204">
        <v>19882</v>
      </c>
      <c r="N46" s="204">
        <v>21863</v>
      </c>
      <c r="O46" s="204">
        <v>24327</v>
      </c>
      <c r="P46" s="204">
        <v>26122</v>
      </c>
      <c r="Q46" s="204">
        <v>27368</v>
      </c>
      <c r="R46" s="204">
        <v>28264</v>
      </c>
      <c r="S46" s="204">
        <v>27047</v>
      </c>
      <c r="T46" s="204">
        <v>27665</v>
      </c>
      <c r="U46" s="204">
        <v>29319</v>
      </c>
      <c r="V46" s="204">
        <v>29433</v>
      </c>
      <c r="W46" s="204">
        <v>28560</v>
      </c>
      <c r="X46" s="204">
        <v>28015</v>
      </c>
      <c r="Y46" s="204">
        <v>30025</v>
      </c>
      <c r="Z46" s="204">
        <v>29662</v>
      </c>
      <c r="AA46" s="204">
        <v>28999</v>
      </c>
      <c r="AB46" s="204">
        <v>28017</v>
      </c>
      <c r="AC46" s="204">
        <v>26557</v>
      </c>
      <c r="AD46" s="204">
        <v>25077</v>
      </c>
    </row>
    <row r="47" spans="2:30" x14ac:dyDescent="0.25">
      <c r="B47" s="198">
        <v>2038</v>
      </c>
      <c r="C47" s="199">
        <v>12</v>
      </c>
      <c r="D47" s="217"/>
      <c r="E47" s="201" t="s">
        <v>20</v>
      </c>
      <c r="F47" s="202">
        <v>3</v>
      </c>
      <c r="G47" s="203">
        <v>40673</v>
      </c>
      <c r="H47" s="204">
        <v>39283</v>
      </c>
      <c r="I47" s="204">
        <v>37628</v>
      </c>
      <c r="J47" s="204">
        <v>36658</v>
      </c>
      <c r="K47" s="204">
        <v>36166</v>
      </c>
      <c r="L47" s="204">
        <v>35760</v>
      </c>
      <c r="M47" s="204">
        <v>34109</v>
      </c>
      <c r="N47" s="204">
        <v>36476</v>
      </c>
      <c r="O47" s="204">
        <v>40075</v>
      </c>
      <c r="P47" s="204">
        <v>42538</v>
      </c>
      <c r="Q47" s="204">
        <v>44227</v>
      </c>
      <c r="R47" s="204">
        <v>44773</v>
      </c>
      <c r="S47" s="204">
        <v>43323</v>
      </c>
      <c r="T47" s="204">
        <v>42439</v>
      </c>
      <c r="U47" s="204">
        <v>42913</v>
      </c>
      <c r="V47" s="204">
        <v>42855</v>
      </c>
      <c r="W47" s="204">
        <v>42687</v>
      </c>
      <c r="X47" s="204">
        <v>43491</v>
      </c>
      <c r="Y47" s="204">
        <v>48177</v>
      </c>
      <c r="Z47" s="204">
        <v>47634</v>
      </c>
      <c r="AA47" s="204">
        <v>46533</v>
      </c>
      <c r="AB47" s="204">
        <v>44832</v>
      </c>
      <c r="AC47" s="204">
        <v>42998</v>
      </c>
      <c r="AD47" s="204">
        <v>40890</v>
      </c>
    </row>
    <row r="48" spans="2:30" x14ac:dyDescent="0.25">
      <c r="B48" s="198">
        <v>2038</v>
      </c>
      <c r="C48" s="199">
        <v>12</v>
      </c>
      <c r="D48" s="217"/>
      <c r="E48" s="201" t="s">
        <v>21</v>
      </c>
      <c r="F48" s="202">
        <v>4</v>
      </c>
      <c r="G48" s="203">
        <v>25343</v>
      </c>
      <c r="H48" s="204">
        <v>24473</v>
      </c>
      <c r="I48" s="204">
        <v>23806</v>
      </c>
      <c r="J48" s="204">
        <v>22990</v>
      </c>
      <c r="K48" s="204">
        <v>22509</v>
      </c>
      <c r="L48" s="204">
        <v>21976</v>
      </c>
      <c r="M48" s="204">
        <v>20704</v>
      </c>
      <c r="N48" s="204">
        <v>22095</v>
      </c>
      <c r="O48" s="204">
        <v>23400</v>
      </c>
      <c r="P48" s="204">
        <v>24615</v>
      </c>
      <c r="Q48" s="204">
        <v>25712</v>
      </c>
      <c r="R48" s="204">
        <v>26413</v>
      </c>
      <c r="S48" s="204">
        <v>26863</v>
      </c>
      <c r="T48" s="204">
        <v>26796</v>
      </c>
      <c r="U48" s="204">
        <v>26705</v>
      </c>
      <c r="V48" s="204">
        <v>26671</v>
      </c>
      <c r="W48" s="204">
        <v>26597</v>
      </c>
      <c r="X48" s="204">
        <v>27240</v>
      </c>
      <c r="Y48" s="204">
        <v>30522</v>
      </c>
      <c r="Z48" s="204">
        <v>30633</v>
      </c>
      <c r="AA48" s="204">
        <v>29793</v>
      </c>
      <c r="AB48" s="204">
        <v>28699</v>
      </c>
      <c r="AC48" s="204">
        <v>27699</v>
      </c>
      <c r="AD48" s="204">
        <v>26109</v>
      </c>
    </row>
    <row r="49" spans="2:30" ht="15.75" thickBot="1" x14ac:dyDescent="0.3">
      <c r="B49" s="219">
        <v>2038</v>
      </c>
      <c r="C49" s="205">
        <v>12</v>
      </c>
      <c r="D49" s="218"/>
      <c r="E49" s="201" t="s">
        <v>22</v>
      </c>
      <c r="F49" s="202">
        <v>2</v>
      </c>
      <c r="G49" s="207">
        <v>25313</v>
      </c>
      <c r="H49" s="208">
        <v>24829</v>
      </c>
      <c r="I49" s="208">
        <v>24297</v>
      </c>
      <c r="J49" s="208">
        <v>23731</v>
      </c>
      <c r="K49" s="208">
        <v>23346</v>
      </c>
      <c r="L49" s="208">
        <v>22488</v>
      </c>
      <c r="M49" s="208">
        <v>20694</v>
      </c>
      <c r="N49" s="208">
        <v>21225</v>
      </c>
      <c r="O49" s="208">
        <v>22520</v>
      </c>
      <c r="P49" s="208">
        <v>23658</v>
      </c>
      <c r="Q49" s="208">
        <v>24686</v>
      </c>
      <c r="R49" s="208">
        <v>25387</v>
      </c>
      <c r="S49" s="208">
        <v>25181</v>
      </c>
      <c r="T49" s="208">
        <v>25332</v>
      </c>
      <c r="U49" s="208">
        <v>25440</v>
      </c>
      <c r="V49" s="208">
        <v>25582</v>
      </c>
      <c r="W49" s="208">
        <v>25536</v>
      </c>
      <c r="X49" s="208">
        <v>25958</v>
      </c>
      <c r="Y49" s="208">
        <v>29367</v>
      </c>
      <c r="Z49" s="208">
        <v>29730</v>
      </c>
      <c r="AA49" s="208">
        <v>29743</v>
      </c>
      <c r="AB49" s="208">
        <v>29020</v>
      </c>
      <c r="AC49" s="208">
        <v>27810</v>
      </c>
      <c r="AD49" s="208">
        <v>26528</v>
      </c>
    </row>
  </sheetData>
  <mergeCells count="13">
    <mergeCell ref="C38:C41"/>
    <mergeCell ref="C42:C45"/>
    <mergeCell ref="C46:C49"/>
    <mergeCell ref="B4:B49"/>
    <mergeCell ref="C4:C7"/>
    <mergeCell ref="C8:C10"/>
    <mergeCell ref="C11:C14"/>
    <mergeCell ref="C15:C18"/>
    <mergeCell ref="C19:C22"/>
    <mergeCell ref="C23:C26"/>
    <mergeCell ref="C27:C30"/>
    <mergeCell ref="C31:C34"/>
    <mergeCell ref="C35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4</vt:i4>
      </vt:variant>
    </vt:vector>
  </HeadingPairs>
  <TitlesOfParts>
    <vt:vector size="22" baseType="lpstr">
      <vt:lpstr>PRODUCTO 1</vt:lpstr>
      <vt:lpstr>Curva 2025</vt:lpstr>
      <vt:lpstr>PRODUCTO 2</vt:lpstr>
      <vt:lpstr>Curva 2026</vt:lpstr>
      <vt:lpstr>PRODUCTO 3</vt:lpstr>
      <vt:lpstr>Curva 2027</vt:lpstr>
      <vt:lpstr>Curva 2028</vt:lpstr>
      <vt:lpstr>PRODUCTO 4</vt:lpstr>
      <vt:lpstr>Curva 2029</vt:lpstr>
      <vt:lpstr>Curva 2030</vt:lpstr>
      <vt:lpstr>Curva 2031</vt:lpstr>
      <vt:lpstr>Curva 2032</vt:lpstr>
      <vt:lpstr>Curva 2033</vt:lpstr>
      <vt:lpstr>Curva 2034</vt:lpstr>
      <vt:lpstr>Curva 2035</vt:lpstr>
      <vt:lpstr>Curva 2036</vt:lpstr>
      <vt:lpstr>Curva 2037</vt:lpstr>
      <vt:lpstr>Curva 2038</vt:lpstr>
      <vt:lpstr>'PRODUCTO 1'!Área_de_impresión</vt:lpstr>
      <vt:lpstr>'PRODUCTO 2'!Área_de_impresión</vt:lpstr>
      <vt:lpstr>'PRODUCTO 1'!Títulos_a_imprimir</vt:lpstr>
      <vt:lpstr>'PRODUCTO 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Andrea Ortiz Mariño</dc:creator>
  <cp:lastModifiedBy>Ximena Andrea Ortiz Mariño</cp:lastModifiedBy>
  <dcterms:created xsi:type="dcterms:W3CDTF">2024-11-06T11:23:06Z</dcterms:created>
  <dcterms:modified xsi:type="dcterms:W3CDTF">2025-05-15T17:10:35Z</dcterms:modified>
</cp:coreProperties>
</file>