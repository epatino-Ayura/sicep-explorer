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elsia.sharepoint.com/sites/VP_TYD_TE/MITRHA/15_Compras_Energia/CETSA/Licitacion/2025/Pliegos definitivos/"/>
    </mc:Choice>
  </mc:AlternateContent>
  <xr:revisionPtr revIDLastSave="713" documentId="8_{FFCDC07D-3E81-4B66-8782-D9AE71B5DE20}" xr6:coauthVersionLast="47" xr6:coauthVersionMax="47" xr10:uidLastSave="{D2380219-3FF4-46A8-B30C-E09AC8CD1A85}"/>
  <bookViews>
    <workbookView xWindow="20370" yWindow="-120" windowWidth="20640" windowHeight="11160" firstSheet="34" activeTab="37" xr2:uid="{AE04A264-B901-4B34-A8A6-2C5B58A0F334}"/>
  </bookViews>
  <sheets>
    <sheet name="Anexo 1" sheetId="23" r:id="rId1"/>
    <sheet name="Anexo 1A" sheetId="59" r:id="rId2"/>
    <sheet name="Anexo 11" sheetId="26" r:id="rId3"/>
    <sheet name="Cantidades Ofertadas Prod 1" sheetId="27" r:id="rId4"/>
    <sheet name="Anexo 2" sheetId="13" r:id="rId5"/>
    <sheet name="Anexo 12" sheetId="14" r:id="rId6"/>
    <sheet name="Cantidades Ofertadas Prod 2" sheetId="19" r:id="rId7"/>
    <sheet name="Anexo 3" sheetId="20" r:id="rId8"/>
    <sheet name="Anexo 13" sheetId="21" r:id="rId9"/>
    <sheet name="Cantidades Ofertadas Prod 3" sheetId="22" r:id="rId10"/>
    <sheet name="Anexo 4" sheetId="24" r:id="rId11"/>
    <sheet name="Anexo 4A" sheetId="66" r:id="rId12"/>
    <sheet name="Anexo 14" sheetId="25" r:id="rId13"/>
    <sheet name="Cantidades Ofertadas Prod 4" sheetId="28" r:id="rId14"/>
    <sheet name="Anexo 5" sheetId="11" r:id="rId15"/>
    <sheet name="Anexo 5A" sheetId="33" r:id="rId16"/>
    <sheet name="Anexo 15" sheetId="12" r:id="rId17"/>
    <sheet name="Cantidades Ofertadas Prod 5" sheetId="18" r:id="rId18"/>
    <sheet name="Anexo 6" sheetId="44" r:id="rId19"/>
    <sheet name="Anexo 6A" sheetId="60" r:id="rId20"/>
    <sheet name="Anexo 16" sheetId="37" r:id="rId21"/>
    <sheet name="Cantidades Ofertadas Prod 6" sheetId="43" r:id="rId22"/>
    <sheet name="Anexo 7" sheetId="46" r:id="rId23"/>
    <sheet name="Anexo 7A" sheetId="62" r:id="rId24"/>
    <sheet name="Anexo 17" sheetId="38" r:id="rId25"/>
    <sheet name="Cantidades Ofertadas Prod 7" sheetId="49" r:id="rId26"/>
    <sheet name="Anexo 8" sheetId="53" r:id="rId27"/>
    <sheet name="Anexo 8A" sheetId="63" r:id="rId28"/>
    <sheet name="Anexo 18" sheetId="50" r:id="rId29"/>
    <sheet name="Cantidades Ofertadas Prod 8" sheetId="54" r:id="rId30"/>
    <sheet name="Anexo 9" sheetId="55" r:id="rId31"/>
    <sheet name="Anexo 9A" sheetId="64" r:id="rId32"/>
    <sheet name="Anexo 19" sheetId="51" r:id="rId33"/>
    <sheet name="Cantidades Ofertadas Prod 9" sheetId="56" r:id="rId34"/>
    <sheet name="Anexo 10" sheetId="57" r:id="rId35"/>
    <sheet name="Anexo 10A" sheetId="65" r:id="rId36"/>
    <sheet name="Anexo 20" sheetId="52" r:id="rId37"/>
    <sheet name="Cantidades Ofertadas Prod 10" sheetId="5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2" i="66" l="1"/>
  <c r="E21" i="66"/>
  <c r="C21" i="66"/>
  <c r="E20" i="66"/>
  <c r="C20" i="66"/>
  <c r="E19" i="66"/>
  <c r="C19" i="66"/>
  <c r="E18" i="66"/>
  <c r="C18" i="66"/>
  <c r="E17" i="66"/>
  <c r="C17" i="66"/>
  <c r="E16" i="66"/>
  <c r="C16" i="66"/>
  <c r="E15" i="66"/>
  <c r="C15" i="66"/>
  <c r="E14" i="66"/>
  <c r="C14" i="66"/>
  <c r="E13" i="66"/>
  <c r="C13" i="66"/>
  <c r="E12" i="66"/>
  <c r="C12" i="66"/>
  <c r="E11" i="66"/>
  <c r="C11" i="66"/>
  <c r="E10" i="66"/>
  <c r="E22" i="66" s="1"/>
  <c r="C10" i="66"/>
  <c r="F22" i="65"/>
  <c r="E21" i="65"/>
  <c r="C21" i="65"/>
  <c r="E20" i="65"/>
  <c r="C20" i="65"/>
  <c r="E19" i="65"/>
  <c r="C19" i="65"/>
  <c r="E18" i="65"/>
  <c r="C18" i="65"/>
  <c r="E17" i="65"/>
  <c r="C17" i="65"/>
  <c r="E16" i="65"/>
  <c r="C16" i="65"/>
  <c r="E15" i="65"/>
  <c r="C15" i="65"/>
  <c r="E14" i="65"/>
  <c r="C14" i="65"/>
  <c r="E13" i="65"/>
  <c r="C13" i="65"/>
  <c r="E12" i="65"/>
  <c r="C12" i="65"/>
  <c r="E11" i="65"/>
  <c r="C11" i="65"/>
  <c r="E10" i="65"/>
  <c r="C10" i="65"/>
  <c r="C22" i="65" s="1"/>
  <c r="F22" i="64"/>
  <c r="E22" i="64"/>
  <c r="C22" i="64"/>
  <c r="E21" i="64"/>
  <c r="C21" i="64"/>
  <c r="E20" i="64"/>
  <c r="C20" i="64"/>
  <c r="E19" i="64"/>
  <c r="C19" i="64"/>
  <c r="E18" i="64"/>
  <c r="C18" i="64"/>
  <c r="E17" i="64"/>
  <c r="C17" i="64"/>
  <c r="E16" i="64"/>
  <c r="C16" i="64"/>
  <c r="E15" i="64"/>
  <c r="C15" i="64"/>
  <c r="E14" i="64"/>
  <c r="C14" i="64"/>
  <c r="E13" i="64"/>
  <c r="C13" i="64"/>
  <c r="E12" i="64"/>
  <c r="C12" i="64"/>
  <c r="E11" i="64"/>
  <c r="C11" i="64"/>
  <c r="E10" i="64"/>
  <c r="C10" i="64"/>
  <c r="F22" i="63"/>
  <c r="E21" i="63"/>
  <c r="C21" i="63"/>
  <c r="E20" i="63"/>
  <c r="C20" i="63"/>
  <c r="E19" i="63"/>
  <c r="C19" i="63"/>
  <c r="E18" i="63"/>
  <c r="C18" i="63"/>
  <c r="E17" i="63"/>
  <c r="C17" i="63"/>
  <c r="E16" i="63"/>
  <c r="C16" i="63"/>
  <c r="E15" i="63"/>
  <c r="C15" i="63"/>
  <c r="E14" i="63"/>
  <c r="C14" i="63"/>
  <c r="E13" i="63"/>
  <c r="C13" i="63"/>
  <c r="E12" i="63"/>
  <c r="C12" i="63"/>
  <c r="E11" i="63"/>
  <c r="C11" i="63"/>
  <c r="E10" i="63"/>
  <c r="E22" i="63" s="1"/>
  <c r="C10" i="63"/>
  <c r="C22" i="63" s="1"/>
  <c r="F22" i="62"/>
  <c r="E21" i="62"/>
  <c r="C21" i="62"/>
  <c r="E20" i="62"/>
  <c r="C20" i="62"/>
  <c r="E19" i="62"/>
  <c r="C19" i="62"/>
  <c r="E18" i="62"/>
  <c r="C18" i="62"/>
  <c r="E17" i="62"/>
  <c r="C17" i="62"/>
  <c r="E16" i="62"/>
  <c r="C16" i="62"/>
  <c r="E15" i="62"/>
  <c r="C15" i="62"/>
  <c r="E14" i="62"/>
  <c r="C14" i="62"/>
  <c r="E13" i="62"/>
  <c r="C13" i="62"/>
  <c r="E12" i="62"/>
  <c r="C12" i="62"/>
  <c r="E11" i="62"/>
  <c r="C11" i="62"/>
  <c r="C22" i="62" s="1"/>
  <c r="E10" i="62"/>
  <c r="C10" i="62"/>
  <c r="F22" i="60"/>
  <c r="C22" i="60"/>
  <c r="E21" i="60"/>
  <c r="C21" i="60"/>
  <c r="E20" i="60"/>
  <c r="C20" i="60"/>
  <c r="E19" i="60"/>
  <c r="C19" i="60"/>
  <c r="E18" i="60"/>
  <c r="C18" i="60"/>
  <c r="E17" i="60"/>
  <c r="C17" i="60"/>
  <c r="E16" i="60"/>
  <c r="C16" i="60"/>
  <c r="E15" i="60"/>
  <c r="C15" i="60"/>
  <c r="E14" i="60"/>
  <c r="C14" i="60"/>
  <c r="E13" i="60"/>
  <c r="C13" i="60"/>
  <c r="E12" i="60"/>
  <c r="C12" i="60"/>
  <c r="E11" i="60"/>
  <c r="C11" i="60"/>
  <c r="E10" i="60"/>
  <c r="C10" i="60"/>
  <c r="C22" i="66" l="1"/>
  <c r="E22" i="65"/>
  <c r="E22" i="62"/>
  <c r="E22" i="60"/>
  <c r="F22" i="59" l="1"/>
  <c r="E21" i="59"/>
  <c r="C21" i="59"/>
  <c r="E20" i="59"/>
  <c r="C20" i="59"/>
  <c r="E19" i="59"/>
  <c r="C19" i="59"/>
  <c r="E18" i="59"/>
  <c r="C18" i="59"/>
  <c r="E17" i="59"/>
  <c r="C17" i="59"/>
  <c r="E16" i="59"/>
  <c r="C16" i="59"/>
  <c r="E15" i="59"/>
  <c r="C15" i="59"/>
  <c r="E14" i="59"/>
  <c r="C14" i="59"/>
  <c r="E13" i="59"/>
  <c r="C13" i="59"/>
  <c r="E12" i="59"/>
  <c r="C12" i="59"/>
  <c r="E11" i="59"/>
  <c r="C11" i="59"/>
  <c r="E10" i="59"/>
  <c r="C10" i="59"/>
  <c r="C22" i="59" s="1"/>
  <c r="E22" i="59" l="1"/>
  <c r="Z41" i="58" l="1"/>
  <c r="Y41" i="58"/>
  <c r="X41" i="58"/>
  <c r="W41" i="58"/>
  <c r="V41" i="58"/>
  <c r="U41" i="58"/>
  <c r="T41" i="58"/>
  <c r="S41" i="58"/>
  <c r="R41" i="58"/>
  <c r="Q41" i="58"/>
  <c r="P41" i="58"/>
  <c r="O41" i="58"/>
  <c r="N41" i="58"/>
  <c r="M41" i="58"/>
  <c r="L41" i="58"/>
  <c r="K41" i="58"/>
  <c r="J41" i="58"/>
  <c r="I41" i="58"/>
  <c r="H41" i="58"/>
  <c r="G41" i="58"/>
  <c r="F41" i="58"/>
  <c r="E41" i="58"/>
  <c r="D41" i="58"/>
  <c r="C41" i="58"/>
  <c r="Z40" i="58"/>
  <c r="Y40" i="58"/>
  <c r="X40" i="58"/>
  <c r="W40" i="58"/>
  <c r="V40" i="58"/>
  <c r="U40" i="58"/>
  <c r="T40" i="58"/>
  <c r="S40" i="58"/>
  <c r="R40" i="58"/>
  <c r="Q40" i="58"/>
  <c r="P40" i="58"/>
  <c r="O40" i="58"/>
  <c r="N40" i="58"/>
  <c r="M40" i="58"/>
  <c r="L40" i="58"/>
  <c r="K40" i="58"/>
  <c r="J40" i="58"/>
  <c r="I40" i="58"/>
  <c r="H40" i="58"/>
  <c r="G40" i="58"/>
  <c r="F40" i="58"/>
  <c r="E40" i="58"/>
  <c r="D40" i="58"/>
  <c r="C40" i="58"/>
  <c r="Z39" i="58"/>
  <c r="Y39" i="58"/>
  <c r="X39" i="58"/>
  <c r="W39" i="58"/>
  <c r="V39" i="58"/>
  <c r="U39" i="58"/>
  <c r="T39" i="58"/>
  <c r="S39" i="58"/>
  <c r="R39" i="58"/>
  <c r="Q39" i="58"/>
  <c r="P39" i="58"/>
  <c r="O39" i="58"/>
  <c r="N39" i="58"/>
  <c r="M39" i="58"/>
  <c r="L39" i="58"/>
  <c r="K39" i="58"/>
  <c r="J39" i="58"/>
  <c r="I39" i="58"/>
  <c r="H39" i="58"/>
  <c r="G39" i="58"/>
  <c r="F39" i="58"/>
  <c r="E39" i="58"/>
  <c r="D39" i="58"/>
  <c r="C39" i="58"/>
  <c r="Z38" i="58"/>
  <c r="Y38" i="58"/>
  <c r="X38" i="58"/>
  <c r="W38" i="58"/>
  <c r="V38" i="58"/>
  <c r="U38" i="58"/>
  <c r="T38" i="58"/>
  <c r="S38" i="58"/>
  <c r="R38" i="58"/>
  <c r="Q38" i="58"/>
  <c r="P38" i="58"/>
  <c r="O38" i="58"/>
  <c r="N38" i="58"/>
  <c r="M38" i="58"/>
  <c r="L38" i="58"/>
  <c r="K38" i="58"/>
  <c r="J38" i="58"/>
  <c r="I38" i="58"/>
  <c r="H38" i="58"/>
  <c r="G38" i="58"/>
  <c r="F38" i="58"/>
  <c r="E38" i="58"/>
  <c r="D38" i="58"/>
  <c r="C38" i="58"/>
  <c r="Z37" i="58"/>
  <c r="Y37" i="58"/>
  <c r="X37" i="58"/>
  <c r="W37" i="58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G37" i="58"/>
  <c r="F37" i="58"/>
  <c r="E37" i="58"/>
  <c r="D37" i="58"/>
  <c r="C37" i="58"/>
  <c r="Z36" i="58"/>
  <c r="Y36" i="58"/>
  <c r="X36" i="58"/>
  <c r="W36" i="58"/>
  <c r="V36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G36" i="58"/>
  <c r="F36" i="58"/>
  <c r="E36" i="58"/>
  <c r="D36" i="58"/>
  <c r="C36" i="58"/>
  <c r="Z35" i="58"/>
  <c r="Y35" i="58"/>
  <c r="X35" i="58"/>
  <c r="W35" i="58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H35" i="58"/>
  <c r="G35" i="58"/>
  <c r="F35" i="58"/>
  <c r="E35" i="58"/>
  <c r="D35" i="58"/>
  <c r="C35" i="58"/>
  <c r="Z34" i="58"/>
  <c r="Y34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H34" i="58"/>
  <c r="G34" i="58"/>
  <c r="F34" i="58"/>
  <c r="E34" i="58"/>
  <c r="D34" i="58"/>
  <c r="C34" i="58"/>
  <c r="Z33" i="58"/>
  <c r="Y33" i="58"/>
  <c r="X33" i="58"/>
  <c r="W33" i="58"/>
  <c r="V33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H33" i="58"/>
  <c r="G33" i="58"/>
  <c r="F33" i="58"/>
  <c r="E33" i="58"/>
  <c r="D33" i="58"/>
  <c r="C33" i="58"/>
  <c r="Z32" i="58"/>
  <c r="Y32" i="58"/>
  <c r="X32" i="58"/>
  <c r="W32" i="58"/>
  <c r="V32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H32" i="58"/>
  <c r="G32" i="58"/>
  <c r="F32" i="58"/>
  <c r="E32" i="58"/>
  <c r="D32" i="58"/>
  <c r="C32" i="58"/>
  <c r="Z31" i="58"/>
  <c r="Y31" i="58"/>
  <c r="X31" i="58"/>
  <c r="W31" i="58"/>
  <c r="V31" i="58"/>
  <c r="U31" i="58"/>
  <c r="T31" i="58"/>
  <c r="S31" i="58"/>
  <c r="R31" i="58"/>
  <c r="Q31" i="58"/>
  <c r="P31" i="58"/>
  <c r="O31" i="58"/>
  <c r="N31" i="58"/>
  <c r="M31" i="58"/>
  <c r="L31" i="58"/>
  <c r="K31" i="58"/>
  <c r="J31" i="58"/>
  <c r="I31" i="58"/>
  <c r="H31" i="58"/>
  <c r="G31" i="58"/>
  <c r="F31" i="58"/>
  <c r="E31" i="58"/>
  <c r="D31" i="58"/>
  <c r="C31" i="58"/>
  <c r="Z30" i="58"/>
  <c r="Y30" i="58"/>
  <c r="X30" i="58"/>
  <c r="W30" i="58"/>
  <c r="V30" i="58"/>
  <c r="U30" i="58"/>
  <c r="T30" i="58"/>
  <c r="S30" i="58"/>
  <c r="R30" i="58"/>
  <c r="Q30" i="58"/>
  <c r="P30" i="58"/>
  <c r="O30" i="58"/>
  <c r="N30" i="58"/>
  <c r="M30" i="58"/>
  <c r="L30" i="58"/>
  <c r="K30" i="58"/>
  <c r="J30" i="58"/>
  <c r="I30" i="58"/>
  <c r="H30" i="58"/>
  <c r="G30" i="58"/>
  <c r="F30" i="58"/>
  <c r="E30" i="58"/>
  <c r="D30" i="58"/>
  <c r="C30" i="58"/>
  <c r="Z29" i="58"/>
  <c r="Y29" i="58"/>
  <c r="X29" i="58"/>
  <c r="W29" i="58"/>
  <c r="V29" i="58"/>
  <c r="U29" i="58"/>
  <c r="T29" i="58"/>
  <c r="S29" i="58"/>
  <c r="R29" i="58"/>
  <c r="Q29" i="58"/>
  <c r="P29" i="58"/>
  <c r="O29" i="58"/>
  <c r="N29" i="58"/>
  <c r="M29" i="58"/>
  <c r="L29" i="58"/>
  <c r="K29" i="58"/>
  <c r="J29" i="58"/>
  <c r="I29" i="58"/>
  <c r="H29" i="58"/>
  <c r="G29" i="58"/>
  <c r="F29" i="58"/>
  <c r="E29" i="58"/>
  <c r="D29" i="58"/>
  <c r="C29" i="58"/>
  <c r="Z28" i="58"/>
  <c r="Y28" i="58"/>
  <c r="X28" i="58"/>
  <c r="W28" i="58"/>
  <c r="V28" i="58"/>
  <c r="U28" i="58"/>
  <c r="T28" i="58"/>
  <c r="S28" i="58"/>
  <c r="R28" i="58"/>
  <c r="Q28" i="58"/>
  <c r="P28" i="58"/>
  <c r="O28" i="58"/>
  <c r="N28" i="58"/>
  <c r="M28" i="58"/>
  <c r="L28" i="58"/>
  <c r="K28" i="58"/>
  <c r="J28" i="58"/>
  <c r="I28" i="58"/>
  <c r="H28" i="58"/>
  <c r="G28" i="58"/>
  <c r="F28" i="58"/>
  <c r="E28" i="58"/>
  <c r="D28" i="58"/>
  <c r="C28" i="58"/>
  <c r="Z27" i="58"/>
  <c r="Y27" i="58"/>
  <c r="X27" i="58"/>
  <c r="W27" i="58"/>
  <c r="V27" i="58"/>
  <c r="U27" i="58"/>
  <c r="T27" i="58"/>
  <c r="S27" i="58"/>
  <c r="R27" i="58"/>
  <c r="Q27" i="58"/>
  <c r="P27" i="58"/>
  <c r="O27" i="58"/>
  <c r="N27" i="58"/>
  <c r="M27" i="58"/>
  <c r="L27" i="58"/>
  <c r="K27" i="58"/>
  <c r="J27" i="58"/>
  <c r="I27" i="58"/>
  <c r="H27" i="58"/>
  <c r="G27" i="58"/>
  <c r="F27" i="58"/>
  <c r="E27" i="58"/>
  <c r="D27" i="58"/>
  <c r="C27" i="58"/>
  <c r="Z26" i="58"/>
  <c r="Y26" i="58"/>
  <c r="X26" i="58"/>
  <c r="W26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Z25" i="58"/>
  <c r="Y25" i="58"/>
  <c r="X25" i="58"/>
  <c r="W25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Z24" i="58"/>
  <c r="Y24" i="58"/>
  <c r="X24" i="58"/>
  <c r="W24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Z23" i="58"/>
  <c r="Y23" i="58"/>
  <c r="X23" i="58"/>
  <c r="W23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Z22" i="58"/>
  <c r="Y22" i="58"/>
  <c r="X22" i="58"/>
  <c r="W22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Z21" i="58"/>
  <c r="Y21" i="58"/>
  <c r="X21" i="58"/>
  <c r="W21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Z20" i="58"/>
  <c r="Y20" i="58"/>
  <c r="X20" i="58"/>
  <c r="W20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Z19" i="58"/>
  <c r="Y19" i="58"/>
  <c r="X19" i="58"/>
  <c r="W19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Z18" i="58"/>
  <c r="Y18" i="58"/>
  <c r="X18" i="58"/>
  <c r="W18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Z17" i="58"/>
  <c r="Y17" i="58"/>
  <c r="X17" i="58"/>
  <c r="W17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Z14" i="58"/>
  <c r="Y14" i="58"/>
  <c r="X14" i="58"/>
  <c r="W14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Z11" i="58"/>
  <c r="Y11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Z10" i="58"/>
  <c r="Y10" i="58"/>
  <c r="X10" i="58"/>
  <c r="W10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Z8" i="58"/>
  <c r="Y8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Z7" i="58"/>
  <c r="Y7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G7" i="58"/>
  <c r="F7" i="58"/>
  <c r="E7" i="58"/>
  <c r="D7" i="58"/>
  <c r="C7" i="58"/>
  <c r="Z6" i="58"/>
  <c r="Y6" i="58"/>
  <c r="Y42" i="58" s="1"/>
  <c r="X6" i="58"/>
  <c r="X42" i="58" s="1"/>
  <c r="W6" i="58"/>
  <c r="W42" i="58" s="1"/>
  <c r="V6" i="58"/>
  <c r="U6" i="58"/>
  <c r="T6" i="58"/>
  <c r="T42" i="58" s="1"/>
  <c r="S6" i="58"/>
  <c r="S42" i="58" s="1"/>
  <c r="R6" i="58"/>
  <c r="R42" i="58" s="1"/>
  <c r="Q6" i="58"/>
  <c r="Q42" i="58" s="1"/>
  <c r="P6" i="58"/>
  <c r="P42" i="58" s="1"/>
  <c r="O6" i="58"/>
  <c r="O42" i="58" s="1"/>
  <c r="N6" i="58"/>
  <c r="N42" i="58" s="1"/>
  <c r="M6" i="58"/>
  <c r="M42" i="58" s="1"/>
  <c r="L6" i="58"/>
  <c r="K6" i="58"/>
  <c r="K42" i="58" s="1"/>
  <c r="J6" i="58"/>
  <c r="I6" i="58"/>
  <c r="H6" i="58"/>
  <c r="H42" i="58" s="1"/>
  <c r="G6" i="58"/>
  <c r="G42" i="58" s="1"/>
  <c r="F6" i="58"/>
  <c r="E6" i="58"/>
  <c r="E42" i="58" s="1"/>
  <c r="D6" i="58"/>
  <c r="C6" i="58"/>
  <c r="C42" i="58" s="1"/>
  <c r="C21" i="57"/>
  <c r="C20" i="57"/>
  <c r="C19" i="57"/>
  <c r="C18" i="57"/>
  <c r="C17" i="57"/>
  <c r="C16" i="57"/>
  <c r="C15" i="57"/>
  <c r="C14" i="57"/>
  <c r="C22" i="57" s="1"/>
  <c r="C13" i="57"/>
  <c r="C12" i="57"/>
  <c r="C11" i="57"/>
  <c r="C10" i="57"/>
  <c r="AB42" i="58"/>
  <c r="V42" i="58"/>
  <c r="F42" i="58"/>
  <c r="H32" i="57"/>
  <c r="H31" i="57"/>
  <c r="H30" i="57"/>
  <c r="F22" i="57"/>
  <c r="Z41" i="56"/>
  <c r="Y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E41" i="56"/>
  <c r="D41" i="56"/>
  <c r="C41" i="56"/>
  <c r="Z40" i="56"/>
  <c r="Y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E40" i="56"/>
  <c r="D40" i="56"/>
  <c r="C40" i="56"/>
  <c r="Z39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Z38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C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D34" i="56"/>
  <c r="C34" i="56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E33" i="56"/>
  <c r="D33" i="56"/>
  <c r="C33" i="56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2" i="56"/>
  <c r="C32" i="56"/>
  <c r="Z31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Z30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30" i="56"/>
  <c r="C30" i="56"/>
  <c r="Z29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Z28" i="56"/>
  <c r="Y28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Z27" i="56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Z26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Z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Z23" i="56"/>
  <c r="Y23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Z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Z20" i="56"/>
  <c r="Y20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Z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C19" i="56"/>
  <c r="Z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Z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C8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D7" i="56"/>
  <c r="C7" i="56"/>
  <c r="Z6" i="56"/>
  <c r="Z42" i="56" s="1"/>
  <c r="Y6" i="56"/>
  <c r="Y42" i="56" s="1"/>
  <c r="X6" i="56"/>
  <c r="X42" i="56" s="1"/>
  <c r="W6" i="56"/>
  <c r="W42" i="56" s="1"/>
  <c r="V6" i="56"/>
  <c r="V42" i="56" s="1"/>
  <c r="U6" i="56"/>
  <c r="T6" i="56"/>
  <c r="T42" i="56" s="1"/>
  <c r="S6" i="56"/>
  <c r="R6" i="56"/>
  <c r="R42" i="56" s="1"/>
  <c r="Q6" i="56"/>
  <c r="Q42" i="56" s="1"/>
  <c r="P6" i="56"/>
  <c r="P42" i="56" s="1"/>
  <c r="O6" i="56"/>
  <c r="O42" i="56" s="1"/>
  <c r="N6" i="56"/>
  <c r="N42" i="56" s="1"/>
  <c r="M6" i="56"/>
  <c r="M42" i="56" s="1"/>
  <c r="L6" i="56"/>
  <c r="K6" i="56"/>
  <c r="K42" i="56" s="1"/>
  <c r="J6" i="56"/>
  <c r="I6" i="56"/>
  <c r="I42" i="56" s="1"/>
  <c r="H6" i="56"/>
  <c r="H42" i="56" s="1"/>
  <c r="G6" i="56"/>
  <c r="G42" i="56" s="1"/>
  <c r="F6" i="56"/>
  <c r="F42" i="56" s="1"/>
  <c r="E6" i="56"/>
  <c r="E42" i="56" s="1"/>
  <c r="D6" i="56"/>
  <c r="D42" i="56" s="1"/>
  <c r="C6" i="56"/>
  <c r="C21" i="55"/>
  <c r="C20" i="55"/>
  <c r="C19" i="55"/>
  <c r="C18" i="55"/>
  <c r="C17" i="55"/>
  <c r="C16" i="55"/>
  <c r="C15" i="55"/>
  <c r="C14" i="55"/>
  <c r="C22" i="55" s="1"/>
  <c r="C13" i="55"/>
  <c r="C12" i="55"/>
  <c r="C11" i="55"/>
  <c r="C10" i="55"/>
  <c r="AB42" i="56"/>
  <c r="U42" i="56"/>
  <c r="H32" i="55"/>
  <c r="H31" i="55"/>
  <c r="H30" i="55"/>
  <c r="F22" i="55"/>
  <c r="Z41" i="54"/>
  <c r="Y41" i="54"/>
  <c r="X41" i="54"/>
  <c r="W41" i="54"/>
  <c r="V41" i="54"/>
  <c r="U41" i="54"/>
  <c r="T41" i="54"/>
  <c r="S41" i="54"/>
  <c r="R41" i="54"/>
  <c r="Q41" i="54"/>
  <c r="P41" i="54"/>
  <c r="O41" i="54"/>
  <c r="N41" i="54"/>
  <c r="M41" i="54"/>
  <c r="L41" i="54"/>
  <c r="K41" i="54"/>
  <c r="J41" i="54"/>
  <c r="I41" i="54"/>
  <c r="H41" i="54"/>
  <c r="G41" i="54"/>
  <c r="F41" i="54"/>
  <c r="E41" i="54"/>
  <c r="D41" i="54"/>
  <c r="C41" i="54"/>
  <c r="Z40" i="54"/>
  <c r="Y40" i="54"/>
  <c r="X40" i="54"/>
  <c r="W40" i="54"/>
  <c r="V40" i="54"/>
  <c r="U40" i="54"/>
  <c r="T40" i="54"/>
  <c r="S40" i="54"/>
  <c r="R40" i="54"/>
  <c r="Q40" i="54"/>
  <c r="P40" i="54"/>
  <c r="O40" i="54"/>
  <c r="N40" i="54"/>
  <c r="M40" i="54"/>
  <c r="L40" i="54"/>
  <c r="K40" i="54"/>
  <c r="J40" i="54"/>
  <c r="I40" i="54"/>
  <c r="H40" i="54"/>
  <c r="G40" i="54"/>
  <c r="F40" i="54"/>
  <c r="E40" i="54"/>
  <c r="D40" i="54"/>
  <c r="C40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Z38" i="54"/>
  <c r="Y38" i="54"/>
  <c r="X38" i="54"/>
  <c r="W38" i="54"/>
  <c r="V38" i="54"/>
  <c r="U38" i="54"/>
  <c r="T38" i="54"/>
  <c r="S38" i="54"/>
  <c r="R38" i="54"/>
  <c r="Q38" i="54"/>
  <c r="P38" i="54"/>
  <c r="O38" i="54"/>
  <c r="N38" i="54"/>
  <c r="M38" i="54"/>
  <c r="L38" i="54"/>
  <c r="K38" i="54"/>
  <c r="J38" i="54"/>
  <c r="I38" i="54"/>
  <c r="H38" i="54"/>
  <c r="G38" i="54"/>
  <c r="F38" i="54"/>
  <c r="E38" i="54"/>
  <c r="D38" i="54"/>
  <c r="C38" i="54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G37" i="54"/>
  <c r="F37" i="54"/>
  <c r="E37" i="54"/>
  <c r="D37" i="54"/>
  <c r="C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36" i="54"/>
  <c r="E36" i="54"/>
  <c r="D36" i="54"/>
  <c r="C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H35" i="54"/>
  <c r="G35" i="54"/>
  <c r="F35" i="54"/>
  <c r="E35" i="54"/>
  <c r="D35" i="54"/>
  <c r="C35" i="54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H34" i="54"/>
  <c r="G34" i="54"/>
  <c r="F34" i="54"/>
  <c r="E34" i="54"/>
  <c r="D34" i="54"/>
  <c r="C34" i="54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H33" i="54"/>
  <c r="G33" i="54"/>
  <c r="F33" i="54"/>
  <c r="E33" i="54"/>
  <c r="D33" i="54"/>
  <c r="C33" i="54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H32" i="54"/>
  <c r="G32" i="54"/>
  <c r="F32" i="54"/>
  <c r="E32" i="54"/>
  <c r="D32" i="54"/>
  <c r="C32" i="54"/>
  <c r="Z31" i="54"/>
  <c r="Y31" i="54"/>
  <c r="X31" i="54"/>
  <c r="W31" i="54"/>
  <c r="V31" i="54"/>
  <c r="U31" i="54"/>
  <c r="T31" i="54"/>
  <c r="S31" i="54"/>
  <c r="R31" i="54"/>
  <c r="Q31" i="54"/>
  <c r="P31" i="54"/>
  <c r="O31" i="54"/>
  <c r="N31" i="54"/>
  <c r="M31" i="54"/>
  <c r="L31" i="54"/>
  <c r="K31" i="54"/>
  <c r="J31" i="54"/>
  <c r="I31" i="54"/>
  <c r="H31" i="54"/>
  <c r="G31" i="54"/>
  <c r="F31" i="54"/>
  <c r="E31" i="54"/>
  <c r="D31" i="54"/>
  <c r="C31" i="54"/>
  <c r="Z30" i="54"/>
  <c r="Y30" i="54"/>
  <c r="X30" i="54"/>
  <c r="W30" i="54"/>
  <c r="V30" i="54"/>
  <c r="U30" i="54"/>
  <c r="T30" i="54"/>
  <c r="S30" i="54"/>
  <c r="R30" i="54"/>
  <c r="Q30" i="54"/>
  <c r="P30" i="54"/>
  <c r="O30" i="54"/>
  <c r="N30" i="54"/>
  <c r="M30" i="54"/>
  <c r="L30" i="54"/>
  <c r="K30" i="54"/>
  <c r="J30" i="54"/>
  <c r="I30" i="54"/>
  <c r="H30" i="54"/>
  <c r="G30" i="54"/>
  <c r="F30" i="54"/>
  <c r="E30" i="54"/>
  <c r="D30" i="54"/>
  <c r="C30" i="54"/>
  <c r="Z29" i="54"/>
  <c r="Y29" i="54"/>
  <c r="X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G29" i="54"/>
  <c r="F29" i="54"/>
  <c r="E29" i="54"/>
  <c r="D29" i="54"/>
  <c r="C29" i="54"/>
  <c r="Z28" i="54"/>
  <c r="Y28" i="54"/>
  <c r="X28" i="54"/>
  <c r="W28" i="54"/>
  <c r="V28" i="54"/>
  <c r="U28" i="54"/>
  <c r="T28" i="54"/>
  <c r="S28" i="54"/>
  <c r="R28" i="54"/>
  <c r="Q28" i="54"/>
  <c r="P28" i="54"/>
  <c r="O28" i="54"/>
  <c r="N28" i="54"/>
  <c r="M28" i="54"/>
  <c r="L28" i="54"/>
  <c r="K28" i="54"/>
  <c r="J28" i="54"/>
  <c r="I28" i="54"/>
  <c r="H28" i="54"/>
  <c r="G28" i="54"/>
  <c r="F28" i="54"/>
  <c r="E28" i="54"/>
  <c r="D28" i="54"/>
  <c r="C28" i="54"/>
  <c r="Z27" i="54"/>
  <c r="Y27" i="54"/>
  <c r="X27" i="54"/>
  <c r="W27" i="54"/>
  <c r="V27" i="54"/>
  <c r="U27" i="54"/>
  <c r="T27" i="54"/>
  <c r="S27" i="54"/>
  <c r="R27" i="54"/>
  <c r="Q27" i="54"/>
  <c r="P27" i="54"/>
  <c r="O27" i="54"/>
  <c r="N27" i="54"/>
  <c r="M27" i="54"/>
  <c r="L27" i="54"/>
  <c r="K27" i="54"/>
  <c r="J27" i="54"/>
  <c r="I27" i="54"/>
  <c r="H27" i="54"/>
  <c r="G27" i="54"/>
  <c r="F27" i="54"/>
  <c r="E27" i="54"/>
  <c r="D27" i="54"/>
  <c r="C27" i="54"/>
  <c r="Z26" i="54"/>
  <c r="Y26" i="54"/>
  <c r="X26" i="54"/>
  <c r="W26" i="54"/>
  <c r="V26" i="54"/>
  <c r="U26" i="54"/>
  <c r="T26" i="54"/>
  <c r="S26" i="54"/>
  <c r="R26" i="54"/>
  <c r="Q26" i="54"/>
  <c r="P26" i="54"/>
  <c r="O26" i="54"/>
  <c r="N26" i="54"/>
  <c r="M26" i="54"/>
  <c r="L26" i="54"/>
  <c r="K26" i="54"/>
  <c r="J26" i="54"/>
  <c r="I26" i="54"/>
  <c r="H26" i="54"/>
  <c r="G26" i="54"/>
  <c r="F26" i="54"/>
  <c r="E26" i="54"/>
  <c r="D26" i="54"/>
  <c r="C26" i="54"/>
  <c r="Z25" i="54"/>
  <c r="Y25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K25" i="54"/>
  <c r="J25" i="54"/>
  <c r="I25" i="54"/>
  <c r="H25" i="54"/>
  <c r="G25" i="54"/>
  <c r="F25" i="54"/>
  <c r="E25" i="54"/>
  <c r="D25" i="54"/>
  <c r="C25" i="54"/>
  <c r="Z24" i="54"/>
  <c r="Y24" i="54"/>
  <c r="X24" i="54"/>
  <c r="W24" i="54"/>
  <c r="V24" i="54"/>
  <c r="U24" i="54"/>
  <c r="T24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G24" i="54"/>
  <c r="F24" i="54"/>
  <c r="E24" i="54"/>
  <c r="D24" i="54"/>
  <c r="C24" i="54"/>
  <c r="Z23" i="54"/>
  <c r="Y23" i="54"/>
  <c r="X23" i="54"/>
  <c r="W23" i="54"/>
  <c r="V23" i="54"/>
  <c r="U23" i="54"/>
  <c r="T23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G23" i="54"/>
  <c r="F23" i="54"/>
  <c r="E23" i="54"/>
  <c r="D23" i="54"/>
  <c r="C23" i="54"/>
  <c r="Z22" i="54"/>
  <c r="Y22" i="54"/>
  <c r="X22" i="54"/>
  <c r="W22" i="54"/>
  <c r="V22" i="54"/>
  <c r="U22" i="54"/>
  <c r="T2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G22" i="54"/>
  <c r="F22" i="54"/>
  <c r="E22" i="54"/>
  <c r="D22" i="54"/>
  <c r="C22" i="54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G21" i="54"/>
  <c r="F21" i="54"/>
  <c r="E21" i="54"/>
  <c r="D21" i="54"/>
  <c r="C21" i="54"/>
  <c r="Z20" i="54"/>
  <c r="Y20" i="54"/>
  <c r="X20" i="54"/>
  <c r="W20" i="54"/>
  <c r="V20" i="54"/>
  <c r="U20" i="54"/>
  <c r="T20" i="54"/>
  <c r="S20" i="54"/>
  <c r="R20" i="54"/>
  <c r="Q20" i="54"/>
  <c r="P20" i="54"/>
  <c r="O20" i="54"/>
  <c r="N20" i="54"/>
  <c r="M20" i="54"/>
  <c r="L20" i="54"/>
  <c r="K20" i="54"/>
  <c r="J20" i="54"/>
  <c r="I20" i="54"/>
  <c r="H20" i="54"/>
  <c r="G20" i="54"/>
  <c r="F20" i="54"/>
  <c r="E20" i="54"/>
  <c r="D20" i="54"/>
  <c r="C20" i="54"/>
  <c r="Z19" i="54"/>
  <c r="Y19" i="54"/>
  <c r="X19" i="54"/>
  <c r="W19" i="54"/>
  <c r="V19" i="54"/>
  <c r="U19" i="54"/>
  <c r="T19" i="54"/>
  <c r="S19" i="54"/>
  <c r="R19" i="54"/>
  <c r="Q19" i="54"/>
  <c r="P19" i="54"/>
  <c r="O19" i="54"/>
  <c r="N19" i="54"/>
  <c r="M19" i="54"/>
  <c r="L19" i="54"/>
  <c r="K19" i="54"/>
  <c r="J19" i="54"/>
  <c r="I19" i="54"/>
  <c r="H19" i="54"/>
  <c r="G19" i="54"/>
  <c r="F19" i="54"/>
  <c r="E19" i="54"/>
  <c r="D19" i="54"/>
  <c r="C19" i="54"/>
  <c r="Z18" i="54"/>
  <c r="Y18" i="54"/>
  <c r="X18" i="54"/>
  <c r="W18" i="54"/>
  <c r="V18" i="54"/>
  <c r="U18" i="54"/>
  <c r="T18" i="54"/>
  <c r="S18" i="54"/>
  <c r="R18" i="54"/>
  <c r="Q18" i="54"/>
  <c r="P18" i="54"/>
  <c r="O18" i="54"/>
  <c r="N18" i="54"/>
  <c r="M18" i="54"/>
  <c r="L18" i="54"/>
  <c r="K18" i="54"/>
  <c r="J18" i="54"/>
  <c r="I18" i="54"/>
  <c r="H18" i="54"/>
  <c r="G18" i="54"/>
  <c r="F18" i="54"/>
  <c r="E18" i="54"/>
  <c r="D18" i="54"/>
  <c r="C18" i="54"/>
  <c r="Z17" i="54"/>
  <c r="Y17" i="54"/>
  <c r="X17" i="54"/>
  <c r="W17" i="54"/>
  <c r="V17" i="54"/>
  <c r="U17" i="54"/>
  <c r="T17" i="54"/>
  <c r="S17" i="54"/>
  <c r="R17" i="54"/>
  <c r="Q17" i="54"/>
  <c r="P17" i="54"/>
  <c r="O17" i="54"/>
  <c r="N17" i="54"/>
  <c r="M17" i="54"/>
  <c r="L17" i="54"/>
  <c r="K17" i="54"/>
  <c r="J17" i="54"/>
  <c r="I17" i="54"/>
  <c r="H17" i="54"/>
  <c r="G17" i="54"/>
  <c r="F17" i="54"/>
  <c r="E17" i="54"/>
  <c r="D17" i="54"/>
  <c r="C17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C15" i="54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C14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G13" i="54"/>
  <c r="F13" i="54"/>
  <c r="E13" i="54"/>
  <c r="D13" i="54"/>
  <c r="C13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D12" i="54"/>
  <c r="C12" i="54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G11" i="54"/>
  <c r="F11" i="54"/>
  <c r="E11" i="54"/>
  <c r="D11" i="54"/>
  <c r="C11" i="54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E10" i="54"/>
  <c r="D10" i="54"/>
  <c r="C10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G8" i="54"/>
  <c r="F8" i="54"/>
  <c r="E8" i="54"/>
  <c r="D8" i="54"/>
  <c r="C8" i="54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G7" i="54"/>
  <c r="F7" i="54"/>
  <c r="E7" i="54"/>
  <c r="D7" i="54"/>
  <c r="C7" i="54"/>
  <c r="Z6" i="54"/>
  <c r="Y6" i="54"/>
  <c r="Y42" i="54" s="1"/>
  <c r="X6" i="54"/>
  <c r="X42" i="54" s="1"/>
  <c r="W6" i="54"/>
  <c r="W42" i="54" s="1"/>
  <c r="V6" i="54"/>
  <c r="U6" i="54"/>
  <c r="U42" i="54" s="1"/>
  <c r="T6" i="54"/>
  <c r="T42" i="54" s="1"/>
  <c r="S6" i="54"/>
  <c r="S42" i="54" s="1"/>
  <c r="R6" i="54"/>
  <c r="Q6" i="54"/>
  <c r="Q42" i="54" s="1"/>
  <c r="P6" i="54"/>
  <c r="O6" i="54"/>
  <c r="O42" i="54" s="1"/>
  <c r="N6" i="54"/>
  <c r="M6" i="54"/>
  <c r="M42" i="54" s="1"/>
  <c r="L6" i="54"/>
  <c r="L42" i="54" s="1"/>
  <c r="K6" i="54"/>
  <c r="K42" i="54" s="1"/>
  <c r="J6" i="54"/>
  <c r="I6" i="54"/>
  <c r="I42" i="54" s="1"/>
  <c r="H6" i="54"/>
  <c r="H42" i="54" s="1"/>
  <c r="G6" i="54"/>
  <c r="G42" i="54" s="1"/>
  <c r="F6" i="54"/>
  <c r="F42" i="54" s="1"/>
  <c r="E6" i="54"/>
  <c r="D6" i="54"/>
  <c r="D42" i="54" s="1"/>
  <c r="C6" i="54"/>
  <c r="C42" i="54" s="1"/>
  <c r="AB42" i="54"/>
  <c r="Z42" i="54"/>
  <c r="R42" i="54"/>
  <c r="J42" i="54"/>
  <c r="C21" i="53"/>
  <c r="C20" i="53"/>
  <c r="C19" i="53"/>
  <c r="C18" i="53"/>
  <c r="C17" i="53"/>
  <c r="C16" i="53"/>
  <c r="C15" i="53"/>
  <c r="C14" i="53"/>
  <c r="C13" i="53"/>
  <c r="C12" i="53"/>
  <c r="C11" i="53"/>
  <c r="C10" i="53"/>
  <c r="H32" i="53"/>
  <c r="H31" i="53"/>
  <c r="H30" i="53"/>
  <c r="F22" i="53"/>
  <c r="AB42" i="52"/>
  <c r="Z42" i="52"/>
  <c r="Y42" i="52"/>
  <c r="X42" i="52"/>
  <c r="W42" i="52"/>
  <c r="V42" i="52"/>
  <c r="U42" i="52"/>
  <c r="T42" i="52"/>
  <c r="S42" i="52"/>
  <c r="R42" i="52"/>
  <c r="Q42" i="52"/>
  <c r="P42" i="52"/>
  <c r="O42" i="52"/>
  <c r="N42" i="52"/>
  <c r="M42" i="52"/>
  <c r="L42" i="52"/>
  <c r="K42" i="52"/>
  <c r="J42" i="52"/>
  <c r="I42" i="52"/>
  <c r="H42" i="52"/>
  <c r="G42" i="52"/>
  <c r="F42" i="52"/>
  <c r="E42" i="52"/>
  <c r="D42" i="52"/>
  <c r="C42" i="52"/>
  <c r="AA41" i="52"/>
  <c r="AA40" i="52"/>
  <c r="AA39" i="52"/>
  <c r="AC39" i="52" s="1"/>
  <c r="AA38" i="52"/>
  <c r="AA37" i="52"/>
  <c r="AA36" i="52"/>
  <c r="AC36" i="52" s="1"/>
  <c r="AA35" i="52"/>
  <c r="AA34" i="52"/>
  <c r="AA33" i="52"/>
  <c r="AC33" i="52" s="1"/>
  <c r="AA32" i="52"/>
  <c r="AA31" i="52"/>
  <c r="AA30" i="52"/>
  <c r="AA29" i="52"/>
  <c r="AA28" i="52"/>
  <c r="AA27" i="52"/>
  <c r="AA26" i="52"/>
  <c r="AA25" i="52"/>
  <c r="AA24" i="52"/>
  <c r="AA23" i="52"/>
  <c r="AA22" i="52"/>
  <c r="AA21" i="52"/>
  <c r="AC21" i="52" s="1"/>
  <c r="AA20" i="52"/>
  <c r="AA19" i="52"/>
  <c r="AA18" i="52"/>
  <c r="AA17" i="52"/>
  <c r="AA16" i="52"/>
  <c r="AA15" i="52"/>
  <c r="AC15" i="52" s="1"/>
  <c r="AA14" i="52"/>
  <c r="AA13" i="52"/>
  <c r="AA12" i="52"/>
  <c r="AC12" i="52" s="1"/>
  <c r="AA11" i="52"/>
  <c r="AA10" i="52"/>
  <c r="AA9" i="52"/>
  <c r="AA8" i="52"/>
  <c r="AA7" i="52"/>
  <c r="AA6" i="52"/>
  <c r="AB42" i="51"/>
  <c r="Z42" i="51"/>
  <c r="Y42" i="51"/>
  <c r="X42" i="51"/>
  <c r="W42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C42" i="51"/>
  <c r="AA41" i="51"/>
  <c r="AA40" i="51"/>
  <c r="AA39" i="51"/>
  <c r="AC39" i="51" s="1"/>
  <c r="AA38" i="51"/>
  <c r="AA37" i="51"/>
  <c r="AA36" i="51"/>
  <c r="AC36" i="51" s="1"/>
  <c r="AA35" i="51"/>
  <c r="AA34" i="51"/>
  <c r="AA33" i="51"/>
  <c r="AA32" i="51"/>
  <c r="AA31" i="51"/>
  <c r="AA30" i="51"/>
  <c r="AC30" i="51" s="1"/>
  <c r="AA29" i="51"/>
  <c r="AA28" i="51"/>
  <c r="AA27" i="51"/>
  <c r="AA26" i="51"/>
  <c r="AA25" i="51"/>
  <c r="AA24" i="51"/>
  <c r="AC24" i="51" s="1"/>
  <c r="AA23" i="51"/>
  <c r="AA22" i="51"/>
  <c r="AA21" i="51"/>
  <c r="AC21" i="51" s="1"/>
  <c r="AA20" i="51"/>
  <c r="AA19" i="51"/>
  <c r="AA18" i="51"/>
  <c r="AC18" i="51" s="1"/>
  <c r="AA17" i="51"/>
  <c r="AA16" i="51"/>
  <c r="AA15" i="51"/>
  <c r="AC15" i="51" s="1"/>
  <c r="AA14" i="51"/>
  <c r="AA13" i="51"/>
  <c r="AA12" i="51"/>
  <c r="AC12" i="51" s="1"/>
  <c r="AA11" i="51"/>
  <c r="AA10" i="51"/>
  <c r="AA9" i="51"/>
  <c r="AC9" i="51" s="1"/>
  <c r="AA8" i="51"/>
  <c r="AA7" i="51"/>
  <c r="AA6" i="51"/>
  <c r="AB42" i="50"/>
  <c r="Z42" i="50"/>
  <c r="Y42" i="50"/>
  <c r="X42" i="50"/>
  <c r="W42" i="50"/>
  <c r="V42" i="50"/>
  <c r="U42" i="50"/>
  <c r="T42" i="50"/>
  <c r="S42" i="50"/>
  <c r="R42" i="50"/>
  <c r="Q42" i="50"/>
  <c r="P42" i="50"/>
  <c r="O42" i="50"/>
  <c r="N42" i="50"/>
  <c r="M42" i="50"/>
  <c r="L42" i="50"/>
  <c r="K42" i="50"/>
  <c r="J42" i="50"/>
  <c r="I42" i="50"/>
  <c r="H42" i="50"/>
  <c r="G42" i="50"/>
  <c r="F42" i="50"/>
  <c r="E42" i="50"/>
  <c r="D42" i="50"/>
  <c r="C42" i="50"/>
  <c r="AA41" i="50"/>
  <c r="AA40" i="50"/>
  <c r="AA39" i="50"/>
  <c r="AC39" i="50" s="1"/>
  <c r="AA38" i="50"/>
  <c r="AA37" i="50"/>
  <c r="AA36" i="50"/>
  <c r="AC36" i="50" s="1"/>
  <c r="AA35" i="50"/>
  <c r="AC33" i="50" s="1"/>
  <c r="AA34" i="50"/>
  <c r="AA33" i="50"/>
  <c r="AA32" i="50"/>
  <c r="AA31" i="50"/>
  <c r="AA30" i="50"/>
  <c r="AC30" i="50" s="1"/>
  <c r="AA29" i="50"/>
  <c r="AC27" i="50" s="1"/>
  <c r="AA28" i="50"/>
  <c r="AA27" i="50"/>
  <c r="AA26" i="50"/>
  <c r="AA25" i="50"/>
  <c r="AA24" i="50"/>
  <c r="AC24" i="50" s="1"/>
  <c r="AA23" i="50"/>
  <c r="AC21" i="50" s="1"/>
  <c r="AA22" i="50"/>
  <c r="AA21" i="50"/>
  <c r="AA20" i="50"/>
  <c r="AA19" i="50"/>
  <c r="AA18" i="50"/>
  <c r="AC18" i="50" s="1"/>
  <c r="AA17" i="50"/>
  <c r="AC15" i="50" s="1"/>
  <c r="AA16" i="50"/>
  <c r="AA15" i="50"/>
  <c r="AA14" i="50"/>
  <c r="AA13" i="50"/>
  <c r="AA12" i="50"/>
  <c r="AC12" i="50" s="1"/>
  <c r="AA11" i="50"/>
  <c r="AC9" i="50" s="1"/>
  <c r="AA10" i="50"/>
  <c r="AA9" i="50"/>
  <c r="AA8" i="50"/>
  <c r="AA7" i="50"/>
  <c r="AA6" i="50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I42" i="58" l="1"/>
  <c r="Z42" i="58"/>
  <c r="J42" i="58"/>
  <c r="U42" i="58"/>
  <c r="J42" i="56"/>
  <c r="V42" i="54"/>
  <c r="N42" i="54"/>
  <c r="P42" i="54"/>
  <c r="E42" i="54"/>
  <c r="AA23" i="54"/>
  <c r="AA20" i="58"/>
  <c r="AA33" i="58"/>
  <c r="AA24" i="58"/>
  <c r="AA15" i="58"/>
  <c r="D42" i="58"/>
  <c r="L42" i="58"/>
  <c r="AA7" i="58"/>
  <c r="AA8" i="58"/>
  <c r="AA9" i="58"/>
  <c r="AA10" i="58"/>
  <c r="AA11" i="58"/>
  <c r="AA12" i="58"/>
  <c r="AA13" i="58"/>
  <c r="AA14" i="58"/>
  <c r="AA16" i="58"/>
  <c r="AA17" i="58"/>
  <c r="AA18" i="58"/>
  <c r="AA19" i="58"/>
  <c r="AA21" i="58"/>
  <c r="AA22" i="58"/>
  <c r="AA23" i="58"/>
  <c r="AA25" i="58"/>
  <c r="AA26" i="58"/>
  <c r="AC24" i="58" s="1"/>
  <c r="E16" i="57" s="1"/>
  <c r="AA27" i="58"/>
  <c r="AA28" i="58"/>
  <c r="AA29" i="58"/>
  <c r="AA30" i="58"/>
  <c r="AA31" i="58"/>
  <c r="AA32" i="58"/>
  <c r="AA34" i="58"/>
  <c r="AA35" i="58"/>
  <c r="AA36" i="58"/>
  <c r="AA37" i="58"/>
  <c r="AA38" i="58"/>
  <c r="AA39" i="58"/>
  <c r="AA40" i="58"/>
  <c r="AA41" i="58"/>
  <c r="AA7" i="56"/>
  <c r="AA13" i="56"/>
  <c r="AA17" i="56"/>
  <c r="AA18" i="56"/>
  <c r="AA20" i="56"/>
  <c r="AA25" i="56"/>
  <c r="AA26" i="56"/>
  <c r="AA27" i="56"/>
  <c r="AA28" i="56"/>
  <c r="AA29" i="56"/>
  <c r="AA32" i="56"/>
  <c r="AA33" i="56"/>
  <c r="AA34" i="56"/>
  <c r="AA35" i="56"/>
  <c r="AA36" i="56"/>
  <c r="AA37" i="56"/>
  <c r="AA38" i="56"/>
  <c r="AA40" i="56"/>
  <c r="AA41" i="56"/>
  <c r="AA33" i="54"/>
  <c r="AA12" i="54"/>
  <c r="AA22" i="54"/>
  <c r="AA10" i="54"/>
  <c r="AA16" i="54"/>
  <c r="AA19" i="54"/>
  <c r="AA20" i="54"/>
  <c r="AA21" i="54"/>
  <c r="AA24" i="54"/>
  <c r="AA25" i="54"/>
  <c r="AA26" i="54"/>
  <c r="AA27" i="54"/>
  <c r="AA28" i="54"/>
  <c r="AA29" i="54"/>
  <c r="AA30" i="54"/>
  <c r="AA31" i="54"/>
  <c r="AA32" i="54"/>
  <c r="AA34" i="54"/>
  <c r="AA35" i="54"/>
  <c r="AA36" i="54"/>
  <c r="AA37" i="54"/>
  <c r="AA38" i="54"/>
  <c r="AA39" i="54"/>
  <c r="AA40" i="54"/>
  <c r="AA41" i="54"/>
  <c r="AA7" i="54"/>
  <c r="AA14" i="54"/>
  <c r="AA18" i="54"/>
  <c r="AA9" i="54"/>
  <c r="AA13" i="54"/>
  <c r="AA15" i="54"/>
  <c r="AA17" i="54"/>
  <c r="AA11" i="54"/>
  <c r="AA8" i="54"/>
  <c r="AA6" i="58"/>
  <c r="AA22" i="56"/>
  <c r="AA10" i="56"/>
  <c r="AA12" i="56"/>
  <c r="S42" i="56"/>
  <c r="AA11" i="56"/>
  <c r="AA24" i="56"/>
  <c r="C42" i="56"/>
  <c r="L42" i="56"/>
  <c r="AA19" i="56"/>
  <c r="AA30" i="56"/>
  <c r="AA15" i="56"/>
  <c r="AA39" i="56"/>
  <c r="AA9" i="56"/>
  <c r="AA16" i="56"/>
  <c r="AA21" i="56"/>
  <c r="AA23" i="56"/>
  <c r="AA14" i="56"/>
  <c r="AA31" i="56"/>
  <c r="AA8" i="56"/>
  <c r="AA6" i="56"/>
  <c r="AA6" i="54"/>
  <c r="C22" i="53"/>
  <c r="AC27" i="52"/>
  <c r="AC6" i="52"/>
  <c r="AC30" i="52"/>
  <c r="AC24" i="52"/>
  <c r="AC9" i="52"/>
  <c r="AC42" i="52" s="1"/>
  <c r="AC18" i="52"/>
  <c r="AA42" i="52"/>
  <c r="AA42" i="51"/>
  <c r="AC33" i="51"/>
  <c r="AC6" i="51"/>
  <c r="AC27" i="51"/>
  <c r="AA42" i="50"/>
  <c r="AC6" i="50"/>
  <c r="AC42" i="50" s="1"/>
  <c r="H31" i="44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6" i="19"/>
  <c r="C7" i="49"/>
  <c r="D7" i="49"/>
  <c r="E7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C8" i="49"/>
  <c r="D8" i="49"/>
  <c r="E8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C9" i="49"/>
  <c r="D9" i="49"/>
  <c r="E9" i="49"/>
  <c r="F9" i="49"/>
  <c r="G9" i="49"/>
  <c r="H9" i="49"/>
  <c r="I9" i="49"/>
  <c r="J9" i="49"/>
  <c r="K9" i="49"/>
  <c r="L9" i="49"/>
  <c r="M9" i="49"/>
  <c r="N9" i="49"/>
  <c r="O9" i="49"/>
  <c r="P9" i="49"/>
  <c r="Q9" i="49"/>
  <c r="R9" i="49"/>
  <c r="S9" i="49"/>
  <c r="T9" i="49"/>
  <c r="U9" i="49"/>
  <c r="V9" i="49"/>
  <c r="W9" i="49"/>
  <c r="X9" i="49"/>
  <c r="Y9" i="49"/>
  <c r="Z9" i="49"/>
  <c r="C10" i="49"/>
  <c r="D10" i="49"/>
  <c r="E10" i="49"/>
  <c r="F10" i="49"/>
  <c r="G10" i="49"/>
  <c r="H10" i="49"/>
  <c r="I10" i="49"/>
  <c r="J10" i="49"/>
  <c r="K10" i="49"/>
  <c r="L10" i="49"/>
  <c r="M10" i="49"/>
  <c r="N10" i="49"/>
  <c r="O10" i="49"/>
  <c r="P10" i="49"/>
  <c r="Q10" i="49"/>
  <c r="R10" i="49"/>
  <c r="S10" i="49"/>
  <c r="T10" i="49"/>
  <c r="U10" i="49"/>
  <c r="V10" i="49"/>
  <c r="W10" i="49"/>
  <c r="X10" i="49"/>
  <c r="Y10" i="49"/>
  <c r="Z10" i="49"/>
  <c r="C11" i="49"/>
  <c r="D11" i="49"/>
  <c r="E11" i="49"/>
  <c r="F11" i="49"/>
  <c r="G11" i="49"/>
  <c r="H11" i="49"/>
  <c r="I11" i="49"/>
  <c r="J11" i="49"/>
  <c r="K11" i="49"/>
  <c r="L11" i="49"/>
  <c r="M11" i="49"/>
  <c r="N11" i="49"/>
  <c r="O11" i="49"/>
  <c r="P11" i="49"/>
  <c r="Q11" i="49"/>
  <c r="R11" i="49"/>
  <c r="S11" i="49"/>
  <c r="T11" i="49"/>
  <c r="U11" i="49"/>
  <c r="V11" i="49"/>
  <c r="W11" i="49"/>
  <c r="X11" i="49"/>
  <c r="Y11" i="49"/>
  <c r="Z11" i="49"/>
  <c r="C12" i="49"/>
  <c r="D12" i="49"/>
  <c r="E12" i="49"/>
  <c r="F12" i="49"/>
  <c r="G12" i="49"/>
  <c r="H12" i="49"/>
  <c r="I12" i="49"/>
  <c r="J12" i="49"/>
  <c r="K12" i="49"/>
  <c r="L12" i="49"/>
  <c r="M12" i="49"/>
  <c r="N12" i="49"/>
  <c r="O12" i="49"/>
  <c r="P12" i="49"/>
  <c r="Q12" i="49"/>
  <c r="R12" i="49"/>
  <c r="S12" i="49"/>
  <c r="T12" i="49"/>
  <c r="U12" i="49"/>
  <c r="V12" i="49"/>
  <c r="W12" i="49"/>
  <c r="X12" i="49"/>
  <c r="Y12" i="49"/>
  <c r="Z12" i="49"/>
  <c r="C13" i="49"/>
  <c r="D13" i="49"/>
  <c r="E13" i="49"/>
  <c r="F13" i="49"/>
  <c r="G13" i="49"/>
  <c r="H13" i="49"/>
  <c r="I13" i="49"/>
  <c r="J13" i="49"/>
  <c r="K13" i="49"/>
  <c r="L13" i="49"/>
  <c r="M13" i="49"/>
  <c r="N13" i="49"/>
  <c r="O13" i="49"/>
  <c r="P13" i="49"/>
  <c r="Q13" i="49"/>
  <c r="R13" i="49"/>
  <c r="S13" i="49"/>
  <c r="T13" i="49"/>
  <c r="U13" i="49"/>
  <c r="V13" i="49"/>
  <c r="W13" i="49"/>
  <c r="X13" i="49"/>
  <c r="Y13" i="49"/>
  <c r="Z13" i="49"/>
  <c r="C14" i="49"/>
  <c r="D14" i="49"/>
  <c r="E14" i="49"/>
  <c r="F14" i="49"/>
  <c r="G14" i="49"/>
  <c r="H14" i="49"/>
  <c r="I14" i="49"/>
  <c r="J14" i="49"/>
  <c r="K14" i="49"/>
  <c r="L14" i="49"/>
  <c r="M14" i="49"/>
  <c r="N14" i="49"/>
  <c r="O14" i="49"/>
  <c r="P14" i="49"/>
  <c r="Q14" i="49"/>
  <c r="R14" i="49"/>
  <c r="S14" i="49"/>
  <c r="T14" i="49"/>
  <c r="U14" i="49"/>
  <c r="V14" i="49"/>
  <c r="W14" i="49"/>
  <c r="X14" i="49"/>
  <c r="Y14" i="49"/>
  <c r="Z14" i="49"/>
  <c r="C15" i="49"/>
  <c r="D15" i="49"/>
  <c r="E15" i="49"/>
  <c r="F15" i="49"/>
  <c r="G15" i="49"/>
  <c r="H15" i="49"/>
  <c r="I15" i="49"/>
  <c r="J15" i="49"/>
  <c r="K15" i="49"/>
  <c r="L15" i="49"/>
  <c r="M15" i="49"/>
  <c r="N15" i="49"/>
  <c r="O15" i="49"/>
  <c r="P15" i="49"/>
  <c r="Q15" i="49"/>
  <c r="R15" i="49"/>
  <c r="S15" i="49"/>
  <c r="T15" i="49"/>
  <c r="U15" i="49"/>
  <c r="V15" i="49"/>
  <c r="W15" i="49"/>
  <c r="X15" i="49"/>
  <c r="Y15" i="49"/>
  <c r="Z15" i="49"/>
  <c r="C16" i="49"/>
  <c r="D16" i="49"/>
  <c r="E16" i="49"/>
  <c r="F16" i="49"/>
  <c r="G16" i="49"/>
  <c r="H16" i="49"/>
  <c r="I16" i="49"/>
  <c r="J16" i="49"/>
  <c r="K16" i="49"/>
  <c r="L16" i="49"/>
  <c r="M16" i="49"/>
  <c r="N16" i="49"/>
  <c r="O16" i="49"/>
  <c r="P16" i="49"/>
  <c r="Q16" i="49"/>
  <c r="R16" i="49"/>
  <c r="S16" i="49"/>
  <c r="T16" i="49"/>
  <c r="U16" i="49"/>
  <c r="V16" i="49"/>
  <c r="W16" i="49"/>
  <c r="X16" i="49"/>
  <c r="Y16" i="49"/>
  <c r="Z16" i="49"/>
  <c r="C17" i="49"/>
  <c r="D17" i="49"/>
  <c r="E17" i="49"/>
  <c r="F17" i="49"/>
  <c r="G17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U17" i="49"/>
  <c r="V17" i="49"/>
  <c r="W17" i="49"/>
  <c r="X17" i="49"/>
  <c r="Y17" i="49"/>
  <c r="Z17" i="49"/>
  <c r="C18" i="49"/>
  <c r="D18" i="49"/>
  <c r="E18" i="49"/>
  <c r="F18" i="49"/>
  <c r="G18" i="49"/>
  <c r="H18" i="49"/>
  <c r="I18" i="49"/>
  <c r="J18" i="49"/>
  <c r="K18" i="49"/>
  <c r="L18" i="49"/>
  <c r="M18" i="49"/>
  <c r="N18" i="49"/>
  <c r="O18" i="49"/>
  <c r="P18" i="49"/>
  <c r="Q18" i="49"/>
  <c r="R18" i="49"/>
  <c r="S18" i="49"/>
  <c r="T18" i="49"/>
  <c r="U18" i="49"/>
  <c r="V18" i="49"/>
  <c r="W18" i="49"/>
  <c r="X18" i="49"/>
  <c r="Y18" i="49"/>
  <c r="Z18" i="49"/>
  <c r="C19" i="49"/>
  <c r="D19" i="49"/>
  <c r="E19" i="49"/>
  <c r="F19" i="49"/>
  <c r="G19" i="49"/>
  <c r="H19" i="49"/>
  <c r="I19" i="49"/>
  <c r="J19" i="49"/>
  <c r="K19" i="49"/>
  <c r="L19" i="49"/>
  <c r="M19" i="49"/>
  <c r="N19" i="49"/>
  <c r="O19" i="49"/>
  <c r="P19" i="49"/>
  <c r="Q19" i="49"/>
  <c r="R19" i="49"/>
  <c r="S19" i="49"/>
  <c r="T19" i="49"/>
  <c r="U19" i="49"/>
  <c r="V19" i="49"/>
  <c r="W19" i="49"/>
  <c r="X19" i="49"/>
  <c r="Y19" i="49"/>
  <c r="Z19" i="49"/>
  <c r="C20" i="49"/>
  <c r="D20" i="49"/>
  <c r="E20" i="49"/>
  <c r="F20" i="49"/>
  <c r="G20" i="49"/>
  <c r="H20" i="49"/>
  <c r="I20" i="49"/>
  <c r="J20" i="49"/>
  <c r="K20" i="49"/>
  <c r="L20" i="49"/>
  <c r="M20" i="49"/>
  <c r="N20" i="49"/>
  <c r="O20" i="49"/>
  <c r="P20" i="49"/>
  <c r="Q20" i="49"/>
  <c r="R20" i="49"/>
  <c r="S20" i="49"/>
  <c r="T20" i="49"/>
  <c r="U20" i="49"/>
  <c r="V20" i="49"/>
  <c r="W20" i="49"/>
  <c r="X20" i="49"/>
  <c r="Y20" i="49"/>
  <c r="Z20" i="49"/>
  <c r="C21" i="49"/>
  <c r="D21" i="49"/>
  <c r="E21" i="49"/>
  <c r="F21" i="49"/>
  <c r="G21" i="49"/>
  <c r="H21" i="49"/>
  <c r="I21" i="49"/>
  <c r="J21" i="49"/>
  <c r="K21" i="49"/>
  <c r="L21" i="49"/>
  <c r="M21" i="49"/>
  <c r="N21" i="49"/>
  <c r="O21" i="49"/>
  <c r="P21" i="49"/>
  <c r="Q21" i="49"/>
  <c r="R21" i="49"/>
  <c r="S21" i="49"/>
  <c r="T21" i="49"/>
  <c r="U21" i="49"/>
  <c r="V21" i="49"/>
  <c r="W21" i="49"/>
  <c r="X21" i="49"/>
  <c r="Y21" i="49"/>
  <c r="Z21" i="49"/>
  <c r="C22" i="49"/>
  <c r="D22" i="49"/>
  <c r="E22" i="49"/>
  <c r="F22" i="49"/>
  <c r="G22" i="49"/>
  <c r="H22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U22" i="49"/>
  <c r="V22" i="49"/>
  <c r="W22" i="49"/>
  <c r="X22" i="49"/>
  <c r="Y22" i="49"/>
  <c r="Z22" i="49"/>
  <c r="C23" i="49"/>
  <c r="D23" i="49"/>
  <c r="E23" i="49"/>
  <c r="F23" i="49"/>
  <c r="G23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U23" i="49"/>
  <c r="V23" i="49"/>
  <c r="W23" i="49"/>
  <c r="X23" i="49"/>
  <c r="Y23" i="49"/>
  <c r="Z23" i="49"/>
  <c r="C24" i="49"/>
  <c r="D24" i="49"/>
  <c r="E24" i="49"/>
  <c r="F24" i="49"/>
  <c r="G24" i="49"/>
  <c r="H24" i="49"/>
  <c r="I24" i="49"/>
  <c r="J24" i="49"/>
  <c r="K24" i="49"/>
  <c r="L24" i="49"/>
  <c r="M24" i="49"/>
  <c r="N24" i="49"/>
  <c r="O24" i="49"/>
  <c r="P24" i="49"/>
  <c r="Q24" i="49"/>
  <c r="R24" i="49"/>
  <c r="S24" i="49"/>
  <c r="T24" i="49"/>
  <c r="U24" i="49"/>
  <c r="V24" i="49"/>
  <c r="W24" i="49"/>
  <c r="X24" i="49"/>
  <c r="Y24" i="49"/>
  <c r="Z24" i="49"/>
  <c r="C25" i="49"/>
  <c r="D25" i="49"/>
  <c r="E25" i="49"/>
  <c r="F25" i="49"/>
  <c r="G25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U25" i="49"/>
  <c r="V25" i="49"/>
  <c r="W25" i="49"/>
  <c r="X25" i="49"/>
  <c r="Y25" i="49"/>
  <c r="Z25" i="49"/>
  <c r="C26" i="49"/>
  <c r="D26" i="49"/>
  <c r="E26" i="49"/>
  <c r="F26" i="49"/>
  <c r="G26" i="49"/>
  <c r="H26" i="49"/>
  <c r="I26" i="49"/>
  <c r="J26" i="49"/>
  <c r="K26" i="49"/>
  <c r="L26" i="49"/>
  <c r="M26" i="49"/>
  <c r="N26" i="49"/>
  <c r="O26" i="49"/>
  <c r="P26" i="49"/>
  <c r="Q26" i="49"/>
  <c r="R26" i="49"/>
  <c r="S26" i="49"/>
  <c r="T26" i="49"/>
  <c r="U26" i="49"/>
  <c r="V26" i="49"/>
  <c r="W26" i="49"/>
  <c r="X26" i="49"/>
  <c r="Y26" i="49"/>
  <c r="Z26" i="49"/>
  <c r="C27" i="49"/>
  <c r="D27" i="49"/>
  <c r="E27" i="49"/>
  <c r="F27" i="49"/>
  <c r="G27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U27" i="49"/>
  <c r="V27" i="49"/>
  <c r="W27" i="49"/>
  <c r="X27" i="49"/>
  <c r="Y27" i="49"/>
  <c r="Z27" i="49"/>
  <c r="C28" i="49"/>
  <c r="D28" i="49"/>
  <c r="E28" i="49"/>
  <c r="F28" i="49"/>
  <c r="G28" i="49"/>
  <c r="H28" i="49"/>
  <c r="I28" i="49"/>
  <c r="J28" i="49"/>
  <c r="K28" i="49"/>
  <c r="L28" i="49"/>
  <c r="M28" i="49"/>
  <c r="N28" i="49"/>
  <c r="O28" i="49"/>
  <c r="P28" i="49"/>
  <c r="Q28" i="49"/>
  <c r="R28" i="49"/>
  <c r="S28" i="49"/>
  <c r="T28" i="49"/>
  <c r="U28" i="49"/>
  <c r="V28" i="49"/>
  <c r="W28" i="49"/>
  <c r="X28" i="49"/>
  <c r="Y28" i="49"/>
  <c r="Z28" i="49"/>
  <c r="C29" i="49"/>
  <c r="D29" i="49"/>
  <c r="E29" i="49"/>
  <c r="F29" i="49"/>
  <c r="G29" i="49"/>
  <c r="H29" i="49"/>
  <c r="I29" i="49"/>
  <c r="J29" i="49"/>
  <c r="K29" i="49"/>
  <c r="L29" i="49"/>
  <c r="M29" i="49"/>
  <c r="N29" i="49"/>
  <c r="O29" i="49"/>
  <c r="P29" i="49"/>
  <c r="Q29" i="49"/>
  <c r="R29" i="49"/>
  <c r="S29" i="49"/>
  <c r="T29" i="49"/>
  <c r="U29" i="49"/>
  <c r="V29" i="49"/>
  <c r="W29" i="49"/>
  <c r="X29" i="49"/>
  <c r="Y29" i="49"/>
  <c r="Z29" i="49"/>
  <c r="C30" i="49"/>
  <c r="D30" i="49"/>
  <c r="E30" i="49"/>
  <c r="F30" i="49"/>
  <c r="G30" i="49"/>
  <c r="H30" i="49"/>
  <c r="I30" i="49"/>
  <c r="J30" i="49"/>
  <c r="K30" i="49"/>
  <c r="L30" i="49"/>
  <c r="M30" i="49"/>
  <c r="N30" i="49"/>
  <c r="O30" i="49"/>
  <c r="P30" i="49"/>
  <c r="Q30" i="49"/>
  <c r="R30" i="49"/>
  <c r="S30" i="49"/>
  <c r="T30" i="49"/>
  <c r="U30" i="49"/>
  <c r="V30" i="49"/>
  <c r="W30" i="49"/>
  <c r="X30" i="49"/>
  <c r="Y30" i="49"/>
  <c r="Z30" i="49"/>
  <c r="C31" i="49"/>
  <c r="D31" i="49"/>
  <c r="E31" i="49"/>
  <c r="F31" i="49"/>
  <c r="G31" i="49"/>
  <c r="H31" i="49"/>
  <c r="I31" i="49"/>
  <c r="J31" i="49"/>
  <c r="K31" i="49"/>
  <c r="L31" i="49"/>
  <c r="M31" i="49"/>
  <c r="N31" i="49"/>
  <c r="O31" i="49"/>
  <c r="P31" i="49"/>
  <c r="Q31" i="49"/>
  <c r="R31" i="49"/>
  <c r="S31" i="49"/>
  <c r="T31" i="49"/>
  <c r="U31" i="49"/>
  <c r="V31" i="49"/>
  <c r="W31" i="49"/>
  <c r="X31" i="49"/>
  <c r="Y31" i="49"/>
  <c r="Z31" i="49"/>
  <c r="C32" i="49"/>
  <c r="D32" i="49"/>
  <c r="E32" i="49"/>
  <c r="F32" i="49"/>
  <c r="G32" i="49"/>
  <c r="H32" i="49"/>
  <c r="I32" i="49"/>
  <c r="J32" i="49"/>
  <c r="K32" i="49"/>
  <c r="L32" i="49"/>
  <c r="M32" i="49"/>
  <c r="N32" i="49"/>
  <c r="O32" i="49"/>
  <c r="P32" i="49"/>
  <c r="Q32" i="49"/>
  <c r="R32" i="49"/>
  <c r="S32" i="49"/>
  <c r="T32" i="49"/>
  <c r="U32" i="49"/>
  <c r="V32" i="49"/>
  <c r="W32" i="49"/>
  <c r="X32" i="49"/>
  <c r="Y32" i="49"/>
  <c r="Z32" i="49"/>
  <c r="C33" i="49"/>
  <c r="D33" i="49"/>
  <c r="E33" i="49"/>
  <c r="F33" i="49"/>
  <c r="G33" i="49"/>
  <c r="H33" i="49"/>
  <c r="I33" i="49"/>
  <c r="J33" i="49"/>
  <c r="K33" i="49"/>
  <c r="L33" i="49"/>
  <c r="M33" i="49"/>
  <c r="N33" i="49"/>
  <c r="O33" i="49"/>
  <c r="P33" i="49"/>
  <c r="Q33" i="49"/>
  <c r="R33" i="49"/>
  <c r="S33" i="49"/>
  <c r="T33" i="49"/>
  <c r="U33" i="49"/>
  <c r="V33" i="49"/>
  <c r="W33" i="49"/>
  <c r="X33" i="49"/>
  <c r="Y33" i="49"/>
  <c r="Z33" i="49"/>
  <c r="C34" i="49"/>
  <c r="D34" i="49"/>
  <c r="E34" i="49"/>
  <c r="F34" i="49"/>
  <c r="G34" i="49"/>
  <c r="H34" i="49"/>
  <c r="I34" i="49"/>
  <c r="J34" i="49"/>
  <c r="K34" i="49"/>
  <c r="L34" i="49"/>
  <c r="M34" i="49"/>
  <c r="N34" i="49"/>
  <c r="O34" i="49"/>
  <c r="P34" i="49"/>
  <c r="Q34" i="49"/>
  <c r="R34" i="49"/>
  <c r="S34" i="49"/>
  <c r="T34" i="49"/>
  <c r="U34" i="49"/>
  <c r="V34" i="49"/>
  <c r="W34" i="49"/>
  <c r="X34" i="49"/>
  <c r="Y34" i="49"/>
  <c r="Z34" i="49"/>
  <c r="C35" i="49"/>
  <c r="D35" i="49"/>
  <c r="E35" i="49"/>
  <c r="F35" i="49"/>
  <c r="G35" i="49"/>
  <c r="H35" i="49"/>
  <c r="I35" i="49"/>
  <c r="J35" i="49"/>
  <c r="K35" i="49"/>
  <c r="L35" i="49"/>
  <c r="M35" i="49"/>
  <c r="N35" i="49"/>
  <c r="O35" i="49"/>
  <c r="P35" i="49"/>
  <c r="Q35" i="49"/>
  <c r="R35" i="49"/>
  <c r="S35" i="49"/>
  <c r="T35" i="49"/>
  <c r="U35" i="49"/>
  <c r="V35" i="49"/>
  <c r="W35" i="49"/>
  <c r="X35" i="49"/>
  <c r="Y35" i="49"/>
  <c r="Z35" i="49"/>
  <c r="C36" i="49"/>
  <c r="D36" i="49"/>
  <c r="E36" i="49"/>
  <c r="F36" i="49"/>
  <c r="G36" i="49"/>
  <c r="H36" i="49"/>
  <c r="I36" i="49"/>
  <c r="J36" i="49"/>
  <c r="K36" i="49"/>
  <c r="L36" i="49"/>
  <c r="M36" i="49"/>
  <c r="N36" i="49"/>
  <c r="O36" i="49"/>
  <c r="P36" i="49"/>
  <c r="Q36" i="49"/>
  <c r="R36" i="49"/>
  <c r="S36" i="49"/>
  <c r="T36" i="49"/>
  <c r="U36" i="49"/>
  <c r="V36" i="49"/>
  <c r="W36" i="49"/>
  <c r="X36" i="49"/>
  <c r="Y36" i="49"/>
  <c r="Z36" i="49"/>
  <c r="C37" i="49"/>
  <c r="D37" i="49"/>
  <c r="E37" i="49"/>
  <c r="F37" i="49"/>
  <c r="G37" i="49"/>
  <c r="H37" i="49"/>
  <c r="I37" i="49"/>
  <c r="J37" i="49"/>
  <c r="K37" i="49"/>
  <c r="L37" i="49"/>
  <c r="M37" i="49"/>
  <c r="N37" i="49"/>
  <c r="O37" i="49"/>
  <c r="P37" i="49"/>
  <c r="Q37" i="49"/>
  <c r="R37" i="49"/>
  <c r="S37" i="49"/>
  <c r="T37" i="49"/>
  <c r="U37" i="49"/>
  <c r="V37" i="49"/>
  <c r="W37" i="49"/>
  <c r="X37" i="49"/>
  <c r="Y37" i="49"/>
  <c r="Z37" i="49"/>
  <c r="C38" i="49"/>
  <c r="D38" i="49"/>
  <c r="E38" i="49"/>
  <c r="F38" i="49"/>
  <c r="G38" i="49"/>
  <c r="H38" i="49"/>
  <c r="I38" i="49"/>
  <c r="J38" i="49"/>
  <c r="K38" i="49"/>
  <c r="L38" i="49"/>
  <c r="M38" i="49"/>
  <c r="N38" i="49"/>
  <c r="O38" i="49"/>
  <c r="P38" i="49"/>
  <c r="Q38" i="49"/>
  <c r="R38" i="49"/>
  <c r="S38" i="49"/>
  <c r="T38" i="49"/>
  <c r="U38" i="49"/>
  <c r="V38" i="49"/>
  <c r="W38" i="49"/>
  <c r="X38" i="49"/>
  <c r="Y38" i="49"/>
  <c r="Z38" i="49"/>
  <c r="C39" i="49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C40" i="49"/>
  <c r="D40" i="49"/>
  <c r="E40" i="49"/>
  <c r="F40" i="49"/>
  <c r="G40" i="49"/>
  <c r="H40" i="49"/>
  <c r="I40" i="49"/>
  <c r="J40" i="49"/>
  <c r="K40" i="49"/>
  <c r="L40" i="49"/>
  <c r="M40" i="49"/>
  <c r="N40" i="49"/>
  <c r="O40" i="49"/>
  <c r="P40" i="49"/>
  <c r="Q40" i="49"/>
  <c r="R40" i="49"/>
  <c r="S40" i="49"/>
  <c r="T40" i="49"/>
  <c r="U40" i="49"/>
  <c r="V40" i="49"/>
  <c r="W40" i="49"/>
  <c r="X40" i="49"/>
  <c r="Y40" i="49"/>
  <c r="Z40" i="49"/>
  <c r="C41" i="49"/>
  <c r="D41" i="49"/>
  <c r="E41" i="49"/>
  <c r="F41" i="49"/>
  <c r="G41" i="49"/>
  <c r="H41" i="49"/>
  <c r="I41" i="49"/>
  <c r="J41" i="49"/>
  <c r="K41" i="49"/>
  <c r="L41" i="49"/>
  <c r="M41" i="49"/>
  <c r="N41" i="49"/>
  <c r="O41" i="49"/>
  <c r="P41" i="49"/>
  <c r="Q41" i="49"/>
  <c r="R41" i="49"/>
  <c r="S41" i="49"/>
  <c r="T41" i="49"/>
  <c r="U41" i="49"/>
  <c r="V41" i="49"/>
  <c r="W41" i="49"/>
  <c r="X41" i="49"/>
  <c r="Y41" i="49"/>
  <c r="Z41" i="49"/>
  <c r="D6" i="49"/>
  <c r="E6" i="49"/>
  <c r="F6" i="49"/>
  <c r="G6" i="49"/>
  <c r="H6" i="49"/>
  <c r="I6" i="49"/>
  <c r="J6" i="49"/>
  <c r="K6" i="49"/>
  <c r="L6" i="49"/>
  <c r="M6" i="49"/>
  <c r="N6" i="49"/>
  <c r="O6" i="49"/>
  <c r="P6" i="49"/>
  <c r="Q6" i="49"/>
  <c r="R6" i="49"/>
  <c r="S6" i="49"/>
  <c r="T6" i="49"/>
  <c r="U6" i="49"/>
  <c r="V6" i="49"/>
  <c r="W6" i="49"/>
  <c r="X6" i="49"/>
  <c r="Y6" i="49"/>
  <c r="Z6" i="49"/>
  <c r="C6" i="49"/>
  <c r="AB42" i="49"/>
  <c r="H32" i="46"/>
  <c r="H31" i="46"/>
  <c r="H30" i="46"/>
  <c r="F22" i="46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C10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C15" i="43"/>
  <c r="D15" i="43"/>
  <c r="E15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T15" i="43"/>
  <c r="U15" i="43"/>
  <c r="V15" i="43"/>
  <c r="W15" i="43"/>
  <c r="X15" i="43"/>
  <c r="Y15" i="43"/>
  <c r="Z15" i="43"/>
  <c r="C16" i="43"/>
  <c r="D16" i="43"/>
  <c r="E16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U16" i="43"/>
  <c r="V16" i="43"/>
  <c r="W16" i="43"/>
  <c r="X16" i="43"/>
  <c r="Y16" i="43"/>
  <c r="Z16" i="43"/>
  <c r="C17" i="43"/>
  <c r="D17" i="43"/>
  <c r="E17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U17" i="43"/>
  <c r="V17" i="43"/>
  <c r="W17" i="43"/>
  <c r="X17" i="43"/>
  <c r="Y17" i="43"/>
  <c r="Z17" i="43"/>
  <c r="C18" i="43"/>
  <c r="D18" i="43"/>
  <c r="E18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W18" i="43"/>
  <c r="X18" i="43"/>
  <c r="Y18" i="43"/>
  <c r="Z18" i="43"/>
  <c r="C19" i="43"/>
  <c r="D19" i="43"/>
  <c r="E19" i="43"/>
  <c r="F19" i="43"/>
  <c r="G19" i="43"/>
  <c r="H19" i="43"/>
  <c r="I19" i="43"/>
  <c r="J19" i="43"/>
  <c r="K19" i="43"/>
  <c r="L19" i="43"/>
  <c r="M19" i="43"/>
  <c r="N19" i="43"/>
  <c r="O19" i="43"/>
  <c r="P19" i="43"/>
  <c r="Q19" i="43"/>
  <c r="R19" i="43"/>
  <c r="S19" i="43"/>
  <c r="T19" i="43"/>
  <c r="U19" i="43"/>
  <c r="V19" i="43"/>
  <c r="W19" i="43"/>
  <c r="X19" i="43"/>
  <c r="Y19" i="43"/>
  <c r="Z19" i="43"/>
  <c r="C20" i="43"/>
  <c r="D20" i="43"/>
  <c r="E20" i="43"/>
  <c r="F20" i="43"/>
  <c r="G20" i="43"/>
  <c r="H20" i="43"/>
  <c r="I20" i="43"/>
  <c r="J20" i="43"/>
  <c r="K20" i="43"/>
  <c r="L20" i="43"/>
  <c r="M20" i="43"/>
  <c r="N20" i="43"/>
  <c r="O20" i="43"/>
  <c r="P20" i="43"/>
  <c r="Q20" i="43"/>
  <c r="R20" i="43"/>
  <c r="S20" i="43"/>
  <c r="T20" i="43"/>
  <c r="U20" i="43"/>
  <c r="V20" i="43"/>
  <c r="W20" i="43"/>
  <c r="X20" i="43"/>
  <c r="Y20" i="43"/>
  <c r="Z20" i="43"/>
  <c r="C21" i="43"/>
  <c r="D21" i="43"/>
  <c r="E21" i="43"/>
  <c r="F21" i="43"/>
  <c r="G21" i="43"/>
  <c r="H21" i="43"/>
  <c r="I21" i="43"/>
  <c r="J21" i="43"/>
  <c r="K21" i="43"/>
  <c r="L21" i="43"/>
  <c r="M21" i="43"/>
  <c r="N21" i="43"/>
  <c r="O21" i="43"/>
  <c r="P21" i="43"/>
  <c r="Q21" i="43"/>
  <c r="R21" i="43"/>
  <c r="S21" i="43"/>
  <c r="T21" i="43"/>
  <c r="U21" i="43"/>
  <c r="V21" i="43"/>
  <c r="W21" i="43"/>
  <c r="X21" i="43"/>
  <c r="Y21" i="43"/>
  <c r="Z21" i="43"/>
  <c r="C22" i="43"/>
  <c r="D22" i="43"/>
  <c r="E22" i="43"/>
  <c r="F22" i="43"/>
  <c r="G22" i="43"/>
  <c r="H22" i="43"/>
  <c r="I22" i="43"/>
  <c r="J22" i="43"/>
  <c r="K22" i="43"/>
  <c r="L22" i="43"/>
  <c r="M22" i="43"/>
  <c r="N22" i="43"/>
  <c r="O22" i="43"/>
  <c r="P22" i="43"/>
  <c r="Q22" i="43"/>
  <c r="R22" i="43"/>
  <c r="S22" i="43"/>
  <c r="T22" i="43"/>
  <c r="U22" i="43"/>
  <c r="V22" i="43"/>
  <c r="W22" i="43"/>
  <c r="X22" i="43"/>
  <c r="Y22" i="43"/>
  <c r="Z22" i="43"/>
  <c r="C23" i="43"/>
  <c r="D23" i="43"/>
  <c r="E23" i="43"/>
  <c r="F23" i="43"/>
  <c r="G23" i="43"/>
  <c r="H23" i="43"/>
  <c r="I23" i="43"/>
  <c r="J23" i="43"/>
  <c r="K23" i="43"/>
  <c r="L23" i="43"/>
  <c r="M23" i="43"/>
  <c r="N23" i="43"/>
  <c r="O23" i="43"/>
  <c r="P23" i="43"/>
  <c r="Q23" i="43"/>
  <c r="R23" i="43"/>
  <c r="S23" i="43"/>
  <c r="T23" i="43"/>
  <c r="U23" i="43"/>
  <c r="V23" i="43"/>
  <c r="W23" i="43"/>
  <c r="X23" i="43"/>
  <c r="Y23" i="43"/>
  <c r="Z23" i="43"/>
  <c r="C24" i="43"/>
  <c r="D24" i="43"/>
  <c r="E24" i="43"/>
  <c r="F24" i="43"/>
  <c r="G24" i="43"/>
  <c r="H24" i="43"/>
  <c r="I24" i="43"/>
  <c r="J24" i="43"/>
  <c r="K24" i="43"/>
  <c r="L24" i="43"/>
  <c r="M24" i="43"/>
  <c r="N24" i="43"/>
  <c r="O24" i="43"/>
  <c r="P24" i="43"/>
  <c r="Q24" i="43"/>
  <c r="R24" i="43"/>
  <c r="S24" i="43"/>
  <c r="T24" i="43"/>
  <c r="U24" i="43"/>
  <c r="V24" i="43"/>
  <c r="W24" i="43"/>
  <c r="X24" i="43"/>
  <c r="Y24" i="43"/>
  <c r="Z24" i="43"/>
  <c r="C25" i="43"/>
  <c r="D25" i="43"/>
  <c r="E25" i="43"/>
  <c r="F25" i="43"/>
  <c r="G25" i="43"/>
  <c r="H25" i="43"/>
  <c r="I25" i="43"/>
  <c r="J25" i="43"/>
  <c r="K25" i="43"/>
  <c r="L25" i="43"/>
  <c r="M25" i="43"/>
  <c r="N25" i="43"/>
  <c r="O25" i="43"/>
  <c r="P25" i="43"/>
  <c r="Q25" i="43"/>
  <c r="R25" i="43"/>
  <c r="S25" i="43"/>
  <c r="T25" i="43"/>
  <c r="U25" i="43"/>
  <c r="V25" i="43"/>
  <c r="W25" i="43"/>
  <c r="X25" i="43"/>
  <c r="Y25" i="43"/>
  <c r="Z25" i="43"/>
  <c r="C26" i="43"/>
  <c r="D26" i="43"/>
  <c r="E26" i="43"/>
  <c r="F26" i="43"/>
  <c r="G26" i="43"/>
  <c r="H26" i="43"/>
  <c r="I26" i="43"/>
  <c r="J26" i="43"/>
  <c r="K26" i="43"/>
  <c r="L26" i="43"/>
  <c r="M26" i="43"/>
  <c r="N26" i="43"/>
  <c r="O26" i="43"/>
  <c r="P26" i="43"/>
  <c r="Q26" i="43"/>
  <c r="R26" i="43"/>
  <c r="S26" i="43"/>
  <c r="T26" i="43"/>
  <c r="U26" i="43"/>
  <c r="V26" i="43"/>
  <c r="W26" i="43"/>
  <c r="X26" i="43"/>
  <c r="Y26" i="43"/>
  <c r="Z26" i="43"/>
  <c r="C27" i="43"/>
  <c r="D27" i="43"/>
  <c r="E27" i="43"/>
  <c r="F27" i="43"/>
  <c r="G27" i="43"/>
  <c r="H27" i="43"/>
  <c r="I27" i="43"/>
  <c r="J27" i="43"/>
  <c r="K27" i="43"/>
  <c r="L27" i="43"/>
  <c r="M27" i="43"/>
  <c r="N27" i="43"/>
  <c r="O27" i="43"/>
  <c r="P27" i="43"/>
  <c r="Q27" i="43"/>
  <c r="R27" i="43"/>
  <c r="S27" i="43"/>
  <c r="T27" i="43"/>
  <c r="U27" i="43"/>
  <c r="V27" i="43"/>
  <c r="W27" i="43"/>
  <c r="X27" i="43"/>
  <c r="Y27" i="43"/>
  <c r="Z27" i="43"/>
  <c r="C28" i="43"/>
  <c r="D28" i="43"/>
  <c r="E28" i="43"/>
  <c r="F28" i="43"/>
  <c r="G28" i="43"/>
  <c r="H28" i="43"/>
  <c r="I28" i="43"/>
  <c r="J28" i="43"/>
  <c r="K28" i="43"/>
  <c r="L28" i="43"/>
  <c r="M28" i="43"/>
  <c r="N28" i="43"/>
  <c r="O28" i="43"/>
  <c r="P28" i="43"/>
  <c r="Q28" i="43"/>
  <c r="R28" i="43"/>
  <c r="S28" i="43"/>
  <c r="T28" i="43"/>
  <c r="U28" i="43"/>
  <c r="V28" i="43"/>
  <c r="W28" i="43"/>
  <c r="X28" i="43"/>
  <c r="Y28" i="43"/>
  <c r="Z28" i="43"/>
  <c r="C29" i="43"/>
  <c r="D29" i="43"/>
  <c r="E29" i="43"/>
  <c r="F29" i="43"/>
  <c r="G29" i="43"/>
  <c r="H29" i="43"/>
  <c r="I29" i="43"/>
  <c r="J29" i="43"/>
  <c r="K29" i="43"/>
  <c r="L29" i="43"/>
  <c r="M29" i="43"/>
  <c r="N29" i="43"/>
  <c r="O29" i="43"/>
  <c r="P29" i="43"/>
  <c r="Q29" i="43"/>
  <c r="R29" i="43"/>
  <c r="S29" i="43"/>
  <c r="T29" i="43"/>
  <c r="U29" i="43"/>
  <c r="V29" i="43"/>
  <c r="W29" i="43"/>
  <c r="X29" i="43"/>
  <c r="Y29" i="43"/>
  <c r="Z29" i="43"/>
  <c r="C30" i="43"/>
  <c r="D30" i="43"/>
  <c r="E30" i="43"/>
  <c r="F30" i="43"/>
  <c r="G30" i="43"/>
  <c r="H30" i="43"/>
  <c r="I30" i="43"/>
  <c r="J30" i="43"/>
  <c r="K30" i="43"/>
  <c r="L30" i="43"/>
  <c r="M30" i="43"/>
  <c r="N30" i="43"/>
  <c r="O30" i="43"/>
  <c r="P30" i="43"/>
  <c r="Q30" i="43"/>
  <c r="R30" i="43"/>
  <c r="S30" i="43"/>
  <c r="T30" i="43"/>
  <c r="U30" i="43"/>
  <c r="V30" i="43"/>
  <c r="W30" i="43"/>
  <c r="X30" i="43"/>
  <c r="Y30" i="43"/>
  <c r="Z30" i="43"/>
  <c r="C31" i="43"/>
  <c r="D31" i="43"/>
  <c r="E31" i="43"/>
  <c r="F31" i="43"/>
  <c r="G31" i="43"/>
  <c r="H31" i="43"/>
  <c r="I31" i="43"/>
  <c r="J31" i="43"/>
  <c r="K31" i="43"/>
  <c r="L31" i="43"/>
  <c r="M31" i="43"/>
  <c r="N31" i="43"/>
  <c r="O31" i="43"/>
  <c r="P31" i="43"/>
  <c r="Q31" i="43"/>
  <c r="R31" i="43"/>
  <c r="S31" i="43"/>
  <c r="T31" i="43"/>
  <c r="U31" i="43"/>
  <c r="V31" i="43"/>
  <c r="W31" i="43"/>
  <c r="X31" i="43"/>
  <c r="Y31" i="43"/>
  <c r="Z31" i="43"/>
  <c r="C32" i="43"/>
  <c r="D32" i="43"/>
  <c r="E32" i="43"/>
  <c r="F32" i="43"/>
  <c r="G32" i="43"/>
  <c r="H32" i="43"/>
  <c r="I32" i="43"/>
  <c r="J32" i="43"/>
  <c r="K32" i="43"/>
  <c r="L32" i="43"/>
  <c r="M32" i="43"/>
  <c r="N32" i="43"/>
  <c r="O32" i="43"/>
  <c r="P32" i="43"/>
  <c r="Q32" i="43"/>
  <c r="R32" i="43"/>
  <c r="S32" i="43"/>
  <c r="T32" i="43"/>
  <c r="U32" i="43"/>
  <c r="V32" i="43"/>
  <c r="W32" i="43"/>
  <c r="X32" i="43"/>
  <c r="Y32" i="43"/>
  <c r="Z32" i="43"/>
  <c r="C33" i="43"/>
  <c r="D33" i="43"/>
  <c r="E33" i="43"/>
  <c r="F33" i="43"/>
  <c r="G33" i="43"/>
  <c r="H33" i="43"/>
  <c r="I33" i="43"/>
  <c r="J33" i="43"/>
  <c r="K33" i="43"/>
  <c r="L33" i="43"/>
  <c r="M33" i="43"/>
  <c r="N33" i="43"/>
  <c r="O33" i="43"/>
  <c r="P33" i="43"/>
  <c r="Q33" i="43"/>
  <c r="R33" i="43"/>
  <c r="S33" i="43"/>
  <c r="T33" i="43"/>
  <c r="U33" i="43"/>
  <c r="V33" i="43"/>
  <c r="W33" i="43"/>
  <c r="X33" i="43"/>
  <c r="Y33" i="43"/>
  <c r="Z33" i="43"/>
  <c r="C34" i="43"/>
  <c r="D34" i="43"/>
  <c r="E34" i="43"/>
  <c r="F34" i="43"/>
  <c r="G34" i="43"/>
  <c r="H34" i="43"/>
  <c r="I34" i="43"/>
  <c r="J34" i="43"/>
  <c r="K34" i="43"/>
  <c r="L34" i="43"/>
  <c r="M34" i="43"/>
  <c r="N34" i="43"/>
  <c r="O34" i="43"/>
  <c r="P34" i="43"/>
  <c r="Q34" i="43"/>
  <c r="R34" i="43"/>
  <c r="S34" i="43"/>
  <c r="T34" i="43"/>
  <c r="U34" i="43"/>
  <c r="V34" i="43"/>
  <c r="W34" i="43"/>
  <c r="X34" i="43"/>
  <c r="Y34" i="43"/>
  <c r="Z34" i="43"/>
  <c r="C35" i="43"/>
  <c r="D35" i="43"/>
  <c r="E35" i="43"/>
  <c r="F35" i="43"/>
  <c r="G35" i="43"/>
  <c r="H35" i="43"/>
  <c r="I35" i="43"/>
  <c r="J35" i="43"/>
  <c r="K35" i="43"/>
  <c r="L35" i="43"/>
  <c r="M35" i="43"/>
  <c r="N35" i="43"/>
  <c r="O35" i="43"/>
  <c r="P35" i="43"/>
  <c r="Q35" i="43"/>
  <c r="R35" i="43"/>
  <c r="S35" i="43"/>
  <c r="T35" i="43"/>
  <c r="U35" i="43"/>
  <c r="V35" i="43"/>
  <c r="W35" i="43"/>
  <c r="X35" i="43"/>
  <c r="Y35" i="43"/>
  <c r="Z35" i="43"/>
  <c r="C36" i="43"/>
  <c r="D36" i="43"/>
  <c r="E36" i="43"/>
  <c r="F36" i="43"/>
  <c r="G36" i="43"/>
  <c r="H36" i="43"/>
  <c r="I36" i="43"/>
  <c r="J36" i="43"/>
  <c r="K36" i="43"/>
  <c r="L36" i="43"/>
  <c r="M36" i="43"/>
  <c r="N36" i="43"/>
  <c r="O36" i="43"/>
  <c r="P36" i="43"/>
  <c r="Q36" i="43"/>
  <c r="R36" i="43"/>
  <c r="S36" i="43"/>
  <c r="T36" i="43"/>
  <c r="U36" i="43"/>
  <c r="V36" i="43"/>
  <c r="W36" i="43"/>
  <c r="X36" i="43"/>
  <c r="Y36" i="43"/>
  <c r="Z36" i="43"/>
  <c r="C37" i="43"/>
  <c r="D37" i="43"/>
  <c r="E37" i="43"/>
  <c r="F37" i="43"/>
  <c r="G37" i="43"/>
  <c r="H37" i="43"/>
  <c r="I37" i="43"/>
  <c r="J37" i="43"/>
  <c r="K37" i="43"/>
  <c r="L37" i="43"/>
  <c r="M37" i="43"/>
  <c r="N37" i="43"/>
  <c r="O37" i="43"/>
  <c r="P37" i="43"/>
  <c r="Q37" i="43"/>
  <c r="R37" i="43"/>
  <c r="S37" i="43"/>
  <c r="T37" i="43"/>
  <c r="U37" i="43"/>
  <c r="V37" i="43"/>
  <c r="W37" i="43"/>
  <c r="X37" i="43"/>
  <c r="Y37" i="43"/>
  <c r="Z37" i="43"/>
  <c r="C38" i="43"/>
  <c r="D38" i="43"/>
  <c r="E38" i="43"/>
  <c r="F38" i="43"/>
  <c r="G38" i="43"/>
  <c r="H38" i="43"/>
  <c r="I38" i="43"/>
  <c r="J38" i="43"/>
  <c r="K38" i="43"/>
  <c r="L38" i="43"/>
  <c r="M38" i="43"/>
  <c r="N38" i="43"/>
  <c r="O38" i="43"/>
  <c r="P38" i="43"/>
  <c r="Q38" i="43"/>
  <c r="R38" i="43"/>
  <c r="S38" i="43"/>
  <c r="T38" i="43"/>
  <c r="U38" i="43"/>
  <c r="V38" i="43"/>
  <c r="W38" i="43"/>
  <c r="X38" i="43"/>
  <c r="Y38" i="43"/>
  <c r="Z38" i="43"/>
  <c r="C39" i="43"/>
  <c r="D39" i="43"/>
  <c r="E39" i="43"/>
  <c r="F39" i="43"/>
  <c r="G39" i="43"/>
  <c r="H39" i="43"/>
  <c r="I39" i="43"/>
  <c r="J39" i="43"/>
  <c r="K39" i="43"/>
  <c r="L39" i="43"/>
  <c r="M39" i="43"/>
  <c r="N39" i="43"/>
  <c r="O39" i="43"/>
  <c r="P39" i="43"/>
  <c r="Q39" i="43"/>
  <c r="R39" i="43"/>
  <c r="S39" i="43"/>
  <c r="T39" i="43"/>
  <c r="U39" i="43"/>
  <c r="V39" i="43"/>
  <c r="W39" i="43"/>
  <c r="X39" i="43"/>
  <c r="Y39" i="43"/>
  <c r="Z39" i="43"/>
  <c r="C40" i="43"/>
  <c r="D40" i="43"/>
  <c r="E40" i="43"/>
  <c r="F40" i="43"/>
  <c r="G40" i="43"/>
  <c r="H40" i="43"/>
  <c r="I40" i="43"/>
  <c r="J40" i="43"/>
  <c r="K40" i="43"/>
  <c r="L40" i="43"/>
  <c r="M40" i="43"/>
  <c r="N40" i="43"/>
  <c r="O40" i="43"/>
  <c r="P40" i="43"/>
  <c r="Q40" i="43"/>
  <c r="R40" i="43"/>
  <c r="S40" i="43"/>
  <c r="T40" i="43"/>
  <c r="U40" i="43"/>
  <c r="V40" i="43"/>
  <c r="W40" i="43"/>
  <c r="X40" i="43"/>
  <c r="Y40" i="43"/>
  <c r="Z40" i="43"/>
  <c r="C41" i="43"/>
  <c r="D41" i="43"/>
  <c r="E41" i="43"/>
  <c r="F41" i="43"/>
  <c r="G41" i="43"/>
  <c r="H41" i="43"/>
  <c r="I41" i="43"/>
  <c r="J41" i="43"/>
  <c r="K41" i="43"/>
  <c r="L41" i="43"/>
  <c r="M41" i="43"/>
  <c r="N41" i="43"/>
  <c r="O41" i="43"/>
  <c r="P41" i="43"/>
  <c r="Q41" i="43"/>
  <c r="R41" i="43"/>
  <c r="S41" i="43"/>
  <c r="T41" i="43"/>
  <c r="U41" i="43"/>
  <c r="V41" i="43"/>
  <c r="W41" i="43"/>
  <c r="X41" i="43"/>
  <c r="Y41" i="43"/>
  <c r="Z41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C6" i="43"/>
  <c r="H32" i="44"/>
  <c r="H30" i="44"/>
  <c r="F22" i="44"/>
  <c r="AB42" i="43"/>
  <c r="AB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C42" i="38"/>
  <c r="AA41" i="38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A19" i="38"/>
  <c r="AA18" i="38"/>
  <c r="AA17" i="38"/>
  <c r="AA16" i="38"/>
  <c r="AA15" i="38"/>
  <c r="AA14" i="38"/>
  <c r="AA13" i="38"/>
  <c r="AA12" i="38"/>
  <c r="AA11" i="38"/>
  <c r="AA10" i="38"/>
  <c r="AA9" i="38"/>
  <c r="AA8" i="38"/>
  <c r="AA7" i="38"/>
  <c r="AA6" i="38"/>
  <c r="AB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C42" i="37"/>
  <c r="AA41" i="37"/>
  <c r="AA40" i="37"/>
  <c r="AA39" i="37"/>
  <c r="AC39" i="37" s="1"/>
  <c r="C21" i="44" s="1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25" i="37"/>
  <c r="AA24" i="37"/>
  <c r="AA23" i="37"/>
  <c r="AA22" i="37"/>
  <c r="AA21" i="37"/>
  <c r="AA20" i="37"/>
  <c r="AA19" i="37"/>
  <c r="AA18" i="37"/>
  <c r="AA17" i="37"/>
  <c r="AA16" i="37"/>
  <c r="AA15" i="37"/>
  <c r="AC15" i="37" s="1"/>
  <c r="C13" i="44" s="1"/>
  <c r="AA14" i="37"/>
  <c r="AA13" i="37"/>
  <c r="AA12" i="37"/>
  <c r="AA11" i="37"/>
  <c r="AA10" i="37"/>
  <c r="AA9" i="37"/>
  <c r="AA8" i="37"/>
  <c r="AA7" i="37"/>
  <c r="AA6" i="37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6" i="21"/>
  <c r="AC12" i="58" l="1"/>
  <c r="E12" i="57" s="1"/>
  <c r="AC12" i="56"/>
  <c r="E12" i="55" s="1"/>
  <c r="AC15" i="58"/>
  <c r="E13" i="57" s="1"/>
  <c r="AC36" i="56"/>
  <c r="E20" i="55" s="1"/>
  <c r="AC33" i="56"/>
  <c r="E19" i="55" s="1"/>
  <c r="AC27" i="56"/>
  <c r="E17" i="55" s="1"/>
  <c r="AC24" i="56"/>
  <c r="E16" i="55" s="1"/>
  <c r="AC33" i="54"/>
  <c r="E19" i="53" s="1"/>
  <c r="AC27" i="54"/>
  <c r="E17" i="53" s="1"/>
  <c r="AC33" i="58"/>
  <c r="E19" i="57" s="1"/>
  <c r="AC36" i="58"/>
  <c r="E20" i="57" s="1"/>
  <c r="AC27" i="58"/>
  <c r="E17" i="57" s="1"/>
  <c r="AC18" i="58"/>
  <c r="E14" i="57" s="1"/>
  <c r="AC30" i="58"/>
  <c r="E18" i="57" s="1"/>
  <c r="AC21" i="58"/>
  <c r="E15" i="57" s="1"/>
  <c r="AC9" i="58"/>
  <c r="E11" i="57" s="1"/>
  <c r="AC39" i="58"/>
  <c r="E21" i="57" s="1"/>
  <c r="AC39" i="56"/>
  <c r="E21" i="55" s="1"/>
  <c r="AC30" i="56"/>
  <c r="E18" i="55" s="1"/>
  <c r="AC18" i="56"/>
  <c r="E14" i="55" s="1"/>
  <c r="AC15" i="56"/>
  <c r="E13" i="55" s="1"/>
  <c r="AC21" i="54"/>
  <c r="E15" i="53" s="1"/>
  <c r="AC12" i="54"/>
  <c r="E12" i="53" s="1"/>
  <c r="AC9" i="54"/>
  <c r="E11" i="53" s="1"/>
  <c r="AC30" i="54"/>
  <c r="E18" i="53" s="1"/>
  <c r="AC15" i="54"/>
  <c r="E13" i="53" s="1"/>
  <c r="AC39" i="54"/>
  <c r="E21" i="53" s="1"/>
  <c r="AC24" i="54"/>
  <c r="E16" i="53" s="1"/>
  <c r="AC18" i="54"/>
  <c r="E14" i="53" s="1"/>
  <c r="AC36" i="54"/>
  <c r="E20" i="53" s="1"/>
  <c r="X42" i="43"/>
  <c r="P42" i="43"/>
  <c r="H42" i="43"/>
  <c r="O42" i="43"/>
  <c r="G42" i="43"/>
  <c r="W42" i="43"/>
  <c r="AC6" i="58"/>
  <c r="AA42" i="58"/>
  <c r="AC9" i="56"/>
  <c r="E11" i="55" s="1"/>
  <c r="AC21" i="56"/>
  <c r="E15" i="55" s="1"/>
  <c r="AC6" i="56"/>
  <c r="AA42" i="56"/>
  <c r="AC6" i="54"/>
  <c r="AA42" i="54"/>
  <c r="AC42" i="51"/>
  <c r="AC15" i="38"/>
  <c r="C13" i="46" s="1"/>
  <c r="AC36" i="38"/>
  <c r="C20" i="46" s="1"/>
  <c r="U42" i="43"/>
  <c r="D42" i="43"/>
  <c r="T42" i="43"/>
  <c r="AC27" i="37"/>
  <c r="C17" i="44" s="1"/>
  <c r="AC36" i="37"/>
  <c r="C20" i="44" s="1"/>
  <c r="O42" i="49"/>
  <c r="AC39" i="38"/>
  <c r="C21" i="46" s="1"/>
  <c r="AC6" i="38"/>
  <c r="C10" i="46" s="1"/>
  <c r="AC21" i="38"/>
  <c r="C15" i="46" s="1"/>
  <c r="AC30" i="38"/>
  <c r="C18" i="46" s="1"/>
  <c r="AC9" i="38"/>
  <c r="C11" i="46" s="1"/>
  <c r="AC33" i="38"/>
  <c r="C19" i="46" s="1"/>
  <c r="AC12" i="38"/>
  <c r="C12" i="46" s="1"/>
  <c r="AC27" i="38"/>
  <c r="C17" i="46" s="1"/>
  <c r="AC9" i="37"/>
  <c r="C11" i="44" s="1"/>
  <c r="AC24" i="37"/>
  <c r="C16" i="44" s="1"/>
  <c r="Y42" i="43"/>
  <c r="AC33" i="37"/>
  <c r="C19" i="44" s="1"/>
  <c r="AC21" i="37"/>
  <c r="C15" i="44" s="1"/>
  <c r="AA6" i="49"/>
  <c r="AA35" i="49"/>
  <c r="AA34" i="49"/>
  <c r="AA33" i="49"/>
  <c r="AA23" i="49"/>
  <c r="AA17" i="49"/>
  <c r="AA12" i="49"/>
  <c r="C42" i="43"/>
  <c r="S42" i="43"/>
  <c r="K42" i="43"/>
  <c r="I42" i="43"/>
  <c r="Q42" i="43"/>
  <c r="L42" i="43"/>
  <c r="V42" i="43"/>
  <c r="W42" i="49"/>
  <c r="V42" i="49"/>
  <c r="L42" i="49"/>
  <c r="R42" i="49"/>
  <c r="AA40" i="49"/>
  <c r="H42" i="49"/>
  <c r="F42" i="49"/>
  <c r="S42" i="49"/>
  <c r="K42" i="49"/>
  <c r="G42" i="49"/>
  <c r="AA24" i="49"/>
  <c r="P42" i="49"/>
  <c r="M42" i="49"/>
  <c r="I42" i="49"/>
  <c r="AA39" i="49"/>
  <c r="AA36" i="49"/>
  <c r="AA32" i="49"/>
  <c r="AA31" i="49"/>
  <c r="AA28" i="49"/>
  <c r="AA27" i="49"/>
  <c r="AA26" i="49"/>
  <c r="AA20" i="49"/>
  <c r="AA19" i="49"/>
  <c r="AA18" i="49"/>
  <c r="AA16" i="49"/>
  <c r="AA15" i="49"/>
  <c r="AA10" i="49"/>
  <c r="AA8" i="49"/>
  <c r="AA7" i="49"/>
  <c r="T42" i="49"/>
  <c r="Q42" i="49"/>
  <c r="AA11" i="49"/>
  <c r="N42" i="49"/>
  <c r="D42" i="49"/>
  <c r="Y42" i="49"/>
  <c r="X42" i="49"/>
  <c r="E42" i="49"/>
  <c r="J42" i="49"/>
  <c r="U42" i="49"/>
  <c r="Z42" i="49"/>
  <c r="AA9" i="49"/>
  <c r="AA41" i="49"/>
  <c r="AA38" i="49"/>
  <c r="AA30" i="49"/>
  <c r="AA22" i="49"/>
  <c r="AA14" i="49"/>
  <c r="AA37" i="49"/>
  <c r="AA29" i="49"/>
  <c r="AA21" i="49"/>
  <c r="AA13" i="49"/>
  <c r="AA25" i="49"/>
  <c r="C42" i="49"/>
  <c r="E42" i="43"/>
  <c r="M42" i="43"/>
  <c r="N42" i="43"/>
  <c r="F42" i="43"/>
  <c r="Z42" i="43"/>
  <c r="R42" i="43"/>
  <c r="J42" i="43"/>
  <c r="AA7" i="43"/>
  <c r="AA8" i="43"/>
  <c r="AA9" i="43"/>
  <c r="AA10" i="43"/>
  <c r="AA11" i="43"/>
  <c r="AA12" i="43"/>
  <c r="AA13" i="43"/>
  <c r="AA14" i="43"/>
  <c r="AA15" i="43"/>
  <c r="AA16" i="43"/>
  <c r="AA17" i="43"/>
  <c r="AA18" i="43"/>
  <c r="AA19" i="43"/>
  <c r="AA20" i="43"/>
  <c r="AA21" i="43"/>
  <c r="AA22" i="43"/>
  <c r="AA23" i="43"/>
  <c r="AA24" i="43"/>
  <c r="AA25" i="43"/>
  <c r="AA26" i="43"/>
  <c r="AA27" i="43"/>
  <c r="AA28" i="43"/>
  <c r="AA29" i="43"/>
  <c r="AA30" i="43"/>
  <c r="AA31" i="43"/>
  <c r="AA32" i="43"/>
  <c r="AA33" i="43"/>
  <c r="AA34" i="43"/>
  <c r="AA35" i="43"/>
  <c r="AA36" i="43"/>
  <c r="AA37" i="43"/>
  <c r="AA38" i="43"/>
  <c r="AA39" i="43"/>
  <c r="AA40" i="43"/>
  <c r="AA41" i="43"/>
  <c r="AA6" i="43"/>
  <c r="AC24" i="38"/>
  <c r="AC18" i="38"/>
  <c r="C14" i="46" s="1"/>
  <c r="AA42" i="38"/>
  <c r="AC30" i="37"/>
  <c r="C18" i="44" s="1"/>
  <c r="AC18" i="37"/>
  <c r="C14" i="44" s="1"/>
  <c r="AC12" i="37"/>
  <c r="C12" i="44" s="1"/>
  <c r="AA42" i="37"/>
  <c r="AC6" i="37"/>
  <c r="C10" i="44" s="1"/>
  <c r="AC42" i="58" l="1"/>
  <c r="E10" i="57"/>
  <c r="AC42" i="56"/>
  <c r="E10" i="55"/>
  <c r="AC42" i="54"/>
  <c r="E10" i="53"/>
  <c r="C22" i="44"/>
  <c r="AC42" i="38"/>
  <c r="C16" i="46"/>
  <c r="C22" i="46" s="1"/>
  <c r="AC33" i="49"/>
  <c r="E19" i="46" s="1"/>
  <c r="AC15" i="49"/>
  <c r="E13" i="46" s="1"/>
  <c r="AC27" i="49"/>
  <c r="E17" i="46" s="1"/>
  <c r="AC39" i="49"/>
  <c r="E21" i="46" s="1"/>
  <c r="AC30" i="49"/>
  <c r="E18" i="46" s="1"/>
  <c r="AC18" i="49"/>
  <c r="E14" i="46" s="1"/>
  <c r="AC36" i="49"/>
  <c r="E20" i="46" s="1"/>
  <c r="AC24" i="49"/>
  <c r="E16" i="46" s="1"/>
  <c r="AC12" i="49"/>
  <c r="AC9" i="49"/>
  <c r="AC21" i="49"/>
  <c r="E15" i="46" s="1"/>
  <c r="AA42" i="49"/>
  <c r="AC6" i="49"/>
  <c r="E10" i="46" s="1"/>
  <c r="AC30" i="43"/>
  <c r="E18" i="44" s="1"/>
  <c r="AC21" i="43"/>
  <c r="E15" i="44" s="1"/>
  <c r="AC12" i="43"/>
  <c r="E12" i="44" s="1"/>
  <c r="AC27" i="43"/>
  <c r="E17" i="44" s="1"/>
  <c r="AC36" i="43"/>
  <c r="E20" i="44" s="1"/>
  <c r="AC18" i="43"/>
  <c r="E14" i="44" s="1"/>
  <c r="AC33" i="43"/>
  <c r="E19" i="44" s="1"/>
  <c r="AC9" i="43"/>
  <c r="E11" i="44" s="1"/>
  <c r="AC24" i="43"/>
  <c r="E16" i="44" s="1"/>
  <c r="AC39" i="43"/>
  <c r="E21" i="44" s="1"/>
  <c r="AC15" i="43"/>
  <c r="E13" i="44" s="1"/>
  <c r="AC6" i="43"/>
  <c r="E10" i="44" s="1"/>
  <c r="AA42" i="43"/>
  <c r="AC42" i="37"/>
  <c r="E22" i="57" l="1"/>
  <c r="E22" i="55"/>
  <c r="E22" i="53"/>
  <c r="E11" i="46"/>
  <c r="E12" i="46"/>
  <c r="AC42" i="49"/>
  <c r="AC42" i="43"/>
  <c r="C21" i="33"/>
  <c r="C20" i="33"/>
  <c r="C19" i="33"/>
  <c r="C18" i="33"/>
  <c r="C17" i="33"/>
  <c r="C16" i="33"/>
  <c r="C15" i="33"/>
  <c r="C14" i="33"/>
  <c r="C13" i="33"/>
  <c r="C12" i="33"/>
  <c r="C11" i="33"/>
  <c r="C10" i="33"/>
  <c r="E22" i="46" l="1"/>
  <c r="E11" i="33"/>
  <c r="E12" i="33"/>
  <c r="E13" i="33"/>
  <c r="E14" i="33"/>
  <c r="E15" i="33"/>
  <c r="E16" i="33"/>
  <c r="E17" i="33"/>
  <c r="E18" i="33"/>
  <c r="E19" i="33"/>
  <c r="E20" i="33"/>
  <c r="E21" i="33"/>
  <c r="E10" i="33"/>
  <c r="F22" i="33"/>
  <c r="C22" i="33" l="1"/>
  <c r="D20" i="18" l="1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C19" i="18"/>
  <c r="C20" i="18"/>
  <c r="C18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C16" i="18"/>
  <c r="C17" i="18"/>
  <c r="C15" i="18"/>
  <c r="C12" i="18"/>
  <c r="D12" i="18"/>
  <c r="E12" i="18"/>
  <c r="F12" i="18"/>
  <c r="G12" i="18"/>
  <c r="H12" i="18"/>
  <c r="I12" i="18"/>
  <c r="J12" i="18"/>
  <c r="K12" i="18"/>
  <c r="L12" i="18"/>
  <c r="M12" i="18"/>
  <c r="C13" i="18"/>
  <c r="D13" i="18"/>
  <c r="E13" i="18"/>
  <c r="F13" i="18"/>
  <c r="G13" i="18"/>
  <c r="H13" i="18"/>
  <c r="I13" i="18"/>
  <c r="J13" i="18"/>
  <c r="K13" i="18"/>
  <c r="L13" i="18"/>
  <c r="M13" i="18"/>
  <c r="C14" i="18"/>
  <c r="D14" i="18"/>
  <c r="E14" i="18"/>
  <c r="F14" i="18"/>
  <c r="G14" i="18"/>
  <c r="H14" i="18"/>
  <c r="I14" i="18"/>
  <c r="J14" i="18"/>
  <c r="K14" i="18"/>
  <c r="L14" i="18"/>
  <c r="M14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N13" i="18"/>
  <c r="N14" i="18"/>
  <c r="N12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C10" i="18"/>
  <c r="C11" i="18"/>
  <c r="C9" i="18"/>
  <c r="F22" i="11"/>
  <c r="F22" i="23"/>
  <c r="F22" i="13"/>
  <c r="F22" i="24"/>
  <c r="F22" i="20"/>
  <c r="Z41" i="28" l="1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E7" i="28"/>
  <c r="D7" i="28"/>
  <c r="C7" i="28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AB42" i="28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Z6" i="27"/>
  <c r="Y6" i="27"/>
  <c r="X6" i="27"/>
  <c r="W6" i="27"/>
  <c r="V6" i="27"/>
  <c r="U6" i="27"/>
  <c r="T6" i="27"/>
  <c r="S6" i="27"/>
  <c r="S42" i="27" s="1"/>
  <c r="R6" i="27"/>
  <c r="Q6" i="27"/>
  <c r="P6" i="27"/>
  <c r="P42" i="27" s="1"/>
  <c r="O6" i="27"/>
  <c r="N6" i="27"/>
  <c r="M6" i="27"/>
  <c r="L6" i="27"/>
  <c r="K6" i="27"/>
  <c r="J6" i="27"/>
  <c r="J42" i="27" s="1"/>
  <c r="I6" i="27"/>
  <c r="H6" i="27"/>
  <c r="H42" i="27" s="1"/>
  <c r="G6" i="27"/>
  <c r="F6" i="27"/>
  <c r="E6" i="27"/>
  <c r="D6" i="27"/>
  <c r="C6" i="27"/>
  <c r="AB42" i="27"/>
  <c r="X42" i="27"/>
  <c r="AB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25" i="26"/>
  <c r="AA24" i="26"/>
  <c r="AA23" i="26"/>
  <c r="AA22" i="26"/>
  <c r="AA21" i="26"/>
  <c r="AA20" i="26"/>
  <c r="AA19" i="26"/>
  <c r="AA18" i="26"/>
  <c r="AA17" i="26"/>
  <c r="AA16" i="26"/>
  <c r="AA15" i="26"/>
  <c r="AA14" i="26"/>
  <c r="AA13" i="26"/>
  <c r="AA12" i="26"/>
  <c r="AA11" i="26"/>
  <c r="AA10" i="26"/>
  <c r="AA9" i="26"/>
  <c r="AA8" i="26"/>
  <c r="AA7" i="26"/>
  <c r="AA6" i="26"/>
  <c r="AB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H37" i="24"/>
  <c r="H36" i="24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Y37" i="22"/>
  <c r="Z37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U38" i="22"/>
  <c r="V38" i="22"/>
  <c r="W38" i="22"/>
  <c r="X38" i="22"/>
  <c r="Y38" i="22"/>
  <c r="Z38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6" i="22"/>
  <c r="Y42" i="27" l="1"/>
  <c r="K42" i="27"/>
  <c r="R42" i="27"/>
  <c r="AC9" i="25"/>
  <c r="C11" i="24" s="1"/>
  <c r="AC24" i="25"/>
  <c r="C16" i="24" s="1"/>
  <c r="AC15" i="25"/>
  <c r="C13" i="24" s="1"/>
  <c r="AC39" i="25"/>
  <c r="C21" i="24" s="1"/>
  <c r="AC12" i="25"/>
  <c r="C12" i="24" s="1"/>
  <c r="D42" i="27"/>
  <c r="AC6" i="25"/>
  <c r="C10" i="24" s="1"/>
  <c r="AC30" i="25"/>
  <c r="C18" i="24" s="1"/>
  <c r="AC33" i="26"/>
  <c r="C19" i="23" s="1"/>
  <c r="V42" i="27"/>
  <c r="T42" i="27"/>
  <c r="N42" i="27"/>
  <c r="G42" i="27"/>
  <c r="I42" i="27"/>
  <c r="F42" i="27"/>
  <c r="AC33" i="25"/>
  <c r="C19" i="24" s="1"/>
  <c r="AC18" i="25"/>
  <c r="C14" i="24" s="1"/>
  <c r="AC36" i="25"/>
  <c r="C20" i="24" s="1"/>
  <c r="U42" i="27"/>
  <c r="E42" i="27"/>
  <c r="AC15" i="26"/>
  <c r="C13" i="23" s="1"/>
  <c r="AC27" i="25"/>
  <c r="C17" i="24" s="1"/>
  <c r="AC21" i="25"/>
  <c r="C15" i="24" s="1"/>
  <c r="W42" i="27"/>
  <c r="AC27" i="26"/>
  <c r="C17" i="23" s="1"/>
  <c r="AC21" i="26"/>
  <c r="C15" i="23" s="1"/>
  <c r="AC36" i="26"/>
  <c r="C20" i="23" s="1"/>
  <c r="AC6" i="26"/>
  <c r="C10" i="23" s="1"/>
  <c r="AC9" i="26"/>
  <c r="C11" i="23" s="1"/>
  <c r="AC24" i="26"/>
  <c r="C16" i="23" s="1"/>
  <c r="AC39" i="26"/>
  <c r="C21" i="23" s="1"/>
  <c r="AA7" i="28"/>
  <c r="AA8" i="28"/>
  <c r="AA9" i="28"/>
  <c r="AA10" i="28"/>
  <c r="AA11" i="28"/>
  <c r="AA12" i="28"/>
  <c r="AA13" i="28"/>
  <c r="AA15" i="28"/>
  <c r="AA16" i="28"/>
  <c r="AA17" i="28"/>
  <c r="AA18" i="28"/>
  <c r="AA19" i="28"/>
  <c r="AA20" i="28"/>
  <c r="AA21" i="28"/>
  <c r="AA22" i="28"/>
  <c r="AA23" i="28"/>
  <c r="AA24" i="28"/>
  <c r="AA26" i="28"/>
  <c r="AA27" i="28"/>
  <c r="AA28" i="28"/>
  <c r="AA29" i="28"/>
  <c r="AA30" i="28"/>
  <c r="AA31" i="28"/>
  <c r="AA32" i="28"/>
  <c r="AA33" i="28"/>
  <c r="AA34" i="28"/>
  <c r="AA35" i="28"/>
  <c r="AA36" i="28"/>
  <c r="AA37" i="28"/>
  <c r="AA38" i="28"/>
  <c r="AA39" i="28"/>
  <c r="AA40" i="28"/>
  <c r="AA41" i="28"/>
  <c r="O42" i="27"/>
  <c r="Q42" i="27"/>
  <c r="L42" i="27"/>
  <c r="AA14" i="28"/>
  <c r="AA6" i="28"/>
  <c r="AA25" i="28"/>
  <c r="M42" i="27"/>
  <c r="Z42" i="27"/>
  <c r="C42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3" i="27"/>
  <c r="AA24" i="27"/>
  <c r="AA25" i="27"/>
  <c r="AA26" i="27"/>
  <c r="AA27" i="27"/>
  <c r="AA28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6" i="27"/>
  <c r="AA42" i="25"/>
  <c r="AC30" i="26"/>
  <c r="C18" i="23" s="1"/>
  <c r="AC18" i="26"/>
  <c r="C14" i="23" s="1"/>
  <c r="AC12" i="26"/>
  <c r="AA42" i="26"/>
  <c r="AB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9" i="22"/>
  <c r="AA8" i="22"/>
  <c r="AA7" i="22"/>
  <c r="AB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C42" i="25" l="1"/>
  <c r="AC6" i="28"/>
  <c r="AC18" i="28"/>
  <c r="AC9" i="28"/>
  <c r="AC27" i="28"/>
  <c r="AC33" i="28"/>
  <c r="AC39" i="28"/>
  <c r="AC30" i="28"/>
  <c r="K42" i="22"/>
  <c r="K42" i="28"/>
  <c r="L42" i="22"/>
  <c r="L42" i="28"/>
  <c r="T42" i="22"/>
  <c r="T42" i="28"/>
  <c r="E42" i="22"/>
  <c r="E42" i="28"/>
  <c r="M42" i="22"/>
  <c r="M42" i="28"/>
  <c r="U42" i="22"/>
  <c r="U42" i="28"/>
  <c r="V42" i="22"/>
  <c r="V42" i="28"/>
  <c r="G42" i="22"/>
  <c r="G42" i="28"/>
  <c r="O42" i="22"/>
  <c r="O42" i="28"/>
  <c r="W42" i="22"/>
  <c r="W42" i="28"/>
  <c r="H42" i="22"/>
  <c r="H42" i="28"/>
  <c r="P42" i="22"/>
  <c r="P42" i="28"/>
  <c r="X42" i="22"/>
  <c r="X42" i="28"/>
  <c r="S42" i="22"/>
  <c r="S42" i="28"/>
  <c r="I42" i="22"/>
  <c r="I42" i="28"/>
  <c r="Q42" i="22"/>
  <c r="Q42" i="28"/>
  <c r="Y42" i="22"/>
  <c r="Y42" i="28"/>
  <c r="C42" i="22"/>
  <c r="C42" i="28"/>
  <c r="D42" i="22"/>
  <c r="D42" i="28"/>
  <c r="F42" i="22"/>
  <c r="F42" i="28"/>
  <c r="N42" i="22"/>
  <c r="N42" i="28"/>
  <c r="J42" i="22"/>
  <c r="J42" i="28"/>
  <c r="R42" i="22"/>
  <c r="R42" i="28"/>
  <c r="Z42" i="22"/>
  <c r="Z42" i="28"/>
  <c r="AC42" i="26"/>
  <c r="C12" i="23"/>
  <c r="AC12" i="28"/>
  <c r="AC24" i="28"/>
  <c r="AA42" i="28"/>
  <c r="AC21" i="28"/>
  <c r="AC15" i="28"/>
  <c r="AC36" i="28"/>
  <c r="AC33" i="27"/>
  <c r="E19" i="23" s="1"/>
  <c r="AC30" i="27"/>
  <c r="E18" i="23" s="1"/>
  <c r="AC18" i="27"/>
  <c r="E14" i="23" s="1"/>
  <c r="AC21" i="27"/>
  <c r="E15" i="23" s="1"/>
  <c r="AC27" i="27"/>
  <c r="E17" i="23" s="1"/>
  <c r="AC12" i="27"/>
  <c r="E12" i="23" s="1"/>
  <c r="AC9" i="27"/>
  <c r="E11" i="23" s="1"/>
  <c r="AC24" i="27"/>
  <c r="E16" i="23" s="1"/>
  <c r="AC36" i="27"/>
  <c r="E20" i="23" s="1"/>
  <c r="AC39" i="27"/>
  <c r="E21" i="23" s="1"/>
  <c r="AC15" i="27"/>
  <c r="E13" i="23" s="1"/>
  <c r="AC6" i="27"/>
  <c r="E10" i="23" s="1"/>
  <c r="AA42" i="27"/>
  <c r="AC12" i="21"/>
  <c r="AC27" i="21"/>
  <c r="AC39" i="21"/>
  <c r="AC24" i="21"/>
  <c r="AC33" i="22"/>
  <c r="AC36" i="21"/>
  <c r="AC30" i="22"/>
  <c r="AC18" i="21"/>
  <c r="AC21" i="21"/>
  <c r="AA42" i="21"/>
  <c r="AC15" i="21"/>
  <c r="AC6" i="21"/>
  <c r="AC30" i="21"/>
  <c r="AC9" i="21"/>
  <c r="AC33" i="21"/>
  <c r="AC39" i="22"/>
  <c r="AC24" i="22"/>
  <c r="AC9" i="22"/>
  <c r="AC18" i="22"/>
  <c r="AC27" i="22"/>
  <c r="AC36" i="22"/>
  <c r="AC21" i="22"/>
  <c r="AC15" i="22"/>
  <c r="AC12" i="22"/>
  <c r="AA6" i="22"/>
  <c r="E20" i="24" l="1"/>
  <c r="E18" i="24"/>
  <c r="E15" i="24"/>
  <c r="E17" i="24"/>
  <c r="E21" i="24"/>
  <c r="E11" i="24"/>
  <c r="E12" i="24"/>
  <c r="E10" i="24"/>
  <c r="E13" i="24"/>
  <c r="E19" i="24"/>
  <c r="E16" i="24"/>
  <c r="E14" i="24"/>
  <c r="AC42" i="28"/>
  <c r="AC42" i="27"/>
  <c r="C19" i="20"/>
  <c r="C14" i="20"/>
  <c r="C16" i="20"/>
  <c r="C20" i="20"/>
  <c r="C13" i="20"/>
  <c r="C21" i="20"/>
  <c r="C11" i="20"/>
  <c r="C22" i="24"/>
  <c r="C18" i="20"/>
  <c r="C17" i="20"/>
  <c r="C15" i="20"/>
  <c r="C12" i="20"/>
  <c r="E21" i="20"/>
  <c r="E11" i="20"/>
  <c r="E16" i="20"/>
  <c r="E13" i="20"/>
  <c r="E20" i="20"/>
  <c r="E18" i="20"/>
  <c r="E17" i="20"/>
  <c r="E12" i="20"/>
  <c r="E15" i="20"/>
  <c r="E19" i="20"/>
  <c r="E14" i="20"/>
  <c r="AC42" i="21"/>
  <c r="C10" i="20"/>
  <c r="AC6" i="22"/>
  <c r="AA42" i="22"/>
  <c r="E22" i="24" l="1"/>
  <c r="AC42" i="22"/>
  <c r="E10" i="20"/>
  <c r="V42" i="19"/>
  <c r="Q42" i="19"/>
  <c r="O42" i="19"/>
  <c r="N42" i="19"/>
  <c r="H42" i="19"/>
  <c r="F42" i="19"/>
  <c r="D42" i="19"/>
  <c r="AB42" i="19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B42" i="18"/>
  <c r="T42" i="19" l="1"/>
  <c r="W42" i="19"/>
  <c r="K42" i="19"/>
  <c r="P42" i="19"/>
  <c r="I42" i="19"/>
  <c r="G42" i="19"/>
  <c r="U42" i="19"/>
  <c r="J42" i="19"/>
  <c r="L42" i="19"/>
  <c r="Z42" i="19"/>
  <c r="X42" i="19"/>
  <c r="Y42" i="19"/>
  <c r="E42" i="19"/>
  <c r="AA38" i="19"/>
  <c r="AA10" i="19"/>
  <c r="AA11" i="19"/>
  <c r="AA12" i="19"/>
  <c r="AA14" i="19"/>
  <c r="AA17" i="19"/>
  <c r="AA19" i="19"/>
  <c r="AA22" i="19"/>
  <c r="AA23" i="19"/>
  <c r="AA26" i="19"/>
  <c r="AA32" i="19"/>
  <c r="AA34" i="19"/>
  <c r="AA16" i="19"/>
  <c r="AA27" i="19"/>
  <c r="AA29" i="19"/>
  <c r="R42" i="19"/>
  <c r="AA9" i="19"/>
  <c r="AA13" i="19"/>
  <c r="AA15" i="19"/>
  <c r="AA18" i="19"/>
  <c r="AA20" i="19"/>
  <c r="AA21" i="19"/>
  <c r="AA24" i="19"/>
  <c r="AA30" i="19"/>
  <c r="AA31" i="19"/>
  <c r="AA36" i="19"/>
  <c r="AA37" i="19"/>
  <c r="AA39" i="19"/>
  <c r="AA40" i="19"/>
  <c r="AA41" i="19"/>
  <c r="AA8" i="19"/>
  <c r="AA25" i="19"/>
  <c r="AA35" i="19"/>
  <c r="M42" i="19"/>
  <c r="AA28" i="19"/>
  <c r="AA33" i="19"/>
  <c r="S42" i="19"/>
  <c r="C42" i="19"/>
  <c r="AA7" i="19"/>
  <c r="AA6" i="19"/>
  <c r="O42" i="18"/>
  <c r="W42" i="18"/>
  <c r="S42" i="18"/>
  <c r="G42" i="18"/>
  <c r="K42" i="18"/>
  <c r="E42" i="18"/>
  <c r="U42" i="18"/>
  <c r="C42" i="18"/>
  <c r="AA7" i="18"/>
  <c r="AA8" i="18"/>
  <c r="AA9" i="18"/>
  <c r="AA10" i="18"/>
  <c r="AA11" i="18"/>
  <c r="AA13" i="18"/>
  <c r="AA12" i="18"/>
  <c r="M42" i="18"/>
  <c r="AA6" i="18"/>
  <c r="AB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B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H32" i="11"/>
  <c r="H31" i="11"/>
  <c r="H30" i="11"/>
  <c r="AC27" i="12" l="1"/>
  <c r="C17" i="11" s="1"/>
  <c r="AC24" i="12"/>
  <c r="C16" i="11" s="1"/>
  <c r="AC21" i="14"/>
  <c r="AC6" i="18"/>
  <c r="E10" i="11" s="1"/>
  <c r="C15" i="13"/>
  <c r="AC24" i="19"/>
  <c r="AC36" i="19"/>
  <c r="AC15" i="19"/>
  <c r="AC39" i="19"/>
  <c r="AC27" i="19"/>
  <c r="AC9" i="19"/>
  <c r="AC30" i="19"/>
  <c r="AC21" i="19"/>
  <c r="AC18" i="19"/>
  <c r="AC12" i="19"/>
  <c r="AC33" i="19"/>
  <c r="AA42" i="19"/>
  <c r="AC6" i="19"/>
  <c r="AA41" i="18"/>
  <c r="AA18" i="18"/>
  <c r="AC9" i="18"/>
  <c r="AA34" i="18"/>
  <c r="H42" i="18"/>
  <c r="AA38" i="18"/>
  <c r="AA30" i="18"/>
  <c r="AA22" i="18"/>
  <c r="X42" i="18"/>
  <c r="AA35" i="18"/>
  <c r="AA27" i="18"/>
  <c r="AA19" i="18"/>
  <c r="R42" i="18"/>
  <c r="AA32" i="18"/>
  <c r="AA29" i="18"/>
  <c r="N42" i="18"/>
  <c r="Z42" i="18"/>
  <c r="AA26" i="18"/>
  <c r="L42" i="18"/>
  <c r="AA24" i="18"/>
  <c r="AA16" i="18"/>
  <c r="I42" i="18"/>
  <c r="AA39" i="18"/>
  <c r="AA31" i="18"/>
  <c r="AA23" i="18"/>
  <c r="AA15" i="18"/>
  <c r="P42" i="18"/>
  <c r="AA40" i="18"/>
  <c r="J42" i="18"/>
  <c r="AA37" i="18"/>
  <c r="AA36" i="18"/>
  <c r="AA28" i="18"/>
  <c r="AA20" i="18"/>
  <c r="AA14" i="18"/>
  <c r="AC12" i="18" s="1"/>
  <c r="AA21" i="18"/>
  <c r="AA33" i="18"/>
  <c r="AA25" i="18"/>
  <c r="AA17" i="18"/>
  <c r="T42" i="18"/>
  <c r="F42" i="18"/>
  <c r="D42" i="18"/>
  <c r="Q42" i="18"/>
  <c r="V42" i="18"/>
  <c r="Y42" i="18"/>
  <c r="AC39" i="14"/>
  <c r="AC30" i="12"/>
  <c r="C18" i="11" s="1"/>
  <c r="AC6" i="12"/>
  <c r="C10" i="11" s="1"/>
  <c r="AC6" i="14"/>
  <c r="AC30" i="14"/>
  <c r="AC12" i="12"/>
  <c r="C12" i="11" s="1"/>
  <c r="AC21" i="12"/>
  <c r="C15" i="11" s="1"/>
  <c r="AC15" i="12"/>
  <c r="C13" i="11" s="1"/>
  <c r="AC9" i="12"/>
  <c r="C11" i="11" s="1"/>
  <c r="AC18" i="12"/>
  <c r="C14" i="11" s="1"/>
  <c r="AC27" i="14"/>
  <c r="AC12" i="14"/>
  <c r="AC36" i="14"/>
  <c r="AC15" i="14"/>
  <c r="AC24" i="14"/>
  <c r="AC9" i="14"/>
  <c r="AC33" i="14"/>
  <c r="AC18" i="14"/>
  <c r="AA42" i="14"/>
  <c r="AC33" i="12"/>
  <c r="C19" i="11" s="1"/>
  <c r="AC39" i="12"/>
  <c r="C21" i="11" s="1"/>
  <c r="AC36" i="12"/>
  <c r="C20" i="11" s="1"/>
  <c r="AA42" i="12"/>
  <c r="E11" i="11" l="1"/>
  <c r="E12" i="11"/>
  <c r="E18" i="13"/>
  <c r="E10" i="13"/>
  <c r="E17" i="13"/>
  <c r="E13" i="13"/>
  <c r="E21" i="13"/>
  <c r="E19" i="13"/>
  <c r="E12" i="13"/>
  <c r="E20" i="13"/>
  <c r="E11" i="13"/>
  <c r="E14" i="13"/>
  <c r="E16" i="13"/>
  <c r="E15" i="13"/>
  <c r="C17" i="13"/>
  <c r="C14" i="13"/>
  <c r="C20" i="13"/>
  <c r="C19" i="13"/>
  <c r="C11" i="13"/>
  <c r="C16" i="13"/>
  <c r="C18" i="13"/>
  <c r="C13" i="13"/>
  <c r="C12" i="13"/>
  <c r="C10" i="13"/>
  <c r="C21" i="13"/>
  <c r="AC33" i="18"/>
  <c r="AC42" i="19"/>
  <c r="AC36" i="18"/>
  <c r="AC27" i="18"/>
  <c r="AC18" i="18"/>
  <c r="AC30" i="18"/>
  <c r="AC39" i="18"/>
  <c r="AC24" i="18"/>
  <c r="AC21" i="18"/>
  <c r="AA42" i="18"/>
  <c r="AC15" i="18"/>
  <c r="E22" i="44" s="1"/>
  <c r="AC42" i="12"/>
  <c r="AC42" i="14"/>
  <c r="E17" i="11" l="1"/>
  <c r="E13" i="11"/>
  <c r="E22" i="33"/>
  <c r="E20" i="11"/>
  <c r="E19" i="11"/>
  <c r="E18" i="11"/>
  <c r="E14" i="11"/>
  <c r="E15" i="11"/>
  <c r="E16" i="11"/>
  <c r="E21" i="11"/>
  <c r="C22" i="11"/>
  <c r="C22" i="23"/>
  <c r="E22" i="23"/>
  <c r="C22" i="13"/>
  <c r="E22" i="13"/>
  <c r="E22" i="20"/>
  <c r="E30" i="20" s="1"/>
  <c r="C22" i="20"/>
  <c r="AC42" i="18"/>
  <c r="E22" i="11" l="1"/>
</calcChain>
</file>

<file path=xl/sharedStrings.xml><?xml version="1.0" encoding="utf-8"?>
<sst xmlns="http://schemas.openxmlformats.org/spreadsheetml/2006/main" count="1668" uniqueCount="129">
  <si>
    <t>TOTAL</t>
  </si>
  <si>
    <t>MES</t>
  </si>
  <si>
    <t>TOTAL AÑO</t>
  </si>
  <si>
    <t>F</t>
  </si>
  <si>
    <t>S</t>
  </si>
  <si>
    <t>O</t>
  </si>
  <si>
    <t>mes</t>
  </si>
  <si>
    <t>TOTAL MES</t>
  </si>
  <si>
    <t>Días/</t>
  </si>
  <si>
    <t>TOTAL DÍA</t>
  </si>
  <si>
    <t>H24</t>
  </si>
  <si>
    <t>H23</t>
  </si>
  <si>
    <t>H22</t>
  </si>
  <si>
    <t>H21</t>
  </si>
  <si>
    <t>H20</t>
  </si>
  <si>
    <t>H19</t>
  </si>
  <si>
    <t>H18</t>
  </si>
  <si>
    <t>H17</t>
  </si>
  <si>
    <t>H16</t>
  </si>
  <si>
    <t>H15</t>
  </si>
  <si>
    <t>H14</t>
  </si>
  <si>
    <t>H13</t>
  </si>
  <si>
    <t>H12</t>
  </si>
  <si>
    <t>H11</t>
  </si>
  <si>
    <t>H10</t>
  </si>
  <si>
    <t>H09</t>
  </si>
  <si>
    <t>H08</t>
  </si>
  <si>
    <t>H07</t>
  </si>
  <si>
    <t>H06</t>
  </si>
  <si>
    <t>H05</t>
  </si>
  <si>
    <t>H04</t>
  </si>
  <si>
    <t>H03</t>
  </si>
  <si>
    <t>H02</t>
  </si>
  <si>
    <t>H01</t>
  </si>
  <si>
    <t>Tipo de día</t>
  </si>
  <si>
    <t>Periodo</t>
  </si>
  <si>
    <t>ENERGIA SOLICITADA kWh/MES</t>
  </si>
  <si>
    <t>ENERGIA OFERTADA kWh/MES</t>
  </si>
  <si>
    <t>PAGUE LO CONTRATADO AÑO 2026</t>
  </si>
  <si>
    <t>PAGUE LO CONTRATADO AÑO 2027</t>
  </si>
  <si>
    <t>% OFERTADO ANUAL</t>
  </si>
  <si>
    <t>PAGUE LO CONTRATADO AÑO 2028</t>
  </si>
  <si>
    <t>PRECIO OFERTADO ANUAL $/kWh</t>
  </si>
  <si>
    <t>* Se debe ofertar un unico precio por producto.</t>
  </si>
  <si>
    <t>PAGUE LO CONTRATADO AÑO 2029</t>
  </si>
  <si>
    <t>ANEXO No 1 - PRODUCTO No. 1 - CURVA</t>
  </si>
  <si>
    <t>* Se  debe ofertar un unico  %  para todos los meses del año.</t>
  </si>
  <si>
    <t>CURVAS REQUERIDAS PRODUCTO 1 AÑO 2026 MODALIDAD PAGUE LO CONTRATADO - kWh</t>
  </si>
  <si>
    <t xml:space="preserve">ANEXO No 2 - PRODUCTO No. 2 - CURVA </t>
  </si>
  <si>
    <t>CURVAS REQUERIDAS PRODUCTO 2 AÑO 2027 MODALIDAD PAGUE LO CONTRATADO - kWh</t>
  </si>
  <si>
    <t>CANTIDADES OFERTADAS PRODUCTO 1 AÑO 2026 MODALIDAD PAGUE LO CONTRATADO - kWh</t>
  </si>
  <si>
    <t>CANTIDADES OFERTADAS PRODUCTO 2 AÑO 2027 MODALIDAD PAGUE LO CONTRATADO - kWh</t>
  </si>
  <si>
    <t>ANEXO No  3 - PRODUCTO No. 3 - CURVA</t>
  </si>
  <si>
    <t>____________________________________________</t>
  </si>
  <si>
    <t xml:space="preserve">Firma del Representante Legal </t>
  </si>
  <si>
    <t>o Apoderado General (Responsable del negocio)</t>
  </si>
  <si>
    <t>ENERGIA MAXIMA A OFERTAR kWh/MES</t>
  </si>
  <si>
    <t>CANTIDADES OFERTADAS PRODUCTO 3 AÑO 2028 MODALIDAD PAGUE LO CONTRATADO - kWh</t>
  </si>
  <si>
    <t>*Solo se debe ingresar valores en las celdas en color Naranja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</si>
  <si>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 1</t>
    </r>
    <r>
      <rPr>
        <sz val="9"/>
        <color theme="1"/>
        <rFont val="Calibri"/>
        <family val="2"/>
        <scheme val="minor"/>
      </rPr>
      <t>"</t>
    </r>
  </si>
  <si>
    <t xml:space="preserve">ANEXO No 4 - PRODUCTO No. 4 - CURVA </t>
  </si>
  <si>
    <t>CURVAS REQUERIDAS PRODUCTO 3 AÑO 2028 MODALIDAD PAGUE LO CONTRATADO - kWh</t>
  </si>
  <si>
    <t>CURVAS REQUERIDAS PRODUCTO 4 AÑO 2029 MODALIDAD PAGUE LO CONTRATADO - kWh</t>
  </si>
  <si>
    <t>PAGUE LO CONTRATADO AÑO 2030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</si>
  <si>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Prod2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</si>
  <si>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Prod3</t>
    </r>
    <r>
      <rPr>
        <sz val="9"/>
        <color theme="1"/>
        <rFont val="Calibri"/>
        <family val="2"/>
        <scheme val="minor"/>
      </rPr>
      <t>"</t>
    </r>
  </si>
  <si>
    <t>kWh OFERTADO</t>
  </si>
  <si>
    <t>CURVAS REQUERIDAS PRODUCTO 5 AÑO 2030 MODALIDAD PAGUE LO CONTRATADO - kWh</t>
  </si>
  <si>
    <t>* A las ofertas planas al momento de la evaluación se le adicionarán 5 $/kWh al precio ofertado; con el fin de hacerlas comparables con las Ofertas que siguen la curva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</si>
  <si>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Prod4</t>
    </r>
    <r>
      <rPr>
        <sz val="9"/>
        <color theme="1"/>
        <rFont val="Calibri"/>
        <family val="2"/>
        <scheme val="minor"/>
      </rPr>
      <t>"</t>
    </r>
  </si>
  <si>
    <t>ANEXO No 5A - PRODUCTO No. 5 - OFERTA PLANA</t>
  </si>
  <si>
    <t>ANEXO No 4A - PRODUCTO No. 4 - OFERTA PLANA</t>
  </si>
  <si>
    <t>CURVAS REQUERIDAS PRODUCTO 6 AÑO 2031 MODALIDAD PAGUE LO CONTRATADO - kWh</t>
  </si>
  <si>
    <t>CURVAS REQUERIDAS PRODUCTO 7 AÑO 2032 MODALIDAD PAGUE LO CONTRATADO - kWh</t>
  </si>
  <si>
    <t>CANTIDADES OFERTADAS PRODUCTO 4 AÑO 2029 MODALIDAD PAGUE LO CONTRATADO - kWh</t>
  </si>
  <si>
    <t>CANTIDADES OFERTADAS PRODUCTO 5 AÑO 2030 MODALIDAD PAGUE LO CONTRATADO - kWh</t>
  </si>
  <si>
    <t>CANTIDADES OFERTADAS PRODUCTO 6 AÑO 2031 MODALIDAD PAGUE LO CONTRATADO - kWh</t>
  </si>
  <si>
    <t>PAGUE LO CONTRATADO AÑO 2032</t>
  </si>
  <si>
    <t>PAGUE LO CONTRATADO AÑO 2031</t>
  </si>
  <si>
    <t>ANEXO No 5 - PRODUCTO No. 5 CURVA</t>
  </si>
  <si>
    <t xml:space="preserve">ANEXO No 6 - PRODUCTO No. 6 CURVA </t>
  </si>
  <si>
    <t>CANTIDADES OFERTADAS PRODUCTO 7 AÑO 2032 MODALIDAD PAGUE LO CONTRATADO - kWh</t>
  </si>
  <si>
    <t>ANEXO No 7 - PRODUCTO No. 7 CURVA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</si>
  <si>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12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</si>
  <si>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13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</si>
  <si>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Prod6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</si>
  <si>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Prod7</t>
    </r>
    <r>
      <rPr>
        <sz val="9"/>
        <color theme="1"/>
        <rFont val="Calibri"/>
        <family val="2"/>
        <scheme val="minor"/>
      </rPr>
      <t>"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</si>
  <si>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11</t>
    </r>
    <r>
      <rPr>
        <sz val="9"/>
        <color theme="1"/>
        <rFont val="Calibri"/>
        <family val="2"/>
        <scheme val="minor"/>
      </rPr>
      <t>".</t>
    </r>
  </si>
  <si>
    <t>* Para este producto solo se reciben ofertas siguiendo la curva.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</si>
  <si>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14</t>
    </r>
    <r>
      <rPr>
        <sz val="9"/>
        <color theme="1"/>
        <rFont val="Calibri"/>
        <family val="2"/>
        <scheme val="minor"/>
      </rPr>
      <t>".</t>
    </r>
  </si>
  <si>
    <t>PRECIO OFERTADO EN $ / kWh DE ABRIL DE 2025</t>
  </si>
  <si>
    <t>CURVAS REQUERIDAS PRODUCTO 8 AÑO 2033 MODALIDAD PAGUE LO CONTRATADO - kWh</t>
  </si>
  <si>
    <t>CURVAS REQUERIDAS PRODUCTO 9 AÑO 2034 MODALIDAD PAGUE LO CONTRATADO - kWh</t>
  </si>
  <si>
    <t>CURVAS REQUERIDAS PRODUCTO 10 AÑO 2035 MODALIDAD PAGUE LO CONTRATADO - kWh</t>
  </si>
  <si>
    <t>ANEXO No 8 - PRODUCTO No. 8 CURVA</t>
  </si>
  <si>
    <t>PAGUE LO CONTRATADO AÑO 2033</t>
  </si>
  <si>
    <t>ANEXO No 9 - PRODUCTO No. 9 CURVA</t>
  </si>
  <si>
    <t>PAGUE LO CONTRATADO AÑO 2034</t>
  </si>
  <si>
    <t>CANTIDADES OFERTADAS PRODUCTO 8 AÑO 2033 MODALIDAD PAGUE LO CONTRATADO - kWh</t>
  </si>
  <si>
    <t>CANTIDADES OFERTADAS PRODUCTO 9 AÑO 2034 MODALIDAD PAGUE LO CONTRATADO - kWh</t>
  </si>
  <si>
    <t>ANEXO No 10 - PRODUCTO No. 10 CURVA</t>
  </si>
  <si>
    <t>PAGUE LO CONTRATADO AÑO 2035</t>
  </si>
  <si>
    <t>CANTIDADES OFERTADAS PRODUCTO 10 AÑO 2035 MODALIDAD PAGUE LO CONTRATADO - kWh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</si>
  <si>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15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</si>
  <si>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16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</si>
  <si>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17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</si>
  <si>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18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</si>
  <si>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Prod8</t>
    </r>
    <r>
      <rPr>
        <sz val="9"/>
        <color theme="1"/>
        <rFont val="Calibri"/>
        <family val="2"/>
        <scheme val="minor"/>
      </rPr>
      <t>"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</si>
  <si>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19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</si>
  <si>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Prod9</t>
    </r>
    <r>
      <rPr>
        <sz val="9"/>
        <color theme="1"/>
        <rFont val="Calibri"/>
        <family val="2"/>
        <scheme val="minor"/>
      </rPr>
      <t>"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</si>
  <si>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20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</si>
  <si>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Prod10</t>
    </r>
    <r>
      <rPr>
        <sz val="9"/>
        <color theme="1"/>
        <rFont val="Calibri"/>
        <family val="2"/>
        <scheme val="minor"/>
      </rPr>
      <t>"</t>
    </r>
  </si>
  <si>
    <t>ANEXO No  1A - PRODUCTO No. 1 - OFERTA PLANA</t>
  </si>
  <si>
    <t>* Se debe oferta un valor de kWh el cual se aplica para todas las horas del año, con un tope horario de 500 kWh</t>
  </si>
  <si>
    <t>* Para ofertas planas se debe diligenciar el anexo 1A, con un tope horario de 500 kWh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</si>
  <si>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 5</t>
    </r>
    <r>
      <rPr>
        <sz val="9"/>
        <color theme="1"/>
        <rFont val="Calibri"/>
        <family val="2"/>
        <scheme val="minor"/>
      </rPr>
      <t>"</t>
    </r>
  </si>
  <si>
    <t>* Para ofertas planas se debe diligenciar el anexo 6A, con un tope horario de 500 kWh</t>
  </si>
  <si>
    <t>ANEXO No  6A - PRODUCTO No. 6 - OFERTA PLANA</t>
  </si>
  <si>
    <t>* Para ofertas planas se debe diligenciar el anexo 7A, con un tope horario de 500 kWh</t>
  </si>
  <si>
    <t>ANEXO No  7A - PRODUCTO No. 7 - OFERTA PLANA</t>
  </si>
  <si>
    <t>ANEXO No  8A - PRODUCTO No. 8 - OFERTA PLANA</t>
  </si>
  <si>
    <t>* Para ofertas planas se debe diligenciar el anexo 8A, con un tope horario de 500 kWh</t>
  </si>
  <si>
    <t>* Para ofertas planas se debe diligenciar el anexo 9A, con un tope horario de 500 kWh</t>
  </si>
  <si>
    <t>* Para ofertas planas se debe diligenciar el anexo 10A, con un tope horario de 500 kWh</t>
  </si>
  <si>
    <t>ANEXO No  10A - PRODUCTO No. 10 - OFERTA PLANA</t>
  </si>
  <si>
    <t>ANEXO No  9A - PRODUCTO No. 9 - OFERTA PLANA</t>
  </si>
  <si>
    <t>* Se debe oferta un valor de kWh el cual se aplica para todas las horas del año, con un tope horario de 1.500 kWh</t>
  </si>
  <si>
    <t>* Para ofertas planas se debe diligenciar el anexo 5A, con un tope horario de 1.500 kWh</t>
  </si>
  <si>
    <t>* Para ofertas planas se debe diligenciar el anexo 4A, con un tope horario de 500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</si>
</sst>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_ ;_ * \-#,##0_ ;_ * &quot;-&quot;??_ ;_ @_ "/>
    <numFmt numFmtId="165" formatCode="_ * #,##0.00_ ;_ * \-#,##0.00_ ;_ * &quot;-&quot;??_ ;_ @_ 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Times New Roman"/>
      <family val="1"/>
    </font>
    <font>
      <b/>
      <sz val="10"/>
      <name val="Segoe UI Light"/>
      <family val="2"/>
    </font>
    <font>
      <sz val="10"/>
      <name val="Segoe UI Light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Segoe UI Light"/>
      <family val="2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E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BFBFBF"/>
      </bottom>
      <diagonal/>
    </border>
    <border>
      <left/>
      <right/>
      <top style="thin">
        <color indexed="64"/>
      </top>
      <bottom style="medium">
        <color rgb="FFBFBFBF"/>
      </bottom>
      <diagonal/>
    </border>
    <border>
      <left/>
      <right style="medium">
        <color rgb="FFBFBFBF"/>
      </right>
      <top style="thin">
        <color indexed="64"/>
      </top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 style="medium">
        <color rgb="FFBFBFBF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17" fontId="9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3" fillId="0" borderId="0" xfId="0" applyFont="1"/>
    <xf numFmtId="0" fontId="9" fillId="0" borderId="0" xfId="0" applyFont="1"/>
    <xf numFmtId="0" fontId="12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" fontId="12" fillId="0" borderId="14" xfId="0" applyNumberFormat="1" applyFont="1" applyBorder="1" applyAlignment="1">
      <alignment horizontal="center" vertical="center"/>
    </xf>
    <xf numFmtId="164" fontId="13" fillId="0" borderId="14" xfId="0" applyNumberFormat="1" applyFont="1" applyBorder="1" applyAlignment="1">
      <alignment vertical="center"/>
    </xf>
    <xf numFmtId="17" fontId="12" fillId="0" borderId="3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vertical="center"/>
    </xf>
    <xf numFmtId="17" fontId="12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10" fillId="0" borderId="0" xfId="2" applyNumberFormat="1" applyFont="1" applyBorder="1" applyAlignment="1">
      <alignment vertical="center"/>
    </xf>
    <xf numFmtId="166" fontId="12" fillId="0" borderId="4" xfId="2" applyNumberFormat="1" applyFont="1" applyBorder="1" applyAlignment="1">
      <alignment horizontal="center" vertical="center"/>
    </xf>
    <xf numFmtId="166" fontId="9" fillId="0" borderId="0" xfId="2" applyNumberFormat="1" applyFont="1" applyFill="1" applyBorder="1" applyAlignment="1">
      <alignment vertical="center"/>
    </xf>
    <xf numFmtId="166" fontId="13" fillId="0" borderId="16" xfId="2" applyNumberFormat="1" applyFont="1" applyBorder="1" applyAlignment="1">
      <alignment horizontal="center" vertical="center"/>
    </xf>
    <xf numFmtId="166" fontId="13" fillId="0" borderId="15" xfId="2" applyNumberFormat="1" applyFont="1" applyBorder="1" applyAlignment="1">
      <alignment horizontal="center" vertical="center"/>
    </xf>
    <xf numFmtId="166" fontId="13" fillId="0" borderId="14" xfId="2" applyNumberFormat="1" applyFont="1" applyBorder="1" applyAlignment="1">
      <alignment horizontal="center" vertical="center"/>
    </xf>
    <xf numFmtId="166" fontId="13" fillId="0" borderId="12" xfId="2" applyNumberFormat="1" applyFont="1" applyBorder="1" applyAlignment="1">
      <alignment horizontal="center" vertical="center"/>
    </xf>
    <xf numFmtId="166" fontId="13" fillId="0" borderId="11" xfId="2" applyNumberFormat="1" applyFont="1" applyBorder="1" applyAlignment="1">
      <alignment horizontal="center" vertical="center"/>
    </xf>
    <xf numFmtId="166" fontId="13" fillId="0" borderId="3" xfId="2" applyNumberFormat="1" applyFont="1" applyBorder="1" applyAlignment="1">
      <alignment horizontal="center" vertical="center"/>
    </xf>
    <xf numFmtId="166" fontId="13" fillId="0" borderId="8" xfId="2" applyNumberFormat="1" applyFont="1" applyBorder="1" applyAlignment="1">
      <alignment horizontal="center" vertical="center"/>
    </xf>
    <xf numFmtId="166" fontId="13" fillId="0" borderId="7" xfId="2" applyNumberFormat="1" applyFont="1" applyBorder="1" applyAlignment="1">
      <alignment horizontal="center" vertical="center"/>
    </xf>
    <xf numFmtId="166" fontId="13" fillId="0" borderId="4" xfId="2" applyNumberFormat="1" applyFont="1" applyBorder="1" applyAlignment="1">
      <alignment horizontal="center" vertical="center"/>
    </xf>
    <xf numFmtId="43" fontId="0" fillId="0" borderId="0" xfId="2" applyFont="1"/>
    <xf numFmtId="3" fontId="9" fillId="0" borderId="3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166" fontId="0" fillId="0" borderId="0" xfId="2" applyNumberFormat="1" applyFont="1"/>
    <xf numFmtId="3" fontId="12" fillId="0" borderId="6" xfId="2" applyNumberFormat="1" applyFont="1" applyBorder="1" applyAlignment="1">
      <alignment horizontal="center" vertical="center"/>
    </xf>
    <xf numFmtId="166" fontId="13" fillId="0" borderId="0" xfId="2" applyNumberFormat="1" applyFont="1" applyFill="1" applyBorder="1" applyAlignment="1">
      <alignment horizontal="center" vertical="center"/>
    </xf>
    <xf numFmtId="3" fontId="0" fillId="0" borderId="0" xfId="0" applyNumberFormat="1"/>
    <xf numFmtId="166" fontId="0" fillId="0" borderId="0" xfId="0" applyNumberFormat="1"/>
    <xf numFmtId="166" fontId="10" fillId="0" borderId="0" xfId="2" applyNumberFormat="1" applyFont="1" applyFill="1" applyBorder="1" applyAlignment="1">
      <alignment vertical="center"/>
    </xf>
    <xf numFmtId="10" fontId="0" fillId="0" borderId="0" xfId="1" applyNumberFormat="1" applyFont="1"/>
    <xf numFmtId="0" fontId="7" fillId="0" borderId="0" xfId="0" applyFont="1" applyAlignment="1">
      <alignment horizontal="left" wrapText="1"/>
    </xf>
    <xf numFmtId="166" fontId="15" fillId="0" borderId="0" xfId="0" applyNumberFormat="1" applyFont="1"/>
    <xf numFmtId="0" fontId="7" fillId="0" borderId="0" xfId="0" applyFont="1" applyAlignment="1">
      <alignment wrapText="1"/>
    </xf>
    <xf numFmtId="43" fontId="10" fillId="0" borderId="1" xfId="2" applyFont="1" applyBorder="1" applyAlignment="1">
      <alignment vertical="center"/>
    </xf>
    <xf numFmtId="166" fontId="10" fillId="0" borderId="1" xfId="2" applyNumberFormat="1" applyFont="1" applyBorder="1" applyAlignment="1">
      <alignment horizontal="center" vertical="center"/>
    </xf>
    <xf numFmtId="166" fontId="9" fillId="0" borderId="3" xfId="2" applyNumberFormat="1" applyFont="1" applyBorder="1" applyAlignment="1">
      <alignment horizontal="center" vertical="center"/>
    </xf>
    <xf numFmtId="166" fontId="9" fillId="0" borderId="2" xfId="2" applyNumberFormat="1" applyFont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10" fillId="0" borderId="1" xfId="2" applyNumberFormat="1" applyFont="1" applyBorder="1" applyAlignment="1">
      <alignment vertical="center"/>
    </xf>
    <xf numFmtId="0" fontId="18" fillId="0" borderId="0" xfId="0" applyFont="1"/>
    <xf numFmtId="0" fontId="19" fillId="0" borderId="0" xfId="0" applyFont="1"/>
    <xf numFmtId="166" fontId="10" fillId="0" borderId="0" xfId="2" applyNumberFormat="1" applyFont="1" applyAlignment="1">
      <alignment horizontal="center" vertical="center"/>
    </xf>
    <xf numFmtId="166" fontId="0" fillId="0" borderId="0" xfId="1" applyNumberFormat="1" applyFont="1"/>
    <xf numFmtId="166" fontId="10" fillId="0" borderId="0" xfId="0" applyNumberFormat="1" applyFont="1" applyAlignment="1">
      <alignment vertical="center"/>
    </xf>
    <xf numFmtId="10" fontId="10" fillId="0" borderId="0" xfId="1" applyNumberFormat="1" applyFont="1" applyAlignment="1">
      <alignment vertical="center"/>
    </xf>
    <xf numFmtId="0" fontId="7" fillId="0" borderId="0" xfId="0" applyFont="1" applyAlignment="1">
      <alignment horizontal="left" wrapText="1"/>
    </xf>
    <xf numFmtId="0" fontId="9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0" fontId="9" fillId="2" borderId="5" xfId="1" applyNumberFormat="1" applyFont="1" applyFill="1" applyBorder="1" applyAlignment="1">
      <alignment horizontal="center" vertical="center"/>
    </xf>
    <xf numFmtId="10" fontId="9" fillId="2" borderId="2" xfId="1" applyNumberFormat="1" applyFont="1" applyFill="1" applyBorder="1" applyAlignment="1">
      <alignment horizontal="center" vertical="center"/>
    </xf>
    <xf numFmtId="10" fontId="9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6" fontId="9" fillId="2" borderId="5" xfId="2" applyNumberFormat="1" applyFont="1" applyFill="1" applyBorder="1" applyAlignment="1">
      <alignment horizontal="center" vertical="center"/>
    </xf>
    <xf numFmtId="166" fontId="9" fillId="2" borderId="2" xfId="2" applyNumberFormat="1" applyFont="1" applyFill="1" applyBorder="1" applyAlignment="1">
      <alignment horizontal="center" vertical="center"/>
    </xf>
    <xf numFmtId="166" fontId="9" fillId="2" borderId="4" xfId="2" applyNumberFormat="1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7" fontId="14" fillId="0" borderId="1" xfId="0" applyNumberFormat="1" applyFont="1" applyBorder="1" applyAlignment="1">
      <alignment horizontal="center" vertical="center"/>
    </xf>
    <xf numFmtId="3" fontId="13" fillId="0" borderId="13" xfId="2" applyNumberFormat="1" applyFont="1" applyBorder="1" applyAlignment="1">
      <alignment horizontal="center" vertical="center"/>
    </xf>
    <xf numFmtId="3" fontId="13" fillId="0" borderId="10" xfId="2" applyNumberFormat="1" applyFont="1" applyBorder="1" applyAlignment="1">
      <alignment horizontal="center" vertical="center"/>
    </xf>
    <xf numFmtId="3" fontId="13" fillId="0" borderId="6" xfId="2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3" fontId="9" fillId="2" borderId="5" xfId="2" applyFont="1" applyFill="1" applyBorder="1" applyAlignment="1">
      <alignment horizontal="center" vertical="center"/>
    </xf>
    <xf numFmtId="43" fontId="9" fillId="2" borderId="2" xfId="2" applyFont="1" applyFill="1" applyBorder="1" applyAlignment="1">
      <alignment horizontal="center" vertical="center"/>
    </xf>
    <xf numFmtId="43" fontId="9" fillId="2" borderId="4" xfId="2" applyFont="1" applyFill="1" applyBorder="1" applyAlignment="1">
      <alignment horizontal="center" vertical="center"/>
    </xf>
  </cellXfs>
  <cellStyles count="5">
    <cellStyle name="Millares" xfId="2" builtinId="3"/>
    <cellStyle name="Millares 2" xfId="3" xr:uid="{49CB2514-9935-4DA5-AB0D-8763E7E254B0}"/>
    <cellStyle name="Millares 2 4" xfId="4" xr:uid="{82E7BE6C-3E21-4944-8A70-73D5C9EF3D48}"/>
    <cellStyle name="Normal" xfId="0" builtinId="0"/>
    <cellStyle name="Porcentaje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8028-0607-472D-862D-16CC23D9CF49}">
  <sheetPr>
    <tabColor rgb="FFFF0000"/>
  </sheetPr>
  <dimension ref="A1:H37"/>
  <sheetViews>
    <sheetView showGridLines="0" topLeftCell="A12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5.85546875" customWidth="1"/>
    <col min="6" max="6" width="13.85546875" customWidth="1"/>
    <col min="7" max="7" width="19.7109375" customWidth="1"/>
    <col min="8" max="8" width="0" hidden="1" customWidth="1"/>
    <col min="9" max="16384" width="11.42578125" hidden="1"/>
  </cols>
  <sheetData>
    <row r="1" spans="2:7" x14ac:dyDescent="0.25"/>
    <row r="2" spans="2:7" x14ac:dyDescent="0.25"/>
    <row r="3" spans="2:7" x14ac:dyDescent="0.25">
      <c r="B3" s="76" t="s">
        <v>45</v>
      </c>
      <c r="C3" s="76"/>
      <c r="D3" s="76"/>
      <c r="E3" s="76"/>
      <c r="F3" s="76"/>
      <c r="G3" s="29"/>
    </row>
    <row r="4" spans="2:7" x14ac:dyDescent="0.25">
      <c r="B4" s="76" t="s">
        <v>38</v>
      </c>
      <c r="C4" s="76"/>
      <c r="D4" s="76"/>
      <c r="E4" s="76"/>
      <c r="F4" s="76"/>
      <c r="G4" s="29"/>
    </row>
    <row r="5" spans="2:7" x14ac:dyDescent="0.25">
      <c r="B5" s="76" t="s">
        <v>90</v>
      </c>
      <c r="C5" s="76"/>
      <c r="D5" s="76"/>
      <c r="E5" s="76"/>
      <c r="F5" s="76"/>
      <c r="G5" s="29"/>
    </row>
    <row r="6" spans="2:7" x14ac:dyDescent="0.25">
      <c r="B6" s="5"/>
      <c r="C6" s="5"/>
      <c r="D6" s="5"/>
      <c r="E6" s="5"/>
      <c r="F6" s="5"/>
      <c r="G6" s="5"/>
    </row>
    <row r="7" spans="2:7" x14ac:dyDescent="0.25"/>
    <row r="8" spans="2:7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2:7" ht="23.25" customHeight="1" x14ac:dyDescent="0.25">
      <c r="B9" s="78"/>
      <c r="C9" s="78"/>
      <c r="D9" s="78"/>
      <c r="E9" s="78"/>
      <c r="F9" s="78"/>
      <c r="G9" s="28"/>
    </row>
    <row r="10" spans="2:7" ht="15.75" thickBot="1" x14ac:dyDescent="0.3">
      <c r="B10" s="8">
        <v>46023</v>
      </c>
      <c r="C10" s="43">
        <f>+'Anexo 11'!AC6</f>
        <v>3391082</v>
      </c>
      <c r="D10" s="73"/>
      <c r="E10" s="57">
        <f>+'Cantidades Ofertadas Prod 1'!AC6</f>
        <v>0</v>
      </c>
      <c r="F10" s="70"/>
      <c r="G10" s="32"/>
    </row>
    <row r="11" spans="2:7" ht="15.75" thickBot="1" x14ac:dyDescent="0.3">
      <c r="B11" s="8">
        <v>46054</v>
      </c>
      <c r="C11" s="43">
        <f>+'Anexo 11'!AC9</f>
        <v>2821556</v>
      </c>
      <c r="D11" s="74"/>
      <c r="E11" s="57">
        <f>+'Cantidades Ofertadas Prod 1'!AC9</f>
        <v>0</v>
      </c>
      <c r="F11" s="71"/>
      <c r="G11" s="32"/>
    </row>
    <row r="12" spans="2:7" ht="15.75" thickBot="1" x14ac:dyDescent="0.3">
      <c r="B12" s="8">
        <v>46082</v>
      </c>
      <c r="C12" s="43">
        <f>+'Anexo 11'!AC12</f>
        <v>3106413</v>
      </c>
      <c r="D12" s="74"/>
      <c r="E12" s="57">
        <f>+'Cantidades Ofertadas Prod 1'!AC12</f>
        <v>0</v>
      </c>
      <c r="F12" s="71"/>
      <c r="G12" s="32"/>
    </row>
    <row r="13" spans="2:7" ht="15.75" thickBot="1" x14ac:dyDescent="0.3">
      <c r="B13" s="8">
        <v>46113</v>
      </c>
      <c r="C13" s="43">
        <f>+'Anexo 11'!AC15</f>
        <v>2813914</v>
      </c>
      <c r="D13" s="74"/>
      <c r="E13" s="57">
        <f>+'Cantidades Ofertadas Prod 1'!AC15</f>
        <v>0</v>
      </c>
      <c r="F13" s="71"/>
      <c r="G13" s="32"/>
    </row>
    <row r="14" spans="2:7" ht="15.75" thickBot="1" x14ac:dyDescent="0.3">
      <c r="B14" s="8">
        <v>46143</v>
      </c>
      <c r="C14" s="43">
        <f>+'Anexo 11'!AC18</f>
        <v>2929799</v>
      </c>
      <c r="D14" s="74"/>
      <c r="E14" s="57">
        <f>+'Cantidades Ofertadas Prod 1'!AC18</f>
        <v>0</v>
      </c>
      <c r="F14" s="71"/>
      <c r="G14" s="32"/>
    </row>
    <row r="15" spans="2:7" ht="15.75" thickBot="1" x14ac:dyDescent="0.3">
      <c r="B15" s="8">
        <v>46174</v>
      </c>
      <c r="C15" s="43">
        <f>+'Anexo 11'!AC21</f>
        <v>3370208</v>
      </c>
      <c r="D15" s="74"/>
      <c r="E15" s="57">
        <f>+'Cantidades Ofertadas Prod 1'!AC21</f>
        <v>0</v>
      </c>
      <c r="F15" s="71"/>
      <c r="G15" s="32"/>
    </row>
    <row r="16" spans="2:7" ht="15.75" thickBot="1" x14ac:dyDescent="0.3">
      <c r="B16" s="8">
        <v>46204</v>
      </c>
      <c r="C16" s="43">
        <f>+'Anexo 11'!AC24</f>
        <v>3239178</v>
      </c>
      <c r="D16" s="74"/>
      <c r="E16" s="57">
        <f>+'Cantidades Ofertadas Prod 1'!AC24</f>
        <v>0</v>
      </c>
      <c r="F16" s="71"/>
      <c r="G16" s="32"/>
    </row>
    <row r="17" spans="2:7" ht="15.75" thickBot="1" x14ac:dyDescent="0.3">
      <c r="B17" s="8">
        <v>46235</v>
      </c>
      <c r="C17" s="43">
        <f>+'Anexo 11'!AC27</f>
        <v>3279184</v>
      </c>
      <c r="D17" s="74"/>
      <c r="E17" s="57">
        <f>+'Cantidades Ofertadas Prod 1'!AC27</f>
        <v>0</v>
      </c>
      <c r="F17" s="71"/>
      <c r="G17" s="32"/>
    </row>
    <row r="18" spans="2:7" ht="15.75" thickBot="1" x14ac:dyDescent="0.3">
      <c r="B18" s="8">
        <v>46266</v>
      </c>
      <c r="C18" s="43">
        <f>+'Anexo 11'!AC30</f>
        <v>3385268</v>
      </c>
      <c r="D18" s="74"/>
      <c r="E18" s="57">
        <f>+'Cantidades Ofertadas Prod 1'!AC30</f>
        <v>0</v>
      </c>
      <c r="F18" s="71"/>
      <c r="G18" s="32"/>
    </row>
    <row r="19" spans="2:7" ht="15.75" thickBot="1" x14ac:dyDescent="0.3">
      <c r="B19" s="8">
        <v>46296</v>
      </c>
      <c r="C19" s="43">
        <f>+'Anexo 11'!AC33</f>
        <v>3124074</v>
      </c>
      <c r="D19" s="74"/>
      <c r="E19" s="57">
        <f>+'Cantidades Ofertadas Prod 1'!AC33</f>
        <v>0</v>
      </c>
      <c r="F19" s="71"/>
      <c r="G19" s="32"/>
    </row>
    <row r="20" spans="2:7" ht="15.75" thickBot="1" x14ac:dyDescent="0.3">
      <c r="B20" s="8">
        <v>46327</v>
      </c>
      <c r="C20" s="43">
        <f>+'Anexo 11'!AC36</f>
        <v>2579989</v>
      </c>
      <c r="D20" s="74"/>
      <c r="E20" s="57">
        <f>+'Cantidades Ofertadas Prod 1'!AC36</f>
        <v>0</v>
      </c>
      <c r="F20" s="71"/>
      <c r="G20" s="32"/>
    </row>
    <row r="21" spans="2:7" ht="15.75" thickBot="1" x14ac:dyDescent="0.3">
      <c r="B21" s="8">
        <v>46357</v>
      </c>
      <c r="C21" s="44">
        <f>+'Anexo 11'!AC39</f>
        <v>3523726</v>
      </c>
      <c r="D21" s="75"/>
      <c r="E21" s="58">
        <f>+'Cantidades Ofertadas Prod 1'!AC39</f>
        <v>0</v>
      </c>
      <c r="F21" s="72"/>
      <c r="G21" s="32"/>
    </row>
    <row r="22" spans="2:7" ht="28.5" customHeight="1" x14ac:dyDescent="0.25">
      <c r="B22" s="9" t="s">
        <v>0</v>
      </c>
      <c r="C22" s="10">
        <f>+SUM(C10:C21)</f>
        <v>37564391</v>
      </c>
      <c r="D22" s="62"/>
      <c r="E22" s="56">
        <f>SUM(E10:E21)</f>
        <v>0</v>
      </c>
      <c r="F22" s="55">
        <f>+F10</f>
        <v>0</v>
      </c>
      <c r="G22" s="50"/>
    </row>
    <row r="23" spans="2:7" x14ac:dyDescent="0.25">
      <c r="B23" s="7" t="s">
        <v>58</v>
      </c>
      <c r="C23" s="25"/>
      <c r="D23" s="30"/>
      <c r="E23" s="25"/>
      <c r="F23" s="26"/>
      <c r="G23" s="67"/>
    </row>
    <row r="24" spans="2:7" x14ac:dyDescent="0.25">
      <c r="B24" s="69" t="s">
        <v>46</v>
      </c>
      <c r="C24" s="69"/>
      <c r="D24" s="69"/>
      <c r="E24" s="69"/>
      <c r="F24" s="69"/>
      <c r="G24" s="69"/>
    </row>
    <row r="25" spans="2:7" x14ac:dyDescent="0.25">
      <c r="B25" s="7" t="s">
        <v>87</v>
      </c>
      <c r="C25" s="52"/>
      <c r="D25" s="52"/>
      <c r="E25" s="52"/>
      <c r="F25" s="52"/>
      <c r="G25" s="52"/>
    </row>
    <row r="26" spans="2:7" x14ac:dyDescent="0.25">
      <c r="B26" s="7" t="s">
        <v>59</v>
      </c>
      <c r="C26" s="52"/>
      <c r="D26" s="52"/>
      <c r="E26" s="52"/>
      <c r="F26" s="52"/>
      <c r="G26" s="52"/>
    </row>
    <row r="27" spans="2:7" x14ac:dyDescent="0.25">
      <c r="B27" s="7" t="s">
        <v>43</v>
      </c>
    </row>
    <row r="28" spans="2:7" x14ac:dyDescent="0.25">
      <c r="B28" s="7" t="s">
        <v>114</v>
      </c>
    </row>
    <row r="29" spans="2:7" x14ac:dyDescent="0.25">
      <c r="C29" s="45"/>
    </row>
    <row r="30" spans="2:7" x14ac:dyDescent="0.25"/>
    <row r="31" spans="2:7" x14ac:dyDescent="0.25">
      <c r="B31" s="60" t="s">
        <v>53</v>
      </c>
      <c r="C31" s="60"/>
      <c r="D31" s="60"/>
      <c r="E31" s="60"/>
    </row>
    <row r="32" spans="2:7" x14ac:dyDescent="0.25">
      <c r="B32" s="61" t="s">
        <v>54</v>
      </c>
      <c r="C32" s="61"/>
      <c r="D32" s="61"/>
      <c r="E32" s="61"/>
    </row>
    <row r="33" spans="2:2" x14ac:dyDescent="0.25">
      <c r="B33" s="61" t="s">
        <v>55</v>
      </c>
    </row>
    <row r="34" spans="2:2" x14ac:dyDescent="0.25"/>
    <row r="35" spans="2:2" x14ac:dyDescent="0.25"/>
    <row r="36" spans="2:2" x14ac:dyDescent="0.25"/>
    <row r="37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18383341-0F85-45AA-A7BD-3F02125829C3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D120-84DB-4BBF-BD4D-59DEB68C1426}">
  <sheetPr>
    <tabColor rgb="FFFFFF00"/>
  </sheetPr>
  <dimension ref="A1:H33"/>
  <sheetViews>
    <sheetView showGridLines="0" topLeftCell="A15" zoomScaleNormal="100" zoomScaleSheetLayoutView="140" workbookViewId="0">
      <selection activeCell="D10" sqref="D10:D21"/>
    </sheetView>
  </sheetViews>
  <sheetFormatPr baseColWidth="10" defaultColWidth="0" defaultRowHeight="15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6" t="s">
        <v>112</v>
      </c>
      <c r="C3" s="76"/>
      <c r="D3" s="76"/>
      <c r="E3" s="76"/>
      <c r="F3" s="76"/>
      <c r="G3" s="29"/>
    </row>
    <row r="4" spans="1:8" x14ac:dyDescent="0.25">
      <c r="B4" s="76" t="s">
        <v>38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56</v>
      </c>
      <c r="D8" s="77" t="s">
        <v>66</v>
      </c>
      <c r="E8" s="77" t="s">
        <v>37</v>
      </c>
      <c r="F8" s="77" t="s">
        <v>42</v>
      </c>
      <c r="G8" s="28"/>
    </row>
    <row r="9" spans="1:8" ht="23.25" customHeight="1" x14ac:dyDescent="0.25">
      <c r="A9" s="63">
        <v>500</v>
      </c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46023</v>
      </c>
      <c r="C10" s="43">
        <f>+$A$9*A10*24</f>
        <v>372000</v>
      </c>
      <c r="D10" s="79"/>
      <c r="E10" s="57">
        <f>+$D$10*A10*24</f>
        <v>0</v>
      </c>
      <c r="F10" s="70"/>
      <c r="G10" s="32"/>
      <c r="H10" s="51"/>
    </row>
    <row r="11" spans="1:8" ht="15.75" thickBot="1" x14ac:dyDescent="0.3">
      <c r="A11" s="59">
        <v>28</v>
      </c>
      <c r="B11" s="8">
        <v>46054</v>
      </c>
      <c r="C11" s="43">
        <f t="shared" ref="C11:C21" si="0">+$A$9*A11*24</f>
        <v>336000</v>
      </c>
      <c r="D11" s="80"/>
      <c r="E11" s="57">
        <f t="shared" ref="E11:E21" si="1">+$D$10*A11*24</f>
        <v>0</v>
      </c>
      <c r="F11" s="71"/>
      <c r="G11" s="32"/>
      <c r="H11" s="51"/>
    </row>
    <row r="12" spans="1:8" ht="15.75" thickBot="1" x14ac:dyDescent="0.3">
      <c r="A12" s="59">
        <v>31</v>
      </c>
      <c r="B12" s="8">
        <v>46082</v>
      </c>
      <c r="C12" s="43">
        <f t="shared" si="0"/>
        <v>372000</v>
      </c>
      <c r="D12" s="80"/>
      <c r="E12" s="57">
        <f t="shared" si="1"/>
        <v>0</v>
      </c>
      <c r="F12" s="71"/>
      <c r="G12" s="32"/>
      <c r="H12" s="51"/>
    </row>
    <row r="13" spans="1:8" ht="15.75" thickBot="1" x14ac:dyDescent="0.3">
      <c r="A13" s="59">
        <v>30</v>
      </c>
      <c r="B13" s="8">
        <v>46113</v>
      </c>
      <c r="C13" s="43">
        <f t="shared" si="0"/>
        <v>360000</v>
      </c>
      <c r="D13" s="80"/>
      <c r="E13" s="57">
        <f t="shared" si="1"/>
        <v>0</v>
      </c>
      <c r="F13" s="71"/>
      <c r="G13" s="32"/>
      <c r="H13" s="51"/>
    </row>
    <row r="14" spans="1:8" ht="15.75" thickBot="1" x14ac:dyDescent="0.3">
      <c r="A14" s="59">
        <v>31</v>
      </c>
      <c r="B14" s="8">
        <v>46143</v>
      </c>
      <c r="C14" s="43">
        <f t="shared" si="0"/>
        <v>372000</v>
      </c>
      <c r="D14" s="80"/>
      <c r="E14" s="57">
        <f t="shared" si="1"/>
        <v>0</v>
      </c>
      <c r="F14" s="71"/>
      <c r="G14" s="32"/>
      <c r="H14" s="51"/>
    </row>
    <row r="15" spans="1:8" ht="15.75" thickBot="1" x14ac:dyDescent="0.3">
      <c r="A15" s="59">
        <v>30</v>
      </c>
      <c r="B15" s="8">
        <v>46174</v>
      </c>
      <c r="C15" s="43">
        <f t="shared" si="0"/>
        <v>360000</v>
      </c>
      <c r="D15" s="80"/>
      <c r="E15" s="57">
        <f t="shared" si="1"/>
        <v>0</v>
      </c>
      <c r="F15" s="71"/>
      <c r="G15" s="32"/>
      <c r="H15" s="51"/>
    </row>
    <row r="16" spans="1:8" ht="15.75" thickBot="1" x14ac:dyDescent="0.3">
      <c r="A16" s="59">
        <v>31</v>
      </c>
      <c r="B16" s="8">
        <v>46204</v>
      </c>
      <c r="C16" s="43">
        <f t="shared" si="0"/>
        <v>372000</v>
      </c>
      <c r="D16" s="80"/>
      <c r="E16" s="57">
        <f t="shared" si="1"/>
        <v>0</v>
      </c>
      <c r="F16" s="71"/>
      <c r="G16" s="32"/>
      <c r="H16" s="51"/>
    </row>
    <row r="17" spans="1:8" ht="15.75" thickBot="1" x14ac:dyDescent="0.3">
      <c r="A17" s="59">
        <v>31</v>
      </c>
      <c r="B17" s="8">
        <v>46235</v>
      </c>
      <c r="C17" s="43">
        <f t="shared" si="0"/>
        <v>372000</v>
      </c>
      <c r="D17" s="80"/>
      <c r="E17" s="57">
        <f t="shared" si="1"/>
        <v>0</v>
      </c>
      <c r="F17" s="71"/>
      <c r="G17" s="32"/>
      <c r="H17" s="51"/>
    </row>
    <row r="18" spans="1:8" ht="15.75" thickBot="1" x14ac:dyDescent="0.3">
      <c r="A18" s="59">
        <v>30</v>
      </c>
      <c r="B18" s="8">
        <v>46266</v>
      </c>
      <c r="C18" s="43">
        <f t="shared" si="0"/>
        <v>360000</v>
      </c>
      <c r="D18" s="80"/>
      <c r="E18" s="57">
        <f t="shared" si="1"/>
        <v>0</v>
      </c>
      <c r="F18" s="71"/>
      <c r="G18" s="32"/>
      <c r="H18" s="51"/>
    </row>
    <row r="19" spans="1:8" ht="15.75" thickBot="1" x14ac:dyDescent="0.3">
      <c r="A19" s="59">
        <v>31</v>
      </c>
      <c r="B19" s="8">
        <v>46296</v>
      </c>
      <c r="C19" s="43">
        <f t="shared" si="0"/>
        <v>372000</v>
      </c>
      <c r="D19" s="80"/>
      <c r="E19" s="57">
        <f t="shared" si="1"/>
        <v>0</v>
      </c>
      <c r="F19" s="71"/>
      <c r="G19" s="32"/>
      <c r="H19" s="51"/>
    </row>
    <row r="20" spans="1:8" ht="15.75" thickBot="1" x14ac:dyDescent="0.3">
      <c r="A20" s="59">
        <v>30</v>
      </c>
      <c r="B20" s="8">
        <v>46327</v>
      </c>
      <c r="C20" s="43">
        <f t="shared" si="0"/>
        <v>360000</v>
      </c>
      <c r="D20" s="80"/>
      <c r="E20" s="57">
        <f t="shared" si="1"/>
        <v>0</v>
      </c>
      <c r="F20" s="71"/>
      <c r="G20" s="32"/>
      <c r="H20" s="51"/>
    </row>
    <row r="21" spans="1:8" ht="15.75" thickBot="1" x14ac:dyDescent="0.3">
      <c r="A21" s="59">
        <v>31</v>
      </c>
      <c r="B21" s="8">
        <v>46357</v>
      </c>
      <c r="C21" s="43">
        <f t="shared" si="0"/>
        <v>372000</v>
      </c>
      <c r="D21" s="81"/>
      <c r="E21" s="57">
        <f t="shared" si="1"/>
        <v>0</v>
      </c>
      <c r="F21" s="72"/>
      <c r="G21" s="32"/>
      <c r="H21" s="51"/>
    </row>
    <row r="22" spans="1:8" ht="28.5" customHeight="1" x14ac:dyDescent="0.25">
      <c r="B22" s="9" t="s">
        <v>0</v>
      </c>
      <c r="C22" s="10">
        <f>+SUM(C10:C21)</f>
        <v>4380000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x14ac:dyDescent="0.25">
      <c r="B24" s="7" t="s">
        <v>113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69" t="s">
        <v>68</v>
      </c>
      <c r="C26" s="69"/>
      <c r="D26" s="69"/>
      <c r="E26" s="69"/>
      <c r="F26" s="69"/>
      <c r="G26" s="69"/>
      <c r="H26" s="42"/>
    </row>
    <row r="27" spans="1:8" ht="15" customHeight="1" x14ac:dyDescent="0.25">
      <c r="A27" s="1"/>
      <c r="H27" s="42"/>
    </row>
    <row r="28" spans="1:8" x14ac:dyDescent="0.25"/>
    <row r="29" spans="1:8" x14ac:dyDescent="0.25">
      <c r="B29" s="60" t="s">
        <v>53</v>
      </c>
      <c r="C29" s="60"/>
      <c r="D29" s="60"/>
      <c r="E29" s="60"/>
    </row>
    <row r="30" spans="1:8" x14ac:dyDescent="0.25">
      <c r="B30" s="61" t="s">
        <v>54</v>
      </c>
      <c r="C30" s="61"/>
      <c r="D30" s="61"/>
      <c r="E30" s="61"/>
    </row>
    <row r="31" spans="1:8" x14ac:dyDescent="0.25">
      <c r="B31" s="61" t="s">
        <v>55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500 kWh" sqref="D10:D21" xr:uid="{CD31F1C1-6F55-4942-9E19-CDB18B5EE86D}">
      <formula1>0</formula1>
      <formula2>500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3DF7-6557-4880-83A6-C35257F7B616}">
  <sheetPr>
    <tabColor rgb="FFFF0000"/>
  </sheetPr>
  <dimension ref="A1:AD46"/>
  <sheetViews>
    <sheetView showGridLines="0" zoomScale="115" zoomScaleNormal="115" zoomScaleSheetLayoutView="110" workbookViewId="0">
      <pane xSplit="2" ySplit="5" topLeftCell="C18" activePane="bottomRight" state="frozen"/>
      <selection pane="topRight" activeCell="C1" sqref="C1"/>
      <selection pane="bottomLeft" activeCell="A6" sqref="A6"/>
      <selection pane="bottomRight" activeCell="A4" sqref="A4:AC42"/>
    </sheetView>
  </sheetViews>
  <sheetFormatPr baseColWidth="10" defaultColWidth="0" defaultRowHeight="0" customHeight="1" zeroHeight="1" x14ac:dyDescent="0.25"/>
  <cols>
    <col min="1" max="1" width="6.42578125" customWidth="1"/>
    <col min="2" max="2" width="8.7109375" bestFit="1" customWidth="1"/>
    <col min="3" max="5" width="7.7109375" bestFit="1" customWidth="1"/>
    <col min="6" max="6" width="7.42578125" bestFit="1" customWidth="1"/>
    <col min="7" max="7" width="7.7109375" bestFit="1" customWidth="1"/>
    <col min="8" max="9" width="7.42578125" bestFit="1" customWidth="1"/>
    <col min="10" max="12" width="7.7109375" bestFit="1" customWidth="1"/>
    <col min="13" max="13" width="7.42578125" bestFit="1" customWidth="1"/>
    <col min="14" max="16" width="7.7109375" bestFit="1" customWidth="1"/>
    <col min="17" max="17" width="7.42578125" bestFit="1" customWidth="1"/>
    <col min="18" max="18" width="7.7109375" bestFit="1" customWidth="1"/>
    <col min="19" max="19" width="7.42578125" bestFit="1" customWidth="1"/>
    <col min="20" max="20" width="7.140625" bestFit="1" customWidth="1"/>
    <col min="21" max="22" width="7.7109375" bestFit="1" customWidth="1"/>
    <col min="23" max="23" width="7.7109375" customWidth="1"/>
    <col min="24" max="25" width="7.42578125" bestFit="1" customWidth="1"/>
    <col min="26" max="26" width="7.14062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46023</v>
      </c>
      <c r="B6" s="18" t="s">
        <v>5</v>
      </c>
      <c r="C6" s="33">
        <v>4279</v>
      </c>
      <c r="D6" s="33">
        <v>4158</v>
      </c>
      <c r="E6" s="33">
        <v>4042</v>
      </c>
      <c r="F6" s="33">
        <v>3963</v>
      </c>
      <c r="G6" s="33">
        <v>3909</v>
      </c>
      <c r="H6" s="33">
        <v>3826</v>
      </c>
      <c r="I6" s="33">
        <v>3634</v>
      </c>
      <c r="J6" s="33">
        <v>5008</v>
      </c>
      <c r="K6" s="33">
        <v>5418</v>
      </c>
      <c r="L6" s="33">
        <v>5669</v>
      </c>
      <c r="M6" s="33">
        <v>5942</v>
      </c>
      <c r="N6" s="33">
        <v>6215</v>
      </c>
      <c r="O6" s="33">
        <v>6337</v>
      </c>
      <c r="P6" s="33">
        <v>6362</v>
      </c>
      <c r="Q6" s="33">
        <v>6590</v>
      </c>
      <c r="R6" s="33">
        <v>6664</v>
      </c>
      <c r="S6" s="33">
        <v>6547</v>
      </c>
      <c r="T6" s="33">
        <v>4478</v>
      </c>
      <c r="U6" s="33">
        <v>4099</v>
      </c>
      <c r="V6" s="33">
        <v>4003</v>
      </c>
      <c r="W6" s="33">
        <v>3960</v>
      </c>
      <c r="X6" s="33">
        <v>3890</v>
      </c>
      <c r="Y6" s="33">
        <v>3830</v>
      </c>
      <c r="Z6" s="34">
        <v>3729</v>
      </c>
      <c r="AA6" s="35">
        <f>SUM(C6:Z6)</f>
        <v>116552</v>
      </c>
      <c r="AB6" s="19">
        <v>20</v>
      </c>
      <c r="AC6" s="94">
        <f>+AA6*AB6+AA7*AB7+AA8*AB8</f>
        <v>3391082</v>
      </c>
    </row>
    <row r="7" spans="1:30" ht="15.75" thickBot="1" x14ac:dyDescent="0.3">
      <c r="A7" s="93"/>
      <c r="B7" s="20" t="s">
        <v>4</v>
      </c>
      <c r="C7" s="36">
        <v>4164</v>
      </c>
      <c r="D7" s="36">
        <v>4060</v>
      </c>
      <c r="E7" s="36">
        <v>3971</v>
      </c>
      <c r="F7" s="36">
        <v>3900</v>
      </c>
      <c r="G7" s="36">
        <v>3839</v>
      </c>
      <c r="H7" s="36">
        <v>3822</v>
      </c>
      <c r="I7" s="36">
        <v>3539</v>
      </c>
      <c r="J7" s="36">
        <v>4691</v>
      </c>
      <c r="K7" s="36">
        <v>4991</v>
      </c>
      <c r="L7" s="36">
        <v>5229</v>
      </c>
      <c r="M7" s="36">
        <v>5447</v>
      </c>
      <c r="N7" s="36">
        <v>5626</v>
      </c>
      <c r="O7" s="36">
        <v>5813</v>
      </c>
      <c r="P7" s="36">
        <v>5773</v>
      </c>
      <c r="Q7" s="36">
        <v>5796</v>
      </c>
      <c r="R7" s="36">
        <v>5806</v>
      </c>
      <c r="S7" s="36">
        <v>5873</v>
      </c>
      <c r="T7" s="36">
        <v>3932</v>
      </c>
      <c r="U7" s="36">
        <v>3794</v>
      </c>
      <c r="V7" s="36">
        <v>3736</v>
      </c>
      <c r="W7" s="36">
        <v>3688</v>
      </c>
      <c r="X7" s="36">
        <v>3557</v>
      </c>
      <c r="Y7" s="36">
        <v>3462</v>
      </c>
      <c r="Z7" s="37">
        <v>3385</v>
      </c>
      <c r="AA7" s="38">
        <f t="shared" ref="AA7:AA41" si="0">SUM(C7:Z7)</f>
        <v>107894</v>
      </c>
      <c r="AB7" s="21">
        <v>5</v>
      </c>
      <c r="AC7" s="95"/>
      <c r="AD7" s="47"/>
    </row>
    <row r="8" spans="1:30" ht="15" x14ac:dyDescent="0.25">
      <c r="A8" s="93"/>
      <c r="B8" s="22" t="s">
        <v>3</v>
      </c>
      <c r="C8" s="39">
        <v>3085</v>
      </c>
      <c r="D8" s="39">
        <v>3065</v>
      </c>
      <c r="E8" s="39">
        <v>2998</v>
      </c>
      <c r="F8" s="39">
        <v>3010</v>
      </c>
      <c r="G8" s="39">
        <v>3036</v>
      </c>
      <c r="H8" s="39">
        <v>3135</v>
      </c>
      <c r="I8" s="39">
        <v>2916</v>
      </c>
      <c r="J8" s="39">
        <v>3963</v>
      </c>
      <c r="K8" s="39">
        <v>4187</v>
      </c>
      <c r="L8" s="39">
        <v>4378</v>
      </c>
      <c r="M8" s="39">
        <v>4513</v>
      </c>
      <c r="N8" s="39">
        <v>4739</v>
      </c>
      <c r="O8" s="39">
        <v>4914</v>
      </c>
      <c r="P8" s="39">
        <v>4824</v>
      </c>
      <c r="Q8" s="39">
        <v>4704</v>
      </c>
      <c r="R8" s="39">
        <v>4735</v>
      </c>
      <c r="S8" s="39">
        <v>4712</v>
      </c>
      <c r="T8" s="39">
        <v>2897</v>
      </c>
      <c r="U8" s="39">
        <v>2688</v>
      </c>
      <c r="V8" s="39">
        <v>2741</v>
      </c>
      <c r="W8" s="39">
        <v>2789</v>
      </c>
      <c r="X8" s="39">
        <v>2828</v>
      </c>
      <c r="Y8" s="39">
        <v>2932</v>
      </c>
      <c r="Z8" s="40">
        <v>2973</v>
      </c>
      <c r="AA8" s="41">
        <f t="shared" si="0"/>
        <v>86762</v>
      </c>
      <c r="AB8" s="23">
        <v>6</v>
      </c>
      <c r="AC8" s="96"/>
      <c r="AD8" s="48"/>
    </row>
    <row r="9" spans="1:30" ht="15.75" thickBot="1" x14ac:dyDescent="0.3">
      <c r="A9" s="93">
        <v>46054</v>
      </c>
      <c r="B9" s="18" t="s">
        <v>5</v>
      </c>
      <c r="C9" s="33">
        <v>4043</v>
      </c>
      <c r="D9" s="33">
        <v>3967</v>
      </c>
      <c r="E9" s="33">
        <v>3890</v>
      </c>
      <c r="F9" s="33">
        <v>3814</v>
      </c>
      <c r="G9" s="33">
        <v>3772</v>
      </c>
      <c r="H9" s="33">
        <v>3644</v>
      </c>
      <c r="I9" s="33">
        <v>3036</v>
      </c>
      <c r="J9" s="33">
        <v>4372</v>
      </c>
      <c r="K9" s="33">
        <v>4673</v>
      </c>
      <c r="L9" s="33">
        <v>4876</v>
      </c>
      <c r="M9" s="33">
        <v>5027</v>
      </c>
      <c r="N9" s="33">
        <v>5252</v>
      </c>
      <c r="O9" s="33">
        <v>5329</v>
      </c>
      <c r="P9" s="33">
        <v>5428</v>
      </c>
      <c r="Q9" s="33">
        <v>5649</v>
      </c>
      <c r="R9" s="33">
        <v>5675</v>
      </c>
      <c r="S9" s="33">
        <v>5590</v>
      </c>
      <c r="T9" s="33">
        <v>3510</v>
      </c>
      <c r="U9" s="33">
        <v>3485</v>
      </c>
      <c r="V9" s="33">
        <v>3390</v>
      </c>
      <c r="W9" s="33">
        <v>3372</v>
      </c>
      <c r="X9" s="33">
        <v>3347</v>
      </c>
      <c r="Y9" s="33">
        <v>3357</v>
      </c>
      <c r="Z9" s="34">
        <v>3358</v>
      </c>
      <c r="AA9" s="35">
        <f t="shared" si="0"/>
        <v>101856</v>
      </c>
      <c r="AB9" s="19">
        <v>20</v>
      </c>
      <c r="AC9" s="94">
        <f>+AA9*AB9+AA10*AB10+AA11*AB11</f>
        <v>2821556</v>
      </c>
    </row>
    <row r="10" spans="1:30" ht="15.75" thickBot="1" x14ac:dyDescent="0.3">
      <c r="A10" s="93"/>
      <c r="B10" s="20" t="s">
        <v>4</v>
      </c>
      <c r="C10" s="36">
        <v>3884</v>
      </c>
      <c r="D10" s="36">
        <v>3869</v>
      </c>
      <c r="E10" s="36">
        <v>3787</v>
      </c>
      <c r="F10" s="36">
        <v>3715</v>
      </c>
      <c r="G10" s="36">
        <v>3699</v>
      </c>
      <c r="H10" s="36">
        <v>3667</v>
      </c>
      <c r="I10" s="36">
        <v>3100</v>
      </c>
      <c r="J10" s="36">
        <v>4165</v>
      </c>
      <c r="K10" s="36">
        <v>4278</v>
      </c>
      <c r="L10" s="36">
        <v>4386</v>
      </c>
      <c r="M10" s="36">
        <v>4626</v>
      </c>
      <c r="N10" s="36">
        <v>4716</v>
      </c>
      <c r="O10" s="36">
        <v>4848</v>
      </c>
      <c r="P10" s="36">
        <v>4838</v>
      </c>
      <c r="Q10" s="36">
        <v>4884</v>
      </c>
      <c r="R10" s="36">
        <v>4878</v>
      </c>
      <c r="S10" s="36">
        <v>4857</v>
      </c>
      <c r="T10" s="36">
        <v>3084</v>
      </c>
      <c r="U10" s="36">
        <v>3309</v>
      </c>
      <c r="V10" s="36">
        <v>3127</v>
      </c>
      <c r="W10" s="36">
        <v>3071</v>
      </c>
      <c r="X10" s="36">
        <v>3048</v>
      </c>
      <c r="Y10" s="36">
        <v>3025</v>
      </c>
      <c r="Z10" s="37">
        <v>3067</v>
      </c>
      <c r="AA10" s="38">
        <f t="shared" si="0"/>
        <v>93928</v>
      </c>
      <c r="AB10" s="21">
        <v>4</v>
      </c>
      <c r="AC10" s="95"/>
      <c r="AD10" s="47"/>
    </row>
    <row r="11" spans="1:30" ht="15" x14ac:dyDescent="0.25">
      <c r="A11" s="93"/>
      <c r="B11" s="22" t="s">
        <v>3</v>
      </c>
      <c r="C11" s="39">
        <v>4184</v>
      </c>
      <c r="D11" s="39">
        <v>4143</v>
      </c>
      <c r="E11" s="39">
        <v>4083</v>
      </c>
      <c r="F11" s="39">
        <v>3934</v>
      </c>
      <c r="G11" s="39">
        <v>3949</v>
      </c>
      <c r="H11" s="39">
        <v>3953</v>
      </c>
      <c r="I11" s="39">
        <v>3364</v>
      </c>
      <c r="J11" s="39">
        <v>4360</v>
      </c>
      <c r="K11" s="39">
        <v>4541</v>
      </c>
      <c r="L11" s="39">
        <v>4696</v>
      </c>
      <c r="M11" s="39">
        <v>4828</v>
      </c>
      <c r="N11" s="39">
        <v>5044</v>
      </c>
      <c r="O11" s="39">
        <v>5122</v>
      </c>
      <c r="P11" s="39">
        <v>5153</v>
      </c>
      <c r="Q11" s="39">
        <v>5110</v>
      </c>
      <c r="R11" s="39">
        <v>5174</v>
      </c>
      <c r="S11" s="39">
        <v>5115</v>
      </c>
      <c r="T11" s="39">
        <v>3289</v>
      </c>
      <c r="U11" s="39">
        <v>3604</v>
      </c>
      <c r="V11" s="39">
        <v>3686</v>
      </c>
      <c r="W11" s="39">
        <v>3639</v>
      </c>
      <c r="X11" s="39">
        <v>3741</v>
      </c>
      <c r="Y11" s="39">
        <v>3776</v>
      </c>
      <c r="Z11" s="40">
        <v>3693</v>
      </c>
      <c r="AA11" s="41">
        <f t="shared" si="0"/>
        <v>102181</v>
      </c>
      <c r="AB11" s="23">
        <v>4</v>
      </c>
      <c r="AC11" s="96"/>
      <c r="AD11" s="48"/>
    </row>
    <row r="12" spans="1:30" ht="15.75" thickBot="1" x14ac:dyDescent="0.3">
      <c r="A12" s="93">
        <v>46082</v>
      </c>
      <c r="B12" s="18" t="s">
        <v>5</v>
      </c>
      <c r="C12" s="33">
        <v>4474</v>
      </c>
      <c r="D12" s="33">
        <v>4370</v>
      </c>
      <c r="E12" s="33">
        <v>4251</v>
      </c>
      <c r="F12" s="33">
        <v>4184</v>
      </c>
      <c r="G12" s="33">
        <v>4109</v>
      </c>
      <c r="H12" s="33">
        <v>3912</v>
      </c>
      <c r="I12" s="33">
        <v>3147</v>
      </c>
      <c r="J12" s="33">
        <v>4469</v>
      </c>
      <c r="K12" s="33">
        <v>4724</v>
      </c>
      <c r="L12" s="33">
        <v>4928</v>
      </c>
      <c r="M12" s="33">
        <v>5141</v>
      </c>
      <c r="N12" s="33">
        <v>5358</v>
      </c>
      <c r="O12" s="33">
        <v>5522</v>
      </c>
      <c r="P12" s="33">
        <v>5567</v>
      </c>
      <c r="Q12" s="33">
        <v>5678</v>
      </c>
      <c r="R12" s="33">
        <v>5696</v>
      </c>
      <c r="S12" s="33">
        <v>5568</v>
      </c>
      <c r="T12" s="33">
        <v>3523</v>
      </c>
      <c r="U12" s="33">
        <v>3785</v>
      </c>
      <c r="V12" s="33">
        <v>3796</v>
      </c>
      <c r="W12" s="33">
        <v>3758</v>
      </c>
      <c r="X12" s="33">
        <v>3788</v>
      </c>
      <c r="Y12" s="33">
        <v>3812</v>
      </c>
      <c r="Z12" s="34">
        <v>3833</v>
      </c>
      <c r="AA12" s="35">
        <f t="shared" si="0"/>
        <v>107393</v>
      </c>
      <c r="AB12" s="19">
        <v>21</v>
      </c>
      <c r="AC12" s="94">
        <f>+AA12*AB12+AA13*AB13+AA14*AB14</f>
        <v>3106413</v>
      </c>
    </row>
    <row r="13" spans="1:30" ht="15.75" thickBot="1" x14ac:dyDescent="0.3">
      <c r="A13" s="93"/>
      <c r="B13" s="20" t="s">
        <v>4</v>
      </c>
      <c r="C13" s="36">
        <v>4022</v>
      </c>
      <c r="D13" s="36">
        <v>3942</v>
      </c>
      <c r="E13" s="36">
        <v>3819</v>
      </c>
      <c r="F13" s="36">
        <v>3821</v>
      </c>
      <c r="G13" s="36">
        <v>3730</v>
      </c>
      <c r="H13" s="36">
        <v>3623</v>
      </c>
      <c r="I13" s="36">
        <v>2946</v>
      </c>
      <c r="J13" s="36">
        <v>3905</v>
      </c>
      <c r="K13" s="36">
        <v>3984</v>
      </c>
      <c r="L13" s="36">
        <v>4028</v>
      </c>
      <c r="M13" s="36">
        <v>4131</v>
      </c>
      <c r="N13" s="36">
        <v>4242</v>
      </c>
      <c r="O13" s="36">
        <v>4445</v>
      </c>
      <c r="P13" s="36">
        <v>4524</v>
      </c>
      <c r="Q13" s="36">
        <v>4466</v>
      </c>
      <c r="R13" s="36">
        <v>4472</v>
      </c>
      <c r="S13" s="36">
        <v>4490</v>
      </c>
      <c r="T13" s="36">
        <v>2615</v>
      </c>
      <c r="U13" s="36">
        <v>2822</v>
      </c>
      <c r="V13" s="36">
        <v>2756</v>
      </c>
      <c r="W13" s="36">
        <v>2885</v>
      </c>
      <c r="X13" s="36">
        <v>2824</v>
      </c>
      <c r="Y13" s="36">
        <v>2884</v>
      </c>
      <c r="Z13" s="37">
        <v>3055</v>
      </c>
      <c r="AA13" s="38">
        <f t="shared" si="0"/>
        <v>88431</v>
      </c>
      <c r="AB13" s="21">
        <v>4</v>
      </c>
      <c r="AC13" s="95"/>
      <c r="AD13" s="47"/>
    </row>
    <row r="14" spans="1:30" ht="15" x14ac:dyDescent="0.25">
      <c r="A14" s="93"/>
      <c r="B14" s="22" t="s">
        <v>3</v>
      </c>
      <c r="C14" s="39">
        <v>3717</v>
      </c>
      <c r="D14" s="39">
        <v>3711</v>
      </c>
      <c r="E14" s="39">
        <v>3647</v>
      </c>
      <c r="F14" s="39">
        <v>3619</v>
      </c>
      <c r="G14" s="39">
        <v>3545</v>
      </c>
      <c r="H14" s="39">
        <v>3562</v>
      </c>
      <c r="I14" s="39">
        <v>2722</v>
      </c>
      <c r="J14" s="39">
        <v>3557</v>
      </c>
      <c r="K14" s="39">
        <v>3586</v>
      </c>
      <c r="L14" s="39">
        <v>3607</v>
      </c>
      <c r="M14" s="39">
        <v>3692</v>
      </c>
      <c r="N14" s="39">
        <v>3741</v>
      </c>
      <c r="O14" s="39">
        <v>3936</v>
      </c>
      <c r="P14" s="39">
        <v>4049</v>
      </c>
      <c r="Q14" s="39">
        <v>4050</v>
      </c>
      <c r="R14" s="39">
        <v>4046</v>
      </c>
      <c r="S14" s="39">
        <v>4146</v>
      </c>
      <c r="T14" s="39">
        <v>2369</v>
      </c>
      <c r="U14" s="39">
        <v>2783</v>
      </c>
      <c r="V14" s="39">
        <v>2766</v>
      </c>
      <c r="W14" s="39">
        <v>2869</v>
      </c>
      <c r="X14" s="39">
        <v>2937</v>
      </c>
      <c r="Y14" s="39">
        <v>3102</v>
      </c>
      <c r="Z14" s="40">
        <v>3147</v>
      </c>
      <c r="AA14" s="41">
        <f t="shared" si="0"/>
        <v>82906</v>
      </c>
      <c r="AB14" s="23">
        <v>6</v>
      </c>
      <c r="AC14" s="96"/>
      <c r="AD14" s="45"/>
    </row>
    <row r="15" spans="1:30" ht="15.75" thickBot="1" x14ac:dyDescent="0.3">
      <c r="A15" s="93">
        <v>46113</v>
      </c>
      <c r="B15" s="18" t="s">
        <v>5</v>
      </c>
      <c r="C15" s="33">
        <v>4244</v>
      </c>
      <c r="D15" s="33">
        <v>4148</v>
      </c>
      <c r="E15" s="33">
        <v>4032</v>
      </c>
      <c r="F15" s="33">
        <v>3967</v>
      </c>
      <c r="G15" s="33">
        <v>3888</v>
      </c>
      <c r="H15" s="33">
        <v>3574</v>
      </c>
      <c r="I15" s="33">
        <v>3006</v>
      </c>
      <c r="J15" s="33">
        <v>4287</v>
      </c>
      <c r="K15" s="33">
        <v>4401</v>
      </c>
      <c r="L15" s="33">
        <v>4545</v>
      </c>
      <c r="M15" s="33">
        <v>4684</v>
      </c>
      <c r="N15" s="33">
        <v>4951</v>
      </c>
      <c r="O15" s="33">
        <v>5310</v>
      </c>
      <c r="P15" s="33">
        <v>5288</v>
      </c>
      <c r="Q15" s="33">
        <v>5097</v>
      </c>
      <c r="R15" s="33">
        <v>5076</v>
      </c>
      <c r="S15" s="33">
        <v>4944</v>
      </c>
      <c r="T15" s="33">
        <v>3051</v>
      </c>
      <c r="U15" s="33">
        <v>3306</v>
      </c>
      <c r="V15" s="33">
        <v>3480</v>
      </c>
      <c r="W15" s="33">
        <v>3565</v>
      </c>
      <c r="X15" s="33">
        <v>3489</v>
      </c>
      <c r="Y15" s="33">
        <v>3502</v>
      </c>
      <c r="Z15" s="34">
        <v>3554</v>
      </c>
      <c r="AA15" s="35">
        <f t="shared" si="0"/>
        <v>99389</v>
      </c>
      <c r="AB15" s="19">
        <v>20</v>
      </c>
      <c r="AC15" s="94">
        <f>+AA15*AB15+AA16*AB16+AA17*AB17</f>
        <v>2813914</v>
      </c>
    </row>
    <row r="16" spans="1:30" ht="15.75" thickBot="1" x14ac:dyDescent="0.3">
      <c r="A16" s="93"/>
      <c r="B16" s="20" t="s">
        <v>4</v>
      </c>
      <c r="C16" s="36">
        <v>3835</v>
      </c>
      <c r="D16" s="36">
        <v>3787</v>
      </c>
      <c r="E16" s="36">
        <v>3698</v>
      </c>
      <c r="F16" s="36">
        <v>3639</v>
      </c>
      <c r="G16" s="36">
        <v>3607</v>
      </c>
      <c r="H16" s="36">
        <v>3557</v>
      </c>
      <c r="I16" s="36">
        <v>2901</v>
      </c>
      <c r="J16" s="36">
        <v>3982</v>
      </c>
      <c r="K16" s="36">
        <v>3939</v>
      </c>
      <c r="L16" s="36">
        <v>3974</v>
      </c>
      <c r="M16" s="36">
        <v>4105</v>
      </c>
      <c r="N16" s="36">
        <v>4252</v>
      </c>
      <c r="O16" s="36">
        <v>4548</v>
      </c>
      <c r="P16" s="36">
        <v>4514</v>
      </c>
      <c r="Q16" s="36">
        <v>4586</v>
      </c>
      <c r="R16" s="36">
        <v>4583</v>
      </c>
      <c r="S16" s="36">
        <v>4696</v>
      </c>
      <c r="T16" s="36">
        <v>2826</v>
      </c>
      <c r="U16" s="36">
        <v>3089</v>
      </c>
      <c r="V16" s="36">
        <v>3013</v>
      </c>
      <c r="W16" s="36">
        <v>3042</v>
      </c>
      <c r="X16" s="36">
        <v>2898</v>
      </c>
      <c r="Y16" s="36">
        <v>2979</v>
      </c>
      <c r="Z16" s="37">
        <v>3062</v>
      </c>
      <c r="AA16" s="38">
        <f t="shared" si="0"/>
        <v>89112</v>
      </c>
      <c r="AB16" s="21">
        <v>4</v>
      </c>
      <c r="AC16" s="95"/>
      <c r="AD16" s="47"/>
    </row>
    <row r="17" spans="1:30" ht="15" x14ac:dyDescent="0.25">
      <c r="A17" s="93"/>
      <c r="B17" s="22" t="s">
        <v>3</v>
      </c>
      <c r="C17" s="39">
        <v>3323</v>
      </c>
      <c r="D17" s="39">
        <v>3380</v>
      </c>
      <c r="E17" s="39">
        <v>3309</v>
      </c>
      <c r="F17" s="39">
        <v>3271</v>
      </c>
      <c r="G17" s="39">
        <v>3173</v>
      </c>
      <c r="H17" s="39">
        <v>3141</v>
      </c>
      <c r="I17" s="39">
        <v>2461</v>
      </c>
      <c r="J17" s="39">
        <v>3370</v>
      </c>
      <c r="K17" s="39">
        <v>3457</v>
      </c>
      <c r="L17" s="39">
        <v>3514</v>
      </c>
      <c r="M17" s="39">
        <v>3624</v>
      </c>
      <c r="N17" s="39">
        <v>3680</v>
      </c>
      <c r="O17" s="39">
        <v>3885</v>
      </c>
      <c r="P17" s="39">
        <v>4077</v>
      </c>
      <c r="Q17" s="39">
        <v>4098</v>
      </c>
      <c r="R17" s="39">
        <v>4145</v>
      </c>
      <c r="S17" s="39">
        <v>4179</v>
      </c>
      <c r="T17" s="39">
        <v>2350</v>
      </c>
      <c r="U17" s="39">
        <v>2771</v>
      </c>
      <c r="V17" s="39">
        <v>2670</v>
      </c>
      <c r="W17" s="39">
        <v>2615</v>
      </c>
      <c r="X17" s="39">
        <v>2497</v>
      </c>
      <c r="Y17" s="39">
        <v>2610</v>
      </c>
      <c r="Z17" s="40">
        <v>2681</v>
      </c>
      <c r="AA17" s="41">
        <f t="shared" si="0"/>
        <v>78281</v>
      </c>
      <c r="AB17" s="23">
        <v>6</v>
      </c>
      <c r="AC17" s="96"/>
      <c r="AD17" s="48"/>
    </row>
    <row r="18" spans="1:30" ht="15.75" thickBot="1" x14ac:dyDescent="0.3">
      <c r="A18" s="93">
        <v>46143</v>
      </c>
      <c r="B18" s="18" t="s">
        <v>5</v>
      </c>
      <c r="C18" s="33">
        <v>4237</v>
      </c>
      <c r="D18" s="33">
        <v>4131</v>
      </c>
      <c r="E18" s="33">
        <v>4060</v>
      </c>
      <c r="F18" s="33">
        <v>3964</v>
      </c>
      <c r="G18" s="33">
        <v>3897</v>
      </c>
      <c r="H18" s="33">
        <v>3580</v>
      </c>
      <c r="I18" s="33">
        <v>3020</v>
      </c>
      <c r="J18" s="33">
        <v>4315</v>
      </c>
      <c r="K18" s="33">
        <v>4521</v>
      </c>
      <c r="L18" s="33">
        <v>4709</v>
      </c>
      <c r="M18" s="33">
        <v>4815</v>
      </c>
      <c r="N18" s="33">
        <v>5019</v>
      </c>
      <c r="O18" s="33">
        <v>5293</v>
      </c>
      <c r="P18" s="33">
        <v>5227</v>
      </c>
      <c r="Q18" s="33">
        <v>5153</v>
      </c>
      <c r="R18" s="33">
        <v>5162</v>
      </c>
      <c r="S18" s="33">
        <v>5141</v>
      </c>
      <c r="T18" s="33">
        <v>3079</v>
      </c>
      <c r="U18" s="33">
        <v>3300</v>
      </c>
      <c r="V18" s="33">
        <v>3362</v>
      </c>
      <c r="W18" s="33">
        <v>3491</v>
      </c>
      <c r="X18" s="33">
        <v>3388</v>
      </c>
      <c r="Y18" s="33">
        <v>3426</v>
      </c>
      <c r="Z18" s="34">
        <v>3470</v>
      </c>
      <c r="AA18" s="35">
        <f t="shared" si="0"/>
        <v>99760</v>
      </c>
      <c r="AB18" s="19">
        <v>19</v>
      </c>
      <c r="AC18" s="94">
        <f>+AA18*AB18+AA19*AB19+AA20*AB20</f>
        <v>2929799</v>
      </c>
    </row>
    <row r="19" spans="1:30" ht="15.75" thickBot="1" x14ac:dyDescent="0.3">
      <c r="A19" s="93"/>
      <c r="B19" s="20" t="s">
        <v>4</v>
      </c>
      <c r="C19" s="36">
        <v>4077</v>
      </c>
      <c r="D19" s="36">
        <v>3964</v>
      </c>
      <c r="E19" s="36">
        <v>3985</v>
      </c>
      <c r="F19" s="36">
        <v>3894</v>
      </c>
      <c r="G19" s="36">
        <v>3847</v>
      </c>
      <c r="H19" s="36">
        <v>3661</v>
      </c>
      <c r="I19" s="36">
        <v>2949</v>
      </c>
      <c r="J19" s="36">
        <v>4027</v>
      </c>
      <c r="K19" s="36">
        <v>4055</v>
      </c>
      <c r="L19" s="36">
        <v>4275</v>
      </c>
      <c r="M19" s="36">
        <v>4437</v>
      </c>
      <c r="N19" s="36">
        <v>4551</v>
      </c>
      <c r="O19" s="36">
        <v>4688</v>
      </c>
      <c r="P19" s="36">
        <v>4596</v>
      </c>
      <c r="Q19" s="36">
        <v>4560</v>
      </c>
      <c r="R19" s="36">
        <v>4570</v>
      </c>
      <c r="S19" s="36">
        <v>4623</v>
      </c>
      <c r="T19" s="36">
        <v>2812</v>
      </c>
      <c r="U19" s="36">
        <v>3211</v>
      </c>
      <c r="V19" s="36">
        <v>3140</v>
      </c>
      <c r="W19" s="36">
        <v>3068</v>
      </c>
      <c r="X19" s="36">
        <v>3072</v>
      </c>
      <c r="Y19" s="36">
        <v>3021</v>
      </c>
      <c r="Z19" s="37">
        <v>3203</v>
      </c>
      <c r="AA19" s="38">
        <f t="shared" si="0"/>
        <v>92286</v>
      </c>
      <c r="AB19" s="21">
        <v>5</v>
      </c>
      <c r="AC19" s="95"/>
      <c r="AD19" s="47"/>
    </row>
    <row r="20" spans="1:30" ht="15" x14ac:dyDescent="0.25">
      <c r="A20" s="93"/>
      <c r="B20" s="22" t="s">
        <v>3</v>
      </c>
      <c r="C20" s="39">
        <v>3644</v>
      </c>
      <c r="D20" s="39">
        <v>3645</v>
      </c>
      <c r="E20" s="39">
        <v>3585</v>
      </c>
      <c r="F20" s="39">
        <v>3523</v>
      </c>
      <c r="G20" s="39">
        <v>3500</v>
      </c>
      <c r="H20" s="39">
        <v>3407</v>
      </c>
      <c r="I20" s="39">
        <v>2596</v>
      </c>
      <c r="J20" s="39">
        <v>3560</v>
      </c>
      <c r="K20" s="39">
        <v>3554</v>
      </c>
      <c r="L20" s="39">
        <v>3621</v>
      </c>
      <c r="M20" s="39">
        <v>3654</v>
      </c>
      <c r="N20" s="39">
        <v>3698</v>
      </c>
      <c r="O20" s="39">
        <v>3908</v>
      </c>
      <c r="P20" s="39">
        <v>4041</v>
      </c>
      <c r="Q20" s="39">
        <v>4131</v>
      </c>
      <c r="R20" s="39">
        <v>4246</v>
      </c>
      <c r="S20" s="39">
        <v>4198</v>
      </c>
      <c r="T20" s="39">
        <v>2257</v>
      </c>
      <c r="U20" s="39">
        <v>2631</v>
      </c>
      <c r="V20" s="39">
        <v>2743</v>
      </c>
      <c r="W20" s="39">
        <v>2740</v>
      </c>
      <c r="X20" s="39">
        <v>2846</v>
      </c>
      <c r="Y20" s="39">
        <v>2975</v>
      </c>
      <c r="Z20" s="40">
        <v>3144</v>
      </c>
      <c r="AA20" s="41">
        <f t="shared" si="0"/>
        <v>81847</v>
      </c>
      <c r="AB20" s="23">
        <v>7</v>
      </c>
      <c r="AC20" s="96"/>
      <c r="AD20" s="48"/>
    </row>
    <row r="21" spans="1:30" ht="15.75" thickBot="1" x14ac:dyDescent="0.3">
      <c r="A21" s="93">
        <v>46174</v>
      </c>
      <c r="B21" s="18" t="s">
        <v>5</v>
      </c>
      <c r="C21" s="33">
        <v>4228</v>
      </c>
      <c r="D21" s="33">
        <v>4224</v>
      </c>
      <c r="E21" s="33">
        <v>4116</v>
      </c>
      <c r="F21" s="33">
        <v>4073</v>
      </c>
      <c r="G21" s="33">
        <v>4072</v>
      </c>
      <c r="H21" s="33">
        <v>3932</v>
      </c>
      <c r="I21" s="33">
        <v>3527</v>
      </c>
      <c r="J21" s="33">
        <v>4864</v>
      </c>
      <c r="K21" s="33">
        <v>5069</v>
      </c>
      <c r="L21" s="33">
        <v>5320</v>
      </c>
      <c r="M21" s="33">
        <v>5482</v>
      </c>
      <c r="N21" s="33">
        <v>5803</v>
      </c>
      <c r="O21" s="33">
        <v>5966</v>
      </c>
      <c r="P21" s="33">
        <v>5792</v>
      </c>
      <c r="Q21" s="33">
        <v>5818</v>
      </c>
      <c r="R21" s="33">
        <v>5860</v>
      </c>
      <c r="S21" s="33">
        <v>5689</v>
      </c>
      <c r="T21" s="33">
        <v>3793</v>
      </c>
      <c r="U21" s="33">
        <v>4078</v>
      </c>
      <c r="V21" s="33">
        <v>4237</v>
      </c>
      <c r="W21" s="33">
        <v>4266</v>
      </c>
      <c r="X21" s="33">
        <v>4030</v>
      </c>
      <c r="Y21" s="33">
        <v>3808</v>
      </c>
      <c r="Z21" s="34">
        <v>3639</v>
      </c>
      <c r="AA21" s="35">
        <f t="shared" si="0"/>
        <v>111686</v>
      </c>
      <c r="AB21" s="19">
        <v>19</v>
      </c>
      <c r="AC21" s="94">
        <f>+AA21*AB21+AA22*AB22+AA23*AB23</f>
        <v>3370208</v>
      </c>
    </row>
    <row r="22" spans="1:30" ht="15.75" thickBot="1" x14ac:dyDescent="0.3">
      <c r="A22" s="93"/>
      <c r="B22" s="20" t="s">
        <v>4</v>
      </c>
      <c r="C22" s="36">
        <v>4157</v>
      </c>
      <c r="D22" s="36">
        <v>4150</v>
      </c>
      <c r="E22" s="36">
        <v>4016</v>
      </c>
      <c r="F22" s="36">
        <v>4016</v>
      </c>
      <c r="G22" s="36">
        <v>4072</v>
      </c>
      <c r="H22" s="36">
        <v>4018</v>
      </c>
      <c r="I22" s="36">
        <v>3447</v>
      </c>
      <c r="J22" s="36">
        <v>4689</v>
      </c>
      <c r="K22" s="36">
        <v>4831</v>
      </c>
      <c r="L22" s="36">
        <v>5093</v>
      </c>
      <c r="M22" s="36">
        <v>5189</v>
      </c>
      <c r="N22" s="36">
        <v>5414</v>
      </c>
      <c r="O22" s="36">
        <v>5514</v>
      </c>
      <c r="P22" s="36">
        <v>5496</v>
      </c>
      <c r="Q22" s="36">
        <v>5405</v>
      </c>
      <c r="R22" s="36">
        <v>5469</v>
      </c>
      <c r="S22" s="36">
        <v>5497</v>
      </c>
      <c r="T22" s="36">
        <v>3657</v>
      </c>
      <c r="U22" s="36">
        <v>4025</v>
      </c>
      <c r="V22" s="36">
        <v>3958</v>
      </c>
      <c r="W22" s="36">
        <v>3836</v>
      </c>
      <c r="X22" s="36">
        <v>3736</v>
      </c>
      <c r="Y22" s="36">
        <v>3570</v>
      </c>
      <c r="Z22" s="37">
        <v>3482</v>
      </c>
      <c r="AA22" s="38">
        <f t="shared" si="0"/>
        <v>106737</v>
      </c>
      <c r="AB22" s="21">
        <v>4</v>
      </c>
      <c r="AC22" s="95"/>
      <c r="AD22" s="47"/>
    </row>
    <row r="23" spans="1:30" ht="15" x14ac:dyDescent="0.25">
      <c r="A23" s="93"/>
      <c r="B23" s="22" t="s">
        <v>3</v>
      </c>
      <c r="C23" s="39">
        <v>4451</v>
      </c>
      <c r="D23" s="39">
        <v>4367</v>
      </c>
      <c r="E23" s="39">
        <v>4312</v>
      </c>
      <c r="F23" s="39">
        <v>4244</v>
      </c>
      <c r="G23" s="39">
        <v>4284</v>
      </c>
      <c r="H23" s="39">
        <v>4322</v>
      </c>
      <c r="I23" s="39">
        <v>4012</v>
      </c>
      <c r="J23" s="39">
        <v>5189</v>
      </c>
      <c r="K23" s="39">
        <v>5427</v>
      </c>
      <c r="L23" s="39">
        <v>5609</v>
      </c>
      <c r="M23" s="39">
        <v>5700</v>
      </c>
      <c r="N23" s="39">
        <v>5846</v>
      </c>
      <c r="O23" s="39">
        <v>5829</v>
      </c>
      <c r="P23" s="39">
        <v>5917</v>
      </c>
      <c r="Q23" s="39">
        <v>6108</v>
      </c>
      <c r="R23" s="39">
        <v>6171</v>
      </c>
      <c r="S23" s="39">
        <v>6123</v>
      </c>
      <c r="T23" s="39">
        <v>4223</v>
      </c>
      <c r="U23" s="39">
        <v>4249</v>
      </c>
      <c r="V23" s="39">
        <v>4433</v>
      </c>
      <c r="W23" s="39">
        <v>4359</v>
      </c>
      <c r="X23" s="39">
        <v>4173</v>
      </c>
      <c r="Y23" s="39">
        <v>4031</v>
      </c>
      <c r="Z23" s="40">
        <v>3939</v>
      </c>
      <c r="AA23" s="41">
        <f t="shared" si="0"/>
        <v>117318</v>
      </c>
      <c r="AB23" s="23">
        <v>7</v>
      </c>
      <c r="AC23" s="96"/>
      <c r="AD23" s="48"/>
    </row>
    <row r="24" spans="1:30" ht="15.75" thickBot="1" x14ac:dyDescent="0.3">
      <c r="A24" s="93">
        <v>46204</v>
      </c>
      <c r="B24" s="18" t="s">
        <v>5</v>
      </c>
      <c r="C24" s="33">
        <v>4257</v>
      </c>
      <c r="D24" s="33">
        <v>4236</v>
      </c>
      <c r="E24" s="33">
        <v>4128</v>
      </c>
      <c r="F24" s="33">
        <v>4044</v>
      </c>
      <c r="G24" s="33">
        <v>4010</v>
      </c>
      <c r="H24" s="33">
        <v>3836</v>
      </c>
      <c r="I24" s="33">
        <v>3352</v>
      </c>
      <c r="J24" s="33">
        <v>4772</v>
      </c>
      <c r="K24" s="33">
        <v>4981</v>
      </c>
      <c r="L24" s="33">
        <v>5230</v>
      </c>
      <c r="M24" s="33">
        <v>5400</v>
      </c>
      <c r="N24" s="33">
        <v>5697</v>
      </c>
      <c r="O24" s="33">
        <v>5813</v>
      </c>
      <c r="P24" s="33">
        <v>5719</v>
      </c>
      <c r="Q24" s="33">
        <v>5866</v>
      </c>
      <c r="R24" s="33">
        <v>5929</v>
      </c>
      <c r="S24" s="33">
        <v>5770</v>
      </c>
      <c r="T24" s="33">
        <v>3803</v>
      </c>
      <c r="U24" s="33">
        <v>3977</v>
      </c>
      <c r="V24" s="33">
        <v>4003</v>
      </c>
      <c r="W24" s="33">
        <v>4030</v>
      </c>
      <c r="X24" s="33">
        <v>3879</v>
      </c>
      <c r="Y24" s="33">
        <v>3665</v>
      </c>
      <c r="Z24" s="34">
        <v>3581</v>
      </c>
      <c r="AA24" s="35">
        <f t="shared" si="0"/>
        <v>109978</v>
      </c>
      <c r="AB24" s="19">
        <v>22</v>
      </c>
      <c r="AC24" s="94">
        <f>+AA24*AB24+AA25*AB25+AA26*AB26</f>
        <v>3239178</v>
      </c>
    </row>
    <row r="25" spans="1:30" ht="15.75" thickBot="1" x14ac:dyDescent="0.3">
      <c r="A25" s="93"/>
      <c r="B25" s="20" t="s">
        <v>4</v>
      </c>
      <c r="C25" s="36">
        <v>3628</v>
      </c>
      <c r="D25" s="36">
        <v>3651</v>
      </c>
      <c r="E25" s="36">
        <v>3536</v>
      </c>
      <c r="F25" s="36">
        <v>3501</v>
      </c>
      <c r="G25" s="36">
        <v>3565</v>
      </c>
      <c r="H25" s="36">
        <v>3529</v>
      </c>
      <c r="I25" s="36">
        <v>2885</v>
      </c>
      <c r="J25" s="36">
        <v>4101</v>
      </c>
      <c r="K25" s="36">
        <v>4198</v>
      </c>
      <c r="L25" s="36">
        <v>4398</v>
      </c>
      <c r="M25" s="36">
        <v>4522</v>
      </c>
      <c r="N25" s="36">
        <v>4720</v>
      </c>
      <c r="O25" s="36">
        <v>4840</v>
      </c>
      <c r="P25" s="36">
        <v>4752</v>
      </c>
      <c r="Q25" s="36">
        <v>4690</v>
      </c>
      <c r="R25" s="36">
        <v>4687</v>
      </c>
      <c r="S25" s="36">
        <v>4754</v>
      </c>
      <c r="T25" s="36">
        <v>2928</v>
      </c>
      <c r="U25" s="36">
        <v>3367</v>
      </c>
      <c r="V25" s="36">
        <v>3210</v>
      </c>
      <c r="W25" s="36">
        <v>3191</v>
      </c>
      <c r="X25" s="36">
        <v>3059</v>
      </c>
      <c r="Y25" s="36">
        <v>2941</v>
      </c>
      <c r="Z25" s="37">
        <v>2895</v>
      </c>
      <c r="AA25" s="38">
        <f t="shared" si="0"/>
        <v>91548</v>
      </c>
      <c r="AB25" s="21">
        <v>4</v>
      </c>
      <c r="AC25" s="95"/>
      <c r="AD25" s="47"/>
    </row>
    <row r="26" spans="1:30" ht="15" x14ac:dyDescent="0.25">
      <c r="A26" s="93"/>
      <c r="B26" s="22" t="s">
        <v>3</v>
      </c>
      <c r="C26" s="39">
        <v>3698</v>
      </c>
      <c r="D26" s="39">
        <v>3708</v>
      </c>
      <c r="E26" s="39">
        <v>3652</v>
      </c>
      <c r="F26" s="39">
        <v>3533</v>
      </c>
      <c r="G26" s="39">
        <v>3529</v>
      </c>
      <c r="H26" s="39">
        <v>3422</v>
      </c>
      <c r="I26" s="39">
        <v>2859</v>
      </c>
      <c r="J26" s="39">
        <v>3898</v>
      </c>
      <c r="K26" s="39">
        <v>4001</v>
      </c>
      <c r="L26" s="39">
        <v>4189</v>
      </c>
      <c r="M26" s="39">
        <v>4311</v>
      </c>
      <c r="N26" s="39">
        <v>4416</v>
      </c>
      <c r="O26" s="39">
        <v>4647</v>
      </c>
      <c r="P26" s="39">
        <v>4686</v>
      </c>
      <c r="Q26" s="39">
        <v>4608</v>
      </c>
      <c r="R26" s="39">
        <v>4562</v>
      </c>
      <c r="S26" s="39">
        <v>4628</v>
      </c>
      <c r="T26" s="39">
        <v>2851</v>
      </c>
      <c r="U26" s="39">
        <v>3182</v>
      </c>
      <c r="V26" s="39">
        <v>3260</v>
      </c>
      <c r="W26" s="39">
        <v>3339</v>
      </c>
      <c r="X26" s="39">
        <v>3251</v>
      </c>
      <c r="Y26" s="39">
        <v>3261</v>
      </c>
      <c r="Z26" s="40">
        <v>3203</v>
      </c>
      <c r="AA26" s="41">
        <f t="shared" si="0"/>
        <v>90694</v>
      </c>
      <c r="AB26" s="23">
        <v>5</v>
      </c>
      <c r="AC26" s="96"/>
      <c r="AD26" s="48"/>
    </row>
    <row r="27" spans="1:30" ht="15.75" thickBot="1" x14ac:dyDescent="0.3">
      <c r="A27" s="93">
        <v>46235</v>
      </c>
      <c r="B27" s="18" t="s">
        <v>5</v>
      </c>
      <c r="C27" s="33">
        <v>4174</v>
      </c>
      <c r="D27" s="33">
        <v>4094</v>
      </c>
      <c r="E27" s="33">
        <v>4001</v>
      </c>
      <c r="F27" s="33">
        <v>3905</v>
      </c>
      <c r="G27" s="33">
        <v>3882</v>
      </c>
      <c r="H27" s="33">
        <v>3650</v>
      </c>
      <c r="I27" s="33">
        <v>3155</v>
      </c>
      <c r="J27" s="33">
        <v>4606</v>
      </c>
      <c r="K27" s="33">
        <v>4910</v>
      </c>
      <c r="L27" s="33">
        <v>5139</v>
      </c>
      <c r="M27" s="33">
        <v>5346</v>
      </c>
      <c r="N27" s="33">
        <v>5677</v>
      </c>
      <c r="O27" s="33">
        <v>5806</v>
      </c>
      <c r="P27" s="33">
        <v>5737</v>
      </c>
      <c r="Q27" s="33">
        <v>5902</v>
      </c>
      <c r="R27" s="33">
        <v>5981</v>
      </c>
      <c r="S27" s="33">
        <v>5919</v>
      </c>
      <c r="T27" s="33">
        <v>3782</v>
      </c>
      <c r="U27" s="33">
        <v>3918</v>
      </c>
      <c r="V27" s="33">
        <v>3832</v>
      </c>
      <c r="W27" s="33">
        <v>3819</v>
      </c>
      <c r="X27" s="33">
        <v>3713</v>
      </c>
      <c r="Y27" s="33">
        <v>3613</v>
      </c>
      <c r="Z27" s="34">
        <v>3531</v>
      </c>
      <c r="AA27" s="35">
        <f t="shared" si="0"/>
        <v>108092</v>
      </c>
      <c r="AB27" s="19">
        <v>19</v>
      </c>
      <c r="AC27" s="94">
        <f>+AA27*AB27+AA28*AB28+AA29*AB29</f>
        <v>3279184</v>
      </c>
    </row>
    <row r="28" spans="1:30" ht="15.75" thickBot="1" x14ac:dyDescent="0.3">
      <c r="A28" s="93"/>
      <c r="B28" s="20" t="s">
        <v>4</v>
      </c>
      <c r="C28" s="36">
        <v>4284</v>
      </c>
      <c r="D28" s="36">
        <v>4230</v>
      </c>
      <c r="E28" s="36">
        <v>4188</v>
      </c>
      <c r="F28" s="36">
        <v>4066</v>
      </c>
      <c r="G28" s="36">
        <v>4071</v>
      </c>
      <c r="H28" s="36">
        <v>3987</v>
      </c>
      <c r="I28" s="36">
        <v>3529</v>
      </c>
      <c r="J28" s="36">
        <v>4668</v>
      </c>
      <c r="K28" s="36">
        <v>4943</v>
      </c>
      <c r="L28" s="36">
        <v>5140</v>
      </c>
      <c r="M28" s="36">
        <v>5225</v>
      </c>
      <c r="N28" s="36">
        <v>5519</v>
      </c>
      <c r="O28" s="36">
        <v>5740</v>
      </c>
      <c r="P28" s="36">
        <v>5491</v>
      </c>
      <c r="Q28" s="36">
        <v>5691</v>
      </c>
      <c r="R28" s="36">
        <v>5547</v>
      </c>
      <c r="S28" s="36">
        <v>5511</v>
      </c>
      <c r="T28" s="36">
        <v>3690</v>
      </c>
      <c r="U28" s="36">
        <v>3810</v>
      </c>
      <c r="V28" s="36">
        <v>3776</v>
      </c>
      <c r="W28" s="36">
        <v>3667</v>
      </c>
      <c r="X28" s="36">
        <v>3473</v>
      </c>
      <c r="Y28" s="36">
        <v>3458</v>
      </c>
      <c r="Z28" s="37">
        <v>3381</v>
      </c>
      <c r="AA28" s="38">
        <f t="shared" si="0"/>
        <v>107085</v>
      </c>
      <c r="AB28" s="21">
        <v>5</v>
      </c>
      <c r="AC28" s="95"/>
      <c r="AD28" s="47"/>
    </row>
    <row r="29" spans="1:30" ht="15" x14ac:dyDescent="0.25">
      <c r="A29" s="93"/>
      <c r="B29" s="22" t="s">
        <v>3</v>
      </c>
      <c r="C29" s="39">
        <v>4197</v>
      </c>
      <c r="D29" s="39">
        <v>4123</v>
      </c>
      <c r="E29" s="39">
        <v>3972</v>
      </c>
      <c r="F29" s="39">
        <v>3900</v>
      </c>
      <c r="G29" s="39">
        <v>3913</v>
      </c>
      <c r="H29" s="39">
        <v>3850</v>
      </c>
      <c r="I29" s="39">
        <v>2964</v>
      </c>
      <c r="J29" s="39">
        <v>4142</v>
      </c>
      <c r="K29" s="39">
        <v>4236</v>
      </c>
      <c r="L29" s="39">
        <v>4399</v>
      </c>
      <c r="M29" s="39">
        <v>4556</v>
      </c>
      <c r="N29" s="39">
        <v>4692</v>
      </c>
      <c r="O29" s="39">
        <v>4860</v>
      </c>
      <c r="P29" s="39">
        <v>4969</v>
      </c>
      <c r="Q29" s="39">
        <v>4867</v>
      </c>
      <c r="R29" s="39">
        <v>4914</v>
      </c>
      <c r="S29" s="39">
        <v>4990</v>
      </c>
      <c r="T29" s="39">
        <v>3077</v>
      </c>
      <c r="U29" s="39">
        <v>3567</v>
      </c>
      <c r="V29" s="39">
        <v>3744</v>
      </c>
      <c r="W29" s="39">
        <v>3738</v>
      </c>
      <c r="X29" s="39">
        <v>3705</v>
      </c>
      <c r="Y29" s="39">
        <v>3681</v>
      </c>
      <c r="Z29" s="40">
        <v>3517</v>
      </c>
      <c r="AA29" s="41">
        <f t="shared" si="0"/>
        <v>98573</v>
      </c>
      <c r="AB29" s="23">
        <v>7</v>
      </c>
      <c r="AC29" s="96"/>
      <c r="AD29" s="49"/>
    </row>
    <row r="30" spans="1:30" ht="15.75" thickBot="1" x14ac:dyDescent="0.3">
      <c r="A30" s="93">
        <v>46266</v>
      </c>
      <c r="B30" s="18" t="s">
        <v>5</v>
      </c>
      <c r="C30" s="33">
        <v>4548</v>
      </c>
      <c r="D30" s="33">
        <v>4402</v>
      </c>
      <c r="E30" s="33">
        <v>4313</v>
      </c>
      <c r="F30" s="33">
        <v>4237</v>
      </c>
      <c r="G30" s="33">
        <v>4184</v>
      </c>
      <c r="H30" s="33">
        <v>3956</v>
      </c>
      <c r="I30" s="33">
        <v>3500</v>
      </c>
      <c r="J30" s="33">
        <v>4968</v>
      </c>
      <c r="K30" s="33">
        <v>5332</v>
      </c>
      <c r="L30" s="33">
        <v>5650</v>
      </c>
      <c r="M30" s="33">
        <v>5842</v>
      </c>
      <c r="N30" s="33">
        <v>6198</v>
      </c>
      <c r="O30" s="33">
        <v>6285</v>
      </c>
      <c r="P30" s="33">
        <v>6225</v>
      </c>
      <c r="Q30" s="33">
        <v>6399</v>
      </c>
      <c r="R30" s="33">
        <v>6436</v>
      </c>
      <c r="S30" s="33">
        <v>6318</v>
      </c>
      <c r="T30" s="33">
        <v>4203</v>
      </c>
      <c r="U30" s="33">
        <v>4333</v>
      </c>
      <c r="V30" s="33">
        <v>4278</v>
      </c>
      <c r="W30" s="33">
        <v>4280</v>
      </c>
      <c r="X30" s="33">
        <v>4141</v>
      </c>
      <c r="Y30" s="33">
        <v>4015</v>
      </c>
      <c r="Z30" s="34">
        <v>3955</v>
      </c>
      <c r="AA30" s="35">
        <f t="shared" si="0"/>
        <v>117998</v>
      </c>
      <c r="AB30" s="19">
        <v>22</v>
      </c>
      <c r="AC30" s="94">
        <f>+AA30*AB30+AA31*AB31+AA32*AB32</f>
        <v>3385268</v>
      </c>
    </row>
    <row r="31" spans="1:30" ht="15.75" thickBot="1" x14ac:dyDescent="0.3">
      <c r="A31" s="93"/>
      <c r="B31" s="20" t="s">
        <v>4</v>
      </c>
      <c r="C31" s="36">
        <v>4050</v>
      </c>
      <c r="D31" s="36">
        <v>3966</v>
      </c>
      <c r="E31" s="36">
        <v>3895</v>
      </c>
      <c r="F31" s="36">
        <v>3841</v>
      </c>
      <c r="G31" s="36">
        <v>3807</v>
      </c>
      <c r="H31" s="36">
        <v>3655</v>
      </c>
      <c r="I31" s="36">
        <v>3180</v>
      </c>
      <c r="J31" s="36">
        <v>4345</v>
      </c>
      <c r="K31" s="36">
        <v>4702</v>
      </c>
      <c r="L31" s="36">
        <v>4895</v>
      </c>
      <c r="M31" s="36">
        <v>5039</v>
      </c>
      <c r="N31" s="36">
        <v>5172</v>
      </c>
      <c r="O31" s="36">
        <v>5318</v>
      </c>
      <c r="P31" s="36">
        <v>5188</v>
      </c>
      <c r="Q31" s="36">
        <v>5152</v>
      </c>
      <c r="R31" s="36">
        <v>5208</v>
      </c>
      <c r="S31" s="36">
        <v>5222</v>
      </c>
      <c r="T31" s="36">
        <v>3329</v>
      </c>
      <c r="U31" s="36">
        <v>3558</v>
      </c>
      <c r="V31" s="36">
        <v>3410</v>
      </c>
      <c r="W31" s="36">
        <v>3349</v>
      </c>
      <c r="X31" s="36">
        <v>3267</v>
      </c>
      <c r="Y31" s="36">
        <v>3213</v>
      </c>
      <c r="Z31" s="37">
        <v>3247</v>
      </c>
      <c r="AA31" s="38">
        <f t="shared" si="0"/>
        <v>100008</v>
      </c>
      <c r="AB31" s="21">
        <v>4</v>
      </c>
      <c r="AC31" s="95"/>
      <c r="AD31" s="47"/>
    </row>
    <row r="32" spans="1:30" ht="15" x14ac:dyDescent="0.25">
      <c r="A32" s="93"/>
      <c r="B32" s="22" t="s">
        <v>3</v>
      </c>
      <c r="C32" s="39">
        <v>4014</v>
      </c>
      <c r="D32" s="39">
        <v>3972</v>
      </c>
      <c r="E32" s="39">
        <v>3850</v>
      </c>
      <c r="F32" s="39">
        <v>3823</v>
      </c>
      <c r="G32" s="39">
        <v>3843</v>
      </c>
      <c r="H32" s="39">
        <v>3723</v>
      </c>
      <c r="I32" s="39">
        <v>3129</v>
      </c>
      <c r="J32" s="39">
        <v>4226</v>
      </c>
      <c r="K32" s="39">
        <v>4407</v>
      </c>
      <c r="L32" s="39">
        <v>4541</v>
      </c>
      <c r="M32" s="39">
        <v>4665</v>
      </c>
      <c r="N32" s="39">
        <v>4781</v>
      </c>
      <c r="O32" s="39">
        <v>4938</v>
      </c>
      <c r="P32" s="39">
        <v>4960</v>
      </c>
      <c r="Q32" s="39">
        <v>4934</v>
      </c>
      <c r="R32" s="39">
        <v>4876</v>
      </c>
      <c r="S32" s="39">
        <v>4876</v>
      </c>
      <c r="T32" s="39">
        <v>3125</v>
      </c>
      <c r="U32" s="39">
        <v>3667</v>
      </c>
      <c r="V32" s="39">
        <v>3450</v>
      </c>
      <c r="W32" s="39">
        <v>3424</v>
      </c>
      <c r="X32" s="39">
        <v>3311</v>
      </c>
      <c r="Y32" s="39">
        <v>3348</v>
      </c>
      <c r="Z32" s="40">
        <v>3437</v>
      </c>
      <c r="AA32" s="41">
        <f t="shared" si="0"/>
        <v>97320</v>
      </c>
      <c r="AB32" s="23">
        <v>4</v>
      </c>
      <c r="AC32" s="96"/>
      <c r="AD32" s="48"/>
    </row>
    <row r="33" spans="1:30" ht="15.75" thickBot="1" x14ac:dyDescent="0.3">
      <c r="A33" s="93">
        <v>46296</v>
      </c>
      <c r="B33" s="18" t="s">
        <v>5</v>
      </c>
      <c r="C33" s="33">
        <v>3977</v>
      </c>
      <c r="D33" s="33">
        <v>3866</v>
      </c>
      <c r="E33" s="33">
        <v>3778</v>
      </c>
      <c r="F33" s="33">
        <v>3737</v>
      </c>
      <c r="G33" s="33">
        <v>3677</v>
      </c>
      <c r="H33" s="33">
        <v>3475</v>
      </c>
      <c r="I33" s="33">
        <v>3162</v>
      </c>
      <c r="J33" s="33">
        <v>4526</v>
      </c>
      <c r="K33" s="33">
        <v>4837</v>
      </c>
      <c r="L33" s="33">
        <v>5049</v>
      </c>
      <c r="M33" s="33">
        <v>5259</v>
      </c>
      <c r="N33" s="33">
        <v>5513</v>
      </c>
      <c r="O33" s="33">
        <v>5642</v>
      </c>
      <c r="P33" s="33">
        <v>5593</v>
      </c>
      <c r="Q33" s="33">
        <v>5757</v>
      </c>
      <c r="R33" s="33">
        <v>5785</v>
      </c>
      <c r="S33" s="33">
        <v>5640</v>
      </c>
      <c r="T33" s="33">
        <v>3527</v>
      </c>
      <c r="U33" s="33">
        <v>3581</v>
      </c>
      <c r="V33" s="33">
        <v>3398</v>
      </c>
      <c r="W33" s="33">
        <v>3387</v>
      </c>
      <c r="X33" s="33">
        <v>3264</v>
      </c>
      <c r="Y33" s="33">
        <v>3224</v>
      </c>
      <c r="Z33" s="34">
        <v>3240</v>
      </c>
      <c r="AA33" s="35">
        <f t="shared" si="0"/>
        <v>102894</v>
      </c>
      <c r="AB33" s="19">
        <v>21</v>
      </c>
      <c r="AC33" s="94">
        <f>+AA33*AB33+AA34*AB34+AA35*AB35</f>
        <v>3124074</v>
      </c>
    </row>
    <row r="34" spans="1:30" ht="15.75" thickBot="1" x14ac:dyDescent="0.3">
      <c r="A34" s="93"/>
      <c r="B34" s="20" t="s">
        <v>4</v>
      </c>
      <c r="C34" s="36">
        <v>4138</v>
      </c>
      <c r="D34" s="36">
        <v>4045</v>
      </c>
      <c r="E34" s="36">
        <v>3947</v>
      </c>
      <c r="F34" s="36">
        <v>3870</v>
      </c>
      <c r="G34" s="36">
        <v>3901</v>
      </c>
      <c r="H34" s="36">
        <v>3745</v>
      </c>
      <c r="I34" s="36">
        <v>3377</v>
      </c>
      <c r="J34" s="36">
        <v>4649</v>
      </c>
      <c r="K34" s="36">
        <v>4950</v>
      </c>
      <c r="L34" s="36">
        <v>5204</v>
      </c>
      <c r="M34" s="36">
        <v>5331</v>
      </c>
      <c r="N34" s="36">
        <v>5500</v>
      </c>
      <c r="O34" s="36">
        <v>5617</v>
      </c>
      <c r="P34" s="36">
        <v>5443</v>
      </c>
      <c r="Q34" s="36">
        <v>5447</v>
      </c>
      <c r="R34" s="36">
        <v>5413</v>
      </c>
      <c r="S34" s="36">
        <v>5351</v>
      </c>
      <c r="T34" s="36">
        <v>3657</v>
      </c>
      <c r="U34" s="36">
        <v>3886</v>
      </c>
      <c r="V34" s="36">
        <v>3736</v>
      </c>
      <c r="W34" s="36">
        <v>3598</v>
      </c>
      <c r="X34" s="36">
        <v>3430</v>
      </c>
      <c r="Y34" s="36">
        <v>3388</v>
      </c>
      <c r="Z34" s="37">
        <v>3393</v>
      </c>
      <c r="AA34" s="38">
        <f t="shared" si="0"/>
        <v>105016</v>
      </c>
      <c r="AB34" s="21">
        <v>5</v>
      </c>
      <c r="AC34" s="95"/>
      <c r="AD34" s="47"/>
    </row>
    <row r="35" spans="1:30" ht="15" x14ac:dyDescent="0.25">
      <c r="A35" s="93"/>
      <c r="B35" s="22" t="s">
        <v>3</v>
      </c>
      <c r="C35" s="39">
        <v>3709</v>
      </c>
      <c r="D35" s="39">
        <v>3577</v>
      </c>
      <c r="E35" s="39">
        <v>3553</v>
      </c>
      <c r="F35" s="39">
        <v>3469</v>
      </c>
      <c r="G35" s="39">
        <v>3454</v>
      </c>
      <c r="H35" s="39">
        <v>3359</v>
      </c>
      <c r="I35" s="39">
        <v>2895</v>
      </c>
      <c r="J35" s="39">
        <v>3946</v>
      </c>
      <c r="K35" s="39">
        <v>4019</v>
      </c>
      <c r="L35" s="39">
        <v>4219</v>
      </c>
      <c r="M35" s="39">
        <v>4331</v>
      </c>
      <c r="N35" s="39">
        <v>4401</v>
      </c>
      <c r="O35" s="39">
        <v>4507</v>
      </c>
      <c r="P35" s="39">
        <v>4610</v>
      </c>
      <c r="Q35" s="39">
        <v>4572</v>
      </c>
      <c r="R35" s="39">
        <v>4485</v>
      </c>
      <c r="S35" s="39">
        <v>4502</v>
      </c>
      <c r="T35" s="39">
        <v>2683</v>
      </c>
      <c r="U35" s="39">
        <v>2858</v>
      </c>
      <c r="V35" s="39">
        <v>2831</v>
      </c>
      <c r="W35" s="39">
        <v>2846</v>
      </c>
      <c r="X35" s="39">
        <v>2852</v>
      </c>
      <c r="Y35" s="39">
        <v>2970</v>
      </c>
      <c r="Z35" s="40">
        <v>2996</v>
      </c>
      <c r="AA35" s="41">
        <f t="shared" si="0"/>
        <v>87644</v>
      </c>
      <c r="AB35" s="23">
        <v>5</v>
      </c>
      <c r="AC35" s="96"/>
      <c r="AD35" s="48"/>
    </row>
    <row r="36" spans="1:30" ht="15.75" thickBot="1" x14ac:dyDescent="0.3">
      <c r="A36" s="93">
        <v>46327</v>
      </c>
      <c r="B36" s="18" t="s">
        <v>5</v>
      </c>
      <c r="C36" s="33">
        <v>3452</v>
      </c>
      <c r="D36" s="33">
        <v>3457</v>
      </c>
      <c r="E36" s="33">
        <v>3392</v>
      </c>
      <c r="F36" s="33">
        <v>3325</v>
      </c>
      <c r="G36" s="33">
        <v>3290</v>
      </c>
      <c r="H36" s="33">
        <v>3080</v>
      </c>
      <c r="I36" s="33">
        <v>2877</v>
      </c>
      <c r="J36" s="33">
        <v>4165</v>
      </c>
      <c r="K36" s="33">
        <v>4395</v>
      </c>
      <c r="L36" s="33">
        <v>4535</v>
      </c>
      <c r="M36" s="33">
        <v>4624</v>
      </c>
      <c r="N36" s="33">
        <v>4860</v>
      </c>
      <c r="O36" s="33">
        <v>4976</v>
      </c>
      <c r="P36" s="33">
        <v>4924</v>
      </c>
      <c r="Q36" s="33">
        <v>4998</v>
      </c>
      <c r="R36" s="33">
        <v>5031</v>
      </c>
      <c r="S36" s="33">
        <v>4884</v>
      </c>
      <c r="T36" s="33">
        <v>2860</v>
      </c>
      <c r="U36" s="33">
        <v>2714</v>
      </c>
      <c r="V36" s="33">
        <v>2534</v>
      </c>
      <c r="W36" s="33">
        <v>2585</v>
      </c>
      <c r="X36" s="33">
        <v>2518</v>
      </c>
      <c r="Y36" s="33">
        <v>2563</v>
      </c>
      <c r="Z36" s="34">
        <v>2633</v>
      </c>
      <c r="AA36" s="35">
        <f t="shared" si="0"/>
        <v>88672</v>
      </c>
      <c r="AB36" s="19">
        <v>19</v>
      </c>
      <c r="AC36" s="94">
        <f>+AA36*AB36+AA37*AB37+AA38*AB38</f>
        <v>2579989</v>
      </c>
    </row>
    <row r="37" spans="1:30" ht="15.75" thickBot="1" x14ac:dyDescent="0.3">
      <c r="A37" s="93"/>
      <c r="B37" s="20" t="s">
        <v>4</v>
      </c>
      <c r="C37" s="36">
        <v>3274</v>
      </c>
      <c r="D37" s="36">
        <v>3244</v>
      </c>
      <c r="E37" s="36">
        <v>3188</v>
      </c>
      <c r="F37" s="36">
        <v>3165</v>
      </c>
      <c r="G37" s="36">
        <v>3156</v>
      </c>
      <c r="H37" s="36">
        <v>3112</v>
      </c>
      <c r="I37" s="36">
        <v>2924</v>
      </c>
      <c r="J37" s="36">
        <v>4063</v>
      </c>
      <c r="K37" s="36">
        <v>4211</v>
      </c>
      <c r="L37" s="36">
        <v>4316</v>
      </c>
      <c r="M37" s="36">
        <v>4330</v>
      </c>
      <c r="N37" s="36">
        <v>4435</v>
      </c>
      <c r="O37" s="36">
        <v>4615</v>
      </c>
      <c r="P37" s="36">
        <v>4615</v>
      </c>
      <c r="Q37" s="36">
        <v>4605</v>
      </c>
      <c r="R37" s="36">
        <v>4674</v>
      </c>
      <c r="S37" s="36">
        <v>4642</v>
      </c>
      <c r="T37" s="36">
        <v>2646</v>
      </c>
      <c r="U37" s="36">
        <v>2721</v>
      </c>
      <c r="V37" s="36">
        <v>2631</v>
      </c>
      <c r="W37" s="36">
        <v>2523</v>
      </c>
      <c r="X37" s="36">
        <v>2421</v>
      </c>
      <c r="Y37" s="36">
        <v>2531</v>
      </c>
      <c r="Z37" s="37">
        <v>2612</v>
      </c>
      <c r="AA37" s="38">
        <f t="shared" si="0"/>
        <v>84654</v>
      </c>
      <c r="AB37" s="21">
        <v>4</v>
      </c>
      <c r="AC37" s="95"/>
      <c r="AD37" s="47"/>
    </row>
    <row r="38" spans="1:30" ht="15" x14ac:dyDescent="0.25">
      <c r="A38" s="93"/>
      <c r="B38" s="22" t="s">
        <v>3</v>
      </c>
      <c r="C38" s="39">
        <v>3184</v>
      </c>
      <c r="D38" s="39">
        <v>3258</v>
      </c>
      <c r="E38" s="39">
        <v>3152</v>
      </c>
      <c r="F38" s="39">
        <v>3062</v>
      </c>
      <c r="G38" s="39">
        <v>3079</v>
      </c>
      <c r="H38" s="39">
        <v>3058</v>
      </c>
      <c r="I38" s="39">
        <v>2686</v>
      </c>
      <c r="J38" s="39">
        <v>3712</v>
      </c>
      <c r="K38" s="39">
        <v>3816</v>
      </c>
      <c r="L38" s="39">
        <v>3990</v>
      </c>
      <c r="M38" s="39">
        <v>4063</v>
      </c>
      <c r="N38" s="39">
        <v>4070</v>
      </c>
      <c r="O38" s="39">
        <v>4249</v>
      </c>
      <c r="P38" s="39">
        <v>4360</v>
      </c>
      <c r="Q38" s="39">
        <v>4245</v>
      </c>
      <c r="R38" s="39">
        <v>4251</v>
      </c>
      <c r="S38" s="39">
        <v>4251</v>
      </c>
      <c r="T38" s="39">
        <v>2214</v>
      </c>
      <c r="U38" s="39">
        <v>2396</v>
      </c>
      <c r="V38" s="39">
        <v>2276</v>
      </c>
      <c r="W38" s="39">
        <v>2376</v>
      </c>
      <c r="X38" s="39">
        <v>2378</v>
      </c>
      <c r="Y38" s="39">
        <v>2612</v>
      </c>
      <c r="Z38" s="40">
        <v>2777</v>
      </c>
      <c r="AA38" s="41">
        <f t="shared" si="0"/>
        <v>79515</v>
      </c>
      <c r="AB38" s="23">
        <v>7</v>
      </c>
      <c r="AC38" s="96"/>
      <c r="AD38" s="49"/>
    </row>
    <row r="39" spans="1:30" ht="15.75" thickBot="1" x14ac:dyDescent="0.3">
      <c r="A39" s="93">
        <v>46357</v>
      </c>
      <c r="B39" s="18" t="s">
        <v>5</v>
      </c>
      <c r="C39" s="33">
        <v>4014</v>
      </c>
      <c r="D39" s="33">
        <v>3992</v>
      </c>
      <c r="E39" s="33">
        <v>3875</v>
      </c>
      <c r="F39" s="33">
        <v>3793</v>
      </c>
      <c r="G39" s="33">
        <v>3798</v>
      </c>
      <c r="H39" s="33">
        <v>3871</v>
      </c>
      <c r="I39" s="33">
        <v>3897</v>
      </c>
      <c r="J39" s="33">
        <v>5233</v>
      </c>
      <c r="K39" s="33">
        <v>5655</v>
      </c>
      <c r="L39" s="33">
        <v>5959</v>
      </c>
      <c r="M39" s="33">
        <v>6239</v>
      </c>
      <c r="N39" s="33">
        <v>6550</v>
      </c>
      <c r="O39" s="33">
        <v>6619</v>
      </c>
      <c r="P39" s="33">
        <v>6528</v>
      </c>
      <c r="Q39" s="33">
        <v>6717</v>
      </c>
      <c r="R39" s="33">
        <v>6703</v>
      </c>
      <c r="S39" s="33">
        <v>6535</v>
      </c>
      <c r="T39" s="33">
        <v>4478</v>
      </c>
      <c r="U39" s="33">
        <v>4208</v>
      </c>
      <c r="V39" s="33">
        <v>4039</v>
      </c>
      <c r="W39" s="33">
        <v>3860</v>
      </c>
      <c r="X39" s="33">
        <v>3696</v>
      </c>
      <c r="Y39" s="33">
        <v>3553</v>
      </c>
      <c r="Z39" s="34">
        <v>3452</v>
      </c>
      <c r="AA39" s="35">
        <f t="shared" si="0"/>
        <v>117264</v>
      </c>
      <c r="AB39" s="19">
        <v>21</v>
      </c>
      <c r="AC39" s="94">
        <f>+AA39*AB39+AA40*AB40+AA41*AB41</f>
        <v>3523726</v>
      </c>
    </row>
    <row r="40" spans="1:30" ht="15.75" thickBot="1" x14ac:dyDescent="0.3">
      <c r="A40" s="93"/>
      <c r="B40" s="20" t="s">
        <v>4</v>
      </c>
      <c r="C40" s="36">
        <v>4421</v>
      </c>
      <c r="D40" s="36">
        <v>4238</v>
      </c>
      <c r="E40" s="36">
        <v>4155</v>
      </c>
      <c r="F40" s="36">
        <v>4091</v>
      </c>
      <c r="G40" s="36">
        <v>4147</v>
      </c>
      <c r="H40" s="36">
        <v>4161</v>
      </c>
      <c r="I40" s="36">
        <v>4171</v>
      </c>
      <c r="J40" s="36">
        <v>5476</v>
      </c>
      <c r="K40" s="36">
        <v>5918</v>
      </c>
      <c r="L40" s="36">
        <v>6199</v>
      </c>
      <c r="M40" s="36">
        <v>6505</v>
      </c>
      <c r="N40" s="36">
        <v>6728</v>
      </c>
      <c r="O40" s="36">
        <v>6611</v>
      </c>
      <c r="P40" s="36">
        <v>6439</v>
      </c>
      <c r="Q40" s="36">
        <v>6437</v>
      </c>
      <c r="R40" s="36">
        <v>6366</v>
      </c>
      <c r="S40" s="36">
        <v>6360</v>
      </c>
      <c r="T40" s="36">
        <v>4639</v>
      </c>
      <c r="U40" s="36">
        <v>4587</v>
      </c>
      <c r="V40" s="36">
        <v>4327</v>
      </c>
      <c r="W40" s="36">
        <v>4065</v>
      </c>
      <c r="X40" s="36">
        <v>3752</v>
      </c>
      <c r="Y40" s="36">
        <v>3545</v>
      </c>
      <c r="Z40" s="37">
        <v>3479</v>
      </c>
      <c r="AA40" s="38">
        <f t="shared" si="0"/>
        <v>120817</v>
      </c>
      <c r="AB40" s="21">
        <v>4</v>
      </c>
      <c r="AC40" s="95"/>
      <c r="AD40" s="47"/>
    </row>
    <row r="41" spans="1:30" ht="15" x14ac:dyDescent="0.25">
      <c r="A41" s="93"/>
      <c r="B41" s="22" t="s">
        <v>3</v>
      </c>
      <c r="C41" s="39">
        <v>3308</v>
      </c>
      <c r="D41" s="39">
        <v>3294</v>
      </c>
      <c r="E41" s="39">
        <v>3271</v>
      </c>
      <c r="F41" s="39">
        <v>3282</v>
      </c>
      <c r="G41" s="39">
        <v>3329</v>
      </c>
      <c r="H41" s="39">
        <v>3422</v>
      </c>
      <c r="I41" s="39">
        <v>3397</v>
      </c>
      <c r="J41" s="39">
        <v>4521</v>
      </c>
      <c r="K41" s="39">
        <v>4739</v>
      </c>
      <c r="L41" s="39">
        <v>4983</v>
      </c>
      <c r="M41" s="39">
        <v>5185</v>
      </c>
      <c r="N41" s="39">
        <v>5361</v>
      </c>
      <c r="O41" s="39">
        <v>5417</v>
      </c>
      <c r="P41" s="39">
        <v>5379</v>
      </c>
      <c r="Q41" s="39">
        <v>5246</v>
      </c>
      <c r="R41" s="39">
        <v>5172</v>
      </c>
      <c r="S41" s="39">
        <v>5175</v>
      </c>
      <c r="T41" s="39">
        <v>3381</v>
      </c>
      <c r="U41" s="39">
        <v>3279</v>
      </c>
      <c r="V41" s="39">
        <v>3185</v>
      </c>
      <c r="W41" s="39">
        <v>3144</v>
      </c>
      <c r="X41" s="39">
        <v>3024</v>
      </c>
      <c r="Y41" s="39">
        <v>2947</v>
      </c>
      <c r="Z41" s="40">
        <v>2878</v>
      </c>
      <c r="AA41" s="41">
        <f t="shared" si="0"/>
        <v>96319</v>
      </c>
      <c r="AB41" s="23">
        <v>6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142375</v>
      </c>
      <c r="D42" s="31">
        <f t="shared" si="1"/>
        <v>140434</v>
      </c>
      <c r="E42" s="31">
        <f t="shared" si="1"/>
        <v>137447</v>
      </c>
      <c r="F42" s="31">
        <f t="shared" si="1"/>
        <v>135195</v>
      </c>
      <c r="G42" s="31">
        <f t="shared" si="1"/>
        <v>134563</v>
      </c>
      <c r="H42" s="31">
        <f t="shared" si="1"/>
        <v>131227</v>
      </c>
      <c r="I42" s="31">
        <f t="shared" si="1"/>
        <v>114262</v>
      </c>
      <c r="J42" s="31">
        <f t="shared" si="1"/>
        <v>156790</v>
      </c>
      <c r="K42" s="31">
        <f t="shared" si="1"/>
        <v>163886</v>
      </c>
      <c r="L42" s="31">
        <f t="shared" si="1"/>
        <v>170492</v>
      </c>
      <c r="M42" s="31">
        <f t="shared" si="1"/>
        <v>175810</v>
      </c>
      <c r="N42" s="31">
        <f t="shared" si="1"/>
        <v>182437</v>
      </c>
      <c r="O42" s="31">
        <f t="shared" si="1"/>
        <v>187707</v>
      </c>
      <c r="P42" s="31">
        <f t="shared" si="1"/>
        <v>187084</v>
      </c>
      <c r="Q42" s="31">
        <f t="shared" si="1"/>
        <v>188016</v>
      </c>
      <c r="R42" s="31">
        <f t="shared" si="1"/>
        <v>188448</v>
      </c>
      <c r="S42" s="31">
        <f t="shared" si="1"/>
        <v>187316</v>
      </c>
      <c r="T42" s="31">
        <f t="shared" si="1"/>
        <v>118618</v>
      </c>
      <c r="U42" s="31">
        <f t="shared" si="1"/>
        <v>124638</v>
      </c>
      <c r="V42" s="31">
        <f t="shared" si="1"/>
        <v>122957</v>
      </c>
      <c r="W42" s="31">
        <f t="shared" si="1"/>
        <v>122234</v>
      </c>
      <c r="X42" s="31">
        <f t="shared" si="1"/>
        <v>119223</v>
      </c>
      <c r="Y42" s="31">
        <f t="shared" si="1"/>
        <v>118630</v>
      </c>
      <c r="Z42" s="31">
        <f t="shared" si="1"/>
        <v>118621</v>
      </c>
      <c r="AA42" s="31">
        <f t="shared" si="1"/>
        <v>3568410</v>
      </c>
      <c r="AB42" s="31">
        <f t="shared" si="1"/>
        <v>365</v>
      </c>
      <c r="AC42" s="46">
        <f t="shared" si="1"/>
        <v>37564391</v>
      </c>
    </row>
    <row r="43" spans="1:30" ht="15" x14ac:dyDescent="0.25">
      <c r="AB43" s="6"/>
      <c r="AC43" s="6"/>
    </row>
    <row r="44" spans="1:30" ht="15" x14ac:dyDescent="0.25">
      <c r="C44" s="49"/>
    </row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1209-1201-4C03-97AC-25DB61F1D400}">
  <sheetPr>
    <tabColor rgb="FFFF0000"/>
  </sheetPr>
  <dimension ref="A1:AD46"/>
  <sheetViews>
    <sheetView showGridLines="0" zoomScale="115" zoomScaleNormal="115" zoomScaleSheetLayoutView="110" workbookViewId="0">
      <pane xSplit="2" ySplit="5" topLeftCell="C28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13" bestFit="1" customWidth="1"/>
    <col min="4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50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46023</v>
      </c>
      <c r="B6" s="18" t="s">
        <v>5</v>
      </c>
      <c r="C6" s="36">
        <f>ROUND('Anexo 11'!C6*'Anexo 1'!$D$10,0)</f>
        <v>0</v>
      </c>
      <c r="D6" s="33">
        <f>ROUND('Anexo 11'!D6*'Anexo 1'!$D$10,0)</f>
        <v>0</v>
      </c>
      <c r="E6" s="33">
        <f>ROUND('Anexo 11'!E6*'Anexo 1'!$D$10,0)</f>
        <v>0</v>
      </c>
      <c r="F6" s="33">
        <f>ROUND('Anexo 11'!F6*'Anexo 1'!$D$10,0)</f>
        <v>0</v>
      </c>
      <c r="G6" s="33">
        <f>ROUND('Anexo 11'!G6*'Anexo 1'!$D$10,0)</f>
        <v>0</v>
      </c>
      <c r="H6" s="33">
        <f>ROUND('Anexo 11'!H6*'Anexo 1'!$D$10,0)</f>
        <v>0</v>
      </c>
      <c r="I6" s="33">
        <f>ROUND('Anexo 11'!I6*'Anexo 1'!$D$10,0)</f>
        <v>0</v>
      </c>
      <c r="J6" s="33">
        <f>ROUND('Anexo 11'!J6*'Anexo 1'!$D$10,0)</f>
        <v>0</v>
      </c>
      <c r="K6" s="33">
        <f>ROUND('Anexo 11'!K6*'Anexo 1'!$D$10,0)</f>
        <v>0</v>
      </c>
      <c r="L6" s="33">
        <f>ROUND('Anexo 11'!L6*'Anexo 1'!$D$10,0)</f>
        <v>0</v>
      </c>
      <c r="M6" s="33">
        <f>ROUND('Anexo 11'!M6*'Anexo 1'!$D$10,0)</f>
        <v>0</v>
      </c>
      <c r="N6" s="33">
        <f>ROUND('Anexo 11'!N6*'Anexo 1'!$D$10,0)</f>
        <v>0</v>
      </c>
      <c r="O6" s="33">
        <f>ROUND('Anexo 11'!O6*'Anexo 1'!$D$10,0)</f>
        <v>0</v>
      </c>
      <c r="P6" s="33">
        <f>ROUND('Anexo 11'!P6*'Anexo 1'!$D$10,0)</f>
        <v>0</v>
      </c>
      <c r="Q6" s="33">
        <f>ROUND('Anexo 11'!Q6*'Anexo 1'!$D$10,0)</f>
        <v>0</v>
      </c>
      <c r="R6" s="33">
        <f>ROUND('Anexo 11'!R6*'Anexo 1'!$D$10,0)</f>
        <v>0</v>
      </c>
      <c r="S6" s="33">
        <f>ROUND('Anexo 11'!S6*'Anexo 1'!$D$10,0)</f>
        <v>0</v>
      </c>
      <c r="T6" s="33">
        <f>ROUND('Anexo 11'!T6*'Anexo 1'!$D$10,0)</f>
        <v>0</v>
      </c>
      <c r="U6" s="33">
        <f>ROUND('Anexo 11'!U6*'Anexo 1'!$D$10,0)</f>
        <v>0</v>
      </c>
      <c r="V6" s="33">
        <f>ROUND('Anexo 11'!V6*'Anexo 1'!$D$10,0)</f>
        <v>0</v>
      </c>
      <c r="W6" s="33">
        <f>ROUND('Anexo 11'!W6*'Anexo 1'!$D$10,0)</f>
        <v>0</v>
      </c>
      <c r="X6" s="33">
        <f>ROUND('Anexo 11'!X6*'Anexo 1'!$D$10,0)</f>
        <v>0</v>
      </c>
      <c r="Y6" s="33">
        <f>ROUND('Anexo 11'!Y6*'Anexo 1'!$D$10,0)</f>
        <v>0</v>
      </c>
      <c r="Z6" s="34">
        <f>ROUND('Anexo 11'!Z6*'Anexo 1'!$D$10,0)</f>
        <v>0</v>
      </c>
      <c r="AA6" s="35">
        <f>SUM(C6:Z6)</f>
        <v>0</v>
      </c>
      <c r="AB6" s="19">
        <v>20</v>
      </c>
      <c r="AC6" s="94">
        <f>+AA6*AB6+AA7*AB7+AA8*AB8</f>
        <v>0</v>
      </c>
      <c r="AD6" s="49"/>
    </row>
    <row r="7" spans="1:30" ht="15.75" thickBot="1" x14ac:dyDescent="0.3">
      <c r="A7" s="93"/>
      <c r="B7" s="20" t="s">
        <v>4</v>
      </c>
      <c r="C7" s="36">
        <f>ROUND('Anexo 11'!C7*'Anexo 1'!$D$10,0)</f>
        <v>0</v>
      </c>
      <c r="D7" s="36">
        <f>ROUND('Anexo 11'!D7*'Anexo 1'!$D$10,0)</f>
        <v>0</v>
      </c>
      <c r="E7" s="36">
        <f>ROUND('Anexo 11'!E7*'Anexo 1'!$D$10,0)</f>
        <v>0</v>
      </c>
      <c r="F7" s="36">
        <f>ROUND('Anexo 11'!F7*'Anexo 1'!$D$10,0)</f>
        <v>0</v>
      </c>
      <c r="G7" s="36">
        <f>ROUND('Anexo 11'!G7*'Anexo 1'!$D$10,0)</f>
        <v>0</v>
      </c>
      <c r="H7" s="36">
        <f>ROUND('Anexo 11'!H7*'Anexo 1'!$D$10,0)</f>
        <v>0</v>
      </c>
      <c r="I7" s="36">
        <f>ROUND('Anexo 11'!I7*'Anexo 1'!$D$10,0)</f>
        <v>0</v>
      </c>
      <c r="J7" s="36">
        <f>ROUND('Anexo 11'!J7*'Anexo 1'!$D$10,0)</f>
        <v>0</v>
      </c>
      <c r="K7" s="36">
        <f>ROUND('Anexo 11'!K7*'Anexo 1'!$D$10,0)</f>
        <v>0</v>
      </c>
      <c r="L7" s="36">
        <f>ROUND('Anexo 11'!L7*'Anexo 1'!$D$10,0)</f>
        <v>0</v>
      </c>
      <c r="M7" s="36">
        <f>ROUND('Anexo 11'!M7*'Anexo 1'!$D$10,0)</f>
        <v>0</v>
      </c>
      <c r="N7" s="36">
        <f>ROUND('Anexo 11'!N7*'Anexo 1'!$D$10,0)</f>
        <v>0</v>
      </c>
      <c r="O7" s="36">
        <f>ROUND('Anexo 11'!O7*'Anexo 1'!$D$10,0)</f>
        <v>0</v>
      </c>
      <c r="P7" s="36">
        <f>ROUND('Anexo 11'!P7*'Anexo 1'!$D$10,0)</f>
        <v>0</v>
      </c>
      <c r="Q7" s="36">
        <f>ROUND('Anexo 11'!Q7*'Anexo 1'!$D$10,0)</f>
        <v>0</v>
      </c>
      <c r="R7" s="36">
        <f>ROUND('Anexo 11'!R7*'Anexo 1'!$D$10,0)</f>
        <v>0</v>
      </c>
      <c r="S7" s="36">
        <f>ROUND('Anexo 11'!S7*'Anexo 1'!$D$10,0)</f>
        <v>0</v>
      </c>
      <c r="T7" s="36">
        <f>ROUND('Anexo 11'!T7*'Anexo 1'!$D$10,0)</f>
        <v>0</v>
      </c>
      <c r="U7" s="36">
        <f>ROUND('Anexo 11'!U7*'Anexo 1'!$D$10,0)</f>
        <v>0</v>
      </c>
      <c r="V7" s="36">
        <f>ROUND('Anexo 11'!V7*'Anexo 1'!$D$10,0)</f>
        <v>0</v>
      </c>
      <c r="W7" s="36">
        <f>ROUND('Anexo 11'!W7*'Anexo 1'!$D$10,0)</f>
        <v>0</v>
      </c>
      <c r="X7" s="36">
        <f>ROUND('Anexo 11'!X7*'Anexo 1'!$D$10,0)</f>
        <v>0</v>
      </c>
      <c r="Y7" s="36">
        <f>ROUND('Anexo 11'!Y7*'Anexo 1'!$D$10,0)</f>
        <v>0</v>
      </c>
      <c r="Z7" s="37">
        <f>ROUND('Anexo 11'!Z7*'Anexo 1'!$D$10,0)</f>
        <v>0</v>
      </c>
      <c r="AA7" s="38">
        <f t="shared" ref="AA7:AA41" si="0">SUM(C7:Z7)</f>
        <v>0</v>
      </c>
      <c r="AB7" s="21">
        <v>5</v>
      </c>
      <c r="AC7" s="95"/>
      <c r="AD7" s="49"/>
    </row>
    <row r="8" spans="1:30" ht="15" x14ac:dyDescent="0.25">
      <c r="A8" s="93"/>
      <c r="B8" s="22" t="s">
        <v>3</v>
      </c>
      <c r="C8" s="39">
        <f>ROUND('Anexo 11'!C8*'Anexo 1'!$D$10,0)</f>
        <v>0</v>
      </c>
      <c r="D8" s="39">
        <f>ROUND('Anexo 11'!D8*'Anexo 1'!$D$10,0)</f>
        <v>0</v>
      </c>
      <c r="E8" s="39">
        <f>ROUND('Anexo 11'!E8*'Anexo 1'!$D$10,0)</f>
        <v>0</v>
      </c>
      <c r="F8" s="39">
        <f>ROUND('Anexo 11'!F8*'Anexo 1'!$D$10,0)</f>
        <v>0</v>
      </c>
      <c r="G8" s="39">
        <f>ROUND('Anexo 11'!G8*'Anexo 1'!$D$10,0)</f>
        <v>0</v>
      </c>
      <c r="H8" s="39">
        <f>ROUND('Anexo 11'!H8*'Anexo 1'!$D$10,0)</f>
        <v>0</v>
      </c>
      <c r="I8" s="39">
        <f>ROUND('Anexo 11'!I8*'Anexo 1'!$D$10,0)</f>
        <v>0</v>
      </c>
      <c r="J8" s="39">
        <f>ROUND('Anexo 11'!J8*'Anexo 1'!$D$10,0)</f>
        <v>0</v>
      </c>
      <c r="K8" s="39">
        <f>ROUND('Anexo 11'!K8*'Anexo 1'!$D$10,0)</f>
        <v>0</v>
      </c>
      <c r="L8" s="39">
        <f>ROUND('Anexo 11'!L8*'Anexo 1'!$D$10,0)</f>
        <v>0</v>
      </c>
      <c r="M8" s="39">
        <f>ROUND('Anexo 11'!M8*'Anexo 1'!$D$10,0)</f>
        <v>0</v>
      </c>
      <c r="N8" s="39">
        <f>ROUND('Anexo 11'!N8*'Anexo 1'!$D$10,0)</f>
        <v>0</v>
      </c>
      <c r="O8" s="39">
        <f>ROUND('Anexo 11'!O8*'Anexo 1'!$D$10,0)</f>
        <v>0</v>
      </c>
      <c r="P8" s="39">
        <f>ROUND('Anexo 11'!P8*'Anexo 1'!$D$10,0)</f>
        <v>0</v>
      </c>
      <c r="Q8" s="39">
        <f>ROUND('Anexo 11'!Q8*'Anexo 1'!$D$10,0)</f>
        <v>0</v>
      </c>
      <c r="R8" s="39">
        <f>ROUND('Anexo 11'!R8*'Anexo 1'!$D$10,0)</f>
        <v>0</v>
      </c>
      <c r="S8" s="39">
        <f>ROUND('Anexo 11'!S8*'Anexo 1'!$D$10,0)</f>
        <v>0</v>
      </c>
      <c r="T8" s="39">
        <f>ROUND('Anexo 11'!T8*'Anexo 1'!$D$10,0)</f>
        <v>0</v>
      </c>
      <c r="U8" s="39">
        <f>ROUND('Anexo 11'!U8*'Anexo 1'!$D$10,0)</f>
        <v>0</v>
      </c>
      <c r="V8" s="39">
        <f>ROUND('Anexo 11'!V8*'Anexo 1'!$D$10,0)</f>
        <v>0</v>
      </c>
      <c r="W8" s="39">
        <f>ROUND('Anexo 11'!W8*'Anexo 1'!$D$10,0)</f>
        <v>0</v>
      </c>
      <c r="X8" s="39">
        <f>ROUND('Anexo 11'!X8*'Anexo 1'!$D$10,0)</f>
        <v>0</v>
      </c>
      <c r="Y8" s="39">
        <f>ROUND('Anexo 11'!Y8*'Anexo 1'!$D$10,0)</f>
        <v>0</v>
      </c>
      <c r="Z8" s="40">
        <f>ROUND('Anexo 11'!Z8*'Anexo 1'!$D$10,0)</f>
        <v>0</v>
      </c>
      <c r="AA8" s="41">
        <f t="shared" si="0"/>
        <v>0</v>
      </c>
      <c r="AB8" s="23">
        <v>6</v>
      </c>
      <c r="AC8" s="96"/>
      <c r="AD8" s="49"/>
    </row>
    <row r="9" spans="1:30" ht="15.75" thickBot="1" x14ac:dyDescent="0.3">
      <c r="A9" s="93">
        <v>46054</v>
      </c>
      <c r="B9" s="18" t="s">
        <v>5</v>
      </c>
      <c r="C9" s="33">
        <f>ROUND('Anexo 11'!C9*'Anexo 1'!$D$10,0)</f>
        <v>0</v>
      </c>
      <c r="D9" s="33">
        <f>ROUND('Anexo 11'!D9*'Anexo 1'!$D$10,0)</f>
        <v>0</v>
      </c>
      <c r="E9" s="33">
        <f>ROUND('Anexo 11'!E9*'Anexo 1'!$D$10,0)</f>
        <v>0</v>
      </c>
      <c r="F9" s="33">
        <f>ROUND('Anexo 11'!F9*'Anexo 1'!$D$10,0)</f>
        <v>0</v>
      </c>
      <c r="G9" s="33">
        <f>ROUND('Anexo 11'!G9*'Anexo 1'!$D$10,0)</f>
        <v>0</v>
      </c>
      <c r="H9" s="33">
        <f>ROUND('Anexo 11'!H9*'Anexo 1'!$D$10,0)</f>
        <v>0</v>
      </c>
      <c r="I9" s="33">
        <f>ROUND('Anexo 11'!I9*'Anexo 1'!$D$10,0)</f>
        <v>0</v>
      </c>
      <c r="J9" s="33">
        <f>ROUND('Anexo 11'!J9*'Anexo 1'!$D$10,0)</f>
        <v>0</v>
      </c>
      <c r="K9" s="33">
        <f>ROUND('Anexo 11'!K9*'Anexo 1'!$D$10,0)</f>
        <v>0</v>
      </c>
      <c r="L9" s="33">
        <f>ROUND('Anexo 11'!L9*'Anexo 1'!$D$10,0)</f>
        <v>0</v>
      </c>
      <c r="M9" s="33">
        <f>ROUND('Anexo 11'!M9*'Anexo 1'!$D$10,0)</f>
        <v>0</v>
      </c>
      <c r="N9" s="33">
        <f>ROUND('Anexo 11'!N9*'Anexo 1'!$D$10,0)</f>
        <v>0</v>
      </c>
      <c r="O9" s="33">
        <f>ROUND('Anexo 11'!O9*'Anexo 1'!$D$10,0)</f>
        <v>0</v>
      </c>
      <c r="P9" s="33">
        <f>ROUND('Anexo 11'!P9*'Anexo 1'!$D$10,0)</f>
        <v>0</v>
      </c>
      <c r="Q9" s="33">
        <f>ROUND('Anexo 11'!Q9*'Anexo 1'!$D$10,0)</f>
        <v>0</v>
      </c>
      <c r="R9" s="33">
        <f>ROUND('Anexo 11'!R9*'Anexo 1'!$D$10,0)</f>
        <v>0</v>
      </c>
      <c r="S9" s="33">
        <f>ROUND('Anexo 11'!S9*'Anexo 1'!$D$10,0)</f>
        <v>0</v>
      </c>
      <c r="T9" s="33">
        <f>ROUND('Anexo 11'!T9*'Anexo 1'!$D$10,0)</f>
        <v>0</v>
      </c>
      <c r="U9" s="33">
        <f>ROUND('Anexo 11'!U9*'Anexo 1'!$D$10,0)</f>
        <v>0</v>
      </c>
      <c r="V9" s="33">
        <f>ROUND('Anexo 11'!V9*'Anexo 1'!$D$10,0)</f>
        <v>0</v>
      </c>
      <c r="W9" s="33">
        <f>ROUND('Anexo 11'!W9*'Anexo 1'!$D$10,0)</f>
        <v>0</v>
      </c>
      <c r="X9" s="33">
        <f>ROUND('Anexo 11'!X9*'Anexo 1'!$D$10,0)</f>
        <v>0</v>
      </c>
      <c r="Y9" s="33">
        <f>ROUND('Anexo 11'!Y9*'Anexo 1'!$D$10,0)</f>
        <v>0</v>
      </c>
      <c r="Z9" s="34">
        <f>ROUND('Anexo 11'!Z9*'Anexo 1'!$D$10,0)</f>
        <v>0</v>
      </c>
      <c r="AA9" s="35">
        <f t="shared" si="0"/>
        <v>0</v>
      </c>
      <c r="AB9" s="19">
        <v>20</v>
      </c>
      <c r="AC9" s="94">
        <f>+AA9*AB9+AA10*AB10+AA11*AB11</f>
        <v>0</v>
      </c>
      <c r="AD9" s="49"/>
    </row>
    <row r="10" spans="1:30" ht="15.75" thickBot="1" x14ac:dyDescent="0.3">
      <c r="A10" s="93"/>
      <c r="B10" s="20" t="s">
        <v>4</v>
      </c>
      <c r="C10" s="36">
        <f>ROUND('Anexo 11'!C10*'Anexo 1'!$D$10,0)</f>
        <v>0</v>
      </c>
      <c r="D10" s="36">
        <f>ROUND('Anexo 11'!D10*'Anexo 1'!$D$10,0)</f>
        <v>0</v>
      </c>
      <c r="E10" s="36">
        <f>ROUND('Anexo 11'!E10*'Anexo 1'!$D$10,0)</f>
        <v>0</v>
      </c>
      <c r="F10" s="36">
        <f>ROUND('Anexo 11'!F10*'Anexo 1'!$D$10,0)</f>
        <v>0</v>
      </c>
      <c r="G10" s="36">
        <f>ROUND('Anexo 11'!G10*'Anexo 1'!$D$10,0)</f>
        <v>0</v>
      </c>
      <c r="H10" s="36">
        <f>ROUND('Anexo 11'!H10*'Anexo 1'!$D$10,0)</f>
        <v>0</v>
      </c>
      <c r="I10" s="36">
        <f>ROUND('Anexo 11'!I10*'Anexo 1'!$D$10,0)</f>
        <v>0</v>
      </c>
      <c r="J10" s="36">
        <f>ROUND('Anexo 11'!J10*'Anexo 1'!$D$10,0)</f>
        <v>0</v>
      </c>
      <c r="K10" s="36">
        <f>ROUND('Anexo 11'!K10*'Anexo 1'!$D$10,0)</f>
        <v>0</v>
      </c>
      <c r="L10" s="36">
        <f>ROUND('Anexo 11'!L10*'Anexo 1'!$D$10,0)</f>
        <v>0</v>
      </c>
      <c r="M10" s="36">
        <f>ROUND('Anexo 11'!M10*'Anexo 1'!$D$10,0)</f>
        <v>0</v>
      </c>
      <c r="N10" s="36">
        <f>ROUND('Anexo 11'!N10*'Anexo 1'!$D$10,0)</f>
        <v>0</v>
      </c>
      <c r="O10" s="36">
        <f>ROUND('Anexo 11'!O10*'Anexo 1'!$D$10,0)</f>
        <v>0</v>
      </c>
      <c r="P10" s="36">
        <f>ROUND('Anexo 11'!P10*'Anexo 1'!$D$10,0)</f>
        <v>0</v>
      </c>
      <c r="Q10" s="36">
        <f>ROUND('Anexo 11'!Q10*'Anexo 1'!$D$10,0)</f>
        <v>0</v>
      </c>
      <c r="R10" s="36">
        <f>ROUND('Anexo 11'!R10*'Anexo 1'!$D$10,0)</f>
        <v>0</v>
      </c>
      <c r="S10" s="36">
        <f>ROUND('Anexo 11'!S10*'Anexo 1'!$D$10,0)</f>
        <v>0</v>
      </c>
      <c r="T10" s="36">
        <f>ROUND('Anexo 11'!T10*'Anexo 1'!$D$10,0)</f>
        <v>0</v>
      </c>
      <c r="U10" s="36">
        <f>ROUND('Anexo 11'!U10*'Anexo 1'!$D$10,0)</f>
        <v>0</v>
      </c>
      <c r="V10" s="36">
        <f>ROUND('Anexo 11'!V10*'Anexo 1'!$D$10,0)</f>
        <v>0</v>
      </c>
      <c r="W10" s="36">
        <f>ROUND('Anexo 11'!W10*'Anexo 1'!$D$10,0)</f>
        <v>0</v>
      </c>
      <c r="X10" s="36">
        <f>ROUND('Anexo 11'!X10*'Anexo 1'!$D$10,0)</f>
        <v>0</v>
      </c>
      <c r="Y10" s="36">
        <f>ROUND('Anexo 11'!Y10*'Anexo 1'!$D$10,0)</f>
        <v>0</v>
      </c>
      <c r="Z10" s="37">
        <f>ROUND('Anexo 11'!Z10*'Anexo 1'!$D$10,0)</f>
        <v>0</v>
      </c>
      <c r="AA10" s="38">
        <f t="shared" si="0"/>
        <v>0</v>
      </c>
      <c r="AB10" s="21">
        <v>4</v>
      </c>
      <c r="AC10" s="95"/>
      <c r="AD10" s="49"/>
    </row>
    <row r="11" spans="1:30" ht="15" x14ac:dyDescent="0.25">
      <c r="A11" s="93"/>
      <c r="B11" s="22" t="s">
        <v>3</v>
      </c>
      <c r="C11" s="39">
        <f>ROUND('Anexo 11'!C11*'Anexo 1'!$D$10,0)</f>
        <v>0</v>
      </c>
      <c r="D11" s="39">
        <f>ROUND('Anexo 11'!D11*'Anexo 1'!$D$10,0)</f>
        <v>0</v>
      </c>
      <c r="E11" s="39">
        <f>ROUND('Anexo 11'!E11*'Anexo 1'!$D$10,0)</f>
        <v>0</v>
      </c>
      <c r="F11" s="39">
        <f>ROUND('Anexo 11'!F11*'Anexo 1'!$D$10,0)</f>
        <v>0</v>
      </c>
      <c r="G11" s="39">
        <f>ROUND('Anexo 11'!G11*'Anexo 1'!$D$10,0)</f>
        <v>0</v>
      </c>
      <c r="H11" s="39">
        <f>ROUND('Anexo 11'!H11*'Anexo 1'!$D$10,0)</f>
        <v>0</v>
      </c>
      <c r="I11" s="39">
        <f>ROUND('Anexo 11'!I11*'Anexo 1'!$D$10,0)</f>
        <v>0</v>
      </c>
      <c r="J11" s="39">
        <f>ROUND('Anexo 11'!J11*'Anexo 1'!$D$10,0)</f>
        <v>0</v>
      </c>
      <c r="K11" s="39">
        <f>ROUND('Anexo 11'!K11*'Anexo 1'!$D$10,0)</f>
        <v>0</v>
      </c>
      <c r="L11" s="39">
        <f>ROUND('Anexo 11'!L11*'Anexo 1'!$D$10,0)</f>
        <v>0</v>
      </c>
      <c r="M11" s="39">
        <f>ROUND('Anexo 11'!M11*'Anexo 1'!$D$10,0)</f>
        <v>0</v>
      </c>
      <c r="N11" s="39">
        <f>ROUND('Anexo 11'!N11*'Anexo 1'!$D$10,0)</f>
        <v>0</v>
      </c>
      <c r="O11" s="39">
        <f>ROUND('Anexo 11'!O11*'Anexo 1'!$D$10,0)</f>
        <v>0</v>
      </c>
      <c r="P11" s="39">
        <f>ROUND('Anexo 11'!P11*'Anexo 1'!$D$10,0)</f>
        <v>0</v>
      </c>
      <c r="Q11" s="39">
        <f>ROUND('Anexo 11'!Q11*'Anexo 1'!$D$10,0)</f>
        <v>0</v>
      </c>
      <c r="R11" s="39">
        <f>ROUND('Anexo 11'!R11*'Anexo 1'!$D$10,0)</f>
        <v>0</v>
      </c>
      <c r="S11" s="39">
        <f>ROUND('Anexo 11'!S11*'Anexo 1'!$D$10,0)</f>
        <v>0</v>
      </c>
      <c r="T11" s="39">
        <f>ROUND('Anexo 11'!T11*'Anexo 1'!$D$10,0)</f>
        <v>0</v>
      </c>
      <c r="U11" s="39">
        <f>ROUND('Anexo 11'!U11*'Anexo 1'!$D$10,0)</f>
        <v>0</v>
      </c>
      <c r="V11" s="39">
        <f>ROUND('Anexo 11'!V11*'Anexo 1'!$D$10,0)</f>
        <v>0</v>
      </c>
      <c r="W11" s="39">
        <f>ROUND('Anexo 11'!W11*'Anexo 1'!$D$10,0)</f>
        <v>0</v>
      </c>
      <c r="X11" s="39">
        <f>ROUND('Anexo 11'!X11*'Anexo 1'!$D$10,0)</f>
        <v>0</v>
      </c>
      <c r="Y11" s="39">
        <f>ROUND('Anexo 11'!Y11*'Anexo 1'!$D$10,0)</f>
        <v>0</v>
      </c>
      <c r="Z11" s="40">
        <f>ROUND('Anexo 11'!Z11*'Anexo 1'!$D$10,0)</f>
        <v>0</v>
      </c>
      <c r="AA11" s="41">
        <f t="shared" si="0"/>
        <v>0</v>
      </c>
      <c r="AB11" s="23">
        <v>4</v>
      </c>
      <c r="AC11" s="96"/>
      <c r="AD11" s="49"/>
    </row>
    <row r="12" spans="1:30" ht="15.75" thickBot="1" x14ac:dyDescent="0.3">
      <c r="A12" s="93">
        <v>46082</v>
      </c>
      <c r="B12" s="18" t="s">
        <v>5</v>
      </c>
      <c r="C12" s="33">
        <f>ROUND('Anexo 11'!C12*'Anexo 1'!$D$10,0)</f>
        <v>0</v>
      </c>
      <c r="D12" s="33">
        <f>ROUND('Anexo 11'!D12*'Anexo 1'!$D$10,0)</f>
        <v>0</v>
      </c>
      <c r="E12" s="33">
        <f>ROUND('Anexo 11'!E12*'Anexo 1'!$D$10,0)</f>
        <v>0</v>
      </c>
      <c r="F12" s="33">
        <f>ROUND('Anexo 11'!F12*'Anexo 1'!$D$10,0)</f>
        <v>0</v>
      </c>
      <c r="G12" s="33">
        <f>ROUND('Anexo 11'!G12*'Anexo 1'!$D$10,0)</f>
        <v>0</v>
      </c>
      <c r="H12" s="33">
        <f>ROUND('Anexo 11'!H12*'Anexo 1'!$D$10,0)</f>
        <v>0</v>
      </c>
      <c r="I12" s="33">
        <f>ROUND('Anexo 11'!I12*'Anexo 1'!$D$10,0)</f>
        <v>0</v>
      </c>
      <c r="J12" s="33">
        <f>ROUND('Anexo 11'!J12*'Anexo 1'!$D$10,0)</f>
        <v>0</v>
      </c>
      <c r="K12" s="33">
        <f>ROUND('Anexo 11'!K12*'Anexo 1'!$D$10,0)</f>
        <v>0</v>
      </c>
      <c r="L12" s="33">
        <f>ROUND('Anexo 11'!L12*'Anexo 1'!$D$10,0)</f>
        <v>0</v>
      </c>
      <c r="M12" s="33">
        <f>ROUND('Anexo 11'!M12*'Anexo 1'!$D$10,0)</f>
        <v>0</v>
      </c>
      <c r="N12" s="33">
        <f>ROUND('Anexo 11'!N12*'Anexo 1'!$D$10,0)</f>
        <v>0</v>
      </c>
      <c r="O12" s="33">
        <f>ROUND('Anexo 11'!O12*'Anexo 1'!$D$10,0)</f>
        <v>0</v>
      </c>
      <c r="P12" s="33">
        <f>ROUND('Anexo 11'!P12*'Anexo 1'!$D$10,0)</f>
        <v>0</v>
      </c>
      <c r="Q12" s="33">
        <f>ROUND('Anexo 11'!Q12*'Anexo 1'!$D$10,0)</f>
        <v>0</v>
      </c>
      <c r="R12" s="33">
        <f>ROUND('Anexo 11'!R12*'Anexo 1'!$D$10,0)</f>
        <v>0</v>
      </c>
      <c r="S12" s="33">
        <f>ROUND('Anexo 11'!S12*'Anexo 1'!$D$10,0)</f>
        <v>0</v>
      </c>
      <c r="T12" s="33">
        <f>ROUND('Anexo 11'!T12*'Anexo 1'!$D$10,0)</f>
        <v>0</v>
      </c>
      <c r="U12" s="33">
        <f>ROUND('Anexo 11'!U12*'Anexo 1'!$D$10,0)</f>
        <v>0</v>
      </c>
      <c r="V12" s="33">
        <f>ROUND('Anexo 11'!V12*'Anexo 1'!$D$10,0)</f>
        <v>0</v>
      </c>
      <c r="W12" s="33">
        <f>ROUND('Anexo 11'!W12*'Anexo 1'!$D$10,0)</f>
        <v>0</v>
      </c>
      <c r="X12" s="33">
        <f>ROUND('Anexo 11'!X12*'Anexo 1'!$D$10,0)</f>
        <v>0</v>
      </c>
      <c r="Y12" s="33">
        <f>ROUND('Anexo 11'!Y12*'Anexo 1'!$D$10,0)</f>
        <v>0</v>
      </c>
      <c r="Z12" s="34">
        <f>ROUND('Anexo 11'!Z12*'Anexo 1'!$D$10,0)</f>
        <v>0</v>
      </c>
      <c r="AA12" s="35">
        <f t="shared" si="0"/>
        <v>0</v>
      </c>
      <c r="AB12" s="19">
        <v>21</v>
      </c>
      <c r="AC12" s="94">
        <f>+AA12*AB12+AA13*AB13+AA14*AB14</f>
        <v>0</v>
      </c>
      <c r="AD12" s="49"/>
    </row>
    <row r="13" spans="1:30" ht="15.75" thickBot="1" x14ac:dyDescent="0.3">
      <c r="A13" s="93"/>
      <c r="B13" s="20" t="s">
        <v>4</v>
      </c>
      <c r="C13" s="36">
        <f>ROUND('Anexo 11'!C13*'Anexo 1'!$D$10,0)</f>
        <v>0</v>
      </c>
      <c r="D13" s="36">
        <f>ROUND('Anexo 11'!D13*'Anexo 1'!$D$10,0)</f>
        <v>0</v>
      </c>
      <c r="E13" s="36">
        <f>ROUND('Anexo 11'!E13*'Anexo 1'!$D$10,0)</f>
        <v>0</v>
      </c>
      <c r="F13" s="36">
        <f>ROUND('Anexo 11'!F13*'Anexo 1'!$D$10,0)</f>
        <v>0</v>
      </c>
      <c r="G13" s="36">
        <f>ROUND('Anexo 11'!G13*'Anexo 1'!$D$10,0)</f>
        <v>0</v>
      </c>
      <c r="H13" s="36">
        <f>ROUND('Anexo 11'!H13*'Anexo 1'!$D$10,0)</f>
        <v>0</v>
      </c>
      <c r="I13" s="36">
        <f>ROUND('Anexo 11'!I13*'Anexo 1'!$D$10,0)</f>
        <v>0</v>
      </c>
      <c r="J13" s="36">
        <f>ROUND('Anexo 11'!J13*'Anexo 1'!$D$10,0)</f>
        <v>0</v>
      </c>
      <c r="K13" s="36">
        <f>ROUND('Anexo 11'!K13*'Anexo 1'!$D$10,0)</f>
        <v>0</v>
      </c>
      <c r="L13" s="36">
        <f>ROUND('Anexo 11'!L13*'Anexo 1'!$D$10,0)</f>
        <v>0</v>
      </c>
      <c r="M13" s="36">
        <f>ROUND('Anexo 11'!M13*'Anexo 1'!$D$10,0)</f>
        <v>0</v>
      </c>
      <c r="N13" s="36">
        <f>ROUND('Anexo 11'!N13*'Anexo 1'!$D$10,0)</f>
        <v>0</v>
      </c>
      <c r="O13" s="36">
        <f>ROUND('Anexo 11'!O13*'Anexo 1'!$D$10,0)</f>
        <v>0</v>
      </c>
      <c r="P13" s="36">
        <f>ROUND('Anexo 11'!P13*'Anexo 1'!$D$10,0)</f>
        <v>0</v>
      </c>
      <c r="Q13" s="36">
        <f>ROUND('Anexo 11'!Q13*'Anexo 1'!$D$10,0)</f>
        <v>0</v>
      </c>
      <c r="R13" s="36">
        <f>ROUND('Anexo 11'!R13*'Anexo 1'!$D$10,0)</f>
        <v>0</v>
      </c>
      <c r="S13" s="36">
        <f>ROUND('Anexo 11'!S13*'Anexo 1'!$D$10,0)</f>
        <v>0</v>
      </c>
      <c r="T13" s="36">
        <f>ROUND('Anexo 11'!T13*'Anexo 1'!$D$10,0)</f>
        <v>0</v>
      </c>
      <c r="U13" s="36">
        <f>ROUND('Anexo 11'!U13*'Anexo 1'!$D$10,0)</f>
        <v>0</v>
      </c>
      <c r="V13" s="36">
        <f>ROUND('Anexo 11'!V13*'Anexo 1'!$D$10,0)</f>
        <v>0</v>
      </c>
      <c r="W13" s="36">
        <f>ROUND('Anexo 11'!W13*'Anexo 1'!$D$10,0)</f>
        <v>0</v>
      </c>
      <c r="X13" s="36">
        <f>ROUND('Anexo 11'!X13*'Anexo 1'!$D$10,0)</f>
        <v>0</v>
      </c>
      <c r="Y13" s="36">
        <f>ROUND('Anexo 11'!Y13*'Anexo 1'!$D$10,0)</f>
        <v>0</v>
      </c>
      <c r="Z13" s="37">
        <f>ROUND('Anexo 11'!Z13*'Anexo 1'!$D$10,0)</f>
        <v>0</v>
      </c>
      <c r="AA13" s="38">
        <f t="shared" si="0"/>
        <v>0</v>
      </c>
      <c r="AB13" s="21">
        <v>4</v>
      </c>
      <c r="AC13" s="95"/>
      <c r="AD13" s="49"/>
    </row>
    <row r="14" spans="1:30" ht="15" x14ac:dyDescent="0.25">
      <c r="A14" s="93"/>
      <c r="B14" s="22" t="s">
        <v>3</v>
      </c>
      <c r="C14" s="39">
        <f>ROUND('Anexo 11'!C14*'Anexo 1'!$D$10,0)</f>
        <v>0</v>
      </c>
      <c r="D14" s="39">
        <f>ROUND('Anexo 11'!D14*'Anexo 1'!$D$10,0)</f>
        <v>0</v>
      </c>
      <c r="E14" s="39">
        <f>ROUND('Anexo 11'!E14*'Anexo 1'!$D$10,0)</f>
        <v>0</v>
      </c>
      <c r="F14" s="39">
        <f>ROUND('Anexo 11'!F14*'Anexo 1'!$D$10,0)</f>
        <v>0</v>
      </c>
      <c r="G14" s="39">
        <f>ROUND('Anexo 11'!G14*'Anexo 1'!$D$10,0)</f>
        <v>0</v>
      </c>
      <c r="H14" s="39">
        <f>ROUND('Anexo 11'!H14*'Anexo 1'!$D$10,0)</f>
        <v>0</v>
      </c>
      <c r="I14" s="39">
        <f>ROUND('Anexo 11'!I14*'Anexo 1'!$D$10,0)</f>
        <v>0</v>
      </c>
      <c r="J14" s="39">
        <f>ROUND('Anexo 11'!J14*'Anexo 1'!$D$10,0)</f>
        <v>0</v>
      </c>
      <c r="K14" s="39">
        <f>ROUND('Anexo 11'!K14*'Anexo 1'!$D$10,0)</f>
        <v>0</v>
      </c>
      <c r="L14" s="39">
        <f>ROUND('Anexo 11'!L14*'Anexo 1'!$D$10,0)</f>
        <v>0</v>
      </c>
      <c r="M14" s="39">
        <f>ROUND('Anexo 11'!M14*'Anexo 1'!$D$10,0)</f>
        <v>0</v>
      </c>
      <c r="N14" s="39">
        <f>ROUND('Anexo 11'!N14*'Anexo 1'!$D$10,0)</f>
        <v>0</v>
      </c>
      <c r="O14" s="39">
        <f>ROUND('Anexo 11'!O14*'Anexo 1'!$D$10,0)</f>
        <v>0</v>
      </c>
      <c r="P14" s="39">
        <f>ROUND('Anexo 11'!P14*'Anexo 1'!$D$10,0)</f>
        <v>0</v>
      </c>
      <c r="Q14" s="39">
        <f>ROUND('Anexo 11'!Q14*'Anexo 1'!$D$10,0)</f>
        <v>0</v>
      </c>
      <c r="R14" s="39">
        <f>ROUND('Anexo 11'!R14*'Anexo 1'!$D$10,0)</f>
        <v>0</v>
      </c>
      <c r="S14" s="39">
        <f>ROUND('Anexo 11'!S14*'Anexo 1'!$D$10,0)</f>
        <v>0</v>
      </c>
      <c r="T14" s="39">
        <f>ROUND('Anexo 11'!T14*'Anexo 1'!$D$10,0)</f>
        <v>0</v>
      </c>
      <c r="U14" s="39">
        <f>ROUND('Anexo 11'!U14*'Anexo 1'!$D$10,0)</f>
        <v>0</v>
      </c>
      <c r="V14" s="39">
        <f>ROUND('Anexo 11'!V14*'Anexo 1'!$D$10,0)</f>
        <v>0</v>
      </c>
      <c r="W14" s="39">
        <f>ROUND('Anexo 11'!W14*'Anexo 1'!$D$10,0)</f>
        <v>0</v>
      </c>
      <c r="X14" s="39">
        <f>ROUND('Anexo 11'!X14*'Anexo 1'!$D$10,0)</f>
        <v>0</v>
      </c>
      <c r="Y14" s="39">
        <f>ROUND('Anexo 11'!Y14*'Anexo 1'!$D$10,0)</f>
        <v>0</v>
      </c>
      <c r="Z14" s="40">
        <f>ROUND('Anexo 11'!Z14*'Anexo 1'!$D$10,0)</f>
        <v>0</v>
      </c>
      <c r="AA14" s="41">
        <f t="shared" si="0"/>
        <v>0</v>
      </c>
      <c r="AB14" s="23">
        <v>6</v>
      </c>
      <c r="AC14" s="96"/>
      <c r="AD14" s="49"/>
    </row>
    <row r="15" spans="1:30" ht="15.75" thickBot="1" x14ac:dyDescent="0.3">
      <c r="A15" s="93">
        <v>46113</v>
      </c>
      <c r="B15" s="18" t="s">
        <v>5</v>
      </c>
      <c r="C15" s="33">
        <f>ROUND('Anexo 11'!C15*'Anexo 1'!$D$10,0)</f>
        <v>0</v>
      </c>
      <c r="D15" s="33">
        <f>ROUND('Anexo 11'!D15*'Anexo 1'!$D$10,0)</f>
        <v>0</v>
      </c>
      <c r="E15" s="33">
        <f>ROUND('Anexo 11'!E15*'Anexo 1'!$D$10,0)</f>
        <v>0</v>
      </c>
      <c r="F15" s="33">
        <f>ROUND('Anexo 11'!F15*'Anexo 1'!$D$10,0)</f>
        <v>0</v>
      </c>
      <c r="G15" s="33">
        <f>ROUND('Anexo 11'!G15*'Anexo 1'!$D$10,0)</f>
        <v>0</v>
      </c>
      <c r="H15" s="33">
        <f>ROUND('Anexo 11'!H15*'Anexo 1'!$D$10,0)</f>
        <v>0</v>
      </c>
      <c r="I15" s="33">
        <f>ROUND('Anexo 11'!I15*'Anexo 1'!$D$10,0)</f>
        <v>0</v>
      </c>
      <c r="J15" s="33">
        <f>ROUND('Anexo 11'!J15*'Anexo 1'!$D$10,0)</f>
        <v>0</v>
      </c>
      <c r="K15" s="33">
        <f>ROUND('Anexo 11'!K15*'Anexo 1'!$D$10,0)</f>
        <v>0</v>
      </c>
      <c r="L15" s="33">
        <f>ROUND('Anexo 11'!L15*'Anexo 1'!$D$10,0)</f>
        <v>0</v>
      </c>
      <c r="M15" s="33">
        <f>ROUND('Anexo 11'!M15*'Anexo 1'!$D$10,0)</f>
        <v>0</v>
      </c>
      <c r="N15" s="33">
        <f>ROUND('Anexo 11'!N15*'Anexo 1'!$D$10,0)</f>
        <v>0</v>
      </c>
      <c r="O15" s="33">
        <f>ROUND('Anexo 11'!O15*'Anexo 1'!$D$10,0)</f>
        <v>0</v>
      </c>
      <c r="P15" s="33">
        <f>ROUND('Anexo 11'!P15*'Anexo 1'!$D$10,0)</f>
        <v>0</v>
      </c>
      <c r="Q15" s="33">
        <f>ROUND('Anexo 11'!Q15*'Anexo 1'!$D$10,0)</f>
        <v>0</v>
      </c>
      <c r="R15" s="33">
        <f>ROUND('Anexo 11'!R15*'Anexo 1'!$D$10,0)</f>
        <v>0</v>
      </c>
      <c r="S15" s="33">
        <f>ROUND('Anexo 11'!S15*'Anexo 1'!$D$10,0)</f>
        <v>0</v>
      </c>
      <c r="T15" s="33">
        <f>ROUND('Anexo 11'!T15*'Anexo 1'!$D$10,0)</f>
        <v>0</v>
      </c>
      <c r="U15" s="33">
        <f>ROUND('Anexo 11'!U15*'Anexo 1'!$D$10,0)</f>
        <v>0</v>
      </c>
      <c r="V15" s="33">
        <f>ROUND('Anexo 11'!V15*'Anexo 1'!$D$10,0)</f>
        <v>0</v>
      </c>
      <c r="W15" s="33">
        <f>ROUND('Anexo 11'!W15*'Anexo 1'!$D$10,0)</f>
        <v>0</v>
      </c>
      <c r="X15" s="33">
        <f>ROUND('Anexo 11'!X15*'Anexo 1'!$D$10,0)</f>
        <v>0</v>
      </c>
      <c r="Y15" s="33">
        <f>ROUND('Anexo 11'!Y15*'Anexo 1'!$D$10,0)</f>
        <v>0</v>
      </c>
      <c r="Z15" s="34">
        <f>ROUND('Anexo 11'!Z15*'Anexo 1'!$D$10,0)</f>
        <v>0</v>
      </c>
      <c r="AA15" s="35">
        <f t="shared" si="0"/>
        <v>0</v>
      </c>
      <c r="AB15" s="19">
        <v>20</v>
      </c>
      <c r="AC15" s="94">
        <f>+AA15*AB15+AA16*AB16+AA17*AB17</f>
        <v>0</v>
      </c>
      <c r="AD15" s="49"/>
    </row>
    <row r="16" spans="1:30" ht="15.75" thickBot="1" x14ac:dyDescent="0.3">
      <c r="A16" s="93"/>
      <c r="B16" s="20" t="s">
        <v>4</v>
      </c>
      <c r="C16" s="36">
        <f>ROUND('Anexo 11'!C16*'Anexo 1'!$D$10,0)</f>
        <v>0</v>
      </c>
      <c r="D16" s="36">
        <f>ROUND('Anexo 11'!D16*'Anexo 1'!$D$10,0)</f>
        <v>0</v>
      </c>
      <c r="E16" s="36">
        <f>ROUND('Anexo 11'!E16*'Anexo 1'!$D$10,0)</f>
        <v>0</v>
      </c>
      <c r="F16" s="36">
        <f>ROUND('Anexo 11'!F16*'Anexo 1'!$D$10,0)</f>
        <v>0</v>
      </c>
      <c r="G16" s="36">
        <f>ROUND('Anexo 11'!G16*'Anexo 1'!$D$10,0)</f>
        <v>0</v>
      </c>
      <c r="H16" s="36">
        <f>ROUND('Anexo 11'!H16*'Anexo 1'!$D$10,0)</f>
        <v>0</v>
      </c>
      <c r="I16" s="36">
        <f>ROUND('Anexo 11'!I16*'Anexo 1'!$D$10,0)</f>
        <v>0</v>
      </c>
      <c r="J16" s="36">
        <f>ROUND('Anexo 11'!J16*'Anexo 1'!$D$10,0)</f>
        <v>0</v>
      </c>
      <c r="K16" s="36">
        <f>ROUND('Anexo 11'!K16*'Anexo 1'!$D$10,0)</f>
        <v>0</v>
      </c>
      <c r="L16" s="36">
        <f>ROUND('Anexo 11'!L16*'Anexo 1'!$D$10,0)</f>
        <v>0</v>
      </c>
      <c r="M16" s="36">
        <f>ROUND('Anexo 11'!M16*'Anexo 1'!$D$10,0)</f>
        <v>0</v>
      </c>
      <c r="N16" s="36">
        <f>ROUND('Anexo 11'!N16*'Anexo 1'!$D$10,0)</f>
        <v>0</v>
      </c>
      <c r="O16" s="36">
        <f>ROUND('Anexo 11'!O16*'Anexo 1'!$D$10,0)</f>
        <v>0</v>
      </c>
      <c r="P16" s="36">
        <f>ROUND('Anexo 11'!P16*'Anexo 1'!$D$10,0)</f>
        <v>0</v>
      </c>
      <c r="Q16" s="36">
        <f>ROUND('Anexo 11'!Q16*'Anexo 1'!$D$10,0)</f>
        <v>0</v>
      </c>
      <c r="R16" s="36">
        <f>ROUND('Anexo 11'!R16*'Anexo 1'!$D$10,0)</f>
        <v>0</v>
      </c>
      <c r="S16" s="36">
        <f>ROUND('Anexo 11'!S16*'Anexo 1'!$D$10,0)</f>
        <v>0</v>
      </c>
      <c r="T16" s="36">
        <f>ROUND('Anexo 11'!T16*'Anexo 1'!$D$10,0)</f>
        <v>0</v>
      </c>
      <c r="U16" s="36">
        <f>ROUND('Anexo 11'!U16*'Anexo 1'!$D$10,0)</f>
        <v>0</v>
      </c>
      <c r="V16" s="36">
        <f>ROUND('Anexo 11'!V16*'Anexo 1'!$D$10,0)</f>
        <v>0</v>
      </c>
      <c r="W16" s="36">
        <f>ROUND('Anexo 11'!W16*'Anexo 1'!$D$10,0)</f>
        <v>0</v>
      </c>
      <c r="X16" s="36">
        <f>ROUND('Anexo 11'!X16*'Anexo 1'!$D$10,0)</f>
        <v>0</v>
      </c>
      <c r="Y16" s="36">
        <f>ROUND('Anexo 11'!Y16*'Anexo 1'!$D$10,0)</f>
        <v>0</v>
      </c>
      <c r="Z16" s="37">
        <f>ROUND('Anexo 11'!Z16*'Anexo 1'!$D$10,0)</f>
        <v>0</v>
      </c>
      <c r="AA16" s="38">
        <f t="shared" si="0"/>
        <v>0</v>
      </c>
      <c r="AB16" s="21">
        <v>4</v>
      </c>
      <c r="AC16" s="95"/>
      <c r="AD16" s="49"/>
    </row>
    <row r="17" spans="1:30" ht="15" x14ac:dyDescent="0.25">
      <c r="A17" s="93"/>
      <c r="B17" s="22" t="s">
        <v>3</v>
      </c>
      <c r="C17" s="39">
        <f>ROUND('Anexo 11'!C17*'Anexo 1'!$D$10,0)</f>
        <v>0</v>
      </c>
      <c r="D17" s="39">
        <f>ROUND('Anexo 11'!D17*'Anexo 1'!$D$10,0)</f>
        <v>0</v>
      </c>
      <c r="E17" s="39">
        <f>ROUND('Anexo 11'!E17*'Anexo 1'!$D$10,0)</f>
        <v>0</v>
      </c>
      <c r="F17" s="39">
        <f>ROUND('Anexo 11'!F17*'Anexo 1'!$D$10,0)</f>
        <v>0</v>
      </c>
      <c r="G17" s="39">
        <f>ROUND('Anexo 11'!G17*'Anexo 1'!$D$10,0)</f>
        <v>0</v>
      </c>
      <c r="H17" s="39">
        <f>ROUND('Anexo 11'!H17*'Anexo 1'!$D$10,0)</f>
        <v>0</v>
      </c>
      <c r="I17" s="39">
        <f>ROUND('Anexo 11'!I17*'Anexo 1'!$D$10,0)</f>
        <v>0</v>
      </c>
      <c r="J17" s="39">
        <f>ROUND('Anexo 11'!J17*'Anexo 1'!$D$10,0)</f>
        <v>0</v>
      </c>
      <c r="K17" s="39">
        <f>ROUND('Anexo 11'!K17*'Anexo 1'!$D$10,0)</f>
        <v>0</v>
      </c>
      <c r="L17" s="39">
        <f>ROUND('Anexo 11'!L17*'Anexo 1'!$D$10,0)</f>
        <v>0</v>
      </c>
      <c r="M17" s="39">
        <f>ROUND('Anexo 11'!M17*'Anexo 1'!$D$10,0)</f>
        <v>0</v>
      </c>
      <c r="N17" s="39">
        <f>ROUND('Anexo 11'!N17*'Anexo 1'!$D$10,0)</f>
        <v>0</v>
      </c>
      <c r="O17" s="39">
        <f>ROUND('Anexo 11'!O17*'Anexo 1'!$D$10,0)</f>
        <v>0</v>
      </c>
      <c r="P17" s="39">
        <f>ROUND('Anexo 11'!P17*'Anexo 1'!$D$10,0)</f>
        <v>0</v>
      </c>
      <c r="Q17" s="39">
        <f>ROUND('Anexo 11'!Q17*'Anexo 1'!$D$10,0)</f>
        <v>0</v>
      </c>
      <c r="R17" s="39">
        <f>ROUND('Anexo 11'!R17*'Anexo 1'!$D$10,0)</f>
        <v>0</v>
      </c>
      <c r="S17" s="39">
        <f>ROUND('Anexo 11'!S17*'Anexo 1'!$D$10,0)</f>
        <v>0</v>
      </c>
      <c r="T17" s="39">
        <f>ROUND('Anexo 11'!T17*'Anexo 1'!$D$10,0)</f>
        <v>0</v>
      </c>
      <c r="U17" s="39">
        <f>ROUND('Anexo 11'!U17*'Anexo 1'!$D$10,0)</f>
        <v>0</v>
      </c>
      <c r="V17" s="39">
        <f>ROUND('Anexo 11'!V17*'Anexo 1'!$D$10,0)</f>
        <v>0</v>
      </c>
      <c r="W17" s="39">
        <f>ROUND('Anexo 11'!W17*'Anexo 1'!$D$10,0)</f>
        <v>0</v>
      </c>
      <c r="X17" s="39">
        <f>ROUND('Anexo 11'!X17*'Anexo 1'!$D$10,0)</f>
        <v>0</v>
      </c>
      <c r="Y17" s="39">
        <f>ROUND('Anexo 11'!Y17*'Anexo 1'!$D$10,0)</f>
        <v>0</v>
      </c>
      <c r="Z17" s="40">
        <f>ROUND('Anexo 11'!Z17*'Anexo 1'!$D$10,0)</f>
        <v>0</v>
      </c>
      <c r="AA17" s="41">
        <f t="shared" si="0"/>
        <v>0</v>
      </c>
      <c r="AB17" s="23">
        <v>6</v>
      </c>
      <c r="AC17" s="96"/>
      <c r="AD17" s="49"/>
    </row>
    <row r="18" spans="1:30" ht="15.75" thickBot="1" x14ac:dyDescent="0.3">
      <c r="A18" s="93">
        <v>46143</v>
      </c>
      <c r="B18" s="18" t="s">
        <v>5</v>
      </c>
      <c r="C18" s="33">
        <f>ROUND('Anexo 11'!C18*'Anexo 1'!$D$10,0)</f>
        <v>0</v>
      </c>
      <c r="D18" s="33">
        <f>ROUND('Anexo 11'!D18*'Anexo 1'!$D$10,0)</f>
        <v>0</v>
      </c>
      <c r="E18" s="33">
        <f>ROUND('Anexo 11'!E18*'Anexo 1'!$D$10,0)</f>
        <v>0</v>
      </c>
      <c r="F18" s="33">
        <f>ROUND('Anexo 11'!F18*'Anexo 1'!$D$10,0)</f>
        <v>0</v>
      </c>
      <c r="G18" s="33">
        <f>ROUND('Anexo 11'!G18*'Anexo 1'!$D$10,0)</f>
        <v>0</v>
      </c>
      <c r="H18" s="33">
        <f>ROUND('Anexo 11'!H18*'Anexo 1'!$D$10,0)</f>
        <v>0</v>
      </c>
      <c r="I18" s="33">
        <f>ROUND('Anexo 11'!I18*'Anexo 1'!$D$10,0)</f>
        <v>0</v>
      </c>
      <c r="J18" s="33">
        <f>ROUND('Anexo 11'!J18*'Anexo 1'!$D$10,0)</f>
        <v>0</v>
      </c>
      <c r="K18" s="33">
        <f>ROUND('Anexo 11'!K18*'Anexo 1'!$D$10,0)</f>
        <v>0</v>
      </c>
      <c r="L18" s="33">
        <f>ROUND('Anexo 11'!L18*'Anexo 1'!$D$10,0)</f>
        <v>0</v>
      </c>
      <c r="M18" s="33">
        <f>ROUND('Anexo 11'!M18*'Anexo 1'!$D$10,0)</f>
        <v>0</v>
      </c>
      <c r="N18" s="33">
        <f>ROUND('Anexo 11'!N18*'Anexo 1'!$D$10,0)</f>
        <v>0</v>
      </c>
      <c r="O18" s="33">
        <f>ROUND('Anexo 11'!O18*'Anexo 1'!$D$10,0)</f>
        <v>0</v>
      </c>
      <c r="P18" s="33">
        <f>ROUND('Anexo 11'!P18*'Anexo 1'!$D$10,0)</f>
        <v>0</v>
      </c>
      <c r="Q18" s="33">
        <f>ROUND('Anexo 11'!Q18*'Anexo 1'!$D$10,0)</f>
        <v>0</v>
      </c>
      <c r="R18" s="33">
        <f>ROUND('Anexo 11'!R18*'Anexo 1'!$D$10,0)</f>
        <v>0</v>
      </c>
      <c r="S18" s="33">
        <f>ROUND('Anexo 11'!S18*'Anexo 1'!$D$10,0)</f>
        <v>0</v>
      </c>
      <c r="T18" s="33">
        <f>ROUND('Anexo 11'!T18*'Anexo 1'!$D$10,0)</f>
        <v>0</v>
      </c>
      <c r="U18" s="33">
        <f>ROUND('Anexo 11'!U18*'Anexo 1'!$D$10,0)</f>
        <v>0</v>
      </c>
      <c r="V18" s="33">
        <f>ROUND('Anexo 11'!V18*'Anexo 1'!$D$10,0)</f>
        <v>0</v>
      </c>
      <c r="W18" s="33">
        <f>ROUND('Anexo 11'!W18*'Anexo 1'!$D$10,0)</f>
        <v>0</v>
      </c>
      <c r="X18" s="33">
        <f>ROUND('Anexo 11'!X18*'Anexo 1'!$D$10,0)</f>
        <v>0</v>
      </c>
      <c r="Y18" s="33">
        <f>ROUND('Anexo 11'!Y18*'Anexo 1'!$D$10,0)</f>
        <v>0</v>
      </c>
      <c r="Z18" s="34">
        <f>ROUND('Anexo 11'!Z18*'Anexo 1'!$D$10,0)</f>
        <v>0</v>
      </c>
      <c r="AA18" s="35">
        <f t="shared" si="0"/>
        <v>0</v>
      </c>
      <c r="AB18" s="19">
        <v>19</v>
      </c>
      <c r="AC18" s="94">
        <f>+AA18*AB18+AA19*AB19+AA20*AB20</f>
        <v>0</v>
      </c>
      <c r="AD18" s="49"/>
    </row>
    <row r="19" spans="1:30" ht="15.75" thickBot="1" x14ac:dyDescent="0.3">
      <c r="A19" s="93"/>
      <c r="B19" s="20" t="s">
        <v>4</v>
      </c>
      <c r="C19" s="36">
        <f>ROUND('Anexo 11'!C19*'Anexo 1'!$D$10,0)</f>
        <v>0</v>
      </c>
      <c r="D19" s="36">
        <f>ROUND('Anexo 11'!D19*'Anexo 1'!$D$10,0)</f>
        <v>0</v>
      </c>
      <c r="E19" s="36">
        <f>ROUND('Anexo 11'!E19*'Anexo 1'!$D$10,0)</f>
        <v>0</v>
      </c>
      <c r="F19" s="36">
        <f>ROUND('Anexo 11'!F19*'Anexo 1'!$D$10,0)</f>
        <v>0</v>
      </c>
      <c r="G19" s="36">
        <f>ROUND('Anexo 11'!G19*'Anexo 1'!$D$10,0)</f>
        <v>0</v>
      </c>
      <c r="H19" s="36">
        <f>ROUND('Anexo 11'!H19*'Anexo 1'!$D$10,0)</f>
        <v>0</v>
      </c>
      <c r="I19" s="36">
        <f>ROUND('Anexo 11'!I19*'Anexo 1'!$D$10,0)</f>
        <v>0</v>
      </c>
      <c r="J19" s="36">
        <f>ROUND('Anexo 11'!J19*'Anexo 1'!$D$10,0)</f>
        <v>0</v>
      </c>
      <c r="K19" s="36">
        <f>ROUND('Anexo 11'!K19*'Anexo 1'!$D$10,0)</f>
        <v>0</v>
      </c>
      <c r="L19" s="36">
        <f>ROUND('Anexo 11'!L19*'Anexo 1'!$D$10,0)</f>
        <v>0</v>
      </c>
      <c r="M19" s="36">
        <f>ROUND('Anexo 11'!M19*'Anexo 1'!$D$10,0)</f>
        <v>0</v>
      </c>
      <c r="N19" s="36">
        <f>ROUND('Anexo 11'!N19*'Anexo 1'!$D$10,0)</f>
        <v>0</v>
      </c>
      <c r="O19" s="36">
        <f>ROUND('Anexo 11'!O19*'Anexo 1'!$D$10,0)</f>
        <v>0</v>
      </c>
      <c r="P19" s="36">
        <f>ROUND('Anexo 11'!P19*'Anexo 1'!$D$10,0)</f>
        <v>0</v>
      </c>
      <c r="Q19" s="36">
        <f>ROUND('Anexo 11'!Q19*'Anexo 1'!$D$10,0)</f>
        <v>0</v>
      </c>
      <c r="R19" s="36">
        <f>ROUND('Anexo 11'!R19*'Anexo 1'!$D$10,0)</f>
        <v>0</v>
      </c>
      <c r="S19" s="36">
        <f>ROUND('Anexo 11'!S19*'Anexo 1'!$D$10,0)</f>
        <v>0</v>
      </c>
      <c r="T19" s="36">
        <f>ROUND('Anexo 11'!T19*'Anexo 1'!$D$10,0)</f>
        <v>0</v>
      </c>
      <c r="U19" s="36">
        <f>ROUND('Anexo 11'!U19*'Anexo 1'!$D$10,0)</f>
        <v>0</v>
      </c>
      <c r="V19" s="36">
        <f>ROUND('Anexo 11'!V19*'Anexo 1'!$D$10,0)</f>
        <v>0</v>
      </c>
      <c r="W19" s="36">
        <f>ROUND('Anexo 11'!W19*'Anexo 1'!$D$10,0)</f>
        <v>0</v>
      </c>
      <c r="X19" s="36">
        <f>ROUND('Anexo 11'!X19*'Anexo 1'!$D$10,0)</f>
        <v>0</v>
      </c>
      <c r="Y19" s="36">
        <f>ROUND('Anexo 11'!Y19*'Anexo 1'!$D$10,0)</f>
        <v>0</v>
      </c>
      <c r="Z19" s="37">
        <f>ROUND('Anexo 11'!Z19*'Anexo 1'!$D$10,0)</f>
        <v>0</v>
      </c>
      <c r="AA19" s="38">
        <f t="shared" si="0"/>
        <v>0</v>
      </c>
      <c r="AB19" s="21">
        <v>5</v>
      </c>
      <c r="AC19" s="95"/>
      <c r="AD19" s="49"/>
    </row>
    <row r="20" spans="1:30" ht="15" x14ac:dyDescent="0.25">
      <c r="A20" s="93"/>
      <c r="B20" s="22" t="s">
        <v>3</v>
      </c>
      <c r="C20" s="39">
        <f>ROUND('Anexo 11'!C20*'Anexo 1'!$D$10,0)</f>
        <v>0</v>
      </c>
      <c r="D20" s="39">
        <f>ROUND('Anexo 11'!D20*'Anexo 1'!$D$10,0)</f>
        <v>0</v>
      </c>
      <c r="E20" s="39">
        <f>ROUND('Anexo 11'!E20*'Anexo 1'!$D$10,0)</f>
        <v>0</v>
      </c>
      <c r="F20" s="39">
        <f>ROUND('Anexo 11'!F20*'Anexo 1'!$D$10,0)</f>
        <v>0</v>
      </c>
      <c r="G20" s="39">
        <f>ROUND('Anexo 11'!G20*'Anexo 1'!$D$10,0)</f>
        <v>0</v>
      </c>
      <c r="H20" s="39">
        <f>ROUND('Anexo 11'!H20*'Anexo 1'!$D$10,0)</f>
        <v>0</v>
      </c>
      <c r="I20" s="39">
        <f>ROUND('Anexo 11'!I20*'Anexo 1'!$D$10,0)</f>
        <v>0</v>
      </c>
      <c r="J20" s="39">
        <f>ROUND('Anexo 11'!J20*'Anexo 1'!$D$10,0)</f>
        <v>0</v>
      </c>
      <c r="K20" s="39">
        <f>ROUND('Anexo 11'!K20*'Anexo 1'!$D$10,0)</f>
        <v>0</v>
      </c>
      <c r="L20" s="39">
        <f>ROUND('Anexo 11'!L20*'Anexo 1'!$D$10,0)</f>
        <v>0</v>
      </c>
      <c r="M20" s="39">
        <f>ROUND('Anexo 11'!M20*'Anexo 1'!$D$10,0)</f>
        <v>0</v>
      </c>
      <c r="N20" s="39">
        <f>ROUND('Anexo 11'!N20*'Anexo 1'!$D$10,0)</f>
        <v>0</v>
      </c>
      <c r="O20" s="39">
        <f>ROUND('Anexo 11'!O20*'Anexo 1'!$D$10,0)</f>
        <v>0</v>
      </c>
      <c r="P20" s="39">
        <f>ROUND('Anexo 11'!P20*'Anexo 1'!$D$10,0)</f>
        <v>0</v>
      </c>
      <c r="Q20" s="39">
        <f>ROUND('Anexo 11'!Q20*'Anexo 1'!$D$10,0)</f>
        <v>0</v>
      </c>
      <c r="R20" s="39">
        <f>ROUND('Anexo 11'!R20*'Anexo 1'!$D$10,0)</f>
        <v>0</v>
      </c>
      <c r="S20" s="39">
        <f>ROUND('Anexo 11'!S20*'Anexo 1'!$D$10,0)</f>
        <v>0</v>
      </c>
      <c r="T20" s="39">
        <f>ROUND('Anexo 11'!T20*'Anexo 1'!$D$10,0)</f>
        <v>0</v>
      </c>
      <c r="U20" s="39">
        <f>ROUND('Anexo 11'!U20*'Anexo 1'!$D$10,0)</f>
        <v>0</v>
      </c>
      <c r="V20" s="39">
        <f>ROUND('Anexo 11'!V20*'Anexo 1'!$D$10,0)</f>
        <v>0</v>
      </c>
      <c r="W20" s="39">
        <f>ROUND('Anexo 11'!W20*'Anexo 1'!$D$10,0)</f>
        <v>0</v>
      </c>
      <c r="X20" s="39">
        <f>ROUND('Anexo 11'!X20*'Anexo 1'!$D$10,0)</f>
        <v>0</v>
      </c>
      <c r="Y20" s="39">
        <f>ROUND('Anexo 11'!Y20*'Anexo 1'!$D$10,0)</f>
        <v>0</v>
      </c>
      <c r="Z20" s="40">
        <f>ROUND('Anexo 11'!Z20*'Anexo 1'!$D$10,0)</f>
        <v>0</v>
      </c>
      <c r="AA20" s="41">
        <f t="shared" si="0"/>
        <v>0</v>
      </c>
      <c r="AB20" s="23">
        <v>7</v>
      </c>
      <c r="AC20" s="96"/>
      <c r="AD20" s="49"/>
    </row>
    <row r="21" spans="1:30" ht="15.75" thickBot="1" x14ac:dyDescent="0.3">
      <c r="A21" s="93">
        <v>46174</v>
      </c>
      <c r="B21" s="18" t="s">
        <v>5</v>
      </c>
      <c r="C21" s="33">
        <f>ROUND('Anexo 11'!C21*'Anexo 1'!$D$10,0)</f>
        <v>0</v>
      </c>
      <c r="D21" s="33">
        <f>ROUND('Anexo 11'!D21*'Anexo 1'!$D$10,0)</f>
        <v>0</v>
      </c>
      <c r="E21" s="33">
        <f>ROUND('Anexo 11'!E21*'Anexo 1'!$D$10,0)</f>
        <v>0</v>
      </c>
      <c r="F21" s="33">
        <f>ROUND('Anexo 11'!F21*'Anexo 1'!$D$10,0)</f>
        <v>0</v>
      </c>
      <c r="G21" s="33">
        <f>ROUND('Anexo 11'!G21*'Anexo 1'!$D$10,0)</f>
        <v>0</v>
      </c>
      <c r="H21" s="33">
        <f>ROUND('Anexo 11'!H21*'Anexo 1'!$D$10,0)</f>
        <v>0</v>
      </c>
      <c r="I21" s="33">
        <f>ROUND('Anexo 11'!I21*'Anexo 1'!$D$10,0)</f>
        <v>0</v>
      </c>
      <c r="J21" s="33">
        <f>ROUND('Anexo 11'!J21*'Anexo 1'!$D$10,0)</f>
        <v>0</v>
      </c>
      <c r="K21" s="33">
        <f>ROUND('Anexo 11'!K21*'Anexo 1'!$D$10,0)</f>
        <v>0</v>
      </c>
      <c r="L21" s="33">
        <f>ROUND('Anexo 11'!L21*'Anexo 1'!$D$10,0)</f>
        <v>0</v>
      </c>
      <c r="M21" s="33">
        <f>ROUND('Anexo 11'!M21*'Anexo 1'!$D$10,0)</f>
        <v>0</v>
      </c>
      <c r="N21" s="33">
        <f>ROUND('Anexo 11'!N21*'Anexo 1'!$D$10,0)</f>
        <v>0</v>
      </c>
      <c r="O21" s="33">
        <f>ROUND('Anexo 11'!O21*'Anexo 1'!$D$10,0)</f>
        <v>0</v>
      </c>
      <c r="P21" s="33">
        <f>ROUND('Anexo 11'!P21*'Anexo 1'!$D$10,0)</f>
        <v>0</v>
      </c>
      <c r="Q21" s="33">
        <f>ROUND('Anexo 11'!Q21*'Anexo 1'!$D$10,0)</f>
        <v>0</v>
      </c>
      <c r="R21" s="33">
        <f>ROUND('Anexo 11'!R21*'Anexo 1'!$D$10,0)</f>
        <v>0</v>
      </c>
      <c r="S21" s="33">
        <f>ROUND('Anexo 11'!S21*'Anexo 1'!$D$10,0)</f>
        <v>0</v>
      </c>
      <c r="T21" s="33">
        <f>ROUND('Anexo 11'!T21*'Anexo 1'!$D$10,0)</f>
        <v>0</v>
      </c>
      <c r="U21" s="33">
        <f>ROUND('Anexo 11'!U21*'Anexo 1'!$D$10,0)</f>
        <v>0</v>
      </c>
      <c r="V21" s="33">
        <f>ROUND('Anexo 11'!V21*'Anexo 1'!$D$10,0)</f>
        <v>0</v>
      </c>
      <c r="W21" s="33">
        <f>ROUND('Anexo 11'!W21*'Anexo 1'!$D$10,0)</f>
        <v>0</v>
      </c>
      <c r="X21" s="33">
        <f>ROUND('Anexo 11'!X21*'Anexo 1'!$D$10,0)</f>
        <v>0</v>
      </c>
      <c r="Y21" s="33">
        <f>ROUND('Anexo 11'!Y21*'Anexo 1'!$D$10,0)</f>
        <v>0</v>
      </c>
      <c r="Z21" s="34">
        <f>ROUND('Anexo 11'!Z21*'Anexo 1'!$D$10,0)</f>
        <v>0</v>
      </c>
      <c r="AA21" s="35">
        <f t="shared" si="0"/>
        <v>0</v>
      </c>
      <c r="AB21" s="19">
        <v>19</v>
      </c>
      <c r="AC21" s="94">
        <f>+AA21*AB21+AA22*AB22+AA23*AB23</f>
        <v>0</v>
      </c>
      <c r="AD21" s="49"/>
    </row>
    <row r="22" spans="1:30" ht="15.75" thickBot="1" x14ac:dyDescent="0.3">
      <c r="A22" s="93"/>
      <c r="B22" s="20" t="s">
        <v>4</v>
      </c>
      <c r="C22" s="36">
        <f>ROUND('Anexo 11'!C22*'Anexo 1'!$D$10,0)</f>
        <v>0</v>
      </c>
      <c r="D22" s="36">
        <f>ROUND('Anexo 11'!D22*'Anexo 1'!$D$10,0)</f>
        <v>0</v>
      </c>
      <c r="E22" s="36">
        <f>ROUND('Anexo 11'!E22*'Anexo 1'!$D$10,0)</f>
        <v>0</v>
      </c>
      <c r="F22" s="36">
        <f>ROUND('Anexo 11'!F22*'Anexo 1'!$D$10,0)</f>
        <v>0</v>
      </c>
      <c r="G22" s="36">
        <f>ROUND('Anexo 11'!G22*'Anexo 1'!$D$10,0)</f>
        <v>0</v>
      </c>
      <c r="H22" s="36">
        <f>ROUND('Anexo 11'!H22*'Anexo 1'!$D$10,0)</f>
        <v>0</v>
      </c>
      <c r="I22" s="36">
        <f>ROUND('Anexo 11'!I22*'Anexo 1'!$D$10,0)</f>
        <v>0</v>
      </c>
      <c r="J22" s="36">
        <f>ROUND('Anexo 11'!J22*'Anexo 1'!$D$10,0)</f>
        <v>0</v>
      </c>
      <c r="K22" s="36">
        <f>ROUND('Anexo 11'!K22*'Anexo 1'!$D$10,0)</f>
        <v>0</v>
      </c>
      <c r="L22" s="36">
        <f>ROUND('Anexo 11'!L22*'Anexo 1'!$D$10,0)</f>
        <v>0</v>
      </c>
      <c r="M22" s="36">
        <f>ROUND('Anexo 11'!M22*'Anexo 1'!$D$10,0)</f>
        <v>0</v>
      </c>
      <c r="N22" s="36">
        <f>ROUND('Anexo 11'!N22*'Anexo 1'!$D$10,0)</f>
        <v>0</v>
      </c>
      <c r="O22" s="36">
        <f>ROUND('Anexo 11'!O22*'Anexo 1'!$D$10,0)</f>
        <v>0</v>
      </c>
      <c r="P22" s="36">
        <f>ROUND('Anexo 11'!P22*'Anexo 1'!$D$10,0)</f>
        <v>0</v>
      </c>
      <c r="Q22" s="36">
        <f>ROUND('Anexo 11'!Q22*'Anexo 1'!$D$10,0)</f>
        <v>0</v>
      </c>
      <c r="R22" s="36">
        <f>ROUND('Anexo 11'!R22*'Anexo 1'!$D$10,0)</f>
        <v>0</v>
      </c>
      <c r="S22" s="36">
        <f>ROUND('Anexo 11'!S22*'Anexo 1'!$D$10,0)</f>
        <v>0</v>
      </c>
      <c r="T22" s="36">
        <f>ROUND('Anexo 11'!T22*'Anexo 1'!$D$10,0)</f>
        <v>0</v>
      </c>
      <c r="U22" s="36">
        <f>ROUND('Anexo 11'!U22*'Anexo 1'!$D$10,0)</f>
        <v>0</v>
      </c>
      <c r="V22" s="36">
        <f>ROUND('Anexo 11'!V22*'Anexo 1'!$D$10,0)</f>
        <v>0</v>
      </c>
      <c r="W22" s="36">
        <f>ROUND('Anexo 11'!W22*'Anexo 1'!$D$10,0)</f>
        <v>0</v>
      </c>
      <c r="X22" s="36">
        <f>ROUND('Anexo 11'!X22*'Anexo 1'!$D$10,0)</f>
        <v>0</v>
      </c>
      <c r="Y22" s="36">
        <f>ROUND('Anexo 11'!Y22*'Anexo 1'!$D$10,0)</f>
        <v>0</v>
      </c>
      <c r="Z22" s="37">
        <f>ROUND('Anexo 11'!Z22*'Anexo 1'!$D$10,0)</f>
        <v>0</v>
      </c>
      <c r="AA22" s="38">
        <f t="shared" si="0"/>
        <v>0</v>
      </c>
      <c r="AB22" s="21">
        <v>4</v>
      </c>
      <c r="AC22" s="95"/>
      <c r="AD22" s="49"/>
    </row>
    <row r="23" spans="1:30" ht="15" x14ac:dyDescent="0.25">
      <c r="A23" s="93"/>
      <c r="B23" s="22" t="s">
        <v>3</v>
      </c>
      <c r="C23" s="39">
        <f>ROUND('Anexo 11'!C23*'Anexo 1'!$D$10,0)</f>
        <v>0</v>
      </c>
      <c r="D23" s="39">
        <f>ROUND('Anexo 11'!D23*'Anexo 1'!$D$10,0)</f>
        <v>0</v>
      </c>
      <c r="E23" s="39">
        <f>ROUND('Anexo 11'!E23*'Anexo 1'!$D$10,0)</f>
        <v>0</v>
      </c>
      <c r="F23" s="39">
        <f>ROUND('Anexo 11'!F23*'Anexo 1'!$D$10,0)</f>
        <v>0</v>
      </c>
      <c r="G23" s="39">
        <f>ROUND('Anexo 11'!G23*'Anexo 1'!$D$10,0)</f>
        <v>0</v>
      </c>
      <c r="H23" s="39">
        <f>ROUND('Anexo 11'!H23*'Anexo 1'!$D$10,0)</f>
        <v>0</v>
      </c>
      <c r="I23" s="39">
        <f>ROUND('Anexo 11'!I23*'Anexo 1'!$D$10,0)</f>
        <v>0</v>
      </c>
      <c r="J23" s="39">
        <f>ROUND('Anexo 11'!J23*'Anexo 1'!$D$10,0)</f>
        <v>0</v>
      </c>
      <c r="K23" s="39">
        <f>ROUND('Anexo 11'!K23*'Anexo 1'!$D$10,0)</f>
        <v>0</v>
      </c>
      <c r="L23" s="39">
        <f>ROUND('Anexo 11'!L23*'Anexo 1'!$D$10,0)</f>
        <v>0</v>
      </c>
      <c r="M23" s="39">
        <f>ROUND('Anexo 11'!M23*'Anexo 1'!$D$10,0)</f>
        <v>0</v>
      </c>
      <c r="N23" s="39">
        <f>ROUND('Anexo 11'!N23*'Anexo 1'!$D$10,0)</f>
        <v>0</v>
      </c>
      <c r="O23" s="39">
        <f>ROUND('Anexo 11'!O23*'Anexo 1'!$D$10,0)</f>
        <v>0</v>
      </c>
      <c r="P23" s="39">
        <f>ROUND('Anexo 11'!P23*'Anexo 1'!$D$10,0)</f>
        <v>0</v>
      </c>
      <c r="Q23" s="39">
        <f>ROUND('Anexo 11'!Q23*'Anexo 1'!$D$10,0)</f>
        <v>0</v>
      </c>
      <c r="R23" s="39">
        <f>ROUND('Anexo 11'!R23*'Anexo 1'!$D$10,0)</f>
        <v>0</v>
      </c>
      <c r="S23" s="39">
        <f>ROUND('Anexo 11'!S23*'Anexo 1'!$D$10,0)</f>
        <v>0</v>
      </c>
      <c r="T23" s="39">
        <f>ROUND('Anexo 11'!T23*'Anexo 1'!$D$10,0)</f>
        <v>0</v>
      </c>
      <c r="U23" s="39">
        <f>ROUND('Anexo 11'!U23*'Anexo 1'!$D$10,0)</f>
        <v>0</v>
      </c>
      <c r="V23" s="39">
        <f>ROUND('Anexo 11'!V23*'Anexo 1'!$D$10,0)</f>
        <v>0</v>
      </c>
      <c r="W23" s="39">
        <f>ROUND('Anexo 11'!W23*'Anexo 1'!$D$10,0)</f>
        <v>0</v>
      </c>
      <c r="X23" s="39">
        <f>ROUND('Anexo 11'!X23*'Anexo 1'!$D$10,0)</f>
        <v>0</v>
      </c>
      <c r="Y23" s="39">
        <f>ROUND('Anexo 11'!Y23*'Anexo 1'!$D$10,0)</f>
        <v>0</v>
      </c>
      <c r="Z23" s="40">
        <f>ROUND('Anexo 11'!Z23*'Anexo 1'!$D$10,0)</f>
        <v>0</v>
      </c>
      <c r="AA23" s="41">
        <f t="shared" si="0"/>
        <v>0</v>
      </c>
      <c r="AB23" s="23">
        <v>7</v>
      </c>
      <c r="AC23" s="96"/>
      <c r="AD23" s="49"/>
    </row>
    <row r="24" spans="1:30" ht="15.75" thickBot="1" x14ac:dyDescent="0.3">
      <c r="A24" s="93">
        <v>46204</v>
      </c>
      <c r="B24" s="18" t="s">
        <v>5</v>
      </c>
      <c r="C24" s="33">
        <f>ROUND('Anexo 11'!C24*'Anexo 1'!$D$10,0)</f>
        <v>0</v>
      </c>
      <c r="D24" s="33">
        <f>ROUND('Anexo 11'!D24*'Anexo 1'!$D$10,0)</f>
        <v>0</v>
      </c>
      <c r="E24" s="33">
        <f>ROUND('Anexo 11'!E24*'Anexo 1'!$D$10,0)</f>
        <v>0</v>
      </c>
      <c r="F24" s="33">
        <f>ROUND('Anexo 11'!F24*'Anexo 1'!$D$10,0)</f>
        <v>0</v>
      </c>
      <c r="G24" s="33">
        <f>ROUND('Anexo 11'!G24*'Anexo 1'!$D$10,0)</f>
        <v>0</v>
      </c>
      <c r="H24" s="33">
        <f>ROUND('Anexo 11'!H24*'Anexo 1'!$D$10,0)</f>
        <v>0</v>
      </c>
      <c r="I24" s="33">
        <f>ROUND('Anexo 11'!I24*'Anexo 1'!$D$10,0)</f>
        <v>0</v>
      </c>
      <c r="J24" s="33">
        <f>ROUND('Anexo 11'!J24*'Anexo 1'!$D$10,0)</f>
        <v>0</v>
      </c>
      <c r="K24" s="33">
        <f>ROUND('Anexo 11'!K24*'Anexo 1'!$D$10,0)</f>
        <v>0</v>
      </c>
      <c r="L24" s="33">
        <f>ROUND('Anexo 11'!L24*'Anexo 1'!$D$10,0)</f>
        <v>0</v>
      </c>
      <c r="M24" s="33">
        <f>ROUND('Anexo 11'!M24*'Anexo 1'!$D$10,0)</f>
        <v>0</v>
      </c>
      <c r="N24" s="33">
        <f>ROUND('Anexo 11'!N24*'Anexo 1'!$D$10,0)</f>
        <v>0</v>
      </c>
      <c r="O24" s="33">
        <f>ROUND('Anexo 11'!O24*'Anexo 1'!$D$10,0)</f>
        <v>0</v>
      </c>
      <c r="P24" s="33">
        <f>ROUND('Anexo 11'!P24*'Anexo 1'!$D$10,0)</f>
        <v>0</v>
      </c>
      <c r="Q24" s="33">
        <f>ROUND('Anexo 11'!Q24*'Anexo 1'!$D$10,0)</f>
        <v>0</v>
      </c>
      <c r="R24" s="33">
        <f>ROUND('Anexo 11'!R24*'Anexo 1'!$D$10,0)</f>
        <v>0</v>
      </c>
      <c r="S24" s="33">
        <f>ROUND('Anexo 11'!S24*'Anexo 1'!$D$10,0)</f>
        <v>0</v>
      </c>
      <c r="T24" s="33">
        <f>ROUND('Anexo 11'!T24*'Anexo 1'!$D$10,0)</f>
        <v>0</v>
      </c>
      <c r="U24" s="33">
        <f>ROUND('Anexo 11'!U24*'Anexo 1'!$D$10,0)</f>
        <v>0</v>
      </c>
      <c r="V24" s="33">
        <f>ROUND('Anexo 11'!V24*'Anexo 1'!$D$10,0)</f>
        <v>0</v>
      </c>
      <c r="W24" s="33">
        <f>ROUND('Anexo 11'!W24*'Anexo 1'!$D$10,0)</f>
        <v>0</v>
      </c>
      <c r="X24" s="33">
        <f>ROUND('Anexo 11'!X24*'Anexo 1'!$D$10,0)</f>
        <v>0</v>
      </c>
      <c r="Y24" s="33">
        <f>ROUND('Anexo 11'!Y24*'Anexo 1'!$D$10,0)</f>
        <v>0</v>
      </c>
      <c r="Z24" s="34">
        <f>ROUND('Anexo 11'!Z24*'Anexo 1'!$D$10,0)</f>
        <v>0</v>
      </c>
      <c r="AA24" s="35">
        <f t="shared" si="0"/>
        <v>0</v>
      </c>
      <c r="AB24" s="19">
        <v>22</v>
      </c>
      <c r="AC24" s="94">
        <f>+AA24*AB24+AA25*AB25+AA26*AB26</f>
        <v>0</v>
      </c>
      <c r="AD24" s="49"/>
    </row>
    <row r="25" spans="1:30" ht="15.75" thickBot="1" x14ac:dyDescent="0.3">
      <c r="A25" s="93"/>
      <c r="B25" s="20" t="s">
        <v>4</v>
      </c>
      <c r="C25" s="36">
        <f>ROUND('Anexo 11'!C25*'Anexo 1'!$D$10,0)</f>
        <v>0</v>
      </c>
      <c r="D25" s="36">
        <f>ROUND('Anexo 11'!D25*'Anexo 1'!$D$10,0)</f>
        <v>0</v>
      </c>
      <c r="E25" s="36">
        <f>ROUND('Anexo 11'!E25*'Anexo 1'!$D$10,0)</f>
        <v>0</v>
      </c>
      <c r="F25" s="36">
        <f>ROUND('Anexo 11'!F25*'Anexo 1'!$D$10,0)</f>
        <v>0</v>
      </c>
      <c r="G25" s="36">
        <f>ROUND('Anexo 11'!G25*'Anexo 1'!$D$10,0)</f>
        <v>0</v>
      </c>
      <c r="H25" s="36">
        <f>ROUND('Anexo 11'!H25*'Anexo 1'!$D$10,0)</f>
        <v>0</v>
      </c>
      <c r="I25" s="36">
        <f>ROUND('Anexo 11'!I25*'Anexo 1'!$D$10,0)</f>
        <v>0</v>
      </c>
      <c r="J25" s="36">
        <f>ROUND('Anexo 11'!J25*'Anexo 1'!$D$10,0)</f>
        <v>0</v>
      </c>
      <c r="K25" s="36">
        <f>ROUND('Anexo 11'!K25*'Anexo 1'!$D$10,0)</f>
        <v>0</v>
      </c>
      <c r="L25" s="36">
        <f>ROUND('Anexo 11'!L25*'Anexo 1'!$D$10,0)</f>
        <v>0</v>
      </c>
      <c r="M25" s="36">
        <f>ROUND('Anexo 11'!M25*'Anexo 1'!$D$10,0)</f>
        <v>0</v>
      </c>
      <c r="N25" s="36">
        <f>ROUND('Anexo 11'!N25*'Anexo 1'!$D$10,0)</f>
        <v>0</v>
      </c>
      <c r="O25" s="36">
        <f>ROUND('Anexo 11'!O25*'Anexo 1'!$D$10,0)</f>
        <v>0</v>
      </c>
      <c r="P25" s="36">
        <f>ROUND('Anexo 11'!P25*'Anexo 1'!$D$10,0)</f>
        <v>0</v>
      </c>
      <c r="Q25" s="36">
        <f>ROUND('Anexo 11'!Q25*'Anexo 1'!$D$10,0)</f>
        <v>0</v>
      </c>
      <c r="R25" s="36">
        <f>ROUND('Anexo 11'!R25*'Anexo 1'!$D$10,0)</f>
        <v>0</v>
      </c>
      <c r="S25" s="36">
        <f>ROUND('Anexo 11'!S25*'Anexo 1'!$D$10,0)</f>
        <v>0</v>
      </c>
      <c r="T25" s="36">
        <f>ROUND('Anexo 11'!T25*'Anexo 1'!$D$10,0)</f>
        <v>0</v>
      </c>
      <c r="U25" s="36">
        <f>ROUND('Anexo 11'!U25*'Anexo 1'!$D$10,0)</f>
        <v>0</v>
      </c>
      <c r="V25" s="36">
        <f>ROUND('Anexo 11'!V25*'Anexo 1'!$D$10,0)</f>
        <v>0</v>
      </c>
      <c r="W25" s="36">
        <f>ROUND('Anexo 11'!W25*'Anexo 1'!$D$10,0)</f>
        <v>0</v>
      </c>
      <c r="X25" s="36">
        <f>ROUND('Anexo 11'!X25*'Anexo 1'!$D$10,0)</f>
        <v>0</v>
      </c>
      <c r="Y25" s="36">
        <f>ROUND('Anexo 11'!Y25*'Anexo 1'!$D$10,0)</f>
        <v>0</v>
      </c>
      <c r="Z25" s="37">
        <f>ROUND('Anexo 11'!Z25*'Anexo 1'!$D$10,0)</f>
        <v>0</v>
      </c>
      <c r="AA25" s="38">
        <f t="shared" si="0"/>
        <v>0</v>
      </c>
      <c r="AB25" s="21">
        <v>4</v>
      </c>
      <c r="AC25" s="95"/>
      <c r="AD25" s="49"/>
    </row>
    <row r="26" spans="1:30" ht="15" x14ac:dyDescent="0.25">
      <c r="A26" s="93"/>
      <c r="B26" s="22" t="s">
        <v>3</v>
      </c>
      <c r="C26" s="39">
        <f>ROUND('Anexo 11'!C26*'Anexo 1'!$D$10,0)</f>
        <v>0</v>
      </c>
      <c r="D26" s="39">
        <f>ROUND('Anexo 11'!D26*'Anexo 1'!$D$10,0)</f>
        <v>0</v>
      </c>
      <c r="E26" s="39">
        <f>ROUND('Anexo 11'!E26*'Anexo 1'!$D$10,0)</f>
        <v>0</v>
      </c>
      <c r="F26" s="39">
        <f>ROUND('Anexo 11'!F26*'Anexo 1'!$D$10,0)</f>
        <v>0</v>
      </c>
      <c r="G26" s="39">
        <f>ROUND('Anexo 11'!G26*'Anexo 1'!$D$10,0)</f>
        <v>0</v>
      </c>
      <c r="H26" s="39">
        <f>ROUND('Anexo 11'!H26*'Anexo 1'!$D$10,0)</f>
        <v>0</v>
      </c>
      <c r="I26" s="39">
        <f>ROUND('Anexo 11'!I26*'Anexo 1'!$D$10,0)</f>
        <v>0</v>
      </c>
      <c r="J26" s="39">
        <f>ROUND('Anexo 11'!J26*'Anexo 1'!$D$10,0)</f>
        <v>0</v>
      </c>
      <c r="K26" s="39">
        <f>ROUND('Anexo 11'!K26*'Anexo 1'!$D$10,0)</f>
        <v>0</v>
      </c>
      <c r="L26" s="39">
        <f>ROUND('Anexo 11'!L26*'Anexo 1'!$D$10,0)</f>
        <v>0</v>
      </c>
      <c r="M26" s="39">
        <f>ROUND('Anexo 11'!M26*'Anexo 1'!$D$10,0)</f>
        <v>0</v>
      </c>
      <c r="N26" s="39">
        <f>ROUND('Anexo 11'!N26*'Anexo 1'!$D$10,0)</f>
        <v>0</v>
      </c>
      <c r="O26" s="39">
        <f>ROUND('Anexo 11'!O26*'Anexo 1'!$D$10,0)</f>
        <v>0</v>
      </c>
      <c r="P26" s="39">
        <f>ROUND('Anexo 11'!P26*'Anexo 1'!$D$10,0)</f>
        <v>0</v>
      </c>
      <c r="Q26" s="39">
        <f>ROUND('Anexo 11'!Q26*'Anexo 1'!$D$10,0)</f>
        <v>0</v>
      </c>
      <c r="R26" s="39">
        <f>ROUND('Anexo 11'!R26*'Anexo 1'!$D$10,0)</f>
        <v>0</v>
      </c>
      <c r="S26" s="39">
        <f>ROUND('Anexo 11'!S26*'Anexo 1'!$D$10,0)</f>
        <v>0</v>
      </c>
      <c r="T26" s="39">
        <f>ROUND('Anexo 11'!T26*'Anexo 1'!$D$10,0)</f>
        <v>0</v>
      </c>
      <c r="U26" s="39">
        <f>ROUND('Anexo 11'!U26*'Anexo 1'!$D$10,0)</f>
        <v>0</v>
      </c>
      <c r="V26" s="39">
        <f>ROUND('Anexo 11'!V26*'Anexo 1'!$D$10,0)</f>
        <v>0</v>
      </c>
      <c r="W26" s="39">
        <f>ROUND('Anexo 11'!W26*'Anexo 1'!$D$10,0)</f>
        <v>0</v>
      </c>
      <c r="X26" s="39">
        <f>ROUND('Anexo 11'!X26*'Anexo 1'!$D$10,0)</f>
        <v>0</v>
      </c>
      <c r="Y26" s="39">
        <f>ROUND('Anexo 11'!Y26*'Anexo 1'!$D$10,0)</f>
        <v>0</v>
      </c>
      <c r="Z26" s="40">
        <f>ROUND('Anexo 11'!Z26*'Anexo 1'!$D$10,0)</f>
        <v>0</v>
      </c>
      <c r="AA26" s="41">
        <f t="shared" si="0"/>
        <v>0</v>
      </c>
      <c r="AB26" s="23">
        <v>5</v>
      </c>
      <c r="AC26" s="96"/>
      <c r="AD26" s="49"/>
    </row>
    <row r="27" spans="1:30" ht="15.75" thickBot="1" x14ac:dyDescent="0.3">
      <c r="A27" s="93">
        <v>46235</v>
      </c>
      <c r="B27" s="18" t="s">
        <v>5</v>
      </c>
      <c r="C27" s="33">
        <f>ROUND('Anexo 11'!C27*'Anexo 1'!$D$10,0)</f>
        <v>0</v>
      </c>
      <c r="D27" s="33">
        <f>ROUND('Anexo 11'!D27*'Anexo 1'!$D$10,0)</f>
        <v>0</v>
      </c>
      <c r="E27" s="33">
        <f>ROUND('Anexo 11'!E27*'Anexo 1'!$D$10,0)</f>
        <v>0</v>
      </c>
      <c r="F27" s="33">
        <f>ROUND('Anexo 11'!F27*'Anexo 1'!$D$10,0)</f>
        <v>0</v>
      </c>
      <c r="G27" s="33">
        <f>ROUND('Anexo 11'!G27*'Anexo 1'!$D$10,0)</f>
        <v>0</v>
      </c>
      <c r="H27" s="33">
        <f>ROUND('Anexo 11'!H27*'Anexo 1'!$D$10,0)</f>
        <v>0</v>
      </c>
      <c r="I27" s="33">
        <f>ROUND('Anexo 11'!I27*'Anexo 1'!$D$10,0)</f>
        <v>0</v>
      </c>
      <c r="J27" s="33">
        <f>ROUND('Anexo 11'!J27*'Anexo 1'!$D$10,0)</f>
        <v>0</v>
      </c>
      <c r="K27" s="33">
        <f>ROUND('Anexo 11'!K27*'Anexo 1'!$D$10,0)</f>
        <v>0</v>
      </c>
      <c r="L27" s="33">
        <f>ROUND('Anexo 11'!L27*'Anexo 1'!$D$10,0)</f>
        <v>0</v>
      </c>
      <c r="M27" s="33">
        <f>ROUND('Anexo 11'!M27*'Anexo 1'!$D$10,0)</f>
        <v>0</v>
      </c>
      <c r="N27" s="33">
        <f>ROUND('Anexo 11'!N27*'Anexo 1'!$D$10,0)</f>
        <v>0</v>
      </c>
      <c r="O27" s="33">
        <f>ROUND('Anexo 11'!O27*'Anexo 1'!$D$10,0)</f>
        <v>0</v>
      </c>
      <c r="P27" s="33">
        <f>ROUND('Anexo 11'!P27*'Anexo 1'!$D$10,0)</f>
        <v>0</v>
      </c>
      <c r="Q27" s="33">
        <f>ROUND('Anexo 11'!Q27*'Anexo 1'!$D$10,0)</f>
        <v>0</v>
      </c>
      <c r="R27" s="33">
        <f>ROUND('Anexo 11'!R27*'Anexo 1'!$D$10,0)</f>
        <v>0</v>
      </c>
      <c r="S27" s="33">
        <f>ROUND('Anexo 11'!S27*'Anexo 1'!$D$10,0)</f>
        <v>0</v>
      </c>
      <c r="T27" s="33">
        <f>ROUND('Anexo 11'!T27*'Anexo 1'!$D$10,0)</f>
        <v>0</v>
      </c>
      <c r="U27" s="33">
        <f>ROUND('Anexo 11'!U27*'Anexo 1'!$D$10,0)</f>
        <v>0</v>
      </c>
      <c r="V27" s="33">
        <f>ROUND('Anexo 11'!V27*'Anexo 1'!$D$10,0)</f>
        <v>0</v>
      </c>
      <c r="W27" s="33">
        <f>ROUND('Anexo 11'!W27*'Anexo 1'!$D$10,0)</f>
        <v>0</v>
      </c>
      <c r="X27" s="33">
        <f>ROUND('Anexo 11'!X27*'Anexo 1'!$D$10,0)</f>
        <v>0</v>
      </c>
      <c r="Y27" s="33">
        <f>ROUND('Anexo 11'!Y27*'Anexo 1'!$D$10,0)</f>
        <v>0</v>
      </c>
      <c r="Z27" s="34">
        <f>ROUND('Anexo 11'!Z27*'Anexo 1'!$D$10,0)</f>
        <v>0</v>
      </c>
      <c r="AA27" s="35">
        <f t="shared" si="0"/>
        <v>0</v>
      </c>
      <c r="AB27" s="19">
        <v>19</v>
      </c>
      <c r="AC27" s="94">
        <f>+AA27*AB27+AA28*AB28+AA29*AB29</f>
        <v>0</v>
      </c>
      <c r="AD27" s="49"/>
    </row>
    <row r="28" spans="1:30" ht="15.75" thickBot="1" x14ac:dyDescent="0.3">
      <c r="A28" s="93"/>
      <c r="B28" s="20" t="s">
        <v>4</v>
      </c>
      <c r="C28" s="36">
        <f>ROUND('Anexo 11'!C28*'Anexo 1'!$D$10,0)</f>
        <v>0</v>
      </c>
      <c r="D28" s="36">
        <f>ROUND('Anexo 11'!D28*'Anexo 1'!$D$10,0)</f>
        <v>0</v>
      </c>
      <c r="E28" s="36">
        <f>ROUND('Anexo 11'!E28*'Anexo 1'!$D$10,0)</f>
        <v>0</v>
      </c>
      <c r="F28" s="36">
        <f>ROUND('Anexo 11'!F28*'Anexo 1'!$D$10,0)</f>
        <v>0</v>
      </c>
      <c r="G28" s="36">
        <f>ROUND('Anexo 11'!G28*'Anexo 1'!$D$10,0)</f>
        <v>0</v>
      </c>
      <c r="H28" s="36">
        <f>ROUND('Anexo 11'!H28*'Anexo 1'!$D$10,0)</f>
        <v>0</v>
      </c>
      <c r="I28" s="36">
        <f>ROUND('Anexo 11'!I28*'Anexo 1'!$D$10,0)</f>
        <v>0</v>
      </c>
      <c r="J28" s="36">
        <f>ROUND('Anexo 11'!J28*'Anexo 1'!$D$10,0)</f>
        <v>0</v>
      </c>
      <c r="K28" s="36">
        <f>ROUND('Anexo 11'!K28*'Anexo 1'!$D$10,0)</f>
        <v>0</v>
      </c>
      <c r="L28" s="36">
        <f>ROUND('Anexo 11'!L28*'Anexo 1'!$D$10,0)</f>
        <v>0</v>
      </c>
      <c r="M28" s="36">
        <f>ROUND('Anexo 11'!M28*'Anexo 1'!$D$10,0)</f>
        <v>0</v>
      </c>
      <c r="N28" s="36">
        <f>ROUND('Anexo 11'!N28*'Anexo 1'!$D$10,0)</f>
        <v>0</v>
      </c>
      <c r="O28" s="36">
        <f>ROUND('Anexo 11'!O28*'Anexo 1'!$D$10,0)</f>
        <v>0</v>
      </c>
      <c r="P28" s="36">
        <f>ROUND('Anexo 11'!P28*'Anexo 1'!$D$10,0)</f>
        <v>0</v>
      </c>
      <c r="Q28" s="36">
        <f>ROUND('Anexo 11'!Q28*'Anexo 1'!$D$10,0)</f>
        <v>0</v>
      </c>
      <c r="R28" s="36">
        <f>ROUND('Anexo 11'!R28*'Anexo 1'!$D$10,0)</f>
        <v>0</v>
      </c>
      <c r="S28" s="36">
        <f>ROUND('Anexo 11'!S28*'Anexo 1'!$D$10,0)</f>
        <v>0</v>
      </c>
      <c r="T28" s="36">
        <f>ROUND('Anexo 11'!T28*'Anexo 1'!$D$10,0)</f>
        <v>0</v>
      </c>
      <c r="U28" s="36">
        <f>ROUND('Anexo 11'!U28*'Anexo 1'!$D$10,0)</f>
        <v>0</v>
      </c>
      <c r="V28" s="36">
        <f>ROUND('Anexo 11'!V28*'Anexo 1'!$D$10,0)</f>
        <v>0</v>
      </c>
      <c r="W28" s="36">
        <f>ROUND('Anexo 11'!W28*'Anexo 1'!$D$10,0)</f>
        <v>0</v>
      </c>
      <c r="X28" s="36">
        <f>ROUND('Anexo 11'!X28*'Anexo 1'!$D$10,0)</f>
        <v>0</v>
      </c>
      <c r="Y28" s="36">
        <f>ROUND('Anexo 11'!Y28*'Anexo 1'!$D$10,0)</f>
        <v>0</v>
      </c>
      <c r="Z28" s="37">
        <f>ROUND('Anexo 11'!Z28*'Anexo 1'!$D$10,0)</f>
        <v>0</v>
      </c>
      <c r="AA28" s="38">
        <f t="shared" si="0"/>
        <v>0</v>
      </c>
      <c r="AB28" s="21">
        <v>5</v>
      </c>
      <c r="AC28" s="95"/>
      <c r="AD28" s="49"/>
    </row>
    <row r="29" spans="1:30" ht="15" x14ac:dyDescent="0.25">
      <c r="A29" s="93"/>
      <c r="B29" s="22" t="s">
        <v>3</v>
      </c>
      <c r="C29" s="39">
        <f>ROUND('Anexo 11'!C29*'Anexo 1'!$D$10,0)</f>
        <v>0</v>
      </c>
      <c r="D29" s="39">
        <f>ROUND('Anexo 11'!D29*'Anexo 1'!$D$10,0)</f>
        <v>0</v>
      </c>
      <c r="E29" s="39">
        <f>ROUND('Anexo 11'!E29*'Anexo 1'!$D$10,0)</f>
        <v>0</v>
      </c>
      <c r="F29" s="39">
        <f>ROUND('Anexo 11'!F29*'Anexo 1'!$D$10,0)</f>
        <v>0</v>
      </c>
      <c r="G29" s="39">
        <f>ROUND('Anexo 11'!G29*'Anexo 1'!$D$10,0)</f>
        <v>0</v>
      </c>
      <c r="H29" s="39">
        <f>ROUND('Anexo 11'!H29*'Anexo 1'!$D$10,0)</f>
        <v>0</v>
      </c>
      <c r="I29" s="39">
        <f>ROUND('Anexo 11'!I29*'Anexo 1'!$D$10,0)</f>
        <v>0</v>
      </c>
      <c r="J29" s="39">
        <f>ROUND('Anexo 11'!J29*'Anexo 1'!$D$10,0)</f>
        <v>0</v>
      </c>
      <c r="K29" s="39">
        <f>ROUND('Anexo 11'!K29*'Anexo 1'!$D$10,0)</f>
        <v>0</v>
      </c>
      <c r="L29" s="39">
        <f>ROUND('Anexo 11'!L29*'Anexo 1'!$D$10,0)</f>
        <v>0</v>
      </c>
      <c r="M29" s="39">
        <f>ROUND('Anexo 11'!M29*'Anexo 1'!$D$10,0)</f>
        <v>0</v>
      </c>
      <c r="N29" s="39">
        <f>ROUND('Anexo 11'!N29*'Anexo 1'!$D$10,0)</f>
        <v>0</v>
      </c>
      <c r="O29" s="39">
        <f>ROUND('Anexo 11'!O29*'Anexo 1'!$D$10,0)</f>
        <v>0</v>
      </c>
      <c r="P29" s="39">
        <f>ROUND('Anexo 11'!P29*'Anexo 1'!$D$10,0)</f>
        <v>0</v>
      </c>
      <c r="Q29" s="39">
        <f>ROUND('Anexo 11'!Q29*'Anexo 1'!$D$10,0)</f>
        <v>0</v>
      </c>
      <c r="R29" s="39">
        <f>ROUND('Anexo 11'!R29*'Anexo 1'!$D$10,0)</f>
        <v>0</v>
      </c>
      <c r="S29" s="39">
        <f>ROUND('Anexo 11'!S29*'Anexo 1'!$D$10,0)</f>
        <v>0</v>
      </c>
      <c r="T29" s="39">
        <f>ROUND('Anexo 11'!T29*'Anexo 1'!$D$10,0)</f>
        <v>0</v>
      </c>
      <c r="U29" s="39">
        <f>ROUND('Anexo 11'!U29*'Anexo 1'!$D$10,0)</f>
        <v>0</v>
      </c>
      <c r="V29" s="39">
        <f>ROUND('Anexo 11'!V29*'Anexo 1'!$D$10,0)</f>
        <v>0</v>
      </c>
      <c r="W29" s="39">
        <f>ROUND('Anexo 11'!W29*'Anexo 1'!$D$10,0)</f>
        <v>0</v>
      </c>
      <c r="X29" s="39">
        <f>ROUND('Anexo 11'!X29*'Anexo 1'!$D$10,0)</f>
        <v>0</v>
      </c>
      <c r="Y29" s="39">
        <f>ROUND('Anexo 11'!Y29*'Anexo 1'!$D$10,0)</f>
        <v>0</v>
      </c>
      <c r="Z29" s="40">
        <f>ROUND('Anexo 11'!Z29*'Anexo 1'!$D$10,0)</f>
        <v>0</v>
      </c>
      <c r="AA29" s="41">
        <f t="shared" si="0"/>
        <v>0</v>
      </c>
      <c r="AB29" s="23">
        <v>7</v>
      </c>
      <c r="AC29" s="96"/>
      <c r="AD29" s="49"/>
    </row>
    <row r="30" spans="1:30" ht="15.75" thickBot="1" x14ac:dyDescent="0.3">
      <c r="A30" s="93">
        <v>46266</v>
      </c>
      <c r="B30" s="18" t="s">
        <v>5</v>
      </c>
      <c r="C30" s="33">
        <f>ROUND('Anexo 11'!C30*'Anexo 1'!$D$10,0)</f>
        <v>0</v>
      </c>
      <c r="D30" s="33">
        <f>ROUND('Anexo 11'!D30*'Anexo 1'!$D$10,0)</f>
        <v>0</v>
      </c>
      <c r="E30" s="33">
        <f>ROUND('Anexo 11'!E30*'Anexo 1'!$D$10,0)</f>
        <v>0</v>
      </c>
      <c r="F30" s="33">
        <f>ROUND('Anexo 11'!F30*'Anexo 1'!$D$10,0)</f>
        <v>0</v>
      </c>
      <c r="G30" s="33">
        <f>ROUND('Anexo 11'!G30*'Anexo 1'!$D$10,0)</f>
        <v>0</v>
      </c>
      <c r="H30" s="33">
        <f>ROUND('Anexo 11'!H30*'Anexo 1'!$D$10,0)</f>
        <v>0</v>
      </c>
      <c r="I30" s="33">
        <f>ROUND('Anexo 11'!I30*'Anexo 1'!$D$10,0)</f>
        <v>0</v>
      </c>
      <c r="J30" s="33">
        <f>ROUND('Anexo 11'!J30*'Anexo 1'!$D$10,0)</f>
        <v>0</v>
      </c>
      <c r="K30" s="33">
        <f>ROUND('Anexo 11'!K30*'Anexo 1'!$D$10,0)</f>
        <v>0</v>
      </c>
      <c r="L30" s="33">
        <f>ROUND('Anexo 11'!L30*'Anexo 1'!$D$10,0)</f>
        <v>0</v>
      </c>
      <c r="M30" s="33">
        <f>ROUND('Anexo 11'!M30*'Anexo 1'!$D$10,0)</f>
        <v>0</v>
      </c>
      <c r="N30" s="33">
        <f>ROUND('Anexo 11'!N30*'Anexo 1'!$D$10,0)</f>
        <v>0</v>
      </c>
      <c r="O30" s="33">
        <f>ROUND('Anexo 11'!O30*'Anexo 1'!$D$10,0)</f>
        <v>0</v>
      </c>
      <c r="P30" s="33">
        <f>ROUND('Anexo 11'!P30*'Anexo 1'!$D$10,0)</f>
        <v>0</v>
      </c>
      <c r="Q30" s="33">
        <f>ROUND('Anexo 11'!Q30*'Anexo 1'!$D$10,0)</f>
        <v>0</v>
      </c>
      <c r="R30" s="33">
        <f>ROUND('Anexo 11'!R30*'Anexo 1'!$D$10,0)</f>
        <v>0</v>
      </c>
      <c r="S30" s="33">
        <f>ROUND('Anexo 11'!S30*'Anexo 1'!$D$10,0)</f>
        <v>0</v>
      </c>
      <c r="T30" s="33">
        <f>ROUND('Anexo 11'!T30*'Anexo 1'!$D$10,0)</f>
        <v>0</v>
      </c>
      <c r="U30" s="33">
        <f>ROUND('Anexo 11'!U30*'Anexo 1'!$D$10,0)</f>
        <v>0</v>
      </c>
      <c r="V30" s="33">
        <f>ROUND('Anexo 11'!V30*'Anexo 1'!$D$10,0)</f>
        <v>0</v>
      </c>
      <c r="W30" s="33">
        <f>ROUND('Anexo 11'!W30*'Anexo 1'!$D$10,0)</f>
        <v>0</v>
      </c>
      <c r="X30" s="33">
        <f>ROUND('Anexo 11'!X30*'Anexo 1'!$D$10,0)</f>
        <v>0</v>
      </c>
      <c r="Y30" s="33">
        <f>ROUND('Anexo 11'!Y30*'Anexo 1'!$D$10,0)</f>
        <v>0</v>
      </c>
      <c r="Z30" s="34">
        <f>ROUND('Anexo 11'!Z30*'Anexo 1'!$D$10,0)</f>
        <v>0</v>
      </c>
      <c r="AA30" s="35">
        <f t="shared" si="0"/>
        <v>0</v>
      </c>
      <c r="AB30" s="19">
        <v>22</v>
      </c>
      <c r="AC30" s="94">
        <f>+AA30*AB30+AA31*AB31+AA32*AB32</f>
        <v>0</v>
      </c>
      <c r="AD30" s="49"/>
    </row>
    <row r="31" spans="1:30" ht="15.75" thickBot="1" x14ac:dyDescent="0.3">
      <c r="A31" s="93"/>
      <c r="B31" s="20" t="s">
        <v>4</v>
      </c>
      <c r="C31" s="36">
        <f>ROUND('Anexo 11'!C31*'Anexo 1'!$D$10,0)</f>
        <v>0</v>
      </c>
      <c r="D31" s="36">
        <f>ROUND('Anexo 11'!D31*'Anexo 1'!$D$10,0)</f>
        <v>0</v>
      </c>
      <c r="E31" s="36">
        <f>ROUND('Anexo 11'!E31*'Anexo 1'!$D$10,0)</f>
        <v>0</v>
      </c>
      <c r="F31" s="36">
        <f>ROUND('Anexo 11'!F31*'Anexo 1'!$D$10,0)</f>
        <v>0</v>
      </c>
      <c r="G31" s="36">
        <f>ROUND('Anexo 11'!G31*'Anexo 1'!$D$10,0)</f>
        <v>0</v>
      </c>
      <c r="H31" s="36">
        <f>ROUND('Anexo 11'!H31*'Anexo 1'!$D$10,0)</f>
        <v>0</v>
      </c>
      <c r="I31" s="36">
        <f>ROUND('Anexo 11'!I31*'Anexo 1'!$D$10,0)</f>
        <v>0</v>
      </c>
      <c r="J31" s="36">
        <f>ROUND('Anexo 11'!J31*'Anexo 1'!$D$10,0)</f>
        <v>0</v>
      </c>
      <c r="K31" s="36">
        <f>ROUND('Anexo 11'!K31*'Anexo 1'!$D$10,0)</f>
        <v>0</v>
      </c>
      <c r="L31" s="36">
        <f>ROUND('Anexo 11'!L31*'Anexo 1'!$D$10,0)</f>
        <v>0</v>
      </c>
      <c r="M31" s="36">
        <f>ROUND('Anexo 11'!M31*'Anexo 1'!$D$10,0)</f>
        <v>0</v>
      </c>
      <c r="N31" s="36">
        <f>ROUND('Anexo 11'!N31*'Anexo 1'!$D$10,0)</f>
        <v>0</v>
      </c>
      <c r="O31" s="36">
        <f>ROUND('Anexo 11'!O31*'Anexo 1'!$D$10,0)</f>
        <v>0</v>
      </c>
      <c r="P31" s="36">
        <f>ROUND('Anexo 11'!P31*'Anexo 1'!$D$10,0)</f>
        <v>0</v>
      </c>
      <c r="Q31" s="36">
        <f>ROUND('Anexo 11'!Q31*'Anexo 1'!$D$10,0)</f>
        <v>0</v>
      </c>
      <c r="R31" s="36">
        <f>ROUND('Anexo 11'!R31*'Anexo 1'!$D$10,0)</f>
        <v>0</v>
      </c>
      <c r="S31" s="36">
        <f>ROUND('Anexo 11'!S31*'Anexo 1'!$D$10,0)</f>
        <v>0</v>
      </c>
      <c r="T31" s="36">
        <f>ROUND('Anexo 11'!T31*'Anexo 1'!$D$10,0)</f>
        <v>0</v>
      </c>
      <c r="U31" s="36">
        <f>ROUND('Anexo 11'!U31*'Anexo 1'!$D$10,0)</f>
        <v>0</v>
      </c>
      <c r="V31" s="36">
        <f>ROUND('Anexo 11'!V31*'Anexo 1'!$D$10,0)</f>
        <v>0</v>
      </c>
      <c r="W31" s="36">
        <f>ROUND('Anexo 11'!W31*'Anexo 1'!$D$10,0)</f>
        <v>0</v>
      </c>
      <c r="X31" s="36">
        <f>ROUND('Anexo 11'!X31*'Anexo 1'!$D$10,0)</f>
        <v>0</v>
      </c>
      <c r="Y31" s="36">
        <f>ROUND('Anexo 11'!Y31*'Anexo 1'!$D$10,0)</f>
        <v>0</v>
      </c>
      <c r="Z31" s="37">
        <f>ROUND('Anexo 11'!Z31*'Anexo 1'!$D$10,0)</f>
        <v>0</v>
      </c>
      <c r="AA31" s="38">
        <f t="shared" si="0"/>
        <v>0</v>
      </c>
      <c r="AB31" s="21">
        <v>4</v>
      </c>
      <c r="AC31" s="95"/>
      <c r="AD31" s="49"/>
    </row>
    <row r="32" spans="1:30" ht="15" x14ac:dyDescent="0.25">
      <c r="A32" s="93"/>
      <c r="B32" s="22" t="s">
        <v>3</v>
      </c>
      <c r="C32" s="39">
        <f>ROUND('Anexo 11'!C32*'Anexo 1'!$D$10,0)</f>
        <v>0</v>
      </c>
      <c r="D32" s="39">
        <f>ROUND('Anexo 11'!D32*'Anexo 1'!$D$10,0)</f>
        <v>0</v>
      </c>
      <c r="E32" s="39">
        <f>ROUND('Anexo 11'!E32*'Anexo 1'!$D$10,0)</f>
        <v>0</v>
      </c>
      <c r="F32" s="39">
        <f>ROUND('Anexo 11'!F32*'Anexo 1'!$D$10,0)</f>
        <v>0</v>
      </c>
      <c r="G32" s="39">
        <f>ROUND('Anexo 11'!G32*'Anexo 1'!$D$10,0)</f>
        <v>0</v>
      </c>
      <c r="H32" s="39">
        <f>ROUND('Anexo 11'!H32*'Anexo 1'!$D$10,0)</f>
        <v>0</v>
      </c>
      <c r="I32" s="39">
        <f>ROUND('Anexo 11'!I32*'Anexo 1'!$D$10,0)</f>
        <v>0</v>
      </c>
      <c r="J32" s="39">
        <f>ROUND('Anexo 11'!J32*'Anexo 1'!$D$10,0)</f>
        <v>0</v>
      </c>
      <c r="K32" s="39">
        <f>ROUND('Anexo 11'!K32*'Anexo 1'!$D$10,0)</f>
        <v>0</v>
      </c>
      <c r="L32" s="39">
        <f>ROUND('Anexo 11'!L32*'Anexo 1'!$D$10,0)</f>
        <v>0</v>
      </c>
      <c r="M32" s="39">
        <f>ROUND('Anexo 11'!M32*'Anexo 1'!$D$10,0)</f>
        <v>0</v>
      </c>
      <c r="N32" s="39">
        <f>ROUND('Anexo 11'!N32*'Anexo 1'!$D$10,0)</f>
        <v>0</v>
      </c>
      <c r="O32" s="39">
        <f>ROUND('Anexo 11'!O32*'Anexo 1'!$D$10,0)</f>
        <v>0</v>
      </c>
      <c r="P32" s="39">
        <f>ROUND('Anexo 11'!P32*'Anexo 1'!$D$10,0)</f>
        <v>0</v>
      </c>
      <c r="Q32" s="39">
        <f>ROUND('Anexo 11'!Q32*'Anexo 1'!$D$10,0)</f>
        <v>0</v>
      </c>
      <c r="R32" s="39">
        <f>ROUND('Anexo 11'!R32*'Anexo 1'!$D$10,0)</f>
        <v>0</v>
      </c>
      <c r="S32" s="39">
        <f>ROUND('Anexo 11'!S32*'Anexo 1'!$D$10,0)</f>
        <v>0</v>
      </c>
      <c r="T32" s="39">
        <f>ROUND('Anexo 11'!T32*'Anexo 1'!$D$10,0)</f>
        <v>0</v>
      </c>
      <c r="U32" s="39">
        <f>ROUND('Anexo 11'!U32*'Anexo 1'!$D$10,0)</f>
        <v>0</v>
      </c>
      <c r="V32" s="39">
        <f>ROUND('Anexo 11'!V32*'Anexo 1'!$D$10,0)</f>
        <v>0</v>
      </c>
      <c r="W32" s="39">
        <f>ROUND('Anexo 11'!W32*'Anexo 1'!$D$10,0)</f>
        <v>0</v>
      </c>
      <c r="X32" s="39">
        <f>ROUND('Anexo 11'!X32*'Anexo 1'!$D$10,0)</f>
        <v>0</v>
      </c>
      <c r="Y32" s="39">
        <f>ROUND('Anexo 11'!Y32*'Anexo 1'!$D$10,0)</f>
        <v>0</v>
      </c>
      <c r="Z32" s="40">
        <f>ROUND('Anexo 11'!Z32*'Anexo 1'!$D$10,0)</f>
        <v>0</v>
      </c>
      <c r="AA32" s="41">
        <f t="shared" si="0"/>
        <v>0</v>
      </c>
      <c r="AB32" s="23">
        <v>4</v>
      </c>
      <c r="AC32" s="96"/>
      <c r="AD32" s="49"/>
    </row>
    <row r="33" spans="1:30" ht="15.75" thickBot="1" x14ac:dyDescent="0.3">
      <c r="A33" s="93">
        <v>46296</v>
      </c>
      <c r="B33" s="18" t="s">
        <v>5</v>
      </c>
      <c r="C33" s="33">
        <f>ROUND('Anexo 11'!C33*'Anexo 1'!$D$10,0)</f>
        <v>0</v>
      </c>
      <c r="D33" s="33">
        <f>ROUND('Anexo 11'!D33*'Anexo 1'!$D$10,0)</f>
        <v>0</v>
      </c>
      <c r="E33" s="33">
        <f>ROUND('Anexo 11'!E33*'Anexo 1'!$D$10,0)</f>
        <v>0</v>
      </c>
      <c r="F33" s="33">
        <f>ROUND('Anexo 11'!F33*'Anexo 1'!$D$10,0)</f>
        <v>0</v>
      </c>
      <c r="G33" s="33">
        <f>ROUND('Anexo 11'!G33*'Anexo 1'!$D$10,0)</f>
        <v>0</v>
      </c>
      <c r="H33" s="33">
        <f>ROUND('Anexo 11'!H33*'Anexo 1'!$D$10,0)</f>
        <v>0</v>
      </c>
      <c r="I33" s="33">
        <f>ROUND('Anexo 11'!I33*'Anexo 1'!$D$10,0)</f>
        <v>0</v>
      </c>
      <c r="J33" s="33">
        <f>ROUND('Anexo 11'!J33*'Anexo 1'!$D$10,0)</f>
        <v>0</v>
      </c>
      <c r="K33" s="33">
        <f>ROUND('Anexo 11'!K33*'Anexo 1'!$D$10,0)</f>
        <v>0</v>
      </c>
      <c r="L33" s="33">
        <f>ROUND('Anexo 11'!L33*'Anexo 1'!$D$10,0)</f>
        <v>0</v>
      </c>
      <c r="M33" s="33">
        <f>ROUND('Anexo 11'!M33*'Anexo 1'!$D$10,0)</f>
        <v>0</v>
      </c>
      <c r="N33" s="33">
        <f>ROUND('Anexo 11'!N33*'Anexo 1'!$D$10,0)</f>
        <v>0</v>
      </c>
      <c r="O33" s="33">
        <f>ROUND('Anexo 11'!O33*'Anexo 1'!$D$10,0)</f>
        <v>0</v>
      </c>
      <c r="P33" s="33">
        <f>ROUND('Anexo 11'!P33*'Anexo 1'!$D$10,0)</f>
        <v>0</v>
      </c>
      <c r="Q33" s="33">
        <f>ROUND('Anexo 11'!Q33*'Anexo 1'!$D$10,0)</f>
        <v>0</v>
      </c>
      <c r="R33" s="33">
        <f>ROUND('Anexo 11'!R33*'Anexo 1'!$D$10,0)</f>
        <v>0</v>
      </c>
      <c r="S33" s="33">
        <f>ROUND('Anexo 11'!S33*'Anexo 1'!$D$10,0)</f>
        <v>0</v>
      </c>
      <c r="T33" s="33">
        <f>ROUND('Anexo 11'!T33*'Anexo 1'!$D$10,0)</f>
        <v>0</v>
      </c>
      <c r="U33" s="33">
        <f>ROUND('Anexo 11'!U33*'Anexo 1'!$D$10,0)</f>
        <v>0</v>
      </c>
      <c r="V33" s="33">
        <f>ROUND('Anexo 11'!V33*'Anexo 1'!$D$10,0)</f>
        <v>0</v>
      </c>
      <c r="W33" s="33">
        <f>ROUND('Anexo 11'!W33*'Anexo 1'!$D$10,0)</f>
        <v>0</v>
      </c>
      <c r="X33" s="33">
        <f>ROUND('Anexo 11'!X33*'Anexo 1'!$D$10,0)</f>
        <v>0</v>
      </c>
      <c r="Y33" s="33">
        <f>ROUND('Anexo 11'!Y33*'Anexo 1'!$D$10,0)</f>
        <v>0</v>
      </c>
      <c r="Z33" s="34">
        <f>ROUND('Anexo 11'!Z33*'Anexo 1'!$D$10,0)</f>
        <v>0</v>
      </c>
      <c r="AA33" s="35">
        <f t="shared" si="0"/>
        <v>0</v>
      </c>
      <c r="AB33" s="19">
        <v>21</v>
      </c>
      <c r="AC33" s="94">
        <f>+AA33*AB33+AA34*AB34+AA35*AB35</f>
        <v>0</v>
      </c>
      <c r="AD33" s="49"/>
    </row>
    <row r="34" spans="1:30" ht="15.75" thickBot="1" x14ac:dyDescent="0.3">
      <c r="A34" s="93"/>
      <c r="B34" s="20" t="s">
        <v>4</v>
      </c>
      <c r="C34" s="36">
        <f>ROUND('Anexo 11'!C34*'Anexo 1'!$D$10,0)</f>
        <v>0</v>
      </c>
      <c r="D34" s="36">
        <f>ROUND('Anexo 11'!D34*'Anexo 1'!$D$10,0)</f>
        <v>0</v>
      </c>
      <c r="E34" s="36">
        <f>ROUND('Anexo 11'!E34*'Anexo 1'!$D$10,0)</f>
        <v>0</v>
      </c>
      <c r="F34" s="36">
        <f>ROUND('Anexo 11'!F34*'Anexo 1'!$D$10,0)</f>
        <v>0</v>
      </c>
      <c r="G34" s="36">
        <f>ROUND('Anexo 11'!G34*'Anexo 1'!$D$10,0)</f>
        <v>0</v>
      </c>
      <c r="H34" s="36">
        <f>ROUND('Anexo 11'!H34*'Anexo 1'!$D$10,0)</f>
        <v>0</v>
      </c>
      <c r="I34" s="36">
        <f>ROUND('Anexo 11'!I34*'Anexo 1'!$D$10,0)</f>
        <v>0</v>
      </c>
      <c r="J34" s="36">
        <f>ROUND('Anexo 11'!J34*'Anexo 1'!$D$10,0)</f>
        <v>0</v>
      </c>
      <c r="K34" s="36">
        <f>ROUND('Anexo 11'!K34*'Anexo 1'!$D$10,0)</f>
        <v>0</v>
      </c>
      <c r="L34" s="36">
        <f>ROUND('Anexo 11'!L34*'Anexo 1'!$D$10,0)</f>
        <v>0</v>
      </c>
      <c r="M34" s="36">
        <f>ROUND('Anexo 11'!M34*'Anexo 1'!$D$10,0)</f>
        <v>0</v>
      </c>
      <c r="N34" s="36">
        <f>ROUND('Anexo 11'!N34*'Anexo 1'!$D$10,0)</f>
        <v>0</v>
      </c>
      <c r="O34" s="36">
        <f>ROUND('Anexo 11'!O34*'Anexo 1'!$D$10,0)</f>
        <v>0</v>
      </c>
      <c r="P34" s="36">
        <f>ROUND('Anexo 11'!P34*'Anexo 1'!$D$10,0)</f>
        <v>0</v>
      </c>
      <c r="Q34" s="36">
        <f>ROUND('Anexo 11'!Q34*'Anexo 1'!$D$10,0)</f>
        <v>0</v>
      </c>
      <c r="R34" s="36">
        <f>ROUND('Anexo 11'!R34*'Anexo 1'!$D$10,0)</f>
        <v>0</v>
      </c>
      <c r="S34" s="36">
        <f>ROUND('Anexo 11'!S34*'Anexo 1'!$D$10,0)</f>
        <v>0</v>
      </c>
      <c r="T34" s="36">
        <f>ROUND('Anexo 11'!T34*'Anexo 1'!$D$10,0)</f>
        <v>0</v>
      </c>
      <c r="U34" s="36">
        <f>ROUND('Anexo 11'!U34*'Anexo 1'!$D$10,0)</f>
        <v>0</v>
      </c>
      <c r="V34" s="36">
        <f>ROUND('Anexo 11'!V34*'Anexo 1'!$D$10,0)</f>
        <v>0</v>
      </c>
      <c r="W34" s="36">
        <f>ROUND('Anexo 11'!W34*'Anexo 1'!$D$10,0)</f>
        <v>0</v>
      </c>
      <c r="X34" s="36">
        <f>ROUND('Anexo 11'!X34*'Anexo 1'!$D$10,0)</f>
        <v>0</v>
      </c>
      <c r="Y34" s="36">
        <f>ROUND('Anexo 11'!Y34*'Anexo 1'!$D$10,0)</f>
        <v>0</v>
      </c>
      <c r="Z34" s="37">
        <f>ROUND('Anexo 11'!Z34*'Anexo 1'!$D$10,0)</f>
        <v>0</v>
      </c>
      <c r="AA34" s="38">
        <f t="shared" si="0"/>
        <v>0</v>
      </c>
      <c r="AB34" s="21">
        <v>5</v>
      </c>
      <c r="AC34" s="95"/>
      <c r="AD34" s="49"/>
    </row>
    <row r="35" spans="1:30" ht="15" x14ac:dyDescent="0.25">
      <c r="A35" s="93"/>
      <c r="B35" s="22" t="s">
        <v>3</v>
      </c>
      <c r="C35" s="39">
        <f>ROUND('Anexo 11'!C35*'Anexo 1'!$D$10,0)</f>
        <v>0</v>
      </c>
      <c r="D35" s="39">
        <f>ROUND('Anexo 11'!D35*'Anexo 1'!$D$10,0)</f>
        <v>0</v>
      </c>
      <c r="E35" s="39">
        <f>ROUND('Anexo 11'!E35*'Anexo 1'!$D$10,0)</f>
        <v>0</v>
      </c>
      <c r="F35" s="39">
        <f>ROUND('Anexo 11'!F35*'Anexo 1'!$D$10,0)</f>
        <v>0</v>
      </c>
      <c r="G35" s="39">
        <f>ROUND('Anexo 11'!G35*'Anexo 1'!$D$10,0)</f>
        <v>0</v>
      </c>
      <c r="H35" s="39">
        <f>ROUND('Anexo 11'!H35*'Anexo 1'!$D$10,0)</f>
        <v>0</v>
      </c>
      <c r="I35" s="39">
        <f>ROUND('Anexo 11'!I35*'Anexo 1'!$D$10,0)</f>
        <v>0</v>
      </c>
      <c r="J35" s="39">
        <f>ROUND('Anexo 11'!J35*'Anexo 1'!$D$10,0)</f>
        <v>0</v>
      </c>
      <c r="K35" s="39">
        <f>ROUND('Anexo 11'!K35*'Anexo 1'!$D$10,0)</f>
        <v>0</v>
      </c>
      <c r="L35" s="39">
        <f>ROUND('Anexo 11'!L35*'Anexo 1'!$D$10,0)</f>
        <v>0</v>
      </c>
      <c r="M35" s="39">
        <f>ROUND('Anexo 11'!M35*'Anexo 1'!$D$10,0)</f>
        <v>0</v>
      </c>
      <c r="N35" s="39">
        <f>ROUND('Anexo 11'!N35*'Anexo 1'!$D$10,0)</f>
        <v>0</v>
      </c>
      <c r="O35" s="39">
        <f>ROUND('Anexo 11'!O35*'Anexo 1'!$D$10,0)</f>
        <v>0</v>
      </c>
      <c r="P35" s="39">
        <f>ROUND('Anexo 11'!P35*'Anexo 1'!$D$10,0)</f>
        <v>0</v>
      </c>
      <c r="Q35" s="39">
        <f>ROUND('Anexo 11'!Q35*'Anexo 1'!$D$10,0)</f>
        <v>0</v>
      </c>
      <c r="R35" s="39">
        <f>ROUND('Anexo 11'!R35*'Anexo 1'!$D$10,0)</f>
        <v>0</v>
      </c>
      <c r="S35" s="39">
        <f>ROUND('Anexo 11'!S35*'Anexo 1'!$D$10,0)</f>
        <v>0</v>
      </c>
      <c r="T35" s="39">
        <f>ROUND('Anexo 11'!T35*'Anexo 1'!$D$10,0)</f>
        <v>0</v>
      </c>
      <c r="U35" s="39">
        <f>ROUND('Anexo 11'!U35*'Anexo 1'!$D$10,0)</f>
        <v>0</v>
      </c>
      <c r="V35" s="39">
        <f>ROUND('Anexo 11'!V35*'Anexo 1'!$D$10,0)</f>
        <v>0</v>
      </c>
      <c r="W35" s="39">
        <f>ROUND('Anexo 11'!W35*'Anexo 1'!$D$10,0)</f>
        <v>0</v>
      </c>
      <c r="X35" s="39">
        <f>ROUND('Anexo 11'!X35*'Anexo 1'!$D$10,0)</f>
        <v>0</v>
      </c>
      <c r="Y35" s="39">
        <f>ROUND('Anexo 11'!Y35*'Anexo 1'!$D$10,0)</f>
        <v>0</v>
      </c>
      <c r="Z35" s="40">
        <f>ROUND('Anexo 11'!Z35*'Anexo 1'!$D$10,0)</f>
        <v>0</v>
      </c>
      <c r="AA35" s="41">
        <f t="shared" si="0"/>
        <v>0</v>
      </c>
      <c r="AB35" s="23">
        <v>5</v>
      </c>
      <c r="AC35" s="96"/>
      <c r="AD35" s="49"/>
    </row>
    <row r="36" spans="1:30" ht="15.75" thickBot="1" x14ac:dyDescent="0.3">
      <c r="A36" s="93">
        <v>46327</v>
      </c>
      <c r="B36" s="18" t="s">
        <v>5</v>
      </c>
      <c r="C36" s="33">
        <f>ROUND('Anexo 11'!C36*'Anexo 1'!$D$10,0)</f>
        <v>0</v>
      </c>
      <c r="D36" s="33">
        <f>ROUND('Anexo 11'!D36*'Anexo 1'!$D$10,0)</f>
        <v>0</v>
      </c>
      <c r="E36" s="33">
        <f>ROUND('Anexo 11'!E36*'Anexo 1'!$D$10,0)</f>
        <v>0</v>
      </c>
      <c r="F36" s="33">
        <f>ROUND('Anexo 11'!F36*'Anexo 1'!$D$10,0)</f>
        <v>0</v>
      </c>
      <c r="G36" s="33">
        <f>ROUND('Anexo 11'!G36*'Anexo 1'!$D$10,0)</f>
        <v>0</v>
      </c>
      <c r="H36" s="33">
        <f>ROUND('Anexo 11'!H36*'Anexo 1'!$D$10,0)</f>
        <v>0</v>
      </c>
      <c r="I36" s="33">
        <f>ROUND('Anexo 11'!I36*'Anexo 1'!$D$10,0)</f>
        <v>0</v>
      </c>
      <c r="J36" s="33">
        <f>ROUND('Anexo 11'!J36*'Anexo 1'!$D$10,0)</f>
        <v>0</v>
      </c>
      <c r="K36" s="33">
        <f>ROUND('Anexo 11'!K36*'Anexo 1'!$D$10,0)</f>
        <v>0</v>
      </c>
      <c r="L36" s="33">
        <f>ROUND('Anexo 11'!L36*'Anexo 1'!$D$10,0)</f>
        <v>0</v>
      </c>
      <c r="M36" s="33">
        <f>ROUND('Anexo 11'!M36*'Anexo 1'!$D$10,0)</f>
        <v>0</v>
      </c>
      <c r="N36" s="33">
        <f>ROUND('Anexo 11'!N36*'Anexo 1'!$D$10,0)</f>
        <v>0</v>
      </c>
      <c r="O36" s="33">
        <f>ROUND('Anexo 11'!O36*'Anexo 1'!$D$10,0)</f>
        <v>0</v>
      </c>
      <c r="P36" s="33">
        <f>ROUND('Anexo 11'!P36*'Anexo 1'!$D$10,0)</f>
        <v>0</v>
      </c>
      <c r="Q36" s="33">
        <f>ROUND('Anexo 11'!Q36*'Anexo 1'!$D$10,0)</f>
        <v>0</v>
      </c>
      <c r="R36" s="33">
        <f>ROUND('Anexo 11'!R36*'Anexo 1'!$D$10,0)</f>
        <v>0</v>
      </c>
      <c r="S36" s="33">
        <f>ROUND('Anexo 11'!S36*'Anexo 1'!$D$10,0)</f>
        <v>0</v>
      </c>
      <c r="T36" s="33">
        <f>ROUND('Anexo 11'!T36*'Anexo 1'!$D$10,0)</f>
        <v>0</v>
      </c>
      <c r="U36" s="33">
        <f>ROUND('Anexo 11'!U36*'Anexo 1'!$D$10,0)</f>
        <v>0</v>
      </c>
      <c r="V36" s="33">
        <f>ROUND('Anexo 11'!V36*'Anexo 1'!$D$10,0)</f>
        <v>0</v>
      </c>
      <c r="W36" s="33">
        <f>ROUND('Anexo 11'!W36*'Anexo 1'!$D$10,0)</f>
        <v>0</v>
      </c>
      <c r="X36" s="33">
        <f>ROUND('Anexo 11'!X36*'Anexo 1'!$D$10,0)</f>
        <v>0</v>
      </c>
      <c r="Y36" s="33">
        <f>ROUND('Anexo 11'!Y36*'Anexo 1'!$D$10,0)</f>
        <v>0</v>
      </c>
      <c r="Z36" s="34">
        <f>ROUND('Anexo 11'!Z36*'Anexo 1'!$D$10,0)</f>
        <v>0</v>
      </c>
      <c r="AA36" s="35">
        <f t="shared" si="0"/>
        <v>0</v>
      </c>
      <c r="AB36" s="19">
        <v>19</v>
      </c>
      <c r="AC36" s="94">
        <f>+AA36*AB36+AA37*AB37+AA38*AB38</f>
        <v>0</v>
      </c>
      <c r="AD36" s="49"/>
    </row>
    <row r="37" spans="1:30" ht="15.75" thickBot="1" x14ac:dyDescent="0.3">
      <c r="A37" s="93"/>
      <c r="B37" s="20" t="s">
        <v>4</v>
      </c>
      <c r="C37" s="36">
        <f>ROUND('Anexo 11'!C37*'Anexo 1'!$D$10,0)</f>
        <v>0</v>
      </c>
      <c r="D37" s="36">
        <f>ROUND('Anexo 11'!D37*'Anexo 1'!$D$10,0)</f>
        <v>0</v>
      </c>
      <c r="E37" s="36">
        <f>ROUND('Anexo 11'!E37*'Anexo 1'!$D$10,0)</f>
        <v>0</v>
      </c>
      <c r="F37" s="36">
        <f>ROUND('Anexo 11'!F37*'Anexo 1'!$D$10,0)</f>
        <v>0</v>
      </c>
      <c r="G37" s="36">
        <f>ROUND('Anexo 11'!G37*'Anexo 1'!$D$10,0)</f>
        <v>0</v>
      </c>
      <c r="H37" s="36">
        <f>ROUND('Anexo 11'!H37*'Anexo 1'!$D$10,0)</f>
        <v>0</v>
      </c>
      <c r="I37" s="36">
        <f>ROUND('Anexo 11'!I37*'Anexo 1'!$D$10,0)</f>
        <v>0</v>
      </c>
      <c r="J37" s="36">
        <f>ROUND('Anexo 11'!J37*'Anexo 1'!$D$10,0)</f>
        <v>0</v>
      </c>
      <c r="K37" s="36">
        <f>ROUND('Anexo 11'!K37*'Anexo 1'!$D$10,0)</f>
        <v>0</v>
      </c>
      <c r="L37" s="36">
        <f>ROUND('Anexo 11'!L37*'Anexo 1'!$D$10,0)</f>
        <v>0</v>
      </c>
      <c r="M37" s="36">
        <f>ROUND('Anexo 11'!M37*'Anexo 1'!$D$10,0)</f>
        <v>0</v>
      </c>
      <c r="N37" s="36">
        <f>ROUND('Anexo 11'!N37*'Anexo 1'!$D$10,0)</f>
        <v>0</v>
      </c>
      <c r="O37" s="36">
        <f>ROUND('Anexo 11'!O37*'Anexo 1'!$D$10,0)</f>
        <v>0</v>
      </c>
      <c r="P37" s="36">
        <f>ROUND('Anexo 11'!P37*'Anexo 1'!$D$10,0)</f>
        <v>0</v>
      </c>
      <c r="Q37" s="36">
        <f>ROUND('Anexo 11'!Q37*'Anexo 1'!$D$10,0)</f>
        <v>0</v>
      </c>
      <c r="R37" s="36">
        <f>ROUND('Anexo 11'!R37*'Anexo 1'!$D$10,0)</f>
        <v>0</v>
      </c>
      <c r="S37" s="36">
        <f>ROUND('Anexo 11'!S37*'Anexo 1'!$D$10,0)</f>
        <v>0</v>
      </c>
      <c r="T37" s="36">
        <f>ROUND('Anexo 11'!T37*'Anexo 1'!$D$10,0)</f>
        <v>0</v>
      </c>
      <c r="U37" s="36">
        <f>ROUND('Anexo 11'!U37*'Anexo 1'!$D$10,0)</f>
        <v>0</v>
      </c>
      <c r="V37" s="36">
        <f>ROUND('Anexo 11'!V37*'Anexo 1'!$D$10,0)</f>
        <v>0</v>
      </c>
      <c r="W37" s="36">
        <f>ROUND('Anexo 11'!W37*'Anexo 1'!$D$10,0)</f>
        <v>0</v>
      </c>
      <c r="X37" s="36">
        <f>ROUND('Anexo 11'!X37*'Anexo 1'!$D$10,0)</f>
        <v>0</v>
      </c>
      <c r="Y37" s="36">
        <f>ROUND('Anexo 11'!Y37*'Anexo 1'!$D$10,0)</f>
        <v>0</v>
      </c>
      <c r="Z37" s="37">
        <f>ROUND('Anexo 11'!Z37*'Anexo 1'!$D$10,0)</f>
        <v>0</v>
      </c>
      <c r="AA37" s="38">
        <f t="shared" si="0"/>
        <v>0</v>
      </c>
      <c r="AB37" s="21">
        <v>4</v>
      </c>
      <c r="AC37" s="95"/>
      <c r="AD37" s="49"/>
    </row>
    <row r="38" spans="1:30" ht="15" x14ac:dyDescent="0.25">
      <c r="A38" s="93"/>
      <c r="B38" s="22" t="s">
        <v>3</v>
      </c>
      <c r="C38" s="39">
        <f>ROUND('Anexo 11'!C38*'Anexo 1'!$D$10,0)</f>
        <v>0</v>
      </c>
      <c r="D38" s="39">
        <f>ROUND('Anexo 11'!D38*'Anexo 1'!$D$10,0)</f>
        <v>0</v>
      </c>
      <c r="E38" s="39">
        <f>ROUND('Anexo 11'!E38*'Anexo 1'!$D$10,0)</f>
        <v>0</v>
      </c>
      <c r="F38" s="39">
        <f>ROUND('Anexo 11'!F38*'Anexo 1'!$D$10,0)</f>
        <v>0</v>
      </c>
      <c r="G38" s="39">
        <f>ROUND('Anexo 11'!G38*'Anexo 1'!$D$10,0)</f>
        <v>0</v>
      </c>
      <c r="H38" s="39">
        <f>ROUND('Anexo 11'!H38*'Anexo 1'!$D$10,0)</f>
        <v>0</v>
      </c>
      <c r="I38" s="39">
        <f>ROUND('Anexo 11'!I38*'Anexo 1'!$D$10,0)</f>
        <v>0</v>
      </c>
      <c r="J38" s="39">
        <f>ROUND('Anexo 11'!J38*'Anexo 1'!$D$10,0)</f>
        <v>0</v>
      </c>
      <c r="K38" s="39">
        <f>ROUND('Anexo 11'!K38*'Anexo 1'!$D$10,0)</f>
        <v>0</v>
      </c>
      <c r="L38" s="39">
        <f>ROUND('Anexo 11'!L38*'Anexo 1'!$D$10,0)</f>
        <v>0</v>
      </c>
      <c r="M38" s="39">
        <f>ROUND('Anexo 11'!M38*'Anexo 1'!$D$10,0)</f>
        <v>0</v>
      </c>
      <c r="N38" s="39">
        <f>ROUND('Anexo 11'!N38*'Anexo 1'!$D$10,0)</f>
        <v>0</v>
      </c>
      <c r="O38" s="39">
        <f>ROUND('Anexo 11'!O38*'Anexo 1'!$D$10,0)</f>
        <v>0</v>
      </c>
      <c r="P38" s="39">
        <f>ROUND('Anexo 11'!P38*'Anexo 1'!$D$10,0)</f>
        <v>0</v>
      </c>
      <c r="Q38" s="39">
        <f>ROUND('Anexo 11'!Q38*'Anexo 1'!$D$10,0)</f>
        <v>0</v>
      </c>
      <c r="R38" s="39">
        <f>ROUND('Anexo 11'!R38*'Anexo 1'!$D$10,0)</f>
        <v>0</v>
      </c>
      <c r="S38" s="39">
        <f>ROUND('Anexo 11'!S38*'Anexo 1'!$D$10,0)</f>
        <v>0</v>
      </c>
      <c r="T38" s="39">
        <f>ROUND('Anexo 11'!T38*'Anexo 1'!$D$10,0)</f>
        <v>0</v>
      </c>
      <c r="U38" s="39">
        <f>ROUND('Anexo 11'!U38*'Anexo 1'!$D$10,0)</f>
        <v>0</v>
      </c>
      <c r="V38" s="39">
        <f>ROUND('Anexo 11'!V38*'Anexo 1'!$D$10,0)</f>
        <v>0</v>
      </c>
      <c r="W38" s="39">
        <f>ROUND('Anexo 11'!W38*'Anexo 1'!$D$10,0)</f>
        <v>0</v>
      </c>
      <c r="X38" s="39">
        <f>ROUND('Anexo 11'!X38*'Anexo 1'!$D$10,0)</f>
        <v>0</v>
      </c>
      <c r="Y38" s="39">
        <f>ROUND('Anexo 11'!Y38*'Anexo 1'!$D$10,0)</f>
        <v>0</v>
      </c>
      <c r="Z38" s="40">
        <f>ROUND('Anexo 11'!Z38*'Anexo 1'!$D$10,0)</f>
        <v>0</v>
      </c>
      <c r="AA38" s="41">
        <f t="shared" si="0"/>
        <v>0</v>
      </c>
      <c r="AB38" s="23">
        <v>7</v>
      </c>
      <c r="AC38" s="96"/>
      <c r="AD38" s="49"/>
    </row>
    <row r="39" spans="1:30" ht="15.75" thickBot="1" x14ac:dyDescent="0.3">
      <c r="A39" s="93">
        <v>46357</v>
      </c>
      <c r="B39" s="18" t="s">
        <v>5</v>
      </c>
      <c r="C39" s="33">
        <f>ROUND('Anexo 11'!C39*'Anexo 1'!$D$10,0)</f>
        <v>0</v>
      </c>
      <c r="D39" s="33">
        <f>ROUND('Anexo 11'!D39*'Anexo 1'!$D$10,0)</f>
        <v>0</v>
      </c>
      <c r="E39" s="33">
        <f>ROUND('Anexo 11'!E39*'Anexo 1'!$D$10,0)</f>
        <v>0</v>
      </c>
      <c r="F39" s="33">
        <f>ROUND('Anexo 11'!F39*'Anexo 1'!$D$10,0)</f>
        <v>0</v>
      </c>
      <c r="G39" s="33">
        <f>ROUND('Anexo 11'!G39*'Anexo 1'!$D$10,0)</f>
        <v>0</v>
      </c>
      <c r="H39" s="33">
        <f>ROUND('Anexo 11'!H39*'Anexo 1'!$D$10,0)</f>
        <v>0</v>
      </c>
      <c r="I39" s="33">
        <f>ROUND('Anexo 11'!I39*'Anexo 1'!$D$10,0)</f>
        <v>0</v>
      </c>
      <c r="J39" s="33">
        <f>ROUND('Anexo 11'!J39*'Anexo 1'!$D$10,0)</f>
        <v>0</v>
      </c>
      <c r="K39" s="33">
        <f>ROUND('Anexo 11'!K39*'Anexo 1'!$D$10,0)</f>
        <v>0</v>
      </c>
      <c r="L39" s="33">
        <f>ROUND('Anexo 11'!L39*'Anexo 1'!$D$10,0)</f>
        <v>0</v>
      </c>
      <c r="M39" s="33">
        <f>ROUND('Anexo 11'!M39*'Anexo 1'!$D$10,0)</f>
        <v>0</v>
      </c>
      <c r="N39" s="33">
        <f>ROUND('Anexo 11'!N39*'Anexo 1'!$D$10,0)</f>
        <v>0</v>
      </c>
      <c r="O39" s="33">
        <f>ROUND('Anexo 11'!O39*'Anexo 1'!$D$10,0)</f>
        <v>0</v>
      </c>
      <c r="P39" s="33">
        <f>ROUND('Anexo 11'!P39*'Anexo 1'!$D$10,0)</f>
        <v>0</v>
      </c>
      <c r="Q39" s="33">
        <f>ROUND('Anexo 11'!Q39*'Anexo 1'!$D$10,0)</f>
        <v>0</v>
      </c>
      <c r="R39" s="33">
        <f>ROUND('Anexo 11'!R39*'Anexo 1'!$D$10,0)</f>
        <v>0</v>
      </c>
      <c r="S39" s="33">
        <f>ROUND('Anexo 11'!S39*'Anexo 1'!$D$10,0)</f>
        <v>0</v>
      </c>
      <c r="T39" s="33">
        <f>ROUND('Anexo 11'!T39*'Anexo 1'!$D$10,0)</f>
        <v>0</v>
      </c>
      <c r="U39" s="33">
        <f>ROUND('Anexo 11'!U39*'Anexo 1'!$D$10,0)</f>
        <v>0</v>
      </c>
      <c r="V39" s="33">
        <f>ROUND('Anexo 11'!V39*'Anexo 1'!$D$10,0)</f>
        <v>0</v>
      </c>
      <c r="W39" s="33">
        <f>ROUND('Anexo 11'!W39*'Anexo 1'!$D$10,0)</f>
        <v>0</v>
      </c>
      <c r="X39" s="33">
        <f>ROUND('Anexo 11'!X39*'Anexo 1'!$D$10,0)</f>
        <v>0</v>
      </c>
      <c r="Y39" s="33">
        <f>ROUND('Anexo 11'!Y39*'Anexo 1'!$D$10,0)</f>
        <v>0</v>
      </c>
      <c r="Z39" s="34">
        <f>ROUND('Anexo 11'!Z39*'Anexo 1'!$D$10,0)</f>
        <v>0</v>
      </c>
      <c r="AA39" s="35">
        <f t="shared" si="0"/>
        <v>0</v>
      </c>
      <c r="AB39" s="19">
        <v>21</v>
      </c>
      <c r="AC39" s="94">
        <f>+AA39*AB39+AA40*AB40+AA41*AB41</f>
        <v>0</v>
      </c>
      <c r="AD39" s="49"/>
    </row>
    <row r="40" spans="1:30" ht="15.75" thickBot="1" x14ac:dyDescent="0.3">
      <c r="A40" s="93"/>
      <c r="B40" s="20" t="s">
        <v>4</v>
      </c>
      <c r="C40" s="36">
        <f>ROUND('Anexo 11'!C40*'Anexo 1'!$D$10,0)</f>
        <v>0</v>
      </c>
      <c r="D40" s="36">
        <f>ROUND('Anexo 11'!D40*'Anexo 1'!$D$10,0)</f>
        <v>0</v>
      </c>
      <c r="E40" s="36">
        <f>ROUND('Anexo 11'!E40*'Anexo 1'!$D$10,0)</f>
        <v>0</v>
      </c>
      <c r="F40" s="36">
        <f>ROUND('Anexo 11'!F40*'Anexo 1'!$D$10,0)</f>
        <v>0</v>
      </c>
      <c r="G40" s="36">
        <f>ROUND('Anexo 11'!G40*'Anexo 1'!$D$10,0)</f>
        <v>0</v>
      </c>
      <c r="H40" s="36">
        <f>ROUND('Anexo 11'!H40*'Anexo 1'!$D$10,0)</f>
        <v>0</v>
      </c>
      <c r="I40" s="36">
        <f>ROUND('Anexo 11'!I40*'Anexo 1'!$D$10,0)</f>
        <v>0</v>
      </c>
      <c r="J40" s="36">
        <f>ROUND('Anexo 11'!J40*'Anexo 1'!$D$10,0)</f>
        <v>0</v>
      </c>
      <c r="K40" s="36">
        <f>ROUND('Anexo 11'!K40*'Anexo 1'!$D$10,0)</f>
        <v>0</v>
      </c>
      <c r="L40" s="36">
        <f>ROUND('Anexo 11'!L40*'Anexo 1'!$D$10,0)</f>
        <v>0</v>
      </c>
      <c r="M40" s="36">
        <f>ROUND('Anexo 11'!M40*'Anexo 1'!$D$10,0)</f>
        <v>0</v>
      </c>
      <c r="N40" s="36">
        <f>ROUND('Anexo 11'!N40*'Anexo 1'!$D$10,0)</f>
        <v>0</v>
      </c>
      <c r="O40" s="36">
        <f>ROUND('Anexo 11'!O40*'Anexo 1'!$D$10,0)</f>
        <v>0</v>
      </c>
      <c r="P40" s="36">
        <f>ROUND('Anexo 11'!P40*'Anexo 1'!$D$10,0)</f>
        <v>0</v>
      </c>
      <c r="Q40" s="36">
        <f>ROUND('Anexo 11'!Q40*'Anexo 1'!$D$10,0)</f>
        <v>0</v>
      </c>
      <c r="R40" s="36">
        <f>ROUND('Anexo 11'!R40*'Anexo 1'!$D$10,0)</f>
        <v>0</v>
      </c>
      <c r="S40" s="36">
        <f>ROUND('Anexo 11'!S40*'Anexo 1'!$D$10,0)</f>
        <v>0</v>
      </c>
      <c r="T40" s="36">
        <f>ROUND('Anexo 11'!T40*'Anexo 1'!$D$10,0)</f>
        <v>0</v>
      </c>
      <c r="U40" s="36">
        <f>ROUND('Anexo 11'!U40*'Anexo 1'!$D$10,0)</f>
        <v>0</v>
      </c>
      <c r="V40" s="36">
        <f>ROUND('Anexo 11'!V40*'Anexo 1'!$D$10,0)</f>
        <v>0</v>
      </c>
      <c r="W40" s="36">
        <f>ROUND('Anexo 11'!W40*'Anexo 1'!$D$10,0)</f>
        <v>0</v>
      </c>
      <c r="X40" s="36">
        <f>ROUND('Anexo 11'!X40*'Anexo 1'!$D$10,0)</f>
        <v>0</v>
      </c>
      <c r="Y40" s="36">
        <f>ROUND('Anexo 11'!Y40*'Anexo 1'!$D$10,0)</f>
        <v>0</v>
      </c>
      <c r="Z40" s="37">
        <f>ROUND('Anexo 11'!Z40*'Anexo 1'!$D$10,0)</f>
        <v>0</v>
      </c>
      <c r="AA40" s="38">
        <f t="shared" si="0"/>
        <v>0</v>
      </c>
      <c r="AB40" s="21">
        <v>4</v>
      </c>
      <c r="AC40" s="95"/>
      <c r="AD40" s="49"/>
    </row>
    <row r="41" spans="1:30" ht="15" x14ac:dyDescent="0.25">
      <c r="A41" s="93"/>
      <c r="B41" s="22" t="s">
        <v>3</v>
      </c>
      <c r="C41" s="39">
        <f>ROUND('Anexo 11'!C41*'Anexo 1'!$D$10,0)</f>
        <v>0</v>
      </c>
      <c r="D41" s="39">
        <f>ROUND('Anexo 11'!D41*'Anexo 1'!$D$10,0)</f>
        <v>0</v>
      </c>
      <c r="E41" s="39">
        <f>ROUND('Anexo 11'!E41*'Anexo 1'!$D$10,0)</f>
        <v>0</v>
      </c>
      <c r="F41" s="39">
        <f>ROUND('Anexo 11'!F41*'Anexo 1'!$D$10,0)</f>
        <v>0</v>
      </c>
      <c r="G41" s="39">
        <f>ROUND('Anexo 11'!G41*'Anexo 1'!$D$10,0)</f>
        <v>0</v>
      </c>
      <c r="H41" s="39">
        <f>ROUND('Anexo 11'!H41*'Anexo 1'!$D$10,0)</f>
        <v>0</v>
      </c>
      <c r="I41" s="39">
        <f>ROUND('Anexo 11'!I41*'Anexo 1'!$D$10,0)</f>
        <v>0</v>
      </c>
      <c r="J41" s="39">
        <f>ROUND('Anexo 11'!J41*'Anexo 1'!$D$10,0)</f>
        <v>0</v>
      </c>
      <c r="K41" s="39">
        <f>ROUND('Anexo 11'!K41*'Anexo 1'!$D$10,0)</f>
        <v>0</v>
      </c>
      <c r="L41" s="39">
        <f>ROUND('Anexo 11'!L41*'Anexo 1'!$D$10,0)</f>
        <v>0</v>
      </c>
      <c r="M41" s="39">
        <f>ROUND('Anexo 11'!M41*'Anexo 1'!$D$10,0)</f>
        <v>0</v>
      </c>
      <c r="N41" s="39">
        <f>ROUND('Anexo 11'!N41*'Anexo 1'!$D$10,0)</f>
        <v>0</v>
      </c>
      <c r="O41" s="39">
        <f>ROUND('Anexo 11'!O41*'Anexo 1'!$D$10,0)</f>
        <v>0</v>
      </c>
      <c r="P41" s="39">
        <f>ROUND('Anexo 11'!P41*'Anexo 1'!$D$10,0)</f>
        <v>0</v>
      </c>
      <c r="Q41" s="39">
        <f>ROUND('Anexo 11'!Q41*'Anexo 1'!$D$10,0)</f>
        <v>0</v>
      </c>
      <c r="R41" s="39">
        <f>ROUND('Anexo 11'!R41*'Anexo 1'!$D$10,0)</f>
        <v>0</v>
      </c>
      <c r="S41" s="39">
        <f>ROUND('Anexo 11'!S41*'Anexo 1'!$D$10,0)</f>
        <v>0</v>
      </c>
      <c r="T41" s="39">
        <f>ROUND('Anexo 11'!T41*'Anexo 1'!$D$10,0)</f>
        <v>0</v>
      </c>
      <c r="U41" s="39">
        <f>ROUND('Anexo 11'!U41*'Anexo 1'!$D$10,0)</f>
        <v>0</v>
      </c>
      <c r="V41" s="39">
        <f>ROUND('Anexo 11'!V41*'Anexo 1'!$D$10,0)</f>
        <v>0</v>
      </c>
      <c r="W41" s="39">
        <f>ROUND('Anexo 11'!W41*'Anexo 1'!$D$10,0)</f>
        <v>0</v>
      </c>
      <c r="X41" s="39">
        <f>ROUND('Anexo 11'!X41*'Anexo 1'!$D$10,0)</f>
        <v>0</v>
      </c>
      <c r="Y41" s="39">
        <f>ROUND('Anexo 11'!Y41*'Anexo 1'!$D$10,0)</f>
        <v>0</v>
      </c>
      <c r="Z41" s="40">
        <f>ROUND('Anexo 11'!Z41*'Anexo 1'!$D$10,0)</f>
        <v>0</v>
      </c>
      <c r="AA41" s="41">
        <f t="shared" si="0"/>
        <v>0</v>
      </c>
      <c r="AB41" s="23">
        <v>6</v>
      </c>
      <c r="AC41" s="96"/>
      <c r="AD41" s="49"/>
    </row>
    <row r="42" spans="1:30" ht="15" x14ac:dyDescent="0.25">
      <c r="A42" s="97" t="s">
        <v>2</v>
      </c>
      <c r="B42" s="98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  <c r="AD42" s="49"/>
    </row>
    <row r="43" spans="1:30" ht="15" x14ac:dyDescent="0.25">
      <c r="N43" s="49"/>
      <c r="AB43" s="6"/>
      <c r="AC43" s="6"/>
    </row>
    <row r="44" spans="1:30" ht="15" x14ac:dyDescent="0.25">
      <c r="AA44" s="53"/>
      <c r="AC44" s="51"/>
    </row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2041-3788-4A3C-A99E-DCBB976FEC64}">
  <sheetPr codeName="Hoja2">
    <tabColor rgb="FFFFFF00"/>
  </sheetPr>
  <dimension ref="A1:H37"/>
  <sheetViews>
    <sheetView showGridLines="0" topLeftCell="A14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6" width="13.85546875" customWidth="1"/>
    <col min="7" max="7" width="19.7109375" customWidth="1"/>
    <col min="8" max="8" width="12.85546875" hidden="1" customWidth="1"/>
    <col min="9" max="16384" width="11.42578125" hidden="1"/>
  </cols>
  <sheetData>
    <row r="1" spans="2:8" x14ac:dyDescent="0.25"/>
    <row r="2" spans="2:8" x14ac:dyDescent="0.25"/>
    <row r="3" spans="2:8" x14ac:dyDescent="0.25">
      <c r="B3" s="76" t="s">
        <v>48</v>
      </c>
      <c r="C3" s="76"/>
      <c r="D3" s="76"/>
      <c r="E3" s="76"/>
      <c r="F3" s="76"/>
      <c r="G3" s="29"/>
    </row>
    <row r="4" spans="2:8" x14ac:dyDescent="0.25">
      <c r="B4" s="76" t="s">
        <v>39</v>
      </c>
      <c r="C4" s="76"/>
      <c r="D4" s="76"/>
      <c r="E4" s="76"/>
      <c r="F4" s="76"/>
      <c r="G4" s="29"/>
    </row>
    <row r="5" spans="2:8" x14ac:dyDescent="0.25">
      <c r="B5" s="76" t="s">
        <v>90</v>
      </c>
      <c r="C5" s="76"/>
      <c r="D5" s="76"/>
      <c r="E5" s="76"/>
      <c r="F5" s="76"/>
      <c r="G5" s="29"/>
    </row>
    <row r="6" spans="2:8" x14ac:dyDescent="0.25">
      <c r="B6" s="5"/>
      <c r="C6" s="5"/>
      <c r="D6" s="5"/>
      <c r="E6" s="5"/>
      <c r="F6" s="5"/>
      <c r="G6" s="5"/>
    </row>
    <row r="7" spans="2:8" x14ac:dyDescent="0.25"/>
    <row r="8" spans="2:8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2:8" ht="23.25" customHeight="1" x14ac:dyDescent="0.25">
      <c r="B9" s="78"/>
      <c r="C9" s="78"/>
      <c r="D9" s="78"/>
      <c r="E9" s="78"/>
      <c r="F9" s="78"/>
      <c r="G9" s="28"/>
    </row>
    <row r="10" spans="2:8" ht="15.75" thickBot="1" x14ac:dyDescent="0.3">
      <c r="B10" s="8">
        <v>46388</v>
      </c>
      <c r="C10" s="43">
        <f>+'Anexo 12'!AC6</f>
        <v>1459048</v>
      </c>
      <c r="D10" s="73"/>
      <c r="E10" s="57">
        <f>+'Cantidades Ofertadas Prod 2'!AC6</f>
        <v>0</v>
      </c>
      <c r="F10" s="70"/>
      <c r="G10" s="32"/>
      <c r="H10" s="51"/>
    </row>
    <row r="11" spans="2:8" ht="15.75" thickBot="1" x14ac:dyDescent="0.3">
      <c r="B11" s="8">
        <v>46419</v>
      </c>
      <c r="C11" s="43">
        <f>+'Anexo 12'!AC9</f>
        <v>642156</v>
      </c>
      <c r="D11" s="74"/>
      <c r="E11" s="57">
        <f>+'Cantidades Ofertadas Prod 2'!AC9</f>
        <v>0</v>
      </c>
      <c r="F11" s="71"/>
      <c r="G11" s="32"/>
      <c r="H11" s="51"/>
    </row>
    <row r="12" spans="2:8" ht="15.75" thickBot="1" x14ac:dyDescent="0.3">
      <c r="B12" s="8">
        <v>46447</v>
      </c>
      <c r="C12" s="43">
        <f>+'Anexo 12'!AC12</f>
        <v>1318259</v>
      </c>
      <c r="D12" s="74"/>
      <c r="E12" s="57">
        <f>+'Cantidades Ofertadas Prod 2'!AC12</f>
        <v>0</v>
      </c>
      <c r="F12" s="71"/>
      <c r="G12" s="32"/>
      <c r="H12" s="51"/>
    </row>
    <row r="13" spans="2:8" ht="15.75" thickBot="1" x14ac:dyDescent="0.3">
      <c r="B13" s="8">
        <v>46478</v>
      </c>
      <c r="C13" s="43">
        <f>+'Anexo 12'!AC15</f>
        <v>1230452</v>
      </c>
      <c r="D13" s="74"/>
      <c r="E13" s="57">
        <f>+'Cantidades Ofertadas Prod 2'!AC15</f>
        <v>0</v>
      </c>
      <c r="F13" s="71"/>
      <c r="G13" s="32"/>
      <c r="H13" s="51"/>
    </row>
    <row r="14" spans="2:8" ht="15.75" thickBot="1" x14ac:dyDescent="0.3">
      <c r="B14" s="8">
        <v>46508</v>
      </c>
      <c r="C14" s="43">
        <f>+'Anexo 12'!AC18</f>
        <v>1138076</v>
      </c>
      <c r="D14" s="74"/>
      <c r="E14" s="57">
        <f>+'Cantidades Ofertadas Prod 2'!AC18</f>
        <v>0</v>
      </c>
      <c r="F14" s="71"/>
      <c r="G14" s="32"/>
      <c r="H14" s="51"/>
    </row>
    <row r="15" spans="2:8" ht="15.75" thickBot="1" x14ac:dyDescent="0.3">
      <c r="B15" s="8">
        <v>46539</v>
      </c>
      <c r="C15" s="43">
        <f>+'Anexo 12'!AC21</f>
        <v>1078720</v>
      </c>
      <c r="D15" s="74"/>
      <c r="E15" s="57">
        <f>+'Cantidades Ofertadas Prod 2'!AC21</f>
        <v>0</v>
      </c>
      <c r="F15" s="71"/>
      <c r="G15" s="32"/>
      <c r="H15" s="51"/>
    </row>
    <row r="16" spans="2:8" ht="15.75" thickBot="1" x14ac:dyDescent="0.3">
      <c r="B16" s="8">
        <v>46569</v>
      </c>
      <c r="C16" s="43">
        <f>+'Anexo 12'!AC24</f>
        <v>903223</v>
      </c>
      <c r="D16" s="74"/>
      <c r="E16" s="57">
        <f>+'Cantidades Ofertadas Prod 2'!AC24</f>
        <v>0</v>
      </c>
      <c r="F16" s="71"/>
      <c r="G16" s="32"/>
      <c r="H16" s="51"/>
    </row>
    <row r="17" spans="2:8" ht="15.75" thickBot="1" x14ac:dyDescent="0.3">
      <c r="B17" s="8">
        <v>46600</v>
      </c>
      <c r="C17" s="43">
        <f>+'Anexo 12'!AC27</f>
        <v>1105017</v>
      </c>
      <c r="D17" s="74"/>
      <c r="E17" s="57">
        <f>+'Cantidades Ofertadas Prod 2'!AC27</f>
        <v>0</v>
      </c>
      <c r="F17" s="71"/>
      <c r="G17" s="32"/>
      <c r="H17" s="51"/>
    </row>
    <row r="18" spans="2:8" ht="15.75" thickBot="1" x14ac:dyDescent="0.3">
      <c r="B18" s="8">
        <v>46631</v>
      </c>
      <c r="C18" s="43">
        <f>+'Anexo 12'!AC30</f>
        <v>1204912</v>
      </c>
      <c r="D18" s="74"/>
      <c r="E18" s="57">
        <f>+'Cantidades Ofertadas Prod 2'!AC30</f>
        <v>0</v>
      </c>
      <c r="F18" s="71"/>
      <c r="G18" s="32"/>
      <c r="H18" s="51"/>
    </row>
    <row r="19" spans="2:8" ht="15.75" thickBot="1" x14ac:dyDescent="0.3">
      <c r="B19" s="8">
        <v>46661</v>
      </c>
      <c r="C19" s="43">
        <f>+'Anexo 12'!AC33</f>
        <v>838498</v>
      </c>
      <c r="D19" s="74"/>
      <c r="E19" s="57">
        <f>+'Cantidades Ofertadas Prod 2'!AC33</f>
        <v>0</v>
      </c>
      <c r="F19" s="71"/>
      <c r="G19" s="32"/>
      <c r="H19" s="51"/>
    </row>
    <row r="20" spans="2:8" ht="15.75" thickBot="1" x14ac:dyDescent="0.3">
      <c r="B20" s="8">
        <v>46692</v>
      </c>
      <c r="C20" s="43">
        <f>+'Anexo 12'!AC36</f>
        <v>599804</v>
      </c>
      <c r="D20" s="74"/>
      <c r="E20" s="57">
        <f>+'Cantidades Ofertadas Prod 2'!AC36</f>
        <v>0</v>
      </c>
      <c r="F20" s="71"/>
      <c r="G20" s="32"/>
      <c r="H20" s="51"/>
    </row>
    <row r="21" spans="2:8" ht="15.75" thickBot="1" x14ac:dyDescent="0.3">
      <c r="B21" s="8">
        <v>46722</v>
      </c>
      <c r="C21" s="44">
        <f>+'Anexo 12'!AC39</f>
        <v>1271732</v>
      </c>
      <c r="D21" s="75"/>
      <c r="E21" s="58">
        <f>+'Cantidades Ofertadas Prod 2'!AC39</f>
        <v>0</v>
      </c>
      <c r="F21" s="72"/>
      <c r="G21" s="32"/>
      <c r="H21" s="51"/>
    </row>
    <row r="22" spans="2:8" ht="28.5" customHeight="1" x14ac:dyDescent="0.25">
      <c r="B22" s="9" t="s">
        <v>0</v>
      </c>
      <c r="C22" s="10">
        <f>+SUM(C10:C21)</f>
        <v>12789897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2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2:8" x14ac:dyDescent="0.25">
      <c r="B24" s="69" t="s">
        <v>46</v>
      </c>
      <c r="C24" s="69"/>
      <c r="D24" s="69"/>
      <c r="E24" s="69"/>
      <c r="F24" s="69"/>
      <c r="G24" s="69"/>
      <c r="H24" s="54"/>
    </row>
    <row r="25" spans="2:8" x14ac:dyDescent="0.25">
      <c r="B25" s="7" t="s">
        <v>83</v>
      </c>
      <c r="C25" s="52"/>
      <c r="D25" s="52"/>
      <c r="E25" s="52"/>
      <c r="F25" s="52"/>
      <c r="G25" s="52"/>
      <c r="H25" s="42"/>
    </row>
    <row r="26" spans="2:8" x14ac:dyDescent="0.25">
      <c r="B26" s="7" t="s">
        <v>64</v>
      </c>
      <c r="C26" s="52"/>
      <c r="D26" s="52"/>
      <c r="E26" s="52"/>
      <c r="F26" s="52"/>
      <c r="G26" s="52"/>
      <c r="H26" s="42"/>
    </row>
    <row r="27" spans="2:8" x14ac:dyDescent="0.25">
      <c r="B27" s="7" t="s">
        <v>43</v>
      </c>
    </row>
    <row r="28" spans="2:8" x14ac:dyDescent="0.25">
      <c r="B28" s="7" t="s">
        <v>88</v>
      </c>
      <c r="C28" s="45"/>
      <c r="E28" s="45"/>
    </row>
    <row r="29" spans="2:8" x14ac:dyDescent="0.25">
      <c r="B29" s="7"/>
      <c r="C29" s="45"/>
    </row>
    <row r="30" spans="2:8" x14ac:dyDescent="0.25">
      <c r="B30" s="7"/>
    </row>
    <row r="31" spans="2:8" x14ac:dyDescent="0.25">
      <c r="B31" s="60" t="s">
        <v>53</v>
      </c>
      <c r="C31" s="45"/>
      <c r="D31" s="60"/>
      <c r="E31" s="60"/>
    </row>
    <row r="32" spans="2:8" x14ac:dyDescent="0.25">
      <c r="B32" s="61" t="s">
        <v>54</v>
      </c>
      <c r="C32" s="61"/>
      <c r="D32" s="61"/>
      <c r="E32" s="61"/>
    </row>
    <row r="33" spans="2:2" x14ac:dyDescent="0.25">
      <c r="B33" s="61" t="s">
        <v>55</v>
      </c>
    </row>
    <row r="34" spans="2:2" x14ac:dyDescent="0.25"/>
    <row r="35" spans="2:2" x14ac:dyDescent="0.25"/>
    <row r="36" spans="2:2" x14ac:dyDescent="0.25"/>
    <row r="37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AF594D90-A320-4C55-ADB7-FC06DEF3D4CA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4653-9B93-43DC-B84B-031CB9C59D6A}">
  <sheetPr codeName="Hoja5">
    <tabColor rgb="FFFFFF00"/>
  </sheetPr>
  <dimension ref="A1:AD46"/>
  <sheetViews>
    <sheetView showGridLines="0" zoomScale="85" zoomScaleNormal="85" zoomScaleSheetLayoutView="110" workbookViewId="0">
      <pane xSplit="2" ySplit="5" topLeftCell="E32" activePane="bottomRight" state="frozen"/>
      <selection pane="topRight" activeCell="C1" sqref="C1"/>
      <selection pane="bottomLeft" activeCell="A6" sqref="A6"/>
      <selection pane="bottomRight" activeCell="A4" sqref="A4:AC42"/>
    </sheetView>
  </sheetViews>
  <sheetFormatPr baseColWidth="10" defaultColWidth="0" defaultRowHeight="15" customHeight="1" zeroHeight="1" x14ac:dyDescent="0.25"/>
  <cols>
    <col min="1" max="1" width="7" bestFit="1" customWidth="1"/>
    <col min="2" max="2" width="9" bestFit="1" customWidth="1"/>
    <col min="3" max="3" width="10.85546875" bestFit="1" customWidth="1"/>
    <col min="4" max="4" width="10.7109375" bestFit="1" customWidth="1"/>
    <col min="5" max="5" width="8" bestFit="1" customWidth="1"/>
    <col min="6" max="6" width="8.140625" bestFit="1" customWidth="1"/>
    <col min="7" max="8" width="8" bestFit="1" customWidth="1"/>
    <col min="9" max="9" width="7.7109375" bestFit="1" customWidth="1"/>
    <col min="10" max="10" width="8" bestFit="1" customWidth="1"/>
    <col min="11" max="11" width="8.42578125" bestFit="1" customWidth="1"/>
    <col min="12" max="12" width="8" bestFit="1" customWidth="1"/>
    <col min="13" max="13" width="8.42578125" bestFit="1" customWidth="1"/>
    <col min="14" max="14" width="8.140625" bestFit="1" customWidth="1"/>
    <col min="15" max="15" width="8" bestFit="1" customWidth="1"/>
    <col min="16" max="17" width="7.85546875" bestFit="1" customWidth="1"/>
    <col min="18" max="18" width="8.42578125" bestFit="1" customWidth="1"/>
    <col min="19" max="19" width="8.140625" bestFit="1" customWidth="1"/>
    <col min="20" max="21" width="8" bestFit="1" customWidth="1"/>
    <col min="22" max="22" width="7.85546875" bestFit="1" customWidth="1"/>
    <col min="23" max="24" width="8" bestFit="1" customWidth="1"/>
    <col min="25" max="25" width="8.140625" bestFit="1" customWidth="1"/>
    <col min="26" max="26" width="8" bestFit="1" customWidth="1"/>
    <col min="27" max="27" width="10" bestFit="1" customWidth="1"/>
    <col min="28" max="28" width="5.7109375" bestFit="1" customWidth="1"/>
    <col min="29" max="29" width="10.7109375" bestFit="1" customWidth="1"/>
    <col min="30" max="30" width="8.42578125" bestFit="1" customWidth="1"/>
    <col min="31" max="16384" width="9.140625" hidden="1"/>
  </cols>
  <sheetData>
    <row r="1" spans="1:30" x14ac:dyDescent="0.25">
      <c r="A1" s="84" t="s">
        <v>49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46388</v>
      </c>
      <c r="B6" s="18" t="s">
        <v>5</v>
      </c>
      <c r="C6" s="33">
        <v>1446</v>
      </c>
      <c r="D6" s="33">
        <v>1300</v>
      </c>
      <c r="E6" s="33">
        <v>1195</v>
      </c>
      <c r="F6" s="33">
        <v>1101</v>
      </c>
      <c r="G6" s="33">
        <v>1132</v>
      </c>
      <c r="H6" s="33">
        <v>1185</v>
      </c>
      <c r="I6" s="33">
        <v>931</v>
      </c>
      <c r="J6" s="33">
        <v>1659</v>
      </c>
      <c r="K6" s="33">
        <v>2134</v>
      </c>
      <c r="L6" s="33">
        <v>2494</v>
      </c>
      <c r="M6" s="33">
        <v>2850</v>
      </c>
      <c r="N6" s="33">
        <v>3061</v>
      </c>
      <c r="O6" s="33">
        <v>2897</v>
      </c>
      <c r="P6" s="33">
        <v>2942</v>
      </c>
      <c r="Q6" s="33">
        <v>3264</v>
      </c>
      <c r="R6" s="33">
        <v>3344</v>
      </c>
      <c r="S6" s="33">
        <v>3313</v>
      </c>
      <c r="T6" s="33">
        <v>2511</v>
      </c>
      <c r="U6" s="33">
        <v>2620</v>
      </c>
      <c r="V6" s="33">
        <v>2710</v>
      </c>
      <c r="W6" s="33">
        <v>2553</v>
      </c>
      <c r="X6" s="33">
        <v>2430</v>
      </c>
      <c r="Y6" s="33">
        <v>2130</v>
      </c>
      <c r="Z6" s="34">
        <v>1643</v>
      </c>
      <c r="AA6" s="35">
        <f>SUM(C6:Z6)</f>
        <v>52845</v>
      </c>
      <c r="AB6" s="19">
        <v>19</v>
      </c>
      <c r="AC6" s="94">
        <f>+AA6*AB6+AA7*AB7+AA8*AB8</f>
        <v>1459048</v>
      </c>
      <c r="AD6" s="49"/>
    </row>
    <row r="7" spans="1:30" ht="15.75" thickBot="1" x14ac:dyDescent="0.3">
      <c r="A7" s="93"/>
      <c r="B7" s="20" t="s">
        <v>4</v>
      </c>
      <c r="C7" s="36">
        <v>1397</v>
      </c>
      <c r="D7" s="36">
        <v>1244</v>
      </c>
      <c r="E7" s="36">
        <v>1127</v>
      </c>
      <c r="F7" s="36">
        <v>1053</v>
      </c>
      <c r="G7" s="36">
        <v>1056</v>
      </c>
      <c r="H7" s="36">
        <v>1075</v>
      </c>
      <c r="I7" s="36">
        <v>713</v>
      </c>
      <c r="J7" s="36">
        <v>1303</v>
      </c>
      <c r="K7" s="36">
        <v>1834</v>
      </c>
      <c r="L7" s="36">
        <v>2155</v>
      </c>
      <c r="M7" s="36">
        <v>2458</v>
      </c>
      <c r="N7" s="36">
        <v>2654</v>
      </c>
      <c r="O7" s="36">
        <v>2678</v>
      </c>
      <c r="P7" s="36">
        <v>2649</v>
      </c>
      <c r="Q7" s="36">
        <v>2677</v>
      </c>
      <c r="R7" s="36">
        <v>2671</v>
      </c>
      <c r="S7" s="36">
        <v>2728</v>
      </c>
      <c r="T7" s="36">
        <v>1879</v>
      </c>
      <c r="U7" s="36">
        <v>2192</v>
      </c>
      <c r="V7" s="36">
        <v>2370</v>
      </c>
      <c r="W7" s="36">
        <v>2226</v>
      </c>
      <c r="X7" s="36">
        <v>2062</v>
      </c>
      <c r="Y7" s="36">
        <v>1854</v>
      </c>
      <c r="Z7" s="37">
        <v>1557</v>
      </c>
      <c r="AA7" s="38">
        <f t="shared" ref="AA7:AA41" si="0">SUM(C7:Z7)</f>
        <v>45612</v>
      </c>
      <c r="AB7" s="21">
        <v>5</v>
      </c>
      <c r="AC7" s="95"/>
      <c r="AD7" s="49"/>
    </row>
    <row r="8" spans="1:30" x14ac:dyDescent="0.25">
      <c r="A8" s="93"/>
      <c r="B8" s="22" t="s">
        <v>3</v>
      </c>
      <c r="C8" s="39">
        <v>979</v>
      </c>
      <c r="D8" s="39">
        <v>844</v>
      </c>
      <c r="E8" s="39">
        <v>704</v>
      </c>
      <c r="F8" s="39">
        <v>670</v>
      </c>
      <c r="G8" s="39">
        <v>647</v>
      </c>
      <c r="H8" s="39">
        <v>733</v>
      </c>
      <c r="I8" s="39">
        <v>471</v>
      </c>
      <c r="J8" s="39">
        <v>894</v>
      </c>
      <c r="K8" s="39">
        <v>1195</v>
      </c>
      <c r="L8" s="39">
        <v>1533</v>
      </c>
      <c r="M8" s="39">
        <v>1759</v>
      </c>
      <c r="N8" s="39">
        <v>1986</v>
      </c>
      <c r="O8" s="39">
        <v>2121</v>
      </c>
      <c r="P8" s="39">
        <v>1952</v>
      </c>
      <c r="Q8" s="39">
        <v>1842</v>
      </c>
      <c r="R8" s="39">
        <v>1850</v>
      </c>
      <c r="S8" s="39">
        <v>1802</v>
      </c>
      <c r="T8" s="39">
        <v>1222</v>
      </c>
      <c r="U8" s="39">
        <v>1417</v>
      </c>
      <c r="V8" s="39">
        <v>1694</v>
      </c>
      <c r="W8" s="39">
        <v>1724</v>
      </c>
      <c r="X8" s="39">
        <v>1694</v>
      </c>
      <c r="Y8" s="39">
        <v>1492</v>
      </c>
      <c r="Z8" s="40">
        <v>1194</v>
      </c>
      <c r="AA8" s="41">
        <f t="shared" si="0"/>
        <v>32419</v>
      </c>
      <c r="AB8" s="23">
        <v>7</v>
      </c>
      <c r="AC8" s="96"/>
      <c r="AD8" s="49"/>
    </row>
    <row r="9" spans="1:30" ht="15.75" thickBot="1" x14ac:dyDescent="0.3">
      <c r="A9" s="93">
        <v>46419</v>
      </c>
      <c r="B9" s="18" t="s">
        <v>5</v>
      </c>
      <c r="C9" s="33">
        <v>785</v>
      </c>
      <c r="D9" s="33">
        <v>750</v>
      </c>
      <c r="E9" s="33">
        <v>710</v>
      </c>
      <c r="F9" s="33">
        <v>630</v>
      </c>
      <c r="G9" s="33">
        <v>635</v>
      </c>
      <c r="H9" s="33">
        <v>746</v>
      </c>
      <c r="I9" s="33">
        <v>25</v>
      </c>
      <c r="J9" s="33">
        <v>567</v>
      </c>
      <c r="K9" s="33">
        <v>821</v>
      </c>
      <c r="L9" s="33">
        <v>1043</v>
      </c>
      <c r="M9" s="33">
        <v>1225</v>
      </c>
      <c r="N9" s="33">
        <v>1364</v>
      </c>
      <c r="O9" s="33">
        <v>1217</v>
      </c>
      <c r="P9" s="33">
        <v>1356</v>
      </c>
      <c r="Q9" s="33">
        <v>1540</v>
      </c>
      <c r="R9" s="33">
        <v>1546</v>
      </c>
      <c r="S9" s="33">
        <v>1555</v>
      </c>
      <c r="T9" s="33">
        <v>758</v>
      </c>
      <c r="U9" s="33">
        <v>1322</v>
      </c>
      <c r="V9" s="33">
        <v>1407</v>
      </c>
      <c r="W9" s="33">
        <v>1300</v>
      </c>
      <c r="X9" s="33">
        <v>1217</v>
      </c>
      <c r="Y9" s="33">
        <v>1040</v>
      </c>
      <c r="Z9" s="34">
        <v>728</v>
      </c>
      <c r="AA9" s="35">
        <f t="shared" si="0"/>
        <v>24287</v>
      </c>
      <c r="AB9" s="19">
        <v>20</v>
      </c>
      <c r="AC9" s="94">
        <f>+AA9*AB9+AA10*AB10+AA11*AB11</f>
        <v>642156</v>
      </c>
      <c r="AD9" s="49"/>
    </row>
    <row r="10" spans="1:30" ht="15.75" thickBot="1" x14ac:dyDescent="0.3">
      <c r="A10" s="93"/>
      <c r="B10" s="20" t="s">
        <v>4</v>
      </c>
      <c r="C10" s="36">
        <v>772</v>
      </c>
      <c r="D10" s="36">
        <v>782</v>
      </c>
      <c r="E10" s="36">
        <v>718</v>
      </c>
      <c r="F10" s="36">
        <v>676</v>
      </c>
      <c r="G10" s="36">
        <v>681</v>
      </c>
      <c r="H10" s="36">
        <v>610</v>
      </c>
      <c r="I10" s="36">
        <v>0</v>
      </c>
      <c r="J10" s="36">
        <v>352</v>
      </c>
      <c r="K10" s="36">
        <v>603</v>
      </c>
      <c r="L10" s="36">
        <v>825</v>
      </c>
      <c r="M10" s="36">
        <v>905</v>
      </c>
      <c r="N10" s="36">
        <v>1029</v>
      </c>
      <c r="O10" s="36">
        <v>1073</v>
      </c>
      <c r="P10" s="36">
        <v>1047</v>
      </c>
      <c r="Q10" s="36">
        <v>1052</v>
      </c>
      <c r="R10" s="36">
        <v>996</v>
      </c>
      <c r="S10" s="36">
        <v>962</v>
      </c>
      <c r="T10" s="36">
        <v>350</v>
      </c>
      <c r="U10" s="36">
        <v>1224</v>
      </c>
      <c r="V10" s="36">
        <v>1295</v>
      </c>
      <c r="W10" s="36">
        <v>1116</v>
      </c>
      <c r="X10" s="36">
        <v>1172</v>
      </c>
      <c r="Y10" s="36">
        <v>1010</v>
      </c>
      <c r="Z10" s="37">
        <v>794</v>
      </c>
      <c r="AA10" s="38">
        <f t="shared" si="0"/>
        <v>20044</v>
      </c>
      <c r="AB10" s="21">
        <v>4</v>
      </c>
      <c r="AC10" s="95"/>
      <c r="AD10" s="49"/>
    </row>
    <row r="11" spans="1:30" x14ac:dyDescent="0.25">
      <c r="A11" s="93"/>
      <c r="B11" s="22" t="s">
        <v>3</v>
      </c>
      <c r="C11" s="39">
        <v>803</v>
      </c>
      <c r="D11" s="39">
        <v>824</v>
      </c>
      <c r="E11" s="39">
        <v>702</v>
      </c>
      <c r="F11" s="39">
        <v>623</v>
      </c>
      <c r="G11" s="39">
        <v>616</v>
      </c>
      <c r="H11" s="39">
        <v>629</v>
      </c>
      <c r="I11" s="39">
        <v>0</v>
      </c>
      <c r="J11" s="39">
        <v>290</v>
      </c>
      <c r="K11" s="39">
        <v>489</v>
      </c>
      <c r="L11" s="39">
        <v>679</v>
      </c>
      <c r="M11" s="39">
        <v>847</v>
      </c>
      <c r="N11" s="39">
        <v>983</v>
      </c>
      <c r="O11" s="39">
        <v>1014</v>
      </c>
      <c r="P11" s="39">
        <v>1011</v>
      </c>
      <c r="Q11" s="39">
        <v>912</v>
      </c>
      <c r="R11" s="39">
        <v>977</v>
      </c>
      <c r="S11" s="39">
        <v>952</v>
      </c>
      <c r="T11" s="39">
        <v>276</v>
      </c>
      <c r="U11" s="39">
        <v>1104</v>
      </c>
      <c r="V11" s="39">
        <v>1217</v>
      </c>
      <c r="W11" s="39">
        <v>1086</v>
      </c>
      <c r="X11" s="39">
        <v>1176</v>
      </c>
      <c r="Y11" s="39">
        <v>1075</v>
      </c>
      <c r="Z11" s="40">
        <v>775</v>
      </c>
      <c r="AA11" s="41">
        <f t="shared" si="0"/>
        <v>19060</v>
      </c>
      <c r="AB11" s="23">
        <v>4</v>
      </c>
      <c r="AC11" s="96"/>
      <c r="AD11" s="49"/>
    </row>
    <row r="12" spans="1:30" ht="15.75" thickBot="1" x14ac:dyDescent="0.3">
      <c r="A12" s="93">
        <v>46447</v>
      </c>
      <c r="B12" s="18" t="s">
        <v>5</v>
      </c>
      <c r="C12" s="33">
        <v>1743</v>
      </c>
      <c r="D12" s="33">
        <v>1647</v>
      </c>
      <c r="E12" s="33">
        <v>1564</v>
      </c>
      <c r="F12" s="33">
        <v>1495</v>
      </c>
      <c r="G12" s="33">
        <v>1471</v>
      </c>
      <c r="H12" s="33">
        <v>1555</v>
      </c>
      <c r="I12" s="33">
        <v>817</v>
      </c>
      <c r="J12" s="33">
        <v>1350</v>
      </c>
      <c r="K12" s="33">
        <v>1650</v>
      </c>
      <c r="L12" s="33">
        <v>1933</v>
      </c>
      <c r="M12" s="33">
        <v>2175</v>
      </c>
      <c r="N12" s="33">
        <v>2344</v>
      </c>
      <c r="O12" s="33">
        <v>2277</v>
      </c>
      <c r="P12" s="33">
        <v>2371</v>
      </c>
      <c r="Q12" s="33">
        <v>2588</v>
      </c>
      <c r="R12" s="33">
        <v>2595</v>
      </c>
      <c r="S12" s="33">
        <v>2561</v>
      </c>
      <c r="T12" s="33">
        <v>1704</v>
      </c>
      <c r="U12" s="33">
        <v>2325</v>
      </c>
      <c r="V12" s="33">
        <v>2601</v>
      </c>
      <c r="W12" s="33">
        <v>2528</v>
      </c>
      <c r="X12" s="33">
        <v>2511</v>
      </c>
      <c r="Y12" s="33">
        <v>2261</v>
      </c>
      <c r="Z12" s="34">
        <v>1887</v>
      </c>
      <c r="AA12" s="35">
        <f t="shared" si="0"/>
        <v>47953</v>
      </c>
      <c r="AB12" s="19">
        <v>20</v>
      </c>
      <c r="AC12" s="94">
        <f>+AA12*AB12+AA13*AB13+AA14*AB14</f>
        <v>1318259</v>
      </c>
      <c r="AD12" s="49"/>
    </row>
    <row r="13" spans="1:30" ht="15.75" thickBot="1" x14ac:dyDescent="0.3">
      <c r="A13" s="93"/>
      <c r="B13" s="20" t="s">
        <v>4</v>
      </c>
      <c r="C13" s="36">
        <v>1650</v>
      </c>
      <c r="D13" s="36">
        <v>1536</v>
      </c>
      <c r="E13" s="36">
        <v>1342</v>
      </c>
      <c r="F13" s="36">
        <v>1370</v>
      </c>
      <c r="G13" s="36">
        <v>1325</v>
      </c>
      <c r="H13" s="36">
        <v>1275</v>
      </c>
      <c r="I13" s="36">
        <v>515</v>
      </c>
      <c r="J13" s="36">
        <v>958</v>
      </c>
      <c r="K13" s="36">
        <v>1269</v>
      </c>
      <c r="L13" s="36">
        <v>1486</v>
      </c>
      <c r="M13" s="36">
        <v>1711</v>
      </c>
      <c r="N13" s="36">
        <v>1803</v>
      </c>
      <c r="O13" s="36">
        <v>1885</v>
      </c>
      <c r="P13" s="36">
        <v>1833</v>
      </c>
      <c r="Q13" s="36">
        <v>1846</v>
      </c>
      <c r="R13" s="36">
        <v>1910</v>
      </c>
      <c r="S13" s="36">
        <v>1831</v>
      </c>
      <c r="T13" s="36">
        <v>1024</v>
      </c>
      <c r="U13" s="36">
        <v>1677</v>
      </c>
      <c r="V13" s="36">
        <v>1934</v>
      </c>
      <c r="W13" s="36">
        <v>2008</v>
      </c>
      <c r="X13" s="36">
        <v>1928</v>
      </c>
      <c r="Y13" s="36">
        <v>1741</v>
      </c>
      <c r="Z13" s="37">
        <v>1609</v>
      </c>
      <c r="AA13" s="38">
        <f t="shared" si="0"/>
        <v>37466</v>
      </c>
      <c r="AB13" s="21">
        <v>4</v>
      </c>
      <c r="AC13" s="95"/>
      <c r="AD13" s="49"/>
    </row>
    <row r="14" spans="1:30" x14ac:dyDescent="0.25">
      <c r="A14" s="93"/>
      <c r="B14" s="22" t="s">
        <v>3</v>
      </c>
      <c r="C14" s="39">
        <v>1534</v>
      </c>
      <c r="D14" s="39">
        <v>1476</v>
      </c>
      <c r="E14" s="39">
        <v>1339</v>
      </c>
      <c r="F14" s="39">
        <v>1202</v>
      </c>
      <c r="G14" s="39">
        <v>1067</v>
      </c>
      <c r="H14" s="39">
        <v>1092</v>
      </c>
      <c r="I14" s="39">
        <v>265</v>
      </c>
      <c r="J14" s="39">
        <v>592</v>
      </c>
      <c r="K14" s="39">
        <v>868</v>
      </c>
      <c r="L14" s="39">
        <v>972</v>
      </c>
      <c r="M14" s="39">
        <v>1118</v>
      </c>
      <c r="N14" s="39">
        <v>1202</v>
      </c>
      <c r="O14" s="39">
        <v>1434</v>
      </c>
      <c r="P14" s="39">
        <v>1293</v>
      </c>
      <c r="Q14" s="39">
        <v>1293</v>
      </c>
      <c r="R14" s="39">
        <v>1355</v>
      </c>
      <c r="S14" s="39">
        <v>1349</v>
      </c>
      <c r="T14" s="39">
        <v>711</v>
      </c>
      <c r="U14" s="39">
        <v>1496</v>
      </c>
      <c r="V14" s="39">
        <v>1811</v>
      </c>
      <c r="W14" s="39">
        <v>1881</v>
      </c>
      <c r="X14" s="39">
        <v>1805</v>
      </c>
      <c r="Y14" s="39">
        <v>1478</v>
      </c>
      <c r="Z14" s="40">
        <v>1272</v>
      </c>
      <c r="AA14" s="41">
        <f t="shared" si="0"/>
        <v>29905</v>
      </c>
      <c r="AB14" s="23">
        <v>7</v>
      </c>
      <c r="AC14" s="96"/>
      <c r="AD14" s="49"/>
    </row>
    <row r="15" spans="1:30" ht="15.75" thickBot="1" x14ac:dyDescent="0.3">
      <c r="A15" s="93">
        <v>46478</v>
      </c>
      <c r="B15" s="18" t="s">
        <v>5</v>
      </c>
      <c r="C15" s="33">
        <v>1531</v>
      </c>
      <c r="D15" s="33">
        <v>1393</v>
      </c>
      <c r="E15" s="33">
        <v>1293</v>
      </c>
      <c r="F15" s="33">
        <v>1236</v>
      </c>
      <c r="G15" s="33">
        <v>1190</v>
      </c>
      <c r="H15" s="33">
        <v>1130</v>
      </c>
      <c r="I15" s="33">
        <v>765</v>
      </c>
      <c r="J15" s="33">
        <v>1338</v>
      </c>
      <c r="K15" s="33">
        <v>1538</v>
      </c>
      <c r="L15" s="33">
        <v>1787</v>
      </c>
      <c r="M15" s="33">
        <v>2030</v>
      </c>
      <c r="N15" s="33">
        <v>2349</v>
      </c>
      <c r="O15" s="33">
        <v>2465</v>
      </c>
      <c r="P15" s="33">
        <v>2437</v>
      </c>
      <c r="Q15" s="33">
        <v>2365</v>
      </c>
      <c r="R15" s="33">
        <v>2315</v>
      </c>
      <c r="S15" s="33">
        <v>2208</v>
      </c>
      <c r="T15" s="33">
        <v>1609</v>
      </c>
      <c r="U15" s="33">
        <v>2145</v>
      </c>
      <c r="V15" s="33">
        <v>2435</v>
      </c>
      <c r="W15" s="33">
        <v>2410</v>
      </c>
      <c r="X15" s="33">
        <v>2271</v>
      </c>
      <c r="Y15" s="33">
        <v>2001</v>
      </c>
      <c r="Z15" s="34">
        <v>1617</v>
      </c>
      <c r="AA15" s="35">
        <f t="shared" si="0"/>
        <v>43858</v>
      </c>
      <c r="AB15" s="19">
        <v>22</v>
      </c>
      <c r="AC15" s="94">
        <f>+AA15*AB15+AA16*AB16+AA17*AB17</f>
        <v>1230452</v>
      </c>
      <c r="AD15" s="49"/>
    </row>
    <row r="16" spans="1:30" ht="15.75" thickBot="1" x14ac:dyDescent="0.3">
      <c r="A16" s="93"/>
      <c r="B16" s="20" t="s">
        <v>4</v>
      </c>
      <c r="C16" s="36">
        <v>1372</v>
      </c>
      <c r="D16" s="36">
        <v>1239</v>
      </c>
      <c r="E16" s="36">
        <v>1118</v>
      </c>
      <c r="F16" s="36">
        <v>1091</v>
      </c>
      <c r="G16" s="36">
        <v>1064</v>
      </c>
      <c r="H16" s="36">
        <v>1065</v>
      </c>
      <c r="I16" s="36">
        <v>693</v>
      </c>
      <c r="J16" s="36">
        <v>1209</v>
      </c>
      <c r="K16" s="36">
        <v>1298</v>
      </c>
      <c r="L16" s="36">
        <v>1488</v>
      </c>
      <c r="M16" s="36">
        <v>1743</v>
      </c>
      <c r="N16" s="36">
        <v>1905</v>
      </c>
      <c r="O16" s="36">
        <v>2045</v>
      </c>
      <c r="P16" s="36">
        <v>1946</v>
      </c>
      <c r="Q16" s="36">
        <v>1990</v>
      </c>
      <c r="R16" s="36">
        <v>1975</v>
      </c>
      <c r="S16" s="36">
        <v>2054</v>
      </c>
      <c r="T16" s="36">
        <v>1512</v>
      </c>
      <c r="U16" s="36">
        <v>1993</v>
      </c>
      <c r="V16" s="36">
        <v>2027</v>
      </c>
      <c r="W16" s="36">
        <v>1939</v>
      </c>
      <c r="X16" s="36">
        <v>1780</v>
      </c>
      <c r="Y16" s="36">
        <v>1568</v>
      </c>
      <c r="Z16" s="37">
        <v>1304</v>
      </c>
      <c r="AA16" s="38">
        <f t="shared" si="0"/>
        <v>37418</v>
      </c>
      <c r="AB16" s="21">
        <v>4</v>
      </c>
      <c r="AC16" s="95"/>
      <c r="AD16" s="49"/>
    </row>
    <row r="17" spans="1:30" x14ac:dyDescent="0.25">
      <c r="A17" s="93"/>
      <c r="B17" s="22" t="s">
        <v>3</v>
      </c>
      <c r="C17" s="39">
        <v>972</v>
      </c>
      <c r="D17" s="39">
        <v>1025</v>
      </c>
      <c r="E17" s="39">
        <v>819</v>
      </c>
      <c r="F17" s="39">
        <v>743</v>
      </c>
      <c r="G17" s="39">
        <v>709</v>
      </c>
      <c r="H17" s="39">
        <v>750</v>
      </c>
      <c r="I17" s="39">
        <v>457</v>
      </c>
      <c r="J17" s="39">
        <v>841</v>
      </c>
      <c r="K17" s="39">
        <v>1009</v>
      </c>
      <c r="L17" s="39">
        <v>1201</v>
      </c>
      <c r="M17" s="39">
        <v>1320</v>
      </c>
      <c r="N17" s="39">
        <v>1353</v>
      </c>
      <c r="O17" s="39">
        <v>1520</v>
      </c>
      <c r="P17" s="39">
        <v>1650</v>
      </c>
      <c r="Q17" s="39">
        <v>1639</v>
      </c>
      <c r="R17" s="39">
        <v>1686</v>
      </c>
      <c r="S17" s="39">
        <v>1737</v>
      </c>
      <c r="T17" s="39">
        <v>1146</v>
      </c>
      <c r="U17" s="39">
        <v>1554</v>
      </c>
      <c r="V17" s="39">
        <v>1714</v>
      </c>
      <c r="W17" s="39">
        <v>1674</v>
      </c>
      <c r="X17" s="39">
        <v>1403</v>
      </c>
      <c r="Y17" s="39">
        <v>1140</v>
      </c>
      <c r="Z17" s="40">
        <v>914</v>
      </c>
      <c r="AA17" s="41">
        <f t="shared" si="0"/>
        <v>28976</v>
      </c>
      <c r="AB17" s="23">
        <v>4</v>
      </c>
      <c r="AC17" s="96"/>
      <c r="AD17" s="49"/>
    </row>
    <row r="18" spans="1:30" ht="15.75" thickBot="1" x14ac:dyDescent="0.3">
      <c r="A18" s="93">
        <v>46508</v>
      </c>
      <c r="B18" s="18" t="s">
        <v>5</v>
      </c>
      <c r="C18" s="33">
        <v>1477</v>
      </c>
      <c r="D18" s="33">
        <v>1352</v>
      </c>
      <c r="E18" s="33">
        <v>1285</v>
      </c>
      <c r="F18" s="33">
        <v>1190</v>
      </c>
      <c r="G18" s="33">
        <v>1156</v>
      </c>
      <c r="H18" s="33">
        <v>1047</v>
      </c>
      <c r="I18" s="33">
        <v>661</v>
      </c>
      <c r="J18" s="33">
        <v>1293</v>
      </c>
      <c r="K18" s="33">
        <v>1526</v>
      </c>
      <c r="L18" s="33">
        <v>1750</v>
      </c>
      <c r="M18" s="33">
        <v>1944</v>
      </c>
      <c r="N18" s="33">
        <v>2163</v>
      </c>
      <c r="O18" s="33">
        <v>2153</v>
      </c>
      <c r="P18" s="33">
        <v>2167</v>
      </c>
      <c r="Q18" s="33">
        <v>2132</v>
      </c>
      <c r="R18" s="33">
        <v>2092</v>
      </c>
      <c r="S18" s="33">
        <v>2069</v>
      </c>
      <c r="T18" s="33">
        <v>1389</v>
      </c>
      <c r="U18" s="33">
        <v>2062</v>
      </c>
      <c r="V18" s="33">
        <v>2264</v>
      </c>
      <c r="W18" s="33">
        <v>2242</v>
      </c>
      <c r="X18" s="33">
        <v>2080</v>
      </c>
      <c r="Y18" s="33">
        <v>1812</v>
      </c>
      <c r="Z18" s="34">
        <v>1450</v>
      </c>
      <c r="AA18" s="35">
        <f t="shared" si="0"/>
        <v>40756</v>
      </c>
      <c r="AB18" s="19">
        <v>19</v>
      </c>
      <c r="AC18" s="94">
        <f>+AA18*AB18+AA19*AB19+AA20*AB20</f>
        <v>1138076</v>
      </c>
      <c r="AD18" s="49"/>
    </row>
    <row r="19" spans="1:30" ht="15.75" thickBot="1" x14ac:dyDescent="0.3">
      <c r="A19" s="93"/>
      <c r="B19" s="20" t="s">
        <v>4</v>
      </c>
      <c r="C19" s="36">
        <v>1439</v>
      </c>
      <c r="D19" s="36">
        <v>1250</v>
      </c>
      <c r="E19" s="36">
        <v>1255</v>
      </c>
      <c r="F19" s="36">
        <v>1201</v>
      </c>
      <c r="G19" s="36">
        <v>1172</v>
      </c>
      <c r="H19" s="36">
        <v>1063</v>
      </c>
      <c r="I19" s="36">
        <v>554</v>
      </c>
      <c r="J19" s="36">
        <v>998</v>
      </c>
      <c r="K19" s="36">
        <v>1090</v>
      </c>
      <c r="L19" s="36">
        <v>1282</v>
      </c>
      <c r="M19" s="36">
        <v>1597</v>
      </c>
      <c r="N19" s="36">
        <v>1790</v>
      </c>
      <c r="O19" s="36">
        <v>1812</v>
      </c>
      <c r="P19" s="36">
        <v>1773</v>
      </c>
      <c r="Q19" s="36">
        <v>1788</v>
      </c>
      <c r="R19" s="36">
        <v>1813</v>
      </c>
      <c r="S19" s="36">
        <v>1765</v>
      </c>
      <c r="T19" s="36">
        <v>1173</v>
      </c>
      <c r="U19" s="36">
        <v>1917</v>
      </c>
      <c r="V19" s="36">
        <v>2215</v>
      </c>
      <c r="W19" s="36">
        <v>2068</v>
      </c>
      <c r="X19" s="36">
        <v>1843</v>
      </c>
      <c r="Y19" s="36">
        <v>1634</v>
      </c>
      <c r="Z19" s="37">
        <v>1482</v>
      </c>
      <c r="AA19" s="38">
        <f t="shared" si="0"/>
        <v>35974</v>
      </c>
      <c r="AB19" s="21">
        <v>4</v>
      </c>
      <c r="AC19" s="95"/>
      <c r="AD19" s="49"/>
    </row>
    <row r="20" spans="1:30" x14ac:dyDescent="0.25">
      <c r="A20" s="93"/>
      <c r="B20" s="22" t="s">
        <v>3</v>
      </c>
      <c r="C20" s="39">
        <v>1259</v>
      </c>
      <c r="D20" s="39">
        <v>1162</v>
      </c>
      <c r="E20" s="39">
        <v>1018</v>
      </c>
      <c r="F20" s="39">
        <v>967</v>
      </c>
      <c r="G20" s="39">
        <v>924</v>
      </c>
      <c r="H20" s="39">
        <v>868</v>
      </c>
      <c r="I20" s="39">
        <v>276</v>
      </c>
      <c r="J20" s="39">
        <v>704</v>
      </c>
      <c r="K20" s="39">
        <v>903</v>
      </c>
      <c r="L20" s="39">
        <v>1049</v>
      </c>
      <c r="M20" s="39">
        <v>1129</v>
      </c>
      <c r="N20" s="39">
        <v>1168</v>
      </c>
      <c r="O20" s="39">
        <v>1317</v>
      </c>
      <c r="P20" s="39">
        <v>1326</v>
      </c>
      <c r="Q20" s="39">
        <v>1414</v>
      </c>
      <c r="R20" s="39">
        <v>1459</v>
      </c>
      <c r="S20" s="39">
        <v>1402</v>
      </c>
      <c r="T20" s="39">
        <v>651</v>
      </c>
      <c r="U20" s="39">
        <v>1198</v>
      </c>
      <c r="V20" s="39">
        <v>1589</v>
      </c>
      <c r="W20" s="39">
        <v>1590</v>
      </c>
      <c r="X20" s="39">
        <v>1591</v>
      </c>
      <c r="Y20" s="39">
        <v>1368</v>
      </c>
      <c r="Z20" s="40">
        <v>1145</v>
      </c>
      <c r="AA20" s="41">
        <f t="shared" si="0"/>
        <v>27477</v>
      </c>
      <c r="AB20" s="23">
        <v>8</v>
      </c>
      <c r="AC20" s="96"/>
      <c r="AD20" s="49"/>
    </row>
    <row r="21" spans="1:30" ht="15.75" thickBot="1" x14ac:dyDescent="0.3">
      <c r="A21" s="93">
        <v>46539</v>
      </c>
      <c r="B21" s="18" t="s">
        <v>5</v>
      </c>
      <c r="C21" s="33">
        <v>701</v>
      </c>
      <c r="D21" s="33">
        <v>666</v>
      </c>
      <c r="E21" s="33">
        <v>572</v>
      </c>
      <c r="F21" s="33">
        <v>564</v>
      </c>
      <c r="G21" s="33">
        <v>607</v>
      </c>
      <c r="H21" s="33">
        <v>642</v>
      </c>
      <c r="I21" s="33">
        <v>492</v>
      </c>
      <c r="J21" s="33">
        <v>1184</v>
      </c>
      <c r="K21" s="33">
        <v>1442</v>
      </c>
      <c r="L21" s="33">
        <v>1722</v>
      </c>
      <c r="M21" s="33">
        <v>1926</v>
      </c>
      <c r="N21" s="33">
        <v>2132</v>
      </c>
      <c r="O21" s="33">
        <v>2105</v>
      </c>
      <c r="P21" s="33">
        <v>2018</v>
      </c>
      <c r="Q21" s="33">
        <v>2119</v>
      </c>
      <c r="R21" s="33">
        <v>2172</v>
      </c>
      <c r="S21" s="33">
        <v>2046</v>
      </c>
      <c r="T21" s="33">
        <v>1400</v>
      </c>
      <c r="U21" s="33">
        <v>1769</v>
      </c>
      <c r="V21" s="33">
        <v>2034</v>
      </c>
      <c r="W21" s="33">
        <v>1946</v>
      </c>
      <c r="X21" s="33">
        <v>1695</v>
      </c>
      <c r="Y21" s="33">
        <v>1310</v>
      </c>
      <c r="Z21" s="34">
        <v>834</v>
      </c>
      <c r="AA21" s="35">
        <f t="shared" si="0"/>
        <v>34098</v>
      </c>
      <c r="AB21" s="19">
        <v>21</v>
      </c>
      <c r="AC21" s="94">
        <f>+AA21*AB21+AA22*AB22+AA23*AB23</f>
        <v>1078720</v>
      </c>
      <c r="AD21" s="49"/>
    </row>
    <row r="22" spans="1:30" ht="15.75" thickBot="1" x14ac:dyDescent="0.3">
      <c r="A22" s="93"/>
      <c r="B22" s="20" t="s">
        <v>4</v>
      </c>
      <c r="C22" s="36">
        <v>934</v>
      </c>
      <c r="D22" s="36">
        <v>856</v>
      </c>
      <c r="E22" s="36">
        <v>629</v>
      </c>
      <c r="F22" s="36">
        <v>674</v>
      </c>
      <c r="G22" s="36">
        <v>720</v>
      </c>
      <c r="H22" s="36">
        <v>740</v>
      </c>
      <c r="I22" s="36">
        <v>413</v>
      </c>
      <c r="J22" s="36">
        <v>1066</v>
      </c>
      <c r="K22" s="36">
        <v>1285</v>
      </c>
      <c r="L22" s="36">
        <v>1643</v>
      </c>
      <c r="M22" s="36">
        <v>1820</v>
      </c>
      <c r="N22" s="36">
        <v>2024</v>
      </c>
      <c r="O22" s="36">
        <v>2002</v>
      </c>
      <c r="P22" s="36">
        <v>2036</v>
      </c>
      <c r="Q22" s="36">
        <v>2002</v>
      </c>
      <c r="R22" s="36">
        <v>2078</v>
      </c>
      <c r="S22" s="36">
        <v>2126</v>
      </c>
      <c r="T22" s="36">
        <v>1434</v>
      </c>
      <c r="U22" s="36">
        <v>1882</v>
      </c>
      <c r="V22" s="36">
        <v>2124</v>
      </c>
      <c r="W22" s="36">
        <v>1955</v>
      </c>
      <c r="X22" s="36">
        <v>1862</v>
      </c>
      <c r="Y22" s="36">
        <v>1514</v>
      </c>
      <c r="Z22" s="37">
        <v>1174</v>
      </c>
      <c r="AA22" s="38">
        <f t="shared" si="0"/>
        <v>34993</v>
      </c>
      <c r="AB22" s="21">
        <v>4</v>
      </c>
      <c r="AC22" s="95"/>
      <c r="AD22" s="49"/>
    </row>
    <row r="23" spans="1:30" x14ac:dyDescent="0.25">
      <c r="A23" s="93"/>
      <c r="B23" s="22" t="s">
        <v>3</v>
      </c>
      <c r="C23" s="39">
        <v>1183</v>
      </c>
      <c r="D23" s="39">
        <v>1019</v>
      </c>
      <c r="E23" s="39">
        <v>912</v>
      </c>
      <c r="F23" s="39">
        <v>858</v>
      </c>
      <c r="G23" s="39">
        <v>912</v>
      </c>
      <c r="H23" s="39">
        <v>1039</v>
      </c>
      <c r="I23" s="39">
        <v>959</v>
      </c>
      <c r="J23" s="39">
        <v>1612</v>
      </c>
      <c r="K23" s="39">
        <v>1961</v>
      </c>
      <c r="L23" s="39">
        <v>2236</v>
      </c>
      <c r="M23" s="39">
        <v>2408</v>
      </c>
      <c r="N23" s="39">
        <v>2591</v>
      </c>
      <c r="O23" s="39">
        <v>2457</v>
      </c>
      <c r="P23" s="39">
        <v>2522</v>
      </c>
      <c r="Q23" s="39">
        <v>2769</v>
      </c>
      <c r="R23" s="39">
        <v>2819</v>
      </c>
      <c r="S23" s="39">
        <v>2755</v>
      </c>
      <c r="T23" s="39">
        <v>2053</v>
      </c>
      <c r="U23" s="39">
        <v>2132</v>
      </c>
      <c r="V23" s="39">
        <v>2408</v>
      </c>
      <c r="W23" s="39">
        <v>2251</v>
      </c>
      <c r="X23" s="39">
        <v>1994</v>
      </c>
      <c r="Y23" s="39">
        <v>1520</v>
      </c>
      <c r="Z23" s="40">
        <v>1168</v>
      </c>
      <c r="AA23" s="41">
        <f t="shared" si="0"/>
        <v>44538</v>
      </c>
      <c r="AB23" s="23">
        <v>5</v>
      </c>
      <c r="AC23" s="96"/>
      <c r="AD23" s="49"/>
    </row>
    <row r="24" spans="1:30" ht="15.75" thickBot="1" x14ac:dyDescent="0.3">
      <c r="A24" s="93">
        <v>46569</v>
      </c>
      <c r="B24" s="18" t="s">
        <v>5</v>
      </c>
      <c r="C24" s="33">
        <v>733</v>
      </c>
      <c r="D24" s="33">
        <v>706</v>
      </c>
      <c r="E24" s="33">
        <v>604</v>
      </c>
      <c r="F24" s="33">
        <v>558</v>
      </c>
      <c r="G24" s="33">
        <v>581</v>
      </c>
      <c r="H24" s="33">
        <v>581</v>
      </c>
      <c r="I24" s="33">
        <v>385</v>
      </c>
      <c r="J24" s="33">
        <v>1143</v>
      </c>
      <c r="K24" s="33">
        <v>1406</v>
      </c>
      <c r="L24" s="33">
        <v>1740</v>
      </c>
      <c r="M24" s="33">
        <v>1982</v>
      </c>
      <c r="N24" s="33">
        <v>2225</v>
      </c>
      <c r="O24" s="33">
        <v>2147</v>
      </c>
      <c r="P24" s="33">
        <v>2094</v>
      </c>
      <c r="Q24" s="33">
        <v>2315</v>
      </c>
      <c r="R24" s="33">
        <v>2350</v>
      </c>
      <c r="S24" s="33">
        <v>2253</v>
      </c>
      <c r="T24" s="33">
        <v>1521</v>
      </c>
      <c r="U24" s="33">
        <v>1746</v>
      </c>
      <c r="V24" s="33">
        <v>1944</v>
      </c>
      <c r="W24" s="33">
        <v>1866</v>
      </c>
      <c r="X24" s="33">
        <v>1689</v>
      </c>
      <c r="Y24" s="33">
        <v>1295</v>
      </c>
      <c r="Z24" s="34">
        <v>827</v>
      </c>
      <c r="AA24" s="35">
        <f t="shared" si="0"/>
        <v>34691</v>
      </c>
      <c r="AB24" s="19">
        <v>20</v>
      </c>
      <c r="AC24" s="94">
        <f>+AA24*AB24+AA25*AB25+AA26*AB26</f>
        <v>903223</v>
      </c>
      <c r="AD24" s="49"/>
    </row>
    <row r="25" spans="1:30" ht="15.75" thickBot="1" x14ac:dyDescent="0.3">
      <c r="A25" s="93"/>
      <c r="B25" s="20" t="s">
        <v>4</v>
      </c>
      <c r="C25" s="36">
        <v>306</v>
      </c>
      <c r="D25" s="36">
        <v>285</v>
      </c>
      <c r="E25" s="36">
        <v>147</v>
      </c>
      <c r="F25" s="36">
        <v>123</v>
      </c>
      <c r="G25" s="36">
        <v>185</v>
      </c>
      <c r="H25" s="36">
        <v>231</v>
      </c>
      <c r="I25" s="36">
        <v>0</v>
      </c>
      <c r="J25" s="36">
        <v>448</v>
      </c>
      <c r="K25" s="36">
        <v>714</v>
      </c>
      <c r="L25" s="36">
        <v>1024</v>
      </c>
      <c r="M25" s="36">
        <v>1159</v>
      </c>
      <c r="N25" s="36">
        <v>1338</v>
      </c>
      <c r="O25" s="36">
        <v>1342</v>
      </c>
      <c r="P25" s="36">
        <v>1328</v>
      </c>
      <c r="Q25" s="36">
        <v>1221</v>
      </c>
      <c r="R25" s="36">
        <v>1274</v>
      </c>
      <c r="S25" s="36">
        <v>1306</v>
      </c>
      <c r="T25" s="36">
        <v>684</v>
      </c>
      <c r="U25" s="36">
        <v>1160</v>
      </c>
      <c r="V25" s="36">
        <v>1340</v>
      </c>
      <c r="W25" s="36">
        <v>1262</v>
      </c>
      <c r="X25" s="36">
        <v>1148</v>
      </c>
      <c r="Y25" s="36">
        <v>803</v>
      </c>
      <c r="Z25" s="37">
        <v>489</v>
      </c>
      <c r="AA25" s="38">
        <f t="shared" si="0"/>
        <v>19317</v>
      </c>
      <c r="AB25" s="21">
        <v>5</v>
      </c>
      <c r="AC25" s="95"/>
      <c r="AD25" s="49"/>
    </row>
    <row r="26" spans="1:30" x14ac:dyDescent="0.25">
      <c r="A26" s="93"/>
      <c r="B26" s="22" t="s">
        <v>3</v>
      </c>
      <c r="C26" s="39">
        <v>562</v>
      </c>
      <c r="D26" s="39">
        <v>520</v>
      </c>
      <c r="E26" s="39">
        <v>387</v>
      </c>
      <c r="F26" s="39">
        <v>257</v>
      </c>
      <c r="G26" s="39">
        <v>253</v>
      </c>
      <c r="H26" s="39">
        <v>170</v>
      </c>
      <c r="I26" s="39">
        <v>0</v>
      </c>
      <c r="J26" s="39">
        <v>335</v>
      </c>
      <c r="K26" s="39">
        <v>564</v>
      </c>
      <c r="L26" s="39">
        <v>814</v>
      </c>
      <c r="M26" s="39">
        <v>928</v>
      </c>
      <c r="N26" s="39">
        <v>1084</v>
      </c>
      <c r="O26" s="39">
        <v>1259</v>
      </c>
      <c r="P26" s="39">
        <v>1272</v>
      </c>
      <c r="Q26" s="39">
        <v>1235</v>
      </c>
      <c r="R26" s="39">
        <v>1174</v>
      </c>
      <c r="S26" s="39">
        <v>1279</v>
      </c>
      <c r="T26" s="39">
        <v>609</v>
      </c>
      <c r="U26" s="39">
        <v>957</v>
      </c>
      <c r="V26" s="39">
        <v>1294</v>
      </c>
      <c r="W26" s="39">
        <v>1298</v>
      </c>
      <c r="X26" s="39">
        <v>1131</v>
      </c>
      <c r="Y26" s="39">
        <v>894</v>
      </c>
      <c r="Z26" s="40">
        <v>527</v>
      </c>
      <c r="AA26" s="41">
        <f t="shared" si="0"/>
        <v>18803</v>
      </c>
      <c r="AB26" s="23">
        <v>6</v>
      </c>
      <c r="AC26" s="96"/>
      <c r="AD26" s="49"/>
    </row>
    <row r="27" spans="1:30" ht="15.75" thickBot="1" x14ac:dyDescent="0.3">
      <c r="A27" s="93">
        <v>46600</v>
      </c>
      <c r="B27" s="18" t="s">
        <v>5</v>
      </c>
      <c r="C27" s="33">
        <v>901</v>
      </c>
      <c r="D27" s="33">
        <v>765</v>
      </c>
      <c r="E27" s="33">
        <v>644</v>
      </c>
      <c r="F27" s="33">
        <v>551</v>
      </c>
      <c r="G27" s="33">
        <v>578</v>
      </c>
      <c r="H27" s="33">
        <v>568</v>
      </c>
      <c r="I27" s="33">
        <v>364</v>
      </c>
      <c r="J27" s="33">
        <v>1203</v>
      </c>
      <c r="K27" s="33">
        <v>1645</v>
      </c>
      <c r="L27" s="33">
        <v>2011</v>
      </c>
      <c r="M27" s="33">
        <v>2318</v>
      </c>
      <c r="N27" s="33">
        <v>2591</v>
      </c>
      <c r="O27" s="33">
        <v>2477</v>
      </c>
      <c r="P27" s="33">
        <v>2493</v>
      </c>
      <c r="Q27" s="33">
        <v>2755</v>
      </c>
      <c r="R27" s="33">
        <v>2840</v>
      </c>
      <c r="S27" s="33">
        <v>2779</v>
      </c>
      <c r="T27" s="33">
        <v>1863</v>
      </c>
      <c r="U27" s="33">
        <v>2079</v>
      </c>
      <c r="V27" s="33">
        <v>2097</v>
      </c>
      <c r="W27" s="33">
        <v>2001</v>
      </c>
      <c r="X27" s="33">
        <v>1861</v>
      </c>
      <c r="Y27" s="33">
        <v>1501</v>
      </c>
      <c r="Z27" s="34">
        <v>1026</v>
      </c>
      <c r="AA27" s="35">
        <f t="shared" si="0"/>
        <v>39911</v>
      </c>
      <c r="AB27" s="19">
        <v>21</v>
      </c>
      <c r="AC27" s="94">
        <f>+AA27*AB27+AA28*AB28+AA29*AB29</f>
        <v>1105017</v>
      </c>
      <c r="AD27" s="49"/>
    </row>
    <row r="28" spans="1:30" ht="15.75" thickBot="1" x14ac:dyDescent="0.3">
      <c r="A28" s="93"/>
      <c r="B28" s="20" t="s">
        <v>4</v>
      </c>
      <c r="C28" s="36">
        <v>833</v>
      </c>
      <c r="D28" s="36">
        <v>730</v>
      </c>
      <c r="E28" s="36">
        <v>636</v>
      </c>
      <c r="F28" s="36">
        <v>527</v>
      </c>
      <c r="G28" s="36">
        <v>588</v>
      </c>
      <c r="H28" s="36">
        <v>503</v>
      </c>
      <c r="I28" s="36">
        <v>232</v>
      </c>
      <c r="J28" s="36">
        <v>871</v>
      </c>
      <c r="K28" s="36">
        <v>1291</v>
      </c>
      <c r="L28" s="36">
        <v>1617</v>
      </c>
      <c r="M28" s="36">
        <v>1780</v>
      </c>
      <c r="N28" s="36">
        <v>2044</v>
      </c>
      <c r="O28" s="36">
        <v>2159</v>
      </c>
      <c r="P28" s="36">
        <v>1939</v>
      </c>
      <c r="Q28" s="36">
        <v>2479</v>
      </c>
      <c r="R28" s="36">
        <v>2209</v>
      </c>
      <c r="S28" s="36">
        <v>2010</v>
      </c>
      <c r="T28" s="36">
        <v>1279</v>
      </c>
      <c r="U28" s="36">
        <v>1666</v>
      </c>
      <c r="V28" s="36">
        <v>1831</v>
      </c>
      <c r="W28" s="36">
        <v>1671</v>
      </c>
      <c r="X28" s="36">
        <v>1441</v>
      </c>
      <c r="Y28" s="36">
        <v>1214</v>
      </c>
      <c r="Z28" s="37">
        <v>887</v>
      </c>
      <c r="AA28" s="38">
        <f t="shared" si="0"/>
        <v>32437</v>
      </c>
      <c r="AB28" s="21">
        <v>3</v>
      </c>
      <c r="AC28" s="95"/>
      <c r="AD28" s="49"/>
    </row>
    <row r="29" spans="1:30" x14ac:dyDescent="0.25">
      <c r="A29" s="93"/>
      <c r="B29" s="22" t="s">
        <v>3</v>
      </c>
      <c r="C29" s="39">
        <v>875</v>
      </c>
      <c r="D29" s="39">
        <v>698</v>
      </c>
      <c r="E29" s="39">
        <v>511</v>
      </c>
      <c r="F29" s="39">
        <v>448</v>
      </c>
      <c r="G29" s="39">
        <v>459</v>
      </c>
      <c r="H29" s="39">
        <v>409</v>
      </c>
      <c r="I29" s="39">
        <v>0</v>
      </c>
      <c r="J29" s="39">
        <v>509</v>
      </c>
      <c r="K29" s="39">
        <v>700</v>
      </c>
      <c r="L29" s="39">
        <v>958</v>
      </c>
      <c r="M29" s="39">
        <v>1190</v>
      </c>
      <c r="N29" s="39">
        <v>1338</v>
      </c>
      <c r="O29" s="39">
        <v>1431</v>
      </c>
      <c r="P29" s="39">
        <v>1542</v>
      </c>
      <c r="Q29" s="39">
        <v>1461</v>
      </c>
      <c r="R29" s="39">
        <v>1462</v>
      </c>
      <c r="S29" s="39">
        <v>1543</v>
      </c>
      <c r="T29" s="39">
        <v>798</v>
      </c>
      <c r="U29" s="39">
        <v>1252</v>
      </c>
      <c r="V29" s="39">
        <v>1621</v>
      </c>
      <c r="W29" s="39">
        <v>1564</v>
      </c>
      <c r="X29" s="39">
        <v>1511</v>
      </c>
      <c r="Y29" s="39">
        <v>1185</v>
      </c>
      <c r="Z29" s="40">
        <v>760</v>
      </c>
      <c r="AA29" s="41">
        <f t="shared" si="0"/>
        <v>24225</v>
      </c>
      <c r="AB29" s="23">
        <v>7</v>
      </c>
      <c r="AC29" s="96"/>
      <c r="AD29" s="49"/>
    </row>
    <row r="30" spans="1:30" ht="15.75" thickBot="1" x14ac:dyDescent="0.3">
      <c r="A30" s="93">
        <v>46631</v>
      </c>
      <c r="B30" s="18" t="s">
        <v>5</v>
      </c>
      <c r="C30" s="33">
        <v>1130</v>
      </c>
      <c r="D30" s="33">
        <v>976</v>
      </c>
      <c r="E30" s="33">
        <v>879</v>
      </c>
      <c r="F30" s="33">
        <v>821</v>
      </c>
      <c r="G30" s="33">
        <v>837</v>
      </c>
      <c r="H30" s="33">
        <v>802</v>
      </c>
      <c r="I30" s="33">
        <v>608</v>
      </c>
      <c r="J30" s="33">
        <v>1376</v>
      </c>
      <c r="K30" s="33">
        <v>1826</v>
      </c>
      <c r="L30" s="33">
        <v>2176</v>
      </c>
      <c r="M30" s="33">
        <v>2467</v>
      </c>
      <c r="N30" s="33">
        <v>2744</v>
      </c>
      <c r="O30" s="33">
        <v>2619</v>
      </c>
      <c r="P30" s="33">
        <v>2605</v>
      </c>
      <c r="Q30" s="33">
        <v>2818</v>
      </c>
      <c r="R30" s="33">
        <v>2819</v>
      </c>
      <c r="S30" s="33">
        <v>2783</v>
      </c>
      <c r="T30" s="33">
        <v>1970</v>
      </c>
      <c r="U30" s="33">
        <v>2272</v>
      </c>
      <c r="V30" s="33">
        <v>2286</v>
      </c>
      <c r="W30" s="33">
        <v>2215</v>
      </c>
      <c r="X30" s="33">
        <v>2033</v>
      </c>
      <c r="Y30" s="33">
        <v>1650</v>
      </c>
      <c r="Z30" s="34">
        <v>1226</v>
      </c>
      <c r="AA30" s="35">
        <f t="shared" si="0"/>
        <v>43938</v>
      </c>
      <c r="AB30" s="19">
        <v>22</v>
      </c>
      <c r="AC30" s="94">
        <f>+AA30*AB30+AA31*AB31+AA32*AB32</f>
        <v>1204912</v>
      </c>
      <c r="AD30" s="49"/>
    </row>
    <row r="31" spans="1:30" ht="15.75" thickBot="1" x14ac:dyDescent="0.3">
      <c r="A31" s="93"/>
      <c r="B31" s="20" t="s">
        <v>4</v>
      </c>
      <c r="C31" s="36">
        <v>931</v>
      </c>
      <c r="D31" s="36">
        <v>785</v>
      </c>
      <c r="E31" s="36">
        <v>702</v>
      </c>
      <c r="F31" s="36">
        <v>649</v>
      </c>
      <c r="G31" s="36">
        <v>651</v>
      </c>
      <c r="H31" s="36">
        <v>566</v>
      </c>
      <c r="I31" s="36">
        <v>293</v>
      </c>
      <c r="J31" s="36">
        <v>896</v>
      </c>
      <c r="K31" s="36">
        <v>1380</v>
      </c>
      <c r="L31" s="36">
        <v>1678</v>
      </c>
      <c r="M31" s="36">
        <v>1896</v>
      </c>
      <c r="N31" s="36">
        <v>2021</v>
      </c>
      <c r="O31" s="36">
        <v>2094</v>
      </c>
      <c r="P31" s="36">
        <v>1969</v>
      </c>
      <c r="Q31" s="36">
        <v>1911</v>
      </c>
      <c r="R31" s="36">
        <v>2015</v>
      </c>
      <c r="S31" s="36">
        <v>1971</v>
      </c>
      <c r="T31" s="36">
        <v>1216</v>
      </c>
      <c r="U31" s="36">
        <v>1809</v>
      </c>
      <c r="V31" s="36">
        <v>1887</v>
      </c>
      <c r="W31" s="36">
        <v>1724</v>
      </c>
      <c r="X31" s="36">
        <v>1570</v>
      </c>
      <c r="Y31" s="36">
        <v>1317</v>
      </c>
      <c r="Z31" s="37">
        <v>1050</v>
      </c>
      <c r="AA31" s="38">
        <f t="shared" si="0"/>
        <v>32981</v>
      </c>
      <c r="AB31" s="21">
        <v>4</v>
      </c>
      <c r="AC31" s="95"/>
      <c r="AD31" s="49"/>
    </row>
    <row r="32" spans="1:30" x14ac:dyDescent="0.25">
      <c r="A32" s="93"/>
      <c r="B32" s="22" t="s">
        <v>3</v>
      </c>
      <c r="C32" s="39">
        <v>829</v>
      </c>
      <c r="D32" s="39">
        <v>720</v>
      </c>
      <c r="E32" s="39">
        <v>544</v>
      </c>
      <c r="F32" s="39">
        <v>527</v>
      </c>
      <c r="G32" s="39">
        <v>562</v>
      </c>
      <c r="H32" s="39">
        <v>515</v>
      </c>
      <c r="I32" s="39">
        <v>188</v>
      </c>
      <c r="J32" s="39">
        <v>749</v>
      </c>
      <c r="K32" s="39">
        <v>1018</v>
      </c>
      <c r="L32" s="39">
        <v>1220</v>
      </c>
      <c r="M32" s="39">
        <v>1459</v>
      </c>
      <c r="N32" s="39">
        <v>1589</v>
      </c>
      <c r="O32" s="39">
        <v>1690</v>
      </c>
      <c r="P32" s="39">
        <v>1724</v>
      </c>
      <c r="Q32" s="39">
        <v>1709</v>
      </c>
      <c r="R32" s="39">
        <v>1631</v>
      </c>
      <c r="S32" s="39">
        <v>1625</v>
      </c>
      <c r="T32" s="39">
        <v>903</v>
      </c>
      <c r="U32" s="39">
        <v>1423</v>
      </c>
      <c r="V32" s="39">
        <v>1505</v>
      </c>
      <c r="W32" s="39">
        <v>1403</v>
      </c>
      <c r="X32" s="39">
        <v>1286</v>
      </c>
      <c r="Y32" s="39">
        <v>1003</v>
      </c>
      <c r="Z32" s="40">
        <v>766</v>
      </c>
      <c r="AA32" s="41">
        <f t="shared" si="0"/>
        <v>26588</v>
      </c>
      <c r="AB32" s="23">
        <v>4</v>
      </c>
      <c r="AC32" s="96"/>
      <c r="AD32" s="49"/>
    </row>
    <row r="33" spans="1:30" ht="15.75" thickBot="1" x14ac:dyDescent="0.3">
      <c r="A33" s="93">
        <v>46661</v>
      </c>
      <c r="B33" s="18" t="s">
        <v>5</v>
      </c>
      <c r="C33" s="33">
        <v>589</v>
      </c>
      <c r="D33" s="33">
        <v>455</v>
      </c>
      <c r="E33" s="33">
        <v>376</v>
      </c>
      <c r="F33" s="33">
        <v>336</v>
      </c>
      <c r="G33" s="33">
        <v>333</v>
      </c>
      <c r="H33" s="33">
        <v>258</v>
      </c>
      <c r="I33" s="33">
        <v>103</v>
      </c>
      <c r="J33" s="33">
        <v>856</v>
      </c>
      <c r="K33" s="33">
        <v>1240</v>
      </c>
      <c r="L33" s="33">
        <v>1513</v>
      </c>
      <c r="M33" s="33">
        <v>1786</v>
      </c>
      <c r="N33" s="33">
        <v>2004</v>
      </c>
      <c r="O33" s="33">
        <v>1888</v>
      </c>
      <c r="P33" s="33">
        <v>1878</v>
      </c>
      <c r="Q33" s="33">
        <v>2052</v>
      </c>
      <c r="R33" s="33">
        <v>2136</v>
      </c>
      <c r="S33" s="33">
        <v>2142</v>
      </c>
      <c r="T33" s="33">
        <v>1331</v>
      </c>
      <c r="U33" s="33">
        <v>1682</v>
      </c>
      <c r="V33" s="33">
        <v>1532</v>
      </c>
      <c r="W33" s="33">
        <v>1453</v>
      </c>
      <c r="X33" s="33">
        <v>1280</v>
      </c>
      <c r="Y33" s="33">
        <v>995</v>
      </c>
      <c r="Z33" s="34">
        <v>615</v>
      </c>
      <c r="AA33" s="35">
        <f t="shared" si="0"/>
        <v>28833</v>
      </c>
      <c r="AB33" s="19">
        <v>20</v>
      </c>
      <c r="AC33" s="94">
        <f>+AA33*AB33+AA34*AB34+AA35*AB35</f>
        <v>838498</v>
      </c>
      <c r="AD33" s="49"/>
    </row>
    <row r="34" spans="1:30" ht="15.75" thickBot="1" x14ac:dyDescent="0.3">
      <c r="A34" s="93"/>
      <c r="B34" s="20" t="s">
        <v>4</v>
      </c>
      <c r="C34" s="36">
        <v>969</v>
      </c>
      <c r="D34" s="36">
        <v>833</v>
      </c>
      <c r="E34" s="36">
        <v>695</v>
      </c>
      <c r="F34" s="36">
        <v>586</v>
      </c>
      <c r="G34" s="36">
        <v>654</v>
      </c>
      <c r="H34" s="36">
        <v>435</v>
      </c>
      <c r="I34" s="36">
        <v>250</v>
      </c>
      <c r="J34" s="36">
        <v>994</v>
      </c>
      <c r="K34" s="36">
        <v>1462</v>
      </c>
      <c r="L34" s="36">
        <v>1782</v>
      </c>
      <c r="M34" s="36">
        <v>1994</v>
      </c>
      <c r="N34" s="36">
        <v>2072</v>
      </c>
      <c r="O34" s="36">
        <v>2050</v>
      </c>
      <c r="P34" s="36">
        <v>1931</v>
      </c>
      <c r="Q34" s="36">
        <v>1996</v>
      </c>
      <c r="R34" s="36">
        <v>2016</v>
      </c>
      <c r="S34" s="36">
        <v>2000</v>
      </c>
      <c r="T34" s="36">
        <v>1403</v>
      </c>
      <c r="U34" s="36">
        <v>1915</v>
      </c>
      <c r="V34" s="36">
        <v>1848</v>
      </c>
      <c r="W34" s="36">
        <v>1670</v>
      </c>
      <c r="X34" s="36">
        <v>1493</v>
      </c>
      <c r="Y34" s="36">
        <v>1296</v>
      </c>
      <c r="Z34" s="37">
        <v>1054</v>
      </c>
      <c r="AA34" s="38">
        <f t="shared" si="0"/>
        <v>33398</v>
      </c>
      <c r="AB34" s="21">
        <v>5</v>
      </c>
      <c r="AC34" s="95"/>
      <c r="AD34" s="49"/>
    </row>
    <row r="35" spans="1:30" x14ac:dyDescent="0.25">
      <c r="A35" s="93"/>
      <c r="B35" s="22" t="s">
        <v>3</v>
      </c>
      <c r="C35" s="39">
        <v>689</v>
      </c>
      <c r="D35" s="39">
        <v>510</v>
      </c>
      <c r="E35" s="39">
        <v>428</v>
      </c>
      <c r="F35" s="39">
        <v>299</v>
      </c>
      <c r="G35" s="39">
        <v>259</v>
      </c>
      <c r="H35" s="39">
        <v>166</v>
      </c>
      <c r="I35" s="39">
        <v>0</v>
      </c>
      <c r="J35" s="39">
        <v>327</v>
      </c>
      <c r="K35" s="39">
        <v>433</v>
      </c>
      <c r="L35" s="39">
        <v>690</v>
      </c>
      <c r="M35" s="39">
        <v>881</v>
      </c>
      <c r="N35" s="39">
        <v>984</v>
      </c>
      <c r="O35" s="39">
        <v>1035</v>
      </c>
      <c r="P35" s="39">
        <v>1093</v>
      </c>
      <c r="Q35" s="39">
        <v>1019</v>
      </c>
      <c r="R35" s="39">
        <v>923</v>
      </c>
      <c r="S35" s="39">
        <v>953</v>
      </c>
      <c r="T35" s="39">
        <v>278</v>
      </c>
      <c r="U35" s="39">
        <v>867</v>
      </c>
      <c r="V35" s="39">
        <v>960</v>
      </c>
      <c r="W35" s="39">
        <v>948</v>
      </c>
      <c r="X35" s="39">
        <v>892</v>
      </c>
      <c r="Y35" s="39">
        <v>713</v>
      </c>
      <c r="Z35" s="40">
        <v>461</v>
      </c>
      <c r="AA35" s="41">
        <f t="shared" si="0"/>
        <v>15808</v>
      </c>
      <c r="AB35" s="23">
        <v>6</v>
      </c>
      <c r="AC35" s="96"/>
      <c r="AD35" s="49"/>
    </row>
    <row r="36" spans="1:30" ht="15.75" thickBot="1" x14ac:dyDescent="0.3">
      <c r="A36" s="93">
        <v>46692</v>
      </c>
      <c r="B36" s="18" t="s">
        <v>5</v>
      </c>
      <c r="C36" s="33">
        <v>385</v>
      </c>
      <c r="D36" s="33">
        <v>361</v>
      </c>
      <c r="E36" s="33">
        <v>289</v>
      </c>
      <c r="F36" s="33">
        <v>209</v>
      </c>
      <c r="G36" s="33">
        <v>219</v>
      </c>
      <c r="H36" s="33">
        <v>200</v>
      </c>
      <c r="I36" s="33">
        <v>0</v>
      </c>
      <c r="J36" s="33">
        <v>665</v>
      </c>
      <c r="K36" s="33">
        <v>976</v>
      </c>
      <c r="L36" s="33">
        <v>1191</v>
      </c>
      <c r="M36" s="33">
        <v>1364</v>
      </c>
      <c r="N36" s="33">
        <v>1541</v>
      </c>
      <c r="O36" s="33">
        <v>1504</v>
      </c>
      <c r="P36" s="33">
        <v>1460</v>
      </c>
      <c r="Q36" s="33">
        <v>1616</v>
      </c>
      <c r="R36" s="33">
        <v>1656</v>
      </c>
      <c r="S36" s="33">
        <v>1571</v>
      </c>
      <c r="T36" s="33">
        <v>917</v>
      </c>
      <c r="U36" s="33">
        <v>1374</v>
      </c>
      <c r="V36" s="33">
        <v>1234</v>
      </c>
      <c r="W36" s="33">
        <v>1151</v>
      </c>
      <c r="X36" s="33">
        <v>968</v>
      </c>
      <c r="Y36" s="33">
        <v>724</v>
      </c>
      <c r="Z36" s="34">
        <v>362</v>
      </c>
      <c r="AA36" s="35">
        <f t="shared" si="0"/>
        <v>21937</v>
      </c>
      <c r="AB36" s="19">
        <v>20</v>
      </c>
      <c r="AC36" s="94">
        <f>+AA36*AB36+AA37*AB37+AA38*AB38</f>
        <v>599804</v>
      </c>
      <c r="AD36" s="49"/>
    </row>
    <row r="37" spans="1:30" ht="15.75" thickBot="1" x14ac:dyDescent="0.3">
      <c r="A37" s="93"/>
      <c r="B37" s="20" t="s">
        <v>4</v>
      </c>
      <c r="C37" s="36">
        <v>171</v>
      </c>
      <c r="D37" s="36">
        <v>99</v>
      </c>
      <c r="E37" s="36">
        <v>0</v>
      </c>
      <c r="F37" s="36">
        <v>0</v>
      </c>
      <c r="G37" s="36">
        <v>24</v>
      </c>
      <c r="H37" s="36">
        <v>18</v>
      </c>
      <c r="I37" s="36">
        <v>0</v>
      </c>
      <c r="J37" s="36">
        <v>468</v>
      </c>
      <c r="K37" s="36">
        <v>725</v>
      </c>
      <c r="L37" s="36">
        <v>984</v>
      </c>
      <c r="M37" s="36">
        <v>1113</v>
      </c>
      <c r="N37" s="36">
        <v>1258</v>
      </c>
      <c r="O37" s="36">
        <v>1358</v>
      </c>
      <c r="P37" s="36">
        <v>1401</v>
      </c>
      <c r="Q37" s="36">
        <v>1347</v>
      </c>
      <c r="R37" s="36">
        <v>1402</v>
      </c>
      <c r="S37" s="36">
        <v>1364</v>
      </c>
      <c r="T37" s="36">
        <v>683</v>
      </c>
      <c r="U37" s="36">
        <v>1302</v>
      </c>
      <c r="V37" s="36">
        <v>1329</v>
      </c>
      <c r="W37" s="36">
        <v>1110</v>
      </c>
      <c r="X37" s="36">
        <v>930</v>
      </c>
      <c r="Y37" s="36">
        <v>793</v>
      </c>
      <c r="Z37" s="37">
        <v>571</v>
      </c>
      <c r="AA37" s="38">
        <f t="shared" si="0"/>
        <v>18450</v>
      </c>
      <c r="AB37" s="21">
        <v>4</v>
      </c>
      <c r="AC37" s="95"/>
      <c r="AD37" s="49"/>
    </row>
    <row r="38" spans="1:30" x14ac:dyDescent="0.25">
      <c r="A38" s="93"/>
      <c r="B38" s="22" t="s">
        <v>3</v>
      </c>
      <c r="C38" s="39">
        <v>438</v>
      </c>
      <c r="D38" s="39">
        <v>428</v>
      </c>
      <c r="E38" s="39">
        <v>252</v>
      </c>
      <c r="F38" s="39">
        <v>112</v>
      </c>
      <c r="G38" s="39">
        <v>124</v>
      </c>
      <c r="H38" s="39">
        <v>137</v>
      </c>
      <c r="I38" s="39">
        <v>0</v>
      </c>
      <c r="J38" s="39">
        <v>254</v>
      </c>
      <c r="K38" s="39">
        <v>436</v>
      </c>
      <c r="L38" s="39">
        <v>718</v>
      </c>
      <c r="M38" s="39">
        <v>916</v>
      </c>
      <c r="N38" s="39">
        <v>947</v>
      </c>
      <c r="O38" s="39">
        <v>1091</v>
      </c>
      <c r="P38" s="39">
        <v>1136</v>
      </c>
      <c r="Q38" s="39">
        <v>993</v>
      </c>
      <c r="R38" s="39">
        <v>935</v>
      </c>
      <c r="S38" s="39">
        <v>939</v>
      </c>
      <c r="T38" s="39">
        <v>211</v>
      </c>
      <c r="U38" s="39">
        <v>872</v>
      </c>
      <c r="V38" s="39">
        <v>798</v>
      </c>
      <c r="W38" s="39">
        <v>855</v>
      </c>
      <c r="X38" s="39">
        <v>789</v>
      </c>
      <c r="Y38" s="39">
        <v>674</v>
      </c>
      <c r="Z38" s="40">
        <v>489</v>
      </c>
      <c r="AA38" s="41">
        <f t="shared" si="0"/>
        <v>14544</v>
      </c>
      <c r="AB38" s="23">
        <v>6</v>
      </c>
      <c r="AC38" s="96"/>
      <c r="AD38" s="49"/>
    </row>
    <row r="39" spans="1:30" ht="15.75" thickBot="1" x14ac:dyDescent="0.3">
      <c r="A39" s="93">
        <v>46722</v>
      </c>
      <c r="B39" s="18" t="s">
        <v>5</v>
      </c>
      <c r="C39" s="33">
        <v>1056</v>
      </c>
      <c r="D39" s="33">
        <v>1045</v>
      </c>
      <c r="E39" s="33">
        <v>920</v>
      </c>
      <c r="F39" s="33">
        <v>891</v>
      </c>
      <c r="G39" s="33">
        <v>932</v>
      </c>
      <c r="H39" s="33">
        <v>1020</v>
      </c>
      <c r="I39" s="33">
        <v>768</v>
      </c>
      <c r="J39" s="33">
        <v>1465</v>
      </c>
      <c r="K39" s="33">
        <v>1914</v>
      </c>
      <c r="L39" s="33">
        <v>2226</v>
      </c>
      <c r="M39" s="33">
        <v>2518</v>
      </c>
      <c r="N39" s="33">
        <v>2754</v>
      </c>
      <c r="O39" s="33">
        <v>2680</v>
      </c>
      <c r="P39" s="33">
        <v>2666</v>
      </c>
      <c r="Q39" s="33">
        <v>2817</v>
      </c>
      <c r="R39" s="33">
        <v>2792</v>
      </c>
      <c r="S39" s="33">
        <v>2696</v>
      </c>
      <c r="T39" s="33">
        <v>1934</v>
      </c>
      <c r="U39" s="33">
        <v>2436</v>
      </c>
      <c r="V39" s="33">
        <v>2396</v>
      </c>
      <c r="W39" s="33">
        <v>2194</v>
      </c>
      <c r="X39" s="33">
        <v>1997</v>
      </c>
      <c r="Y39" s="33">
        <v>1628</v>
      </c>
      <c r="Z39" s="34">
        <v>1197</v>
      </c>
      <c r="AA39" s="35">
        <f t="shared" si="0"/>
        <v>44942</v>
      </c>
      <c r="AB39" s="19">
        <v>22</v>
      </c>
      <c r="AC39" s="94">
        <f>+AA39*AB39+AA40*AB40+AA41*AB41</f>
        <v>1271732</v>
      </c>
      <c r="AD39" s="49"/>
    </row>
    <row r="40" spans="1:30" ht="15.75" thickBot="1" x14ac:dyDescent="0.3">
      <c r="A40" s="93"/>
      <c r="B40" s="20" t="s">
        <v>4</v>
      </c>
      <c r="C40" s="36">
        <v>1270</v>
      </c>
      <c r="D40" s="36">
        <v>1048</v>
      </c>
      <c r="E40" s="36">
        <v>962</v>
      </c>
      <c r="F40" s="36">
        <v>920</v>
      </c>
      <c r="G40" s="36">
        <v>994</v>
      </c>
      <c r="H40" s="36">
        <v>1083</v>
      </c>
      <c r="I40" s="36">
        <v>823</v>
      </c>
      <c r="J40" s="36">
        <v>1601</v>
      </c>
      <c r="K40" s="36">
        <v>2065</v>
      </c>
      <c r="L40" s="36">
        <v>2462</v>
      </c>
      <c r="M40" s="36">
        <v>2782</v>
      </c>
      <c r="N40" s="36">
        <v>3008</v>
      </c>
      <c r="O40" s="36">
        <v>2802</v>
      </c>
      <c r="P40" s="36">
        <v>2700</v>
      </c>
      <c r="Q40" s="36">
        <v>2712</v>
      </c>
      <c r="R40" s="36">
        <v>2680</v>
      </c>
      <c r="S40" s="36">
        <v>2635</v>
      </c>
      <c r="T40" s="36">
        <v>1935</v>
      </c>
      <c r="U40" s="36">
        <v>2572</v>
      </c>
      <c r="V40" s="36">
        <v>2528</v>
      </c>
      <c r="W40" s="36">
        <v>2270</v>
      </c>
      <c r="X40" s="36">
        <v>1974</v>
      </c>
      <c r="Y40" s="36">
        <v>1638</v>
      </c>
      <c r="Z40" s="37">
        <v>1246</v>
      </c>
      <c r="AA40" s="38">
        <f t="shared" si="0"/>
        <v>46710</v>
      </c>
      <c r="AB40" s="21">
        <v>3</v>
      </c>
      <c r="AC40" s="95"/>
      <c r="AD40" s="49"/>
    </row>
    <row r="41" spans="1:30" x14ac:dyDescent="0.25">
      <c r="A41" s="93"/>
      <c r="B41" s="22" t="s">
        <v>3</v>
      </c>
      <c r="C41" s="39">
        <v>494</v>
      </c>
      <c r="D41" s="39">
        <v>391</v>
      </c>
      <c r="E41" s="39">
        <v>305</v>
      </c>
      <c r="F41" s="39">
        <v>282</v>
      </c>
      <c r="G41" s="39">
        <v>333</v>
      </c>
      <c r="H41" s="39">
        <v>441</v>
      </c>
      <c r="I41" s="39">
        <v>143</v>
      </c>
      <c r="J41" s="39">
        <v>671</v>
      </c>
      <c r="K41" s="39">
        <v>899</v>
      </c>
      <c r="L41" s="39">
        <v>1194</v>
      </c>
      <c r="M41" s="39">
        <v>1428</v>
      </c>
      <c r="N41" s="39">
        <v>1593</v>
      </c>
      <c r="O41" s="39">
        <v>1626</v>
      </c>
      <c r="P41" s="39">
        <v>1641</v>
      </c>
      <c r="Q41" s="39">
        <v>1468</v>
      </c>
      <c r="R41" s="39">
        <v>1402</v>
      </c>
      <c r="S41" s="39">
        <v>1406</v>
      </c>
      <c r="T41" s="39">
        <v>801</v>
      </c>
      <c r="U41" s="39">
        <v>1346</v>
      </c>
      <c r="V41" s="39">
        <v>1473</v>
      </c>
      <c r="W41" s="39">
        <v>1466</v>
      </c>
      <c r="X41" s="39">
        <v>1357</v>
      </c>
      <c r="Y41" s="39">
        <v>1016</v>
      </c>
      <c r="Z41" s="40">
        <v>637</v>
      </c>
      <c r="AA41" s="41">
        <f t="shared" si="0"/>
        <v>23813</v>
      </c>
      <c r="AB41" s="23">
        <v>6</v>
      </c>
      <c r="AC41" s="96"/>
      <c r="AD41" s="49"/>
    </row>
    <row r="42" spans="1:30" x14ac:dyDescent="0.25">
      <c r="A42" s="97" t="s">
        <v>2</v>
      </c>
      <c r="B42" s="98"/>
      <c r="C42" s="31">
        <f t="shared" ref="C42:AC42" si="1">+SUM(C6:C41)</f>
        <v>35138</v>
      </c>
      <c r="D42" s="31">
        <f t="shared" si="1"/>
        <v>31720</v>
      </c>
      <c r="E42" s="31">
        <f t="shared" si="1"/>
        <v>27583</v>
      </c>
      <c r="F42" s="31">
        <f t="shared" si="1"/>
        <v>25440</v>
      </c>
      <c r="G42" s="31">
        <f t="shared" si="1"/>
        <v>25650</v>
      </c>
      <c r="H42" s="31">
        <f t="shared" si="1"/>
        <v>25347</v>
      </c>
      <c r="I42" s="31">
        <f t="shared" si="1"/>
        <v>13164</v>
      </c>
      <c r="J42" s="31">
        <f t="shared" si="1"/>
        <v>33041</v>
      </c>
      <c r="K42" s="31">
        <f t="shared" si="1"/>
        <v>43609</v>
      </c>
      <c r="L42" s="31">
        <f t="shared" si="1"/>
        <v>53276</v>
      </c>
      <c r="M42" s="31">
        <f t="shared" si="1"/>
        <v>60926</v>
      </c>
      <c r="N42" s="31">
        <f t="shared" si="1"/>
        <v>67036</v>
      </c>
      <c r="O42" s="31">
        <f t="shared" si="1"/>
        <v>67724</v>
      </c>
      <c r="P42" s="31">
        <f t="shared" si="1"/>
        <v>67201</v>
      </c>
      <c r="Q42" s="31">
        <f t="shared" si="1"/>
        <v>69156</v>
      </c>
      <c r="R42" s="31">
        <f t="shared" si="1"/>
        <v>69369</v>
      </c>
      <c r="S42" s="31">
        <f t="shared" si="1"/>
        <v>68470</v>
      </c>
      <c r="T42" s="31">
        <f t="shared" si="1"/>
        <v>43138</v>
      </c>
      <c r="U42" s="31">
        <f t="shared" si="1"/>
        <v>60759</v>
      </c>
      <c r="V42" s="31">
        <f t="shared" si="1"/>
        <v>65752</v>
      </c>
      <c r="W42" s="31">
        <f t="shared" si="1"/>
        <v>62618</v>
      </c>
      <c r="X42" s="31">
        <f t="shared" si="1"/>
        <v>57864</v>
      </c>
      <c r="Y42" s="31">
        <f t="shared" si="1"/>
        <v>48287</v>
      </c>
      <c r="Z42" s="31">
        <f t="shared" si="1"/>
        <v>36737</v>
      </c>
      <c r="AA42" s="31">
        <f t="shared" si="1"/>
        <v>1159005</v>
      </c>
      <c r="AB42" s="31">
        <f t="shared" si="1"/>
        <v>365</v>
      </c>
      <c r="AC42" s="46">
        <f t="shared" si="1"/>
        <v>12789897</v>
      </c>
      <c r="AD42" s="49"/>
    </row>
    <row r="43" spans="1:30" x14ac:dyDescent="0.25">
      <c r="AB43" s="6"/>
      <c r="AC43" s="6"/>
    </row>
    <row r="44" spans="1:30" x14ac:dyDescent="0.25">
      <c r="AA44" s="48"/>
    </row>
    <row r="45" spans="1:30" x14ac:dyDescent="0.25"/>
    <row r="46" spans="1:30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106C-0485-4FC0-B06D-9F64D564DA9C}">
  <sheetPr codeName="Hoja8">
    <tabColor rgb="FFFFFF00"/>
  </sheetPr>
  <dimension ref="A1:AD46"/>
  <sheetViews>
    <sheetView showGridLines="0" zoomScale="115" zoomScaleNormal="115" zoomScaleSheetLayoutView="110" workbookViewId="0">
      <selection activeCell="C6" sqref="C6:Z41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51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46388</v>
      </c>
      <c r="B6" s="18" t="s">
        <v>5</v>
      </c>
      <c r="C6" s="33">
        <f>ROUND('Anexo 12'!C6*'Anexo 2'!$D$10,0)</f>
        <v>0</v>
      </c>
      <c r="D6" s="33">
        <f>ROUND('Anexo 12'!D6*'Anexo 2'!$D$10,0)</f>
        <v>0</v>
      </c>
      <c r="E6" s="33">
        <f>ROUND('Anexo 12'!E6*'Anexo 2'!$D$10,0)</f>
        <v>0</v>
      </c>
      <c r="F6" s="33">
        <f>ROUND('Anexo 12'!F6*'Anexo 2'!$D$10,0)</f>
        <v>0</v>
      </c>
      <c r="G6" s="33">
        <f>ROUND('Anexo 12'!G6*'Anexo 2'!$D$10,0)</f>
        <v>0</v>
      </c>
      <c r="H6" s="33">
        <f>ROUND('Anexo 12'!H6*'Anexo 2'!$D$10,0)</f>
        <v>0</v>
      </c>
      <c r="I6" s="33">
        <f>ROUND('Anexo 12'!I6*'Anexo 2'!$D$10,0)</f>
        <v>0</v>
      </c>
      <c r="J6" s="33">
        <f>ROUND('Anexo 12'!J6*'Anexo 2'!$D$10,0)</f>
        <v>0</v>
      </c>
      <c r="K6" s="33">
        <f>ROUND('Anexo 12'!K6*'Anexo 2'!$D$10,0)</f>
        <v>0</v>
      </c>
      <c r="L6" s="33">
        <f>ROUND('Anexo 12'!L6*'Anexo 2'!$D$10,0)</f>
        <v>0</v>
      </c>
      <c r="M6" s="33">
        <f>ROUND('Anexo 12'!M6*'Anexo 2'!$D$10,0)</f>
        <v>0</v>
      </c>
      <c r="N6" s="33">
        <f>ROUND('Anexo 12'!N6*'Anexo 2'!$D$10,0)</f>
        <v>0</v>
      </c>
      <c r="O6" s="33">
        <f>ROUND('Anexo 12'!O6*'Anexo 2'!$D$10,0)</f>
        <v>0</v>
      </c>
      <c r="P6" s="33">
        <f>ROUND('Anexo 12'!P6*'Anexo 2'!$D$10,0)</f>
        <v>0</v>
      </c>
      <c r="Q6" s="33">
        <f>ROUND('Anexo 12'!Q6*'Anexo 2'!$D$10,0)</f>
        <v>0</v>
      </c>
      <c r="R6" s="33">
        <f>ROUND('Anexo 12'!R6*'Anexo 2'!$D$10,0)</f>
        <v>0</v>
      </c>
      <c r="S6" s="33">
        <f>ROUND('Anexo 12'!S6*'Anexo 2'!$D$10,0)</f>
        <v>0</v>
      </c>
      <c r="T6" s="33">
        <f>ROUND('Anexo 12'!T6*'Anexo 2'!$D$10,0)</f>
        <v>0</v>
      </c>
      <c r="U6" s="33">
        <f>ROUND('Anexo 12'!U6*'Anexo 2'!$D$10,0)</f>
        <v>0</v>
      </c>
      <c r="V6" s="33">
        <f>ROUND('Anexo 12'!V6*'Anexo 2'!$D$10,0)</f>
        <v>0</v>
      </c>
      <c r="W6" s="33">
        <f>ROUND('Anexo 12'!W6*'Anexo 2'!$D$10,0)</f>
        <v>0</v>
      </c>
      <c r="X6" s="33">
        <f>ROUND('Anexo 12'!X6*'Anexo 2'!$D$10,0)</f>
        <v>0</v>
      </c>
      <c r="Y6" s="33">
        <f>ROUND('Anexo 12'!Y6*'Anexo 2'!$D$10,0)</f>
        <v>0</v>
      </c>
      <c r="Z6" s="33">
        <f>ROUND('Anexo 12'!Z6*'Anexo 2'!$D$10,0)</f>
        <v>0</v>
      </c>
      <c r="AA6" s="35">
        <f>SUM(C6:Z6)</f>
        <v>0</v>
      </c>
      <c r="AB6" s="19">
        <v>19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3">
        <f>ROUND('Anexo 12'!C7*'Anexo 2'!$D$10,0)</f>
        <v>0</v>
      </c>
      <c r="D7" s="33">
        <f>ROUND('Anexo 12'!D7*'Anexo 2'!$D$10,0)</f>
        <v>0</v>
      </c>
      <c r="E7" s="33">
        <f>ROUND('Anexo 12'!E7*'Anexo 2'!$D$10,0)</f>
        <v>0</v>
      </c>
      <c r="F7" s="33">
        <f>ROUND('Anexo 12'!F7*'Anexo 2'!$D$10,0)</f>
        <v>0</v>
      </c>
      <c r="G7" s="33">
        <f>ROUND('Anexo 12'!G7*'Anexo 2'!$D$10,0)</f>
        <v>0</v>
      </c>
      <c r="H7" s="33">
        <f>ROUND('Anexo 12'!H7*'Anexo 2'!$D$10,0)</f>
        <v>0</v>
      </c>
      <c r="I7" s="33">
        <f>ROUND('Anexo 12'!I7*'Anexo 2'!$D$10,0)</f>
        <v>0</v>
      </c>
      <c r="J7" s="33">
        <f>ROUND('Anexo 12'!J7*'Anexo 2'!$D$10,0)</f>
        <v>0</v>
      </c>
      <c r="K7" s="33">
        <f>ROUND('Anexo 12'!K7*'Anexo 2'!$D$10,0)</f>
        <v>0</v>
      </c>
      <c r="L7" s="33">
        <f>ROUND('Anexo 12'!L7*'Anexo 2'!$D$10,0)</f>
        <v>0</v>
      </c>
      <c r="M7" s="33">
        <f>ROUND('Anexo 12'!M7*'Anexo 2'!$D$10,0)</f>
        <v>0</v>
      </c>
      <c r="N7" s="33">
        <f>ROUND('Anexo 12'!N7*'Anexo 2'!$D$10,0)</f>
        <v>0</v>
      </c>
      <c r="O7" s="33">
        <f>ROUND('Anexo 12'!O7*'Anexo 2'!$D$10,0)</f>
        <v>0</v>
      </c>
      <c r="P7" s="33">
        <f>ROUND('Anexo 12'!P7*'Anexo 2'!$D$10,0)</f>
        <v>0</v>
      </c>
      <c r="Q7" s="33">
        <f>ROUND('Anexo 12'!Q7*'Anexo 2'!$D$10,0)</f>
        <v>0</v>
      </c>
      <c r="R7" s="33">
        <f>ROUND('Anexo 12'!R7*'Anexo 2'!$D$10,0)</f>
        <v>0</v>
      </c>
      <c r="S7" s="33">
        <f>ROUND('Anexo 12'!S7*'Anexo 2'!$D$10,0)</f>
        <v>0</v>
      </c>
      <c r="T7" s="33">
        <f>ROUND('Anexo 12'!T7*'Anexo 2'!$D$10,0)</f>
        <v>0</v>
      </c>
      <c r="U7" s="33">
        <f>ROUND('Anexo 12'!U7*'Anexo 2'!$D$10,0)</f>
        <v>0</v>
      </c>
      <c r="V7" s="33">
        <f>ROUND('Anexo 12'!V7*'Anexo 2'!$D$10,0)</f>
        <v>0</v>
      </c>
      <c r="W7" s="33">
        <f>ROUND('Anexo 12'!W7*'Anexo 2'!$D$10,0)</f>
        <v>0</v>
      </c>
      <c r="X7" s="33">
        <f>ROUND('Anexo 12'!X7*'Anexo 2'!$D$10,0)</f>
        <v>0</v>
      </c>
      <c r="Y7" s="33">
        <f>ROUND('Anexo 12'!Y7*'Anexo 2'!$D$10,0)</f>
        <v>0</v>
      </c>
      <c r="Z7" s="33">
        <f>ROUND('Anexo 12'!Z7*'Anexo 2'!$D$10,0)</f>
        <v>0</v>
      </c>
      <c r="AA7" s="38">
        <f t="shared" ref="AA7:AA41" si="0">SUM(C7:Z7)</f>
        <v>0</v>
      </c>
      <c r="AB7" s="21">
        <v>5</v>
      </c>
      <c r="AC7" s="95"/>
      <c r="AD7" s="47"/>
    </row>
    <row r="8" spans="1:30" ht="15.75" thickBot="1" x14ac:dyDescent="0.3">
      <c r="A8" s="93"/>
      <c r="B8" s="22" t="s">
        <v>3</v>
      </c>
      <c r="C8" s="33">
        <f>ROUND('Anexo 12'!C8*'Anexo 2'!$D$10,0)</f>
        <v>0</v>
      </c>
      <c r="D8" s="33">
        <f>ROUND('Anexo 12'!D8*'Anexo 2'!$D$10,0)</f>
        <v>0</v>
      </c>
      <c r="E8" s="33">
        <f>ROUND('Anexo 12'!E8*'Anexo 2'!$D$10,0)</f>
        <v>0</v>
      </c>
      <c r="F8" s="33">
        <f>ROUND('Anexo 12'!F8*'Anexo 2'!$D$10,0)</f>
        <v>0</v>
      </c>
      <c r="G8" s="33">
        <f>ROUND('Anexo 12'!G8*'Anexo 2'!$D$10,0)</f>
        <v>0</v>
      </c>
      <c r="H8" s="33">
        <f>ROUND('Anexo 12'!H8*'Anexo 2'!$D$10,0)</f>
        <v>0</v>
      </c>
      <c r="I8" s="33">
        <f>ROUND('Anexo 12'!I8*'Anexo 2'!$D$10,0)</f>
        <v>0</v>
      </c>
      <c r="J8" s="33">
        <f>ROUND('Anexo 12'!J8*'Anexo 2'!$D$10,0)</f>
        <v>0</v>
      </c>
      <c r="K8" s="33">
        <f>ROUND('Anexo 12'!K8*'Anexo 2'!$D$10,0)</f>
        <v>0</v>
      </c>
      <c r="L8" s="33">
        <f>ROUND('Anexo 12'!L8*'Anexo 2'!$D$10,0)</f>
        <v>0</v>
      </c>
      <c r="M8" s="33">
        <f>ROUND('Anexo 12'!M8*'Anexo 2'!$D$10,0)</f>
        <v>0</v>
      </c>
      <c r="N8" s="33">
        <f>ROUND('Anexo 12'!N8*'Anexo 2'!$D$10,0)</f>
        <v>0</v>
      </c>
      <c r="O8" s="33">
        <f>ROUND('Anexo 12'!O8*'Anexo 2'!$D$10,0)</f>
        <v>0</v>
      </c>
      <c r="P8" s="33">
        <f>ROUND('Anexo 12'!P8*'Anexo 2'!$D$10,0)</f>
        <v>0</v>
      </c>
      <c r="Q8" s="33">
        <f>ROUND('Anexo 12'!Q8*'Anexo 2'!$D$10,0)</f>
        <v>0</v>
      </c>
      <c r="R8" s="33">
        <f>ROUND('Anexo 12'!R8*'Anexo 2'!$D$10,0)</f>
        <v>0</v>
      </c>
      <c r="S8" s="33">
        <f>ROUND('Anexo 12'!S8*'Anexo 2'!$D$10,0)</f>
        <v>0</v>
      </c>
      <c r="T8" s="33">
        <f>ROUND('Anexo 12'!T8*'Anexo 2'!$D$10,0)</f>
        <v>0</v>
      </c>
      <c r="U8" s="33">
        <f>ROUND('Anexo 12'!U8*'Anexo 2'!$D$10,0)</f>
        <v>0</v>
      </c>
      <c r="V8" s="33">
        <f>ROUND('Anexo 12'!V8*'Anexo 2'!$D$10,0)</f>
        <v>0</v>
      </c>
      <c r="W8" s="33">
        <f>ROUND('Anexo 12'!W8*'Anexo 2'!$D$10,0)</f>
        <v>0</v>
      </c>
      <c r="X8" s="33">
        <f>ROUND('Anexo 12'!X8*'Anexo 2'!$D$10,0)</f>
        <v>0</v>
      </c>
      <c r="Y8" s="33">
        <f>ROUND('Anexo 12'!Y8*'Anexo 2'!$D$10,0)</f>
        <v>0</v>
      </c>
      <c r="Z8" s="33">
        <f>ROUND('Anexo 12'!Z8*'Anexo 2'!$D$10,0)</f>
        <v>0</v>
      </c>
      <c r="AA8" s="41">
        <f t="shared" si="0"/>
        <v>0</v>
      </c>
      <c r="AB8" s="23">
        <v>7</v>
      </c>
      <c r="AC8" s="96"/>
      <c r="AD8" s="48"/>
    </row>
    <row r="9" spans="1:30" ht="15.75" thickBot="1" x14ac:dyDescent="0.3">
      <c r="A9" s="93">
        <v>46419</v>
      </c>
      <c r="B9" s="18" t="s">
        <v>5</v>
      </c>
      <c r="C9" s="33">
        <f>ROUND('Anexo 12'!C9*'Anexo 2'!$D$10,0)</f>
        <v>0</v>
      </c>
      <c r="D9" s="33">
        <f>ROUND('Anexo 12'!D9*'Anexo 2'!$D$10,0)</f>
        <v>0</v>
      </c>
      <c r="E9" s="33">
        <f>ROUND('Anexo 12'!E9*'Anexo 2'!$D$10,0)</f>
        <v>0</v>
      </c>
      <c r="F9" s="33">
        <f>ROUND('Anexo 12'!F9*'Anexo 2'!$D$10,0)</f>
        <v>0</v>
      </c>
      <c r="G9" s="33">
        <f>ROUND('Anexo 12'!G9*'Anexo 2'!$D$10,0)</f>
        <v>0</v>
      </c>
      <c r="H9" s="33">
        <f>ROUND('Anexo 12'!H9*'Anexo 2'!$D$10,0)</f>
        <v>0</v>
      </c>
      <c r="I9" s="33">
        <f>ROUND('Anexo 12'!I9*'Anexo 2'!$D$10,0)</f>
        <v>0</v>
      </c>
      <c r="J9" s="33">
        <f>ROUND('Anexo 12'!J9*'Anexo 2'!$D$10,0)</f>
        <v>0</v>
      </c>
      <c r="K9" s="33">
        <f>ROUND('Anexo 12'!K9*'Anexo 2'!$D$10,0)</f>
        <v>0</v>
      </c>
      <c r="L9" s="33">
        <f>ROUND('Anexo 12'!L9*'Anexo 2'!$D$10,0)</f>
        <v>0</v>
      </c>
      <c r="M9" s="33">
        <f>ROUND('Anexo 12'!M9*'Anexo 2'!$D$10,0)</f>
        <v>0</v>
      </c>
      <c r="N9" s="33">
        <f>ROUND('Anexo 12'!N9*'Anexo 2'!$D$10,0)</f>
        <v>0</v>
      </c>
      <c r="O9" s="33">
        <f>ROUND('Anexo 12'!O9*'Anexo 2'!$D$10,0)</f>
        <v>0</v>
      </c>
      <c r="P9" s="33">
        <f>ROUND('Anexo 12'!P9*'Anexo 2'!$D$10,0)</f>
        <v>0</v>
      </c>
      <c r="Q9" s="33">
        <f>ROUND('Anexo 12'!Q9*'Anexo 2'!$D$10,0)</f>
        <v>0</v>
      </c>
      <c r="R9" s="33">
        <f>ROUND('Anexo 12'!R9*'Anexo 2'!$D$10,0)</f>
        <v>0</v>
      </c>
      <c r="S9" s="33">
        <f>ROUND('Anexo 12'!S9*'Anexo 2'!$D$10,0)</f>
        <v>0</v>
      </c>
      <c r="T9" s="33">
        <f>ROUND('Anexo 12'!T9*'Anexo 2'!$D$10,0)</f>
        <v>0</v>
      </c>
      <c r="U9" s="33">
        <f>ROUND('Anexo 12'!U9*'Anexo 2'!$D$10,0)</f>
        <v>0</v>
      </c>
      <c r="V9" s="33">
        <f>ROUND('Anexo 12'!V9*'Anexo 2'!$D$10,0)</f>
        <v>0</v>
      </c>
      <c r="W9" s="33">
        <f>ROUND('Anexo 12'!W9*'Anexo 2'!$D$10,0)</f>
        <v>0</v>
      </c>
      <c r="X9" s="33">
        <f>ROUND('Anexo 12'!X9*'Anexo 2'!$D$10,0)</f>
        <v>0</v>
      </c>
      <c r="Y9" s="33">
        <f>ROUND('Anexo 12'!Y9*'Anexo 2'!$D$10,0)</f>
        <v>0</v>
      </c>
      <c r="Z9" s="33">
        <f>ROUND('Anexo 12'!Z9*'Anexo 2'!$D$10,0)</f>
        <v>0</v>
      </c>
      <c r="AA9" s="35">
        <f t="shared" si="0"/>
        <v>0</v>
      </c>
      <c r="AB9" s="19">
        <v>20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ROUND('Anexo 12'!C10*'Anexo 2'!$D$10,0)</f>
        <v>0</v>
      </c>
      <c r="D10" s="33">
        <f>ROUND('Anexo 12'!D10*'Anexo 2'!$D$10,0)</f>
        <v>0</v>
      </c>
      <c r="E10" s="33">
        <f>ROUND('Anexo 12'!E10*'Anexo 2'!$D$10,0)</f>
        <v>0</v>
      </c>
      <c r="F10" s="33">
        <f>ROUND('Anexo 12'!F10*'Anexo 2'!$D$10,0)</f>
        <v>0</v>
      </c>
      <c r="G10" s="33">
        <f>ROUND('Anexo 12'!G10*'Anexo 2'!$D$10,0)</f>
        <v>0</v>
      </c>
      <c r="H10" s="33">
        <f>ROUND('Anexo 12'!H10*'Anexo 2'!$D$10,0)</f>
        <v>0</v>
      </c>
      <c r="I10" s="33">
        <f>ROUND('Anexo 12'!I10*'Anexo 2'!$D$10,0)</f>
        <v>0</v>
      </c>
      <c r="J10" s="33">
        <f>ROUND('Anexo 12'!J10*'Anexo 2'!$D$10,0)</f>
        <v>0</v>
      </c>
      <c r="K10" s="33">
        <f>ROUND('Anexo 12'!K10*'Anexo 2'!$D$10,0)</f>
        <v>0</v>
      </c>
      <c r="L10" s="33">
        <f>ROUND('Anexo 12'!L10*'Anexo 2'!$D$10,0)</f>
        <v>0</v>
      </c>
      <c r="M10" s="33">
        <f>ROUND('Anexo 12'!M10*'Anexo 2'!$D$10,0)</f>
        <v>0</v>
      </c>
      <c r="N10" s="33">
        <f>ROUND('Anexo 12'!N10*'Anexo 2'!$D$10,0)</f>
        <v>0</v>
      </c>
      <c r="O10" s="33">
        <f>ROUND('Anexo 12'!O10*'Anexo 2'!$D$10,0)</f>
        <v>0</v>
      </c>
      <c r="P10" s="33">
        <f>ROUND('Anexo 12'!P10*'Anexo 2'!$D$10,0)</f>
        <v>0</v>
      </c>
      <c r="Q10" s="33">
        <f>ROUND('Anexo 12'!Q10*'Anexo 2'!$D$10,0)</f>
        <v>0</v>
      </c>
      <c r="R10" s="33">
        <f>ROUND('Anexo 12'!R10*'Anexo 2'!$D$10,0)</f>
        <v>0</v>
      </c>
      <c r="S10" s="33">
        <f>ROUND('Anexo 12'!S10*'Anexo 2'!$D$10,0)</f>
        <v>0</v>
      </c>
      <c r="T10" s="33">
        <f>ROUND('Anexo 12'!T10*'Anexo 2'!$D$10,0)</f>
        <v>0</v>
      </c>
      <c r="U10" s="33">
        <f>ROUND('Anexo 12'!U10*'Anexo 2'!$D$10,0)</f>
        <v>0</v>
      </c>
      <c r="V10" s="33">
        <f>ROUND('Anexo 12'!V10*'Anexo 2'!$D$10,0)</f>
        <v>0</v>
      </c>
      <c r="W10" s="33">
        <f>ROUND('Anexo 12'!W10*'Anexo 2'!$D$10,0)</f>
        <v>0</v>
      </c>
      <c r="X10" s="33">
        <f>ROUND('Anexo 12'!X10*'Anexo 2'!$D$10,0)</f>
        <v>0</v>
      </c>
      <c r="Y10" s="33">
        <f>ROUND('Anexo 12'!Y10*'Anexo 2'!$D$10,0)</f>
        <v>0</v>
      </c>
      <c r="Z10" s="33">
        <f>ROUND('Anexo 12'!Z10*'Anexo 2'!$D$10,0)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ROUND('Anexo 12'!C11*'Anexo 2'!$D$10,0)</f>
        <v>0</v>
      </c>
      <c r="D11" s="33">
        <f>ROUND('Anexo 12'!D11*'Anexo 2'!$D$10,0)</f>
        <v>0</v>
      </c>
      <c r="E11" s="33">
        <f>ROUND('Anexo 12'!E11*'Anexo 2'!$D$10,0)</f>
        <v>0</v>
      </c>
      <c r="F11" s="33">
        <f>ROUND('Anexo 12'!F11*'Anexo 2'!$D$10,0)</f>
        <v>0</v>
      </c>
      <c r="G11" s="33">
        <f>ROUND('Anexo 12'!G11*'Anexo 2'!$D$10,0)</f>
        <v>0</v>
      </c>
      <c r="H11" s="33">
        <f>ROUND('Anexo 12'!H11*'Anexo 2'!$D$10,0)</f>
        <v>0</v>
      </c>
      <c r="I11" s="33">
        <f>ROUND('Anexo 12'!I11*'Anexo 2'!$D$10,0)</f>
        <v>0</v>
      </c>
      <c r="J11" s="33">
        <f>ROUND('Anexo 12'!J11*'Anexo 2'!$D$10,0)</f>
        <v>0</v>
      </c>
      <c r="K11" s="33">
        <f>ROUND('Anexo 12'!K11*'Anexo 2'!$D$10,0)</f>
        <v>0</v>
      </c>
      <c r="L11" s="33">
        <f>ROUND('Anexo 12'!L11*'Anexo 2'!$D$10,0)</f>
        <v>0</v>
      </c>
      <c r="M11" s="33">
        <f>ROUND('Anexo 12'!M11*'Anexo 2'!$D$10,0)</f>
        <v>0</v>
      </c>
      <c r="N11" s="33">
        <f>ROUND('Anexo 12'!N11*'Anexo 2'!$D$10,0)</f>
        <v>0</v>
      </c>
      <c r="O11" s="33">
        <f>ROUND('Anexo 12'!O11*'Anexo 2'!$D$10,0)</f>
        <v>0</v>
      </c>
      <c r="P11" s="33">
        <f>ROUND('Anexo 12'!P11*'Anexo 2'!$D$10,0)</f>
        <v>0</v>
      </c>
      <c r="Q11" s="33">
        <f>ROUND('Anexo 12'!Q11*'Anexo 2'!$D$10,0)</f>
        <v>0</v>
      </c>
      <c r="R11" s="33">
        <f>ROUND('Anexo 12'!R11*'Anexo 2'!$D$10,0)</f>
        <v>0</v>
      </c>
      <c r="S11" s="33">
        <f>ROUND('Anexo 12'!S11*'Anexo 2'!$D$10,0)</f>
        <v>0</v>
      </c>
      <c r="T11" s="33">
        <f>ROUND('Anexo 12'!T11*'Anexo 2'!$D$10,0)</f>
        <v>0</v>
      </c>
      <c r="U11" s="33">
        <f>ROUND('Anexo 12'!U11*'Anexo 2'!$D$10,0)</f>
        <v>0</v>
      </c>
      <c r="V11" s="33">
        <f>ROUND('Anexo 12'!V11*'Anexo 2'!$D$10,0)</f>
        <v>0</v>
      </c>
      <c r="W11" s="33">
        <f>ROUND('Anexo 12'!W11*'Anexo 2'!$D$10,0)</f>
        <v>0</v>
      </c>
      <c r="X11" s="33">
        <f>ROUND('Anexo 12'!X11*'Anexo 2'!$D$10,0)</f>
        <v>0</v>
      </c>
      <c r="Y11" s="33">
        <f>ROUND('Anexo 12'!Y11*'Anexo 2'!$D$10,0)</f>
        <v>0</v>
      </c>
      <c r="Z11" s="33">
        <f>ROUND('Anexo 12'!Z11*'Anexo 2'!$D$10,0)</f>
        <v>0</v>
      </c>
      <c r="AA11" s="41">
        <f t="shared" si="0"/>
        <v>0</v>
      </c>
      <c r="AB11" s="23">
        <v>4</v>
      </c>
      <c r="AC11" s="96"/>
      <c r="AD11" s="48"/>
    </row>
    <row r="12" spans="1:30" ht="15.75" thickBot="1" x14ac:dyDescent="0.3">
      <c r="A12" s="93">
        <v>46447</v>
      </c>
      <c r="B12" s="18" t="s">
        <v>5</v>
      </c>
      <c r="C12" s="33">
        <f>ROUND('Anexo 12'!C12*'Anexo 2'!$D$10,0)</f>
        <v>0</v>
      </c>
      <c r="D12" s="33">
        <f>ROUND('Anexo 12'!D12*'Anexo 2'!$D$10,0)</f>
        <v>0</v>
      </c>
      <c r="E12" s="33">
        <f>ROUND('Anexo 12'!E12*'Anexo 2'!$D$10,0)</f>
        <v>0</v>
      </c>
      <c r="F12" s="33">
        <f>ROUND('Anexo 12'!F12*'Anexo 2'!$D$10,0)</f>
        <v>0</v>
      </c>
      <c r="G12" s="33">
        <f>ROUND('Anexo 12'!G12*'Anexo 2'!$D$10,0)</f>
        <v>0</v>
      </c>
      <c r="H12" s="33">
        <f>ROUND('Anexo 12'!H12*'Anexo 2'!$D$10,0)</f>
        <v>0</v>
      </c>
      <c r="I12" s="33">
        <f>ROUND('Anexo 12'!I12*'Anexo 2'!$D$10,0)</f>
        <v>0</v>
      </c>
      <c r="J12" s="33">
        <f>ROUND('Anexo 12'!J12*'Anexo 2'!$D$10,0)</f>
        <v>0</v>
      </c>
      <c r="K12" s="33">
        <f>ROUND('Anexo 12'!K12*'Anexo 2'!$D$10,0)</f>
        <v>0</v>
      </c>
      <c r="L12" s="33">
        <f>ROUND('Anexo 12'!L12*'Anexo 2'!$D$10,0)</f>
        <v>0</v>
      </c>
      <c r="M12" s="33">
        <f>ROUND('Anexo 12'!M12*'Anexo 2'!$D$10,0)</f>
        <v>0</v>
      </c>
      <c r="N12" s="33">
        <f>ROUND('Anexo 12'!N12*'Anexo 2'!$D$10,0)</f>
        <v>0</v>
      </c>
      <c r="O12" s="33">
        <f>ROUND('Anexo 12'!O12*'Anexo 2'!$D$10,0)</f>
        <v>0</v>
      </c>
      <c r="P12" s="33">
        <f>ROUND('Anexo 12'!P12*'Anexo 2'!$D$10,0)</f>
        <v>0</v>
      </c>
      <c r="Q12" s="33">
        <f>ROUND('Anexo 12'!Q12*'Anexo 2'!$D$10,0)</f>
        <v>0</v>
      </c>
      <c r="R12" s="33">
        <f>ROUND('Anexo 12'!R12*'Anexo 2'!$D$10,0)</f>
        <v>0</v>
      </c>
      <c r="S12" s="33">
        <f>ROUND('Anexo 12'!S12*'Anexo 2'!$D$10,0)</f>
        <v>0</v>
      </c>
      <c r="T12" s="33">
        <f>ROUND('Anexo 12'!T12*'Anexo 2'!$D$10,0)</f>
        <v>0</v>
      </c>
      <c r="U12" s="33">
        <f>ROUND('Anexo 12'!U12*'Anexo 2'!$D$10,0)</f>
        <v>0</v>
      </c>
      <c r="V12" s="33">
        <f>ROUND('Anexo 12'!V12*'Anexo 2'!$D$10,0)</f>
        <v>0</v>
      </c>
      <c r="W12" s="33">
        <f>ROUND('Anexo 12'!W12*'Anexo 2'!$D$10,0)</f>
        <v>0</v>
      </c>
      <c r="X12" s="33">
        <f>ROUND('Anexo 12'!X12*'Anexo 2'!$D$10,0)</f>
        <v>0</v>
      </c>
      <c r="Y12" s="33">
        <f>ROUND('Anexo 12'!Y12*'Anexo 2'!$D$10,0)</f>
        <v>0</v>
      </c>
      <c r="Z12" s="33">
        <f>ROUND('Anexo 12'!Z12*'Anexo 2'!$D$10,0)</f>
        <v>0</v>
      </c>
      <c r="AA12" s="35">
        <f t="shared" si="0"/>
        <v>0</v>
      </c>
      <c r="AB12" s="19">
        <v>20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ROUND('Anexo 12'!C13*'Anexo 2'!$D$10,0)</f>
        <v>0</v>
      </c>
      <c r="D13" s="33">
        <f>ROUND('Anexo 12'!D13*'Anexo 2'!$D$10,0)</f>
        <v>0</v>
      </c>
      <c r="E13" s="33">
        <f>ROUND('Anexo 12'!E13*'Anexo 2'!$D$10,0)</f>
        <v>0</v>
      </c>
      <c r="F13" s="33">
        <f>ROUND('Anexo 12'!F13*'Anexo 2'!$D$10,0)</f>
        <v>0</v>
      </c>
      <c r="G13" s="33">
        <f>ROUND('Anexo 12'!G13*'Anexo 2'!$D$10,0)</f>
        <v>0</v>
      </c>
      <c r="H13" s="33">
        <f>ROUND('Anexo 12'!H13*'Anexo 2'!$D$10,0)</f>
        <v>0</v>
      </c>
      <c r="I13" s="33">
        <f>ROUND('Anexo 12'!I13*'Anexo 2'!$D$10,0)</f>
        <v>0</v>
      </c>
      <c r="J13" s="33">
        <f>ROUND('Anexo 12'!J13*'Anexo 2'!$D$10,0)</f>
        <v>0</v>
      </c>
      <c r="K13" s="33">
        <f>ROUND('Anexo 12'!K13*'Anexo 2'!$D$10,0)</f>
        <v>0</v>
      </c>
      <c r="L13" s="33">
        <f>ROUND('Anexo 12'!L13*'Anexo 2'!$D$10,0)</f>
        <v>0</v>
      </c>
      <c r="M13" s="33">
        <f>ROUND('Anexo 12'!M13*'Anexo 2'!$D$10,0)</f>
        <v>0</v>
      </c>
      <c r="N13" s="33">
        <f>ROUND('Anexo 12'!N13*'Anexo 2'!$D$10,0)</f>
        <v>0</v>
      </c>
      <c r="O13" s="33">
        <f>ROUND('Anexo 12'!O13*'Anexo 2'!$D$10,0)</f>
        <v>0</v>
      </c>
      <c r="P13" s="33">
        <f>ROUND('Anexo 12'!P13*'Anexo 2'!$D$10,0)</f>
        <v>0</v>
      </c>
      <c r="Q13" s="33">
        <f>ROUND('Anexo 12'!Q13*'Anexo 2'!$D$10,0)</f>
        <v>0</v>
      </c>
      <c r="R13" s="33">
        <f>ROUND('Anexo 12'!R13*'Anexo 2'!$D$10,0)</f>
        <v>0</v>
      </c>
      <c r="S13" s="33">
        <f>ROUND('Anexo 12'!S13*'Anexo 2'!$D$10,0)</f>
        <v>0</v>
      </c>
      <c r="T13" s="33">
        <f>ROUND('Anexo 12'!T13*'Anexo 2'!$D$10,0)</f>
        <v>0</v>
      </c>
      <c r="U13" s="33">
        <f>ROUND('Anexo 12'!U13*'Anexo 2'!$D$10,0)</f>
        <v>0</v>
      </c>
      <c r="V13" s="33">
        <f>ROUND('Anexo 12'!V13*'Anexo 2'!$D$10,0)</f>
        <v>0</v>
      </c>
      <c r="W13" s="33">
        <f>ROUND('Anexo 12'!W13*'Anexo 2'!$D$10,0)</f>
        <v>0</v>
      </c>
      <c r="X13" s="33">
        <f>ROUND('Anexo 12'!X13*'Anexo 2'!$D$10,0)</f>
        <v>0</v>
      </c>
      <c r="Y13" s="33">
        <f>ROUND('Anexo 12'!Y13*'Anexo 2'!$D$10,0)</f>
        <v>0</v>
      </c>
      <c r="Z13" s="33">
        <f>ROUND('Anexo 12'!Z13*'Anexo 2'!$D$10,0)</f>
        <v>0</v>
      </c>
      <c r="AA13" s="38">
        <f t="shared" si="0"/>
        <v>0</v>
      </c>
      <c r="AB13" s="21">
        <v>4</v>
      </c>
      <c r="AC13" s="95"/>
      <c r="AD13" s="47"/>
    </row>
    <row r="14" spans="1:30" ht="15.75" thickBot="1" x14ac:dyDescent="0.3">
      <c r="A14" s="93"/>
      <c r="B14" s="22" t="s">
        <v>3</v>
      </c>
      <c r="C14" s="33">
        <f>ROUND('Anexo 12'!C14*'Anexo 2'!$D$10,0)</f>
        <v>0</v>
      </c>
      <c r="D14" s="33">
        <f>ROUND('Anexo 12'!D14*'Anexo 2'!$D$10,0)</f>
        <v>0</v>
      </c>
      <c r="E14" s="33">
        <f>ROUND('Anexo 12'!E14*'Anexo 2'!$D$10,0)</f>
        <v>0</v>
      </c>
      <c r="F14" s="33">
        <f>ROUND('Anexo 12'!F14*'Anexo 2'!$D$10,0)</f>
        <v>0</v>
      </c>
      <c r="G14" s="33">
        <f>ROUND('Anexo 12'!G14*'Anexo 2'!$D$10,0)</f>
        <v>0</v>
      </c>
      <c r="H14" s="33">
        <f>ROUND('Anexo 12'!H14*'Anexo 2'!$D$10,0)</f>
        <v>0</v>
      </c>
      <c r="I14" s="33">
        <f>ROUND('Anexo 12'!I14*'Anexo 2'!$D$10,0)</f>
        <v>0</v>
      </c>
      <c r="J14" s="33">
        <f>ROUND('Anexo 12'!J14*'Anexo 2'!$D$10,0)</f>
        <v>0</v>
      </c>
      <c r="K14" s="33">
        <f>ROUND('Anexo 12'!K14*'Anexo 2'!$D$10,0)</f>
        <v>0</v>
      </c>
      <c r="L14" s="33">
        <f>ROUND('Anexo 12'!L14*'Anexo 2'!$D$10,0)</f>
        <v>0</v>
      </c>
      <c r="M14" s="33">
        <f>ROUND('Anexo 12'!M14*'Anexo 2'!$D$10,0)</f>
        <v>0</v>
      </c>
      <c r="N14" s="33">
        <f>ROUND('Anexo 12'!N14*'Anexo 2'!$D$10,0)</f>
        <v>0</v>
      </c>
      <c r="O14" s="33">
        <f>ROUND('Anexo 12'!O14*'Anexo 2'!$D$10,0)</f>
        <v>0</v>
      </c>
      <c r="P14" s="33">
        <f>ROUND('Anexo 12'!P14*'Anexo 2'!$D$10,0)</f>
        <v>0</v>
      </c>
      <c r="Q14" s="33">
        <f>ROUND('Anexo 12'!Q14*'Anexo 2'!$D$10,0)</f>
        <v>0</v>
      </c>
      <c r="R14" s="33">
        <f>ROUND('Anexo 12'!R14*'Anexo 2'!$D$10,0)</f>
        <v>0</v>
      </c>
      <c r="S14" s="33">
        <f>ROUND('Anexo 12'!S14*'Anexo 2'!$D$10,0)</f>
        <v>0</v>
      </c>
      <c r="T14" s="33">
        <f>ROUND('Anexo 12'!T14*'Anexo 2'!$D$10,0)</f>
        <v>0</v>
      </c>
      <c r="U14" s="33">
        <f>ROUND('Anexo 12'!U14*'Anexo 2'!$D$10,0)</f>
        <v>0</v>
      </c>
      <c r="V14" s="33">
        <f>ROUND('Anexo 12'!V14*'Anexo 2'!$D$10,0)</f>
        <v>0</v>
      </c>
      <c r="W14" s="33">
        <f>ROUND('Anexo 12'!W14*'Anexo 2'!$D$10,0)</f>
        <v>0</v>
      </c>
      <c r="X14" s="33">
        <f>ROUND('Anexo 12'!X14*'Anexo 2'!$D$10,0)</f>
        <v>0</v>
      </c>
      <c r="Y14" s="33">
        <f>ROUND('Anexo 12'!Y14*'Anexo 2'!$D$10,0)</f>
        <v>0</v>
      </c>
      <c r="Z14" s="33">
        <f>ROUND('Anexo 12'!Z14*'Anexo 2'!$D$10,0)</f>
        <v>0</v>
      </c>
      <c r="AA14" s="41">
        <f t="shared" si="0"/>
        <v>0</v>
      </c>
      <c r="AB14" s="23">
        <v>7</v>
      </c>
      <c r="AC14" s="96"/>
      <c r="AD14" s="45"/>
    </row>
    <row r="15" spans="1:30" ht="15.75" thickBot="1" x14ac:dyDescent="0.3">
      <c r="A15" s="93">
        <v>46478</v>
      </c>
      <c r="B15" s="18" t="s">
        <v>5</v>
      </c>
      <c r="C15" s="33">
        <f>ROUND('Anexo 12'!C15*'Anexo 2'!$D$10,0)</f>
        <v>0</v>
      </c>
      <c r="D15" s="33">
        <f>ROUND('Anexo 12'!D15*'Anexo 2'!$D$10,0)</f>
        <v>0</v>
      </c>
      <c r="E15" s="33">
        <f>ROUND('Anexo 12'!E15*'Anexo 2'!$D$10,0)</f>
        <v>0</v>
      </c>
      <c r="F15" s="33">
        <f>ROUND('Anexo 12'!F15*'Anexo 2'!$D$10,0)</f>
        <v>0</v>
      </c>
      <c r="G15" s="33">
        <f>ROUND('Anexo 12'!G15*'Anexo 2'!$D$10,0)</f>
        <v>0</v>
      </c>
      <c r="H15" s="33">
        <f>ROUND('Anexo 12'!H15*'Anexo 2'!$D$10,0)</f>
        <v>0</v>
      </c>
      <c r="I15" s="33">
        <f>ROUND('Anexo 12'!I15*'Anexo 2'!$D$10,0)</f>
        <v>0</v>
      </c>
      <c r="J15" s="33">
        <f>ROUND('Anexo 12'!J15*'Anexo 2'!$D$10,0)</f>
        <v>0</v>
      </c>
      <c r="K15" s="33">
        <f>ROUND('Anexo 12'!K15*'Anexo 2'!$D$10,0)</f>
        <v>0</v>
      </c>
      <c r="L15" s="33">
        <f>ROUND('Anexo 12'!L15*'Anexo 2'!$D$10,0)</f>
        <v>0</v>
      </c>
      <c r="M15" s="33">
        <f>ROUND('Anexo 12'!M15*'Anexo 2'!$D$10,0)</f>
        <v>0</v>
      </c>
      <c r="N15" s="33">
        <f>ROUND('Anexo 12'!N15*'Anexo 2'!$D$10,0)</f>
        <v>0</v>
      </c>
      <c r="O15" s="33">
        <f>ROUND('Anexo 12'!O15*'Anexo 2'!$D$10,0)</f>
        <v>0</v>
      </c>
      <c r="P15" s="33">
        <f>ROUND('Anexo 12'!P15*'Anexo 2'!$D$10,0)</f>
        <v>0</v>
      </c>
      <c r="Q15" s="33">
        <f>ROUND('Anexo 12'!Q15*'Anexo 2'!$D$10,0)</f>
        <v>0</v>
      </c>
      <c r="R15" s="33">
        <f>ROUND('Anexo 12'!R15*'Anexo 2'!$D$10,0)</f>
        <v>0</v>
      </c>
      <c r="S15" s="33">
        <f>ROUND('Anexo 12'!S15*'Anexo 2'!$D$10,0)</f>
        <v>0</v>
      </c>
      <c r="T15" s="33">
        <f>ROUND('Anexo 12'!T15*'Anexo 2'!$D$10,0)</f>
        <v>0</v>
      </c>
      <c r="U15" s="33">
        <f>ROUND('Anexo 12'!U15*'Anexo 2'!$D$10,0)</f>
        <v>0</v>
      </c>
      <c r="V15" s="33">
        <f>ROUND('Anexo 12'!V15*'Anexo 2'!$D$10,0)</f>
        <v>0</v>
      </c>
      <c r="W15" s="33">
        <f>ROUND('Anexo 12'!W15*'Anexo 2'!$D$10,0)</f>
        <v>0</v>
      </c>
      <c r="X15" s="33">
        <f>ROUND('Anexo 12'!X15*'Anexo 2'!$D$10,0)</f>
        <v>0</v>
      </c>
      <c r="Y15" s="33">
        <f>ROUND('Anexo 12'!Y15*'Anexo 2'!$D$10,0)</f>
        <v>0</v>
      </c>
      <c r="Z15" s="33">
        <f>ROUND('Anexo 12'!Z15*'Anexo 2'!$D$10,0)</f>
        <v>0</v>
      </c>
      <c r="AA15" s="35">
        <f t="shared" si="0"/>
        <v>0</v>
      </c>
      <c r="AB15" s="19">
        <v>22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ROUND('Anexo 12'!C16*'Anexo 2'!$D$10,0)</f>
        <v>0</v>
      </c>
      <c r="D16" s="33">
        <f>ROUND('Anexo 12'!D16*'Anexo 2'!$D$10,0)</f>
        <v>0</v>
      </c>
      <c r="E16" s="33">
        <f>ROUND('Anexo 12'!E16*'Anexo 2'!$D$10,0)</f>
        <v>0</v>
      </c>
      <c r="F16" s="33">
        <f>ROUND('Anexo 12'!F16*'Anexo 2'!$D$10,0)</f>
        <v>0</v>
      </c>
      <c r="G16" s="33">
        <f>ROUND('Anexo 12'!G16*'Anexo 2'!$D$10,0)</f>
        <v>0</v>
      </c>
      <c r="H16" s="33">
        <f>ROUND('Anexo 12'!H16*'Anexo 2'!$D$10,0)</f>
        <v>0</v>
      </c>
      <c r="I16" s="33">
        <f>ROUND('Anexo 12'!I16*'Anexo 2'!$D$10,0)</f>
        <v>0</v>
      </c>
      <c r="J16" s="33">
        <f>ROUND('Anexo 12'!J16*'Anexo 2'!$D$10,0)</f>
        <v>0</v>
      </c>
      <c r="K16" s="33">
        <f>ROUND('Anexo 12'!K16*'Anexo 2'!$D$10,0)</f>
        <v>0</v>
      </c>
      <c r="L16" s="33">
        <f>ROUND('Anexo 12'!L16*'Anexo 2'!$D$10,0)</f>
        <v>0</v>
      </c>
      <c r="M16" s="33">
        <f>ROUND('Anexo 12'!M16*'Anexo 2'!$D$10,0)</f>
        <v>0</v>
      </c>
      <c r="N16" s="33">
        <f>ROUND('Anexo 12'!N16*'Anexo 2'!$D$10,0)</f>
        <v>0</v>
      </c>
      <c r="O16" s="33">
        <f>ROUND('Anexo 12'!O16*'Anexo 2'!$D$10,0)</f>
        <v>0</v>
      </c>
      <c r="P16" s="33">
        <f>ROUND('Anexo 12'!P16*'Anexo 2'!$D$10,0)</f>
        <v>0</v>
      </c>
      <c r="Q16" s="33">
        <f>ROUND('Anexo 12'!Q16*'Anexo 2'!$D$10,0)</f>
        <v>0</v>
      </c>
      <c r="R16" s="33">
        <f>ROUND('Anexo 12'!R16*'Anexo 2'!$D$10,0)</f>
        <v>0</v>
      </c>
      <c r="S16" s="33">
        <f>ROUND('Anexo 12'!S16*'Anexo 2'!$D$10,0)</f>
        <v>0</v>
      </c>
      <c r="T16" s="33">
        <f>ROUND('Anexo 12'!T16*'Anexo 2'!$D$10,0)</f>
        <v>0</v>
      </c>
      <c r="U16" s="33">
        <f>ROUND('Anexo 12'!U16*'Anexo 2'!$D$10,0)</f>
        <v>0</v>
      </c>
      <c r="V16" s="33">
        <f>ROUND('Anexo 12'!V16*'Anexo 2'!$D$10,0)</f>
        <v>0</v>
      </c>
      <c r="W16" s="33">
        <f>ROUND('Anexo 12'!W16*'Anexo 2'!$D$10,0)</f>
        <v>0</v>
      </c>
      <c r="X16" s="33">
        <f>ROUND('Anexo 12'!X16*'Anexo 2'!$D$10,0)</f>
        <v>0</v>
      </c>
      <c r="Y16" s="33">
        <f>ROUND('Anexo 12'!Y16*'Anexo 2'!$D$10,0)</f>
        <v>0</v>
      </c>
      <c r="Z16" s="33">
        <f>ROUND('Anexo 12'!Z16*'Anexo 2'!$D$10,0)</f>
        <v>0</v>
      </c>
      <c r="AA16" s="38">
        <f t="shared" si="0"/>
        <v>0</v>
      </c>
      <c r="AB16" s="21">
        <v>4</v>
      </c>
      <c r="AC16" s="95"/>
      <c r="AD16" s="47"/>
    </row>
    <row r="17" spans="1:30" ht="15.75" thickBot="1" x14ac:dyDescent="0.3">
      <c r="A17" s="93"/>
      <c r="B17" s="22" t="s">
        <v>3</v>
      </c>
      <c r="C17" s="33">
        <f>ROUND('Anexo 12'!C17*'Anexo 2'!$D$10,0)</f>
        <v>0</v>
      </c>
      <c r="D17" s="33">
        <f>ROUND('Anexo 12'!D17*'Anexo 2'!$D$10,0)</f>
        <v>0</v>
      </c>
      <c r="E17" s="33">
        <f>ROUND('Anexo 12'!E17*'Anexo 2'!$D$10,0)</f>
        <v>0</v>
      </c>
      <c r="F17" s="33">
        <f>ROUND('Anexo 12'!F17*'Anexo 2'!$D$10,0)</f>
        <v>0</v>
      </c>
      <c r="G17" s="33">
        <f>ROUND('Anexo 12'!G17*'Anexo 2'!$D$10,0)</f>
        <v>0</v>
      </c>
      <c r="H17" s="33">
        <f>ROUND('Anexo 12'!H17*'Anexo 2'!$D$10,0)</f>
        <v>0</v>
      </c>
      <c r="I17" s="33">
        <f>ROUND('Anexo 12'!I17*'Anexo 2'!$D$10,0)</f>
        <v>0</v>
      </c>
      <c r="J17" s="33">
        <f>ROUND('Anexo 12'!J17*'Anexo 2'!$D$10,0)</f>
        <v>0</v>
      </c>
      <c r="K17" s="33">
        <f>ROUND('Anexo 12'!K17*'Anexo 2'!$D$10,0)</f>
        <v>0</v>
      </c>
      <c r="L17" s="33">
        <f>ROUND('Anexo 12'!L17*'Anexo 2'!$D$10,0)</f>
        <v>0</v>
      </c>
      <c r="M17" s="33">
        <f>ROUND('Anexo 12'!M17*'Anexo 2'!$D$10,0)</f>
        <v>0</v>
      </c>
      <c r="N17" s="33">
        <f>ROUND('Anexo 12'!N17*'Anexo 2'!$D$10,0)</f>
        <v>0</v>
      </c>
      <c r="O17" s="33">
        <f>ROUND('Anexo 12'!O17*'Anexo 2'!$D$10,0)</f>
        <v>0</v>
      </c>
      <c r="P17" s="33">
        <f>ROUND('Anexo 12'!P17*'Anexo 2'!$D$10,0)</f>
        <v>0</v>
      </c>
      <c r="Q17" s="33">
        <f>ROUND('Anexo 12'!Q17*'Anexo 2'!$D$10,0)</f>
        <v>0</v>
      </c>
      <c r="R17" s="33">
        <f>ROUND('Anexo 12'!R17*'Anexo 2'!$D$10,0)</f>
        <v>0</v>
      </c>
      <c r="S17" s="33">
        <f>ROUND('Anexo 12'!S17*'Anexo 2'!$D$10,0)</f>
        <v>0</v>
      </c>
      <c r="T17" s="33">
        <f>ROUND('Anexo 12'!T17*'Anexo 2'!$D$10,0)</f>
        <v>0</v>
      </c>
      <c r="U17" s="33">
        <f>ROUND('Anexo 12'!U17*'Anexo 2'!$D$10,0)</f>
        <v>0</v>
      </c>
      <c r="V17" s="33">
        <f>ROUND('Anexo 12'!V17*'Anexo 2'!$D$10,0)</f>
        <v>0</v>
      </c>
      <c r="W17" s="33">
        <f>ROUND('Anexo 12'!W17*'Anexo 2'!$D$10,0)</f>
        <v>0</v>
      </c>
      <c r="X17" s="33">
        <f>ROUND('Anexo 12'!X17*'Anexo 2'!$D$10,0)</f>
        <v>0</v>
      </c>
      <c r="Y17" s="33">
        <f>ROUND('Anexo 12'!Y17*'Anexo 2'!$D$10,0)</f>
        <v>0</v>
      </c>
      <c r="Z17" s="33">
        <f>ROUND('Anexo 12'!Z17*'Anexo 2'!$D$10,0)</f>
        <v>0</v>
      </c>
      <c r="AA17" s="41">
        <f t="shared" si="0"/>
        <v>0</v>
      </c>
      <c r="AB17" s="23">
        <v>4</v>
      </c>
      <c r="AC17" s="96"/>
      <c r="AD17" s="48"/>
    </row>
    <row r="18" spans="1:30" ht="15.75" thickBot="1" x14ac:dyDescent="0.3">
      <c r="A18" s="93">
        <v>46508</v>
      </c>
      <c r="B18" s="18" t="s">
        <v>5</v>
      </c>
      <c r="C18" s="33">
        <f>ROUND('Anexo 12'!C18*'Anexo 2'!$D$10,0)</f>
        <v>0</v>
      </c>
      <c r="D18" s="33">
        <f>ROUND('Anexo 12'!D18*'Anexo 2'!$D$10,0)</f>
        <v>0</v>
      </c>
      <c r="E18" s="33">
        <f>ROUND('Anexo 12'!E18*'Anexo 2'!$D$10,0)</f>
        <v>0</v>
      </c>
      <c r="F18" s="33">
        <f>ROUND('Anexo 12'!F18*'Anexo 2'!$D$10,0)</f>
        <v>0</v>
      </c>
      <c r="G18" s="33">
        <f>ROUND('Anexo 12'!G18*'Anexo 2'!$D$10,0)</f>
        <v>0</v>
      </c>
      <c r="H18" s="33">
        <f>ROUND('Anexo 12'!H18*'Anexo 2'!$D$10,0)</f>
        <v>0</v>
      </c>
      <c r="I18" s="33">
        <f>ROUND('Anexo 12'!I18*'Anexo 2'!$D$10,0)</f>
        <v>0</v>
      </c>
      <c r="J18" s="33">
        <f>ROUND('Anexo 12'!J18*'Anexo 2'!$D$10,0)</f>
        <v>0</v>
      </c>
      <c r="K18" s="33">
        <f>ROUND('Anexo 12'!K18*'Anexo 2'!$D$10,0)</f>
        <v>0</v>
      </c>
      <c r="L18" s="33">
        <f>ROUND('Anexo 12'!L18*'Anexo 2'!$D$10,0)</f>
        <v>0</v>
      </c>
      <c r="M18" s="33">
        <f>ROUND('Anexo 12'!M18*'Anexo 2'!$D$10,0)</f>
        <v>0</v>
      </c>
      <c r="N18" s="33">
        <f>ROUND('Anexo 12'!N18*'Anexo 2'!$D$10,0)</f>
        <v>0</v>
      </c>
      <c r="O18" s="33">
        <f>ROUND('Anexo 12'!O18*'Anexo 2'!$D$10,0)</f>
        <v>0</v>
      </c>
      <c r="P18" s="33">
        <f>ROUND('Anexo 12'!P18*'Anexo 2'!$D$10,0)</f>
        <v>0</v>
      </c>
      <c r="Q18" s="33">
        <f>ROUND('Anexo 12'!Q18*'Anexo 2'!$D$10,0)</f>
        <v>0</v>
      </c>
      <c r="R18" s="33">
        <f>ROUND('Anexo 12'!R18*'Anexo 2'!$D$10,0)</f>
        <v>0</v>
      </c>
      <c r="S18" s="33">
        <f>ROUND('Anexo 12'!S18*'Anexo 2'!$D$10,0)</f>
        <v>0</v>
      </c>
      <c r="T18" s="33">
        <f>ROUND('Anexo 12'!T18*'Anexo 2'!$D$10,0)</f>
        <v>0</v>
      </c>
      <c r="U18" s="33">
        <f>ROUND('Anexo 12'!U18*'Anexo 2'!$D$10,0)</f>
        <v>0</v>
      </c>
      <c r="V18" s="33">
        <f>ROUND('Anexo 12'!V18*'Anexo 2'!$D$10,0)</f>
        <v>0</v>
      </c>
      <c r="W18" s="33">
        <f>ROUND('Anexo 12'!W18*'Anexo 2'!$D$10,0)</f>
        <v>0</v>
      </c>
      <c r="X18" s="33">
        <f>ROUND('Anexo 12'!X18*'Anexo 2'!$D$10,0)</f>
        <v>0</v>
      </c>
      <c r="Y18" s="33">
        <f>ROUND('Anexo 12'!Y18*'Anexo 2'!$D$10,0)</f>
        <v>0</v>
      </c>
      <c r="Z18" s="33">
        <f>ROUND('Anexo 12'!Z18*'Anexo 2'!$D$10,0)</f>
        <v>0</v>
      </c>
      <c r="AA18" s="35">
        <f t="shared" si="0"/>
        <v>0</v>
      </c>
      <c r="AB18" s="19">
        <v>19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ROUND('Anexo 12'!C19*'Anexo 2'!$D$10,0)</f>
        <v>0</v>
      </c>
      <c r="D19" s="33">
        <f>ROUND('Anexo 12'!D19*'Anexo 2'!$D$10,0)</f>
        <v>0</v>
      </c>
      <c r="E19" s="33">
        <f>ROUND('Anexo 12'!E19*'Anexo 2'!$D$10,0)</f>
        <v>0</v>
      </c>
      <c r="F19" s="33">
        <f>ROUND('Anexo 12'!F19*'Anexo 2'!$D$10,0)</f>
        <v>0</v>
      </c>
      <c r="G19" s="33">
        <f>ROUND('Anexo 12'!G19*'Anexo 2'!$D$10,0)</f>
        <v>0</v>
      </c>
      <c r="H19" s="33">
        <f>ROUND('Anexo 12'!H19*'Anexo 2'!$D$10,0)</f>
        <v>0</v>
      </c>
      <c r="I19" s="33">
        <f>ROUND('Anexo 12'!I19*'Anexo 2'!$D$10,0)</f>
        <v>0</v>
      </c>
      <c r="J19" s="33">
        <f>ROUND('Anexo 12'!J19*'Anexo 2'!$D$10,0)</f>
        <v>0</v>
      </c>
      <c r="K19" s="33">
        <f>ROUND('Anexo 12'!K19*'Anexo 2'!$D$10,0)</f>
        <v>0</v>
      </c>
      <c r="L19" s="33">
        <f>ROUND('Anexo 12'!L19*'Anexo 2'!$D$10,0)</f>
        <v>0</v>
      </c>
      <c r="M19" s="33">
        <f>ROUND('Anexo 12'!M19*'Anexo 2'!$D$10,0)</f>
        <v>0</v>
      </c>
      <c r="N19" s="33">
        <f>ROUND('Anexo 12'!N19*'Anexo 2'!$D$10,0)</f>
        <v>0</v>
      </c>
      <c r="O19" s="33">
        <f>ROUND('Anexo 12'!O19*'Anexo 2'!$D$10,0)</f>
        <v>0</v>
      </c>
      <c r="P19" s="33">
        <f>ROUND('Anexo 12'!P19*'Anexo 2'!$D$10,0)</f>
        <v>0</v>
      </c>
      <c r="Q19" s="33">
        <f>ROUND('Anexo 12'!Q19*'Anexo 2'!$D$10,0)</f>
        <v>0</v>
      </c>
      <c r="R19" s="33">
        <f>ROUND('Anexo 12'!R19*'Anexo 2'!$D$10,0)</f>
        <v>0</v>
      </c>
      <c r="S19" s="33">
        <f>ROUND('Anexo 12'!S19*'Anexo 2'!$D$10,0)</f>
        <v>0</v>
      </c>
      <c r="T19" s="33">
        <f>ROUND('Anexo 12'!T19*'Anexo 2'!$D$10,0)</f>
        <v>0</v>
      </c>
      <c r="U19" s="33">
        <f>ROUND('Anexo 12'!U19*'Anexo 2'!$D$10,0)</f>
        <v>0</v>
      </c>
      <c r="V19" s="33">
        <f>ROUND('Anexo 12'!V19*'Anexo 2'!$D$10,0)</f>
        <v>0</v>
      </c>
      <c r="W19" s="33">
        <f>ROUND('Anexo 12'!W19*'Anexo 2'!$D$10,0)</f>
        <v>0</v>
      </c>
      <c r="X19" s="33">
        <f>ROUND('Anexo 12'!X19*'Anexo 2'!$D$10,0)</f>
        <v>0</v>
      </c>
      <c r="Y19" s="33">
        <f>ROUND('Anexo 12'!Y19*'Anexo 2'!$D$10,0)</f>
        <v>0</v>
      </c>
      <c r="Z19" s="33">
        <f>ROUND('Anexo 12'!Z19*'Anexo 2'!$D$10,0)</f>
        <v>0</v>
      </c>
      <c r="AA19" s="38">
        <f t="shared" si="0"/>
        <v>0</v>
      </c>
      <c r="AB19" s="21">
        <v>4</v>
      </c>
      <c r="AC19" s="95"/>
      <c r="AD19" s="47"/>
    </row>
    <row r="20" spans="1:30" ht="15.75" thickBot="1" x14ac:dyDescent="0.3">
      <c r="A20" s="93"/>
      <c r="B20" s="22" t="s">
        <v>3</v>
      </c>
      <c r="C20" s="33">
        <f>ROUND('Anexo 12'!C20*'Anexo 2'!$D$10,0)</f>
        <v>0</v>
      </c>
      <c r="D20" s="33">
        <f>ROUND('Anexo 12'!D20*'Anexo 2'!$D$10,0)</f>
        <v>0</v>
      </c>
      <c r="E20" s="33">
        <f>ROUND('Anexo 12'!E20*'Anexo 2'!$D$10,0)</f>
        <v>0</v>
      </c>
      <c r="F20" s="33">
        <f>ROUND('Anexo 12'!F20*'Anexo 2'!$D$10,0)</f>
        <v>0</v>
      </c>
      <c r="G20" s="33">
        <f>ROUND('Anexo 12'!G20*'Anexo 2'!$D$10,0)</f>
        <v>0</v>
      </c>
      <c r="H20" s="33">
        <f>ROUND('Anexo 12'!H20*'Anexo 2'!$D$10,0)</f>
        <v>0</v>
      </c>
      <c r="I20" s="33">
        <f>ROUND('Anexo 12'!I20*'Anexo 2'!$D$10,0)</f>
        <v>0</v>
      </c>
      <c r="J20" s="33">
        <f>ROUND('Anexo 12'!J20*'Anexo 2'!$D$10,0)</f>
        <v>0</v>
      </c>
      <c r="K20" s="33">
        <f>ROUND('Anexo 12'!K20*'Anexo 2'!$D$10,0)</f>
        <v>0</v>
      </c>
      <c r="L20" s="33">
        <f>ROUND('Anexo 12'!L20*'Anexo 2'!$D$10,0)</f>
        <v>0</v>
      </c>
      <c r="M20" s="33">
        <f>ROUND('Anexo 12'!M20*'Anexo 2'!$D$10,0)</f>
        <v>0</v>
      </c>
      <c r="N20" s="33">
        <f>ROUND('Anexo 12'!N20*'Anexo 2'!$D$10,0)</f>
        <v>0</v>
      </c>
      <c r="O20" s="33">
        <f>ROUND('Anexo 12'!O20*'Anexo 2'!$D$10,0)</f>
        <v>0</v>
      </c>
      <c r="P20" s="33">
        <f>ROUND('Anexo 12'!P20*'Anexo 2'!$D$10,0)</f>
        <v>0</v>
      </c>
      <c r="Q20" s="33">
        <f>ROUND('Anexo 12'!Q20*'Anexo 2'!$D$10,0)</f>
        <v>0</v>
      </c>
      <c r="R20" s="33">
        <f>ROUND('Anexo 12'!R20*'Anexo 2'!$D$10,0)</f>
        <v>0</v>
      </c>
      <c r="S20" s="33">
        <f>ROUND('Anexo 12'!S20*'Anexo 2'!$D$10,0)</f>
        <v>0</v>
      </c>
      <c r="T20" s="33">
        <f>ROUND('Anexo 12'!T20*'Anexo 2'!$D$10,0)</f>
        <v>0</v>
      </c>
      <c r="U20" s="33">
        <f>ROUND('Anexo 12'!U20*'Anexo 2'!$D$10,0)</f>
        <v>0</v>
      </c>
      <c r="V20" s="33">
        <f>ROUND('Anexo 12'!V20*'Anexo 2'!$D$10,0)</f>
        <v>0</v>
      </c>
      <c r="W20" s="33">
        <f>ROUND('Anexo 12'!W20*'Anexo 2'!$D$10,0)</f>
        <v>0</v>
      </c>
      <c r="X20" s="33">
        <f>ROUND('Anexo 12'!X20*'Anexo 2'!$D$10,0)</f>
        <v>0</v>
      </c>
      <c r="Y20" s="33">
        <f>ROUND('Anexo 12'!Y20*'Anexo 2'!$D$10,0)</f>
        <v>0</v>
      </c>
      <c r="Z20" s="33">
        <f>ROUND('Anexo 12'!Z20*'Anexo 2'!$D$10,0)</f>
        <v>0</v>
      </c>
      <c r="AA20" s="41">
        <f t="shared" si="0"/>
        <v>0</v>
      </c>
      <c r="AB20" s="23">
        <v>8</v>
      </c>
      <c r="AC20" s="96"/>
      <c r="AD20" s="48"/>
    </row>
    <row r="21" spans="1:30" ht="15.75" thickBot="1" x14ac:dyDescent="0.3">
      <c r="A21" s="93">
        <v>46539</v>
      </c>
      <c r="B21" s="18" t="s">
        <v>5</v>
      </c>
      <c r="C21" s="33">
        <f>ROUND('Anexo 12'!C21*'Anexo 2'!$D$10,0)</f>
        <v>0</v>
      </c>
      <c r="D21" s="33">
        <f>ROUND('Anexo 12'!D21*'Anexo 2'!$D$10,0)</f>
        <v>0</v>
      </c>
      <c r="E21" s="33">
        <f>ROUND('Anexo 12'!E21*'Anexo 2'!$D$10,0)</f>
        <v>0</v>
      </c>
      <c r="F21" s="33">
        <f>ROUND('Anexo 12'!F21*'Anexo 2'!$D$10,0)</f>
        <v>0</v>
      </c>
      <c r="G21" s="33">
        <f>ROUND('Anexo 12'!G21*'Anexo 2'!$D$10,0)</f>
        <v>0</v>
      </c>
      <c r="H21" s="33">
        <f>ROUND('Anexo 12'!H21*'Anexo 2'!$D$10,0)</f>
        <v>0</v>
      </c>
      <c r="I21" s="33">
        <f>ROUND('Anexo 12'!I21*'Anexo 2'!$D$10,0)</f>
        <v>0</v>
      </c>
      <c r="J21" s="33">
        <f>ROUND('Anexo 12'!J21*'Anexo 2'!$D$10,0)</f>
        <v>0</v>
      </c>
      <c r="K21" s="33">
        <f>ROUND('Anexo 12'!K21*'Anexo 2'!$D$10,0)</f>
        <v>0</v>
      </c>
      <c r="L21" s="33">
        <f>ROUND('Anexo 12'!L21*'Anexo 2'!$D$10,0)</f>
        <v>0</v>
      </c>
      <c r="M21" s="33">
        <f>ROUND('Anexo 12'!M21*'Anexo 2'!$D$10,0)</f>
        <v>0</v>
      </c>
      <c r="N21" s="33">
        <f>ROUND('Anexo 12'!N21*'Anexo 2'!$D$10,0)</f>
        <v>0</v>
      </c>
      <c r="O21" s="33">
        <f>ROUND('Anexo 12'!O21*'Anexo 2'!$D$10,0)</f>
        <v>0</v>
      </c>
      <c r="P21" s="33">
        <f>ROUND('Anexo 12'!P21*'Anexo 2'!$D$10,0)</f>
        <v>0</v>
      </c>
      <c r="Q21" s="33">
        <f>ROUND('Anexo 12'!Q21*'Anexo 2'!$D$10,0)</f>
        <v>0</v>
      </c>
      <c r="R21" s="33">
        <f>ROUND('Anexo 12'!R21*'Anexo 2'!$D$10,0)</f>
        <v>0</v>
      </c>
      <c r="S21" s="33">
        <f>ROUND('Anexo 12'!S21*'Anexo 2'!$D$10,0)</f>
        <v>0</v>
      </c>
      <c r="T21" s="33">
        <f>ROUND('Anexo 12'!T21*'Anexo 2'!$D$10,0)</f>
        <v>0</v>
      </c>
      <c r="U21" s="33">
        <f>ROUND('Anexo 12'!U21*'Anexo 2'!$D$10,0)</f>
        <v>0</v>
      </c>
      <c r="V21" s="33">
        <f>ROUND('Anexo 12'!V21*'Anexo 2'!$D$10,0)</f>
        <v>0</v>
      </c>
      <c r="W21" s="33">
        <f>ROUND('Anexo 12'!W21*'Anexo 2'!$D$10,0)</f>
        <v>0</v>
      </c>
      <c r="X21" s="33">
        <f>ROUND('Anexo 12'!X21*'Anexo 2'!$D$10,0)</f>
        <v>0</v>
      </c>
      <c r="Y21" s="33">
        <f>ROUND('Anexo 12'!Y21*'Anexo 2'!$D$10,0)</f>
        <v>0</v>
      </c>
      <c r="Z21" s="33">
        <f>ROUND('Anexo 12'!Z21*'Anexo 2'!$D$10,0)</f>
        <v>0</v>
      </c>
      <c r="AA21" s="35">
        <f t="shared" si="0"/>
        <v>0</v>
      </c>
      <c r="AB21" s="19">
        <v>21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ROUND('Anexo 12'!C22*'Anexo 2'!$D$10,0)</f>
        <v>0</v>
      </c>
      <c r="D22" s="33">
        <f>ROUND('Anexo 12'!D22*'Anexo 2'!$D$10,0)</f>
        <v>0</v>
      </c>
      <c r="E22" s="33">
        <f>ROUND('Anexo 12'!E22*'Anexo 2'!$D$10,0)</f>
        <v>0</v>
      </c>
      <c r="F22" s="33">
        <f>ROUND('Anexo 12'!F22*'Anexo 2'!$D$10,0)</f>
        <v>0</v>
      </c>
      <c r="G22" s="33">
        <f>ROUND('Anexo 12'!G22*'Anexo 2'!$D$10,0)</f>
        <v>0</v>
      </c>
      <c r="H22" s="33">
        <f>ROUND('Anexo 12'!H22*'Anexo 2'!$D$10,0)</f>
        <v>0</v>
      </c>
      <c r="I22" s="33">
        <f>ROUND('Anexo 12'!I22*'Anexo 2'!$D$10,0)</f>
        <v>0</v>
      </c>
      <c r="J22" s="33">
        <f>ROUND('Anexo 12'!J22*'Anexo 2'!$D$10,0)</f>
        <v>0</v>
      </c>
      <c r="K22" s="33">
        <f>ROUND('Anexo 12'!K22*'Anexo 2'!$D$10,0)</f>
        <v>0</v>
      </c>
      <c r="L22" s="33">
        <f>ROUND('Anexo 12'!L22*'Anexo 2'!$D$10,0)</f>
        <v>0</v>
      </c>
      <c r="M22" s="33">
        <f>ROUND('Anexo 12'!M22*'Anexo 2'!$D$10,0)</f>
        <v>0</v>
      </c>
      <c r="N22" s="33">
        <f>ROUND('Anexo 12'!N22*'Anexo 2'!$D$10,0)</f>
        <v>0</v>
      </c>
      <c r="O22" s="33">
        <f>ROUND('Anexo 12'!O22*'Anexo 2'!$D$10,0)</f>
        <v>0</v>
      </c>
      <c r="P22" s="33">
        <f>ROUND('Anexo 12'!P22*'Anexo 2'!$D$10,0)</f>
        <v>0</v>
      </c>
      <c r="Q22" s="33">
        <f>ROUND('Anexo 12'!Q22*'Anexo 2'!$D$10,0)</f>
        <v>0</v>
      </c>
      <c r="R22" s="33">
        <f>ROUND('Anexo 12'!R22*'Anexo 2'!$D$10,0)</f>
        <v>0</v>
      </c>
      <c r="S22" s="33">
        <f>ROUND('Anexo 12'!S22*'Anexo 2'!$D$10,0)</f>
        <v>0</v>
      </c>
      <c r="T22" s="33">
        <f>ROUND('Anexo 12'!T22*'Anexo 2'!$D$10,0)</f>
        <v>0</v>
      </c>
      <c r="U22" s="33">
        <f>ROUND('Anexo 12'!U22*'Anexo 2'!$D$10,0)</f>
        <v>0</v>
      </c>
      <c r="V22" s="33">
        <f>ROUND('Anexo 12'!V22*'Anexo 2'!$D$10,0)</f>
        <v>0</v>
      </c>
      <c r="W22" s="33">
        <f>ROUND('Anexo 12'!W22*'Anexo 2'!$D$10,0)</f>
        <v>0</v>
      </c>
      <c r="X22" s="33">
        <f>ROUND('Anexo 12'!X22*'Anexo 2'!$D$10,0)</f>
        <v>0</v>
      </c>
      <c r="Y22" s="33">
        <f>ROUND('Anexo 12'!Y22*'Anexo 2'!$D$10,0)</f>
        <v>0</v>
      </c>
      <c r="Z22" s="33">
        <f>ROUND('Anexo 12'!Z22*'Anexo 2'!$D$10,0)</f>
        <v>0</v>
      </c>
      <c r="AA22" s="38">
        <f t="shared" si="0"/>
        <v>0</v>
      </c>
      <c r="AB22" s="21">
        <v>4</v>
      </c>
      <c r="AC22" s="95"/>
      <c r="AD22" s="47"/>
    </row>
    <row r="23" spans="1:30" ht="15.75" thickBot="1" x14ac:dyDescent="0.3">
      <c r="A23" s="93"/>
      <c r="B23" s="22" t="s">
        <v>3</v>
      </c>
      <c r="C23" s="33">
        <f>ROUND('Anexo 12'!C23*'Anexo 2'!$D$10,0)</f>
        <v>0</v>
      </c>
      <c r="D23" s="33">
        <f>ROUND('Anexo 12'!D23*'Anexo 2'!$D$10,0)</f>
        <v>0</v>
      </c>
      <c r="E23" s="33">
        <f>ROUND('Anexo 12'!E23*'Anexo 2'!$D$10,0)</f>
        <v>0</v>
      </c>
      <c r="F23" s="33">
        <f>ROUND('Anexo 12'!F23*'Anexo 2'!$D$10,0)</f>
        <v>0</v>
      </c>
      <c r="G23" s="33">
        <f>ROUND('Anexo 12'!G23*'Anexo 2'!$D$10,0)</f>
        <v>0</v>
      </c>
      <c r="H23" s="33">
        <f>ROUND('Anexo 12'!H23*'Anexo 2'!$D$10,0)</f>
        <v>0</v>
      </c>
      <c r="I23" s="33">
        <f>ROUND('Anexo 12'!I23*'Anexo 2'!$D$10,0)</f>
        <v>0</v>
      </c>
      <c r="J23" s="33">
        <f>ROUND('Anexo 12'!J23*'Anexo 2'!$D$10,0)</f>
        <v>0</v>
      </c>
      <c r="K23" s="33">
        <f>ROUND('Anexo 12'!K23*'Anexo 2'!$D$10,0)</f>
        <v>0</v>
      </c>
      <c r="L23" s="33">
        <f>ROUND('Anexo 12'!L23*'Anexo 2'!$D$10,0)</f>
        <v>0</v>
      </c>
      <c r="M23" s="33">
        <f>ROUND('Anexo 12'!M23*'Anexo 2'!$D$10,0)</f>
        <v>0</v>
      </c>
      <c r="N23" s="33">
        <f>ROUND('Anexo 12'!N23*'Anexo 2'!$D$10,0)</f>
        <v>0</v>
      </c>
      <c r="O23" s="33">
        <f>ROUND('Anexo 12'!O23*'Anexo 2'!$D$10,0)</f>
        <v>0</v>
      </c>
      <c r="P23" s="33">
        <f>ROUND('Anexo 12'!P23*'Anexo 2'!$D$10,0)</f>
        <v>0</v>
      </c>
      <c r="Q23" s="33">
        <f>ROUND('Anexo 12'!Q23*'Anexo 2'!$D$10,0)</f>
        <v>0</v>
      </c>
      <c r="R23" s="33">
        <f>ROUND('Anexo 12'!R23*'Anexo 2'!$D$10,0)</f>
        <v>0</v>
      </c>
      <c r="S23" s="33">
        <f>ROUND('Anexo 12'!S23*'Anexo 2'!$D$10,0)</f>
        <v>0</v>
      </c>
      <c r="T23" s="33">
        <f>ROUND('Anexo 12'!T23*'Anexo 2'!$D$10,0)</f>
        <v>0</v>
      </c>
      <c r="U23" s="33">
        <f>ROUND('Anexo 12'!U23*'Anexo 2'!$D$10,0)</f>
        <v>0</v>
      </c>
      <c r="V23" s="33">
        <f>ROUND('Anexo 12'!V23*'Anexo 2'!$D$10,0)</f>
        <v>0</v>
      </c>
      <c r="W23" s="33">
        <f>ROUND('Anexo 12'!W23*'Anexo 2'!$D$10,0)</f>
        <v>0</v>
      </c>
      <c r="X23" s="33">
        <f>ROUND('Anexo 12'!X23*'Anexo 2'!$D$10,0)</f>
        <v>0</v>
      </c>
      <c r="Y23" s="33">
        <f>ROUND('Anexo 12'!Y23*'Anexo 2'!$D$10,0)</f>
        <v>0</v>
      </c>
      <c r="Z23" s="33">
        <f>ROUND('Anexo 12'!Z23*'Anexo 2'!$D$10,0)</f>
        <v>0</v>
      </c>
      <c r="AA23" s="41">
        <f t="shared" si="0"/>
        <v>0</v>
      </c>
      <c r="AB23" s="23">
        <v>5</v>
      </c>
      <c r="AC23" s="96"/>
      <c r="AD23" s="48"/>
    </row>
    <row r="24" spans="1:30" ht="15.75" thickBot="1" x14ac:dyDescent="0.3">
      <c r="A24" s="93">
        <v>46569</v>
      </c>
      <c r="B24" s="18" t="s">
        <v>5</v>
      </c>
      <c r="C24" s="33">
        <f>ROUND('Anexo 12'!C24*'Anexo 2'!$D$10,0)</f>
        <v>0</v>
      </c>
      <c r="D24" s="33">
        <f>ROUND('Anexo 12'!D24*'Anexo 2'!$D$10,0)</f>
        <v>0</v>
      </c>
      <c r="E24" s="33">
        <f>ROUND('Anexo 12'!E24*'Anexo 2'!$D$10,0)</f>
        <v>0</v>
      </c>
      <c r="F24" s="33">
        <f>ROUND('Anexo 12'!F24*'Anexo 2'!$D$10,0)</f>
        <v>0</v>
      </c>
      <c r="G24" s="33">
        <f>ROUND('Anexo 12'!G24*'Anexo 2'!$D$10,0)</f>
        <v>0</v>
      </c>
      <c r="H24" s="33">
        <f>ROUND('Anexo 12'!H24*'Anexo 2'!$D$10,0)</f>
        <v>0</v>
      </c>
      <c r="I24" s="33">
        <f>ROUND('Anexo 12'!I24*'Anexo 2'!$D$10,0)</f>
        <v>0</v>
      </c>
      <c r="J24" s="33">
        <f>ROUND('Anexo 12'!J24*'Anexo 2'!$D$10,0)</f>
        <v>0</v>
      </c>
      <c r="K24" s="33">
        <f>ROUND('Anexo 12'!K24*'Anexo 2'!$D$10,0)</f>
        <v>0</v>
      </c>
      <c r="L24" s="33">
        <f>ROUND('Anexo 12'!L24*'Anexo 2'!$D$10,0)</f>
        <v>0</v>
      </c>
      <c r="M24" s="33">
        <f>ROUND('Anexo 12'!M24*'Anexo 2'!$D$10,0)</f>
        <v>0</v>
      </c>
      <c r="N24" s="33">
        <f>ROUND('Anexo 12'!N24*'Anexo 2'!$D$10,0)</f>
        <v>0</v>
      </c>
      <c r="O24" s="33">
        <f>ROUND('Anexo 12'!O24*'Anexo 2'!$D$10,0)</f>
        <v>0</v>
      </c>
      <c r="P24" s="33">
        <f>ROUND('Anexo 12'!P24*'Anexo 2'!$D$10,0)</f>
        <v>0</v>
      </c>
      <c r="Q24" s="33">
        <f>ROUND('Anexo 12'!Q24*'Anexo 2'!$D$10,0)</f>
        <v>0</v>
      </c>
      <c r="R24" s="33">
        <f>ROUND('Anexo 12'!R24*'Anexo 2'!$D$10,0)</f>
        <v>0</v>
      </c>
      <c r="S24" s="33">
        <f>ROUND('Anexo 12'!S24*'Anexo 2'!$D$10,0)</f>
        <v>0</v>
      </c>
      <c r="T24" s="33">
        <f>ROUND('Anexo 12'!T24*'Anexo 2'!$D$10,0)</f>
        <v>0</v>
      </c>
      <c r="U24" s="33">
        <f>ROUND('Anexo 12'!U24*'Anexo 2'!$D$10,0)</f>
        <v>0</v>
      </c>
      <c r="V24" s="33">
        <f>ROUND('Anexo 12'!V24*'Anexo 2'!$D$10,0)</f>
        <v>0</v>
      </c>
      <c r="W24" s="33">
        <f>ROUND('Anexo 12'!W24*'Anexo 2'!$D$10,0)</f>
        <v>0</v>
      </c>
      <c r="X24" s="33">
        <f>ROUND('Anexo 12'!X24*'Anexo 2'!$D$10,0)</f>
        <v>0</v>
      </c>
      <c r="Y24" s="33">
        <f>ROUND('Anexo 12'!Y24*'Anexo 2'!$D$10,0)</f>
        <v>0</v>
      </c>
      <c r="Z24" s="33">
        <f>ROUND('Anexo 12'!Z24*'Anexo 2'!$D$10,0)</f>
        <v>0</v>
      </c>
      <c r="AA24" s="35">
        <f t="shared" si="0"/>
        <v>0</v>
      </c>
      <c r="AB24" s="19">
        <v>20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ROUND('Anexo 12'!C25*'Anexo 2'!$D$10,0)</f>
        <v>0</v>
      </c>
      <c r="D25" s="33">
        <f>ROUND('Anexo 12'!D25*'Anexo 2'!$D$10,0)</f>
        <v>0</v>
      </c>
      <c r="E25" s="33">
        <f>ROUND('Anexo 12'!E25*'Anexo 2'!$D$10,0)</f>
        <v>0</v>
      </c>
      <c r="F25" s="33">
        <f>ROUND('Anexo 12'!F25*'Anexo 2'!$D$10,0)</f>
        <v>0</v>
      </c>
      <c r="G25" s="33">
        <f>ROUND('Anexo 12'!G25*'Anexo 2'!$D$10,0)</f>
        <v>0</v>
      </c>
      <c r="H25" s="33">
        <f>ROUND('Anexo 12'!H25*'Anexo 2'!$D$10,0)</f>
        <v>0</v>
      </c>
      <c r="I25" s="33">
        <f>ROUND('Anexo 12'!I25*'Anexo 2'!$D$10,0)</f>
        <v>0</v>
      </c>
      <c r="J25" s="33">
        <f>ROUND('Anexo 12'!J25*'Anexo 2'!$D$10,0)</f>
        <v>0</v>
      </c>
      <c r="K25" s="33">
        <f>ROUND('Anexo 12'!K25*'Anexo 2'!$D$10,0)</f>
        <v>0</v>
      </c>
      <c r="L25" s="33">
        <f>ROUND('Anexo 12'!L25*'Anexo 2'!$D$10,0)</f>
        <v>0</v>
      </c>
      <c r="M25" s="33">
        <f>ROUND('Anexo 12'!M25*'Anexo 2'!$D$10,0)</f>
        <v>0</v>
      </c>
      <c r="N25" s="33">
        <f>ROUND('Anexo 12'!N25*'Anexo 2'!$D$10,0)</f>
        <v>0</v>
      </c>
      <c r="O25" s="33">
        <f>ROUND('Anexo 12'!O25*'Anexo 2'!$D$10,0)</f>
        <v>0</v>
      </c>
      <c r="P25" s="33">
        <f>ROUND('Anexo 12'!P25*'Anexo 2'!$D$10,0)</f>
        <v>0</v>
      </c>
      <c r="Q25" s="33">
        <f>ROUND('Anexo 12'!Q25*'Anexo 2'!$D$10,0)</f>
        <v>0</v>
      </c>
      <c r="R25" s="33">
        <f>ROUND('Anexo 12'!R25*'Anexo 2'!$D$10,0)</f>
        <v>0</v>
      </c>
      <c r="S25" s="33">
        <f>ROUND('Anexo 12'!S25*'Anexo 2'!$D$10,0)</f>
        <v>0</v>
      </c>
      <c r="T25" s="33">
        <f>ROUND('Anexo 12'!T25*'Anexo 2'!$D$10,0)</f>
        <v>0</v>
      </c>
      <c r="U25" s="33">
        <f>ROUND('Anexo 12'!U25*'Anexo 2'!$D$10,0)</f>
        <v>0</v>
      </c>
      <c r="V25" s="33">
        <f>ROUND('Anexo 12'!V25*'Anexo 2'!$D$10,0)</f>
        <v>0</v>
      </c>
      <c r="W25" s="33">
        <f>ROUND('Anexo 12'!W25*'Anexo 2'!$D$10,0)</f>
        <v>0</v>
      </c>
      <c r="X25" s="33">
        <f>ROUND('Anexo 12'!X25*'Anexo 2'!$D$10,0)</f>
        <v>0</v>
      </c>
      <c r="Y25" s="33">
        <f>ROUND('Anexo 12'!Y25*'Anexo 2'!$D$10,0)</f>
        <v>0</v>
      </c>
      <c r="Z25" s="33">
        <f>ROUND('Anexo 12'!Z25*'Anexo 2'!$D$10,0)</f>
        <v>0</v>
      </c>
      <c r="AA25" s="38">
        <f t="shared" si="0"/>
        <v>0</v>
      </c>
      <c r="AB25" s="21">
        <v>5</v>
      </c>
      <c r="AC25" s="95"/>
      <c r="AD25" s="47"/>
    </row>
    <row r="26" spans="1:30" ht="15.75" thickBot="1" x14ac:dyDescent="0.3">
      <c r="A26" s="93"/>
      <c r="B26" s="22" t="s">
        <v>3</v>
      </c>
      <c r="C26" s="33">
        <f>ROUND('Anexo 12'!C26*'Anexo 2'!$D$10,0)</f>
        <v>0</v>
      </c>
      <c r="D26" s="33">
        <f>ROUND('Anexo 12'!D26*'Anexo 2'!$D$10,0)</f>
        <v>0</v>
      </c>
      <c r="E26" s="33">
        <f>ROUND('Anexo 12'!E26*'Anexo 2'!$D$10,0)</f>
        <v>0</v>
      </c>
      <c r="F26" s="33">
        <f>ROUND('Anexo 12'!F26*'Anexo 2'!$D$10,0)</f>
        <v>0</v>
      </c>
      <c r="G26" s="33">
        <f>ROUND('Anexo 12'!G26*'Anexo 2'!$D$10,0)</f>
        <v>0</v>
      </c>
      <c r="H26" s="33">
        <f>ROUND('Anexo 12'!H26*'Anexo 2'!$D$10,0)</f>
        <v>0</v>
      </c>
      <c r="I26" s="33">
        <f>ROUND('Anexo 12'!I26*'Anexo 2'!$D$10,0)</f>
        <v>0</v>
      </c>
      <c r="J26" s="33">
        <f>ROUND('Anexo 12'!J26*'Anexo 2'!$D$10,0)</f>
        <v>0</v>
      </c>
      <c r="K26" s="33">
        <f>ROUND('Anexo 12'!K26*'Anexo 2'!$D$10,0)</f>
        <v>0</v>
      </c>
      <c r="L26" s="33">
        <f>ROUND('Anexo 12'!L26*'Anexo 2'!$D$10,0)</f>
        <v>0</v>
      </c>
      <c r="M26" s="33">
        <f>ROUND('Anexo 12'!M26*'Anexo 2'!$D$10,0)</f>
        <v>0</v>
      </c>
      <c r="N26" s="33">
        <f>ROUND('Anexo 12'!N26*'Anexo 2'!$D$10,0)</f>
        <v>0</v>
      </c>
      <c r="O26" s="33">
        <f>ROUND('Anexo 12'!O26*'Anexo 2'!$D$10,0)</f>
        <v>0</v>
      </c>
      <c r="P26" s="33">
        <f>ROUND('Anexo 12'!P26*'Anexo 2'!$D$10,0)</f>
        <v>0</v>
      </c>
      <c r="Q26" s="33">
        <f>ROUND('Anexo 12'!Q26*'Anexo 2'!$D$10,0)</f>
        <v>0</v>
      </c>
      <c r="R26" s="33">
        <f>ROUND('Anexo 12'!R26*'Anexo 2'!$D$10,0)</f>
        <v>0</v>
      </c>
      <c r="S26" s="33">
        <f>ROUND('Anexo 12'!S26*'Anexo 2'!$D$10,0)</f>
        <v>0</v>
      </c>
      <c r="T26" s="33">
        <f>ROUND('Anexo 12'!T26*'Anexo 2'!$D$10,0)</f>
        <v>0</v>
      </c>
      <c r="U26" s="33">
        <f>ROUND('Anexo 12'!U26*'Anexo 2'!$D$10,0)</f>
        <v>0</v>
      </c>
      <c r="V26" s="33">
        <f>ROUND('Anexo 12'!V26*'Anexo 2'!$D$10,0)</f>
        <v>0</v>
      </c>
      <c r="W26" s="33">
        <f>ROUND('Anexo 12'!W26*'Anexo 2'!$D$10,0)</f>
        <v>0</v>
      </c>
      <c r="X26" s="33">
        <f>ROUND('Anexo 12'!X26*'Anexo 2'!$D$10,0)</f>
        <v>0</v>
      </c>
      <c r="Y26" s="33">
        <f>ROUND('Anexo 12'!Y26*'Anexo 2'!$D$10,0)</f>
        <v>0</v>
      </c>
      <c r="Z26" s="33">
        <f>ROUND('Anexo 12'!Z26*'Anexo 2'!$D$10,0)</f>
        <v>0</v>
      </c>
      <c r="AA26" s="41">
        <f t="shared" si="0"/>
        <v>0</v>
      </c>
      <c r="AB26" s="23">
        <v>6</v>
      </c>
      <c r="AC26" s="96"/>
      <c r="AD26" s="48"/>
    </row>
    <row r="27" spans="1:30" ht="15.75" thickBot="1" x14ac:dyDescent="0.3">
      <c r="A27" s="93">
        <v>46600</v>
      </c>
      <c r="B27" s="18" t="s">
        <v>5</v>
      </c>
      <c r="C27" s="33">
        <f>ROUND('Anexo 12'!C27*'Anexo 2'!$D$10,0)</f>
        <v>0</v>
      </c>
      <c r="D27" s="33">
        <f>ROUND('Anexo 12'!D27*'Anexo 2'!$D$10,0)</f>
        <v>0</v>
      </c>
      <c r="E27" s="33">
        <f>ROUND('Anexo 12'!E27*'Anexo 2'!$D$10,0)</f>
        <v>0</v>
      </c>
      <c r="F27" s="33">
        <f>ROUND('Anexo 12'!F27*'Anexo 2'!$D$10,0)</f>
        <v>0</v>
      </c>
      <c r="G27" s="33">
        <f>ROUND('Anexo 12'!G27*'Anexo 2'!$D$10,0)</f>
        <v>0</v>
      </c>
      <c r="H27" s="33">
        <f>ROUND('Anexo 12'!H27*'Anexo 2'!$D$10,0)</f>
        <v>0</v>
      </c>
      <c r="I27" s="33">
        <f>ROUND('Anexo 12'!I27*'Anexo 2'!$D$10,0)</f>
        <v>0</v>
      </c>
      <c r="J27" s="33">
        <f>ROUND('Anexo 12'!J27*'Anexo 2'!$D$10,0)</f>
        <v>0</v>
      </c>
      <c r="K27" s="33">
        <f>ROUND('Anexo 12'!K27*'Anexo 2'!$D$10,0)</f>
        <v>0</v>
      </c>
      <c r="L27" s="33">
        <f>ROUND('Anexo 12'!L27*'Anexo 2'!$D$10,0)</f>
        <v>0</v>
      </c>
      <c r="M27" s="33">
        <f>ROUND('Anexo 12'!M27*'Anexo 2'!$D$10,0)</f>
        <v>0</v>
      </c>
      <c r="N27" s="33">
        <f>ROUND('Anexo 12'!N27*'Anexo 2'!$D$10,0)</f>
        <v>0</v>
      </c>
      <c r="O27" s="33">
        <f>ROUND('Anexo 12'!O27*'Anexo 2'!$D$10,0)</f>
        <v>0</v>
      </c>
      <c r="P27" s="33">
        <f>ROUND('Anexo 12'!P27*'Anexo 2'!$D$10,0)</f>
        <v>0</v>
      </c>
      <c r="Q27" s="33">
        <f>ROUND('Anexo 12'!Q27*'Anexo 2'!$D$10,0)</f>
        <v>0</v>
      </c>
      <c r="R27" s="33">
        <f>ROUND('Anexo 12'!R27*'Anexo 2'!$D$10,0)</f>
        <v>0</v>
      </c>
      <c r="S27" s="33">
        <f>ROUND('Anexo 12'!S27*'Anexo 2'!$D$10,0)</f>
        <v>0</v>
      </c>
      <c r="T27" s="33">
        <f>ROUND('Anexo 12'!T27*'Anexo 2'!$D$10,0)</f>
        <v>0</v>
      </c>
      <c r="U27" s="33">
        <f>ROUND('Anexo 12'!U27*'Anexo 2'!$D$10,0)</f>
        <v>0</v>
      </c>
      <c r="V27" s="33">
        <f>ROUND('Anexo 12'!V27*'Anexo 2'!$D$10,0)</f>
        <v>0</v>
      </c>
      <c r="W27" s="33">
        <f>ROUND('Anexo 12'!W27*'Anexo 2'!$D$10,0)</f>
        <v>0</v>
      </c>
      <c r="X27" s="33">
        <f>ROUND('Anexo 12'!X27*'Anexo 2'!$D$10,0)</f>
        <v>0</v>
      </c>
      <c r="Y27" s="33">
        <f>ROUND('Anexo 12'!Y27*'Anexo 2'!$D$10,0)</f>
        <v>0</v>
      </c>
      <c r="Z27" s="33">
        <f>ROUND('Anexo 12'!Z27*'Anexo 2'!$D$10,0)</f>
        <v>0</v>
      </c>
      <c r="AA27" s="35">
        <f t="shared" si="0"/>
        <v>0</v>
      </c>
      <c r="AB27" s="19">
        <v>21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ROUND('Anexo 12'!C28*'Anexo 2'!$D$10,0)</f>
        <v>0</v>
      </c>
      <c r="D28" s="33">
        <f>ROUND('Anexo 12'!D28*'Anexo 2'!$D$10,0)</f>
        <v>0</v>
      </c>
      <c r="E28" s="33">
        <f>ROUND('Anexo 12'!E28*'Anexo 2'!$D$10,0)</f>
        <v>0</v>
      </c>
      <c r="F28" s="33">
        <f>ROUND('Anexo 12'!F28*'Anexo 2'!$D$10,0)</f>
        <v>0</v>
      </c>
      <c r="G28" s="33">
        <f>ROUND('Anexo 12'!G28*'Anexo 2'!$D$10,0)</f>
        <v>0</v>
      </c>
      <c r="H28" s="33">
        <f>ROUND('Anexo 12'!H28*'Anexo 2'!$D$10,0)</f>
        <v>0</v>
      </c>
      <c r="I28" s="33">
        <f>ROUND('Anexo 12'!I28*'Anexo 2'!$D$10,0)</f>
        <v>0</v>
      </c>
      <c r="J28" s="33">
        <f>ROUND('Anexo 12'!J28*'Anexo 2'!$D$10,0)</f>
        <v>0</v>
      </c>
      <c r="K28" s="33">
        <f>ROUND('Anexo 12'!K28*'Anexo 2'!$D$10,0)</f>
        <v>0</v>
      </c>
      <c r="L28" s="33">
        <f>ROUND('Anexo 12'!L28*'Anexo 2'!$D$10,0)</f>
        <v>0</v>
      </c>
      <c r="M28" s="33">
        <f>ROUND('Anexo 12'!M28*'Anexo 2'!$D$10,0)</f>
        <v>0</v>
      </c>
      <c r="N28" s="33">
        <f>ROUND('Anexo 12'!N28*'Anexo 2'!$D$10,0)</f>
        <v>0</v>
      </c>
      <c r="O28" s="33">
        <f>ROUND('Anexo 12'!O28*'Anexo 2'!$D$10,0)</f>
        <v>0</v>
      </c>
      <c r="P28" s="33">
        <f>ROUND('Anexo 12'!P28*'Anexo 2'!$D$10,0)</f>
        <v>0</v>
      </c>
      <c r="Q28" s="33">
        <f>ROUND('Anexo 12'!Q28*'Anexo 2'!$D$10,0)</f>
        <v>0</v>
      </c>
      <c r="R28" s="33">
        <f>ROUND('Anexo 12'!R28*'Anexo 2'!$D$10,0)</f>
        <v>0</v>
      </c>
      <c r="S28" s="33">
        <f>ROUND('Anexo 12'!S28*'Anexo 2'!$D$10,0)</f>
        <v>0</v>
      </c>
      <c r="T28" s="33">
        <f>ROUND('Anexo 12'!T28*'Anexo 2'!$D$10,0)</f>
        <v>0</v>
      </c>
      <c r="U28" s="33">
        <f>ROUND('Anexo 12'!U28*'Anexo 2'!$D$10,0)</f>
        <v>0</v>
      </c>
      <c r="V28" s="33">
        <f>ROUND('Anexo 12'!V28*'Anexo 2'!$D$10,0)</f>
        <v>0</v>
      </c>
      <c r="W28" s="33">
        <f>ROUND('Anexo 12'!W28*'Anexo 2'!$D$10,0)</f>
        <v>0</v>
      </c>
      <c r="X28" s="33">
        <f>ROUND('Anexo 12'!X28*'Anexo 2'!$D$10,0)</f>
        <v>0</v>
      </c>
      <c r="Y28" s="33">
        <f>ROUND('Anexo 12'!Y28*'Anexo 2'!$D$10,0)</f>
        <v>0</v>
      </c>
      <c r="Z28" s="33">
        <f>ROUND('Anexo 12'!Z28*'Anexo 2'!$D$10,0)</f>
        <v>0</v>
      </c>
      <c r="AA28" s="38">
        <f t="shared" si="0"/>
        <v>0</v>
      </c>
      <c r="AB28" s="21">
        <v>3</v>
      </c>
      <c r="AC28" s="95"/>
      <c r="AD28" s="47"/>
    </row>
    <row r="29" spans="1:30" ht="15.75" thickBot="1" x14ac:dyDescent="0.3">
      <c r="A29" s="93"/>
      <c r="B29" s="22" t="s">
        <v>3</v>
      </c>
      <c r="C29" s="33">
        <f>ROUND('Anexo 12'!C29*'Anexo 2'!$D$10,0)</f>
        <v>0</v>
      </c>
      <c r="D29" s="33">
        <f>ROUND('Anexo 12'!D29*'Anexo 2'!$D$10,0)</f>
        <v>0</v>
      </c>
      <c r="E29" s="33">
        <f>ROUND('Anexo 12'!E29*'Anexo 2'!$D$10,0)</f>
        <v>0</v>
      </c>
      <c r="F29" s="33">
        <f>ROUND('Anexo 12'!F29*'Anexo 2'!$D$10,0)</f>
        <v>0</v>
      </c>
      <c r="G29" s="33">
        <f>ROUND('Anexo 12'!G29*'Anexo 2'!$D$10,0)</f>
        <v>0</v>
      </c>
      <c r="H29" s="33">
        <f>ROUND('Anexo 12'!H29*'Anexo 2'!$D$10,0)</f>
        <v>0</v>
      </c>
      <c r="I29" s="33">
        <f>ROUND('Anexo 12'!I29*'Anexo 2'!$D$10,0)</f>
        <v>0</v>
      </c>
      <c r="J29" s="33">
        <f>ROUND('Anexo 12'!J29*'Anexo 2'!$D$10,0)</f>
        <v>0</v>
      </c>
      <c r="K29" s="33">
        <f>ROUND('Anexo 12'!K29*'Anexo 2'!$D$10,0)</f>
        <v>0</v>
      </c>
      <c r="L29" s="33">
        <f>ROUND('Anexo 12'!L29*'Anexo 2'!$D$10,0)</f>
        <v>0</v>
      </c>
      <c r="M29" s="33">
        <f>ROUND('Anexo 12'!M29*'Anexo 2'!$D$10,0)</f>
        <v>0</v>
      </c>
      <c r="N29" s="33">
        <f>ROUND('Anexo 12'!N29*'Anexo 2'!$D$10,0)</f>
        <v>0</v>
      </c>
      <c r="O29" s="33">
        <f>ROUND('Anexo 12'!O29*'Anexo 2'!$D$10,0)</f>
        <v>0</v>
      </c>
      <c r="P29" s="33">
        <f>ROUND('Anexo 12'!P29*'Anexo 2'!$D$10,0)</f>
        <v>0</v>
      </c>
      <c r="Q29" s="33">
        <f>ROUND('Anexo 12'!Q29*'Anexo 2'!$D$10,0)</f>
        <v>0</v>
      </c>
      <c r="R29" s="33">
        <f>ROUND('Anexo 12'!R29*'Anexo 2'!$D$10,0)</f>
        <v>0</v>
      </c>
      <c r="S29" s="33">
        <f>ROUND('Anexo 12'!S29*'Anexo 2'!$D$10,0)</f>
        <v>0</v>
      </c>
      <c r="T29" s="33">
        <f>ROUND('Anexo 12'!T29*'Anexo 2'!$D$10,0)</f>
        <v>0</v>
      </c>
      <c r="U29" s="33">
        <f>ROUND('Anexo 12'!U29*'Anexo 2'!$D$10,0)</f>
        <v>0</v>
      </c>
      <c r="V29" s="33">
        <f>ROUND('Anexo 12'!V29*'Anexo 2'!$D$10,0)</f>
        <v>0</v>
      </c>
      <c r="W29" s="33">
        <f>ROUND('Anexo 12'!W29*'Anexo 2'!$D$10,0)</f>
        <v>0</v>
      </c>
      <c r="X29" s="33">
        <f>ROUND('Anexo 12'!X29*'Anexo 2'!$D$10,0)</f>
        <v>0</v>
      </c>
      <c r="Y29" s="33">
        <f>ROUND('Anexo 12'!Y29*'Anexo 2'!$D$10,0)</f>
        <v>0</v>
      </c>
      <c r="Z29" s="33">
        <f>ROUND('Anexo 12'!Z29*'Anexo 2'!$D$10,0)</f>
        <v>0</v>
      </c>
      <c r="AA29" s="41">
        <f t="shared" si="0"/>
        <v>0</v>
      </c>
      <c r="AB29" s="23">
        <v>7</v>
      </c>
      <c r="AC29" s="96"/>
      <c r="AD29" s="49"/>
    </row>
    <row r="30" spans="1:30" ht="15.75" thickBot="1" x14ac:dyDescent="0.3">
      <c r="A30" s="93">
        <v>46631</v>
      </c>
      <c r="B30" s="18" t="s">
        <v>5</v>
      </c>
      <c r="C30" s="33">
        <f>ROUND('Anexo 12'!C30*'Anexo 2'!$D$10,0)</f>
        <v>0</v>
      </c>
      <c r="D30" s="33">
        <f>ROUND('Anexo 12'!D30*'Anexo 2'!$D$10,0)</f>
        <v>0</v>
      </c>
      <c r="E30" s="33">
        <f>ROUND('Anexo 12'!E30*'Anexo 2'!$D$10,0)</f>
        <v>0</v>
      </c>
      <c r="F30" s="33">
        <f>ROUND('Anexo 12'!F30*'Anexo 2'!$D$10,0)</f>
        <v>0</v>
      </c>
      <c r="G30" s="33">
        <f>ROUND('Anexo 12'!G30*'Anexo 2'!$D$10,0)</f>
        <v>0</v>
      </c>
      <c r="H30" s="33">
        <f>ROUND('Anexo 12'!H30*'Anexo 2'!$D$10,0)</f>
        <v>0</v>
      </c>
      <c r="I30" s="33">
        <f>ROUND('Anexo 12'!I30*'Anexo 2'!$D$10,0)</f>
        <v>0</v>
      </c>
      <c r="J30" s="33">
        <f>ROUND('Anexo 12'!J30*'Anexo 2'!$D$10,0)</f>
        <v>0</v>
      </c>
      <c r="K30" s="33">
        <f>ROUND('Anexo 12'!K30*'Anexo 2'!$D$10,0)</f>
        <v>0</v>
      </c>
      <c r="L30" s="33">
        <f>ROUND('Anexo 12'!L30*'Anexo 2'!$D$10,0)</f>
        <v>0</v>
      </c>
      <c r="M30" s="33">
        <f>ROUND('Anexo 12'!M30*'Anexo 2'!$D$10,0)</f>
        <v>0</v>
      </c>
      <c r="N30" s="33">
        <f>ROUND('Anexo 12'!N30*'Anexo 2'!$D$10,0)</f>
        <v>0</v>
      </c>
      <c r="O30" s="33">
        <f>ROUND('Anexo 12'!O30*'Anexo 2'!$D$10,0)</f>
        <v>0</v>
      </c>
      <c r="P30" s="33">
        <f>ROUND('Anexo 12'!P30*'Anexo 2'!$D$10,0)</f>
        <v>0</v>
      </c>
      <c r="Q30" s="33">
        <f>ROUND('Anexo 12'!Q30*'Anexo 2'!$D$10,0)</f>
        <v>0</v>
      </c>
      <c r="R30" s="33">
        <f>ROUND('Anexo 12'!R30*'Anexo 2'!$D$10,0)</f>
        <v>0</v>
      </c>
      <c r="S30" s="33">
        <f>ROUND('Anexo 12'!S30*'Anexo 2'!$D$10,0)</f>
        <v>0</v>
      </c>
      <c r="T30" s="33">
        <f>ROUND('Anexo 12'!T30*'Anexo 2'!$D$10,0)</f>
        <v>0</v>
      </c>
      <c r="U30" s="33">
        <f>ROUND('Anexo 12'!U30*'Anexo 2'!$D$10,0)</f>
        <v>0</v>
      </c>
      <c r="V30" s="33">
        <f>ROUND('Anexo 12'!V30*'Anexo 2'!$D$10,0)</f>
        <v>0</v>
      </c>
      <c r="W30" s="33">
        <f>ROUND('Anexo 12'!W30*'Anexo 2'!$D$10,0)</f>
        <v>0</v>
      </c>
      <c r="X30" s="33">
        <f>ROUND('Anexo 12'!X30*'Anexo 2'!$D$10,0)</f>
        <v>0</v>
      </c>
      <c r="Y30" s="33">
        <f>ROUND('Anexo 12'!Y30*'Anexo 2'!$D$10,0)</f>
        <v>0</v>
      </c>
      <c r="Z30" s="33">
        <f>ROUND('Anexo 12'!Z30*'Anexo 2'!$D$10,0)</f>
        <v>0</v>
      </c>
      <c r="AA30" s="35">
        <f t="shared" si="0"/>
        <v>0</v>
      </c>
      <c r="AB30" s="19">
        <v>22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ROUND('Anexo 12'!C31*'Anexo 2'!$D$10,0)</f>
        <v>0</v>
      </c>
      <c r="D31" s="33">
        <f>ROUND('Anexo 12'!D31*'Anexo 2'!$D$10,0)</f>
        <v>0</v>
      </c>
      <c r="E31" s="33">
        <f>ROUND('Anexo 12'!E31*'Anexo 2'!$D$10,0)</f>
        <v>0</v>
      </c>
      <c r="F31" s="33">
        <f>ROUND('Anexo 12'!F31*'Anexo 2'!$D$10,0)</f>
        <v>0</v>
      </c>
      <c r="G31" s="33">
        <f>ROUND('Anexo 12'!G31*'Anexo 2'!$D$10,0)</f>
        <v>0</v>
      </c>
      <c r="H31" s="33">
        <f>ROUND('Anexo 12'!H31*'Anexo 2'!$D$10,0)</f>
        <v>0</v>
      </c>
      <c r="I31" s="33">
        <f>ROUND('Anexo 12'!I31*'Anexo 2'!$D$10,0)</f>
        <v>0</v>
      </c>
      <c r="J31" s="33">
        <f>ROUND('Anexo 12'!J31*'Anexo 2'!$D$10,0)</f>
        <v>0</v>
      </c>
      <c r="K31" s="33">
        <f>ROUND('Anexo 12'!K31*'Anexo 2'!$D$10,0)</f>
        <v>0</v>
      </c>
      <c r="L31" s="33">
        <f>ROUND('Anexo 12'!L31*'Anexo 2'!$D$10,0)</f>
        <v>0</v>
      </c>
      <c r="M31" s="33">
        <f>ROUND('Anexo 12'!M31*'Anexo 2'!$D$10,0)</f>
        <v>0</v>
      </c>
      <c r="N31" s="33">
        <f>ROUND('Anexo 12'!N31*'Anexo 2'!$D$10,0)</f>
        <v>0</v>
      </c>
      <c r="O31" s="33">
        <f>ROUND('Anexo 12'!O31*'Anexo 2'!$D$10,0)</f>
        <v>0</v>
      </c>
      <c r="P31" s="33">
        <f>ROUND('Anexo 12'!P31*'Anexo 2'!$D$10,0)</f>
        <v>0</v>
      </c>
      <c r="Q31" s="33">
        <f>ROUND('Anexo 12'!Q31*'Anexo 2'!$D$10,0)</f>
        <v>0</v>
      </c>
      <c r="R31" s="33">
        <f>ROUND('Anexo 12'!R31*'Anexo 2'!$D$10,0)</f>
        <v>0</v>
      </c>
      <c r="S31" s="33">
        <f>ROUND('Anexo 12'!S31*'Anexo 2'!$D$10,0)</f>
        <v>0</v>
      </c>
      <c r="T31" s="33">
        <f>ROUND('Anexo 12'!T31*'Anexo 2'!$D$10,0)</f>
        <v>0</v>
      </c>
      <c r="U31" s="33">
        <f>ROUND('Anexo 12'!U31*'Anexo 2'!$D$10,0)</f>
        <v>0</v>
      </c>
      <c r="V31" s="33">
        <f>ROUND('Anexo 12'!V31*'Anexo 2'!$D$10,0)</f>
        <v>0</v>
      </c>
      <c r="W31" s="33">
        <f>ROUND('Anexo 12'!W31*'Anexo 2'!$D$10,0)</f>
        <v>0</v>
      </c>
      <c r="X31" s="33">
        <f>ROUND('Anexo 12'!X31*'Anexo 2'!$D$10,0)</f>
        <v>0</v>
      </c>
      <c r="Y31" s="33">
        <f>ROUND('Anexo 12'!Y31*'Anexo 2'!$D$10,0)</f>
        <v>0</v>
      </c>
      <c r="Z31" s="33">
        <f>ROUND('Anexo 12'!Z31*'Anexo 2'!$D$10,0)</f>
        <v>0</v>
      </c>
      <c r="AA31" s="38">
        <f t="shared" si="0"/>
        <v>0</v>
      </c>
      <c r="AB31" s="21">
        <v>4</v>
      </c>
      <c r="AC31" s="95"/>
      <c r="AD31" s="47"/>
    </row>
    <row r="32" spans="1:30" ht="15.75" thickBot="1" x14ac:dyDescent="0.3">
      <c r="A32" s="93"/>
      <c r="B32" s="22" t="s">
        <v>3</v>
      </c>
      <c r="C32" s="33">
        <f>ROUND('Anexo 12'!C32*'Anexo 2'!$D$10,0)</f>
        <v>0</v>
      </c>
      <c r="D32" s="33">
        <f>ROUND('Anexo 12'!D32*'Anexo 2'!$D$10,0)</f>
        <v>0</v>
      </c>
      <c r="E32" s="33">
        <f>ROUND('Anexo 12'!E32*'Anexo 2'!$D$10,0)</f>
        <v>0</v>
      </c>
      <c r="F32" s="33">
        <f>ROUND('Anexo 12'!F32*'Anexo 2'!$D$10,0)</f>
        <v>0</v>
      </c>
      <c r="G32" s="33">
        <f>ROUND('Anexo 12'!G32*'Anexo 2'!$D$10,0)</f>
        <v>0</v>
      </c>
      <c r="H32" s="33">
        <f>ROUND('Anexo 12'!H32*'Anexo 2'!$D$10,0)</f>
        <v>0</v>
      </c>
      <c r="I32" s="33">
        <f>ROUND('Anexo 12'!I32*'Anexo 2'!$D$10,0)</f>
        <v>0</v>
      </c>
      <c r="J32" s="33">
        <f>ROUND('Anexo 12'!J32*'Anexo 2'!$D$10,0)</f>
        <v>0</v>
      </c>
      <c r="K32" s="33">
        <f>ROUND('Anexo 12'!K32*'Anexo 2'!$D$10,0)</f>
        <v>0</v>
      </c>
      <c r="L32" s="33">
        <f>ROUND('Anexo 12'!L32*'Anexo 2'!$D$10,0)</f>
        <v>0</v>
      </c>
      <c r="M32" s="33">
        <f>ROUND('Anexo 12'!M32*'Anexo 2'!$D$10,0)</f>
        <v>0</v>
      </c>
      <c r="N32" s="33">
        <f>ROUND('Anexo 12'!N32*'Anexo 2'!$D$10,0)</f>
        <v>0</v>
      </c>
      <c r="O32" s="33">
        <f>ROUND('Anexo 12'!O32*'Anexo 2'!$D$10,0)</f>
        <v>0</v>
      </c>
      <c r="P32" s="33">
        <f>ROUND('Anexo 12'!P32*'Anexo 2'!$D$10,0)</f>
        <v>0</v>
      </c>
      <c r="Q32" s="33">
        <f>ROUND('Anexo 12'!Q32*'Anexo 2'!$D$10,0)</f>
        <v>0</v>
      </c>
      <c r="R32" s="33">
        <f>ROUND('Anexo 12'!R32*'Anexo 2'!$D$10,0)</f>
        <v>0</v>
      </c>
      <c r="S32" s="33">
        <f>ROUND('Anexo 12'!S32*'Anexo 2'!$D$10,0)</f>
        <v>0</v>
      </c>
      <c r="T32" s="33">
        <f>ROUND('Anexo 12'!T32*'Anexo 2'!$D$10,0)</f>
        <v>0</v>
      </c>
      <c r="U32" s="33">
        <f>ROUND('Anexo 12'!U32*'Anexo 2'!$D$10,0)</f>
        <v>0</v>
      </c>
      <c r="V32" s="33">
        <f>ROUND('Anexo 12'!V32*'Anexo 2'!$D$10,0)</f>
        <v>0</v>
      </c>
      <c r="W32" s="33">
        <f>ROUND('Anexo 12'!W32*'Anexo 2'!$D$10,0)</f>
        <v>0</v>
      </c>
      <c r="X32" s="33">
        <f>ROUND('Anexo 12'!X32*'Anexo 2'!$D$10,0)</f>
        <v>0</v>
      </c>
      <c r="Y32" s="33">
        <f>ROUND('Anexo 12'!Y32*'Anexo 2'!$D$10,0)</f>
        <v>0</v>
      </c>
      <c r="Z32" s="33">
        <f>ROUND('Anexo 12'!Z32*'Anexo 2'!$D$10,0)</f>
        <v>0</v>
      </c>
      <c r="AA32" s="41">
        <f t="shared" si="0"/>
        <v>0</v>
      </c>
      <c r="AB32" s="23">
        <v>4</v>
      </c>
      <c r="AC32" s="96"/>
      <c r="AD32" s="48"/>
    </row>
    <row r="33" spans="1:30" ht="15.75" thickBot="1" x14ac:dyDescent="0.3">
      <c r="A33" s="93">
        <v>46661</v>
      </c>
      <c r="B33" s="18" t="s">
        <v>5</v>
      </c>
      <c r="C33" s="33">
        <f>ROUND('Anexo 12'!C33*'Anexo 2'!$D$10,0)</f>
        <v>0</v>
      </c>
      <c r="D33" s="33">
        <f>ROUND('Anexo 12'!D33*'Anexo 2'!$D$10,0)</f>
        <v>0</v>
      </c>
      <c r="E33" s="33">
        <f>ROUND('Anexo 12'!E33*'Anexo 2'!$D$10,0)</f>
        <v>0</v>
      </c>
      <c r="F33" s="33">
        <f>ROUND('Anexo 12'!F33*'Anexo 2'!$D$10,0)</f>
        <v>0</v>
      </c>
      <c r="G33" s="33">
        <f>ROUND('Anexo 12'!G33*'Anexo 2'!$D$10,0)</f>
        <v>0</v>
      </c>
      <c r="H33" s="33">
        <f>ROUND('Anexo 12'!H33*'Anexo 2'!$D$10,0)</f>
        <v>0</v>
      </c>
      <c r="I33" s="33">
        <f>ROUND('Anexo 12'!I33*'Anexo 2'!$D$10,0)</f>
        <v>0</v>
      </c>
      <c r="J33" s="33">
        <f>ROUND('Anexo 12'!J33*'Anexo 2'!$D$10,0)</f>
        <v>0</v>
      </c>
      <c r="K33" s="33">
        <f>ROUND('Anexo 12'!K33*'Anexo 2'!$D$10,0)</f>
        <v>0</v>
      </c>
      <c r="L33" s="33">
        <f>ROUND('Anexo 12'!L33*'Anexo 2'!$D$10,0)</f>
        <v>0</v>
      </c>
      <c r="M33" s="33">
        <f>ROUND('Anexo 12'!M33*'Anexo 2'!$D$10,0)</f>
        <v>0</v>
      </c>
      <c r="N33" s="33">
        <f>ROUND('Anexo 12'!N33*'Anexo 2'!$D$10,0)</f>
        <v>0</v>
      </c>
      <c r="O33" s="33">
        <f>ROUND('Anexo 12'!O33*'Anexo 2'!$D$10,0)</f>
        <v>0</v>
      </c>
      <c r="P33" s="33">
        <f>ROUND('Anexo 12'!P33*'Anexo 2'!$D$10,0)</f>
        <v>0</v>
      </c>
      <c r="Q33" s="33">
        <f>ROUND('Anexo 12'!Q33*'Anexo 2'!$D$10,0)</f>
        <v>0</v>
      </c>
      <c r="R33" s="33">
        <f>ROUND('Anexo 12'!R33*'Anexo 2'!$D$10,0)</f>
        <v>0</v>
      </c>
      <c r="S33" s="33">
        <f>ROUND('Anexo 12'!S33*'Anexo 2'!$D$10,0)</f>
        <v>0</v>
      </c>
      <c r="T33" s="33">
        <f>ROUND('Anexo 12'!T33*'Anexo 2'!$D$10,0)</f>
        <v>0</v>
      </c>
      <c r="U33" s="33">
        <f>ROUND('Anexo 12'!U33*'Anexo 2'!$D$10,0)</f>
        <v>0</v>
      </c>
      <c r="V33" s="33">
        <f>ROUND('Anexo 12'!V33*'Anexo 2'!$D$10,0)</f>
        <v>0</v>
      </c>
      <c r="W33" s="33">
        <f>ROUND('Anexo 12'!W33*'Anexo 2'!$D$10,0)</f>
        <v>0</v>
      </c>
      <c r="X33" s="33">
        <f>ROUND('Anexo 12'!X33*'Anexo 2'!$D$10,0)</f>
        <v>0</v>
      </c>
      <c r="Y33" s="33">
        <f>ROUND('Anexo 12'!Y33*'Anexo 2'!$D$10,0)</f>
        <v>0</v>
      </c>
      <c r="Z33" s="33">
        <f>ROUND('Anexo 12'!Z33*'Anexo 2'!$D$10,0)</f>
        <v>0</v>
      </c>
      <c r="AA33" s="35">
        <f t="shared" si="0"/>
        <v>0</v>
      </c>
      <c r="AB33" s="19">
        <v>20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ROUND('Anexo 12'!C34*'Anexo 2'!$D$10,0)</f>
        <v>0</v>
      </c>
      <c r="D34" s="33">
        <f>ROUND('Anexo 12'!D34*'Anexo 2'!$D$10,0)</f>
        <v>0</v>
      </c>
      <c r="E34" s="33">
        <f>ROUND('Anexo 12'!E34*'Anexo 2'!$D$10,0)</f>
        <v>0</v>
      </c>
      <c r="F34" s="33">
        <f>ROUND('Anexo 12'!F34*'Anexo 2'!$D$10,0)</f>
        <v>0</v>
      </c>
      <c r="G34" s="33">
        <f>ROUND('Anexo 12'!G34*'Anexo 2'!$D$10,0)</f>
        <v>0</v>
      </c>
      <c r="H34" s="33">
        <f>ROUND('Anexo 12'!H34*'Anexo 2'!$D$10,0)</f>
        <v>0</v>
      </c>
      <c r="I34" s="33">
        <f>ROUND('Anexo 12'!I34*'Anexo 2'!$D$10,0)</f>
        <v>0</v>
      </c>
      <c r="J34" s="33">
        <f>ROUND('Anexo 12'!J34*'Anexo 2'!$D$10,0)</f>
        <v>0</v>
      </c>
      <c r="K34" s="33">
        <f>ROUND('Anexo 12'!K34*'Anexo 2'!$D$10,0)</f>
        <v>0</v>
      </c>
      <c r="L34" s="33">
        <f>ROUND('Anexo 12'!L34*'Anexo 2'!$D$10,0)</f>
        <v>0</v>
      </c>
      <c r="M34" s="33">
        <f>ROUND('Anexo 12'!M34*'Anexo 2'!$D$10,0)</f>
        <v>0</v>
      </c>
      <c r="N34" s="33">
        <f>ROUND('Anexo 12'!N34*'Anexo 2'!$D$10,0)</f>
        <v>0</v>
      </c>
      <c r="O34" s="33">
        <f>ROUND('Anexo 12'!O34*'Anexo 2'!$D$10,0)</f>
        <v>0</v>
      </c>
      <c r="P34" s="33">
        <f>ROUND('Anexo 12'!P34*'Anexo 2'!$D$10,0)</f>
        <v>0</v>
      </c>
      <c r="Q34" s="33">
        <f>ROUND('Anexo 12'!Q34*'Anexo 2'!$D$10,0)</f>
        <v>0</v>
      </c>
      <c r="R34" s="33">
        <f>ROUND('Anexo 12'!R34*'Anexo 2'!$D$10,0)</f>
        <v>0</v>
      </c>
      <c r="S34" s="33">
        <f>ROUND('Anexo 12'!S34*'Anexo 2'!$D$10,0)</f>
        <v>0</v>
      </c>
      <c r="T34" s="33">
        <f>ROUND('Anexo 12'!T34*'Anexo 2'!$D$10,0)</f>
        <v>0</v>
      </c>
      <c r="U34" s="33">
        <f>ROUND('Anexo 12'!U34*'Anexo 2'!$D$10,0)</f>
        <v>0</v>
      </c>
      <c r="V34" s="33">
        <f>ROUND('Anexo 12'!V34*'Anexo 2'!$D$10,0)</f>
        <v>0</v>
      </c>
      <c r="W34" s="33">
        <f>ROUND('Anexo 12'!W34*'Anexo 2'!$D$10,0)</f>
        <v>0</v>
      </c>
      <c r="X34" s="33">
        <f>ROUND('Anexo 12'!X34*'Anexo 2'!$D$10,0)</f>
        <v>0</v>
      </c>
      <c r="Y34" s="33">
        <f>ROUND('Anexo 12'!Y34*'Anexo 2'!$D$10,0)</f>
        <v>0</v>
      </c>
      <c r="Z34" s="33">
        <f>ROUND('Anexo 12'!Z34*'Anexo 2'!$D$10,0)</f>
        <v>0</v>
      </c>
      <c r="AA34" s="38">
        <f t="shared" si="0"/>
        <v>0</v>
      </c>
      <c r="AB34" s="21">
        <v>5</v>
      </c>
      <c r="AC34" s="95"/>
      <c r="AD34" s="47"/>
    </row>
    <row r="35" spans="1:30" ht="15.75" thickBot="1" x14ac:dyDescent="0.3">
      <c r="A35" s="93"/>
      <c r="B35" s="22" t="s">
        <v>3</v>
      </c>
      <c r="C35" s="33">
        <f>ROUND('Anexo 12'!C35*'Anexo 2'!$D$10,0)</f>
        <v>0</v>
      </c>
      <c r="D35" s="33">
        <f>ROUND('Anexo 12'!D35*'Anexo 2'!$D$10,0)</f>
        <v>0</v>
      </c>
      <c r="E35" s="33">
        <f>ROUND('Anexo 12'!E35*'Anexo 2'!$D$10,0)</f>
        <v>0</v>
      </c>
      <c r="F35" s="33">
        <f>ROUND('Anexo 12'!F35*'Anexo 2'!$D$10,0)</f>
        <v>0</v>
      </c>
      <c r="G35" s="33">
        <f>ROUND('Anexo 12'!G35*'Anexo 2'!$D$10,0)</f>
        <v>0</v>
      </c>
      <c r="H35" s="33">
        <f>ROUND('Anexo 12'!H35*'Anexo 2'!$D$10,0)</f>
        <v>0</v>
      </c>
      <c r="I35" s="33">
        <f>ROUND('Anexo 12'!I35*'Anexo 2'!$D$10,0)</f>
        <v>0</v>
      </c>
      <c r="J35" s="33">
        <f>ROUND('Anexo 12'!J35*'Anexo 2'!$D$10,0)</f>
        <v>0</v>
      </c>
      <c r="K35" s="33">
        <f>ROUND('Anexo 12'!K35*'Anexo 2'!$D$10,0)</f>
        <v>0</v>
      </c>
      <c r="L35" s="33">
        <f>ROUND('Anexo 12'!L35*'Anexo 2'!$D$10,0)</f>
        <v>0</v>
      </c>
      <c r="M35" s="33">
        <f>ROUND('Anexo 12'!M35*'Anexo 2'!$D$10,0)</f>
        <v>0</v>
      </c>
      <c r="N35" s="33">
        <f>ROUND('Anexo 12'!N35*'Anexo 2'!$D$10,0)</f>
        <v>0</v>
      </c>
      <c r="O35" s="33">
        <f>ROUND('Anexo 12'!O35*'Anexo 2'!$D$10,0)</f>
        <v>0</v>
      </c>
      <c r="P35" s="33">
        <f>ROUND('Anexo 12'!P35*'Anexo 2'!$D$10,0)</f>
        <v>0</v>
      </c>
      <c r="Q35" s="33">
        <f>ROUND('Anexo 12'!Q35*'Anexo 2'!$D$10,0)</f>
        <v>0</v>
      </c>
      <c r="R35" s="33">
        <f>ROUND('Anexo 12'!R35*'Anexo 2'!$D$10,0)</f>
        <v>0</v>
      </c>
      <c r="S35" s="33">
        <f>ROUND('Anexo 12'!S35*'Anexo 2'!$D$10,0)</f>
        <v>0</v>
      </c>
      <c r="T35" s="33">
        <f>ROUND('Anexo 12'!T35*'Anexo 2'!$D$10,0)</f>
        <v>0</v>
      </c>
      <c r="U35" s="33">
        <f>ROUND('Anexo 12'!U35*'Anexo 2'!$D$10,0)</f>
        <v>0</v>
      </c>
      <c r="V35" s="33">
        <f>ROUND('Anexo 12'!V35*'Anexo 2'!$D$10,0)</f>
        <v>0</v>
      </c>
      <c r="W35" s="33">
        <f>ROUND('Anexo 12'!W35*'Anexo 2'!$D$10,0)</f>
        <v>0</v>
      </c>
      <c r="X35" s="33">
        <f>ROUND('Anexo 12'!X35*'Anexo 2'!$D$10,0)</f>
        <v>0</v>
      </c>
      <c r="Y35" s="33">
        <f>ROUND('Anexo 12'!Y35*'Anexo 2'!$D$10,0)</f>
        <v>0</v>
      </c>
      <c r="Z35" s="33">
        <f>ROUND('Anexo 12'!Z35*'Anexo 2'!$D$10,0)</f>
        <v>0</v>
      </c>
      <c r="AA35" s="41">
        <f t="shared" si="0"/>
        <v>0</v>
      </c>
      <c r="AB35" s="23">
        <v>6</v>
      </c>
      <c r="AC35" s="96"/>
      <c r="AD35" s="48"/>
    </row>
    <row r="36" spans="1:30" ht="15.75" thickBot="1" x14ac:dyDescent="0.3">
      <c r="A36" s="93">
        <v>46692</v>
      </c>
      <c r="B36" s="18" t="s">
        <v>5</v>
      </c>
      <c r="C36" s="33">
        <f>ROUND('Anexo 12'!C36*'Anexo 2'!$D$10,0)</f>
        <v>0</v>
      </c>
      <c r="D36" s="33">
        <f>ROUND('Anexo 12'!D36*'Anexo 2'!$D$10,0)</f>
        <v>0</v>
      </c>
      <c r="E36" s="33">
        <f>ROUND('Anexo 12'!E36*'Anexo 2'!$D$10,0)</f>
        <v>0</v>
      </c>
      <c r="F36" s="33">
        <f>ROUND('Anexo 12'!F36*'Anexo 2'!$D$10,0)</f>
        <v>0</v>
      </c>
      <c r="G36" s="33">
        <f>ROUND('Anexo 12'!G36*'Anexo 2'!$D$10,0)</f>
        <v>0</v>
      </c>
      <c r="H36" s="33">
        <f>ROUND('Anexo 12'!H36*'Anexo 2'!$D$10,0)</f>
        <v>0</v>
      </c>
      <c r="I36" s="33">
        <f>ROUND('Anexo 12'!I36*'Anexo 2'!$D$10,0)</f>
        <v>0</v>
      </c>
      <c r="J36" s="33">
        <f>ROUND('Anexo 12'!J36*'Anexo 2'!$D$10,0)</f>
        <v>0</v>
      </c>
      <c r="K36" s="33">
        <f>ROUND('Anexo 12'!K36*'Anexo 2'!$D$10,0)</f>
        <v>0</v>
      </c>
      <c r="L36" s="33">
        <f>ROUND('Anexo 12'!L36*'Anexo 2'!$D$10,0)</f>
        <v>0</v>
      </c>
      <c r="M36" s="33">
        <f>ROUND('Anexo 12'!M36*'Anexo 2'!$D$10,0)</f>
        <v>0</v>
      </c>
      <c r="N36" s="33">
        <f>ROUND('Anexo 12'!N36*'Anexo 2'!$D$10,0)</f>
        <v>0</v>
      </c>
      <c r="O36" s="33">
        <f>ROUND('Anexo 12'!O36*'Anexo 2'!$D$10,0)</f>
        <v>0</v>
      </c>
      <c r="P36" s="33">
        <f>ROUND('Anexo 12'!P36*'Anexo 2'!$D$10,0)</f>
        <v>0</v>
      </c>
      <c r="Q36" s="33">
        <f>ROUND('Anexo 12'!Q36*'Anexo 2'!$D$10,0)</f>
        <v>0</v>
      </c>
      <c r="R36" s="33">
        <f>ROUND('Anexo 12'!R36*'Anexo 2'!$D$10,0)</f>
        <v>0</v>
      </c>
      <c r="S36" s="33">
        <f>ROUND('Anexo 12'!S36*'Anexo 2'!$D$10,0)</f>
        <v>0</v>
      </c>
      <c r="T36" s="33">
        <f>ROUND('Anexo 12'!T36*'Anexo 2'!$D$10,0)</f>
        <v>0</v>
      </c>
      <c r="U36" s="33">
        <f>ROUND('Anexo 12'!U36*'Anexo 2'!$D$10,0)</f>
        <v>0</v>
      </c>
      <c r="V36" s="33">
        <f>ROUND('Anexo 12'!V36*'Anexo 2'!$D$10,0)</f>
        <v>0</v>
      </c>
      <c r="W36" s="33">
        <f>ROUND('Anexo 12'!W36*'Anexo 2'!$D$10,0)</f>
        <v>0</v>
      </c>
      <c r="X36" s="33">
        <f>ROUND('Anexo 12'!X36*'Anexo 2'!$D$10,0)</f>
        <v>0</v>
      </c>
      <c r="Y36" s="33">
        <f>ROUND('Anexo 12'!Y36*'Anexo 2'!$D$10,0)</f>
        <v>0</v>
      </c>
      <c r="Z36" s="33">
        <f>ROUND('Anexo 12'!Z36*'Anexo 2'!$D$10,0)</f>
        <v>0</v>
      </c>
      <c r="AA36" s="35">
        <f t="shared" si="0"/>
        <v>0</v>
      </c>
      <c r="AB36" s="19">
        <v>20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ROUND('Anexo 12'!C37*'Anexo 2'!$D$10,0)</f>
        <v>0</v>
      </c>
      <c r="D37" s="33">
        <f>ROUND('Anexo 12'!D37*'Anexo 2'!$D$10,0)</f>
        <v>0</v>
      </c>
      <c r="E37" s="33">
        <f>ROUND('Anexo 12'!E37*'Anexo 2'!$D$10,0)</f>
        <v>0</v>
      </c>
      <c r="F37" s="33">
        <f>ROUND('Anexo 12'!F37*'Anexo 2'!$D$10,0)</f>
        <v>0</v>
      </c>
      <c r="G37" s="33">
        <f>ROUND('Anexo 12'!G37*'Anexo 2'!$D$10,0)</f>
        <v>0</v>
      </c>
      <c r="H37" s="33">
        <f>ROUND('Anexo 12'!H37*'Anexo 2'!$D$10,0)</f>
        <v>0</v>
      </c>
      <c r="I37" s="33">
        <f>ROUND('Anexo 12'!I37*'Anexo 2'!$D$10,0)</f>
        <v>0</v>
      </c>
      <c r="J37" s="33">
        <f>ROUND('Anexo 12'!J37*'Anexo 2'!$D$10,0)</f>
        <v>0</v>
      </c>
      <c r="K37" s="33">
        <f>ROUND('Anexo 12'!K37*'Anexo 2'!$D$10,0)</f>
        <v>0</v>
      </c>
      <c r="L37" s="33">
        <f>ROUND('Anexo 12'!L37*'Anexo 2'!$D$10,0)</f>
        <v>0</v>
      </c>
      <c r="M37" s="33">
        <f>ROUND('Anexo 12'!M37*'Anexo 2'!$D$10,0)</f>
        <v>0</v>
      </c>
      <c r="N37" s="33">
        <f>ROUND('Anexo 12'!N37*'Anexo 2'!$D$10,0)</f>
        <v>0</v>
      </c>
      <c r="O37" s="33">
        <f>ROUND('Anexo 12'!O37*'Anexo 2'!$D$10,0)</f>
        <v>0</v>
      </c>
      <c r="P37" s="33">
        <f>ROUND('Anexo 12'!P37*'Anexo 2'!$D$10,0)</f>
        <v>0</v>
      </c>
      <c r="Q37" s="33">
        <f>ROUND('Anexo 12'!Q37*'Anexo 2'!$D$10,0)</f>
        <v>0</v>
      </c>
      <c r="R37" s="33">
        <f>ROUND('Anexo 12'!R37*'Anexo 2'!$D$10,0)</f>
        <v>0</v>
      </c>
      <c r="S37" s="33">
        <f>ROUND('Anexo 12'!S37*'Anexo 2'!$D$10,0)</f>
        <v>0</v>
      </c>
      <c r="T37" s="33">
        <f>ROUND('Anexo 12'!T37*'Anexo 2'!$D$10,0)</f>
        <v>0</v>
      </c>
      <c r="U37" s="33">
        <f>ROUND('Anexo 12'!U37*'Anexo 2'!$D$10,0)</f>
        <v>0</v>
      </c>
      <c r="V37" s="33">
        <f>ROUND('Anexo 12'!V37*'Anexo 2'!$D$10,0)</f>
        <v>0</v>
      </c>
      <c r="W37" s="33">
        <f>ROUND('Anexo 12'!W37*'Anexo 2'!$D$10,0)</f>
        <v>0</v>
      </c>
      <c r="X37" s="33">
        <f>ROUND('Anexo 12'!X37*'Anexo 2'!$D$10,0)</f>
        <v>0</v>
      </c>
      <c r="Y37" s="33">
        <f>ROUND('Anexo 12'!Y37*'Anexo 2'!$D$10,0)</f>
        <v>0</v>
      </c>
      <c r="Z37" s="33">
        <f>ROUND('Anexo 12'!Z37*'Anexo 2'!$D$10,0)</f>
        <v>0</v>
      </c>
      <c r="AA37" s="38">
        <f t="shared" si="0"/>
        <v>0</v>
      </c>
      <c r="AB37" s="21">
        <v>4</v>
      </c>
      <c r="AC37" s="95"/>
      <c r="AD37" s="47"/>
    </row>
    <row r="38" spans="1:30" ht="15.75" thickBot="1" x14ac:dyDescent="0.3">
      <c r="A38" s="93"/>
      <c r="B38" s="22" t="s">
        <v>3</v>
      </c>
      <c r="C38" s="33">
        <f>ROUND('Anexo 12'!C38*'Anexo 2'!$D$10,0)</f>
        <v>0</v>
      </c>
      <c r="D38" s="33">
        <f>ROUND('Anexo 12'!D38*'Anexo 2'!$D$10,0)</f>
        <v>0</v>
      </c>
      <c r="E38" s="33">
        <f>ROUND('Anexo 12'!E38*'Anexo 2'!$D$10,0)</f>
        <v>0</v>
      </c>
      <c r="F38" s="33">
        <f>ROUND('Anexo 12'!F38*'Anexo 2'!$D$10,0)</f>
        <v>0</v>
      </c>
      <c r="G38" s="33">
        <f>ROUND('Anexo 12'!G38*'Anexo 2'!$D$10,0)</f>
        <v>0</v>
      </c>
      <c r="H38" s="33">
        <f>ROUND('Anexo 12'!H38*'Anexo 2'!$D$10,0)</f>
        <v>0</v>
      </c>
      <c r="I38" s="33">
        <f>ROUND('Anexo 12'!I38*'Anexo 2'!$D$10,0)</f>
        <v>0</v>
      </c>
      <c r="J38" s="33">
        <f>ROUND('Anexo 12'!J38*'Anexo 2'!$D$10,0)</f>
        <v>0</v>
      </c>
      <c r="K38" s="33">
        <f>ROUND('Anexo 12'!K38*'Anexo 2'!$D$10,0)</f>
        <v>0</v>
      </c>
      <c r="L38" s="33">
        <f>ROUND('Anexo 12'!L38*'Anexo 2'!$D$10,0)</f>
        <v>0</v>
      </c>
      <c r="M38" s="33">
        <f>ROUND('Anexo 12'!M38*'Anexo 2'!$D$10,0)</f>
        <v>0</v>
      </c>
      <c r="N38" s="33">
        <f>ROUND('Anexo 12'!N38*'Anexo 2'!$D$10,0)</f>
        <v>0</v>
      </c>
      <c r="O38" s="33">
        <f>ROUND('Anexo 12'!O38*'Anexo 2'!$D$10,0)</f>
        <v>0</v>
      </c>
      <c r="P38" s="33">
        <f>ROUND('Anexo 12'!P38*'Anexo 2'!$D$10,0)</f>
        <v>0</v>
      </c>
      <c r="Q38" s="33">
        <f>ROUND('Anexo 12'!Q38*'Anexo 2'!$D$10,0)</f>
        <v>0</v>
      </c>
      <c r="R38" s="33">
        <f>ROUND('Anexo 12'!R38*'Anexo 2'!$D$10,0)</f>
        <v>0</v>
      </c>
      <c r="S38" s="33">
        <f>ROUND('Anexo 12'!S38*'Anexo 2'!$D$10,0)</f>
        <v>0</v>
      </c>
      <c r="T38" s="33">
        <f>ROUND('Anexo 12'!T38*'Anexo 2'!$D$10,0)</f>
        <v>0</v>
      </c>
      <c r="U38" s="33">
        <f>ROUND('Anexo 12'!U38*'Anexo 2'!$D$10,0)</f>
        <v>0</v>
      </c>
      <c r="V38" s="33">
        <f>ROUND('Anexo 12'!V38*'Anexo 2'!$D$10,0)</f>
        <v>0</v>
      </c>
      <c r="W38" s="33">
        <f>ROUND('Anexo 12'!W38*'Anexo 2'!$D$10,0)</f>
        <v>0</v>
      </c>
      <c r="X38" s="33">
        <f>ROUND('Anexo 12'!X38*'Anexo 2'!$D$10,0)</f>
        <v>0</v>
      </c>
      <c r="Y38" s="33">
        <f>ROUND('Anexo 12'!Y38*'Anexo 2'!$D$10,0)</f>
        <v>0</v>
      </c>
      <c r="Z38" s="33">
        <f>ROUND('Anexo 12'!Z38*'Anexo 2'!$D$10,0)</f>
        <v>0</v>
      </c>
      <c r="AA38" s="41">
        <f t="shared" si="0"/>
        <v>0</v>
      </c>
      <c r="AB38" s="23">
        <v>6</v>
      </c>
      <c r="AC38" s="96"/>
      <c r="AD38" s="49"/>
    </row>
    <row r="39" spans="1:30" ht="15.75" thickBot="1" x14ac:dyDescent="0.3">
      <c r="A39" s="93">
        <v>46722</v>
      </c>
      <c r="B39" s="18" t="s">
        <v>5</v>
      </c>
      <c r="C39" s="33">
        <f>ROUND('Anexo 12'!C39*'Anexo 2'!$D$10,0)</f>
        <v>0</v>
      </c>
      <c r="D39" s="33">
        <f>ROUND('Anexo 12'!D39*'Anexo 2'!$D$10,0)</f>
        <v>0</v>
      </c>
      <c r="E39" s="33">
        <f>ROUND('Anexo 12'!E39*'Anexo 2'!$D$10,0)</f>
        <v>0</v>
      </c>
      <c r="F39" s="33">
        <f>ROUND('Anexo 12'!F39*'Anexo 2'!$D$10,0)</f>
        <v>0</v>
      </c>
      <c r="G39" s="33">
        <f>ROUND('Anexo 12'!G39*'Anexo 2'!$D$10,0)</f>
        <v>0</v>
      </c>
      <c r="H39" s="33">
        <f>ROUND('Anexo 12'!H39*'Anexo 2'!$D$10,0)</f>
        <v>0</v>
      </c>
      <c r="I39" s="33">
        <f>ROUND('Anexo 12'!I39*'Anexo 2'!$D$10,0)</f>
        <v>0</v>
      </c>
      <c r="J39" s="33">
        <f>ROUND('Anexo 12'!J39*'Anexo 2'!$D$10,0)</f>
        <v>0</v>
      </c>
      <c r="K39" s="33">
        <f>ROUND('Anexo 12'!K39*'Anexo 2'!$D$10,0)</f>
        <v>0</v>
      </c>
      <c r="L39" s="33">
        <f>ROUND('Anexo 12'!L39*'Anexo 2'!$D$10,0)</f>
        <v>0</v>
      </c>
      <c r="M39" s="33">
        <f>ROUND('Anexo 12'!M39*'Anexo 2'!$D$10,0)</f>
        <v>0</v>
      </c>
      <c r="N39" s="33">
        <f>ROUND('Anexo 12'!N39*'Anexo 2'!$D$10,0)</f>
        <v>0</v>
      </c>
      <c r="O39" s="33">
        <f>ROUND('Anexo 12'!O39*'Anexo 2'!$D$10,0)</f>
        <v>0</v>
      </c>
      <c r="P39" s="33">
        <f>ROUND('Anexo 12'!P39*'Anexo 2'!$D$10,0)</f>
        <v>0</v>
      </c>
      <c r="Q39" s="33">
        <f>ROUND('Anexo 12'!Q39*'Anexo 2'!$D$10,0)</f>
        <v>0</v>
      </c>
      <c r="R39" s="33">
        <f>ROUND('Anexo 12'!R39*'Anexo 2'!$D$10,0)</f>
        <v>0</v>
      </c>
      <c r="S39" s="33">
        <f>ROUND('Anexo 12'!S39*'Anexo 2'!$D$10,0)</f>
        <v>0</v>
      </c>
      <c r="T39" s="33">
        <f>ROUND('Anexo 12'!T39*'Anexo 2'!$D$10,0)</f>
        <v>0</v>
      </c>
      <c r="U39" s="33">
        <f>ROUND('Anexo 12'!U39*'Anexo 2'!$D$10,0)</f>
        <v>0</v>
      </c>
      <c r="V39" s="33">
        <f>ROUND('Anexo 12'!V39*'Anexo 2'!$D$10,0)</f>
        <v>0</v>
      </c>
      <c r="W39" s="33">
        <f>ROUND('Anexo 12'!W39*'Anexo 2'!$D$10,0)</f>
        <v>0</v>
      </c>
      <c r="X39" s="33">
        <f>ROUND('Anexo 12'!X39*'Anexo 2'!$D$10,0)</f>
        <v>0</v>
      </c>
      <c r="Y39" s="33">
        <f>ROUND('Anexo 12'!Y39*'Anexo 2'!$D$10,0)</f>
        <v>0</v>
      </c>
      <c r="Z39" s="33">
        <f>ROUND('Anexo 12'!Z39*'Anexo 2'!$D$10,0)</f>
        <v>0</v>
      </c>
      <c r="AA39" s="35">
        <f t="shared" si="0"/>
        <v>0</v>
      </c>
      <c r="AB39" s="19">
        <v>22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ROUND('Anexo 12'!C40*'Anexo 2'!$D$10,0)</f>
        <v>0</v>
      </c>
      <c r="D40" s="33">
        <f>ROUND('Anexo 12'!D40*'Anexo 2'!$D$10,0)</f>
        <v>0</v>
      </c>
      <c r="E40" s="33">
        <f>ROUND('Anexo 12'!E40*'Anexo 2'!$D$10,0)</f>
        <v>0</v>
      </c>
      <c r="F40" s="33">
        <f>ROUND('Anexo 12'!F40*'Anexo 2'!$D$10,0)</f>
        <v>0</v>
      </c>
      <c r="G40" s="33">
        <f>ROUND('Anexo 12'!G40*'Anexo 2'!$D$10,0)</f>
        <v>0</v>
      </c>
      <c r="H40" s="33">
        <f>ROUND('Anexo 12'!H40*'Anexo 2'!$D$10,0)</f>
        <v>0</v>
      </c>
      <c r="I40" s="33">
        <f>ROUND('Anexo 12'!I40*'Anexo 2'!$D$10,0)</f>
        <v>0</v>
      </c>
      <c r="J40" s="33">
        <f>ROUND('Anexo 12'!J40*'Anexo 2'!$D$10,0)</f>
        <v>0</v>
      </c>
      <c r="K40" s="33">
        <f>ROUND('Anexo 12'!K40*'Anexo 2'!$D$10,0)</f>
        <v>0</v>
      </c>
      <c r="L40" s="33">
        <f>ROUND('Anexo 12'!L40*'Anexo 2'!$D$10,0)</f>
        <v>0</v>
      </c>
      <c r="M40" s="33">
        <f>ROUND('Anexo 12'!M40*'Anexo 2'!$D$10,0)</f>
        <v>0</v>
      </c>
      <c r="N40" s="33">
        <f>ROUND('Anexo 12'!N40*'Anexo 2'!$D$10,0)</f>
        <v>0</v>
      </c>
      <c r="O40" s="33">
        <f>ROUND('Anexo 12'!O40*'Anexo 2'!$D$10,0)</f>
        <v>0</v>
      </c>
      <c r="P40" s="33">
        <f>ROUND('Anexo 12'!P40*'Anexo 2'!$D$10,0)</f>
        <v>0</v>
      </c>
      <c r="Q40" s="33">
        <f>ROUND('Anexo 12'!Q40*'Anexo 2'!$D$10,0)</f>
        <v>0</v>
      </c>
      <c r="R40" s="33">
        <f>ROUND('Anexo 12'!R40*'Anexo 2'!$D$10,0)</f>
        <v>0</v>
      </c>
      <c r="S40" s="33">
        <f>ROUND('Anexo 12'!S40*'Anexo 2'!$D$10,0)</f>
        <v>0</v>
      </c>
      <c r="T40" s="33">
        <f>ROUND('Anexo 12'!T40*'Anexo 2'!$D$10,0)</f>
        <v>0</v>
      </c>
      <c r="U40" s="33">
        <f>ROUND('Anexo 12'!U40*'Anexo 2'!$D$10,0)</f>
        <v>0</v>
      </c>
      <c r="V40" s="33">
        <f>ROUND('Anexo 12'!V40*'Anexo 2'!$D$10,0)</f>
        <v>0</v>
      </c>
      <c r="W40" s="33">
        <f>ROUND('Anexo 12'!W40*'Anexo 2'!$D$10,0)</f>
        <v>0</v>
      </c>
      <c r="X40" s="33">
        <f>ROUND('Anexo 12'!X40*'Anexo 2'!$D$10,0)</f>
        <v>0</v>
      </c>
      <c r="Y40" s="33">
        <f>ROUND('Anexo 12'!Y40*'Anexo 2'!$D$10,0)</f>
        <v>0</v>
      </c>
      <c r="Z40" s="33">
        <f>ROUND('Anexo 12'!Z40*'Anexo 2'!$D$10,0)</f>
        <v>0</v>
      </c>
      <c r="AA40" s="38">
        <f t="shared" si="0"/>
        <v>0</v>
      </c>
      <c r="AB40" s="21">
        <v>3</v>
      </c>
      <c r="AC40" s="95"/>
      <c r="AD40" s="47"/>
    </row>
    <row r="41" spans="1:30" ht="15.75" thickBot="1" x14ac:dyDescent="0.3">
      <c r="A41" s="93"/>
      <c r="B41" s="22" t="s">
        <v>3</v>
      </c>
      <c r="C41" s="33">
        <f>ROUND('Anexo 12'!C41*'Anexo 2'!$D$10,0)</f>
        <v>0</v>
      </c>
      <c r="D41" s="33">
        <f>ROUND('Anexo 12'!D41*'Anexo 2'!$D$10,0)</f>
        <v>0</v>
      </c>
      <c r="E41" s="33">
        <f>ROUND('Anexo 12'!E41*'Anexo 2'!$D$10,0)</f>
        <v>0</v>
      </c>
      <c r="F41" s="33">
        <f>ROUND('Anexo 12'!F41*'Anexo 2'!$D$10,0)</f>
        <v>0</v>
      </c>
      <c r="G41" s="33">
        <f>ROUND('Anexo 12'!G41*'Anexo 2'!$D$10,0)</f>
        <v>0</v>
      </c>
      <c r="H41" s="33">
        <f>ROUND('Anexo 12'!H41*'Anexo 2'!$D$10,0)</f>
        <v>0</v>
      </c>
      <c r="I41" s="33">
        <f>ROUND('Anexo 12'!I41*'Anexo 2'!$D$10,0)</f>
        <v>0</v>
      </c>
      <c r="J41" s="33">
        <f>ROUND('Anexo 12'!J41*'Anexo 2'!$D$10,0)</f>
        <v>0</v>
      </c>
      <c r="K41" s="33">
        <f>ROUND('Anexo 12'!K41*'Anexo 2'!$D$10,0)</f>
        <v>0</v>
      </c>
      <c r="L41" s="33">
        <f>ROUND('Anexo 12'!L41*'Anexo 2'!$D$10,0)</f>
        <v>0</v>
      </c>
      <c r="M41" s="33">
        <f>ROUND('Anexo 12'!M41*'Anexo 2'!$D$10,0)</f>
        <v>0</v>
      </c>
      <c r="N41" s="33">
        <f>ROUND('Anexo 12'!N41*'Anexo 2'!$D$10,0)</f>
        <v>0</v>
      </c>
      <c r="O41" s="33">
        <f>ROUND('Anexo 12'!O41*'Anexo 2'!$D$10,0)</f>
        <v>0</v>
      </c>
      <c r="P41" s="33">
        <f>ROUND('Anexo 12'!P41*'Anexo 2'!$D$10,0)</f>
        <v>0</v>
      </c>
      <c r="Q41" s="33">
        <f>ROUND('Anexo 12'!Q41*'Anexo 2'!$D$10,0)</f>
        <v>0</v>
      </c>
      <c r="R41" s="33">
        <f>ROUND('Anexo 12'!R41*'Anexo 2'!$D$10,0)</f>
        <v>0</v>
      </c>
      <c r="S41" s="33">
        <f>ROUND('Anexo 12'!S41*'Anexo 2'!$D$10,0)</f>
        <v>0</v>
      </c>
      <c r="T41" s="33">
        <f>ROUND('Anexo 12'!T41*'Anexo 2'!$D$10,0)</f>
        <v>0</v>
      </c>
      <c r="U41" s="33">
        <f>ROUND('Anexo 12'!U41*'Anexo 2'!$D$10,0)</f>
        <v>0</v>
      </c>
      <c r="V41" s="33">
        <f>ROUND('Anexo 12'!V41*'Anexo 2'!$D$10,0)</f>
        <v>0</v>
      </c>
      <c r="W41" s="33">
        <f>ROUND('Anexo 12'!W41*'Anexo 2'!$D$10,0)</f>
        <v>0</v>
      </c>
      <c r="X41" s="33">
        <f>ROUND('Anexo 12'!X41*'Anexo 2'!$D$10,0)</f>
        <v>0</v>
      </c>
      <c r="Y41" s="33">
        <f>ROUND('Anexo 12'!Y41*'Anexo 2'!$D$10,0)</f>
        <v>0</v>
      </c>
      <c r="Z41" s="33">
        <f>ROUND('Anexo 12'!Z41*'Anexo 2'!$D$10,0)</f>
        <v>0</v>
      </c>
      <c r="AA41" s="41">
        <f t="shared" si="0"/>
        <v>0</v>
      </c>
      <c r="AB41" s="23">
        <v>6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D221-E7EF-4226-B08A-510586E9FFC9}">
  <sheetPr codeName="Hoja3">
    <tabColor theme="4" tint="-0.249977111117893"/>
  </sheetPr>
  <dimension ref="A1:H35"/>
  <sheetViews>
    <sheetView showGridLines="0" topLeftCell="A20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hidden="1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6" t="s">
        <v>52</v>
      </c>
      <c r="C3" s="76"/>
      <c r="D3" s="76"/>
      <c r="E3" s="76"/>
      <c r="F3" s="76"/>
      <c r="G3" s="29"/>
    </row>
    <row r="4" spans="1:8" x14ac:dyDescent="0.25">
      <c r="B4" s="76" t="s">
        <v>41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1:8" ht="23.25" customHeight="1" x14ac:dyDescent="0.25">
      <c r="B9" s="78"/>
      <c r="C9" s="78"/>
      <c r="D9" s="78"/>
      <c r="E9" s="78"/>
      <c r="F9" s="78"/>
      <c r="G9" s="28"/>
    </row>
    <row r="10" spans="1:8" ht="15.75" thickBot="1" x14ac:dyDescent="0.3">
      <c r="A10" s="64"/>
      <c r="B10" s="8">
        <v>46753</v>
      </c>
      <c r="C10" s="43">
        <f>+'Anexo 13'!AC6</f>
        <v>2469927</v>
      </c>
      <c r="D10" s="73"/>
      <c r="E10" s="57">
        <f>+'Cantidades Ofertadas Prod 3'!AC6</f>
        <v>0</v>
      </c>
      <c r="F10" s="70"/>
      <c r="G10" s="32"/>
      <c r="H10" s="51"/>
    </row>
    <row r="11" spans="1:8" ht="15.75" thickBot="1" x14ac:dyDescent="0.3">
      <c r="A11" s="64"/>
      <c r="B11" s="8">
        <v>46784</v>
      </c>
      <c r="C11" s="43">
        <f>+'Anexo 13'!AC9</f>
        <v>1664815</v>
      </c>
      <c r="D11" s="74"/>
      <c r="E11" s="57">
        <f>+'Cantidades Ofertadas Prod 3'!AC9</f>
        <v>0</v>
      </c>
      <c r="F11" s="71"/>
      <c r="G11" s="32"/>
      <c r="H11" s="51"/>
    </row>
    <row r="12" spans="1:8" ht="15.75" thickBot="1" x14ac:dyDescent="0.3">
      <c r="A12" s="64"/>
      <c r="B12" s="8">
        <v>46813</v>
      </c>
      <c r="C12" s="43">
        <f>+'Anexo 13'!AC12</f>
        <v>2468294</v>
      </c>
      <c r="D12" s="74"/>
      <c r="E12" s="57">
        <f>+'Cantidades Ofertadas Prod 3'!AC12</f>
        <v>0</v>
      </c>
      <c r="F12" s="71"/>
      <c r="G12" s="32"/>
      <c r="H12" s="51"/>
    </row>
    <row r="13" spans="1:8" ht="15.75" thickBot="1" x14ac:dyDescent="0.3">
      <c r="A13" s="64"/>
      <c r="B13" s="8">
        <v>46844</v>
      </c>
      <c r="C13" s="43">
        <f>+'Anexo 13'!AC15</f>
        <v>2036758</v>
      </c>
      <c r="D13" s="74"/>
      <c r="E13" s="57">
        <f>+'Cantidades Ofertadas Prod 3'!AC15</f>
        <v>0</v>
      </c>
      <c r="F13" s="71"/>
      <c r="G13" s="32"/>
      <c r="H13" s="51"/>
    </row>
    <row r="14" spans="1:8" ht="15.75" thickBot="1" x14ac:dyDescent="0.3">
      <c r="A14" s="64"/>
      <c r="B14" s="8">
        <v>46874</v>
      </c>
      <c r="C14" s="43">
        <f>+'Anexo 13'!AC18</f>
        <v>2080628</v>
      </c>
      <c r="D14" s="74"/>
      <c r="E14" s="57">
        <f>+'Cantidades Ofertadas Prod 3'!AC18</f>
        <v>0</v>
      </c>
      <c r="F14" s="71"/>
      <c r="G14" s="32"/>
      <c r="H14" s="51"/>
    </row>
    <row r="15" spans="1:8" ht="15.75" thickBot="1" x14ac:dyDescent="0.3">
      <c r="A15" s="64"/>
      <c r="B15" s="8">
        <v>46905</v>
      </c>
      <c r="C15" s="43">
        <f>+'Anexo 13'!AC21</f>
        <v>1855010</v>
      </c>
      <c r="D15" s="74"/>
      <c r="E15" s="57">
        <f>+'Cantidades Ofertadas Prod 3'!AC21</f>
        <v>0</v>
      </c>
      <c r="F15" s="71"/>
      <c r="G15" s="32"/>
      <c r="H15" s="51"/>
    </row>
    <row r="16" spans="1:8" ht="15.75" thickBot="1" x14ac:dyDescent="0.3">
      <c r="A16" s="64"/>
      <c r="B16" s="8">
        <v>46935</v>
      </c>
      <c r="C16" s="43">
        <f>+'Anexo 13'!AC24</f>
        <v>1782959</v>
      </c>
      <c r="D16" s="74"/>
      <c r="E16" s="57">
        <f>+'Cantidades Ofertadas Prod 3'!AC24</f>
        <v>0</v>
      </c>
      <c r="F16" s="71"/>
      <c r="G16" s="32"/>
      <c r="H16" s="51"/>
    </row>
    <row r="17" spans="1:8" ht="15.75" thickBot="1" x14ac:dyDescent="0.3">
      <c r="A17" s="64"/>
      <c r="B17" s="8">
        <v>46966</v>
      </c>
      <c r="C17" s="43">
        <f>+'Anexo 13'!AC27</f>
        <v>2055264</v>
      </c>
      <c r="D17" s="74"/>
      <c r="E17" s="57">
        <f>+'Cantidades Ofertadas Prod 3'!AC27</f>
        <v>0</v>
      </c>
      <c r="F17" s="71"/>
      <c r="G17" s="32"/>
      <c r="H17" s="51"/>
    </row>
    <row r="18" spans="1:8" ht="15.75" thickBot="1" x14ac:dyDescent="0.3">
      <c r="A18" s="64"/>
      <c r="B18" s="8">
        <v>46997</v>
      </c>
      <c r="C18" s="43">
        <f>+'Anexo 13'!AC30</f>
        <v>2091155</v>
      </c>
      <c r="D18" s="74"/>
      <c r="E18" s="57">
        <f>+'Cantidades Ofertadas Prod 3'!AC30</f>
        <v>0</v>
      </c>
      <c r="F18" s="71"/>
      <c r="G18" s="32"/>
      <c r="H18" s="51"/>
    </row>
    <row r="19" spans="1:8" ht="15.75" thickBot="1" x14ac:dyDescent="0.3">
      <c r="A19" s="64"/>
      <c r="B19" s="8">
        <v>47027</v>
      </c>
      <c r="C19" s="43">
        <f>+'Anexo 13'!AC33</f>
        <v>1739781</v>
      </c>
      <c r="D19" s="74"/>
      <c r="E19" s="57">
        <f>+'Cantidades Ofertadas Prod 3'!AC33</f>
        <v>0</v>
      </c>
      <c r="F19" s="71"/>
      <c r="G19" s="32"/>
      <c r="H19" s="51"/>
    </row>
    <row r="20" spans="1:8" ht="15.75" thickBot="1" x14ac:dyDescent="0.3">
      <c r="A20" s="64"/>
      <c r="B20" s="8">
        <v>47058</v>
      </c>
      <c r="C20" s="43">
        <f>+'Anexo 13'!AC36</f>
        <v>1571082</v>
      </c>
      <c r="D20" s="74"/>
      <c r="E20" s="57">
        <f>+'Cantidades Ofertadas Prod 3'!AC36</f>
        <v>0</v>
      </c>
      <c r="F20" s="71"/>
      <c r="G20" s="32"/>
      <c r="H20" s="51"/>
    </row>
    <row r="21" spans="1:8" ht="15.75" thickBot="1" x14ac:dyDescent="0.3">
      <c r="A21" s="64"/>
      <c r="B21" s="8">
        <v>47088</v>
      </c>
      <c r="C21" s="44">
        <f>+'Anexo 13'!AC39</f>
        <v>2069696</v>
      </c>
      <c r="D21" s="75"/>
      <c r="E21" s="58">
        <f>+'Cantidades Ofertadas Prod 3'!AC39</f>
        <v>0</v>
      </c>
      <c r="F21" s="72"/>
      <c r="G21" s="32"/>
      <c r="H21" s="51"/>
    </row>
    <row r="22" spans="1:8" ht="28.5" customHeight="1" x14ac:dyDescent="0.25">
      <c r="A22" s="64"/>
      <c r="B22" s="9" t="s">
        <v>0</v>
      </c>
      <c r="C22" s="10">
        <f>+SUM(C10:C21)</f>
        <v>23885369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69" t="s">
        <v>46</v>
      </c>
      <c r="C24" s="69"/>
      <c r="D24" s="69"/>
      <c r="E24" s="69"/>
      <c r="F24" s="69"/>
      <c r="G24" s="69"/>
      <c r="H24" s="42"/>
    </row>
    <row r="25" spans="1:8" x14ac:dyDescent="0.25">
      <c r="B25" s="7" t="s">
        <v>84</v>
      </c>
      <c r="C25" s="52"/>
      <c r="D25" s="52"/>
      <c r="E25" s="52"/>
      <c r="F25" s="52"/>
      <c r="G25" s="52"/>
      <c r="H25" s="42"/>
    </row>
    <row r="26" spans="1:8" x14ac:dyDescent="0.25">
      <c r="B26" s="7" t="s">
        <v>65</v>
      </c>
      <c r="C26" s="52"/>
      <c r="D26" s="52"/>
      <c r="E26" s="52"/>
      <c r="F26" s="52"/>
      <c r="G26" s="52"/>
      <c r="H26" s="42"/>
    </row>
    <row r="27" spans="1:8" x14ac:dyDescent="0.25">
      <c r="B27" s="7" t="s">
        <v>43</v>
      </c>
      <c r="H27" s="42"/>
    </row>
    <row r="28" spans="1:8" x14ac:dyDescent="0.25">
      <c r="B28" s="7" t="s">
        <v>88</v>
      </c>
    </row>
    <row r="29" spans="1:8" x14ac:dyDescent="0.25">
      <c r="C29" s="45"/>
    </row>
    <row r="30" spans="1:8" x14ac:dyDescent="0.25">
      <c r="C30" s="45"/>
      <c r="E30" s="45">
        <f>+E22/1000</f>
        <v>0</v>
      </c>
    </row>
    <row r="31" spans="1:8" x14ac:dyDescent="0.25">
      <c r="C31" s="45"/>
    </row>
    <row r="32" spans="1:8" x14ac:dyDescent="0.25">
      <c r="B32" s="60" t="s">
        <v>53</v>
      </c>
      <c r="C32" s="61"/>
      <c r="D32" s="61"/>
      <c r="E32" s="61"/>
    </row>
    <row r="33" spans="2:2" x14ac:dyDescent="0.25">
      <c r="B33" s="61" t="s">
        <v>54</v>
      </c>
    </row>
    <row r="34" spans="2:2" x14ac:dyDescent="0.25">
      <c r="B34" s="61" t="s">
        <v>55</v>
      </c>
    </row>
    <row r="35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61A73EBC-7E67-4E7E-9186-D24A1959D44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EA43-20F0-4D82-8C03-DE937EA6488F}">
  <sheetPr codeName="Hoja6">
    <tabColor rgb="FF0070C0"/>
  </sheetPr>
  <dimension ref="A1:AD46"/>
  <sheetViews>
    <sheetView showGridLines="0" zoomScale="115" zoomScaleNormal="115" zoomScaleSheetLayoutView="110" workbookViewId="0">
      <pane xSplit="2" ySplit="5" topLeftCell="Q34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15" customHeight="1" zeroHeight="1" x14ac:dyDescent="0.25"/>
  <cols>
    <col min="1" max="1" width="6.42578125" bestFit="1" customWidth="1"/>
    <col min="2" max="2" width="8.7109375" bestFit="1" customWidth="1"/>
    <col min="3" max="6" width="6.85546875" bestFit="1" customWidth="1"/>
    <col min="7" max="7" width="7.140625" bestFit="1" customWidth="1"/>
    <col min="8" max="8" width="6.85546875" bestFit="1" customWidth="1"/>
    <col min="9" max="10" width="7.140625" bestFit="1" customWidth="1"/>
    <col min="11" max="11" width="6.85546875" bestFit="1" customWidth="1"/>
    <col min="12" max="12" width="7.140625" bestFit="1" customWidth="1"/>
    <col min="13" max="13" width="7.42578125" bestFit="1" customWidth="1"/>
    <col min="14" max="15" width="7.140625" bestFit="1" customWidth="1"/>
    <col min="16" max="16" width="7.7109375" bestFit="1" customWidth="1"/>
    <col min="17" max="19" width="7.140625" bestFit="1" customWidth="1"/>
    <col min="20" max="22" width="7.7109375" bestFit="1" customWidth="1"/>
    <col min="23" max="23" width="7.42578125" bestFit="1" customWidth="1"/>
    <col min="24" max="24" width="7.7109375" bestFit="1" customWidth="1"/>
    <col min="25" max="25" width="7.42578125" bestFit="1" customWidth="1"/>
    <col min="26" max="26" width="7.14062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8.42578125" bestFit="1" customWidth="1"/>
    <col min="31" max="16384" width="9.140625" hidden="1"/>
  </cols>
  <sheetData>
    <row r="1" spans="1:30" x14ac:dyDescent="0.25">
      <c r="A1" s="84" t="s">
        <v>61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46753</v>
      </c>
      <c r="B6" s="18" t="s">
        <v>5</v>
      </c>
      <c r="C6" s="33">
        <v>2101</v>
      </c>
      <c r="D6" s="33">
        <v>1774</v>
      </c>
      <c r="E6" s="33">
        <v>1583</v>
      </c>
      <c r="F6" s="33">
        <v>1460</v>
      </c>
      <c r="G6" s="33">
        <v>1540</v>
      </c>
      <c r="H6" s="33">
        <v>1780</v>
      </c>
      <c r="I6" s="33">
        <v>1704</v>
      </c>
      <c r="J6" s="33">
        <v>2143</v>
      </c>
      <c r="K6" s="33">
        <v>2988</v>
      </c>
      <c r="L6" s="33">
        <v>3686</v>
      </c>
      <c r="M6" s="33">
        <v>4340</v>
      </c>
      <c r="N6" s="33">
        <v>4777</v>
      </c>
      <c r="O6" s="33">
        <v>4365</v>
      </c>
      <c r="P6" s="33">
        <v>4394</v>
      </c>
      <c r="Q6" s="33">
        <v>4944</v>
      </c>
      <c r="R6" s="33">
        <v>5077</v>
      </c>
      <c r="S6" s="33">
        <v>5019</v>
      </c>
      <c r="T6" s="33">
        <v>5119</v>
      </c>
      <c r="U6" s="33">
        <v>5401</v>
      </c>
      <c r="V6" s="33">
        <v>5690</v>
      </c>
      <c r="W6" s="33">
        <v>5329</v>
      </c>
      <c r="X6" s="33">
        <v>4993</v>
      </c>
      <c r="Y6" s="33">
        <v>4210</v>
      </c>
      <c r="Z6" s="34">
        <v>3166</v>
      </c>
      <c r="AA6" s="35">
        <f>SUM(C6:Z6)</f>
        <v>87583</v>
      </c>
      <c r="AB6" s="19">
        <v>20</v>
      </c>
      <c r="AC6" s="94">
        <f>+AA6*AB6+AA7*AB7+AA8*AB8</f>
        <v>2469927</v>
      </c>
      <c r="AD6" s="49"/>
    </row>
    <row r="7" spans="1:30" ht="15.75" thickBot="1" x14ac:dyDescent="0.3">
      <c r="A7" s="93"/>
      <c r="B7" s="20" t="s">
        <v>4</v>
      </c>
      <c r="C7" s="36">
        <v>2144</v>
      </c>
      <c r="D7" s="36">
        <v>1798</v>
      </c>
      <c r="E7" s="36">
        <v>1571</v>
      </c>
      <c r="F7" s="36">
        <v>1438</v>
      </c>
      <c r="G7" s="36">
        <v>1463</v>
      </c>
      <c r="H7" s="36">
        <v>1561</v>
      </c>
      <c r="I7" s="36">
        <v>1290</v>
      </c>
      <c r="J7" s="36">
        <v>1554</v>
      </c>
      <c r="K7" s="36">
        <v>2447</v>
      </c>
      <c r="L7" s="36">
        <v>3119</v>
      </c>
      <c r="M7" s="36">
        <v>3695</v>
      </c>
      <c r="N7" s="36">
        <v>4105</v>
      </c>
      <c r="O7" s="36">
        <v>4035</v>
      </c>
      <c r="P7" s="36">
        <v>3900</v>
      </c>
      <c r="Q7" s="36">
        <v>3901</v>
      </c>
      <c r="R7" s="36">
        <v>3893</v>
      </c>
      <c r="S7" s="36">
        <v>3909</v>
      </c>
      <c r="T7" s="36">
        <v>4032</v>
      </c>
      <c r="U7" s="36">
        <v>4693</v>
      </c>
      <c r="V7" s="36">
        <v>5140</v>
      </c>
      <c r="W7" s="36">
        <v>4801</v>
      </c>
      <c r="X7" s="36">
        <v>4452</v>
      </c>
      <c r="Y7" s="36">
        <v>3899</v>
      </c>
      <c r="Z7" s="37">
        <v>3188</v>
      </c>
      <c r="AA7" s="35">
        <f t="shared" ref="AA7:AA41" si="0">SUM(C7:Z7)</f>
        <v>76028</v>
      </c>
      <c r="AB7" s="21">
        <v>4</v>
      </c>
      <c r="AC7" s="95"/>
      <c r="AD7" s="49"/>
    </row>
    <row r="8" spans="1:30" ht="15.75" thickBot="1" x14ac:dyDescent="0.3">
      <c r="A8" s="93"/>
      <c r="B8" s="22" t="s">
        <v>3</v>
      </c>
      <c r="C8" s="39">
        <v>1991</v>
      </c>
      <c r="D8" s="39">
        <v>1640</v>
      </c>
      <c r="E8" s="39">
        <v>1358</v>
      </c>
      <c r="F8" s="39">
        <v>1218</v>
      </c>
      <c r="G8" s="39">
        <v>1160</v>
      </c>
      <c r="H8" s="39">
        <v>1247</v>
      </c>
      <c r="I8" s="39">
        <v>962</v>
      </c>
      <c r="J8" s="39">
        <v>931</v>
      </c>
      <c r="K8" s="39">
        <v>1437</v>
      </c>
      <c r="L8" s="39">
        <v>2078</v>
      </c>
      <c r="M8" s="39">
        <v>2517</v>
      </c>
      <c r="N8" s="39">
        <v>2949</v>
      </c>
      <c r="O8" s="39">
        <v>3166</v>
      </c>
      <c r="P8" s="39">
        <v>2922</v>
      </c>
      <c r="Q8" s="39">
        <v>2721</v>
      </c>
      <c r="R8" s="39">
        <v>2690</v>
      </c>
      <c r="S8" s="39">
        <v>2620</v>
      </c>
      <c r="T8" s="39">
        <v>3060</v>
      </c>
      <c r="U8" s="39">
        <v>3681</v>
      </c>
      <c r="V8" s="39">
        <v>4320</v>
      </c>
      <c r="W8" s="39">
        <v>4285</v>
      </c>
      <c r="X8" s="39">
        <v>4075</v>
      </c>
      <c r="Y8" s="39">
        <v>3451</v>
      </c>
      <c r="Z8" s="40">
        <v>2686</v>
      </c>
      <c r="AA8" s="35">
        <f t="shared" si="0"/>
        <v>59165</v>
      </c>
      <c r="AB8" s="23">
        <v>7</v>
      </c>
      <c r="AC8" s="96"/>
      <c r="AD8" s="49"/>
    </row>
    <row r="9" spans="1:30" ht="15.75" thickBot="1" x14ac:dyDescent="0.3">
      <c r="A9" s="93">
        <v>46784</v>
      </c>
      <c r="B9" s="18" t="s">
        <v>5</v>
      </c>
      <c r="C9" s="33">
        <v>1418</v>
      </c>
      <c r="D9" s="33">
        <v>1217</v>
      </c>
      <c r="E9" s="33">
        <v>1093</v>
      </c>
      <c r="F9" s="33">
        <v>992</v>
      </c>
      <c r="G9" s="33">
        <v>1066</v>
      </c>
      <c r="H9" s="33">
        <v>1538</v>
      </c>
      <c r="I9" s="33">
        <v>1053</v>
      </c>
      <c r="J9" s="33">
        <v>1228</v>
      </c>
      <c r="K9" s="33">
        <v>1819</v>
      </c>
      <c r="L9" s="33">
        <v>2351</v>
      </c>
      <c r="M9" s="33">
        <v>2841</v>
      </c>
      <c r="N9" s="33">
        <v>3196</v>
      </c>
      <c r="O9" s="33">
        <v>2754</v>
      </c>
      <c r="P9" s="33">
        <v>2893</v>
      </c>
      <c r="Q9" s="33">
        <v>3332</v>
      </c>
      <c r="R9" s="33">
        <v>3408</v>
      </c>
      <c r="S9" s="33">
        <v>3381</v>
      </c>
      <c r="T9" s="33">
        <v>3475</v>
      </c>
      <c r="U9" s="33">
        <v>4067</v>
      </c>
      <c r="V9" s="33">
        <v>4440</v>
      </c>
      <c r="W9" s="33">
        <v>4140</v>
      </c>
      <c r="X9" s="33">
        <v>3818</v>
      </c>
      <c r="Y9" s="33">
        <v>3120</v>
      </c>
      <c r="Z9" s="34">
        <v>2219</v>
      </c>
      <c r="AA9" s="35">
        <f t="shared" si="0"/>
        <v>60859</v>
      </c>
      <c r="AB9" s="19">
        <v>21</v>
      </c>
      <c r="AC9" s="94">
        <f>+AA9*AB9+AA10*AB10+AA11*AB11</f>
        <v>1664815</v>
      </c>
      <c r="AD9" s="49"/>
    </row>
    <row r="10" spans="1:30" ht="15.75" thickBot="1" x14ac:dyDescent="0.3">
      <c r="A10" s="93"/>
      <c r="B10" s="20" t="s">
        <v>4</v>
      </c>
      <c r="C10" s="36">
        <v>1541</v>
      </c>
      <c r="D10" s="36">
        <v>1354</v>
      </c>
      <c r="E10" s="36">
        <v>1178</v>
      </c>
      <c r="F10" s="36">
        <v>1090</v>
      </c>
      <c r="G10" s="36">
        <v>1103</v>
      </c>
      <c r="H10" s="36">
        <v>1142</v>
      </c>
      <c r="I10" s="36">
        <v>644</v>
      </c>
      <c r="J10" s="36">
        <v>829</v>
      </c>
      <c r="K10" s="36">
        <v>1489</v>
      </c>
      <c r="L10" s="36">
        <v>2111</v>
      </c>
      <c r="M10" s="36">
        <v>2461</v>
      </c>
      <c r="N10" s="36">
        <v>2800</v>
      </c>
      <c r="O10" s="36">
        <v>2737</v>
      </c>
      <c r="P10" s="36">
        <v>2585</v>
      </c>
      <c r="Q10" s="36">
        <v>2560</v>
      </c>
      <c r="R10" s="36">
        <v>2506</v>
      </c>
      <c r="S10" s="36">
        <v>2422</v>
      </c>
      <c r="T10" s="36">
        <v>2710</v>
      </c>
      <c r="U10" s="36">
        <v>3781</v>
      </c>
      <c r="V10" s="36">
        <v>4208</v>
      </c>
      <c r="W10" s="36">
        <v>3829</v>
      </c>
      <c r="X10" s="36">
        <v>3677</v>
      </c>
      <c r="Y10" s="36">
        <v>3132</v>
      </c>
      <c r="Z10" s="37">
        <v>2474</v>
      </c>
      <c r="AA10" s="35">
        <f t="shared" si="0"/>
        <v>54363</v>
      </c>
      <c r="AB10" s="21">
        <v>4</v>
      </c>
      <c r="AC10" s="95"/>
      <c r="AD10" s="49"/>
    </row>
    <row r="11" spans="1:30" ht="15.75" thickBot="1" x14ac:dyDescent="0.3">
      <c r="A11" s="93"/>
      <c r="B11" s="22" t="s">
        <v>3</v>
      </c>
      <c r="C11" s="39">
        <v>1541</v>
      </c>
      <c r="D11" s="39">
        <v>1345</v>
      </c>
      <c r="E11" s="39">
        <v>1096</v>
      </c>
      <c r="F11" s="39">
        <v>941</v>
      </c>
      <c r="G11" s="39">
        <v>922</v>
      </c>
      <c r="H11" s="39">
        <v>957</v>
      </c>
      <c r="I11" s="39">
        <v>310</v>
      </c>
      <c r="J11" s="39">
        <v>285</v>
      </c>
      <c r="K11" s="39">
        <v>705</v>
      </c>
      <c r="L11" s="39">
        <v>1210</v>
      </c>
      <c r="M11" s="39">
        <v>1579</v>
      </c>
      <c r="N11" s="39">
        <v>1904</v>
      </c>
      <c r="O11" s="39">
        <v>2004</v>
      </c>
      <c r="P11" s="39">
        <v>1926</v>
      </c>
      <c r="Q11" s="39">
        <v>1715</v>
      </c>
      <c r="R11" s="39">
        <v>1735</v>
      </c>
      <c r="S11" s="39">
        <v>1707</v>
      </c>
      <c r="T11" s="39">
        <v>2038</v>
      </c>
      <c r="U11" s="39">
        <v>3095</v>
      </c>
      <c r="V11" s="39">
        <v>3636</v>
      </c>
      <c r="W11" s="39">
        <v>3476</v>
      </c>
      <c r="X11" s="39">
        <v>3372</v>
      </c>
      <c r="Y11" s="39">
        <v>2802</v>
      </c>
      <c r="Z11" s="40">
        <v>2030</v>
      </c>
      <c r="AA11" s="35">
        <f t="shared" si="0"/>
        <v>42331</v>
      </c>
      <c r="AB11" s="23">
        <v>4</v>
      </c>
      <c r="AC11" s="96"/>
      <c r="AD11" s="49"/>
    </row>
    <row r="12" spans="1:30" ht="15.75" thickBot="1" x14ac:dyDescent="0.3">
      <c r="A12" s="93">
        <v>46813</v>
      </c>
      <c r="B12" s="18" t="s">
        <v>5</v>
      </c>
      <c r="C12" s="33">
        <v>2351</v>
      </c>
      <c r="D12" s="33">
        <v>2088</v>
      </c>
      <c r="E12" s="33">
        <v>1926</v>
      </c>
      <c r="F12" s="33">
        <v>1831</v>
      </c>
      <c r="G12" s="33">
        <v>1882</v>
      </c>
      <c r="H12" s="33">
        <v>2326</v>
      </c>
      <c r="I12" s="33">
        <v>1853</v>
      </c>
      <c r="J12" s="33">
        <v>2073</v>
      </c>
      <c r="K12" s="33">
        <v>2731</v>
      </c>
      <c r="L12" s="33">
        <v>3341</v>
      </c>
      <c r="M12" s="33">
        <v>3880</v>
      </c>
      <c r="N12" s="33">
        <v>4278</v>
      </c>
      <c r="O12" s="33">
        <v>3904</v>
      </c>
      <c r="P12" s="33">
        <v>3990</v>
      </c>
      <c r="Q12" s="33">
        <v>4463</v>
      </c>
      <c r="R12" s="33">
        <v>4529</v>
      </c>
      <c r="S12" s="33">
        <v>4458</v>
      </c>
      <c r="T12" s="33">
        <v>4515</v>
      </c>
      <c r="U12" s="33">
        <v>5164</v>
      </c>
      <c r="V12" s="33">
        <v>5695</v>
      </c>
      <c r="W12" s="33">
        <v>5422</v>
      </c>
      <c r="X12" s="33">
        <v>5135</v>
      </c>
      <c r="Y12" s="33">
        <v>4342</v>
      </c>
      <c r="Z12" s="34">
        <v>3365</v>
      </c>
      <c r="AA12" s="35">
        <f t="shared" si="0"/>
        <v>85542</v>
      </c>
      <c r="AB12" s="19">
        <v>22</v>
      </c>
      <c r="AC12" s="94">
        <f>+AA12*AB12+AA13*AB13+AA14*AB14</f>
        <v>2468294</v>
      </c>
      <c r="AD12" s="49"/>
    </row>
    <row r="13" spans="1:30" ht="15.75" thickBot="1" x14ac:dyDescent="0.3">
      <c r="A13" s="93"/>
      <c r="B13" s="20" t="s">
        <v>4</v>
      </c>
      <c r="C13" s="36">
        <v>2397</v>
      </c>
      <c r="D13" s="36">
        <v>2086</v>
      </c>
      <c r="E13" s="36">
        <v>1791</v>
      </c>
      <c r="F13" s="36">
        <v>1755</v>
      </c>
      <c r="G13" s="36">
        <v>1740</v>
      </c>
      <c r="H13" s="36">
        <v>1807</v>
      </c>
      <c r="I13" s="36">
        <v>1285</v>
      </c>
      <c r="J13" s="36">
        <v>1518</v>
      </c>
      <c r="K13" s="36">
        <v>2249</v>
      </c>
      <c r="L13" s="36">
        <v>2853</v>
      </c>
      <c r="M13" s="36">
        <v>3370</v>
      </c>
      <c r="N13" s="36">
        <v>3661</v>
      </c>
      <c r="O13" s="36">
        <v>3628</v>
      </c>
      <c r="P13" s="36">
        <v>3448</v>
      </c>
      <c r="Q13" s="36">
        <v>3445</v>
      </c>
      <c r="R13" s="36">
        <v>3496</v>
      </c>
      <c r="S13" s="36">
        <v>3378</v>
      </c>
      <c r="T13" s="36">
        <v>3549</v>
      </c>
      <c r="U13" s="36">
        <v>4448</v>
      </c>
      <c r="V13" s="36">
        <v>5019</v>
      </c>
      <c r="W13" s="36">
        <v>4837</v>
      </c>
      <c r="X13" s="36">
        <v>4522</v>
      </c>
      <c r="Y13" s="36">
        <v>3937</v>
      </c>
      <c r="Z13" s="37">
        <v>3336</v>
      </c>
      <c r="AA13" s="35">
        <f t="shared" si="0"/>
        <v>73555</v>
      </c>
      <c r="AB13" s="21">
        <v>4</v>
      </c>
      <c r="AC13" s="95"/>
      <c r="AD13" s="49"/>
    </row>
    <row r="14" spans="1:30" ht="15.75" thickBot="1" x14ac:dyDescent="0.3">
      <c r="A14" s="93"/>
      <c r="B14" s="22" t="s">
        <v>3</v>
      </c>
      <c r="C14" s="39">
        <v>2378</v>
      </c>
      <c r="D14" s="39">
        <v>2089</v>
      </c>
      <c r="E14" s="39">
        <v>1820</v>
      </c>
      <c r="F14" s="39">
        <v>1602</v>
      </c>
      <c r="G14" s="39">
        <v>1474</v>
      </c>
      <c r="H14" s="39">
        <v>1524</v>
      </c>
      <c r="I14" s="39">
        <v>840</v>
      </c>
      <c r="J14" s="39">
        <v>803</v>
      </c>
      <c r="K14" s="39">
        <v>1344</v>
      </c>
      <c r="L14" s="39">
        <v>1787</v>
      </c>
      <c r="M14" s="39">
        <v>2153</v>
      </c>
      <c r="N14" s="39">
        <v>2457</v>
      </c>
      <c r="O14" s="39">
        <v>2739</v>
      </c>
      <c r="P14" s="39">
        <v>2496</v>
      </c>
      <c r="Q14" s="39">
        <v>2380</v>
      </c>
      <c r="R14" s="39">
        <v>2406</v>
      </c>
      <c r="S14" s="39">
        <v>2350</v>
      </c>
      <c r="T14" s="39">
        <v>2727</v>
      </c>
      <c r="U14" s="39">
        <v>3736</v>
      </c>
      <c r="V14" s="39">
        <v>4482</v>
      </c>
      <c r="W14" s="39">
        <v>4499</v>
      </c>
      <c r="X14" s="39">
        <v>4213</v>
      </c>
      <c r="Y14" s="39">
        <v>3423</v>
      </c>
      <c r="Z14" s="40">
        <v>2708</v>
      </c>
      <c r="AA14" s="35">
        <f t="shared" si="0"/>
        <v>58430</v>
      </c>
      <c r="AB14" s="23">
        <v>5</v>
      </c>
      <c r="AC14" s="96"/>
      <c r="AD14" s="49"/>
    </row>
    <row r="15" spans="1:30" ht="15.75" thickBot="1" x14ac:dyDescent="0.3">
      <c r="A15" s="93">
        <v>46844</v>
      </c>
      <c r="B15" s="18" t="s">
        <v>5</v>
      </c>
      <c r="C15" s="33">
        <v>1813</v>
      </c>
      <c r="D15" s="33">
        <v>1505</v>
      </c>
      <c r="E15" s="33">
        <v>1325</v>
      </c>
      <c r="F15" s="33">
        <v>1247</v>
      </c>
      <c r="G15" s="33">
        <v>1270</v>
      </c>
      <c r="H15" s="33">
        <v>1514</v>
      </c>
      <c r="I15" s="33">
        <v>1402</v>
      </c>
      <c r="J15" s="33">
        <v>1694</v>
      </c>
      <c r="K15" s="33">
        <v>2264</v>
      </c>
      <c r="L15" s="33">
        <v>2834</v>
      </c>
      <c r="M15" s="33">
        <v>3372</v>
      </c>
      <c r="N15" s="33">
        <v>3896</v>
      </c>
      <c r="O15" s="33">
        <v>3706</v>
      </c>
      <c r="P15" s="33">
        <v>3672</v>
      </c>
      <c r="Q15" s="33">
        <v>3868</v>
      </c>
      <c r="R15" s="33">
        <v>3883</v>
      </c>
      <c r="S15" s="33">
        <v>3747</v>
      </c>
      <c r="T15" s="33">
        <v>4304</v>
      </c>
      <c r="U15" s="33">
        <v>4938</v>
      </c>
      <c r="V15" s="33">
        <v>5344</v>
      </c>
      <c r="W15" s="33">
        <v>5110</v>
      </c>
      <c r="X15" s="33">
        <v>4717</v>
      </c>
      <c r="Y15" s="33">
        <v>3912</v>
      </c>
      <c r="Z15" s="34">
        <v>2940</v>
      </c>
      <c r="AA15" s="35">
        <f t="shared" si="0"/>
        <v>74277</v>
      </c>
      <c r="AB15" s="19">
        <v>18</v>
      </c>
      <c r="AC15" s="94">
        <f>+AA15*AB15+AA16*AB16+AA17*AB17</f>
        <v>2036758</v>
      </c>
      <c r="AD15" s="49"/>
    </row>
    <row r="16" spans="1:30" ht="15.75" thickBot="1" x14ac:dyDescent="0.3">
      <c r="A16" s="93"/>
      <c r="B16" s="20" t="s">
        <v>4</v>
      </c>
      <c r="C16" s="36">
        <v>1800</v>
      </c>
      <c r="D16" s="36">
        <v>1470</v>
      </c>
      <c r="E16" s="36">
        <v>1242</v>
      </c>
      <c r="F16" s="36">
        <v>1167</v>
      </c>
      <c r="G16" s="36">
        <v>1176</v>
      </c>
      <c r="H16" s="36">
        <v>1250</v>
      </c>
      <c r="I16" s="36">
        <v>1112</v>
      </c>
      <c r="J16" s="36">
        <v>1377</v>
      </c>
      <c r="K16" s="36">
        <v>1895</v>
      </c>
      <c r="L16" s="36">
        <v>2459</v>
      </c>
      <c r="M16" s="36">
        <v>2993</v>
      </c>
      <c r="N16" s="36">
        <v>3334</v>
      </c>
      <c r="O16" s="36">
        <v>3378</v>
      </c>
      <c r="P16" s="36">
        <v>3157</v>
      </c>
      <c r="Q16" s="36">
        <v>3154</v>
      </c>
      <c r="R16" s="36">
        <v>3154</v>
      </c>
      <c r="S16" s="36">
        <v>3173</v>
      </c>
      <c r="T16" s="36">
        <v>3887</v>
      </c>
      <c r="U16" s="36">
        <v>4636</v>
      </c>
      <c r="V16" s="36">
        <v>4887</v>
      </c>
      <c r="W16" s="36">
        <v>4575</v>
      </c>
      <c r="X16" s="36">
        <v>4206</v>
      </c>
      <c r="Y16" s="36">
        <v>3579</v>
      </c>
      <c r="Z16" s="37">
        <v>2853</v>
      </c>
      <c r="AA16" s="35">
        <f t="shared" si="0"/>
        <v>65914</v>
      </c>
      <c r="AB16" s="21">
        <v>5</v>
      </c>
      <c r="AC16" s="95"/>
      <c r="AD16" s="49"/>
    </row>
    <row r="17" spans="1:30" ht="15.75" thickBot="1" x14ac:dyDescent="0.3">
      <c r="A17" s="93"/>
      <c r="B17" s="22" t="s">
        <v>3</v>
      </c>
      <c r="C17" s="39">
        <v>1594</v>
      </c>
      <c r="D17" s="39">
        <v>1403</v>
      </c>
      <c r="E17" s="39">
        <v>1075</v>
      </c>
      <c r="F17" s="39">
        <v>925</v>
      </c>
      <c r="G17" s="39">
        <v>884</v>
      </c>
      <c r="H17" s="39">
        <v>925</v>
      </c>
      <c r="I17" s="39">
        <v>757</v>
      </c>
      <c r="J17" s="39">
        <v>773</v>
      </c>
      <c r="K17" s="39">
        <v>1217</v>
      </c>
      <c r="L17" s="39">
        <v>1725</v>
      </c>
      <c r="M17" s="39">
        <v>2054</v>
      </c>
      <c r="N17" s="39">
        <v>2305</v>
      </c>
      <c r="O17" s="39">
        <v>2534</v>
      </c>
      <c r="P17" s="39">
        <v>2561</v>
      </c>
      <c r="Q17" s="39">
        <v>2441</v>
      </c>
      <c r="R17" s="39">
        <v>2444</v>
      </c>
      <c r="S17" s="39">
        <v>2463</v>
      </c>
      <c r="T17" s="39">
        <v>3147</v>
      </c>
      <c r="U17" s="39">
        <v>3854</v>
      </c>
      <c r="V17" s="39">
        <v>4369</v>
      </c>
      <c r="W17" s="39">
        <v>4249</v>
      </c>
      <c r="X17" s="39">
        <v>3797</v>
      </c>
      <c r="Y17" s="39">
        <v>3061</v>
      </c>
      <c r="Z17" s="40">
        <v>2329</v>
      </c>
      <c r="AA17" s="35">
        <f t="shared" si="0"/>
        <v>52886</v>
      </c>
      <c r="AB17" s="23">
        <v>7</v>
      </c>
      <c r="AC17" s="96"/>
      <c r="AD17" s="49"/>
    </row>
    <row r="18" spans="1:30" ht="15.75" thickBot="1" x14ac:dyDescent="0.3">
      <c r="A18" s="93">
        <v>46874</v>
      </c>
      <c r="B18" s="18" t="s">
        <v>5</v>
      </c>
      <c r="C18" s="33">
        <v>1781</v>
      </c>
      <c r="D18" s="33">
        <v>1489</v>
      </c>
      <c r="E18" s="33">
        <v>1341</v>
      </c>
      <c r="F18" s="33">
        <v>1221</v>
      </c>
      <c r="G18" s="33">
        <v>1252</v>
      </c>
      <c r="H18" s="33">
        <v>1414</v>
      </c>
      <c r="I18" s="33">
        <v>1321</v>
      </c>
      <c r="J18" s="33">
        <v>1675</v>
      </c>
      <c r="K18" s="33">
        <v>2292</v>
      </c>
      <c r="L18" s="33">
        <v>2838</v>
      </c>
      <c r="M18" s="33">
        <v>3332</v>
      </c>
      <c r="N18" s="33">
        <v>3759</v>
      </c>
      <c r="O18" s="33">
        <v>3445</v>
      </c>
      <c r="P18" s="33">
        <v>3440</v>
      </c>
      <c r="Q18" s="33">
        <v>3659</v>
      </c>
      <c r="R18" s="33">
        <v>3663</v>
      </c>
      <c r="S18" s="33">
        <v>3607</v>
      </c>
      <c r="T18" s="33">
        <v>4128</v>
      </c>
      <c r="U18" s="33">
        <v>4924</v>
      </c>
      <c r="V18" s="33">
        <v>5258</v>
      </c>
      <c r="W18" s="33">
        <v>5024</v>
      </c>
      <c r="X18" s="33">
        <v>4597</v>
      </c>
      <c r="Y18" s="33">
        <v>3778</v>
      </c>
      <c r="Z18" s="34">
        <v>2816</v>
      </c>
      <c r="AA18" s="35">
        <f t="shared" si="0"/>
        <v>72054</v>
      </c>
      <c r="AB18" s="19">
        <v>21</v>
      </c>
      <c r="AC18" s="94">
        <f>+AA18*AB18+AA19*AB19+AA20*AB20</f>
        <v>2080628</v>
      </c>
      <c r="AD18" s="49"/>
    </row>
    <row r="19" spans="1:30" ht="15.75" thickBot="1" x14ac:dyDescent="0.3">
      <c r="A19" s="93"/>
      <c r="B19" s="20" t="s">
        <v>4</v>
      </c>
      <c r="C19" s="36">
        <v>1864</v>
      </c>
      <c r="D19" s="36">
        <v>1485</v>
      </c>
      <c r="E19" s="36">
        <v>1372</v>
      </c>
      <c r="F19" s="36">
        <v>1264</v>
      </c>
      <c r="G19" s="36">
        <v>1264</v>
      </c>
      <c r="H19" s="36">
        <v>1213</v>
      </c>
      <c r="I19" s="36">
        <v>974</v>
      </c>
      <c r="J19" s="36">
        <v>1212</v>
      </c>
      <c r="K19" s="36">
        <v>1757</v>
      </c>
      <c r="L19" s="36">
        <v>2316</v>
      </c>
      <c r="M19" s="36">
        <v>2895</v>
      </c>
      <c r="N19" s="36">
        <v>3286</v>
      </c>
      <c r="O19" s="36">
        <v>3196</v>
      </c>
      <c r="P19" s="36">
        <v>3028</v>
      </c>
      <c r="Q19" s="36">
        <v>3012</v>
      </c>
      <c r="R19" s="36">
        <v>3022</v>
      </c>
      <c r="S19" s="36">
        <v>2912</v>
      </c>
      <c r="T19" s="36">
        <v>3572</v>
      </c>
      <c r="U19" s="36">
        <v>4608</v>
      </c>
      <c r="V19" s="36">
        <v>5103</v>
      </c>
      <c r="W19" s="36">
        <v>4764</v>
      </c>
      <c r="X19" s="36">
        <v>4308</v>
      </c>
      <c r="Y19" s="36">
        <v>3686</v>
      </c>
      <c r="Z19" s="37">
        <v>3052</v>
      </c>
      <c r="AA19" s="35">
        <f t="shared" si="0"/>
        <v>65165</v>
      </c>
      <c r="AB19" s="21">
        <v>4</v>
      </c>
      <c r="AC19" s="95"/>
      <c r="AD19" s="49"/>
    </row>
    <row r="20" spans="1:30" ht="15.75" thickBot="1" x14ac:dyDescent="0.3">
      <c r="A20" s="93"/>
      <c r="B20" s="22" t="s">
        <v>3</v>
      </c>
      <c r="C20" s="39">
        <v>1822</v>
      </c>
      <c r="D20" s="39">
        <v>1495</v>
      </c>
      <c r="E20" s="39">
        <v>1231</v>
      </c>
      <c r="F20" s="39">
        <v>1099</v>
      </c>
      <c r="G20" s="39">
        <v>1066</v>
      </c>
      <c r="H20" s="39">
        <v>977</v>
      </c>
      <c r="I20" s="39">
        <v>548</v>
      </c>
      <c r="J20" s="39">
        <v>636</v>
      </c>
      <c r="K20" s="39">
        <v>1139</v>
      </c>
      <c r="L20" s="39">
        <v>1631</v>
      </c>
      <c r="M20" s="39">
        <v>1911</v>
      </c>
      <c r="N20" s="39">
        <v>2164</v>
      </c>
      <c r="O20" s="39">
        <v>2345</v>
      </c>
      <c r="P20" s="39">
        <v>2242</v>
      </c>
      <c r="Q20" s="39">
        <v>2211</v>
      </c>
      <c r="R20" s="39">
        <v>2192</v>
      </c>
      <c r="S20" s="39">
        <v>2116</v>
      </c>
      <c r="T20" s="39">
        <v>2660</v>
      </c>
      <c r="U20" s="39">
        <v>3528</v>
      </c>
      <c r="V20" s="39">
        <v>4235</v>
      </c>
      <c r="W20" s="39">
        <v>4168</v>
      </c>
      <c r="X20" s="39">
        <v>3952</v>
      </c>
      <c r="Y20" s="39">
        <v>3259</v>
      </c>
      <c r="Z20" s="40">
        <v>2512</v>
      </c>
      <c r="AA20" s="35">
        <f t="shared" si="0"/>
        <v>51139</v>
      </c>
      <c r="AB20" s="23">
        <v>6</v>
      </c>
      <c r="AC20" s="96"/>
      <c r="AD20" s="49"/>
    </row>
    <row r="21" spans="1:30" ht="15.75" thickBot="1" x14ac:dyDescent="0.3">
      <c r="A21" s="93">
        <v>46905</v>
      </c>
      <c r="B21" s="18" t="s">
        <v>5</v>
      </c>
      <c r="C21" s="33">
        <v>953</v>
      </c>
      <c r="D21" s="33">
        <v>741</v>
      </c>
      <c r="E21" s="33">
        <v>569</v>
      </c>
      <c r="F21" s="33">
        <v>534</v>
      </c>
      <c r="G21" s="33">
        <v>633</v>
      </c>
      <c r="H21" s="33">
        <v>860</v>
      </c>
      <c r="I21" s="33">
        <v>991</v>
      </c>
      <c r="J21" s="33">
        <v>1423</v>
      </c>
      <c r="K21" s="33">
        <v>2049</v>
      </c>
      <c r="L21" s="33">
        <v>2653</v>
      </c>
      <c r="M21" s="33">
        <v>3150</v>
      </c>
      <c r="N21" s="33">
        <v>3551</v>
      </c>
      <c r="O21" s="33">
        <v>3253</v>
      </c>
      <c r="P21" s="33">
        <v>3155</v>
      </c>
      <c r="Q21" s="33">
        <v>3493</v>
      </c>
      <c r="R21" s="33">
        <v>3601</v>
      </c>
      <c r="S21" s="33">
        <v>3450</v>
      </c>
      <c r="T21" s="33">
        <v>3963</v>
      </c>
      <c r="U21" s="33">
        <v>4347</v>
      </c>
      <c r="V21" s="33">
        <v>4808</v>
      </c>
      <c r="W21" s="33">
        <v>4524</v>
      </c>
      <c r="X21" s="33">
        <v>4029</v>
      </c>
      <c r="Y21" s="33">
        <v>3158</v>
      </c>
      <c r="Z21" s="34">
        <v>2132</v>
      </c>
      <c r="AA21" s="35">
        <f t="shared" si="0"/>
        <v>62020</v>
      </c>
      <c r="AB21" s="19">
        <v>20</v>
      </c>
      <c r="AC21" s="94">
        <f>+AA21*AB21+AA22*AB22+AA23*AB23</f>
        <v>1855010</v>
      </c>
      <c r="AD21" s="49"/>
    </row>
    <row r="22" spans="1:30" ht="15.75" thickBot="1" x14ac:dyDescent="0.3">
      <c r="A22" s="93"/>
      <c r="B22" s="20" t="s">
        <v>4</v>
      </c>
      <c r="C22" s="36">
        <v>1313</v>
      </c>
      <c r="D22" s="36">
        <v>1036</v>
      </c>
      <c r="E22" s="36">
        <v>710</v>
      </c>
      <c r="F22" s="36">
        <v>699</v>
      </c>
      <c r="G22" s="36">
        <v>771</v>
      </c>
      <c r="H22" s="36">
        <v>831</v>
      </c>
      <c r="I22" s="36">
        <v>736</v>
      </c>
      <c r="J22" s="36">
        <v>1159</v>
      </c>
      <c r="K22" s="36">
        <v>1783</v>
      </c>
      <c r="L22" s="36">
        <v>2501</v>
      </c>
      <c r="M22" s="36">
        <v>2962</v>
      </c>
      <c r="N22" s="36">
        <v>3349</v>
      </c>
      <c r="O22" s="36">
        <v>3230</v>
      </c>
      <c r="P22" s="36">
        <v>3143</v>
      </c>
      <c r="Q22" s="36">
        <v>3095</v>
      </c>
      <c r="R22" s="36">
        <v>3161</v>
      </c>
      <c r="S22" s="36">
        <v>3159</v>
      </c>
      <c r="T22" s="36">
        <v>3680</v>
      </c>
      <c r="U22" s="36">
        <v>4329</v>
      </c>
      <c r="V22" s="36">
        <v>4846</v>
      </c>
      <c r="W22" s="36">
        <v>4470</v>
      </c>
      <c r="X22" s="36">
        <v>4157</v>
      </c>
      <c r="Y22" s="36">
        <v>3440</v>
      </c>
      <c r="Z22" s="37">
        <v>2670</v>
      </c>
      <c r="AA22" s="35">
        <f t="shared" si="0"/>
        <v>61230</v>
      </c>
      <c r="AB22" s="21">
        <v>4</v>
      </c>
      <c r="AC22" s="95"/>
      <c r="AD22" s="49"/>
    </row>
    <row r="23" spans="1:30" ht="15.75" thickBot="1" x14ac:dyDescent="0.3">
      <c r="A23" s="93"/>
      <c r="B23" s="22" t="s">
        <v>3</v>
      </c>
      <c r="C23" s="39">
        <v>1585</v>
      </c>
      <c r="D23" s="39">
        <v>1214</v>
      </c>
      <c r="E23" s="39">
        <v>973</v>
      </c>
      <c r="F23" s="39">
        <v>848</v>
      </c>
      <c r="G23" s="39">
        <v>888</v>
      </c>
      <c r="H23" s="39">
        <v>978</v>
      </c>
      <c r="I23" s="39">
        <v>1005</v>
      </c>
      <c r="J23" s="39">
        <v>1278</v>
      </c>
      <c r="K23" s="39">
        <v>1878</v>
      </c>
      <c r="L23" s="39">
        <v>2477</v>
      </c>
      <c r="M23" s="39">
        <v>2847</v>
      </c>
      <c r="N23" s="39">
        <v>3239</v>
      </c>
      <c r="O23" s="39">
        <v>3153</v>
      </c>
      <c r="P23" s="39">
        <v>3123</v>
      </c>
      <c r="Q23" s="39">
        <v>3242</v>
      </c>
      <c r="R23" s="39">
        <v>3233</v>
      </c>
      <c r="S23" s="39">
        <v>3151</v>
      </c>
      <c r="T23" s="39">
        <v>3727</v>
      </c>
      <c r="U23" s="39">
        <v>4049</v>
      </c>
      <c r="V23" s="39">
        <v>4677</v>
      </c>
      <c r="W23" s="39">
        <v>4472</v>
      </c>
      <c r="X23" s="39">
        <v>4046</v>
      </c>
      <c r="Y23" s="39">
        <v>3169</v>
      </c>
      <c r="Z23" s="40">
        <v>2363</v>
      </c>
      <c r="AA23" s="35">
        <f t="shared" si="0"/>
        <v>61615</v>
      </c>
      <c r="AB23" s="23">
        <v>6</v>
      </c>
      <c r="AC23" s="96"/>
      <c r="AD23" s="49"/>
    </row>
    <row r="24" spans="1:30" ht="15.75" thickBot="1" x14ac:dyDescent="0.3">
      <c r="A24" s="93">
        <v>46935</v>
      </c>
      <c r="B24" s="18" t="s">
        <v>5</v>
      </c>
      <c r="C24" s="33">
        <v>1086</v>
      </c>
      <c r="D24" s="33">
        <v>880</v>
      </c>
      <c r="E24" s="33">
        <v>693</v>
      </c>
      <c r="F24" s="33">
        <v>619</v>
      </c>
      <c r="G24" s="33">
        <v>691</v>
      </c>
      <c r="H24" s="33">
        <v>904</v>
      </c>
      <c r="I24" s="33">
        <v>958</v>
      </c>
      <c r="J24" s="33">
        <v>1458</v>
      </c>
      <c r="K24" s="33">
        <v>2120</v>
      </c>
      <c r="L24" s="33">
        <v>2802</v>
      </c>
      <c r="M24" s="33">
        <v>3354</v>
      </c>
      <c r="N24" s="33">
        <v>3796</v>
      </c>
      <c r="O24" s="33">
        <v>3432</v>
      </c>
      <c r="P24" s="33">
        <v>3366</v>
      </c>
      <c r="Q24" s="33">
        <v>3845</v>
      </c>
      <c r="R24" s="33">
        <v>3937</v>
      </c>
      <c r="S24" s="33">
        <v>3819</v>
      </c>
      <c r="T24" s="33">
        <v>4210</v>
      </c>
      <c r="U24" s="33">
        <v>4366</v>
      </c>
      <c r="V24" s="33">
        <v>4839</v>
      </c>
      <c r="W24" s="33">
        <v>4577</v>
      </c>
      <c r="X24" s="33">
        <v>4175</v>
      </c>
      <c r="Y24" s="33">
        <v>3294</v>
      </c>
      <c r="Z24" s="34">
        <v>2268</v>
      </c>
      <c r="AA24" s="35">
        <f t="shared" si="0"/>
        <v>65489</v>
      </c>
      <c r="AB24" s="19">
        <v>19</v>
      </c>
      <c r="AC24" s="94">
        <f>+AA24*AB24+AA25*AB25+AA26*AB26</f>
        <v>1782959</v>
      </c>
      <c r="AD24" s="49"/>
    </row>
    <row r="25" spans="1:30" ht="15.75" thickBot="1" x14ac:dyDescent="0.3">
      <c r="A25" s="93"/>
      <c r="B25" s="20" t="s">
        <v>4</v>
      </c>
      <c r="C25" s="36">
        <v>875</v>
      </c>
      <c r="D25" s="36">
        <v>642</v>
      </c>
      <c r="E25" s="36">
        <v>396</v>
      </c>
      <c r="F25" s="36">
        <v>305</v>
      </c>
      <c r="G25" s="36">
        <v>389</v>
      </c>
      <c r="H25" s="36">
        <v>494</v>
      </c>
      <c r="I25" s="36">
        <v>307</v>
      </c>
      <c r="J25" s="36">
        <v>690</v>
      </c>
      <c r="K25" s="36">
        <v>1386</v>
      </c>
      <c r="L25" s="36">
        <v>2090</v>
      </c>
      <c r="M25" s="36">
        <v>2486</v>
      </c>
      <c r="N25" s="36">
        <v>2844</v>
      </c>
      <c r="O25" s="36">
        <v>2732</v>
      </c>
      <c r="P25" s="36">
        <v>2592</v>
      </c>
      <c r="Q25" s="36">
        <v>2468</v>
      </c>
      <c r="R25" s="36">
        <v>2524</v>
      </c>
      <c r="S25" s="36">
        <v>2511</v>
      </c>
      <c r="T25" s="36">
        <v>3089</v>
      </c>
      <c r="U25" s="36">
        <v>3670</v>
      </c>
      <c r="V25" s="36">
        <v>4199</v>
      </c>
      <c r="W25" s="36">
        <v>3913</v>
      </c>
      <c r="X25" s="36">
        <v>3600</v>
      </c>
      <c r="Y25" s="36">
        <v>2893</v>
      </c>
      <c r="Z25" s="37">
        <v>2148</v>
      </c>
      <c r="AA25" s="35">
        <f t="shared" si="0"/>
        <v>49243</v>
      </c>
      <c r="AB25" s="21">
        <v>5</v>
      </c>
      <c r="AC25" s="95"/>
      <c r="AD25" s="49"/>
    </row>
    <row r="26" spans="1:30" ht="15.75" thickBot="1" x14ac:dyDescent="0.3">
      <c r="A26" s="93"/>
      <c r="B26" s="22" t="s">
        <v>3</v>
      </c>
      <c r="C26" s="39">
        <v>1171</v>
      </c>
      <c r="D26" s="39">
        <v>918</v>
      </c>
      <c r="E26" s="39">
        <v>650</v>
      </c>
      <c r="F26" s="39">
        <v>445</v>
      </c>
      <c r="G26" s="39">
        <v>430</v>
      </c>
      <c r="H26" s="39">
        <v>354</v>
      </c>
      <c r="I26" s="39">
        <v>119</v>
      </c>
      <c r="J26" s="39">
        <v>261</v>
      </c>
      <c r="K26" s="39">
        <v>773</v>
      </c>
      <c r="L26" s="39">
        <v>1349</v>
      </c>
      <c r="M26" s="39">
        <v>1677</v>
      </c>
      <c r="N26" s="39">
        <v>2036</v>
      </c>
      <c r="O26" s="39">
        <v>2235</v>
      </c>
      <c r="P26" s="39">
        <v>2141</v>
      </c>
      <c r="Q26" s="39">
        <v>1993</v>
      </c>
      <c r="R26" s="39">
        <v>1885</v>
      </c>
      <c r="S26" s="39">
        <v>1967</v>
      </c>
      <c r="T26" s="39">
        <v>2554</v>
      </c>
      <c r="U26" s="39">
        <v>3052</v>
      </c>
      <c r="V26" s="39">
        <v>3845</v>
      </c>
      <c r="W26" s="39">
        <v>3793</v>
      </c>
      <c r="X26" s="39">
        <v>3443</v>
      </c>
      <c r="Y26" s="39">
        <v>2767</v>
      </c>
      <c r="Z26" s="40">
        <v>1921</v>
      </c>
      <c r="AA26" s="35">
        <f t="shared" si="0"/>
        <v>41779</v>
      </c>
      <c r="AB26" s="23">
        <v>7</v>
      </c>
      <c r="AC26" s="96"/>
      <c r="AD26" s="49"/>
    </row>
    <row r="27" spans="1:30" ht="15.75" thickBot="1" x14ac:dyDescent="0.3">
      <c r="A27" s="93">
        <v>46966</v>
      </c>
      <c r="B27" s="18" t="s">
        <v>5</v>
      </c>
      <c r="C27" s="33">
        <v>1321</v>
      </c>
      <c r="D27" s="33">
        <v>1007</v>
      </c>
      <c r="E27" s="33">
        <v>796</v>
      </c>
      <c r="F27" s="33">
        <v>676</v>
      </c>
      <c r="G27" s="33">
        <v>762</v>
      </c>
      <c r="H27" s="33">
        <v>1051</v>
      </c>
      <c r="I27" s="33">
        <v>1084</v>
      </c>
      <c r="J27" s="33">
        <v>1644</v>
      </c>
      <c r="K27" s="33">
        <v>2466</v>
      </c>
      <c r="L27" s="33">
        <v>3174</v>
      </c>
      <c r="M27" s="33">
        <v>3786</v>
      </c>
      <c r="N27" s="33">
        <v>4264</v>
      </c>
      <c r="O27" s="33">
        <v>3835</v>
      </c>
      <c r="P27" s="33">
        <v>3852</v>
      </c>
      <c r="Q27" s="33">
        <v>4400</v>
      </c>
      <c r="R27" s="33">
        <v>4552</v>
      </c>
      <c r="S27" s="33">
        <v>4453</v>
      </c>
      <c r="T27" s="33">
        <v>4683</v>
      </c>
      <c r="U27" s="33">
        <v>4902</v>
      </c>
      <c r="V27" s="33">
        <v>5131</v>
      </c>
      <c r="W27" s="33">
        <v>4848</v>
      </c>
      <c r="X27" s="33">
        <v>4464</v>
      </c>
      <c r="Y27" s="33">
        <v>3573</v>
      </c>
      <c r="Z27" s="34">
        <v>2512</v>
      </c>
      <c r="AA27" s="35">
        <f t="shared" si="0"/>
        <v>73236</v>
      </c>
      <c r="AB27" s="19">
        <v>21</v>
      </c>
      <c r="AC27" s="94">
        <f>+AA27*AB27+AA28*AB28+AA29*AB29</f>
        <v>2055264</v>
      </c>
      <c r="AD27" s="49"/>
    </row>
    <row r="28" spans="1:30" ht="15.75" thickBot="1" x14ac:dyDescent="0.3">
      <c r="A28" s="93"/>
      <c r="B28" s="20" t="s">
        <v>4</v>
      </c>
      <c r="C28" s="36">
        <v>1323</v>
      </c>
      <c r="D28" s="36">
        <v>1026</v>
      </c>
      <c r="E28" s="36">
        <v>797</v>
      </c>
      <c r="F28" s="36">
        <v>642</v>
      </c>
      <c r="G28" s="36">
        <v>723</v>
      </c>
      <c r="H28" s="36">
        <v>722</v>
      </c>
      <c r="I28" s="36">
        <v>676</v>
      </c>
      <c r="J28" s="36">
        <v>1094</v>
      </c>
      <c r="K28" s="36">
        <v>1932</v>
      </c>
      <c r="L28" s="36">
        <v>2649</v>
      </c>
      <c r="M28" s="36">
        <v>3082</v>
      </c>
      <c r="N28" s="36">
        <v>3533</v>
      </c>
      <c r="O28" s="36">
        <v>3518</v>
      </c>
      <c r="P28" s="36">
        <v>3180</v>
      </c>
      <c r="Q28" s="36">
        <v>3672</v>
      </c>
      <c r="R28" s="36">
        <v>3425</v>
      </c>
      <c r="S28" s="36">
        <v>3186</v>
      </c>
      <c r="T28" s="36">
        <v>3670</v>
      </c>
      <c r="U28" s="36">
        <v>4240</v>
      </c>
      <c r="V28" s="36">
        <v>4675</v>
      </c>
      <c r="W28" s="36">
        <v>4299</v>
      </c>
      <c r="X28" s="36">
        <v>3871</v>
      </c>
      <c r="Y28" s="36">
        <v>3251</v>
      </c>
      <c r="Z28" s="37">
        <v>2479</v>
      </c>
      <c r="AA28" s="35">
        <f t="shared" si="0"/>
        <v>61665</v>
      </c>
      <c r="AB28" s="21">
        <v>4</v>
      </c>
      <c r="AC28" s="95"/>
      <c r="AD28" s="49"/>
    </row>
    <row r="29" spans="1:30" ht="15.75" thickBot="1" x14ac:dyDescent="0.3">
      <c r="A29" s="93"/>
      <c r="B29" s="22" t="s">
        <v>3</v>
      </c>
      <c r="C29" s="39">
        <v>1377</v>
      </c>
      <c r="D29" s="39">
        <v>1000</v>
      </c>
      <c r="E29" s="39">
        <v>694</v>
      </c>
      <c r="F29" s="39">
        <v>551</v>
      </c>
      <c r="G29" s="39">
        <v>551</v>
      </c>
      <c r="H29" s="39">
        <v>513</v>
      </c>
      <c r="I29" s="39">
        <v>95</v>
      </c>
      <c r="J29" s="39">
        <v>347</v>
      </c>
      <c r="K29" s="39">
        <v>811</v>
      </c>
      <c r="L29" s="39">
        <v>1405</v>
      </c>
      <c r="M29" s="39">
        <v>1841</v>
      </c>
      <c r="N29" s="39">
        <v>2187</v>
      </c>
      <c r="O29" s="39">
        <v>2301</v>
      </c>
      <c r="P29" s="39">
        <v>2305</v>
      </c>
      <c r="Q29" s="39">
        <v>2124</v>
      </c>
      <c r="R29" s="39">
        <v>2085</v>
      </c>
      <c r="S29" s="39">
        <v>2122</v>
      </c>
      <c r="T29" s="39">
        <v>2655</v>
      </c>
      <c r="U29" s="39">
        <v>3319</v>
      </c>
      <c r="V29" s="39">
        <v>4078</v>
      </c>
      <c r="W29" s="39">
        <v>3970</v>
      </c>
      <c r="X29" s="39">
        <v>3737</v>
      </c>
      <c r="Y29" s="39">
        <v>2963</v>
      </c>
      <c r="Z29" s="40">
        <v>2077</v>
      </c>
      <c r="AA29" s="35">
        <f t="shared" si="0"/>
        <v>45108</v>
      </c>
      <c r="AB29" s="23">
        <v>6</v>
      </c>
      <c r="AC29" s="96"/>
      <c r="AD29" s="49"/>
    </row>
    <row r="30" spans="1:30" ht="15.75" thickBot="1" x14ac:dyDescent="0.3">
      <c r="A30" s="93">
        <v>46997</v>
      </c>
      <c r="B30" s="18" t="s">
        <v>5</v>
      </c>
      <c r="C30" s="33">
        <v>1467</v>
      </c>
      <c r="D30" s="33">
        <v>1152</v>
      </c>
      <c r="E30" s="33">
        <v>978</v>
      </c>
      <c r="F30" s="33">
        <v>893</v>
      </c>
      <c r="G30" s="33">
        <v>972</v>
      </c>
      <c r="H30" s="33">
        <v>1202</v>
      </c>
      <c r="I30" s="33">
        <v>1260</v>
      </c>
      <c r="J30" s="33">
        <v>1737</v>
      </c>
      <c r="K30" s="33">
        <v>2550</v>
      </c>
      <c r="L30" s="33">
        <v>3223</v>
      </c>
      <c r="M30" s="33">
        <v>3819</v>
      </c>
      <c r="N30" s="33">
        <v>4296</v>
      </c>
      <c r="O30" s="33">
        <v>3870</v>
      </c>
      <c r="P30" s="33">
        <v>3867</v>
      </c>
      <c r="Q30" s="33">
        <v>4352</v>
      </c>
      <c r="R30" s="33">
        <v>4419</v>
      </c>
      <c r="S30" s="33">
        <v>4350</v>
      </c>
      <c r="T30" s="33">
        <v>4703</v>
      </c>
      <c r="U30" s="33">
        <v>5171</v>
      </c>
      <c r="V30" s="33">
        <v>5215</v>
      </c>
      <c r="W30" s="33">
        <v>4942</v>
      </c>
      <c r="X30" s="33">
        <v>4511</v>
      </c>
      <c r="Y30" s="33">
        <v>3596</v>
      </c>
      <c r="Z30" s="34">
        <v>2605</v>
      </c>
      <c r="AA30" s="35">
        <f t="shared" si="0"/>
        <v>75150</v>
      </c>
      <c r="AB30" s="19">
        <v>21</v>
      </c>
      <c r="AC30" s="94">
        <f>+AA30*AB30+AA31*AB31+AA32*AB32</f>
        <v>2091155</v>
      </c>
      <c r="AD30" s="49"/>
    </row>
    <row r="31" spans="1:30" ht="15.75" thickBot="1" x14ac:dyDescent="0.3">
      <c r="A31" s="93"/>
      <c r="B31" s="20" t="s">
        <v>4</v>
      </c>
      <c r="C31" s="36">
        <v>1463</v>
      </c>
      <c r="D31" s="36">
        <v>1127</v>
      </c>
      <c r="E31" s="36">
        <v>931</v>
      </c>
      <c r="F31" s="36">
        <v>817</v>
      </c>
      <c r="G31" s="36">
        <v>847</v>
      </c>
      <c r="H31" s="36">
        <v>811</v>
      </c>
      <c r="I31" s="36">
        <v>773</v>
      </c>
      <c r="J31" s="36">
        <v>1164</v>
      </c>
      <c r="K31" s="36">
        <v>2073</v>
      </c>
      <c r="L31" s="36">
        <v>2776</v>
      </c>
      <c r="M31" s="36">
        <v>3276</v>
      </c>
      <c r="N31" s="36">
        <v>3583</v>
      </c>
      <c r="O31" s="36">
        <v>3546</v>
      </c>
      <c r="P31" s="36">
        <v>3284</v>
      </c>
      <c r="Q31" s="36">
        <v>3217</v>
      </c>
      <c r="R31" s="36">
        <v>3312</v>
      </c>
      <c r="S31" s="36">
        <v>3233</v>
      </c>
      <c r="T31" s="36">
        <v>3728</v>
      </c>
      <c r="U31" s="36">
        <v>4683</v>
      </c>
      <c r="V31" s="36">
        <v>4841</v>
      </c>
      <c r="W31" s="36">
        <v>4434</v>
      </c>
      <c r="X31" s="36">
        <v>4057</v>
      </c>
      <c r="Y31" s="36">
        <v>3401</v>
      </c>
      <c r="Z31" s="37">
        <v>2688</v>
      </c>
      <c r="AA31" s="35">
        <f t="shared" si="0"/>
        <v>64065</v>
      </c>
      <c r="AB31" s="21">
        <v>5</v>
      </c>
      <c r="AC31" s="95"/>
      <c r="AD31" s="49"/>
    </row>
    <row r="32" spans="1:30" ht="15.75" thickBot="1" x14ac:dyDescent="0.3">
      <c r="A32" s="93"/>
      <c r="B32" s="22" t="s">
        <v>3</v>
      </c>
      <c r="C32" s="39">
        <v>1405</v>
      </c>
      <c r="D32" s="39">
        <v>1092</v>
      </c>
      <c r="E32" s="39">
        <v>790</v>
      </c>
      <c r="F32" s="39">
        <v>681</v>
      </c>
      <c r="G32" s="39">
        <v>692</v>
      </c>
      <c r="H32" s="39">
        <v>622</v>
      </c>
      <c r="I32" s="39">
        <v>426</v>
      </c>
      <c r="J32" s="39">
        <v>600</v>
      </c>
      <c r="K32" s="39">
        <v>1121</v>
      </c>
      <c r="L32" s="39">
        <v>1658</v>
      </c>
      <c r="M32" s="39">
        <v>2097</v>
      </c>
      <c r="N32" s="39">
        <v>2417</v>
      </c>
      <c r="O32" s="39">
        <v>2563</v>
      </c>
      <c r="P32" s="39">
        <v>2503</v>
      </c>
      <c r="Q32" s="39">
        <v>2377</v>
      </c>
      <c r="R32" s="39">
        <v>2263</v>
      </c>
      <c r="S32" s="39">
        <v>2232</v>
      </c>
      <c r="T32" s="39">
        <v>2772</v>
      </c>
      <c r="U32" s="39">
        <v>3611</v>
      </c>
      <c r="V32" s="39">
        <v>3996</v>
      </c>
      <c r="W32" s="39">
        <v>3845</v>
      </c>
      <c r="X32" s="39">
        <v>3554</v>
      </c>
      <c r="Y32" s="39">
        <v>2798</v>
      </c>
      <c r="Z32" s="40">
        <v>2055</v>
      </c>
      <c r="AA32" s="35">
        <f t="shared" si="0"/>
        <v>48170</v>
      </c>
      <c r="AB32" s="23">
        <v>4</v>
      </c>
      <c r="AC32" s="96"/>
      <c r="AD32" s="49"/>
    </row>
    <row r="33" spans="1:30" ht="15.75" thickBot="1" x14ac:dyDescent="0.3">
      <c r="A33" s="93">
        <v>47027</v>
      </c>
      <c r="B33" s="18" t="s">
        <v>5</v>
      </c>
      <c r="C33" s="33">
        <v>930</v>
      </c>
      <c r="D33" s="33">
        <v>644</v>
      </c>
      <c r="E33" s="33">
        <v>495</v>
      </c>
      <c r="F33" s="33">
        <v>425</v>
      </c>
      <c r="G33" s="33">
        <v>492</v>
      </c>
      <c r="H33" s="33">
        <v>631</v>
      </c>
      <c r="I33" s="33">
        <v>728</v>
      </c>
      <c r="J33" s="33">
        <v>1222</v>
      </c>
      <c r="K33" s="33">
        <v>1960</v>
      </c>
      <c r="L33" s="33">
        <v>2563</v>
      </c>
      <c r="M33" s="33">
        <v>3132</v>
      </c>
      <c r="N33" s="33">
        <v>3560</v>
      </c>
      <c r="O33" s="33">
        <v>3148</v>
      </c>
      <c r="P33" s="33">
        <v>3133</v>
      </c>
      <c r="Q33" s="33">
        <v>3547</v>
      </c>
      <c r="R33" s="33">
        <v>3672</v>
      </c>
      <c r="S33" s="33">
        <v>3648</v>
      </c>
      <c r="T33" s="33">
        <v>4098</v>
      </c>
      <c r="U33" s="33">
        <v>4752</v>
      </c>
      <c r="V33" s="33">
        <v>4516</v>
      </c>
      <c r="W33" s="33">
        <v>4223</v>
      </c>
      <c r="X33" s="33">
        <v>3786</v>
      </c>
      <c r="Y33" s="33">
        <v>2964</v>
      </c>
      <c r="Z33" s="34">
        <v>2012</v>
      </c>
      <c r="AA33" s="35">
        <f t="shared" si="0"/>
        <v>60281</v>
      </c>
      <c r="AB33" s="19">
        <v>21</v>
      </c>
      <c r="AC33" s="94">
        <f>+AA33*AB33+AA34*AB34+AA35*AB35</f>
        <v>1739781</v>
      </c>
      <c r="AD33" s="49"/>
    </row>
    <row r="34" spans="1:30" ht="15.75" thickBot="1" x14ac:dyDescent="0.3">
      <c r="A34" s="93"/>
      <c r="B34" s="20" t="s">
        <v>4</v>
      </c>
      <c r="C34" s="36">
        <v>1406</v>
      </c>
      <c r="D34" s="36">
        <v>1091</v>
      </c>
      <c r="E34" s="36">
        <v>854</v>
      </c>
      <c r="F34" s="36">
        <v>691</v>
      </c>
      <c r="G34" s="36">
        <v>782</v>
      </c>
      <c r="H34" s="36">
        <v>595</v>
      </c>
      <c r="I34" s="36">
        <v>622</v>
      </c>
      <c r="J34" s="36">
        <v>1125</v>
      </c>
      <c r="K34" s="36">
        <v>1983</v>
      </c>
      <c r="L34" s="36">
        <v>2663</v>
      </c>
      <c r="M34" s="36">
        <v>3159</v>
      </c>
      <c r="N34" s="36">
        <v>3422</v>
      </c>
      <c r="O34" s="36">
        <v>3287</v>
      </c>
      <c r="P34" s="36">
        <v>3028</v>
      </c>
      <c r="Q34" s="36">
        <v>3068</v>
      </c>
      <c r="R34" s="36">
        <v>3077</v>
      </c>
      <c r="S34" s="36">
        <v>3009</v>
      </c>
      <c r="T34" s="36">
        <v>3717</v>
      </c>
      <c r="U34" s="36">
        <v>4703</v>
      </c>
      <c r="V34" s="36">
        <v>4606</v>
      </c>
      <c r="W34" s="36">
        <v>4222</v>
      </c>
      <c r="X34" s="36">
        <v>3835</v>
      </c>
      <c r="Y34" s="36">
        <v>3236</v>
      </c>
      <c r="Z34" s="37">
        <v>2554</v>
      </c>
      <c r="AA34" s="35">
        <f t="shared" si="0"/>
        <v>60735</v>
      </c>
      <c r="AB34" s="21">
        <v>4</v>
      </c>
      <c r="AC34" s="95"/>
      <c r="AD34" s="49"/>
    </row>
    <row r="35" spans="1:30" ht="15.75" thickBot="1" x14ac:dyDescent="0.3">
      <c r="A35" s="93"/>
      <c r="B35" s="22" t="s">
        <v>3</v>
      </c>
      <c r="C35" s="39">
        <v>1257</v>
      </c>
      <c r="D35" s="39">
        <v>897</v>
      </c>
      <c r="E35" s="39">
        <v>693</v>
      </c>
      <c r="F35" s="39">
        <v>476</v>
      </c>
      <c r="G35" s="39">
        <v>433</v>
      </c>
      <c r="H35" s="39">
        <v>287</v>
      </c>
      <c r="I35" s="39">
        <v>140</v>
      </c>
      <c r="J35" s="39">
        <v>184</v>
      </c>
      <c r="K35" s="39">
        <v>557</v>
      </c>
      <c r="L35" s="39">
        <v>1146</v>
      </c>
      <c r="M35" s="39">
        <v>1541</v>
      </c>
      <c r="N35" s="39">
        <v>1842</v>
      </c>
      <c r="O35" s="39">
        <v>1946</v>
      </c>
      <c r="P35" s="39">
        <v>1894</v>
      </c>
      <c r="Q35" s="39">
        <v>1703</v>
      </c>
      <c r="R35" s="39">
        <v>1574</v>
      </c>
      <c r="S35" s="39">
        <v>1588</v>
      </c>
      <c r="T35" s="39">
        <v>2269</v>
      </c>
      <c r="U35" s="39">
        <v>3374</v>
      </c>
      <c r="V35" s="39">
        <v>3575</v>
      </c>
      <c r="W35" s="39">
        <v>3478</v>
      </c>
      <c r="X35" s="39">
        <v>3222</v>
      </c>
      <c r="Y35" s="39">
        <v>2574</v>
      </c>
      <c r="Z35" s="40">
        <v>1840</v>
      </c>
      <c r="AA35" s="35">
        <f t="shared" si="0"/>
        <v>38490</v>
      </c>
      <c r="AB35" s="23">
        <v>6</v>
      </c>
      <c r="AC35" s="96"/>
      <c r="AD35" s="49"/>
    </row>
    <row r="36" spans="1:30" ht="15.75" thickBot="1" x14ac:dyDescent="0.3">
      <c r="A36" s="93">
        <v>47058</v>
      </c>
      <c r="B36" s="18" t="s">
        <v>5</v>
      </c>
      <c r="C36" s="33">
        <v>823</v>
      </c>
      <c r="D36" s="33">
        <v>622</v>
      </c>
      <c r="E36" s="33">
        <v>473</v>
      </c>
      <c r="F36" s="33">
        <v>368</v>
      </c>
      <c r="G36" s="33">
        <v>445</v>
      </c>
      <c r="H36" s="33">
        <v>661</v>
      </c>
      <c r="I36" s="33">
        <v>728</v>
      </c>
      <c r="J36" s="33">
        <v>1154</v>
      </c>
      <c r="K36" s="33">
        <v>1831</v>
      </c>
      <c r="L36" s="33">
        <v>2384</v>
      </c>
      <c r="M36" s="33">
        <v>2872</v>
      </c>
      <c r="N36" s="33">
        <v>3261</v>
      </c>
      <c r="O36" s="33">
        <v>2932</v>
      </c>
      <c r="P36" s="33">
        <v>2877</v>
      </c>
      <c r="Q36" s="33">
        <v>3290</v>
      </c>
      <c r="R36" s="33">
        <v>3382</v>
      </c>
      <c r="S36" s="33">
        <v>3267</v>
      </c>
      <c r="T36" s="33">
        <v>3897</v>
      </c>
      <c r="U36" s="33">
        <v>4681</v>
      </c>
      <c r="V36" s="33">
        <v>4443</v>
      </c>
      <c r="W36" s="33">
        <v>4130</v>
      </c>
      <c r="X36" s="33">
        <v>3655</v>
      </c>
      <c r="Y36" s="33">
        <v>2843</v>
      </c>
      <c r="Z36" s="34">
        <v>1877</v>
      </c>
      <c r="AA36" s="35">
        <f t="shared" si="0"/>
        <v>56896</v>
      </c>
      <c r="AB36" s="19">
        <v>20</v>
      </c>
      <c r="AC36" s="94">
        <f>+AA36*AB36+AA37*AB37+AA38*AB38</f>
        <v>1571082</v>
      </c>
      <c r="AD36" s="49"/>
    </row>
    <row r="37" spans="1:30" ht="15.75" thickBot="1" x14ac:dyDescent="0.3">
      <c r="A37" s="93"/>
      <c r="B37" s="20" t="s">
        <v>4</v>
      </c>
      <c r="C37" s="36">
        <v>696</v>
      </c>
      <c r="D37" s="36">
        <v>431</v>
      </c>
      <c r="E37" s="36">
        <v>215</v>
      </c>
      <c r="F37" s="36">
        <v>150</v>
      </c>
      <c r="G37" s="36">
        <v>220</v>
      </c>
      <c r="H37" s="36">
        <v>240</v>
      </c>
      <c r="I37" s="36">
        <v>362</v>
      </c>
      <c r="J37" s="36">
        <v>719</v>
      </c>
      <c r="K37" s="36">
        <v>1396</v>
      </c>
      <c r="L37" s="36">
        <v>2036</v>
      </c>
      <c r="M37" s="36">
        <v>2452</v>
      </c>
      <c r="N37" s="36">
        <v>2801</v>
      </c>
      <c r="O37" s="36">
        <v>2780</v>
      </c>
      <c r="P37" s="36">
        <v>2683</v>
      </c>
      <c r="Q37" s="36">
        <v>2598</v>
      </c>
      <c r="R37" s="36">
        <v>2649</v>
      </c>
      <c r="S37" s="36">
        <v>2568</v>
      </c>
      <c r="T37" s="36">
        <v>3262</v>
      </c>
      <c r="U37" s="36">
        <v>4350</v>
      </c>
      <c r="V37" s="36">
        <v>4330</v>
      </c>
      <c r="W37" s="36">
        <v>3890</v>
      </c>
      <c r="X37" s="36">
        <v>3477</v>
      </c>
      <c r="Y37" s="36">
        <v>2903</v>
      </c>
      <c r="Z37" s="37">
        <v>2203</v>
      </c>
      <c r="AA37" s="35">
        <f t="shared" si="0"/>
        <v>49411</v>
      </c>
      <c r="AB37" s="21">
        <v>4</v>
      </c>
      <c r="AC37" s="95"/>
      <c r="AD37" s="49"/>
    </row>
    <row r="38" spans="1:30" ht="15.75" thickBot="1" x14ac:dyDescent="0.3">
      <c r="A38" s="93"/>
      <c r="B38" s="22" t="s">
        <v>3</v>
      </c>
      <c r="C38" s="39">
        <v>1066</v>
      </c>
      <c r="D38" s="39">
        <v>840</v>
      </c>
      <c r="E38" s="39">
        <v>540</v>
      </c>
      <c r="F38" s="39">
        <v>322</v>
      </c>
      <c r="G38" s="39">
        <v>322</v>
      </c>
      <c r="H38" s="39">
        <v>284</v>
      </c>
      <c r="I38" s="39">
        <v>54</v>
      </c>
      <c r="J38" s="39">
        <v>183</v>
      </c>
      <c r="K38" s="39">
        <v>653</v>
      </c>
      <c r="L38" s="39">
        <v>1276</v>
      </c>
      <c r="M38" s="39">
        <v>1701</v>
      </c>
      <c r="N38" s="39">
        <v>1949</v>
      </c>
      <c r="O38" s="39">
        <v>2136</v>
      </c>
      <c r="P38" s="39">
        <v>2078</v>
      </c>
      <c r="Q38" s="39">
        <v>1826</v>
      </c>
      <c r="R38" s="39">
        <v>1702</v>
      </c>
      <c r="S38" s="39">
        <v>1673</v>
      </c>
      <c r="T38" s="39">
        <v>2352</v>
      </c>
      <c r="U38" s="39">
        <v>3521</v>
      </c>
      <c r="V38" s="39">
        <v>3528</v>
      </c>
      <c r="W38" s="39">
        <v>3496</v>
      </c>
      <c r="X38" s="39">
        <v>3214</v>
      </c>
      <c r="Y38" s="39">
        <v>2616</v>
      </c>
      <c r="Z38" s="40">
        <v>1921</v>
      </c>
      <c r="AA38" s="35">
        <f t="shared" si="0"/>
        <v>39253</v>
      </c>
      <c r="AB38" s="23">
        <v>6</v>
      </c>
      <c r="AC38" s="96"/>
      <c r="AD38" s="49"/>
    </row>
    <row r="39" spans="1:30" ht="15.75" thickBot="1" x14ac:dyDescent="0.3">
      <c r="A39" s="93">
        <v>47088</v>
      </c>
      <c r="B39" s="18" t="s">
        <v>5</v>
      </c>
      <c r="C39" s="33">
        <v>1446</v>
      </c>
      <c r="D39" s="33">
        <v>1237</v>
      </c>
      <c r="E39" s="33">
        <v>1018</v>
      </c>
      <c r="F39" s="33">
        <v>954</v>
      </c>
      <c r="G39" s="33">
        <v>1036</v>
      </c>
      <c r="H39" s="33">
        <v>1229</v>
      </c>
      <c r="I39" s="33">
        <v>1180</v>
      </c>
      <c r="J39" s="33">
        <v>1652</v>
      </c>
      <c r="K39" s="33">
        <v>2501</v>
      </c>
      <c r="L39" s="33">
        <v>3154</v>
      </c>
      <c r="M39" s="33">
        <v>3732</v>
      </c>
      <c r="N39" s="33">
        <v>4178</v>
      </c>
      <c r="O39" s="33">
        <v>3892</v>
      </c>
      <c r="P39" s="33">
        <v>3870</v>
      </c>
      <c r="Q39" s="33">
        <v>4210</v>
      </c>
      <c r="R39" s="33">
        <v>4221</v>
      </c>
      <c r="S39" s="33">
        <v>4084</v>
      </c>
      <c r="T39" s="33">
        <v>4513</v>
      </c>
      <c r="U39" s="33">
        <v>5349</v>
      </c>
      <c r="V39" s="33">
        <v>5374</v>
      </c>
      <c r="W39" s="33">
        <v>4968</v>
      </c>
      <c r="X39" s="33">
        <v>4500</v>
      </c>
      <c r="Y39" s="33">
        <v>3649</v>
      </c>
      <c r="Z39" s="34">
        <v>2677</v>
      </c>
      <c r="AA39" s="35">
        <f t="shared" si="0"/>
        <v>74624</v>
      </c>
      <c r="AB39" s="19">
        <v>19</v>
      </c>
      <c r="AC39" s="94">
        <f>+AA39*AB39+AA40*AB40+AA41*AB41</f>
        <v>2069696</v>
      </c>
      <c r="AD39" s="49"/>
    </row>
    <row r="40" spans="1:30" ht="15.75" thickBot="1" x14ac:dyDescent="0.3">
      <c r="A40" s="93"/>
      <c r="B40" s="20" t="s">
        <v>4</v>
      </c>
      <c r="C40" s="36">
        <v>1566</v>
      </c>
      <c r="D40" s="36">
        <v>1158</v>
      </c>
      <c r="E40" s="36">
        <v>961</v>
      </c>
      <c r="F40" s="36">
        <v>870</v>
      </c>
      <c r="G40" s="36">
        <v>948</v>
      </c>
      <c r="H40" s="36">
        <v>1095</v>
      </c>
      <c r="I40" s="36">
        <v>964</v>
      </c>
      <c r="J40" s="36">
        <v>1445</v>
      </c>
      <c r="K40" s="36">
        <v>2238</v>
      </c>
      <c r="L40" s="36">
        <v>2954</v>
      </c>
      <c r="M40" s="36">
        <v>3516</v>
      </c>
      <c r="N40" s="36">
        <v>3902</v>
      </c>
      <c r="O40" s="36">
        <v>3643</v>
      </c>
      <c r="P40" s="36">
        <v>3446</v>
      </c>
      <c r="Q40" s="36">
        <v>3441</v>
      </c>
      <c r="R40" s="36">
        <v>3386</v>
      </c>
      <c r="S40" s="36">
        <v>3299</v>
      </c>
      <c r="T40" s="36">
        <v>3865</v>
      </c>
      <c r="U40" s="36">
        <v>4959</v>
      </c>
      <c r="V40" s="36">
        <v>5048</v>
      </c>
      <c r="W40" s="36">
        <v>4638</v>
      </c>
      <c r="X40" s="36">
        <v>4132</v>
      </c>
      <c r="Y40" s="36">
        <v>3453</v>
      </c>
      <c r="Z40" s="37">
        <v>2644</v>
      </c>
      <c r="AA40" s="35">
        <f t="shared" si="0"/>
        <v>67571</v>
      </c>
      <c r="AB40" s="21">
        <v>5</v>
      </c>
      <c r="AC40" s="95"/>
      <c r="AD40" s="49"/>
    </row>
    <row r="41" spans="1:30" ht="15.75" thickBot="1" x14ac:dyDescent="0.3">
      <c r="A41" s="93"/>
      <c r="B41" s="22" t="s">
        <v>3</v>
      </c>
      <c r="C41" s="39">
        <v>1147</v>
      </c>
      <c r="D41" s="39">
        <v>823</v>
      </c>
      <c r="E41" s="39">
        <v>584</v>
      </c>
      <c r="F41" s="39">
        <v>462</v>
      </c>
      <c r="G41" s="39">
        <v>478</v>
      </c>
      <c r="H41" s="39">
        <v>567</v>
      </c>
      <c r="I41" s="39">
        <v>295</v>
      </c>
      <c r="J41" s="39">
        <v>402</v>
      </c>
      <c r="K41" s="39">
        <v>881</v>
      </c>
      <c r="L41" s="39">
        <v>1480</v>
      </c>
      <c r="M41" s="39">
        <v>1922</v>
      </c>
      <c r="N41" s="39">
        <v>2283</v>
      </c>
      <c r="O41" s="39">
        <v>2384</v>
      </c>
      <c r="P41" s="39">
        <v>2348</v>
      </c>
      <c r="Q41" s="39">
        <v>2113</v>
      </c>
      <c r="R41" s="39">
        <v>2026</v>
      </c>
      <c r="S41" s="39">
        <v>1987</v>
      </c>
      <c r="T41" s="39">
        <v>2655</v>
      </c>
      <c r="U41" s="39">
        <v>3676</v>
      </c>
      <c r="V41" s="39">
        <v>3968</v>
      </c>
      <c r="W41" s="39">
        <v>3873</v>
      </c>
      <c r="X41" s="39">
        <v>3590</v>
      </c>
      <c r="Y41" s="39">
        <v>2864</v>
      </c>
      <c r="Z41" s="40">
        <v>2047</v>
      </c>
      <c r="AA41" s="35">
        <f t="shared" si="0"/>
        <v>44855</v>
      </c>
      <c r="AB41" s="23">
        <v>7</v>
      </c>
      <c r="AC41" s="96"/>
      <c r="AD41" s="49"/>
    </row>
    <row r="42" spans="1:30" x14ac:dyDescent="0.25">
      <c r="A42" s="97" t="s">
        <v>2</v>
      </c>
      <c r="B42" s="98"/>
      <c r="C42" s="31">
        <f t="shared" ref="C42:AC42" si="1">+SUM(C6:C41)</f>
        <v>54212</v>
      </c>
      <c r="D42" s="31">
        <f t="shared" si="1"/>
        <v>43816</v>
      </c>
      <c r="E42" s="31">
        <f t="shared" si="1"/>
        <v>35812</v>
      </c>
      <c r="F42" s="31">
        <f t="shared" si="1"/>
        <v>31678</v>
      </c>
      <c r="G42" s="31">
        <f t="shared" si="1"/>
        <v>32767</v>
      </c>
      <c r="H42" s="31">
        <f t="shared" si="1"/>
        <v>36106</v>
      </c>
      <c r="I42" s="31">
        <f t="shared" si="1"/>
        <v>29558</v>
      </c>
      <c r="J42" s="31">
        <f t="shared" si="1"/>
        <v>39672</v>
      </c>
      <c r="K42" s="31">
        <f t="shared" si="1"/>
        <v>62715</v>
      </c>
      <c r="L42" s="31">
        <f t="shared" si="1"/>
        <v>84752</v>
      </c>
      <c r="M42" s="31">
        <f t="shared" si="1"/>
        <v>101797</v>
      </c>
      <c r="N42" s="31">
        <f t="shared" si="1"/>
        <v>115164</v>
      </c>
      <c r="O42" s="31">
        <f t="shared" si="1"/>
        <v>111752</v>
      </c>
      <c r="P42" s="31">
        <f t="shared" si="1"/>
        <v>108522</v>
      </c>
      <c r="Q42" s="31">
        <f t="shared" si="1"/>
        <v>111880</v>
      </c>
      <c r="R42" s="31">
        <f t="shared" si="1"/>
        <v>112184</v>
      </c>
      <c r="S42" s="31">
        <f t="shared" si="1"/>
        <v>110018</v>
      </c>
      <c r="T42" s="31">
        <f t="shared" si="1"/>
        <v>126985</v>
      </c>
      <c r="U42" s="31">
        <f t="shared" si="1"/>
        <v>153658</v>
      </c>
      <c r="V42" s="31">
        <f t="shared" si="1"/>
        <v>166364</v>
      </c>
      <c r="W42" s="31">
        <f t="shared" si="1"/>
        <v>157513</v>
      </c>
      <c r="X42" s="31">
        <f t="shared" si="1"/>
        <v>144889</v>
      </c>
      <c r="Y42" s="31">
        <f t="shared" si="1"/>
        <v>118996</v>
      </c>
      <c r="Z42" s="31">
        <f t="shared" si="1"/>
        <v>89367</v>
      </c>
      <c r="AA42" s="31">
        <f t="shared" si="1"/>
        <v>2180177</v>
      </c>
      <c r="AB42" s="31">
        <f t="shared" si="1"/>
        <v>366</v>
      </c>
      <c r="AC42" s="46">
        <f t="shared" si="1"/>
        <v>23885369</v>
      </c>
      <c r="AD42" s="49"/>
    </row>
    <row r="43" spans="1:30" x14ac:dyDescent="0.25">
      <c r="AB43" s="6"/>
      <c r="AC43" s="6"/>
    </row>
    <row r="44" spans="1:30" x14ac:dyDescent="0.25">
      <c r="AA44" s="45"/>
      <c r="AC44" s="45"/>
    </row>
    <row r="45" spans="1:30" x14ac:dyDescent="0.25"/>
    <row r="46" spans="1:30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E9E6-CC4E-448E-9416-BCFB75F5E663}">
  <sheetPr codeName="Hoja9">
    <tabColor rgb="FF0070C0"/>
  </sheetPr>
  <dimension ref="A1:AD46"/>
  <sheetViews>
    <sheetView showGridLines="0" zoomScale="115" zoomScaleNormal="115" zoomScaleSheetLayoutView="110" workbookViewId="0">
      <pane xSplit="2" ySplit="5" topLeftCell="M3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57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46753</v>
      </c>
      <c r="B6" s="18" t="s">
        <v>5</v>
      </c>
      <c r="C6" s="33">
        <f>ROUND('Anexo 13'!C6*'Anexo 3'!$D$10,0)</f>
        <v>0</v>
      </c>
      <c r="D6" s="33">
        <f>ROUND('Anexo 13'!D6*'Anexo 3'!$D$10,0)</f>
        <v>0</v>
      </c>
      <c r="E6" s="33">
        <f>ROUND('Anexo 13'!E6*'Anexo 3'!$D$10,0)</f>
        <v>0</v>
      </c>
      <c r="F6" s="33">
        <f>ROUND('Anexo 13'!F6*'Anexo 3'!$D$10,0)</f>
        <v>0</v>
      </c>
      <c r="G6" s="33">
        <f>ROUND('Anexo 13'!G6*'Anexo 3'!$D$10,0)</f>
        <v>0</v>
      </c>
      <c r="H6" s="33">
        <f>ROUND('Anexo 13'!H6*'Anexo 3'!$D$10,0)</f>
        <v>0</v>
      </c>
      <c r="I6" s="33">
        <f>ROUND('Anexo 13'!I6*'Anexo 3'!$D$10,0)</f>
        <v>0</v>
      </c>
      <c r="J6" s="33">
        <f>ROUND('Anexo 13'!J6*'Anexo 3'!$D$10,0)</f>
        <v>0</v>
      </c>
      <c r="K6" s="33">
        <f>ROUND('Anexo 13'!K6*'Anexo 3'!$D$10,0)</f>
        <v>0</v>
      </c>
      <c r="L6" s="33">
        <f>ROUND('Anexo 13'!L6*'Anexo 3'!$D$10,0)</f>
        <v>0</v>
      </c>
      <c r="M6" s="33">
        <f>ROUND('Anexo 13'!M6*'Anexo 3'!$D$10,0)</f>
        <v>0</v>
      </c>
      <c r="N6" s="33">
        <f>ROUND('Anexo 13'!N6*'Anexo 3'!$D$10,0)</f>
        <v>0</v>
      </c>
      <c r="O6" s="33">
        <f>ROUND('Anexo 13'!O6*'Anexo 3'!$D$10,0)</f>
        <v>0</v>
      </c>
      <c r="P6" s="33">
        <f>ROUND('Anexo 13'!P6*'Anexo 3'!$D$10,0)</f>
        <v>0</v>
      </c>
      <c r="Q6" s="33">
        <f>ROUND('Anexo 13'!Q6*'Anexo 3'!$D$10,0)</f>
        <v>0</v>
      </c>
      <c r="R6" s="33">
        <f>ROUND('Anexo 13'!R6*'Anexo 3'!$D$10,0)</f>
        <v>0</v>
      </c>
      <c r="S6" s="33">
        <f>ROUND('Anexo 13'!S6*'Anexo 3'!$D$10,0)</f>
        <v>0</v>
      </c>
      <c r="T6" s="33">
        <f>ROUND('Anexo 13'!T6*'Anexo 3'!$D$10,0)</f>
        <v>0</v>
      </c>
      <c r="U6" s="33">
        <f>ROUND('Anexo 13'!U6*'Anexo 3'!$D$10,0)</f>
        <v>0</v>
      </c>
      <c r="V6" s="33">
        <f>ROUND('Anexo 13'!V6*'Anexo 3'!$D$10,0)</f>
        <v>0</v>
      </c>
      <c r="W6" s="33">
        <f>ROUND('Anexo 13'!W6*'Anexo 3'!$D$10,0)</f>
        <v>0</v>
      </c>
      <c r="X6" s="33">
        <f>ROUND('Anexo 13'!X6*'Anexo 3'!$D$10,0)</f>
        <v>0</v>
      </c>
      <c r="Y6" s="33">
        <f>ROUND('Anexo 13'!Y6*'Anexo 3'!$D$10,0)</f>
        <v>0</v>
      </c>
      <c r="Z6" s="33">
        <f>ROUND('Anexo 13'!Z6*'Anexo 3'!$D$10,0)</f>
        <v>0</v>
      </c>
      <c r="AA6" s="35">
        <f>SUM(C6:Z6)</f>
        <v>0</v>
      </c>
      <c r="AB6" s="19">
        <v>20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3">
        <f>ROUND('Anexo 13'!C7*'Anexo 3'!$D$10,0)</f>
        <v>0</v>
      </c>
      <c r="D7" s="33">
        <f>ROUND('Anexo 13'!D7*'Anexo 3'!$D$10,0)</f>
        <v>0</v>
      </c>
      <c r="E7" s="33">
        <f>ROUND('Anexo 13'!E7*'Anexo 3'!$D$10,0)</f>
        <v>0</v>
      </c>
      <c r="F7" s="33">
        <f>ROUND('Anexo 13'!F7*'Anexo 3'!$D$10,0)</f>
        <v>0</v>
      </c>
      <c r="G7" s="33">
        <f>ROUND('Anexo 13'!G7*'Anexo 3'!$D$10,0)</f>
        <v>0</v>
      </c>
      <c r="H7" s="33">
        <f>ROUND('Anexo 13'!H7*'Anexo 3'!$D$10,0)</f>
        <v>0</v>
      </c>
      <c r="I7" s="33">
        <f>ROUND('Anexo 13'!I7*'Anexo 3'!$D$10,0)</f>
        <v>0</v>
      </c>
      <c r="J7" s="33">
        <f>ROUND('Anexo 13'!J7*'Anexo 3'!$D$10,0)</f>
        <v>0</v>
      </c>
      <c r="K7" s="33">
        <f>ROUND('Anexo 13'!K7*'Anexo 3'!$D$10,0)</f>
        <v>0</v>
      </c>
      <c r="L7" s="33">
        <f>ROUND('Anexo 13'!L7*'Anexo 3'!$D$10,0)</f>
        <v>0</v>
      </c>
      <c r="M7" s="33">
        <f>ROUND('Anexo 13'!M7*'Anexo 3'!$D$10,0)</f>
        <v>0</v>
      </c>
      <c r="N7" s="33">
        <f>ROUND('Anexo 13'!N7*'Anexo 3'!$D$10,0)</f>
        <v>0</v>
      </c>
      <c r="O7" s="33">
        <f>ROUND('Anexo 13'!O7*'Anexo 3'!$D$10,0)</f>
        <v>0</v>
      </c>
      <c r="P7" s="33">
        <f>ROUND('Anexo 13'!P7*'Anexo 3'!$D$10,0)</f>
        <v>0</v>
      </c>
      <c r="Q7" s="33">
        <f>ROUND('Anexo 13'!Q7*'Anexo 3'!$D$10,0)</f>
        <v>0</v>
      </c>
      <c r="R7" s="33">
        <f>ROUND('Anexo 13'!R7*'Anexo 3'!$D$10,0)</f>
        <v>0</v>
      </c>
      <c r="S7" s="33">
        <f>ROUND('Anexo 13'!S7*'Anexo 3'!$D$10,0)</f>
        <v>0</v>
      </c>
      <c r="T7" s="33">
        <f>ROUND('Anexo 13'!T7*'Anexo 3'!$D$10,0)</f>
        <v>0</v>
      </c>
      <c r="U7" s="33">
        <f>ROUND('Anexo 13'!U7*'Anexo 3'!$D$10,0)</f>
        <v>0</v>
      </c>
      <c r="V7" s="33">
        <f>ROUND('Anexo 13'!V7*'Anexo 3'!$D$10,0)</f>
        <v>0</v>
      </c>
      <c r="W7" s="33">
        <f>ROUND('Anexo 13'!W7*'Anexo 3'!$D$10,0)</f>
        <v>0</v>
      </c>
      <c r="X7" s="33">
        <f>ROUND('Anexo 13'!X7*'Anexo 3'!$D$10,0)</f>
        <v>0</v>
      </c>
      <c r="Y7" s="33">
        <f>ROUND('Anexo 13'!Y7*'Anexo 3'!$D$10,0)</f>
        <v>0</v>
      </c>
      <c r="Z7" s="33">
        <f>ROUND('Anexo 13'!Z7*'Anexo 3'!$D$10,0)</f>
        <v>0</v>
      </c>
      <c r="AA7" s="38">
        <f t="shared" ref="AA7:AA41" si="0">SUM(C7:Z7)</f>
        <v>0</v>
      </c>
      <c r="AB7" s="21">
        <v>4</v>
      </c>
      <c r="AC7" s="95"/>
      <c r="AD7" s="47"/>
    </row>
    <row r="8" spans="1:30" ht="15.75" thickBot="1" x14ac:dyDescent="0.3">
      <c r="A8" s="93"/>
      <c r="B8" s="22" t="s">
        <v>3</v>
      </c>
      <c r="C8" s="33">
        <f>ROUND('Anexo 13'!C8*'Anexo 3'!$D$10,0)</f>
        <v>0</v>
      </c>
      <c r="D8" s="33">
        <f>ROUND('Anexo 13'!D8*'Anexo 3'!$D$10,0)</f>
        <v>0</v>
      </c>
      <c r="E8" s="33">
        <f>ROUND('Anexo 13'!E8*'Anexo 3'!$D$10,0)</f>
        <v>0</v>
      </c>
      <c r="F8" s="33">
        <f>ROUND('Anexo 13'!F8*'Anexo 3'!$D$10,0)</f>
        <v>0</v>
      </c>
      <c r="G8" s="33">
        <f>ROUND('Anexo 13'!G8*'Anexo 3'!$D$10,0)</f>
        <v>0</v>
      </c>
      <c r="H8" s="33">
        <f>ROUND('Anexo 13'!H8*'Anexo 3'!$D$10,0)</f>
        <v>0</v>
      </c>
      <c r="I8" s="33">
        <f>ROUND('Anexo 13'!I8*'Anexo 3'!$D$10,0)</f>
        <v>0</v>
      </c>
      <c r="J8" s="33">
        <f>ROUND('Anexo 13'!J8*'Anexo 3'!$D$10,0)</f>
        <v>0</v>
      </c>
      <c r="K8" s="33">
        <f>ROUND('Anexo 13'!K8*'Anexo 3'!$D$10,0)</f>
        <v>0</v>
      </c>
      <c r="L8" s="33">
        <f>ROUND('Anexo 13'!L8*'Anexo 3'!$D$10,0)</f>
        <v>0</v>
      </c>
      <c r="M8" s="33">
        <f>ROUND('Anexo 13'!M8*'Anexo 3'!$D$10,0)</f>
        <v>0</v>
      </c>
      <c r="N8" s="33">
        <f>ROUND('Anexo 13'!N8*'Anexo 3'!$D$10,0)</f>
        <v>0</v>
      </c>
      <c r="O8" s="33">
        <f>ROUND('Anexo 13'!O8*'Anexo 3'!$D$10,0)</f>
        <v>0</v>
      </c>
      <c r="P8" s="33">
        <f>ROUND('Anexo 13'!P8*'Anexo 3'!$D$10,0)</f>
        <v>0</v>
      </c>
      <c r="Q8" s="33">
        <f>ROUND('Anexo 13'!Q8*'Anexo 3'!$D$10,0)</f>
        <v>0</v>
      </c>
      <c r="R8" s="33">
        <f>ROUND('Anexo 13'!R8*'Anexo 3'!$D$10,0)</f>
        <v>0</v>
      </c>
      <c r="S8" s="33">
        <f>ROUND('Anexo 13'!S8*'Anexo 3'!$D$10,0)</f>
        <v>0</v>
      </c>
      <c r="T8" s="33">
        <f>ROUND('Anexo 13'!T8*'Anexo 3'!$D$10,0)</f>
        <v>0</v>
      </c>
      <c r="U8" s="33">
        <f>ROUND('Anexo 13'!U8*'Anexo 3'!$D$10,0)</f>
        <v>0</v>
      </c>
      <c r="V8" s="33">
        <f>ROUND('Anexo 13'!V8*'Anexo 3'!$D$10,0)</f>
        <v>0</v>
      </c>
      <c r="W8" s="33">
        <f>ROUND('Anexo 13'!W8*'Anexo 3'!$D$10,0)</f>
        <v>0</v>
      </c>
      <c r="X8" s="33">
        <f>ROUND('Anexo 13'!X8*'Anexo 3'!$D$10,0)</f>
        <v>0</v>
      </c>
      <c r="Y8" s="33">
        <f>ROUND('Anexo 13'!Y8*'Anexo 3'!$D$10,0)</f>
        <v>0</v>
      </c>
      <c r="Z8" s="33">
        <f>ROUND('Anexo 13'!Z8*'Anexo 3'!$D$10,0)</f>
        <v>0</v>
      </c>
      <c r="AA8" s="41">
        <f t="shared" si="0"/>
        <v>0</v>
      </c>
      <c r="AB8" s="23">
        <v>7</v>
      </c>
      <c r="AC8" s="96"/>
      <c r="AD8" s="48"/>
    </row>
    <row r="9" spans="1:30" ht="15.75" thickBot="1" x14ac:dyDescent="0.3">
      <c r="A9" s="93">
        <v>46784</v>
      </c>
      <c r="B9" s="18" t="s">
        <v>5</v>
      </c>
      <c r="C9" s="33">
        <f>ROUND('Anexo 13'!C9*'Anexo 3'!$D$10,0)</f>
        <v>0</v>
      </c>
      <c r="D9" s="33">
        <f>ROUND('Anexo 13'!D9*'Anexo 3'!$D$10,0)</f>
        <v>0</v>
      </c>
      <c r="E9" s="33">
        <f>ROUND('Anexo 13'!E9*'Anexo 3'!$D$10,0)</f>
        <v>0</v>
      </c>
      <c r="F9" s="33">
        <f>ROUND('Anexo 13'!F9*'Anexo 3'!$D$10,0)</f>
        <v>0</v>
      </c>
      <c r="G9" s="33">
        <f>ROUND('Anexo 13'!G9*'Anexo 3'!$D$10,0)</f>
        <v>0</v>
      </c>
      <c r="H9" s="33">
        <f>ROUND('Anexo 13'!H9*'Anexo 3'!$D$10,0)</f>
        <v>0</v>
      </c>
      <c r="I9" s="33">
        <f>ROUND('Anexo 13'!I9*'Anexo 3'!$D$10,0)</f>
        <v>0</v>
      </c>
      <c r="J9" s="33">
        <f>ROUND('Anexo 13'!J9*'Anexo 3'!$D$10,0)</f>
        <v>0</v>
      </c>
      <c r="K9" s="33">
        <f>ROUND('Anexo 13'!K9*'Anexo 3'!$D$10,0)</f>
        <v>0</v>
      </c>
      <c r="L9" s="33">
        <f>ROUND('Anexo 13'!L9*'Anexo 3'!$D$10,0)</f>
        <v>0</v>
      </c>
      <c r="M9" s="33">
        <f>ROUND('Anexo 13'!M9*'Anexo 3'!$D$10,0)</f>
        <v>0</v>
      </c>
      <c r="N9" s="33">
        <f>ROUND('Anexo 13'!N9*'Anexo 3'!$D$10,0)</f>
        <v>0</v>
      </c>
      <c r="O9" s="33">
        <f>ROUND('Anexo 13'!O9*'Anexo 3'!$D$10,0)</f>
        <v>0</v>
      </c>
      <c r="P9" s="33">
        <f>ROUND('Anexo 13'!P9*'Anexo 3'!$D$10,0)</f>
        <v>0</v>
      </c>
      <c r="Q9" s="33">
        <f>ROUND('Anexo 13'!Q9*'Anexo 3'!$D$10,0)</f>
        <v>0</v>
      </c>
      <c r="R9" s="33">
        <f>ROUND('Anexo 13'!R9*'Anexo 3'!$D$10,0)</f>
        <v>0</v>
      </c>
      <c r="S9" s="33">
        <f>ROUND('Anexo 13'!S9*'Anexo 3'!$D$10,0)</f>
        <v>0</v>
      </c>
      <c r="T9" s="33">
        <f>ROUND('Anexo 13'!T9*'Anexo 3'!$D$10,0)</f>
        <v>0</v>
      </c>
      <c r="U9" s="33">
        <f>ROUND('Anexo 13'!U9*'Anexo 3'!$D$10,0)</f>
        <v>0</v>
      </c>
      <c r="V9" s="33">
        <f>ROUND('Anexo 13'!V9*'Anexo 3'!$D$10,0)</f>
        <v>0</v>
      </c>
      <c r="W9" s="33">
        <f>ROUND('Anexo 13'!W9*'Anexo 3'!$D$10,0)</f>
        <v>0</v>
      </c>
      <c r="X9" s="33">
        <f>ROUND('Anexo 13'!X9*'Anexo 3'!$D$10,0)</f>
        <v>0</v>
      </c>
      <c r="Y9" s="33">
        <f>ROUND('Anexo 13'!Y9*'Anexo 3'!$D$10,0)</f>
        <v>0</v>
      </c>
      <c r="Z9" s="33">
        <f>ROUND('Anexo 13'!Z9*'Anexo 3'!$D$10,0)</f>
        <v>0</v>
      </c>
      <c r="AA9" s="35">
        <f t="shared" si="0"/>
        <v>0</v>
      </c>
      <c r="AB9" s="19">
        <v>21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ROUND('Anexo 13'!C10*'Anexo 3'!$D$10,0)</f>
        <v>0</v>
      </c>
      <c r="D10" s="33">
        <f>ROUND('Anexo 13'!D10*'Anexo 3'!$D$10,0)</f>
        <v>0</v>
      </c>
      <c r="E10" s="33">
        <f>ROUND('Anexo 13'!E10*'Anexo 3'!$D$10,0)</f>
        <v>0</v>
      </c>
      <c r="F10" s="33">
        <f>ROUND('Anexo 13'!F10*'Anexo 3'!$D$10,0)</f>
        <v>0</v>
      </c>
      <c r="G10" s="33">
        <f>ROUND('Anexo 13'!G10*'Anexo 3'!$D$10,0)</f>
        <v>0</v>
      </c>
      <c r="H10" s="33">
        <f>ROUND('Anexo 13'!H10*'Anexo 3'!$D$10,0)</f>
        <v>0</v>
      </c>
      <c r="I10" s="33">
        <f>ROUND('Anexo 13'!I10*'Anexo 3'!$D$10,0)</f>
        <v>0</v>
      </c>
      <c r="J10" s="33">
        <f>ROUND('Anexo 13'!J10*'Anexo 3'!$D$10,0)</f>
        <v>0</v>
      </c>
      <c r="K10" s="33">
        <f>ROUND('Anexo 13'!K10*'Anexo 3'!$D$10,0)</f>
        <v>0</v>
      </c>
      <c r="L10" s="33">
        <f>ROUND('Anexo 13'!L10*'Anexo 3'!$D$10,0)</f>
        <v>0</v>
      </c>
      <c r="M10" s="33">
        <f>ROUND('Anexo 13'!M10*'Anexo 3'!$D$10,0)</f>
        <v>0</v>
      </c>
      <c r="N10" s="33">
        <f>ROUND('Anexo 13'!N10*'Anexo 3'!$D$10,0)</f>
        <v>0</v>
      </c>
      <c r="O10" s="33">
        <f>ROUND('Anexo 13'!O10*'Anexo 3'!$D$10,0)</f>
        <v>0</v>
      </c>
      <c r="P10" s="33">
        <f>ROUND('Anexo 13'!P10*'Anexo 3'!$D$10,0)</f>
        <v>0</v>
      </c>
      <c r="Q10" s="33">
        <f>ROUND('Anexo 13'!Q10*'Anexo 3'!$D$10,0)</f>
        <v>0</v>
      </c>
      <c r="R10" s="33">
        <f>ROUND('Anexo 13'!R10*'Anexo 3'!$D$10,0)</f>
        <v>0</v>
      </c>
      <c r="S10" s="33">
        <f>ROUND('Anexo 13'!S10*'Anexo 3'!$D$10,0)</f>
        <v>0</v>
      </c>
      <c r="T10" s="33">
        <f>ROUND('Anexo 13'!T10*'Anexo 3'!$D$10,0)</f>
        <v>0</v>
      </c>
      <c r="U10" s="33">
        <f>ROUND('Anexo 13'!U10*'Anexo 3'!$D$10,0)</f>
        <v>0</v>
      </c>
      <c r="V10" s="33">
        <f>ROUND('Anexo 13'!V10*'Anexo 3'!$D$10,0)</f>
        <v>0</v>
      </c>
      <c r="W10" s="33">
        <f>ROUND('Anexo 13'!W10*'Anexo 3'!$D$10,0)</f>
        <v>0</v>
      </c>
      <c r="X10" s="33">
        <f>ROUND('Anexo 13'!X10*'Anexo 3'!$D$10,0)</f>
        <v>0</v>
      </c>
      <c r="Y10" s="33">
        <f>ROUND('Anexo 13'!Y10*'Anexo 3'!$D$10,0)</f>
        <v>0</v>
      </c>
      <c r="Z10" s="33">
        <f>ROUND('Anexo 13'!Z10*'Anexo 3'!$D$10,0)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ROUND('Anexo 13'!C11*'Anexo 3'!$D$10,0)</f>
        <v>0</v>
      </c>
      <c r="D11" s="33">
        <f>ROUND('Anexo 13'!D11*'Anexo 3'!$D$10,0)</f>
        <v>0</v>
      </c>
      <c r="E11" s="33">
        <f>ROUND('Anexo 13'!E11*'Anexo 3'!$D$10,0)</f>
        <v>0</v>
      </c>
      <c r="F11" s="33">
        <f>ROUND('Anexo 13'!F11*'Anexo 3'!$D$10,0)</f>
        <v>0</v>
      </c>
      <c r="G11" s="33">
        <f>ROUND('Anexo 13'!G11*'Anexo 3'!$D$10,0)</f>
        <v>0</v>
      </c>
      <c r="H11" s="33">
        <f>ROUND('Anexo 13'!H11*'Anexo 3'!$D$10,0)</f>
        <v>0</v>
      </c>
      <c r="I11" s="33">
        <f>ROUND('Anexo 13'!I11*'Anexo 3'!$D$10,0)</f>
        <v>0</v>
      </c>
      <c r="J11" s="33">
        <f>ROUND('Anexo 13'!J11*'Anexo 3'!$D$10,0)</f>
        <v>0</v>
      </c>
      <c r="K11" s="33">
        <f>ROUND('Anexo 13'!K11*'Anexo 3'!$D$10,0)</f>
        <v>0</v>
      </c>
      <c r="L11" s="33">
        <f>ROUND('Anexo 13'!L11*'Anexo 3'!$D$10,0)</f>
        <v>0</v>
      </c>
      <c r="M11" s="33">
        <f>ROUND('Anexo 13'!M11*'Anexo 3'!$D$10,0)</f>
        <v>0</v>
      </c>
      <c r="N11" s="33">
        <f>ROUND('Anexo 13'!N11*'Anexo 3'!$D$10,0)</f>
        <v>0</v>
      </c>
      <c r="O11" s="33">
        <f>ROUND('Anexo 13'!O11*'Anexo 3'!$D$10,0)</f>
        <v>0</v>
      </c>
      <c r="P11" s="33">
        <f>ROUND('Anexo 13'!P11*'Anexo 3'!$D$10,0)</f>
        <v>0</v>
      </c>
      <c r="Q11" s="33">
        <f>ROUND('Anexo 13'!Q11*'Anexo 3'!$D$10,0)</f>
        <v>0</v>
      </c>
      <c r="R11" s="33">
        <f>ROUND('Anexo 13'!R11*'Anexo 3'!$D$10,0)</f>
        <v>0</v>
      </c>
      <c r="S11" s="33">
        <f>ROUND('Anexo 13'!S11*'Anexo 3'!$D$10,0)</f>
        <v>0</v>
      </c>
      <c r="T11" s="33">
        <f>ROUND('Anexo 13'!T11*'Anexo 3'!$D$10,0)</f>
        <v>0</v>
      </c>
      <c r="U11" s="33">
        <f>ROUND('Anexo 13'!U11*'Anexo 3'!$D$10,0)</f>
        <v>0</v>
      </c>
      <c r="V11" s="33">
        <f>ROUND('Anexo 13'!V11*'Anexo 3'!$D$10,0)</f>
        <v>0</v>
      </c>
      <c r="W11" s="33">
        <f>ROUND('Anexo 13'!W11*'Anexo 3'!$D$10,0)</f>
        <v>0</v>
      </c>
      <c r="X11" s="33">
        <f>ROUND('Anexo 13'!X11*'Anexo 3'!$D$10,0)</f>
        <v>0</v>
      </c>
      <c r="Y11" s="33">
        <f>ROUND('Anexo 13'!Y11*'Anexo 3'!$D$10,0)</f>
        <v>0</v>
      </c>
      <c r="Z11" s="33">
        <f>ROUND('Anexo 13'!Z11*'Anexo 3'!$D$10,0)</f>
        <v>0</v>
      </c>
      <c r="AA11" s="41">
        <f t="shared" si="0"/>
        <v>0</v>
      </c>
      <c r="AB11" s="23">
        <v>4</v>
      </c>
      <c r="AC11" s="96"/>
      <c r="AD11" s="48"/>
    </row>
    <row r="12" spans="1:30" ht="15.75" thickBot="1" x14ac:dyDescent="0.3">
      <c r="A12" s="93">
        <v>46813</v>
      </c>
      <c r="B12" s="18" t="s">
        <v>5</v>
      </c>
      <c r="C12" s="33">
        <f>ROUND('Anexo 13'!C12*'Anexo 3'!$D$10,0)</f>
        <v>0</v>
      </c>
      <c r="D12" s="33">
        <f>ROUND('Anexo 13'!D12*'Anexo 3'!$D$10,0)</f>
        <v>0</v>
      </c>
      <c r="E12" s="33">
        <f>ROUND('Anexo 13'!E12*'Anexo 3'!$D$10,0)</f>
        <v>0</v>
      </c>
      <c r="F12" s="33">
        <f>ROUND('Anexo 13'!F12*'Anexo 3'!$D$10,0)</f>
        <v>0</v>
      </c>
      <c r="G12" s="33">
        <f>ROUND('Anexo 13'!G12*'Anexo 3'!$D$10,0)</f>
        <v>0</v>
      </c>
      <c r="H12" s="33">
        <f>ROUND('Anexo 13'!H12*'Anexo 3'!$D$10,0)</f>
        <v>0</v>
      </c>
      <c r="I12" s="33">
        <f>ROUND('Anexo 13'!I12*'Anexo 3'!$D$10,0)</f>
        <v>0</v>
      </c>
      <c r="J12" s="33">
        <f>ROUND('Anexo 13'!J12*'Anexo 3'!$D$10,0)</f>
        <v>0</v>
      </c>
      <c r="K12" s="33">
        <f>ROUND('Anexo 13'!K12*'Anexo 3'!$D$10,0)</f>
        <v>0</v>
      </c>
      <c r="L12" s="33">
        <f>ROUND('Anexo 13'!L12*'Anexo 3'!$D$10,0)</f>
        <v>0</v>
      </c>
      <c r="M12" s="33">
        <f>ROUND('Anexo 13'!M12*'Anexo 3'!$D$10,0)</f>
        <v>0</v>
      </c>
      <c r="N12" s="33">
        <f>ROUND('Anexo 13'!N12*'Anexo 3'!$D$10,0)</f>
        <v>0</v>
      </c>
      <c r="O12" s="33">
        <f>ROUND('Anexo 13'!O12*'Anexo 3'!$D$10,0)</f>
        <v>0</v>
      </c>
      <c r="P12" s="33">
        <f>ROUND('Anexo 13'!P12*'Anexo 3'!$D$10,0)</f>
        <v>0</v>
      </c>
      <c r="Q12" s="33">
        <f>ROUND('Anexo 13'!Q12*'Anexo 3'!$D$10,0)</f>
        <v>0</v>
      </c>
      <c r="R12" s="33">
        <f>ROUND('Anexo 13'!R12*'Anexo 3'!$D$10,0)</f>
        <v>0</v>
      </c>
      <c r="S12" s="33">
        <f>ROUND('Anexo 13'!S12*'Anexo 3'!$D$10,0)</f>
        <v>0</v>
      </c>
      <c r="T12" s="33">
        <f>ROUND('Anexo 13'!T12*'Anexo 3'!$D$10,0)</f>
        <v>0</v>
      </c>
      <c r="U12" s="33">
        <f>ROUND('Anexo 13'!U12*'Anexo 3'!$D$10,0)</f>
        <v>0</v>
      </c>
      <c r="V12" s="33">
        <f>ROUND('Anexo 13'!V12*'Anexo 3'!$D$10,0)</f>
        <v>0</v>
      </c>
      <c r="W12" s="33">
        <f>ROUND('Anexo 13'!W12*'Anexo 3'!$D$10,0)</f>
        <v>0</v>
      </c>
      <c r="X12" s="33">
        <f>ROUND('Anexo 13'!X12*'Anexo 3'!$D$10,0)</f>
        <v>0</v>
      </c>
      <c r="Y12" s="33">
        <f>ROUND('Anexo 13'!Y12*'Anexo 3'!$D$10,0)</f>
        <v>0</v>
      </c>
      <c r="Z12" s="33">
        <f>ROUND('Anexo 13'!Z12*'Anexo 3'!$D$10,0)</f>
        <v>0</v>
      </c>
      <c r="AA12" s="35">
        <f t="shared" si="0"/>
        <v>0</v>
      </c>
      <c r="AB12" s="19">
        <v>22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ROUND('Anexo 13'!C13*'Anexo 3'!$D$10,0)</f>
        <v>0</v>
      </c>
      <c r="D13" s="33">
        <f>ROUND('Anexo 13'!D13*'Anexo 3'!$D$10,0)</f>
        <v>0</v>
      </c>
      <c r="E13" s="33">
        <f>ROUND('Anexo 13'!E13*'Anexo 3'!$D$10,0)</f>
        <v>0</v>
      </c>
      <c r="F13" s="33">
        <f>ROUND('Anexo 13'!F13*'Anexo 3'!$D$10,0)</f>
        <v>0</v>
      </c>
      <c r="G13" s="33">
        <f>ROUND('Anexo 13'!G13*'Anexo 3'!$D$10,0)</f>
        <v>0</v>
      </c>
      <c r="H13" s="33">
        <f>ROUND('Anexo 13'!H13*'Anexo 3'!$D$10,0)</f>
        <v>0</v>
      </c>
      <c r="I13" s="33">
        <f>ROUND('Anexo 13'!I13*'Anexo 3'!$D$10,0)</f>
        <v>0</v>
      </c>
      <c r="J13" s="33">
        <f>ROUND('Anexo 13'!J13*'Anexo 3'!$D$10,0)</f>
        <v>0</v>
      </c>
      <c r="K13" s="33">
        <f>ROUND('Anexo 13'!K13*'Anexo 3'!$D$10,0)</f>
        <v>0</v>
      </c>
      <c r="L13" s="33">
        <f>ROUND('Anexo 13'!L13*'Anexo 3'!$D$10,0)</f>
        <v>0</v>
      </c>
      <c r="M13" s="33">
        <f>ROUND('Anexo 13'!M13*'Anexo 3'!$D$10,0)</f>
        <v>0</v>
      </c>
      <c r="N13" s="33">
        <f>ROUND('Anexo 13'!N13*'Anexo 3'!$D$10,0)</f>
        <v>0</v>
      </c>
      <c r="O13" s="33">
        <f>ROUND('Anexo 13'!O13*'Anexo 3'!$D$10,0)</f>
        <v>0</v>
      </c>
      <c r="P13" s="33">
        <f>ROUND('Anexo 13'!P13*'Anexo 3'!$D$10,0)</f>
        <v>0</v>
      </c>
      <c r="Q13" s="33">
        <f>ROUND('Anexo 13'!Q13*'Anexo 3'!$D$10,0)</f>
        <v>0</v>
      </c>
      <c r="R13" s="33">
        <f>ROUND('Anexo 13'!R13*'Anexo 3'!$D$10,0)</f>
        <v>0</v>
      </c>
      <c r="S13" s="33">
        <f>ROUND('Anexo 13'!S13*'Anexo 3'!$D$10,0)</f>
        <v>0</v>
      </c>
      <c r="T13" s="33">
        <f>ROUND('Anexo 13'!T13*'Anexo 3'!$D$10,0)</f>
        <v>0</v>
      </c>
      <c r="U13" s="33">
        <f>ROUND('Anexo 13'!U13*'Anexo 3'!$D$10,0)</f>
        <v>0</v>
      </c>
      <c r="V13" s="33">
        <f>ROUND('Anexo 13'!V13*'Anexo 3'!$D$10,0)</f>
        <v>0</v>
      </c>
      <c r="W13" s="33">
        <f>ROUND('Anexo 13'!W13*'Anexo 3'!$D$10,0)</f>
        <v>0</v>
      </c>
      <c r="X13" s="33">
        <f>ROUND('Anexo 13'!X13*'Anexo 3'!$D$10,0)</f>
        <v>0</v>
      </c>
      <c r="Y13" s="33">
        <f>ROUND('Anexo 13'!Y13*'Anexo 3'!$D$10,0)</f>
        <v>0</v>
      </c>
      <c r="Z13" s="33">
        <f>ROUND('Anexo 13'!Z13*'Anexo 3'!$D$10,0)</f>
        <v>0</v>
      </c>
      <c r="AA13" s="38">
        <f t="shared" si="0"/>
        <v>0</v>
      </c>
      <c r="AB13" s="21">
        <v>4</v>
      </c>
      <c r="AC13" s="95"/>
      <c r="AD13" s="47"/>
    </row>
    <row r="14" spans="1:30" ht="15.75" thickBot="1" x14ac:dyDescent="0.3">
      <c r="A14" s="93"/>
      <c r="B14" s="22" t="s">
        <v>3</v>
      </c>
      <c r="C14" s="33">
        <f>ROUND('Anexo 13'!C14*'Anexo 3'!$D$10,0)</f>
        <v>0</v>
      </c>
      <c r="D14" s="33">
        <f>ROUND('Anexo 13'!D14*'Anexo 3'!$D$10,0)</f>
        <v>0</v>
      </c>
      <c r="E14" s="33">
        <f>ROUND('Anexo 13'!E14*'Anexo 3'!$D$10,0)</f>
        <v>0</v>
      </c>
      <c r="F14" s="33">
        <f>ROUND('Anexo 13'!F14*'Anexo 3'!$D$10,0)</f>
        <v>0</v>
      </c>
      <c r="G14" s="33">
        <f>ROUND('Anexo 13'!G14*'Anexo 3'!$D$10,0)</f>
        <v>0</v>
      </c>
      <c r="H14" s="33">
        <f>ROUND('Anexo 13'!H14*'Anexo 3'!$D$10,0)</f>
        <v>0</v>
      </c>
      <c r="I14" s="33">
        <f>ROUND('Anexo 13'!I14*'Anexo 3'!$D$10,0)</f>
        <v>0</v>
      </c>
      <c r="J14" s="33">
        <f>ROUND('Anexo 13'!J14*'Anexo 3'!$D$10,0)</f>
        <v>0</v>
      </c>
      <c r="K14" s="33">
        <f>ROUND('Anexo 13'!K14*'Anexo 3'!$D$10,0)</f>
        <v>0</v>
      </c>
      <c r="L14" s="33">
        <f>ROUND('Anexo 13'!L14*'Anexo 3'!$D$10,0)</f>
        <v>0</v>
      </c>
      <c r="M14" s="33">
        <f>ROUND('Anexo 13'!M14*'Anexo 3'!$D$10,0)</f>
        <v>0</v>
      </c>
      <c r="N14" s="33">
        <f>ROUND('Anexo 13'!N14*'Anexo 3'!$D$10,0)</f>
        <v>0</v>
      </c>
      <c r="O14" s="33">
        <f>ROUND('Anexo 13'!O14*'Anexo 3'!$D$10,0)</f>
        <v>0</v>
      </c>
      <c r="P14" s="33">
        <f>ROUND('Anexo 13'!P14*'Anexo 3'!$D$10,0)</f>
        <v>0</v>
      </c>
      <c r="Q14" s="33">
        <f>ROUND('Anexo 13'!Q14*'Anexo 3'!$D$10,0)</f>
        <v>0</v>
      </c>
      <c r="R14" s="33">
        <f>ROUND('Anexo 13'!R14*'Anexo 3'!$D$10,0)</f>
        <v>0</v>
      </c>
      <c r="S14" s="33">
        <f>ROUND('Anexo 13'!S14*'Anexo 3'!$D$10,0)</f>
        <v>0</v>
      </c>
      <c r="T14" s="33">
        <f>ROUND('Anexo 13'!T14*'Anexo 3'!$D$10,0)</f>
        <v>0</v>
      </c>
      <c r="U14" s="33">
        <f>ROUND('Anexo 13'!U14*'Anexo 3'!$D$10,0)</f>
        <v>0</v>
      </c>
      <c r="V14" s="33">
        <f>ROUND('Anexo 13'!V14*'Anexo 3'!$D$10,0)</f>
        <v>0</v>
      </c>
      <c r="W14" s="33">
        <f>ROUND('Anexo 13'!W14*'Anexo 3'!$D$10,0)</f>
        <v>0</v>
      </c>
      <c r="X14" s="33">
        <f>ROUND('Anexo 13'!X14*'Anexo 3'!$D$10,0)</f>
        <v>0</v>
      </c>
      <c r="Y14" s="33">
        <f>ROUND('Anexo 13'!Y14*'Anexo 3'!$D$10,0)</f>
        <v>0</v>
      </c>
      <c r="Z14" s="33">
        <f>ROUND('Anexo 13'!Z14*'Anexo 3'!$D$10,0)</f>
        <v>0</v>
      </c>
      <c r="AA14" s="41">
        <f t="shared" si="0"/>
        <v>0</v>
      </c>
      <c r="AB14" s="23">
        <v>5</v>
      </c>
      <c r="AC14" s="96"/>
      <c r="AD14" s="45"/>
    </row>
    <row r="15" spans="1:30" ht="15.75" thickBot="1" x14ac:dyDescent="0.3">
      <c r="A15" s="93">
        <v>46844</v>
      </c>
      <c r="B15" s="18" t="s">
        <v>5</v>
      </c>
      <c r="C15" s="33">
        <f>ROUND('Anexo 13'!C15*'Anexo 3'!$D$10,0)</f>
        <v>0</v>
      </c>
      <c r="D15" s="33">
        <f>ROUND('Anexo 13'!D15*'Anexo 3'!$D$10,0)</f>
        <v>0</v>
      </c>
      <c r="E15" s="33">
        <f>ROUND('Anexo 13'!E15*'Anexo 3'!$D$10,0)</f>
        <v>0</v>
      </c>
      <c r="F15" s="33">
        <f>ROUND('Anexo 13'!F15*'Anexo 3'!$D$10,0)</f>
        <v>0</v>
      </c>
      <c r="G15" s="33">
        <f>ROUND('Anexo 13'!G15*'Anexo 3'!$D$10,0)</f>
        <v>0</v>
      </c>
      <c r="H15" s="33">
        <f>ROUND('Anexo 13'!H15*'Anexo 3'!$D$10,0)</f>
        <v>0</v>
      </c>
      <c r="I15" s="33">
        <f>ROUND('Anexo 13'!I15*'Anexo 3'!$D$10,0)</f>
        <v>0</v>
      </c>
      <c r="J15" s="33">
        <f>ROUND('Anexo 13'!J15*'Anexo 3'!$D$10,0)</f>
        <v>0</v>
      </c>
      <c r="K15" s="33">
        <f>ROUND('Anexo 13'!K15*'Anexo 3'!$D$10,0)</f>
        <v>0</v>
      </c>
      <c r="L15" s="33">
        <f>ROUND('Anexo 13'!L15*'Anexo 3'!$D$10,0)</f>
        <v>0</v>
      </c>
      <c r="M15" s="33">
        <f>ROUND('Anexo 13'!M15*'Anexo 3'!$D$10,0)</f>
        <v>0</v>
      </c>
      <c r="N15" s="33">
        <f>ROUND('Anexo 13'!N15*'Anexo 3'!$D$10,0)</f>
        <v>0</v>
      </c>
      <c r="O15" s="33">
        <f>ROUND('Anexo 13'!O15*'Anexo 3'!$D$10,0)</f>
        <v>0</v>
      </c>
      <c r="P15" s="33">
        <f>ROUND('Anexo 13'!P15*'Anexo 3'!$D$10,0)</f>
        <v>0</v>
      </c>
      <c r="Q15" s="33">
        <f>ROUND('Anexo 13'!Q15*'Anexo 3'!$D$10,0)</f>
        <v>0</v>
      </c>
      <c r="R15" s="33">
        <f>ROUND('Anexo 13'!R15*'Anexo 3'!$D$10,0)</f>
        <v>0</v>
      </c>
      <c r="S15" s="33">
        <f>ROUND('Anexo 13'!S15*'Anexo 3'!$D$10,0)</f>
        <v>0</v>
      </c>
      <c r="T15" s="33">
        <f>ROUND('Anexo 13'!T15*'Anexo 3'!$D$10,0)</f>
        <v>0</v>
      </c>
      <c r="U15" s="33">
        <f>ROUND('Anexo 13'!U15*'Anexo 3'!$D$10,0)</f>
        <v>0</v>
      </c>
      <c r="V15" s="33">
        <f>ROUND('Anexo 13'!V15*'Anexo 3'!$D$10,0)</f>
        <v>0</v>
      </c>
      <c r="W15" s="33">
        <f>ROUND('Anexo 13'!W15*'Anexo 3'!$D$10,0)</f>
        <v>0</v>
      </c>
      <c r="X15" s="33">
        <f>ROUND('Anexo 13'!X15*'Anexo 3'!$D$10,0)</f>
        <v>0</v>
      </c>
      <c r="Y15" s="33">
        <f>ROUND('Anexo 13'!Y15*'Anexo 3'!$D$10,0)</f>
        <v>0</v>
      </c>
      <c r="Z15" s="33">
        <f>ROUND('Anexo 13'!Z15*'Anexo 3'!$D$10,0)</f>
        <v>0</v>
      </c>
      <c r="AA15" s="35">
        <f t="shared" si="0"/>
        <v>0</v>
      </c>
      <c r="AB15" s="19">
        <v>18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ROUND('Anexo 13'!C16*'Anexo 3'!$D$10,0)</f>
        <v>0</v>
      </c>
      <c r="D16" s="33">
        <f>ROUND('Anexo 13'!D16*'Anexo 3'!$D$10,0)</f>
        <v>0</v>
      </c>
      <c r="E16" s="33">
        <f>ROUND('Anexo 13'!E16*'Anexo 3'!$D$10,0)</f>
        <v>0</v>
      </c>
      <c r="F16" s="33">
        <f>ROUND('Anexo 13'!F16*'Anexo 3'!$D$10,0)</f>
        <v>0</v>
      </c>
      <c r="G16" s="33">
        <f>ROUND('Anexo 13'!G16*'Anexo 3'!$D$10,0)</f>
        <v>0</v>
      </c>
      <c r="H16" s="33">
        <f>ROUND('Anexo 13'!H16*'Anexo 3'!$D$10,0)</f>
        <v>0</v>
      </c>
      <c r="I16" s="33">
        <f>ROUND('Anexo 13'!I16*'Anexo 3'!$D$10,0)</f>
        <v>0</v>
      </c>
      <c r="J16" s="33">
        <f>ROUND('Anexo 13'!J16*'Anexo 3'!$D$10,0)</f>
        <v>0</v>
      </c>
      <c r="K16" s="33">
        <f>ROUND('Anexo 13'!K16*'Anexo 3'!$D$10,0)</f>
        <v>0</v>
      </c>
      <c r="L16" s="33">
        <f>ROUND('Anexo 13'!L16*'Anexo 3'!$D$10,0)</f>
        <v>0</v>
      </c>
      <c r="M16" s="33">
        <f>ROUND('Anexo 13'!M16*'Anexo 3'!$D$10,0)</f>
        <v>0</v>
      </c>
      <c r="N16" s="33">
        <f>ROUND('Anexo 13'!N16*'Anexo 3'!$D$10,0)</f>
        <v>0</v>
      </c>
      <c r="O16" s="33">
        <f>ROUND('Anexo 13'!O16*'Anexo 3'!$D$10,0)</f>
        <v>0</v>
      </c>
      <c r="P16" s="33">
        <f>ROUND('Anexo 13'!P16*'Anexo 3'!$D$10,0)</f>
        <v>0</v>
      </c>
      <c r="Q16" s="33">
        <f>ROUND('Anexo 13'!Q16*'Anexo 3'!$D$10,0)</f>
        <v>0</v>
      </c>
      <c r="R16" s="33">
        <f>ROUND('Anexo 13'!R16*'Anexo 3'!$D$10,0)</f>
        <v>0</v>
      </c>
      <c r="S16" s="33">
        <f>ROUND('Anexo 13'!S16*'Anexo 3'!$D$10,0)</f>
        <v>0</v>
      </c>
      <c r="T16" s="33">
        <f>ROUND('Anexo 13'!T16*'Anexo 3'!$D$10,0)</f>
        <v>0</v>
      </c>
      <c r="U16" s="33">
        <f>ROUND('Anexo 13'!U16*'Anexo 3'!$D$10,0)</f>
        <v>0</v>
      </c>
      <c r="V16" s="33">
        <f>ROUND('Anexo 13'!V16*'Anexo 3'!$D$10,0)</f>
        <v>0</v>
      </c>
      <c r="W16" s="33">
        <f>ROUND('Anexo 13'!W16*'Anexo 3'!$D$10,0)</f>
        <v>0</v>
      </c>
      <c r="X16" s="33">
        <f>ROUND('Anexo 13'!X16*'Anexo 3'!$D$10,0)</f>
        <v>0</v>
      </c>
      <c r="Y16" s="33">
        <f>ROUND('Anexo 13'!Y16*'Anexo 3'!$D$10,0)</f>
        <v>0</v>
      </c>
      <c r="Z16" s="33">
        <f>ROUND('Anexo 13'!Z16*'Anexo 3'!$D$10,0)</f>
        <v>0</v>
      </c>
      <c r="AA16" s="38">
        <f t="shared" si="0"/>
        <v>0</v>
      </c>
      <c r="AB16" s="21">
        <v>5</v>
      </c>
      <c r="AC16" s="95"/>
      <c r="AD16" s="47"/>
    </row>
    <row r="17" spans="1:30" ht="15.75" thickBot="1" x14ac:dyDescent="0.3">
      <c r="A17" s="93"/>
      <c r="B17" s="22" t="s">
        <v>3</v>
      </c>
      <c r="C17" s="33">
        <f>ROUND('Anexo 13'!C17*'Anexo 3'!$D$10,0)</f>
        <v>0</v>
      </c>
      <c r="D17" s="33">
        <f>ROUND('Anexo 13'!D17*'Anexo 3'!$D$10,0)</f>
        <v>0</v>
      </c>
      <c r="E17" s="33">
        <f>ROUND('Anexo 13'!E17*'Anexo 3'!$D$10,0)</f>
        <v>0</v>
      </c>
      <c r="F17" s="33">
        <f>ROUND('Anexo 13'!F17*'Anexo 3'!$D$10,0)</f>
        <v>0</v>
      </c>
      <c r="G17" s="33">
        <f>ROUND('Anexo 13'!G17*'Anexo 3'!$D$10,0)</f>
        <v>0</v>
      </c>
      <c r="H17" s="33">
        <f>ROUND('Anexo 13'!H17*'Anexo 3'!$D$10,0)</f>
        <v>0</v>
      </c>
      <c r="I17" s="33">
        <f>ROUND('Anexo 13'!I17*'Anexo 3'!$D$10,0)</f>
        <v>0</v>
      </c>
      <c r="J17" s="33">
        <f>ROUND('Anexo 13'!J17*'Anexo 3'!$D$10,0)</f>
        <v>0</v>
      </c>
      <c r="K17" s="33">
        <f>ROUND('Anexo 13'!K17*'Anexo 3'!$D$10,0)</f>
        <v>0</v>
      </c>
      <c r="L17" s="33">
        <f>ROUND('Anexo 13'!L17*'Anexo 3'!$D$10,0)</f>
        <v>0</v>
      </c>
      <c r="M17" s="33">
        <f>ROUND('Anexo 13'!M17*'Anexo 3'!$D$10,0)</f>
        <v>0</v>
      </c>
      <c r="N17" s="33">
        <f>ROUND('Anexo 13'!N17*'Anexo 3'!$D$10,0)</f>
        <v>0</v>
      </c>
      <c r="O17" s="33">
        <f>ROUND('Anexo 13'!O17*'Anexo 3'!$D$10,0)</f>
        <v>0</v>
      </c>
      <c r="P17" s="33">
        <f>ROUND('Anexo 13'!P17*'Anexo 3'!$D$10,0)</f>
        <v>0</v>
      </c>
      <c r="Q17" s="33">
        <f>ROUND('Anexo 13'!Q17*'Anexo 3'!$D$10,0)</f>
        <v>0</v>
      </c>
      <c r="R17" s="33">
        <f>ROUND('Anexo 13'!R17*'Anexo 3'!$D$10,0)</f>
        <v>0</v>
      </c>
      <c r="S17" s="33">
        <f>ROUND('Anexo 13'!S17*'Anexo 3'!$D$10,0)</f>
        <v>0</v>
      </c>
      <c r="T17" s="33">
        <f>ROUND('Anexo 13'!T17*'Anexo 3'!$D$10,0)</f>
        <v>0</v>
      </c>
      <c r="U17" s="33">
        <f>ROUND('Anexo 13'!U17*'Anexo 3'!$D$10,0)</f>
        <v>0</v>
      </c>
      <c r="V17" s="33">
        <f>ROUND('Anexo 13'!V17*'Anexo 3'!$D$10,0)</f>
        <v>0</v>
      </c>
      <c r="W17" s="33">
        <f>ROUND('Anexo 13'!W17*'Anexo 3'!$D$10,0)</f>
        <v>0</v>
      </c>
      <c r="X17" s="33">
        <f>ROUND('Anexo 13'!X17*'Anexo 3'!$D$10,0)</f>
        <v>0</v>
      </c>
      <c r="Y17" s="33">
        <f>ROUND('Anexo 13'!Y17*'Anexo 3'!$D$10,0)</f>
        <v>0</v>
      </c>
      <c r="Z17" s="33">
        <f>ROUND('Anexo 13'!Z17*'Anexo 3'!$D$10,0)</f>
        <v>0</v>
      </c>
      <c r="AA17" s="41">
        <f t="shared" si="0"/>
        <v>0</v>
      </c>
      <c r="AB17" s="23">
        <v>7</v>
      </c>
      <c r="AC17" s="96"/>
      <c r="AD17" s="48"/>
    </row>
    <row r="18" spans="1:30" ht="15.75" thickBot="1" x14ac:dyDescent="0.3">
      <c r="A18" s="93">
        <v>46874</v>
      </c>
      <c r="B18" s="18" t="s">
        <v>5</v>
      </c>
      <c r="C18" s="33">
        <f>ROUND('Anexo 13'!C18*'Anexo 3'!$D$10,0)</f>
        <v>0</v>
      </c>
      <c r="D18" s="33">
        <f>ROUND('Anexo 13'!D18*'Anexo 3'!$D$10,0)</f>
        <v>0</v>
      </c>
      <c r="E18" s="33">
        <f>ROUND('Anexo 13'!E18*'Anexo 3'!$D$10,0)</f>
        <v>0</v>
      </c>
      <c r="F18" s="33">
        <f>ROUND('Anexo 13'!F18*'Anexo 3'!$D$10,0)</f>
        <v>0</v>
      </c>
      <c r="G18" s="33">
        <f>ROUND('Anexo 13'!G18*'Anexo 3'!$D$10,0)</f>
        <v>0</v>
      </c>
      <c r="H18" s="33">
        <f>ROUND('Anexo 13'!H18*'Anexo 3'!$D$10,0)</f>
        <v>0</v>
      </c>
      <c r="I18" s="33">
        <f>ROUND('Anexo 13'!I18*'Anexo 3'!$D$10,0)</f>
        <v>0</v>
      </c>
      <c r="J18" s="33">
        <f>ROUND('Anexo 13'!J18*'Anexo 3'!$D$10,0)</f>
        <v>0</v>
      </c>
      <c r="K18" s="33">
        <f>ROUND('Anexo 13'!K18*'Anexo 3'!$D$10,0)</f>
        <v>0</v>
      </c>
      <c r="L18" s="33">
        <f>ROUND('Anexo 13'!L18*'Anexo 3'!$D$10,0)</f>
        <v>0</v>
      </c>
      <c r="M18" s="33">
        <f>ROUND('Anexo 13'!M18*'Anexo 3'!$D$10,0)</f>
        <v>0</v>
      </c>
      <c r="N18" s="33">
        <f>ROUND('Anexo 13'!N18*'Anexo 3'!$D$10,0)</f>
        <v>0</v>
      </c>
      <c r="O18" s="33">
        <f>ROUND('Anexo 13'!O18*'Anexo 3'!$D$10,0)</f>
        <v>0</v>
      </c>
      <c r="P18" s="33">
        <f>ROUND('Anexo 13'!P18*'Anexo 3'!$D$10,0)</f>
        <v>0</v>
      </c>
      <c r="Q18" s="33">
        <f>ROUND('Anexo 13'!Q18*'Anexo 3'!$D$10,0)</f>
        <v>0</v>
      </c>
      <c r="R18" s="33">
        <f>ROUND('Anexo 13'!R18*'Anexo 3'!$D$10,0)</f>
        <v>0</v>
      </c>
      <c r="S18" s="33">
        <f>ROUND('Anexo 13'!S18*'Anexo 3'!$D$10,0)</f>
        <v>0</v>
      </c>
      <c r="T18" s="33">
        <f>ROUND('Anexo 13'!T18*'Anexo 3'!$D$10,0)</f>
        <v>0</v>
      </c>
      <c r="U18" s="33">
        <f>ROUND('Anexo 13'!U18*'Anexo 3'!$D$10,0)</f>
        <v>0</v>
      </c>
      <c r="V18" s="33">
        <f>ROUND('Anexo 13'!V18*'Anexo 3'!$D$10,0)</f>
        <v>0</v>
      </c>
      <c r="W18" s="33">
        <f>ROUND('Anexo 13'!W18*'Anexo 3'!$D$10,0)</f>
        <v>0</v>
      </c>
      <c r="X18" s="33">
        <f>ROUND('Anexo 13'!X18*'Anexo 3'!$D$10,0)</f>
        <v>0</v>
      </c>
      <c r="Y18" s="33">
        <f>ROUND('Anexo 13'!Y18*'Anexo 3'!$D$10,0)</f>
        <v>0</v>
      </c>
      <c r="Z18" s="33">
        <f>ROUND('Anexo 13'!Z18*'Anexo 3'!$D$10,0)</f>
        <v>0</v>
      </c>
      <c r="AA18" s="35">
        <f t="shared" si="0"/>
        <v>0</v>
      </c>
      <c r="AB18" s="19">
        <v>21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ROUND('Anexo 13'!C19*'Anexo 3'!$D$10,0)</f>
        <v>0</v>
      </c>
      <c r="D19" s="33">
        <f>ROUND('Anexo 13'!D19*'Anexo 3'!$D$10,0)</f>
        <v>0</v>
      </c>
      <c r="E19" s="33">
        <f>ROUND('Anexo 13'!E19*'Anexo 3'!$D$10,0)</f>
        <v>0</v>
      </c>
      <c r="F19" s="33">
        <f>ROUND('Anexo 13'!F19*'Anexo 3'!$D$10,0)</f>
        <v>0</v>
      </c>
      <c r="G19" s="33">
        <f>ROUND('Anexo 13'!G19*'Anexo 3'!$D$10,0)</f>
        <v>0</v>
      </c>
      <c r="H19" s="33">
        <f>ROUND('Anexo 13'!H19*'Anexo 3'!$D$10,0)</f>
        <v>0</v>
      </c>
      <c r="I19" s="33">
        <f>ROUND('Anexo 13'!I19*'Anexo 3'!$D$10,0)</f>
        <v>0</v>
      </c>
      <c r="J19" s="33">
        <f>ROUND('Anexo 13'!J19*'Anexo 3'!$D$10,0)</f>
        <v>0</v>
      </c>
      <c r="K19" s="33">
        <f>ROUND('Anexo 13'!K19*'Anexo 3'!$D$10,0)</f>
        <v>0</v>
      </c>
      <c r="L19" s="33">
        <f>ROUND('Anexo 13'!L19*'Anexo 3'!$D$10,0)</f>
        <v>0</v>
      </c>
      <c r="M19" s="33">
        <f>ROUND('Anexo 13'!M19*'Anexo 3'!$D$10,0)</f>
        <v>0</v>
      </c>
      <c r="N19" s="33">
        <f>ROUND('Anexo 13'!N19*'Anexo 3'!$D$10,0)</f>
        <v>0</v>
      </c>
      <c r="O19" s="33">
        <f>ROUND('Anexo 13'!O19*'Anexo 3'!$D$10,0)</f>
        <v>0</v>
      </c>
      <c r="P19" s="33">
        <f>ROUND('Anexo 13'!P19*'Anexo 3'!$D$10,0)</f>
        <v>0</v>
      </c>
      <c r="Q19" s="33">
        <f>ROUND('Anexo 13'!Q19*'Anexo 3'!$D$10,0)</f>
        <v>0</v>
      </c>
      <c r="R19" s="33">
        <f>ROUND('Anexo 13'!R19*'Anexo 3'!$D$10,0)</f>
        <v>0</v>
      </c>
      <c r="S19" s="33">
        <f>ROUND('Anexo 13'!S19*'Anexo 3'!$D$10,0)</f>
        <v>0</v>
      </c>
      <c r="T19" s="33">
        <f>ROUND('Anexo 13'!T19*'Anexo 3'!$D$10,0)</f>
        <v>0</v>
      </c>
      <c r="U19" s="33">
        <f>ROUND('Anexo 13'!U19*'Anexo 3'!$D$10,0)</f>
        <v>0</v>
      </c>
      <c r="V19" s="33">
        <f>ROUND('Anexo 13'!V19*'Anexo 3'!$D$10,0)</f>
        <v>0</v>
      </c>
      <c r="W19" s="33">
        <f>ROUND('Anexo 13'!W19*'Anexo 3'!$D$10,0)</f>
        <v>0</v>
      </c>
      <c r="X19" s="33">
        <f>ROUND('Anexo 13'!X19*'Anexo 3'!$D$10,0)</f>
        <v>0</v>
      </c>
      <c r="Y19" s="33">
        <f>ROUND('Anexo 13'!Y19*'Anexo 3'!$D$10,0)</f>
        <v>0</v>
      </c>
      <c r="Z19" s="33">
        <f>ROUND('Anexo 13'!Z19*'Anexo 3'!$D$10,0)</f>
        <v>0</v>
      </c>
      <c r="AA19" s="38">
        <f t="shared" si="0"/>
        <v>0</v>
      </c>
      <c r="AB19" s="21">
        <v>4</v>
      </c>
      <c r="AC19" s="95"/>
      <c r="AD19" s="47"/>
    </row>
    <row r="20" spans="1:30" ht="15.75" thickBot="1" x14ac:dyDescent="0.3">
      <c r="A20" s="93"/>
      <c r="B20" s="22" t="s">
        <v>3</v>
      </c>
      <c r="C20" s="33">
        <f>ROUND('Anexo 13'!C20*'Anexo 3'!$D$10,0)</f>
        <v>0</v>
      </c>
      <c r="D20" s="33">
        <f>ROUND('Anexo 13'!D20*'Anexo 3'!$D$10,0)</f>
        <v>0</v>
      </c>
      <c r="E20" s="33">
        <f>ROUND('Anexo 13'!E20*'Anexo 3'!$D$10,0)</f>
        <v>0</v>
      </c>
      <c r="F20" s="33">
        <f>ROUND('Anexo 13'!F20*'Anexo 3'!$D$10,0)</f>
        <v>0</v>
      </c>
      <c r="G20" s="33">
        <f>ROUND('Anexo 13'!G20*'Anexo 3'!$D$10,0)</f>
        <v>0</v>
      </c>
      <c r="H20" s="33">
        <f>ROUND('Anexo 13'!H20*'Anexo 3'!$D$10,0)</f>
        <v>0</v>
      </c>
      <c r="I20" s="33">
        <f>ROUND('Anexo 13'!I20*'Anexo 3'!$D$10,0)</f>
        <v>0</v>
      </c>
      <c r="J20" s="33">
        <f>ROUND('Anexo 13'!J20*'Anexo 3'!$D$10,0)</f>
        <v>0</v>
      </c>
      <c r="K20" s="33">
        <f>ROUND('Anexo 13'!K20*'Anexo 3'!$D$10,0)</f>
        <v>0</v>
      </c>
      <c r="L20" s="33">
        <f>ROUND('Anexo 13'!L20*'Anexo 3'!$D$10,0)</f>
        <v>0</v>
      </c>
      <c r="M20" s="33">
        <f>ROUND('Anexo 13'!M20*'Anexo 3'!$D$10,0)</f>
        <v>0</v>
      </c>
      <c r="N20" s="33">
        <f>ROUND('Anexo 13'!N20*'Anexo 3'!$D$10,0)</f>
        <v>0</v>
      </c>
      <c r="O20" s="33">
        <f>ROUND('Anexo 13'!O20*'Anexo 3'!$D$10,0)</f>
        <v>0</v>
      </c>
      <c r="P20" s="33">
        <f>ROUND('Anexo 13'!P20*'Anexo 3'!$D$10,0)</f>
        <v>0</v>
      </c>
      <c r="Q20" s="33">
        <f>ROUND('Anexo 13'!Q20*'Anexo 3'!$D$10,0)</f>
        <v>0</v>
      </c>
      <c r="R20" s="33">
        <f>ROUND('Anexo 13'!R20*'Anexo 3'!$D$10,0)</f>
        <v>0</v>
      </c>
      <c r="S20" s="33">
        <f>ROUND('Anexo 13'!S20*'Anexo 3'!$D$10,0)</f>
        <v>0</v>
      </c>
      <c r="T20" s="33">
        <f>ROUND('Anexo 13'!T20*'Anexo 3'!$D$10,0)</f>
        <v>0</v>
      </c>
      <c r="U20" s="33">
        <f>ROUND('Anexo 13'!U20*'Anexo 3'!$D$10,0)</f>
        <v>0</v>
      </c>
      <c r="V20" s="33">
        <f>ROUND('Anexo 13'!V20*'Anexo 3'!$D$10,0)</f>
        <v>0</v>
      </c>
      <c r="W20" s="33">
        <f>ROUND('Anexo 13'!W20*'Anexo 3'!$D$10,0)</f>
        <v>0</v>
      </c>
      <c r="X20" s="33">
        <f>ROUND('Anexo 13'!X20*'Anexo 3'!$D$10,0)</f>
        <v>0</v>
      </c>
      <c r="Y20" s="33">
        <f>ROUND('Anexo 13'!Y20*'Anexo 3'!$D$10,0)</f>
        <v>0</v>
      </c>
      <c r="Z20" s="33">
        <f>ROUND('Anexo 13'!Z20*'Anexo 3'!$D$10,0)</f>
        <v>0</v>
      </c>
      <c r="AA20" s="41">
        <f t="shared" si="0"/>
        <v>0</v>
      </c>
      <c r="AB20" s="23">
        <v>6</v>
      </c>
      <c r="AC20" s="96"/>
      <c r="AD20" s="48"/>
    </row>
    <row r="21" spans="1:30" ht="15.75" thickBot="1" x14ac:dyDescent="0.3">
      <c r="A21" s="93">
        <v>46905</v>
      </c>
      <c r="B21" s="18" t="s">
        <v>5</v>
      </c>
      <c r="C21" s="33">
        <f>ROUND('Anexo 13'!C21*'Anexo 3'!$D$10,0)</f>
        <v>0</v>
      </c>
      <c r="D21" s="33">
        <f>ROUND('Anexo 13'!D21*'Anexo 3'!$D$10,0)</f>
        <v>0</v>
      </c>
      <c r="E21" s="33">
        <f>ROUND('Anexo 13'!E21*'Anexo 3'!$D$10,0)</f>
        <v>0</v>
      </c>
      <c r="F21" s="33">
        <f>ROUND('Anexo 13'!F21*'Anexo 3'!$D$10,0)</f>
        <v>0</v>
      </c>
      <c r="G21" s="33">
        <f>ROUND('Anexo 13'!G21*'Anexo 3'!$D$10,0)</f>
        <v>0</v>
      </c>
      <c r="H21" s="33">
        <f>ROUND('Anexo 13'!H21*'Anexo 3'!$D$10,0)</f>
        <v>0</v>
      </c>
      <c r="I21" s="33">
        <f>ROUND('Anexo 13'!I21*'Anexo 3'!$D$10,0)</f>
        <v>0</v>
      </c>
      <c r="J21" s="33">
        <f>ROUND('Anexo 13'!J21*'Anexo 3'!$D$10,0)</f>
        <v>0</v>
      </c>
      <c r="K21" s="33">
        <f>ROUND('Anexo 13'!K21*'Anexo 3'!$D$10,0)</f>
        <v>0</v>
      </c>
      <c r="L21" s="33">
        <f>ROUND('Anexo 13'!L21*'Anexo 3'!$D$10,0)</f>
        <v>0</v>
      </c>
      <c r="M21" s="33">
        <f>ROUND('Anexo 13'!M21*'Anexo 3'!$D$10,0)</f>
        <v>0</v>
      </c>
      <c r="N21" s="33">
        <f>ROUND('Anexo 13'!N21*'Anexo 3'!$D$10,0)</f>
        <v>0</v>
      </c>
      <c r="O21" s="33">
        <f>ROUND('Anexo 13'!O21*'Anexo 3'!$D$10,0)</f>
        <v>0</v>
      </c>
      <c r="P21" s="33">
        <f>ROUND('Anexo 13'!P21*'Anexo 3'!$D$10,0)</f>
        <v>0</v>
      </c>
      <c r="Q21" s="33">
        <f>ROUND('Anexo 13'!Q21*'Anexo 3'!$D$10,0)</f>
        <v>0</v>
      </c>
      <c r="R21" s="33">
        <f>ROUND('Anexo 13'!R21*'Anexo 3'!$D$10,0)</f>
        <v>0</v>
      </c>
      <c r="S21" s="33">
        <f>ROUND('Anexo 13'!S21*'Anexo 3'!$D$10,0)</f>
        <v>0</v>
      </c>
      <c r="T21" s="33">
        <f>ROUND('Anexo 13'!T21*'Anexo 3'!$D$10,0)</f>
        <v>0</v>
      </c>
      <c r="U21" s="33">
        <f>ROUND('Anexo 13'!U21*'Anexo 3'!$D$10,0)</f>
        <v>0</v>
      </c>
      <c r="V21" s="33">
        <f>ROUND('Anexo 13'!V21*'Anexo 3'!$D$10,0)</f>
        <v>0</v>
      </c>
      <c r="W21" s="33">
        <f>ROUND('Anexo 13'!W21*'Anexo 3'!$D$10,0)</f>
        <v>0</v>
      </c>
      <c r="X21" s="33">
        <f>ROUND('Anexo 13'!X21*'Anexo 3'!$D$10,0)</f>
        <v>0</v>
      </c>
      <c r="Y21" s="33">
        <f>ROUND('Anexo 13'!Y21*'Anexo 3'!$D$10,0)</f>
        <v>0</v>
      </c>
      <c r="Z21" s="33">
        <f>ROUND('Anexo 13'!Z21*'Anexo 3'!$D$10,0)</f>
        <v>0</v>
      </c>
      <c r="AA21" s="35">
        <f t="shared" si="0"/>
        <v>0</v>
      </c>
      <c r="AB21" s="19">
        <v>20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ROUND('Anexo 13'!C22*'Anexo 3'!$D$10,0)</f>
        <v>0</v>
      </c>
      <c r="D22" s="33">
        <f>ROUND('Anexo 13'!D22*'Anexo 3'!$D$10,0)</f>
        <v>0</v>
      </c>
      <c r="E22" s="33">
        <f>ROUND('Anexo 13'!E22*'Anexo 3'!$D$10,0)</f>
        <v>0</v>
      </c>
      <c r="F22" s="33">
        <f>ROUND('Anexo 13'!F22*'Anexo 3'!$D$10,0)</f>
        <v>0</v>
      </c>
      <c r="G22" s="33">
        <f>ROUND('Anexo 13'!G22*'Anexo 3'!$D$10,0)</f>
        <v>0</v>
      </c>
      <c r="H22" s="33">
        <f>ROUND('Anexo 13'!H22*'Anexo 3'!$D$10,0)</f>
        <v>0</v>
      </c>
      <c r="I22" s="33">
        <f>ROUND('Anexo 13'!I22*'Anexo 3'!$D$10,0)</f>
        <v>0</v>
      </c>
      <c r="J22" s="33">
        <f>ROUND('Anexo 13'!J22*'Anexo 3'!$D$10,0)</f>
        <v>0</v>
      </c>
      <c r="K22" s="33">
        <f>ROUND('Anexo 13'!K22*'Anexo 3'!$D$10,0)</f>
        <v>0</v>
      </c>
      <c r="L22" s="33">
        <f>ROUND('Anexo 13'!L22*'Anexo 3'!$D$10,0)</f>
        <v>0</v>
      </c>
      <c r="M22" s="33">
        <f>ROUND('Anexo 13'!M22*'Anexo 3'!$D$10,0)</f>
        <v>0</v>
      </c>
      <c r="N22" s="33">
        <f>ROUND('Anexo 13'!N22*'Anexo 3'!$D$10,0)</f>
        <v>0</v>
      </c>
      <c r="O22" s="33">
        <f>ROUND('Anexo 13'!O22*'Anexo 3'!$D$10,0)</f>
        <v>0</v>
      </c>
      <c r="P22" s="33">
        <f>ROUND('Anexo 13'!P22*'Anexo 3'!$D$10,0)</f>
        <v>0</v>
      </c>
      <c r="Q22" s="33">
        <f>ROUND('Anexo 13'!Q22*'Anexo 3'!$D$10,0)</f>
        <v>0</v>
      </c>
      <c r="R22" s="33">
        <f>ROUND('Anexo 13'!R22*'Anexo 3'!$D$10,0)</f>
        <v>0</v>
      </c>
      <c r="S22" s="33">
        <f>ROUND('Anexo 13'!S22*'Anexo 3'!$D$10,0)</f>
        <v>0</v>
      </c>
      <c r="T22" s="33">
        <f>ROUND('Anexo 13'!T22*'Anexo 3'!$D$10,0)</f>
        <v>0</v>
      </c>
      <c r="U22" s="33">
        <f>ROUND('Anexo 13'!U22*'Anexo 3'!$D$10,0)</f>
        <v>0</v>
      </c>
      <c r="V22" s="33">
        <f>ROUND('Anexo 13'!V22*'Anexo 3'!$D$10,0)</f>
        <v>0</v>
      </c>
      <c r="W22" s="33">
        <f>ROUND('Anexo 13'!W22*'Anexo 3'!$D$10,0)</f>
        <v>0</v>
      </c>
      <c r="X22" s="33">
        <f>ROUND('Anexo 13'!X22*'Anexo 3'!$D$10,0)</f>
        <v>0</v>
      </c>
      <c r="Y22" s="33">
        <f>ROUND('Anexo 13'!Y22*'Anexo 3'!$D$10,0)</f>
        <v>0</v>
      </c>
      <c r="Z22" s="33">
        <f>ROUND('Anexo 13'!Z22*'Anexo 3'!$D$10,0)</f>
        <v>0</v>
      </c>
      <c r="AA22" s="38">
        <f t="shared" si="0"/>
        <v>0</v>
      </c>
      <c r="AB22" s="21">
        <v>4</v>
      </c>
      <c r="AC22" s="95"/>
      <c r="AD22" s="47"/>
    </row>
    <row r="23" spans="1:30" ht="15.75" thickBot="1" x14ac:dyDescent="0.3">
      <c r="A23" s="93"/>
      <c r="B23" s="22" t="s">
        <v>3</v>
      </c>
      <c r="C23" s="33">
        <f>ROUND('Anexo 13'!C23*'Anexo 3'!$D$10,0)</f>
        <v>0</v>
      </c>
      <c r="D23" s="33">
        <f>ROUND('Anexo 13'!D23*'Anexo 3'!$D$10,0)</f>
        <v>0</v>
      </c>
      <c r="E23" s="33">
        <f>ROUND('Anexo 13'!E23*'Anexo 3'!$D$10,0)</f>
        <v>0</v>
      </c>
      <c r="F23" s="33">
        <f>ROUND('Anexo 13'!F23*'Anexo 3'!$D$10,0)</f>
        <v>0</v>
      </c>
      <c r="G23" s="33">
        <f>ROUND('Anexo 13'!G23*'Anexo 3'!$D$10,0)</f>
        <v>0</v>
      </c>
      <c r="H23" s="33">
        <f>ROUND('Anexo 13'!H23*'Anexo 3'!$D$10,0)</f>
        <v>0</v>
      </c>
      <c r="I23" s="33">
        <f>ROUND('Anexo 13'!I23*'Anexo 3'!$D$10,0)</f>
        <v>0</v>
      </c>
      <c r="J23" s="33">
        <f>ROUND('Anexo 13'!J23*'Anexo 3'!$D$10,0)</f>
        <v>0</v>
      </c>
      <c r="K23" s="33">
        <f>ROUND('Anexo 13'!K23*'Anexo 3'!$D$10,0)</f>
        <v>0</v>
      </c>
      <c r="L23" s="33">
        <f>ROUND('Anexo 13'!L23*'Anexo 3'!$D$10,0)</f>
        <v>0</v>
      </c>
      <c r="M23" s="33">
        <f>ROUND('Anexo 13'!M23*'Anexo 3'!$D$10,0)</f>
        <v>0</v>
      </c>
      <c r="N23" s="33">
        <f>ROUND('Anexo 13'!N23*'Anexo 3'!$D$10,0)</f>
        <v>0</v>
      </c>
      <c r="O23" s="33">
        <f>ROUND('Anexo 13'!O23*'Anexo 3'!$D$10,0)</f>
        <v>0</v>
      </c>
      <c r="P23" s="33">
        <f>ROUND('Anexo 13'!P23*'Anexo 3'!$D$10,0)</f>
        <v>0</v>
      </c>
      <c r="Q23" s="33">
        <f>ROUND('Anexo 13'!Q23*'Anexo 3'!$D$10,0)</f>
        <v>0</v>
      </c>
      <c r="R23" s="33">
        <f>ROUND('Anexo 13'!R23*'Anexo 3'!$D$10,0)</f>
        <v>0</v>
      </c>
      <c r="S23" s="33">
        <f>ROUND('Anexo 13'!S23*'Anexo 3'!$D$10,0)</f>
        <v>0</v>
      </c>
      <c r="T23" s="33">
        <f>ROUND('Anexo 13'!T23*'Anexo 3'!$D$10,0)</f>
        <v>0</v>
      </c>
      <c r="U23" s="33">
        <f>ROUND('Anexo 13'!U23*'Anexo 3'!$D$10,0)</f>
        <v>0</v>
      </c>
      <c r="V23" s="33">
        <f>ROUND('Anexo 13'!V23*'Anexo 3'!$D$10,0)</f>
        <v>0</v>
      </c>
      <c r="W23" s="33">
        <f>ROUND('Anexo 13'!W23*'Anexo 3'!$D$10,0)</f>
        <v>0</v>
      </c>
      <c r="X23" s="33">
        <f>ROUND('Anexo 13'!X23*'Anexo 3'!$D$10,0)</f>
        <v>0</v>
      </c>
      <c r="Y23" s="33">
        <f>ROUND('Anexo 13'!Y23*'Anexo 3'!$D$10,0)</f>
        <v>0</v>
      </c>
      <c r="Z23" s="33">
        <f>ROUND('Anexo 13'!Z23*'Anexo 3'!$D$10,0)</f>
        <v>0</v>
      </c>
      <c r="AA23" s="41">
        <f t="shared" si="0"/>
        <v>0</v>
      </c>
      <c r="AB23" s="23">
        <v>6</v>
      </c>
      <c r="AC23" s="96"/>
      <c r="AD23" s="48"/>
    </row>
    <row r="24" spans="1:30" ht="15.75" thickBot="1" x14ac:dyDescent="0.3">
      <c r="A24" s="93">
        <v>46935</v>
      </c>
      <c r="B24" s="18" t="s">
        <v>5</v>
      </c>
      <c r="C24" s="33">
        <f>ROUND('Anexo 13'!C24*'Anexo 3'!$D$10,0)</f>
        <v>0</v>
      </c>
      <c r="D24" s="33">
        <f>ROUND('Anexo 13'!D24*'Anexo 3'!$D$10,0)</f>
        <v>0</v>
      </c>
      <c r="E24" s="33">
        <f>ROUND('Anexo 13'!E24*'Anexo 3'!$D$10,0)</f>
        <v>0</v>
      </c>
      <c r="F24" s="33">
        <f>ROUND('Anexo 13'!F24*'Anexo 3'!$D$10,0)</f>
        <v>0</v>
      </c>
      <c r="G24" s="33">
        <f>ROUND('Anexo 13'!G24*'Anexo 3'!$D$10,0)</f>
        <v>0</v>
      </c>
      <c r="H24" s="33">
        <f>ROUND('Anexo 13'!H24*'Anexo 3'!$D$10,0)</f>
        <v>0</v>
      </c>
      <c r="I24" s="33">
        <f>ROUND('Anexo 13'!I24*'Anexo 3'!$D$10,0)</f>
        <v>0</v>
      </c>
      <c r="J24" s="33">
        <f>ROUND('Anexo 13'!J24*'Anexo 3'!$D$10,0)</f>
        <v>0</v>
      </c>
      <c r="K24" s="33">
        <f>ROUND('Anexo 13'!K24*'Anexo 3'!$D$10,0)</f>
        <v>0</v>
      </c>
      <c r="L24" s="33">
        <f>ROUND('Anexo 13'!L24*'Anexo 3'!$D$10,0)</f>
        <v>0</v>
      </c>
      <c r="M24" s="33">
        <f>ROUND('Anexo 13'!M24*'Anexo 3'!$D$10,0)</f>
        <v>0</v>
      </c>
      <c r="N24" s="33">
        <f>ROUND('Anexo 13'!N24*'Anexo 3'!$D$10,0)</f>
        <v>0</v>
      </c>
      <c r="O24" s="33">
        <f>ROUND('Anexo 13'!O24*'Anexo 3'!$D$10,0)</f>
        <v>0</v>
      </c>
      <c r="P24" s="33">
        <f>ROUND('Anexo 13'!P24*'Anexo 3'!$D$10,0)</f>
        <v>0</v>
      </c>
      <c r="Q24" s="33">
        <f>ROUND('Anexo 13'!Q24*'Anexo 3'!$D$10,0)</f>
        <v>0</v>
      </c>
      <c r="R24" s="33">
        <f>ROUND('Anexo 13'!R24*'Anexo 3'!$D$10,0)</f>
        <v>0</v>
      </c>
      <c r="S24" s="33">
        <f>ROUND('Anexo 13'!S24*'Anexo 3'!$D$10,0)</f>
        <v>0</v>
      </c>
      <c r="T24" s="33">
        <f>ROUND('Anexo 13'!T24*'Anexo 3'!$D$10,0)</f>
        <v>0</v>
      </c>
      <c r="U24" s="33">
        <f>ROUND('Anexo 13'!U24*'Anexo 3'!$D$10,0)</f>
        <v>0</v>
      </c>
      <c r="V24" s="33">
        <f>ROUND('Anexo 13'!V24*'Anexo 3'!$D$10,0)</f>
        <v>0</v>
      </c>
      <c r="W24" s="33">
        <f>ROUND('Anexo 13'!W24*'Anexo 3'!$D$10,0)</f>
        <v>0</v>
      </c>
      <c r="X24" s="33">
        <f>ROUND('Anexo 13'!X24*'Anexo 3'!$D$10,0)</f>
        <v>0</v>
      </c>
      <c r="Y24" s="33">
        <f>ROUND('Anexo 13'!Y24*'Anexo 3'!$D$10,0)</f>
        <v>0</v>
      </c>
      <c r="Z24" s="33">
        <f>ROUND('Anexo 13'!Z24*'Anexo 3'!$D$10,0)</f>
        <v>0</v>
      </c>
      <c r="AA24" s="35">
        <f t="shared" si="0"/>
        <v>0</v>
      </c>
      <c r="AB24" s="19">
        <v>19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ROUND('Anexo 13'!C25*'Anexo 3'!$D$10,0)</f>
        <v>0</v>
      </c>
      <c r="D25" s="33">
        <f>ROUND('Anexo 13'!D25*'Anexo 3'!$D$10,0)</f>
        <v>0</v>
      </c>
      <c r="E25" s="33">
        <f>ROUND('Anexo 13'!E25*'Anexo 3'!$D$10,0)</f>
        <v>0</v>
      </c>
      <c r="F25" s="33">
        <f>ROUND('Anexo 13'!F25*'Anexo 3'!$D$10,0)</f>
        <v>0</v>
      </c>
      <c r="G25" s="33">
        <f>ROUND('Anexo 13'!G25*'Anexo 3'!$D$10,0)</f>
        <v>0</v>
      </c>
      <c r="H25" s="33">
        <f>ROUND('Anexo 13'!H25*'Anexo 3'!$D$10,0)</f>
        <v>0</v>
      </c>
      <c r="I25" s="33">
        <f>ROUND('Anexo 13'!I25*'Anexo 3'!$D$10,0)</f>
        <v>0</v>
      </c>
      <c r="J25" s="33">
        <f>ROUND('Anexo 13'!J25*'Anexo 3'!$D$10,0)</f>
        <v>0</v>
      </c>
      <c r="K25" s="33">
        <f>ROUND('Anexo 13'!K25*'Anexo 3'!$D$10,0)</f>
        <v>0</v>
      </c>
      <c r="L25" s="33">
        <f>ROUND('Anexo 13'!L25*'Anexo 3'!$D$10,0)</f>
        <v>0</v>
      </c>
      <c r="M25" s="33">
        <f>ROUND('Anexo 13'!M25*'Anexo 3'!$D$10,0)</f>
        <v>0</v>
      </c>
      <c r="N25" s="33">
        <f>ROUND('Anexo 13'!N25*'Anexo 3'!$D$10,0)</f>
        <v>0</v>
      </c>
      <c r="O25" s="33">
        <f>ROUND('Anexo 13'!O25*'Anexo 3'!$D$10,0)</f>
        <v>0</v>
      </c>
      <c r="P25" s="33">
        <f>ROUND('Anexo 13'!P25*'Anexo 3'!$D$10,0)</f>
        <v>0</v>
      </c>
      <c r="Q25" s="33">
        <f>ROUND('Anexo 13'!Q25*'Anexo 3'!$D$10,0)</f>
        <v>0</v>
      </c>
      <c r="R25" s="33">
        <f>ROUND('Anexo 13'!R25*'Anexo 3'!$D$10,0)</f>
        <v>0</v>
      </c>
      <c r="S25" s="33">
        <f>ROUND('Anexo 13'!S25*'Anexo 3'!$D$10,0)</f>
        <v>0</v>
      </c>
      <c r="T25" s="33">
        <f>ROUND('Anexo 13'!T25*'Anexo 3'!$D$10,0)</f>
        <v>0</v>
      </c>
      <c r="U25" s="33">
        <f>ROUND('Anexo 13'!U25*'Anexo 3'!$D$10,0)</f>
        <v>0</v>
      </c>
      <c r="V25" s="33">
        <f>ROUND('Anexo 13'!V25*'Anexo 3'!$D$10,0)</f>
        <v>0</v>
      </c>
      <c r="W25" s="33">
        <f>ROUND('Anexo 13'!W25*'Anexo 3'!$D$10,0)</f>
        <v>0</v>
      </c>
      <c r="X25" s="33">
        <f>ROUND('Anexo 13'!X25*'Anexo 3'!$D$10,0)</f>
        <v>0</v>
      </c>
      <c r="Y25" s="33">
        <f>ROUND('Anexo 13'!Y25*'Anexo 3'!$D$10,0)</f>
        <v>0</v>
      </c>
      <c r="Z25" s="33">
        <f>ROUND('Anexo 13'!Z25*'Anexo 3'!$D$10,0)</f>
        <v>0</v>
      </c>
      <c r="AA25" s="38">
        <f t="shared" si="0"/>
        <v>0</v>
      </c>
      <c r="AB25" s="21">
        <v>5</v>
      </c>
      <c r="AC25" s="95"/>
      <c r="AD25" s="47"/>
    </row>
    <row r="26" spans="1:30" ht="15.75" thickBot="1" x14ac:dyDescent="0.3">
      <c r="A26" s="93"/>
      <c r="B26" s="22" t="s">
        <v>3</v>
      </c>
      <c r="C26" s="33">
        <f>ROUND('Anexo 13'!C26*'Anexo 3'!$D$10,0)</f>
        <v>0</v>
      </c>
      <c r="D26" s="33">
        <f>ROUND('Anexo 13'!D26*'Anexo 3'!$D$10,0)</f>
        <v>0</v>
      </c>
      <c r="E26" s="33">
        <f>ROUND('Anexo 13'!E26*'Anexo 3'!$D$10,0)</f>
        <v>0</v>
      </c>
      <c r="F26" s="33">
        <f>ROUND('Anexo 13'!F26*'Anexo 3'!$D$10,0)</f>
        <v>0</v>
      </c>
      <c r="G26" s="33">
        <f>ROUND('Anexo 13'!G26*'Anexo 3'!$D$10,0)</f>
        <v>0</v>
      </c>
      <c r="H26" s="33">
        <f>ROUND('Anexo 13'!H26*'Anexo 3'!$D$10,0)</f>
        <v>0</v>
      </c>
      <c r="I26" s="33">
        <f>ROUND('Anexo 13'!I26*'Anexo 3'!$D$10,0)</f>
        <v>0</v>
      </c>
      <c r="J26" s="33">
        <f>ROUND('Anexo 13'!J26*'Anexo 3'!$D$10,0)</f>
        <v>0</v>
      </c>
      <c r="K26" s="33">
        <f>ROUND('Anexo 13'!K26*'Anexo 3'!$D$10,0)</f>
        <v>0</v>
      </c>
      <c r="L26" s="33">
        <f>ROUND('Anexo 13'!L26*'Anexo 3'!$D$10,0)</f>
        <v>0</v>
      </c>
      <c r="M26" s="33">
        <f>ROUND('Anexo 13'!M26*'Anexo 3'!$D$10,0)</f>
        <v>0</v>
      </c>
      <c r="N26" s="33">
        <f>ROUND('Anexo 13'!N26*'Anexo 3'!$D$10,0)</f>
        <v>0</v>
      </c>
      <c r="O26" s="33">
        <f>ROUND('Anexo 13'!O26*'Anexo 3'!$D$10,0)</f>
        <v>0</v>
      </c>
      <c r="P26" s="33">
        <f>ROUND('Anexo 13'!P26*'Anexo 3'!$D$10,0)</f>
        <v>0</v>
      </c>
      <c r="Q26" s="33">
        <f>ROUND('Anexo 13'!Q26*'Anexo 3'!$D$10,0)</f>
        <v>0</v>
      </c>
      <c r="R26" s="33">
        <f>ROUND('Anexo 13'!R26*'Anexo 3'!$D$10,0)</f>
        <v>0</v>
      </c>
      <c r="S26" s="33">
        <f>ROUND('Anexo 13'!S26*'Anexo 3'!$D$10,0)</f>
        <v>0</v>
      </c>
      <c r="T26" s="33">
        <f>ROUND('Anexo 13'!T26*'Anexo 3'!$D$10,0)</f>
        <v>0</v>
      </c>
      <c r="U26" s="33">
        <f>ROUND('Anexo 13'!U26*'Anexo 3'!$D$10,0)</f>
        <v>0</v>
      </c>
      <c r="V26" s="33">
        <f>ROUND('Anexo 13'!V26*'Anexo 3'!$D$10,0)</f>
        <v>0</v>
      </c>
      <c r="W26" s="33">
        <f>ROUND('Anexo 13'!W26*'Anexo 3'!$D$10,0)</f>
        <v>0</v>
      </c>
      <c r="X26" s="33">
        <f>ROUND('Anexo 13'!X26*'Anexo 3'!$D$10,0)</f>
        <v>0</v>
      </c>
      <c r="Y26" s="33">
        <f>ROUND('Anexo 13'!Y26*'Anexo 3'!$D$10,0)</f>
        <v>0</v>
      </c>
      <c r="Z26" s="33">
        <f>ROUND('Anexo 13'!Z26*'Anexo 3'!$D$10,0)</f>
        <v>0</v>
      </c>
      <c r="AA26" s="41">
        <f t="shared" si="0"/>
        <v>0</v>
      </c>
      <c r="AB26" s="23">
        <v>7</v>
      </c>
      <c r="AC26" s="96"/>
      <c r="AD26" s="48"/>
    </row>
    <row r="27" spans="1:30" ht="15.75" thickBot="1" x14ac:dyDescent="0.3">
      <c r="A27" s="93">
        <v>46966</v>
      </c>
      <c r="B27" s="18" t="s">
        <v>5</v>
      </c>
      <c r="C27" s="33">
        <f>ROUND('Anexo 13'!C27*'Anexo 3'!$D$10,0)</f>
        <v>0</v>
      </c>
      <c r="D27" s="33">
        <f>ROUND('Anexo 13'!D27*'Anexo 3'!$D$10,0)</f>
        <v>0</v>
      </c>
      <c r="E27" s="33">
        <f>ROUND('Anexo 13'!E27*'Anexo 3'!$D$10,0)</f>
        <v>0</v>
      </c>
      <c r="F27" s="33">
        <f>ROUND('Anexo 13'!F27*'Anexo 3'!$D$10,0)</f>
        <v>0</v>
      </c>
      <c r="G27" s="33">
        <f>ROUND('Anexo 13'!G27*'Anexo 3'!$D$10,0)</f>
        <v>0</v>
      </c>
      <c r="H27" s="33">
        <f>ROUND('Anexo 13'!H27*'Anexo 3'!$D$10,0)</f>
        <v>0</v>
      </c>
      <c r="I27" s="33">
        <f>ROUND('Anexo 13'!I27*'Anexo 3'!$D$10,0)</f>
        <v>0</v>
      </c>
      <c r="J27" s="33">
        <f>ROUND('Anexo 13'!J27*'Anexo 3'!$D$10,0)</f>
        <v>0</v>
      </c>
      <c r="K27" s="33">
        <f>ROUND('Anexo 13'!K27*'Anexo 3'!$D$10,0)</f>
        <v>0</v>
      </c>
      <c r="L27" s="33">
        <f>ROUND('Anexo 13'!L27*'Anexo 3'!$D$10,0)</f>
        <v>0</v>
      </c>
      <c r="M27" s="33">
        <f>ROUND('Anexo 13'!M27*'Anexo 3'!$D$10,0)</f>
        <v>0</v>
      </c>
      <c r="N27" s="33">
        <f>ROUND('Anexo 13'!N27*'Anexo 3'!$D$10,0)</f>
        <v>0</v>
      </c>
      <c r="O27" s="33">
        <f>ROUND('Anexo 13'!O27*'Anexo 3'!$D$10,0)</f>
        <v>0</v>
      </c>
      <c r="P27" s="33">
        <f>ROUND('Anexo 13'!P27*'Anexo 3'!$D$10,0)</f>
        <v>0</v>
      </c>
      <c r="Q27" s="33">
        <f>ROUND('Anexo 13'!Q27*'Anexo 3'!$D$10,0)</f>
        <v>0</v>
      </c>
      <c r="R27" s="33">
        <f>ROUND('Anexo 13'!R27*'Anexo 3'!$D$10,0)</f>
        <v>0</v>
      </c>
      <c r="S27" s="33">
        <f>ROUND('Anexo 13'!S27*'Anexo 3'!$D$10,0)</f>
        <v>0</v>
      </c>
      <c r="T27" s="33">
        <f>ROUND('Anexo 13'!T27*'Anexo 3'!$D$10,0)</f>
        <v>0</v>
      </c>
      <c r="U27" s="33">
        <f>ROUND('Anexo 13'!U27*'Anexo 3'!$D$10,0)</f>
        <v>0</v>
      </c>
      <c r="V27" s="33">
        <f>ROUND('Anexo 13'!V27*'Anexo 3'!$D$10,0)</f>
        <v>0</v>
      </c>
      <c r="W27" s="33">
        <f>ROUND('Anexo 13'!W27*'Anexo 3'!$D$10,0)</f>
        <v>0</v>
      </c>
      <c r="X27" s="33">
        <f>ROUND('Anexo 13'!X27*'Anexo 3'!$D$10,0)</f>
        <v>0</v>
      </c>
      <c r="Y27" s="33">
        <f>ROUND('Anexo 13'!Y27*'Anexo 3'!$D$10,0)</f>
        <v>0</v>
      </c>
      <c r="Z27" s="33">
        <f>ROUND('Anexo 13'!Z27*'Anexo 3'!$D$10,0)</f>
        <v>0</v>
      </c>
      <c r="AA27" s="35">
        <f t="shared" si="0"/>
        <v>0</v>
      </c>
      <c r="AB27" s="19">
        <v>21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ROUND('Anexo 13'!C28*'Anexo 3'!$D$10,0)</f>
        <v>0</v>
      </c>
      <c r="D28" s="33">
        <f>ROUND('Anexo 13'!D28*'Anexo 3'!$D$10,0)</f>
        <v>0</v>
      </c>
      <c r="E28" s="33">
        <f>ROUND('Anexo 13'!E28*'Anexo 3'!$D$10,0)</f>
        <v>0</v>
      </c>
      <c r="F28" s="33">
        <f>ROUND('Anexo 13'!F28*'Anexo 3'!$D$10,0)</f>
        <v>0</v>
      </c>
      <c r="G28" s="33">
        <f>ROUND('Anexo 13'!G28*'Anexo 3'!$D$10,0)</f>
        <v>0</v>
      </c>
      <c r="H28" s="33">
        <f>ROUND('Anexo 13'!H28*'Anexo 3'!$D$10,0)</f>
        <v>0</v>
      </c>
      <c r="I28" s="33">
        <f>ROUND('Anexo 13'!I28*'Anexo 3'!$D$10,0)</f>
        <v>0</v>
      </c>
      <c r="J28" s="33">
        <f>ROUND('Anexo 13'!J28*'Anexo 3'!$D$10,0)</f>
        <v>0</v>
      </c>
      <c r="K28" s="33">
        <f>ROUND('Anexo 13'!K28*'Anexo 3'!$D$10,0)</f>
        <v>0</v>
      </c>
      <c r="L28" s="33">
        <f>ROUND('Anexo 13'!L28*'Anexo 3'!$D$10,0)</f>
        <v>0</v>
      </c>
      <c r="M28" s="33">
        <f>ROUND('Anexo 13'!M28*'Anexo 3'!$D$10,0)</f>
        <v>0</v>
      </c>
      <c r="N28" s="33">
        <f>ROUND('Anexo 13'!N28*'Anexo 3'!$D$10,0)</f>
        <v>0</v>
      </c>
      <c r="O28" s="33">
        <f>ROUND('Anexo 13'!O28*'Anexo 3'!$D$10,0)</f>
        <v>0</v>
      </c>
      <c r="P28" s="33">
        <f>ROUND('Anexo 13'!P28*'Anexo 3'!$D$10,0)</f>
        <v>0</v>
      </c>
      <c r="Q28" s="33">
        <f>ROUND('Anexo 13'!Q28*'Anexo 3'!$D$10,0)</f>
        <v>0</v>
      </c>
      <c r="R28" s="33">
        <f>ROUND('Anexo 13'!R28*'Anexo 3'!$D$10,0)</f>
        <v>0</v>
      </c>
      <c r="S28" s="33">
        <f>ROUND('Anexo 13'!S28*'Anexo 3'!$D$10,0)</f>
        <v>0</v>
      </c>
      <c r="T28" s="33">
        <f>ROUND('Anexo 13'!T28*'Anexo 3'!$D$10,0)</f>
        <v>0</v>
      </c>
      <c r="U28" s="33">
        <f>ROUND('Anexo 13'!U28*'Anexo 3'!$D$10,0)</f>
        <v>0</v>
      </c>
      <c r="V28" s="33">
        <f>ROUND('Anexo 13'!V28*'Anexo 3'!$D$10,0)</f>
        <v>0</v>
      </c>
      <c r="W28" s="33">
        <f>ROUND('Anexo 13'!W28*'Anexo 3'!$D$10,0)</f>
        <v>0</v>
      </c>
      <c r="X28" s="33">
        <f>ROUND('Anexo 13'!X28*'Anexo 3'!$D$10,0)</f>
        <v>0</v>
      </c>
      <c r="Y28" s="33">
        <f>ROUND('Anexo 13'!Y28*'Anexo 3'!$D$10,0)</f>
        <v>0</v>
      </c>
      <c r="Z28" s="33">
        <f>ROUND('Anexo 13'!Z28*'Anexo 3'!$D$10,0)</f>
        <v>0</v>
      </c>
      <c r="AA28" s="38">
        <f t="shared" si="0"/>
        <v>0</v>
      </c>
      <c r="AB28" s="21">
        <v>4</v>
      </c>
      <c r="AC28" s="95"/>
      <c r="AD28" s="47"/>
    </row>
    <row r="29" spans="1:30" ht="15.75" thickBot="1" x14ac:dyDescent="0.3">
      <c r="A29" s="93"/>
      <c r="B29" s="22" t="s">
        <v>3</v>
      </c>
      <c r="C29" s="33">
        <f>ROUND('Anexo 13'!C29*'Anexo 3'!$D$10,0)</f>
        <v>0</v>
      </c>
      <c r="D29" s="33">
        <f>ROUND('Anexo 13'!D29*'Anexo 3'!$D$10,0)</f>
        <v>0</v>
      </c>
      <c r="E29" s="33">
        <f>ROUND('Anexo 13'!E29*'Anexo 3'!$D$10,0)</f>
        <v>0</v>
      </c>
      <c r="F29" s="33">
        <f>ROUND('Anexo 13'!F29*'Anexo 3'!$D$10,0)</f>
        <v>0</v>
      </c>
      <c r="G29" s="33">
        <f>ROUND('Anexo 13'!G29*'Anexo 3'!$D$10,0)</f>
        <v>0</v>
      </c>
      <c r="H29" s="33">
        <f>ROUND('Anexo 13'!H29*'Anexo 3'!$D$10,0)</f>
        <v>0</v>
      </c>
      <c r="I29" s="33">
        <f>ROUND('Anexo 13'!I29*'Anexo 3'!$D$10,0)</f>
        <v>0</v>
      </c>
      <c r="J29" s="33">
        <f>ROUND('Anexo 13'!J29*'Anexo 3'!$D$10,0)</f>
        <v>0</v>
      </c>
      <c r="K29" s="33">
        <f>ROUND('Anexo 13'!K29*'Anexo 3'!$D$10,0)</f>
        <v>0</v>
      </c>
      <c r="L29" s="33">
        <f>ROUND('Anexo 13'!L29*'Anexo 3'!$D$10,0)</f>
        <v>0</v>
      </c>
      <c r="M29" s="33">
        <f>ROUND('Anexo 13'!M29*'Anexo 3'!$D$10,0)</f>
        <v>0</v>
      </c>
      <c r="N29" s="33">
        <f>ROUND('Anexo 13'!N29*'Anexo 3'!$D$10,0)</f>
        <v>0</v>
      </c>
      <c r="O29" s="33">
        <f>ROUND('Anexo 13'!O29*'Anexo 3'!$D$10,0)</f>
        <v>0</v>
      </c>
      <c r="P29" s="33">
        <f>ROUND('Anexo 13'!P29*'Anexo 3'!$D$10,0)</f>
        <v>0</v>
      </c>
      <c r="Q29" s="33">
        <f>ROUND('Anexo 13'!Q29*'Anexo 3'!$D$10,0)</f>
        <v>0</v>
      </c>
      <c r="R29" s="33">
        <f>ROUND('Anexo 13'!R29*'Anexo 3'!$D$10,0)</f>
        <v>0</v>
      </c>
      <c r="S29" s="33">
        <f>ROUND('Anexo 13'!S29*'Anexo 3'!$D$10,0)</f>
        <v>0</v>
      </c>
      <c r="T29" s="33">
        <f>ROUND('Anexo 13'!T29*'Anexo 3'!$D$10,0)</f>
        <v>0</v>
      </c>
      <c r="U29" s="33">
        <f>ROUND('Anexo 13'!U29*'Anexo 3'!$D$10,0)</f>
        <v>0</v>
      </c>
      <c r="V29" s="33">
        <f>ROUND('Anexo 13'!V29*'Anexo 3'!$D$10,0)</f>
        <v>0</v>
      </c>
      <c r="W29" s="33">
        <f>ROUND('Anexo 13'!W29*'Anexo 3'!$D$10,0)</f>
        <v>0</v>
      </c>
      <c r="X29" s="33">
        <f>ROUND('Anexo 13'!X29*'Anexo 3'!$D$10,0)</f>
        <v>0</v>
      </c>
      <c r="Y29" s="33">
        <f>ROUND('Anexo 13'!Y29*'Anexo 3'!$D$10,0)</f>
        <v>0</v>
      </c>
      <c r="Z29" s="33">
        <f>ROUND('Anexo 13'!Z29*'Anexo 3'!$D$10,0)</f>
        <v>0</v>
      </c>
      <c r="AA29" s="41">
        <f t="shared" si="0"/>
        <v>0</v>
      </c>
      <c r="AB29" s="23">
        <v>6</v>
      </c>
      <c r="AC29" s="96"/>
      <c r="AD29" s="49"/>
    </row>
    <row r="30" spans="1:30" ht="15.75" thickBot="1" x14ac:dyDescent="0.3">
      <c r="A30" s="93">
        <v>46997</v>
      </c>
      <c r="B30" s="18" t="s">
        <v>5</v>
      </c>
      <c r="C30" s="33">
        <f>ROUND('Anexo 13'!C30*'Anexo 3'!$D$10,0)</f>
        <v>0</v>
      </c>
      <c r="D30" s="33">
        <f>ROUND('Anexo 13'!D30*'Anexo 3'!$D$10,0)</f>
        <v>0</v>
      </c>
      <c r="E30" s="33">
        <f>ROUND('Anexo 13'!E30*'Anexo 3'!$D$10,0)</f>
        <v>0</v>
      </c>
      <c r="F30" s="33">
        <f>ROUND('Anexo 13'!F30*'Anexo 3'!$D$10,0)</f>
        <v>0</v>
      </c>
      <c r="G30" s="33">
        <f>ROUND('Anexo 13'!G30*'Anexo 3'!$D$10,0)</f>
        <v>0</v>
      </c>
      <c r="H30" s="33">
        <f>ROUND('Anexo 13'!H30*'Anexo 3'!$D$10,0)</f>
        <v>0</v>
      </c>
      <c r="I30" s="33">
        <f>ROUND('Anexo 13'!I30*'Anexo 3'!$D$10,0)</f>
        <v>0</v>
      </c>
      <c r="J30" s="33">
        <f>ROUND('Anexo 13'!J30*'Anexo 3'!$D$10,0)</f>
        <v>0</v>
      </c>
      <c r="K30" s="33">
        <f>ROUND('Anexo 13'!K30*'Anexo 3'!$D$10,0)</f>
        <v>0</v>
      </c>
      <c r="L30" s="33">
        <f>ROUND('Anexo 13'!L30*'Anexo 3'!$D$10,0)</f>
        <v>0</v>
      </c>
      <c r="M30" s="33">
        <f>ROUND('Anexo 13'!M30*'Anexo 3'!$D$10,0)</f>
        <v>0</v>
      </c>
      <c r="N30" s="33">
        <f>ROUND('Anexo 13'!N30*'Anexo 3'!$D$10,0)</f>
        <v>0</v>
      </c>
      <c r="O30" s="33">
        <f>ROUND('Anexo 13'!O30*'Anexo 3'!$D$10,0)</f>
        <v>0</v>
      </c>
      <c r="P30" s="33">
        <f>ROUND('Anexo 13'!P30*'Anexo 3'!$D$10,0)</f>
        <v>0</v>
      </c>
      <c r="Q30" s="33">
        <f>ROUND('Anexo 13'!Q30*'Anexo 3'!$D$10,0)</f>
        <v>0</v>
      </c>
      <c r="R30" s="33">
        <f>ROUND('Anexo 13'!R30*'Anexo 3'!$D$10,0)</f>
        <v>0</v>
      </c>
      <c r="S30" s="33">
        <f>ROUND('Anexo 13'!S30*'Anexo 3'!$D$10,0)</f>
        <v>0</v>
      </c>
      <c r="T30" s="33">
        <f>ROUND('Anexo 13'!T30*'Anexo 3'!$D$10,0)</f>
        <v>0</v>
      </c>
      <c r="U30" s="33">
        <f>ROUND('Anexo 13'!U30*'Anexo 3'!$D$10,0)</f>
        <v>0</v>
      </c>
      <c r="V30" s="33">
        <f>ROUND('Anexo 13'!V30*'Anexo 3'!$D$10,0)</f>
        <v>0</v>
      </c>
      <c r="W30" s="33">
        <f>ROUND('Anexo 13'!W30*'Anexo 3'!$D$10,0)</f>
        <v>0</v>
      </c>
      <c r="X30" s="33">
        <f>ROUND('Anexo 13'!X30*'Anexo 3'!$D$10,0)</f>
        <v>0</v>
      </c>
      <c r="Y30" s="33">
        <f>ROUND('Anexo 13'!Y30*'Anexo 3'!$D$10,0)</f>
        <v>0</v>
      </c>
      <c r="Z30" s="33">
        <f>ROUND('Anexo 13'!Z30*'Anexo 3'!$D$10,0)</f>
        <v>0</v>
      </c>
      <c r="AA30" s="35">
        <f t="shared" si="0"/>
        <v>0</v>
      </c>
      <c r="AB30" s="19">
        <v>21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ROUND('Anexo 13'!C31*'Anexo 3'!$D$10,0)</f>
        <v>0</v>
      </c>
      <c r="D31" s="33">
        <f>ROUND('Anexo 13'!D31*'Anexo 3'!$D$10,0)</f>
        <v>0</v>
      </c>
      <c r="E31" s="33">
        <f>ROUND('Anexo 13'!E31*'Anexo 3'!$D$10,0)</f>
        <v>0</v>
      </c>
      <c r="F31" s="33">
        <f>ROUND('Anexo 13'!F31*'Anexo 3'!$D$10,0)</f>
        <v>0</v>
      </c>
      <c r="G31" s="33">
        <f>ROUND('Anexo 13'!G31*'Anexo 3'!$D$10,0)</f>
        <v>0</v>
      </c>
      <c r="H31" s="33">
        <f>ROUND('Anexo 13'!H31*'Anexo 3'!$D$10,0)</f>
        <v>0</v>
      </c>
      <c r="I31" s="33">
        <f>ROUND('Anexo 13'!I31*'Anexo 3'!$D$10,0)</f>
        <v>0</v>
      </c>
      <c r="J31" s="33">
        <f>ROUND('Anexo 13'!J31*'Anexo 3'!$D$10,0)</f>
        <v>0</v>
      </c>
      <c r="K31" s="33">
        <f>ROUND('Anexo 13'!K31*'Anexo 3'!$D$10,0)</f>
        <v>0</v>
      </c>
      <c r="L31" s="33">
        <f>ROUND('Anexo 13'!L31*'Anexo 3'!$D$10,0)</f>
        <v>0</v>
      </c>
      <c r="M31" s="33">
        <f>ROUND('Anexo 13'!M31*'Anexo 3'!$D$10,0)</f>
        <v>0</v>
      </c>
      <c r="N31" s="33">
        <f>ROUND('Anexo 13'!N31*'Anexo 3'!$D$10,0)</f>
        <v>0</v>
      </c>
      <c r="O31" s="33">
        <f>ROUND('Anexo 13'!O31*'Anexo 3'!$D$10,0)</f>
        <v>0</v>
      </c>
      <c r="P31" s="33">
        <f>ROUND('Anexo 13'!P31*'Anexo 3'!$D$10,0)</f>
        <v>0</v>
      </c>
      <c r="Q31" s="33">
        <f>ROUND('Anexo 13'!Q31*'Anexo 3'!$D$10,0)</f>
        <v>0</v>
      </c>
      <c r="R31" s="33">
        <f>ROUND('Anexo 13'!R31*'Anexo 3'!$D$10,0)</f>
        <v>0</v>
      </c>
      <c r="S31" s="33">
        <f>ROUND('Anexo 13'!S31*'Anexo 3'!$D$10,0)</f>
        <v>0</v>
      </c>
      <c r="T31" s="33">
        <f>ROUND('Anexo 13'!T31*'Anexo 3'!$D$10,0)</f>
        <v>0</v>
      </c>
      <c r="U31" s="33">
        <f>ROUND('Anexo 13'!U31*'Anexo 3'!$D$10,0)</f>
        <v>0</v>
      </c>
      <c r="V31" s="33">
        <f>ROUND('Anexo 13'!V31*'Anexo 3'!$D$10,0)</f>
        <v>0</v>
      </c>
      <c r="W31" s="33">
        <f>ROUND('Anexo 13'!W31*'Anexo 3'!$D$10,0)</f>
        <v>0</v>
      </c>
      <c r="X31" s="33">
        <f>ROUND('Anexo 13'!X31*'Anexo 3'!$D$10,0)</f>
        <v>0</v>
      </c>
      <c r="Y31" s="33">
        <f>ROUND('Anexo 13'!Y31*'Anexo 3'!$D$10,0)</f>
        <v>0</v>
      </c>
      <c r="Z31" s="33">
        <f>ROUND('Anexo 13'!Z31*'Anexo 3'!$D$10,0)</f>
        <v>0</v>
      </c>
      <c r="AA31" s="38">
        <f t="shared" si="0"/>
        <v>0</v>
      </c>
      <c r="AB31" s="21">
        <v>5</v>
      </c>
      <c r="AC31" s="95"/>
      <c r="AD31" s="47"/>
    </row>
    <row r="32" spans="1:30" ht="15.75" thickBot="1" x14ac:dyDescent="0.3">
      <c r="A32" s="93"/>
      <c r="B32" s="22" t="s">
        <v>3</v>
      </c>
      <c r="C32" s="33">
        <f>ROUND('Anexo 13'!C32*'Anexo 3'!$D$10,0)</f>
        <v>0</v>
      </c>
      <c r="D32" s="33">
        <f>ROUND('Anexo 13'!D32*'Anexo 3'!$D$10,0)</f>
        <v>0</v>
      </c>
      <c r="E32" s="33">
        <f>ROUND('Anexo 13'!E32*'Anexo 3'!$D$10,0)</f>
        <v>0</v>
      </c>
      <c r="F32" s="33">
        <f>ROUND('Anexo 13'!F32*'Anexo 3'!$D$10,0)</f>
        <v>0</v>
      </c>
      <c r="G32" s="33">
        <f>ROUND('Anexo 13'!G32*'Anexo 3'!$D$10,0)</f>
        <v>0</v>
      </c>
      <c r="H32" s="33">
        <f>ROUND('Anexo 13'!H32*'Anexo 3'!$D$10,0)</f>
        <v>0</v>
      </c>
      <c r="I32" s="33">
        <f>ROUND('Anexo 13'!I32*'Anexo 3'!$D$10,0)</f>
        <v>0</v>
      </c>
      <c r="J32" s="33">
        <f>ROUND('Anexo 13'!J32*'Anexo 3'!$D$10,0)</f>
        <v>0</v>
      </c>
      <c r="K32" s="33">
        <f>ROUND('Anexo 13'!K32*'Anexo 3'!$D$10,0)</f>
        <v>0</v>
      </c>
      <c r="L32" s="33">
        <f>ROUND('Anexo 13'!L32*'Anexo 3'!$D$10,0)</f>
        <v>0</v>
      </c>
      <c r="M32" s="33">
        <f>ROUND('Anexo 13'!M32*'Anexo 3'!$D$10,0)</f>
        <v>0</v>
      </c>
      <c r="N32" s="33">
        <f>ROUND('Anexo 13'!N32*'Anexo 3'!$D$10,0)</f>
        <v>0</v>
      </c>
      <c r="O32" s="33">
        <f>ROUND('Anexo 13'!O32*'Anexo 3'!$D$10,0)</f>
        <v>0</v>
      </c>
      <c r="P32" s="33">
        <f>ROUND('Anexo 13'!P32*'Anexo 3'!$D$10,0)</f>
        <v>0</v>
      </c>
      <c r="Q32" s="33">
        <f>ROUND('Anexo 13'!Q32*'Anexo 3'!$D$10,0)</f>
        <v>0</v>
      </c>
      <c r="R32" s="33">
        <f>ROUND('Anexo 13'!R32*'Anexo 3'!$D$10,0)</f>
        <v>0</v>
      </c>
      <c r="S32" s="33">
        <f>ROUND('Anexo 13'!S32*'Anexo 3'!$D$10,0)</f>
        <v>0</v>
      </c>
      <c r="T32" s="33">
        <f>ROUND('Anexo 13'!T32*'Anexo 3'!$D$10,0)</f>
        <v>0</v>
      </c>
      <c r="U32" s="33">
        <f>ROUND('Anexo 13'!U32*'Anexo 3'!$D$10,0)</f>
        <v>0</v>
      </c>
      <c r="V32" s="33">
        <f>ROUND('Anexo 13'!V32*'Anexo 3'!$D$10,0)</f>
        <v>0</v>
      </c>
      <c r="W32" s="33">
        <f>ROUND('Anexo 13'!W32*'Anexo 3'!$D$10,0)</f>
        <v>0</v>
      </c>
      <c r="X32" s="33">
        <f>ROUND('Anexo 13'!X32*'Anexo 3'!$D$10,0)</f>
        <v>0</v>
      </c>
      <c r="Y32" s="33">
        <f>ROUND('Anexo 13'!Y32*'Anexo 3'!$D$10,0)</f>
        <v>0</v>
      </c>
      <c r="Z32" s="33">
        <f>ROUND('Anexo 13'!Z32*'Anexo 3'!$D$10,0)</f>
        <v>0</v>
      </c>
      <c r="AA32" s="41">
        <f t="shared" si="0"/>
        <v>0</v>
      </c>
      <c r="AB32" s="23">
        <v>4</v>
      </c>
      <c r="AC32" s="96"/>
      <c r="AD32" s="48"/>
    </row>
    <row r="33" spans="1:30" ht="15.75" thickBot="1" x14ac:dyDescent="0.3">
      <c r="A33" s="93">
        <v>47027</v>
      </c>
      <c r="B33" s="18" t="s">
        <v>5</v>
      </c>
      <c r="C33" s="33">
        <f>ROUND('Anexo 13'!C33*'Anexo 3'!$D$10,0)</f>
        <v>0</v>
      </c>
      <c r="D33" s="33">
        <f>ROUND('Anexo 13'!D33*'Anexo 3'!$D$10,0)</f>
        <v>0</v>
      </c>
      <c r="E33" s="33">
        <f>ROUND('Anexo 13'!E33*'Anexo 3'!$D$10,0)</f>
        <v>0</v>
      </c>
      <c r="F33" s="33">
        <f>ROUND('Anexo 13'!F33*'Anexo 3'!$D$10,0)</f>
        <v>0</v>
      </c>
      <c r="G33" s="33">
        <f>ROUND('Anexo 13'!G33*'Anexo 3'!$D$10,0)</f>
        <v>0</v>
      </c>
      <c r="H33" s="33">
        <f>ROUND('Anexo 13'!H33*'Anexo 3'!$D$10,0)</f>
        <v>0</v>
      </c>
      <c r="I33" s="33">
        <f>ROUND('Anexo 13'!I33*'Anexo 3'!$D$10,0)</f>
        <v>0</v>
      </c>
      <c r="J33" s="33">
        <f>ROUND('Anexo 13'!J33*'Anexo 3'!$D$10,0)</f>
        <v>0</v>
      </c>
      <c r="K33" s="33">
        <f>ROUND('Anexo 13'!K33*'Anexo 3'!$D$10,0)</f>
        <v>0</v>
      </c>
      <c r="L33" s="33">
        <f>ROUND('Anexo 13'!L33*'Anexo 3'!$D$10,0)</f>
        <v>0</v>
      </c>
      <c r="M33" s="33">
        <f>ROUND('Anexo 13'!M33*'Anexo 3'!$D$10,0)</f>
        <v>0</v>
      </c>
      <c r="N33" s="33">
        <f>ROUND('Anexo 13'!N33*'Anexo 3'!$D$10,0)</f>
        <v>0</v>
      </c>
      <c r="O33" s="33">
        <f>ROUND('Anexo 13'!O33*'Anexo 3'!$D$10,0)</f>
        <v>0</v>
      </c>
      <c r="P33" s="33">
        <f>ROUND('Anexo 13'!P33*'Anexo 3'!$D$10,0)</f>
        <v>0</v>
      </c>
      <c r="Q33" s="33">
        <f>ROUND('Anexo 13'!Q33*'Anexo 3'!$D$10,0)</f>
        <v>0</v>
      </c>
      <c r="R33" s="33">
        <f>ROUND('Anexo 13'!R33*'Anexo 3'!$D$10,0)</f>
        <v>0</v>
      </c>
      <c r="S33" s="33">
        <f>ROUND('Anexo 13'!S33*'Anexo 3'!$D$10,0)</f>
        <v>0</v>
      </c>
      <c r="T33" s="33">
        <f>ROUND('Anexo 13'!T33*'Anexo 3'!$D$10,0)</f>
        <v>0</v>
      </c>
      <c r="U33" s="33">
        <f>ROUND('Anexo 13'!U33*'Anexo 3'!$D$10,0)</f>
        <v>0</v>
      </c>
      <c r="V33" s="33">
        <f>ROUND('Anexo 13'!V33*'Anexo 3'!$D$10,0)</f>
        <v>0</v>
      </c>
      <c r="W33" s="33">
        <f>ROUND('Anexo 13'!W33*'Anexo 3'!$D$10,0)</f>
        <v>0</v>
      </c>
      <c r="X33" s="33">
        <f>ROUND('Anexo 13'!X33*'Anexo 3'!$D$10,0)</f>
        <v>0</v>
      </c>
      <c r="Y33" s="33">
        <f>ROUND('Anexo 13'!Y33*'Anexo 3'!$D$10,0)</f>
        <v>0</v>
      </c>
      <c r="Z33" s="33">
        <f>ROUND('Anexo 13'!Z33*'Anexo 3'!$D$10,0)</f>
        <v>0</v>
      </c>
      <c r="AA33" s="35">
        <f t="shared" si="0"/>
        <v>0</v>
      </c>
      <c r="AB33" s="19">
        <v>21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ROUND('Anexo 13'!C34*'Anexo 3'!$D$10,0)</f>
        <v>0</v>
      </c>
      <c r="D34" s="33">
        <f>ROUND('Anexo 13'!D34*'Anexo 3'!$D$10,0)</f>
        <v>0</v>
      </c>
      <c r="E34" s="33">
        <f>ROUND('Anexo 13'!E34*'Anexo 3'!$D$10,0)</f>
        <v>0</v>
      </c>
      <c r="F34" s="33">
        <f>ROUND('Anexo 13'!F34*'Anexo 3'!$D$10,0)</f>
        <v>0</v>
      </c>
      <c r="G34" s="33">
        <f>ROUND('Anexo 13'!G34*'Anexo 3'!$D$10,0)</f>
        <v>0</v>
      </c>
      <c r="H34" s="33">
        <f>ROUND('Anexo 13'!H34*'Anexo 3'!$D$10,0)</f>
        <v>0</v>
      </c>
      <c r="I34" s="33">
        <f>ROUND('Anexo 13'!I34*'Anexo 3'!$D$10,0)</f>
        <v>0</v>
      </c>
      <c r="J34" s="33">
        <f>ROUND('Anexo 13'!J34*'Anexo 3'!$D$10,0)</f>
        <v>0</v>
      </c>
      <c r="K34" s="33">
        <f>ROUND('Anexo 13'!K34*'Anexo 3'!$D$10,0)</f>
        <v>0</v>
      </c>
      <c r="L34" s="33">
        <f>ROUND('Anexo 13'!L34*'Anexo 3'!$D$10,0)</f>
        <v>0</v>
      </c>
      <c r="M34" s="33">
        <f>ROUND('Anexo 13'!M34*'Anexo 3'!$D$10,0)</f>
        <v>0</v>
      </c>
      <c r="N34" s="33">
        <f>ROUND('Anexo 13'!N34*'Anexo 3'!$D$10,0)</f>
        <v>0</v>
      </c>
      <c r="O34" s="33">
        <f>ROUND('Anexo 13'!O34*'Anexo 3'!$D$10,0)</f>
        <v>0</v>
      </c>
      <c r="P34" s="33">
        <f>ROUND('Anexo 13'!P34*'Anexo 3'!$D$10,0)</f>
        <v>0</v>
      </c>
      <c r="Q34" s="33">
        <f>ROUND('Anexo 13'!Q34*'Anexo 3'!$D$10,0)</f>
        <v>0</v>
      </c>
      <c r="R34" s="33">
        <f>ROUND('Anexo 13'!R34*'Anexo 3'!$D$10,0)</f>
        <v>0</v>
      </c>
      <c r="S34" s="33">
        <f>ROUND('Anexo 13'!S34*'Anexo 3'!$D$10,0)</f>
        <v>0</v>
      </c>
      <c r="T34" s="33">
        <f>ROUND('Anexo 13'!T34*'Anexo 3'!$D$10,0)</f>
        <v>0</v>
      </c>
      <c r="U34" s="33">
        <f>ROUND('Anexo 13'!U34*'Anexo 3'!$D$10,0)</f>
        <v>0</v>
      </c>
      <c r="V34" s="33">
        <f>ROUND('Anexo 13'!V34*'Anexo 3'!$D$10,0)</f>
        <v>0</v>
      </c>
      <c r="W34" s="33">
        <f>ROUND('Anexo 13'!W34*'Anexo 3'!$D$10,0)</f>
        <v>0</v>
      </c>
      <c r="X34" s="33">
        <f>ROUND('Anexo 13'!X34*'Anexo 3'!$D$10,0)</f>
        <v>0</v>
      </c>
      <c r="Y34" s="33">
        <f>ROUND('Anexo 13'!Y34*'Anexo 3'!$D$10,0)</f>
        <v>0</v>
      </c>
      <c r="Z34" s="33">
        <f>ROUND('Anexo 13'!Z34*'Anexo 3'!$D$10,0)</f>
        <v>0</v>
      </c>
      <c r="AA34" s="38">
        <f t="shared" si="0"/>
        <v>0</v>
      </c>
      <c r="AB34" s="21">
        <v>4</v>
      </c>
      <c r="AC34" s="95"/>
      <c r="AD34" s="47"/>
    </row>
    <row r="35" spans="1:30" ht="15.75" thickBot="1" x14ac:dyDescent="0.3">
      <c r="A35" s="93"/>
      <c r="B35" s="22" t="s">
        <v>3</v>
      </c>
      <c r="C35" s="33">
        <f>ROUND('Anexo 13'!C35*'Anexo 3'!$D$10,0)</f>
        <v>0</v>
      </c>
      <c r="D35" s="33">
        <f>ROUND('Anexo 13'!D35*'Anexo 3'!$D$10,0)</f>
        <v>0</v>
      </c>
      <c r="E35" s="33">
        <f>ROUND('Anexo 13'!E35*'Anexo 3'!$D$10,0)</f>
        <v>0</v>
      </c>
      <c r="F35" s="33">
        <f>ROUND('Anexo 13'!F35*'Anexo 3'!$D$10,0)</f>
        <v>0</v>
      </c>
      <c r="G35" s="33">
        <f>ROUND('Anexo 13'!G35*'Anexo 3'!$D$10,0)</f>
        <v>0</v>
      </c>
      <c r="H35" s="33">
        <f>ROUND('Anexo 13'!H35*'Anexo 3'!$D$10,0)</f>
        <v>0</v>
      </c>
      <c r="I35" s="33">
        <f>ROUND('Anexo 13'!I35*'Anexo 3'!$D$10,0)</f>
        <v>0</v>
      </c>
      <c r="J35" s="33">
        <f>ROUND('Anexo 13'!J35*'Anexo 3'!$D$10,0)</f>
        <v>0</v>
      </c>
      <c r="K35" s="33">
        <f>ROUND('Anexo 13'!K35*'Anexo 3'!$D$10,0)</f>
        <v>0</v>
      </c>
      <c r="L35" s="33">
        <f>ROUND('Anexo 13'!L35*'Anexo 3'!$D$10,0)</f>
        <v>0</v>
      </c>
      <c r="M35" s="33">
        <f>ROUND('Anexo 13'!M35*'Anexo 3'!$D$10,0)</f>
        <v>0</v>
      </c>
      <c r="N35" s="33">
        <f>ROUND('Anexo 13'!N35*'Anexo 3'!$D$10,0)</f>
        <v>0</v>
      </c>
      <c r="O35" s="33">
        <f>ROUND('Anexo 13'!O35*'Anexo 3'!$D$10,0)</f>
        <v>0</v>
      </c>
      <c r="P35" s="33">
        <f>ROUND('Anexo 13'!P35*'Anexo 3'!$D$10,0)</f>
        <v>0</v>
      </c>
      <c r="Q35" s="33">
        <f>ROUND('Anexo 13'!Q35*'Anexo 3'!$D$10,0)</f>
        <v>0</v>
      </c>
      <c r="R35" s="33">
        <f>ROUND('Anexo 13'!R35*'Anexo 3'!$D$10,0)</f>
        <v>0</v>
      </c>
      <c r="S35" s="33">
        <f>ROUND('Anexo 13'!S35*'Anexo 3'!$D$10,0)</f>
        <v>0</v>
      </c>
      <c r="T35" s="33">
        <f>ROUND('Anexo 13'!T35*'Anexo 3'!$D$10,0)</f>
        <v>0</v>
      </c>
      <c r="U35" s="33">
        <f>ROUND('Anexo 13'!U35*'Anexo 3'!$D$10,0)</f>
        <v>0</v>
      </c>
      <c r="V35" s="33">
        <f>ROUND('Anexo 13'!V35*'Anexo 3'!$D$10,0)</f>
        <v>0</v>
      </c>
      <c r="W35" s="33">
        <f>ROUND('Anexo 13'!W35*'Anexo 3'!$D$10,0)</f>
        <v>0</v>
      </c>
      <c r="X35" s="33">
        <f>ROUND('Anexo 13'!X35*'Anexo 3'!$D$10,0)</f>
        <v>0</v>
      </c>
      <c r="Y35" s="33">
        <f>ROUND('Anexo 13'!Y35*'Anexo 3'!$D$10,0)</f>
        <v>0</v>
      </c>
      <c r="Z35" s="33">
        <f>ROUND('Anexo 13'!Z35*'Anexo 3'!$D$10,0)</f>
        <v>0</v>
      </c>
      <c r="AA35" s="41">
        <f t="shared" si="0"/>
        <v>0</v>
      </c>
      <c r="AB35" s="23">
        <v>6</v>
      </c>
      <c r="AC35" s="96"/>
      <c r="AD35" s="48"/>
    </row>
    <row r="36" spans="1:30" ht="15.75" thickBot="1" x14ac:dyDescent="0.3">
      <c r="A36" s="93">
        <v>47058</v>
      </c>
      <c r="B36" s="18" t="s">
        <v>5</v>
      </c>
      <c r="C36" s="33">
        <f>ROUND('Anexo 13'!C36*'Anexo 3'!$D$10,0)</f>
        <v>0</v>
      </c>
      <c r="D36" s="33">
        <f>ROUND('Anexo 13'!D36*'Anexo 3'!$D$10,0)</f>
        <v>0</v>
      </c>
      <c r="E36" s="33">
        <f>ROUND('Anexo 13'!E36*'Anexo 3'!$D$10,0)</f>
        <v>0</v>
      </c>
      <c r="F36" s="33">
        <f>ROUND('Anexo 13'!F36*'Anexo 3'!$D$10,0)</f>
        <v>0</v>
      </c>
      <c r="G36" s="33">
        <f>ROUND('Anexo 13'!G36*'Anexo 3'!$D$10,0)</f>
        <v>0</v>
      </c>
      <c r="H36" s="33">
        <f>ROUND('Anexo 13'!H36*'Anexo 3'!$D$10,0)</f>
        <v>0</v>
      </c>
      <c r="I36" s="33">
        <f>ROUND('Anexo 13'!I36*'Anexo 3'!$D$10,0)</f>
        <v>0</v>
      </c>
      <c r="J36" s="33">
        <f>ROUND('Anexo 13'!J36*'Anexo 3'!$D$10,0)</f>
        <v>0</v>
      </c>
      <c r="K36" s="33">
        <f>ROUND('Anexo 13'!K36*'Anexo 3'!$D$10,0)</f>
        <v>0</v>
      </c>
      <c r="L36" s="33">
        <f>ROUND('Anexo 13'!L36*'Anexo 3'!$D$10,0)</f>
        <v>0</v>
      </c>
      <c r="M36" s="33">
        <f>ROUND('Anexo 13'!M36*'Anexo 3'!$D$10,0)</f>
        <v>0</v>
      </c>
      <c r="N36" s="33">
        <f>ROUND('Anexo 13'!N36*'Anexo 3'!$D$10,0)</f>
        <v>0</v>
      </c>
      <c r="O36" s="33">
        <f>ROUND('Anexo 13'!O36*'Anexo 3'!$D$10,0)</f>
        <v>0</v>
      </c>
      <c r="P36" s="33">
        <f>ROUND('Anexo 13'!P36*'Anexo 3'!$D$10,0)</f>
        <v>0</v>
      </c>
      <c r="Q36" s="33">
        <f>ROUND('Anexo 13'!Q36*'Anexo 3'!$D$10,0)</f>
        <v>0</v>
      </c>
      <c r="R36" s="33">
        <f>ROUND('Anexo 13'!R36*'Anexo 3'!$D$10,0)</f>
        <v>0</v>
      </c>
      <c r="S36" s="33">
        <f>ROUND('Anexo 13'!S36*'Anexo 3'!$D$10,0)</f>
        <v>0</v>
      </c>
      <c r="T36" s="33">
        <f>ROUND('Anexo 13'!T36*'Anexo 3'!$D$10,0)</f>
        <v>0</v>
      </c>
      <c r="U36" s="33">
        <f>ROUND('Anexo 13'!U36*'Anexo 3'!$D$10,0)</f>
        <v>0</v>
      </c>
      <c r="V36" s="33">
        <f>ROUND('Anexo 13'!V36*'Anexo 3'!$D$10,0)</f>
        <v>0</v>
      </c>
      <c r="W36" s="33">
        <f>ROUND('Anexo 13'!W36*'Anexo 3'!$D$10,0)</f>
        <v>0</v>
      </c>
      <c r="X36" s="33">
        <f>ROUND('Anexo 13'!X36*'Anexo 3'!$D$10,0)</f>
        <v>0</v>
      </c>
      <c r="Y36" s="33">
        <f>ROUND('Anexo 13'!Y36*'Anexo 3'!$D$10,0)</f>
        <v>0</v>
      </c>
      <c r="Z36" s="33">
        <f>ROUND('Anexo 13'!Z36*'Anexo 3'!$D$10,0)</f>
        <v>0</v>
      </c>
      <c r="AA36" s="35">
        <f t="shared" si="0"/>
        <v>0</v>
      </c>
      <c r="AB36" s="19">
        <v>20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ROUND('Anexo 13'!C37*'Anexo 3'!$D$10,0)</f>
        <v>0</v>
      </c>
      <c r="D37" s="33">
        <f>ROUND('Anexo 13'!D37*'Anexo 3'!$D$10,0)</f>
        <v>0</v>
      </c>
      <c r="E37" s="33">
        <f>ROUND('Anexo 13'!E37*'Anexo 3'!$D$10,0)</f>
        <v>0</v>
      </c>
      <c r="F37" s="33">
        <f>ROUND('Anexo 13'!F37*'Anexo 3'!$D$10,0)</f>
        <v>0</v>
      </c>
      <c r="G37" s="33">
        <f>ROUND('Anexo 13'!G37*'Anexo 3'!$D$10,0)</f>
        <v>0</v>
      </c>
      <c r="H37" s="33">
        <f>ROUND('Anexo 13'!H37*'Anexo 3'!$D$10,0)</f>
        <v>0</v>
      </c>
      <c r="I37" s="33">
        <f>ROUND('Anexo 13'!I37*'Anexo 3'!$D$10,0)</f>
        <v>0</v>
      </c>
      <c r="J37" s="33">
        <f>ROUND('Anexo 13'!J37*'Anexo 3'!$D$10,0)</f>
        <v>0</v>
      </c>
      <c r="K37" s="33">
        <f>ROUND('Anexo 13'!K37*'Anexo 3'!$D$10,0)</f>
        <v>0</v>
      </c>
      <c r="L37" s="33">
        <f>ROUND('Anexo 13'!L37*'Anexo 3'!$D$10,0)</f>
        <v>0</v>
      </c>
      <c r="M37" s="33">
        <f>ROUND('Anexo 13'!M37*'Anexo 3'!$D$10,0)</f>
        <v>0</v>
      </c>
      <c r="N37" s="33">
        <f>ROUND('Anexo 13'!N37*'Anexo 3'!$D$10,0)</f>
        <v>0</v>
      </c>
      <c r="O37" s="33">
        <f>ROUND('Anexo 13'!O37*'Anexo 3'!$D$10,0)</f>
        <v>0</v>
      </c>
      <c r="P37" s="33">
        <f>ROUND('Anexo 13'!P37*'Anexo 3'!$D$10,0)</f>
        <v>0</v>
      </c>
      <c r="Q37" s="33">
        <f>ROUND('Anexo 13'!Q37*'Anexo 3'!$D$10,0)</f>
        <v>0</v>
      </c>
      <c r="R37" s="33">
        <f>ROUND('Anexo 13'!R37*'Anexo 3'!$D$10,0)</f>
        <v>0</v>
      </c>
      <c r="S37" s="33">
        <f>ROUND('Anexo 13'!S37*'Anexo 3'!$D$10,0)</f>
        <v>0</v>
      </c>
      <c r="T37" s="33">
        <f>ROUND('Anexo 13'!T37*'Anexo 3'!$D$10,0)</f>
        <v>0</v>
      </c>
      <c r="U37" s="33">
        <f>ROUND('Anexo 13'!U37*'Anexo 3'!$D$10,0)</f>
        <v>0</v>
      </c>
      <c r="V37" s="33">
        <f>ROUND('Anexo 13'!V37*'Anexo 3'!$D$10,0)</f>
        <v>0</v>
      </c>
      <c r="W37" s="33">
        <f>ROUND('Anexo 13'!W37*'Anexo 3'!$D$10,0)</f>
        <v>0</v>
      </c>
      <c r="X37" s="33">
        <f>ROUND('Anexo 13'!X37*'Anexo 3'!$D$10,0)</f>
        <v>0</v>
      </c>
      <c r="Y37" s="33">
        <f>ROUND('Anexo 13'!Y37*'Anexo 3'!$D$10,0)</f>
        <v>0</v>
      </c>
      <c r="Z37" s="33">
        <f>ROUND('Anexo 13'!Z37*'Anexo 3'!$D$10,0)</f>
        <v>0</v>
      </c>
      <c r="AA37" s="38">
        <f t="shared" si="0"/>
        <v>0</v>
      </c>
      <c r="AB37" s="21">
        <v>4</v>
      </c>
      <c r="AC37" s="95"/>
      <c r="AD37" s="47"/>
    </row>
    <row r="38" spans="1:30" ht="15.75" thickBot="1" x14ac:dyDescent="0.3">
      <c r="A38" s="93"/>
      <c r="B38" s="22" t="s">
        <v>3</v>
      </c>
      <c r="C38" s="33">
        <f>ROUND('Anexo 13'!C38*'Anexo 3'!$D$10,0)</f>
        <v>0</v>
      </c>
      <c r="D38" s="33">
        <f>ROUND('Anexo 13'!D38*'Anexo 3'!$D$10,0)</f>
        <v>0</v>
      </c>
      <c r="E38" s="33">
        <f>ROUND('Anexo 13'!E38*'Anexo 3'!$D$10,0)</f>
        <v>0</v>
      </c>
      <c r="F38" s="33">
        <f>ROUND('Anexo 13'!F38*'Anexo 3'!$D$10,0)</f>
        <v>0</v>
      </c>
      <c r="G38" s="33">
        <f>ROUND('Anexo 13'!G38*'Anexo 3'!$D$10,0)</f>
        <v>0</v>
      </c>
      <c r="H38" s="33">
        <f>ROUND('Anexo 13'!H38*'Anexo 3'!$D$10,0)</f>
        <v>0</v>
      </c>
      <c r="I38" s="33">
        <f>ROUND('Anexo 13'!I38*'Anexo 3'!$D$10,0)</f>
        <v>0</v>
      </c>
      <c r="J38" s="33">
        <f>ROUND('Anexo 13'!J38*'Anexo 3'!$D$10,0)</f>
        <v>0</v>
      </c>
      <c r="K38" s="33">
        <f>ROUND('Anexo 13'!K38*'Anexo 3'!$D$10,0)</f>
        <v>0</v>
      </c>
      <c r="L38" s="33">
        <f>ROUND('Anexo 13'!L38*'Anexo 3'!$D$10,0)</f>
        <v>0</v>
      </c>
      <c r="M38" s="33">
        <f>ROUND('Anexo 13'!M38*'Anexo 3'!$D$10,0)</f>
        <v>0</v>
      </c>
      <c r="N38" s="33">
        <f>ROUND('Anexo 13'!N38*'Anexo 3'!$D$10,0)</f>
        <v>0</v>
      </c>
      <c r="O38" s="33">
        <f>ROUND('Anexo 13'!O38*'Anexo 3'!$D$10,0)</f>
        <v>0</v>
      </c>
      <c r="P38" s="33">
        <f>ROUND('Anexo 13'!P38*'Anexo 3'!$D$10,0)</f>
        <v>0</v>
      </c>
      <c r="Q38" s="33">
        <f>ROUND('Anexo 13'!Q38*'Anexo 3'!$D$10,0)</f>
        <v>0</v>
      </c>
      <c r="R38" s="33">
        <f>ROUND('Anexo 13'!R38*'Anexo 3'!$D$10,0)</f>
        <v>0</v>
      </c>
      <c r="S38" s="33">
        <f>ROUND('Anexo 13'!S38*'Anexo 3'!$D$10,0)</f>
        <v>0</v>
      </c>
      <c r="T38" s="33">
        <f>ROUND('Anexo 13'!T38*'Anexo 3'!$D$10,0)</f>
        <v>0</v>
      </c>
      <c r="U38" s="33">
        <f>ROUND('Anexo 13'!U38*'Anexo 3'!$D$10,0)</f>
        <v>0</v>
      </c>
      <c r="V38" s="33">
        <f>ROUND('Anexo 13'!V38*'Anexo 3'!$D$10,0)</f>
        <v>0</v>
      </c>
      <c r="W38" s="33">
        <f>ROUND('Anexo 13'!W38*'Anexo 3'!$D$10,0)</f>
        <v>0</v>
      </c>
      <c r="X38" s="33">
        <f>ROUND('Anexo 13'!X38*'Anexo 3'!$D$10,0)</f>
        <v>0</v>
      </c>
      <c r="Y38" s="33">
        <f>ROUND('Anexo 13'!Y38*'Anexo 3'!$D$10,0)</f>
        <v>0</v>
      </c>
      <c r="Z38" s="33">
        <f>ROUND('Anexo 13'!Z38*'Anexo 3'!$D$10,0)</f>
        <v>0</v>
      </c>
      <c r="AA38" s="41">
        <f t="shared" si="0"/>
        <v>0</v>
      </c>
      <c r="AB38" s="23">
        <v>6</v>
      </c>
      <c r="AC38" s="96"/>
      <c r="AD38" s="49"/>
    </row>
    <row r="39" spans="1:30" ht="15.75" thickBot="1" x14ac:dyDescent="0.3">
      <c r="A39" s="93">
        <v>47088</v>
      </c>
      <c r="B39" s="18" t="s">
        <v>5</v>
      </c>
      <c r="C39" s="33">
        <f>ROUND('Anexo 13'!C39*'Anexo 3'!$D$10,0)</f>
        <v>0</v>
      </c>
      <c r="D39" s="33">
        <f>ROUND('Anexo 13'!D39*'Anexo 3'!$D$10,0)</f>
        <v>0</v>
      </c>
      <c r="E39" s="33">
        <f>ROUND('Anexo 13'!E39*'Anexo 3'!$D$10,0)</f>
        <v>0</v>
      </c>
      <c r="F39" s="33">
        <f>ROUND('Anexo 13'!F39*'Anexo 3'!$D$10,0)</f>
        <v>0</v>
      </c>
      <c r="G39" s="33">
        <f>ROUND('Anexo 13'!G39*'Anexo 3'!$D$10,0)</f>
        <v>0</v>
      </c>
      <c r="H39" s="33">
        <f>ROUND('Anexo 13'!H39*'Anexo 3'!$D$10,0)</f>
        <v>0</v>
      </c>
      <c r="I39" s="33">
        <f>ROUND('Anexo 13'!I39*'Anexo 3'!$D$10,0)</f>
        <v>0</v>
      </c>
      <c r="J39" s="33">
        <f>ROUND('Anexo 13'!J39*'Anexo 3'!$D$10,0)</f>
        <v>0</v>
      </c>
      <c r="K39" s="33">
        <f>ROUND('Anexo 13'!K39*'Anexo 3'!$D$10,0)</f>
        <v>0</v>
      </c>
      <c r="L39" s="33">
        <f>ROUND('Anexo 13'!L39*'Anexo 3'!$D$10,0)</f>
        <v>0</v>
      </c>
      <c r="M39" s="33">
        <f>ROUND('Anexo 13'!M39*'Anexo 3'!$D$10,0)</f>
        <v>0</v>
      </c>
      <c r="N39" s="33">
        <f>ROUND('Anexo 13'!N39*'Anexo 3'!$D$10,0)</f>
        <v>0</v>
      </c>
      <c r="O39" s="33">
        <f>ROUND('Anexo 13'!O39*'Anexo 3'!$D$10,0)</f>
        <v>0</v>
      </c>
      <c r="P39" s="33">
        <f>ROUND('Anexo 13'!P39*'Anexo 3'!$D$10,0)</f>
        <v>0</v>
      </c>
      <c r="Q39" s="33">
        <f>ROUND('Anexo 13'!Q39*'Anexo 3'!$D$10,0)</f>
        <v>0</v>
      </c>
      <c r="R39" s="33">
        <f>ROUND('Anexo 13'!R39*'Anexo 3'!$D$10,0)</f>
        <v>0</v>
      </c>
      <c r="S39" s="33">
        <f>ROUND('Anexo 13'!S39*'Anexo 3'!$D$10,0)</f>
        <v>0</v>
      </c>
      <c r="T39" s="33">
        <f>ROUND('Anexo 13'!T39*'Anexo 3'!$D$10,0)</f>
        <v>0</v>
      </c>
      <c r="U39" s="33">
        <f>ROUND('Anexo 13'!U39*'Anexo 3'!$D$10,0)</f>
        <v>0</v>
      </c>
      <c r="V39" s="33">
        <f>ROUND('Anexo 13'!V39*'Anexo 3'!$D$10,0)</f>
        <v>0</v>
      </c>
      <c r="W39" s="33">
        <f>ROUND('Anexo 13'!W39*'Anexo 3'!$D$10,0)</f>
        <v>0</v>
      </c>
      <c r="X39" s="33">
        <f>ROUND('Anexo 13'!X39*'Anexo 3'!$D$10,0)</f>
        <v>0</v>
      </c>
      <c r="Y39" s="33">
        <f>ROUND('Anexo 13'!Y39*'Anexo 3'!$D$10,0)</f>
        <v>0</v>
      </c>
      <c r="Z39" s="33">
        <f>ROUND('Anexo 13'!Z39*'Anexo 3'!$D$10,0)</f>
        <v>0</v>
      </c>
      <c r="AA39" s="35">
        <f t="shared" si="0"/>
        <v>0</v>
      </c>
      <c r="AB39" s="19">
        <v>19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ROUND('Anexo 13'!C40*'Anexo 3'!$D$10,0)</f>
        <v>0</v>
      </c>
      <c r="D40" s="33">
        <f>ROUND('Anexo 13'!D40*'Anexo 3'!$D$10,0)</f>
        <v>0</v>
      </c>
      <c r="E40" s="33">
        <f>ROUND('Anexo 13'!E40*'Anexo 3'!$D$10,0)</f>
        <v>0</v>
      </c>
      <c r="F40" s="33">
        <f>ROUND('Anexo 13'!F40*'Anexo 3'!$D$10,0)</f>
        <v>0</v>
      </c>
      <c r="G40" s="33">
        <f>ROUND('Anexo 13'!G40*'Anexo 3'!$D$10,0)</f>
        <v>0</v>
      </c>
      <c r="H40" s="33">
        <f>ROUND('Anexo 13'!H40*'Anexo 3'!$D$10,0)</f>
        <v>0</v>
      </c>
      <c r="I40" s="33">
        <f>ROUND('Anexo 13'!I40*'Anexo 3'!$D$10,0)</f>
        <v>0</v>
      </c>
      <c r="J40" s="33">
        <f>ROUND('Anexo 13'!J40*'Anexo 3'!$D$10,0)</f>
        <v>0</v>
      </c>
      <c r="K40" s="33">
        <f>ROUND('Anexo 13'!K40*'Anexo 3'!$D$10,0)</f>
        <v>0</v>
      </c>
      <c r="L40" s="33">
        <f>ROUND('Anexo 13'!L40*'Anexo 3'!$D$10,0)</f>
        <v>0</v>
      </c>
      <c r="M40" s="33">
        <f>ROUND('Anexo 13'!M40*'Anexo 3'!$D$10,0)</f>
        <v>0</v>
      </c>
      <c r="N40" s="33">
        <f>ROUND('Anexo 13'!N40*'Anexo 3'!$D$10,0)</f>
        <v>0</v>
      </c>
      <c r="O40" s="33">
        <f>ROUND('Anexo 13'!O40*'Anexo 3'!$D$10,0)</f>
        <v>0</v>
      </c>
      <c r="P40" s="33">
        <f>ROUND('Anexo 13'!P40*'Anexo 3'!$D$10,0)</f>
        <v>0</v>
      </c>
      <c r="Q40" s="33">
        <f>ROUND('Anexo 13'!Q40*'Anexo 3'!$D$10,0)</f>
        <v>0</v>
      </c>
      <c r="R40" s="33">
        <f>ROUND('Anexo 13'!R40*'Anexo 3'!$D$10,0)</f>
        <v>0</v>
      </c>
      <c r="S40" s="33">
        <f>ROUND('Anexo 13'!S40*'Anexo 3'!$D$10,0)</f>
        <v>0</v>
      </c>
      <c r="T40" s="33">
        <f>ROUND('Anexo 13'!T40*'Anexo 3'!$D$10,0)</f>
        <v>0</v>
      </c>
      <c r="U40" s="33">
        <f>ROUND('Anexo 13'!U40*'Anexo 3'!$D$10,0)</f>
        <v>0</v>
      </c>
      <c r="V40" s="33">
        <f>ROUND('Anexo 13'!V40*'Anexo 3'!$D$10,0)</f>
        <v>0</v>
      </c>
      <c r="W40" s="33">
        <f>ROUND('Anexo 13'!W40*'Anexo 3'!$D$10,0)</f>
        <v>0</v>
      </c>
      <c r="X40" s="33">
        <f>ROUND('Anexo 13'!X40*'Anexo 3'!$D$10,0)</f>
        <v>0</v>
      </c>
      <c r="Y40" s="33">
        <f>ROUND('Anexo 13'!Y40*'Anexo 3'!$D$10,0)</f>
        <v>0</v>
      </c>
      <c r="Z40" s="33">
        <f>ROUND('Anexo 13'!Z40*'Anexo 3'!$D$10,0)</f>
        <v>0</v>
      </c>
      <c r="AA40" s="38">
        <f t="shared" si="0"/>
        <v>0</v>
      </c>
      <c r="AB40" s="21">
        <v>5</v>
      </c>
      <c r="AC40" s="95"/>
      <c r="AD40" s="47"/>
    </row>
    <row r="41" spans="1:30" ht="15.75" thickBot="1" x14ac:dyDescent="0.3">
      <c r="A41" s="93"/>
      <c r="B41" s="22" t="s">
        <v>3</v>
      </c>
      <c r="C41" s="33">
        <f>ROUND('Anexo 13'!C41*'Anexo 3'!$D$10,0)</f>
        <v>0</v>
      </c>
      <c r="D41" s="33">
        <f>ROUND('Anexo 13'!D41*'Anexo 3'!$D$10,0)</f>
        <v>0</v>
      </c>
      <c r="E41" s="33">
        <f>ROUND('Anexo 13'!E41*'Anexo 3'!$D$10,0)</f>
        <v>0</v>
      </c>
      <c r="F41" s="33">
        <f>ROUND('Anexo 13'!F41*'Anexo 3'!$D$10,0)</f>
        <v>0</v>
      </c>
      <c r="G41" s="33">
        <f>ROUND('Anexo 13'!G41*'Anexo 3'!$D$10,0)</f>
        <v>0</v>
      </c>
      <c r="H41" s="33">
        <f>ROUND('Anexo 13'!H41*'Anexo 3'!$D$10,0)</f>
        <v>0</v>
      </c>
      <c r="I41" s="33">
        <f>ROUND('Anexo 13'!I41*'Anexo 3'!$D$10,0)</f>
        <v>0</v>
      </c>
      <c r="J41" s="33">
        <f>ROUND('Anexo 13'!J41*'Anexo 3'!$D$10,0)</f>
        <v>0</v>
      </c>
      <c r="K41" s="33">
        <f>ROUND('Anexo 13'!K41*'Anexo 3'!$D$10,0)</f>
        <v>0</v>
      </c>
      <c r="L41" s="33">
        <f>ROUND('Anexo 13'!L41*'Anexo 3'!$D$10,0)</f>
        <v>0</v>
      </c>
      <c r="M41" s="33">
        <f>ROUND('Anexo 13'!M41*'Anexo 3'!$D$10,0)</f>
        <v>0</v>
      </c>
      <c r="N41" s="33">
        <f>ROUND('Anexo 13'!N41*'Anexo 3'!$D$10,0)</f>
        <v>0</v>
      </c>
      <c r="O41" s="33">
        <f>ROUND('Anexo 13'!O41*'Anexo 3'!$D$10,0)</f>
        <v>0</v>
      </c>
      <c r="P41" s="33">
        <f>ROUND('Anexo 13'!P41*'Anexo 3'!$D$10,0)</f>
        <v>0</v>
      </c>
      <c r="Q41" s="33">
        <f>ROUND('Anexo 13'!Q41*'Anexo 3'!$D$10,0)</f>
        <v>0</v>
      </c>
      <c r="R41" s="33">
        <f>ROUND('Anexo 13'!R41*'Anexo 3'!$D$10,0)</f>
        <v>0</v>
      </c>
      <c r="S41" s="33">
        <f>ROUND('Anexo 13'!S41*'Anexo 3'!$D$10,0)</f>
        <v>0</v>
      </c>
      <c r="T41" s="33">
        <f>ROUND('Anexo 13'!T41*'Anexo 3'!$D$10,0)</f>
        <v>0</v>
      </c>
      <c r="U41" s="33">
        <f>ROUND('Anexo 13'!U41*'Anexo 3'!$D$10,0)</f>
        <v>0</v>
      </c>
      <c r="V41" s="33">
        <f>ROUND('Anexo 13'!V41*'Anexo 3'!$D$10,0)</f>
        <v>0</v>
      </c>
      <c r="W41" s="33">
        <f>ROUND('Anexo 13'!W41*'Anexo 3'!$D$10,0)</f>
        <v>0</v>
      </c>
      <c r="X41" s="33">
        <f>ROUND('Anexo 13'!X41*'Anexo 3'!$D$10,0)</f>
        <v>0</v>
      </c>
      <c r="Y41" s="33">
        <f>ROUND('Anexo 13'!Y41*'Anexo 3'!$D$10,0)</f>
        <v>0</v>
      </c>
      <c r="Z41" s="33">
        <f>ROUND('Anexo 13'!Z41*'Anexo 3'!$D$10,0)</f>
        <v>0</v>
      </c>
      <c r="AA41" s="41">
        <f t="shared" si="0"/>
        <v>0</v>
      </c>
      <c r="AB41" s="23">
        <v>7</v>
      </c>
      <c r="AC41" s="96"/>
      <c r="AD41" s="42"/>
    </row>
    <row r="42" spans="1:30" ht="15.75" thickBot="1" x14ac:dyDescent="0.3">
      <c r="A42" s="97" t="s">
        <v>2</v>
      </c>
      <c r="B42" s="98"/>
      <c r="C42" s="33">
        <f>ROUND('Anexo 13'!C42*'Anexo 3'!$D$10,0)</f>
        <v>0</v>
      </c>
      <c r="D42" s="33">
        <f>ROUND('Anexo 13'!D42*'Anexo 3'!$D$10,0)</f>
        <v>0</v>
      </c>
      <c r="E42" s="33">
        <f>ROUND('Anexo 13'!E42*'Anexo 3'!$D$10,0)</f>
        <v>0</v>
      </c>
      <c r="F42" s="33">
        <f>ROUND('Anexo 13'!F42*'Anexo 3'!$D$10,0)</f>
        <v>0</v>
      </c>
      <c r="G42" s="33">
        <f>ROUND('Anexo 13'!G42*'Anexo 3'!$D$10,0)</f>
        <v>0</v>
      </c>
      <c r="H42" s="33">
        <f>ROUND('Anexo 13'!H42*'Anexo 3'!$D$10,0)</f>
        <v>0</v>
      </c>
      <c r="I42" s="33">
        <f>ROUND('Anexo 13'!I42*'Anexo 3'!$D$10,0)</f>
        <v>0</v>
      </c>
      <c r="J42" s="33">
        <f>ROUND('Anexo 13'!J42*'Anexo 3'!$D$10,0)</f>
        <v>0</v>
      </c>
      <c r="K42" s="33">
        <f>ROUND('Anexo 13'!K42*'Anexo 3'!$D$10,0)</f>
        <v>0</v>
      </c>
      <c r="L42" s="33">
        <f>ROUND('Anexo 13'!L42*'Anexo 3'!$D$10,0)</f>
        <v>0</v>
      </c>
      <c r="M42" s="33">
        <f>ROUND('Anexo 13'!M42*'Anexo 3'!$D$10,0)</f>
        <v>0</v>
      </c>
      <c r="N42" s="33">
        <f>ROUND('Anexo 13'!N42*'Anexo 3'!$D$10,0)</f>
        <v>0</v>
      </c>
      <c r="O42" s="33">
        <f>ROUND('Anexo 13'!O42*'Anexo 3'!$D$10,0)</f>
        <v>0</v>
      </c>
      <c r="P42" s="33">
        <f>ROUND('Anexo 13'!P42*'Anexo 3'!$D$10,0)</f>
        <v>0</v>
      </c>
      <c r="Q42" s="33">
        <f>ROUND('Anexo 13'!Q42*'Anexo 3'!$D$10,0)</f>
        <v>0</v>
      </c>
      <c r="R42" s="33">
        <f>ROUND('Anexo 13'!R42*'Anexo 3'!$D$10,0)</f>
        <v>0</v>
      </c>
      <c r="S42" s="33">
        <f>ROUND('Anexo 13'!S42*'Anexo 3'!$D$10,0)</f>
        <v>0</v>
      </c>
      <c r="T42" s="33">
        <f>ROUND('Anexo 13'!T42*'Anexo 3'!$D$10,0)</f>
        <v>0</v>
      </c>
      <c r="U42" s="33">
        <f>ROUND('Anexo 13'!U42*'Anexo 3'!$D$10,0)</f>
        <v>0</v>
      </c>
      <c r="V42" s="33">
        <f>ROUND('Anexo 13'!V42*'Anexo 3'!$D$10,0)</f>
        <v>0</v>
      </c>
      <c r="W42" s="33">
        <f>ROUND('Anexo 13'!W42*'Anexo 3'!$D$10,0)</f>
        <v>0</v>
      </c>
      <c r="X42" s="33">
        <f>ROUND('Anexo 13'!X42*'Anexo 3'!$D$10,0)</f>
        <v>0</v>
      </c>
      <c r="Y42" s="33">
        <f>ROUND('Anexo 13'!Y42*'Anexo 3'!$D$10,0)</f>
        <v>0</v>
      </c>
      <c r="Z42" s="33">
        <f>ROUND('Anexo 13'!Z42*'Anexo 3'!$D$10,0)</f>
        <v>0</v>
      </c>
      <c r="AA42" s="31">
        <f t="shared" ref="AA42:AC42" si="1">+SUM(AA6:AA41)</f>
        <v>0</v>
      </c>
      <c r="AB42" s="31">
        <f t="shared" si="1"/>
        <v>366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862A-7CD6-49EB-BF2D-69CACAA52D36}">
  <sheetPr>
    <tabColor rgb="FF00B050"/>
  </sheetPr>
  <dimension ref="A1:XFD37"/>
  <sheetViews>
    <sheetView showGridLines="0" topLeftCell="A15" zoomScaleNormal="100" zoomScaleSheetLayoutView="140" workbookViewId="0">
      <selection activeCell="C29" sqref="C29"/>
    </sheetView>
  </sheetViews>
  <sheetFormatPr baseColWidth="10" defaultColWidth="11.42578125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hidden="1" customWidth="1"/>
    <col min="9" max="16383" width="0" hidden="1" customWidth="1"/>
  </cols>
  <sheetData>
    <row r="1" spans="2:8 16384:16384" x14ac:dyDescent="0.25"/>
    <row r="2" spans="2:8 16384:16384" x14ac:dyDescent="0.25"/>
    <row r="3" spans="2:8 16384:16384" x14ac:dyDescent="0.25">
      <c r="B3" s="76" t="s">
        <v>60</v>
      </c>
      <c r="C3" s="76"/>
      <c r="D3" s="76"/>
      <c r="E3" s="76"/>
      <c r="F3" s="76"/>
      <c r="G3" s="29"/>
    </row>
    <row r="4" spans="2:8 16384:16384" x14ac:dyDescent="0.25">
      <c r="B4" s="76" t="s">
        <v>44</v>
      </c>
      <c r="C4" s="76"/>
      <c r="D4" s="76"/>
      <c r="E4" s="76"/>
      <c r="F4" s="76"/>
      <c r="G4" s="29"/>
    </row>
    <row r="5" spans="2:8 16384:16384" x14ac:dyDescent="0.25">
      <c r="B5" s="76" t="s">
        <v>90</v>
      </c>
      <c r="C5" s="76"/>
      <c r="D5" s="76"/>
      <c r="E5" s="76"/>
      <c r="F5" s="76"/>
      <c r="G5" s="29"/>
    </row>
    <row r="6" spans="2:8 16384:16384" x14ac:dyDescent="0.25">
      <c r="B6" s="5"/>
      <c r="C6" s="5"/>
      <c r="D6" s="5"/>
      <c r="E6" s="5"/>
      <c r="F6" s="5"/>
      <c r="G6" s="5"/>
    </row>
    <row r="7" spans="2:8 16384:16384" x14ac:dyDescent="0.25"/>
    <row r="8" spans="2:8 16384:16384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2:8 16384:16384" ht="23.25" customHeight="1" x14ac:dyDescent="0.25">
      <c r="B9" s="78"/>
      <c r="C9" s="78"/>
      <c r="D9" s="78"/>
      <c r="E9" s="78"/>
      <c r="F9" s="78"/>
      <c r="G9" s="28"/>
    </row>
    <row r="10" spans="2:8 16384:16384" ht="15.75" thickBot="1" x14ac:dyDescent="0.3">
      <c r="B10" s="8">
        <v>47119</v>
      </c>
      <c r="C10" s="43">
        <f>+'Anexo 14'!AC6</f>
        <v>2894590</v>
      </c>
      <c r="D10" s="73"/>
      <c r="E10" s="57">
        <f>+'Cantidades Ofertadas Prod 4'!AC6</f>
        <v>0</v>
      </c>
      <c r="F10" s="99"/>
      <c r="G10" s="32"/>
      <c r="H10" s="51"/>
      <c r="XFD10" s="48"/>
    </row>
    <row r="11" spans="2:8 16384:16384" ht="15.75" thickBot="1" x14ac:dyDescent="0.3">
      <c r="B11" s="8">
        <v>47150</v>
      </c>
      <c r="C11" s="43">
        <f>+'Anexo 14'!AC9</f>
        <v>2098216</v>
      </c>
      <c r="D11" s="74"/>
      <c r="E11" s="57">
        <f>+'Cantidades Ofertadas Prod 4'!AC9</f>
        <v>0</v>
      </c>
      <c r="F11" s="100"/>
      <c r="G11" s="32"/>
      <c r="H11" s="51"/>
      <c r="XFD11" s="48"/>
    </row>
    <row r="12" spans="2:8 16384:16384" ht="15.75" thickBot="1" x14ac:dyDescent="0.3">
      <c r="B12" s="8">
        <v>47178</v>
      </c>
      <c r="C12" s="43">
        <f>+'Anexo 14'!AC12</f>
        <v>2810480</v>
      </c>
      <c r="D12" s="74"/>
      <c r="E12" s="57">
        <f>+'Cantidades Ofertadas Prod 4'!AC12</f>
        <v>0</v>
      </c>
      <c r="F12" s="100"/>
      <c r="G12" s="32"/>
      <c r="H12" s="51"/>
      <c r="XFD12" s="48"/>
    </row>
    <row r="13" spans="2:8 16384:16384" ht="15.75" thickBot="1" x14ac:dyDescent="0.3">
      <c r="B13" s="8">
        <v>47209</v>
      </c>
      <c r="C13" s="43">
        <f>+'Anexo 14'!AC15</f>
        <v>2631872</v>
      </c>
      <c r="D13" s="74"/>
      <c r="E13" s="57">
        <f>+'Cantidades Ofertadas Prod 4'!AC15</f>
        <v>0</v>
      </c>
      <c r="F13" s="100"/>
      <c r="G13" s="32"/>
      <c r="H13" s="51"/>
      <c r="XFD13" s="48"/>
    </row>
    <row r="14" spans="2:8 16384:16384" ht="15.75" thickBot="1" x14ac:dyDescent="0.3">
      <c r="B14" s="8">
        <v>47239</v>
      </c>
      <c r="C14" s="43">
        <f>+'Anexo 14'!AC18</f>
        <v>2670675</v>
      </c>
      <c r="D14" s="74"/>
      <c r="E14" s="57">
        <f>+'Cantidades Ofertadas Prod 4'!AC18</f>
        <v>0</v>
      </c>
      <c r="F14" s="100"/>
      <c r="G14" s="32"/>
      <c r="H14" s="51"/>
      <c r="XFD14" s="48"/>
    </row>
    <row r="15" spans="2:8 16384:16384" ht="15.75" thickBot="1" x14ac:dyDescent="0.3">
      <c r="B15" s="8">
        <v>47270</v>
      </c>
      <c r="C15" s="43">
        <f>+'Anexo 14'!AC21</f>
        <v>2476585</v>
      </c>
      <c r="D15" s="74"/>
      <c r="E15" s="57">
        <f>+'Cantidades Ofertadas Prod 4'!AC21</f>
        <v>0</v>
      </c>
      <c r="F15" s="100"/>
      <c r="G15" s="32"/>
      <c r="H15" s="51"/>
      <c r="XFD15" s="48"/>
    </row>
    <row r="16" spans="2:8 16384:16384" ht="15.75" thickBot="1" x14ac:dyDescent="0.3">
      <c r="B16" s="8">
        <v>47300</v>
      </c>
      <c r="C16" s="43">
        <f>+'Anexo 14'!AC24</f>
        <v>2480638</v>
      </c>
      <c r="D16" s="74"/>
      <c r="E16" s="57">
        <f>+'Cantidades Ofertadas Prod 4'!AC24</f>
        <v>0</v>
      </c>
      <c r="F16" s="100"/>
      <c r="G16" s="32"/>
      <c r="H16" s="51"/>
      <c r="XFD16" s="48"/>
    </row>
    <row r="17" spans="2:8 16384:16384" ht="15.75" thickBot="1" x14ac:dyDescent="0.3">
      <c r="B17" s="8">
        <v>47331</v>
      </c>
      <c r="C17" s="43">
        <f>+'Anexo 14'!AC27</f>
        <v>2711297</v>
      </c>
      <c r="D17" s="74"/>
      <c r="E17" s="57">
        <f>+'Cantidades Ofertadas Prod 4'!AC27</f>
        <v>0</v>
      </c>
      <c r="F17" s="100"/>
      <c r="G17" s="32"/>
      <c r="H17" s="51"/>
      <c r="XFD17" s="48"/>
    </row>
    <row r="18" spans="2:8 16384:16384" ht="15.75" thickBot="1" x14ac:dyDescent="0.3">
      <c r="B18" s="8">
        <v>47362</v>
      </c>
      <c r="C18" s="43">
        <f>+'Anexo 14'!AC30</f>
        <v>2693815</v>
      </c>
      <c r="D18" s="74"/>
      <c r="E18" s="57">
        <f>+'Cantidades Ofertadas Prod 4'!AC30</f>
        <v>0</v>
      </c>
      <c r="F18" s="100"/>
      <c r="G18" s="32"/>
      <c r="H18" s="51"/>
      <c r="XFD18" s="48"/>
    </row>
    <row r="19" spans="2:8 16384:16384" ht="15.75" thickBot="1" x14ac:dyDescent="0.3">
      <c r="B19" s="8">
        <v>47392</v>
      </c>
      <c r="C19" s="43">
        <f>+'Anexo 14'!AC33</f>
        <v>2448032</v>
      </c>
      <c r="D19" s="74"/>
      <c r="E19" s="57">
        <f>+'Cantidades Ofertadas Prod 4'!AC33</f>
        <v>0</v>
      </c>
      <c r="F19" s="100"/>
      <c r="G19" s="32"/>
      <c r="H19" s="51"/>
      <c r="XFD19" s="48"/>
    </row>
    <row r="20" spans="2:8 16384:16384" ht="15.75" thickBot="1" x14ac:dyDescent="0.3">
      <c r="B20" s="8">
        <v>47423</v>
      </c>
      <c r="C20" s="43">
        <f>+'Anexo 14'!AC36</f>
        <v>2244800</v>
      </c>
      <c r="D20" s="74"/>
      <c r="E20" s="57">
        <f>+'Cantidades Ofertadas Prod 4'!AC36</f>
        <v>0</v>
      </c>
      <c r="F20" s="100"/>
      <c r="G20" s="32"/>
      <c r="H20" s="51"/>
      <c r="XFD20" s="48"/>
    </row>
    <row r="21" spans="2:8 16384:16384" ht="15.75" thickBot="1" x14ac:dyDescent="0.3">
      <c r="B21" s="8">
        <v>47453</v>
      </c>
      <c r="C21" s="44">
        <f>+'Anexo 14'!AC39</f>
        <v>2706589</v>
      </c>
      <c r="D21" s="75"/>
      <c r="E21" s="58">
        <f>+'Cantidades Ofertadas Prod 4'!AC39</f>
        <v>0</v>
      </c>
      <c r="F21" s="101"/>
      <c r="G21" s="32"/>
      <c r="H21" s="51"/>
      <c r="XFD21" s="48"/>
    </row>
    <row r="22" spans="2:8 16384:16384" ht="28.5" customHeight="1" x14ac:dyDescent="0.25">
      <c r="B22" s="9" t="s">
        <v>0</v>
      </c>
      <c r="C22" s="10">
        <f>+SUM(C10:C21)</f>
        <v>30867589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2:8 16384:16384" ht="19.5" customHeight="1" x14ac:dyDescent="0.25">
      <c r="B23" s="7" t="s">
        <v>58</v>
      </c>
      <c r="C23" s="25"/>
      <c r="D23" s="30"/>
      <c r="E23" s="25"/>
      <c r="F23" s="26"/>
      <c r="G23" s="68"/>
      <c r="H23" s="42"/>
    </row>
    <row r="24" spans="2:8 16384:16384" ht="15" customHeight="1" x14ac:dyDescent="0.25">
      <c r="B24" s="69" t="s">
        <v>46</v>
      </c>
      <c r="C24" s="69"/>
      <c r="D24" s="69"/>
      <c r="E24" s="69"/>
      <c r="F24" s="69"/>
      <c r="G24" s="69"/>
      <c r="H24" s="42"/>
    </row>
    <row r="25" spans="2:8 16384:16384" x14ac:dyDescent="0.25">
      <c r="B25" s="7" t="s">
        <v>89</v>
      </c>
      <c r="C25" s="52"/>
      <c r="D25" s="52"/>
      <c r="E25" s="52"/>
      <c r="F25" s="52"/>
      <c r="G25" s="52"/>
      <c r="H25" s="42"/>
    </row>
    <row r="26" spans="2:8 16384:16384" x14ac:dyDescent="0.25">
      <c r="B26" s="7" t="s">
        <v>69</v>
      </c>
      <c r="C26" s="52"/>
      <c r="D26" s="52"/>
      <c r="E26" s="52"/>
      <c r="F26" s="52"/>
      <c r="G26" s="52"/>
      <c r="H26" s="42"/>
    </row>
    <row r="27" spans="2:8 16384:16384" x14ac:dyDescent="0.25">
      <c r="B27" s="7" t="s">
        <v>43</v>
      </c>
      <c r="H27" s="42"/>
    </row>
    <row r="28" spans="2:8 16384:16384" x14ac:dyDescent="0.25">
      <c r="B28" s="7" t="s">
        <v>128</v>
      </c>
      <c r="H28" s="42"/>
    </row>
    <row r="29" spans="2:8 16384:16384" x14ac:dyDescent="0.25">
      <c r="B29" s="7"/>
      <c r="C29" s="45"/>
      <c r="D29" s="26"/>
      <c r="E29" s="65"/>
      <c r="F29" s="26"/>
      <c r="G29" s="26"/>
      <c r="H29" s="42"/>
    </row>
    <row r="30" spans="2:8 16384:16384" x14ac:dyDescent="0.25">
      <c r="B30" s="7"/>
      <c r="C30" s="25"/>
      <c r="D30" s="26"/>
      <c r="E30" s="27"/>
      <c r="F30" s="26"/>
      <c r="G30" s="26"/>
      <c r="H30" s="42"/>
    </row>
    <row r="31" spans="2:8 16384:16384" x14ac:dyDescent="0.25">
      <c r="B31" s="7"/>
      <c r="C31" s="45"/>
      <c r="D31" s="26"/>
      <c r="E31" s="27"/>
      <c r="F31" s="26"/>
      <c r="G31" s="26"/>
      <c r="H31" s="42"/>
    </row>
    <row r="32" spans="2:8 16384:16384" x14ac:dyDescent="0.25">
      <c r="B32" s="7"/>
      <c r="C32" s="25"/>
      <c r="D32" s="26"/>
      <c r="E32" s="27"/>
      <c r="F32" s="26"/>
      <c r="G32" s="26"/>
      <c r="H32" s="42"/>
    </row>
    <row r="33" spans="1:8" x14ac:dyDescent="0.25">
      <c r="B33" s="60" t="s">
        <v>53</v>
      </c>
      <c r="C33" s="60"/>
      <c r="D33" s="60"/>
      <c r="E33" s="60"/>
      <c r="F33" s="26"/>
      <c r="G33" s="26"/>
      <c r="H33" s="42"/>
    </row>
    <row r="34" spans="1:8" x14ac:dyDescent="0.25">
      <c r="B34" s="61" t="s">
        <v>54</v>
      </c>
      <c r="C34" s="61"/>
      <c r="D34" s="61"/>
      <c r="E34" s="61"/>
      <c r="F34" s="26"/>
      <c r="G34" s="26"/>
      <c r="H34" s="42"/>
    </row>
    <row r="35" spans="1:8" x14ac:dyDescent="0.25">
      <c r="B35" s="61" t="s">
        <v>55</v>
      </c>
      <c r="F35" s="26"/>
      <c r="G35" s="26"/>
      <c r="H35" s="42"/>
    </row>
    <row r="36" spans="1:8" ht="15" customHeight="1" x14ac:dyDescent="0.25">
      <c r="A36" s="2"/>
      <c r="H36" s="42">
        <f t="shared" ref="H36:H37" si="0">+C36-G36</f>
        <v>0</v>
      </c>
    </row>
    <row r="37" spans="1:8" ht="15" hidden="1" customHeight="1" x14ac:dyDescent="0.25">
      <c r="A37" s="1"/>
      <c r="H37" s="42">
        <f t="shared" si="0"/>
        <v>0</v>
      </c>
    </row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XFD10:XFD21">
    <cfRule type="cellIs" dxfId="6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D8C692E0-0018-460E-88FE-104E424B83B1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4E47-61B8-4D1B-A16E-E5952644AE10}">
  <sheetPr>
    <tabColor theme="5" tint="0.79998168889431442"/>
  </sheetPr>
  <dimension ref="A1:XFC34"/>
  <sheetViews>
    <sheetView showGridLines="0" topLeftCell="A15" zoomScaleNormal="100" zoomScaleSheetLayoutView="140" workbookViewId="0">
      <selection activeCell="A12" sqref="A12"/>
    </sheetView>
  </sheetViews>
  <sheetFormatPr baseColWidth="10" defaultColWidth="0" defaultRowHeight="15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x14ac:dyDescent="0.25"/>
    <row r="2" spans="1:8" x14ac:dyDescent="0.25"/>
    <row r="3" spans="1:8" x14ac:dyDescent="0.25">
      <c r="B3" s="76" t="s">
        <v>71</v>
      </c>
      <c r="C3" s="76"/>
      <c r="D3" s="76"/>
      <c r="E3" s="76"/>
      <c r="F3" s="76"/>
      <c r="G3" s="29"/>
    </row>
    <row r="4" spans="1:8" x14ac:dyDescent="0.25">
      <c r="B4" s="76" t="s">
        <v>44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56</v>
      </c>
      <c r="D8" s="77" t="s">
        <v>66</v>
      </c>
      <c r="E8" s="77" t="s">
        <v>37</v>
      </c>
      <c r="F8" s="77" t="s">
        <v>42</v>
      </c>
      <c r="G8" s="28"/>
    </row>
    <row r="9" spans="1:8" ht="23.25" customHeight="1" x14ac:dyDescent="0.25">
      <c r="A9" s="63">
        <v>500</v>
      </c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47119</v>
      </c>
      <c r="C10" s="43">
        <f>+$A$9*A10*24</f>
        <v>372000</v>
      </c>
      <c r="D10" s="79"/>
      <c r="E10" s="57">
        <f>+$D$10*A10*24</f>
        <v>0</v>
      </c>
      <c r="F10" s="99"/>
      <c r="G10" s="32"/>
      <c r="H10" s="51"/>
    </row>
    <row r="11" spans="1:8" ht="15.75" thickBot="1" x14ac:dyDescent="0.3">
      <c r="A11" s="59">
        <v>28</v>
      </c>
      <c r="B11" s="8">
        <v>47150</v>
      </c>
      <c r="C11" s="43">
        <f t="shared" ref="C11:C21" si="0">+$A$9*A11*24</f>
        <v>336000</v>
      </c>
      <c r="D11" s="80"/>
      <c r="E11" s="57">
        <f t="shared" ref="E11:E21" si="1">+$D$10*A11*24</f>
        <v>0</v>
      </c>
      <c r="F11" s="100"/>
      <c r="G11" s="32"/>
      <c r="H11" s="51"/>
    </row>
    <row r="12" spans="1:8" ht="15.75" thickBot="1" x14ac:dyDescent="0.3">
      <c r="A12" s="59">
        <v>31</v>
      </c>
      <c r="B12" s="8">
        <v>47178</v>
      </c>
      <c r="C12" s="43">
        <f t="shared" si="0"/>
        <v>372000</v>
      </c>
      <c r="D12" s="80"/>
      <c r="E12" s="57">
        <f t="shared" si="1"/>
        <v>0</v>
      </c>
      <c r="F12" s="100"/>
      <c r="G12" s="32"/>
      <c r="H12" s="51"/>
    </row>
    <row r="13" spans="1:8" ht="15.75" thickBot="1" x14ac:dyDescent="0.3">
      <c r="A13" s="59">
        <v>30</v>
      </c>
      <c r="B13" s="8">
        <v>47209</v>
      </c>
      <c r="C13" s="43">
        <f t="shared" si="0"/>
        <v>360000</v>
      </c>
      <c r="D13" s="80"/>
      <c r="E13" s="57">
        <f t="shared" si="1"/>
        <v>0</v>
      </c>
      <c r="F13" s="100"/>
      <c r="G13" s="32"/>
      <c r="H13" s="51"/>
    </row>
    <row r="14" spans="1:8" ht="15.75" thickBot="1" x14ac:dyDescent="0.3">
      <c r="A14" s="59">
        <v>31</v>
      </c>
      <c r="B14" s="8">
        <v>47239</v>
      </c>
      <c r="C14" s="43">
        <f t="shared" si="0"/>
        <v>372000</v>
      </c>
      <c r="D14" s="80"/>
      <c r="E14" s="57">
        <f t="shared" si="1"/>
        <v>0</v>
      </c>
      <c r="F14" s="100"/>
      <c r="G14" s="32"/>
      <c r="H14" s="51"/>
    </row>
    <row r="15" spans="1:8" ht="15.75" thickBot="1" x14ac:dyDescent="0.3">
      <c r="A15" s="59">
        <v>30</v>
      </c>
      <c r="B15" s="8">
        <v>47270</v>
      </c>
      <c r="C15" s="43">
        <f t="shared" si="0"/>
        <v>360000</v>
      </c>
      <c r="D15" s="80"/>
      <c r="E15" s="57">
        <f t="shared" si="1"/>
        <v>0</v>
      </c>
      <c r="F15" s="100"/>
      <c r="G15" s="32"/>
      <c r="H15" s="51"/>
    </row>
    <row r="16" spans="1:8" ht="15.75" thickBot="1" x14ac:dyDescent="0.3">
      <c r="A16" s="59">
        <v>31</v>
      </c>
      <c r="B16" s="8">
        <v>47300</v>
      </c>
      <c r="C16" s="43">
        <f t="shared" si="0"/>
        <v>372000</v>
      </c>
      <c r="D16" s="80"/>
      <c r="E16" s="57">
        <f t="shared" si="1"/>
        <v>0</v>
      </c>
      <c r="F16" s="100"/>
      <c r="G16" s="32"/>
      <c r="H16" s="51"/>
    </row>
    <row r="17" spans="1:8" ht="15.75" thickBot="1" x14ac:dyDescent="0.3">
      <c r="A17" s="59">
        <v>31</v>
      </c>
      <c r="B17" s="8">
        <v>47331</v>
      </c>
      <c r="C17" s="43">
        <f t="shared" si="0"/>
        <v>372000</v>
      </c>
      <c r="D17" s="80"/>
      <c r="E17" s="57">
        <f t="shared" si="1"/>
        <v>0</v>
      </c>
      <c r="F17" s="100"/>
      <c r="G17" s="32"/>
      <c r="H17" s="51"/>
    </row>
    <row r="18" spans="1:8" ht="15.75" thickBot="1" x14ac:dyDescent="0.3">
      <c r="A18" s="59">
        <v>30</v>
      </c>
      <c r="B18" s="8">
        <v>47362</v>
      </c>
      <c r="C18" s="43">
        <f t="shared" si="0"/>
        <v>360000</v>
      </c>
      <c r="D18" s="80"/>
      <c r="E18" s="57">
        <f t="shared" si="1"/>
        <v>0</v>
      </c>
      <c r="F18" s="100"/>
      <c r="G18" s="32"/>
      <c r="H18" s="51"/>
    </row>
    <row r="19" spans="1:8" ht="15.75" thickBot="1" x14ac:dyDescent="0.3">
      <c r="A19" s="59">
        <v>31</v>
      </c>
      <c r="B19" s="8">
        <v>47392</v>
      </c>
      <c r="C19" s="43">
        <f t="shared" si="0"/>
        <v>372000</v>
      </c>
      <c r="D19" s="80"/>
      <c r="E19" s="57">
        <f t="shared" si="1"/>
        <v>0</v>
      </c>
      <c r="F19" s="100"/>
      <c r="G19" s="32"/>
      <c r="H19" s="45"/>
    </row>
    <row r="20" spans="1:8" ht="15.75" thickBot="1" x14ac:dyDescent="0.3">
      <c r="A20" s="59">
        <v>30</v>
      </c>
      <c r="B20" s="8">
        <v>47423</v>
      </c>
      <c r="C20" s="43">
        <f t="shared" si="0"/>
        <v>360000</v>
      </c>
      <c r="D20" s="80"/>
      <c r="E20" s="57">
        <f t="shared" si="1"/>
        <v>0</v>
      </c>
      <c r="F20" s="100"/>
      <c r="G20" s="32"/>
      <c r="H20" s="45"/>
    </row>
    <row r="21" spans="1:8" ht="15.75" thickBot="1" x14ac:dyDescent="0.3">
      <c r="A21" s="59">
        <v>31</v>
      </c>
      <c r="B21" s="8">
        <v>47453</v>
      </c>
      <c r="C21" s="43">
        <f t="shared" si="0"/>
        <v>372000</v>
      </c>
      <c r="D21" s="81"/>
      <c r="E21" s="57">
        <f t="shared" si="1"/>
        <v>0</v>
      </c>
      <c r="F21" s="101"/>
      <c r="G21" s="32"/>
      <c r="H21" s="45"/>
    </row>
    <row r="22" spans="1:8" ht="28.5" customHeight="1" x14ac:dyDescent="0.25">
      <c r="B22" s="9" t="s">
        <v>0</v>
      </c>
      <c r="C22" s="10">
        <f>+SUM(C10:C21)</f>
        <v>4380000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113</v>
      </c>
      <c r="C24" s="7"/>
      <c r="D24" s="7"/>
      <c r="E24" s="7"/>
      <c r="F24" s="7"/>
      <c r="G24" s="7"/>
      <c r="H24" s="42"/>
    </row>
    <row r="25" spans="1:8" x14ac:dyDescent="0.25">
      <c r="B25" s="7" t="s">
        <v>43</v>
      </c>
      <c r="H25" s="42"/>
    </row>
    <row r="26" spans="1:8" ht="33" customHeight="1" x14ac:dyDescent="0.25">
      <c r="B26" s="69" t="s">
        <v>68</v>
      </c>
      <c r="C26" s="69"/>
      <c r="D26" s="69"/>
      <c r="E26" s="69"/>
      <c r="F26" s="69"/>
      <c r="G26" s="69"/>
      <c r="H26" s="42"/>
    </row>
    <row r="27" spans="1:8" x14ac:dyDescent="0.25">
      <c r="B27" s="7"/>
      <c r="C27" s="54"/>
      <c r="D27" s="54"/>
      <c r="E27" s="54"/>
      <c r="F27" s="54"/>
      <c r="G27" s="54"/>
      <c r="H27" s="42"/>
    </row>
    <row r="28" spans="1:8" x14ac:dyDescent="0.25">
      <c r="B28" s="7"/>
      <c r="C28" s="54"/>
      <c r="D28" s="54"/>
      <c r="E28" s="54"/>
      <c r="F28" s="54"/>
      <c r="G28" s="54"/>
      <c r="H28" s="42"/>
    </row>
    <row r="29" spans="1:8" x14ac:dyDescent="0.25">
      <c r="B29" s="7"/>
      <c r="C29" s="4"/>
      <c r="D29" s="3"/>
      <c r="E29" s="3"/>
      <c r="F29" s="3"/>
      <c r="G29" s="3"/>
      <c r="H29" s="42"/>
    </row>
    <row r="30" spans="1:8" ht="15" customHeight="1" x14ac:dyDescent="0.25">
      <c r="A30" s="2"/>
      <c r="H30" s="42"/>
    </row>
    <row r="31" spans="1:8" ht="15" customHeight="1" x14ac:dyDescent="0.25">
      <c r="A31" s="1"/>
      <c r="B31" s="60" t="s">
        <v>53</v>
      </c>
      <c r="H31" s="42"/>
    </row>
    <row r="32" spans="1:8" ht="15" customHeight="1" x14ac:dyDescent="0.25">
      <c r="A32" s="1"/>
      <c r="B32" s="61" t="s">
        <v>54</v>
      </c>
      <c r="H32" s="42"/>
    </row>
    <row r="33" spans="2:2" x14ac:dyDescent="0.25">
      <c r="B33" s="61" t="s">
        <v>55</v>
      </c>
    </row>
    <row r="34" spans="2:2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500 kWh" sqref="D10:D21" xr:uid="{54374CE8-F01F-4EB6-84CC-ED41C96441A1}">
      <formula1>0</formula1>
      <formula2>500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A055-D181-49D7-B7D8-A176D06E368D}">
  <sheetPr>
    <tabColor rgb="FF00B050"/>
  </sheetPr>
  <dimension ref="A1:AD46"/>
  <sheetViews>
    <sheetView showGridLines="0" zoomScale="115" zoomScaleNormal="115" zoomScaleSheetLayoutView="110" workbookViewId="0">
      <pane xSplit="2" ySplit="5" topLeftCell="K41" activePane="bottomRight" state="frozen"/>
      <selection pane="topRight" activeCell="C1" sqref="C1"/>
      <selection pane="bottomLeft" activeCell="A6" sqref="A6"/>
      <selection pane="bottomRight" activeCell="A4" sqref="A4:AC4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7.140625" bestFit="1" customWidth="1"/>
    <col min="4" max="4" width="6.85546875" bestFit="1" customWidth="1"/>
    <col min="5" max="9" width="7.140625" bestFit="1" customWidth="1"/>
    <col min="10" max="10" width="6.5703125" bestFit="1" customWidth="1"/>
    <col min="11" max="11" width="7.140625" bestFit="1" customWidth="1"/>
    <col min="12" max="13" width="7.42578125" bestFit="1" customWidth="1"/>
    <col min="14" max="15" width="7.7109375" bestFit="1" customWidth="1"/>
    <col min="16" max="16" width="7.42578125" bestFit="1" customWidth="1"/>
    <col min="17" max="21" width="7.7109375" bestFit="1" customWidth="1"/>
    <col min="22" max="24" width="7.42578125" bestFit="1" customWidth="1"/>
    <col min="25" max="25" width="7.140625" bestFit="1" customWidth="1"/>
    <col min="26" max="26" width="7.4257812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62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47119</v>
      </c>
      <c r="B6" s="18" t="s">
        <v>5</v>
      </c>
      <c r="C6" s="33">
        <v>2510</v>
      </c>
      <c r="D6" s="33">
        <v>2156</v>
      </c>
      <c r="E6" s="33">
        <v>1952</v>
      </c>
      <c r="F6" s="33">
        <v>1832</v>
      </c>
      <c r="G6" s="33">
        <v>1909</v>
      </c>
      <c r="H6" s="33">
        <v>2169</v>
      </c>
      <c r="I6" s="33">
        <v>2164</v>
      </c>
      <c r="J6" s="33">
        <v>2559</v>
      </c>
      <c r="K6" s="33">
        <v>3441</v>
      </c>
      <c r="L6" s="33">
        <v>4171</v>
      </c>
      <c r="M6" s="33">
        <v>4852</v>
      </c>
      <c r="N6" s="33">
        <v>5333</v>
      </c>
      <c r="O6" s="33">
        <v>4918</v>
      </c>
      <c r="P6" s="33">
        <v>4936</v>
      </c>
      <c r="Q6" s="33">
        <v>5499</v>
      </c>
      <c r="R6" s="33">
        <v>5636</v>
      </c>
      <c r="S6" s="33">
        <v>5563</v>
      </c>
      <c r="T6" s="33">
        <v>5932</v>
      </c>
      <c r="U6" s="33">
        <v>6177</v>
      </c>
      <c r="V6" s="33">
        <v>6476</v>
      </c>
      <c r="W6" s="33">
        <v>6097</v>
      </c>
      <c r="X6" s="33">
        <v>5730</v>
      </c>
      <c r="Y6" s="33">
        <v>4893</v>
      </c>
      <c r="Z6" s="34">
        <v>3817</v>
      </c>
      <c r="AA6" s="35">
        <f>SUM(C6:Z6)</f>
        <v>100722</v>
      </c>
      <c r="AB6" s="19">
        <v>21</v>
      </c>
      <c r="AC6" s="94">
        <f>+AA6*AB6+AA7*AB7+AA8*AB8</f>
        <v>2894590</v>
      </c>
    </row>
    <row r="7" spans="1:30" ht="15.75" thickBot="1" x14ac:dyDescent="0.3">
      <c r="A7" s="93"/>
      <c r="B7" s="20" t="s">
        <v>4</v>
      </c>
      <c r="C7" s="36">
        <v>2569</v>
      </c>
      <c r="D7" s="36">
        <v>2199</v>
      </c>
      <c r="E7" s="36">
        <v>1957</v>
      </c>
      <c r="F7" s="36">
        <v>1820</v>
      </c>
      <c r="G7" s="36">
        <v>1841</v>
      </c>
      <c r="H7" s="36">
        <v>1948</v>
      </c>
      <c r="I7" s="36">
        <v>1742</v>
      </c>
      <c r="J7" s="36">
        <v>1952</v>
      </c>
      <c r="K7" s="36">
        <v>2851</v>
      </c>
      <c r="L7" s="36">
        <v>3566</v>
      </c>
      <c r="M7" s="36">
        <v>4169</v>
      </c>
      <c r="N7" s="36">
        <v>4609</v>
      </c>
      <c r="O7" s="36">
        <v>4539</v>
      </c>
      <c r="P7" s="36">
        <v>4378</v>
      </c>
      <c r="Q7" s="36">
        <v>4370</v>
      </c>
      <c r="R7" s="36">
        <v>4366</v>
      </c>
      <c r="S7" s="36">
        <v>4369</v>
      </c>
      <c r="T7" s="36">
        <v>4805</v>
      </c>
      <c r="U7" s="36">
        <v>5457</v>
      </c>
      <c r="V7" s="36">
        <v>5917</v>
      </c>
      <c r="W7" s="36">
        <v>5558</v>
      </c>
      <c r="X7" s="36">
        <v>5185</v>
      </c>
      <c r="Y7" s="36">
        <v>4585</v>
      </c>
      <c r="Z7" s="37">
        <v>3833</v>
      </c>
      <c r="AA7" s="38">
        <f t="shared" ref="AA7:AA41" si="0">SUM(C7:Z7)</f>
        <v>88585</v>
      </c>
      <c r="AB7" s="21">
        <v>4</v>
      </c>
      <c r="AC7" s="95"/>
      <c r="AD7" s="47"/>
    </row>
    <row r="8" spans="1:30" ht="15" x14ac:dyDescent="0.25">
      <c r="A8" s="93"/>
      <c r="B8" s="22" t="s">
        <v>3</v>
      </c>
      <c r="C8" s="39">
        <v>2420</v>
      </c>
      <c r="D8" s="39">
        <v>2046</v>
      </c>
      <c r="E8" s="39">
        <v>1752</v>
      </c>
      <c r="F8" s="39">
        <v>1598</v>
      </c>
      <c r="G8" s="39">
        <v>1540</v>
      </c>
      <c r="H8" s="39">
        <v>1621</v>
      </c>
      <c r="I8" s="39">
        <v>1360</v>
      </c>
      <c r="J8" s="39">
        <v>1268</v>
      </c>
      <c r="K8" s="39">
        <v>1786</v>
      </c>
      <c r="L8" s="39">
        <v>2447</v>
      </c>
      <c r="M8" s="39">
        <v>2905</v>
      </c>
      <c r="N8" s="39">
        <v>3363</v>
      </c>
      <c r="O8" s="39">
        <v>3594</v>
      </c>
      <c r="P8" s="39">
        <v>3357</v>
      </c>
      <c r="Q8" s="39">
        <v>3143</v>
      </c>
      <c r="R8" s="39">
        <v>3107</v>
      </c>
      <c r="S8" s="39">
        <v>3039</v>
      </c>
      <c r="T8" s="39">
        <v>3761</v>
      </c>
      <c r="U8" s="39">
        <v>4407</v>
      </c>
      <c r="V8" s="39">
        <v>5076</v>
      </c>
      <c r="W8" s="39">
        <v>5026</v>
      </c>
      <c r="X8" s="39">
        <v>4786</v>
      </c>
      <c r="Y8" s="39">
        <v>4123</v>
      </c>
      <c r="Z8" s="40">
        <v>3323</v>
      </c>
      <c r="AA8" s="41">
        <f t="shared" si="0"/>
        <v>70848</v>
      </c>
      <c r="AB8" s="23">
        <v>6</v>
      </c>
      <c r="AC8" s="96"/>
      <c r="AD8" s="48"/>
    </row>
    <row r="9" spans="1:30" ht="15.75" thickBot="1" x14ac:dyDescent="0.3">
      <c r="A9" s="93">
        <v>47150</v>
      </c>
      <c r="B9" s="18" t="s">
        <v>5</v>
      </c>
      <c r="C9" s="33">
        <v>1940</v>
      </c>
      <c r="D9" s="33">
        <v>1694</v>
      </c>
      <c r="E9" s="33">
        <v>1550</v>
      </c>
      <c r="F9" s="33">
        <v>1452</v>
      </c>
      <c r="G9" s="33">
        <v>1536</v>
      </c>
      <c r="H9" s="33">
        <v>2047</v>
      </c>
      <c r="I9" s="33">
        <v>1695</v>
      </c>
      <c r="J9" s="33">
        <v>1845</v>
      </c>
      <c r="K9" s="33">
        <v>2499</v>
      </c>
      <c r="L9" s="33">
        <v>3083</v>
      </c>
      <c r="M9" s="33">
        <v>3623</v>
      </c>
      <c r="N9" s="33">
        <v>4030</v>
      </c>
      <c r="O9" s="33">
        <v>3564</v>
      </c>
      <c r="P9" s="33">
        <v>3683</v>
      </c>
      <c r="Q9" s="33">
        <v>4173</v>
      </c>
      <c r="R9" s="33">
        <v>4268</v>
      </c>
      <c r="S9" s="33">
        <v>4218</v>
      </c>
      <c r="T9" s="33">
        <v>4576</v>
      </c>
      <c r="U9" s="33">
        <v>5041</v>
      </c>
      <c r="V9" s="33">
        <v>5449</v>
      </c>
      <c r="W9" s="33">
        <v>5126</v>
      </c>
      <c r="X9" s="33">
        <v>4764</v>
      </c>
      <c r="Y9" s="33">
        <v>3986</v>
      </c>
      <c r="Z9" s="34">
        <v>3018</v>
      </c>
      <c r="AA9" s="35">
        <f t="shared" si="0"/>
        <v>78860</v>
      </c>
      <c r="AB9" s="19">
        <v>20</v>
      </c>
      <c r="AC9" s="94">
        <f>+AA9*AB9+AA10*AB10+AA11*AB11</f>
        <v>2098216</v>
      </c>
    </row>
    <row r="10" spans="1:30" ht="15.75" thickBot="1" x14ac:dyDescent="0.3">
      <c r="A10" s="93"/>
      <c r="B10" s="20" t="s">
        <v>4</v>
      </c>
      <c r="C10" s="36">
        <v>2073</v>
      </c>
      <c r="D10" s="36">
        <v>1835</v>
      </c>
      <c r="E10" s="36">
        <v>1636</v>
      </c>
      <c r="F10" s="36">
        <v>1537</v>
      </c>
      <c r="G10" s="36">
        <v>1548</v>
      </c>
      <c r="H10" s="36">
        <v>1625</v>
      </c>
      <c r="I10" s="36">
        <v>1267</v>
      </c>
      <c r="J10" s="36">
        <v>1422</v>
      </c>
      <c r="K10" s="36">
        <v>2137</v>
      </c>
      <c r="L10" s="36">
        <v>2818</v>
      </c>
      <c r="M10" s="36">
        <v>3246</v>
      </c>
      <c r="N10" s="36">
        <v>3621</v>
      </c>
      <c r="O10" s="36">
        <v>3539</v>
      </c>
      <c r="P10" s="36">
        <v>3364</v>
      </c>
      <c r="Q10" s="36">
        <v>3337</v>
      </c>
      <c r="R10" s="36">
        <v>3295</v>
      </c>
      <c r="S10" s="36">
        <v>3205</v>
      </c>
      <c r="T10" s="36">
        <v>3760</v>
      </c>
      <c r="U10" s="36">
        <v>4710</v>
      </c>
      <c r="V10" s="36">
        <v>5176</v>
      </c>
      <c r="W10" s="36">
        <v>4785</v>
      </c>
      <c r="X10" s="36">
        <v>4567</v>
      </c>
      <c r="Y10" s="36">
        <v>3966</v>
      </c>
      <c r="Z10" s="37">
        <v>3260</v>
      </c>
      <c r="AA10" s="38">
        <f t="shared" si="0"/>
        <v>71729</v>
      </c>
      <c r="AB10" s="21">
        <v>4</v>
      </c>
      <c r="AC10" s="95"/>
      <c r="AD10" s="47"/>
    </row>
    <row r="11" spans="1:30" ht="15" x14ac:dyDescent="0.25">
      <c r="A11" s="93"/>
      <c r="B11" s="22" t="s">
        <v>3</v>
      </c>
      <c r="C11" s="39">
        <v>2102</v>
      </c>
      <c r="D11" s="39">
        <v>1844</v>
      </c>
      <c r="E11" s="39">
        <v>1585</v>
      </c>
      <c r="F11" s="39">
        <v>1412</v>
      </c>
      <c r="G11" s="39">
        <v>1392</v>
      </c>
      <c r="H11" s="39">
        <v>1429</v>
      </c>
      <c r="I11" s="39">
        <v>898</v>
      </c>
      <c r="J11" s="39">
        <v>808</v>
      </c>
      <c r="K11" s="39">
        <v>1259</v>
      </c>
      <c r="L11" s="39">
        <v>1817</v>
      </c>
      <c r="M11" s="39">
        <v>2212</v>
      </c>
      <c r="N11" s="39">
        <v>2581</v>
      </c>
      <c r="O11" s="39">
        <v>2703</v>
      </c>
      <c r="P11" s="39">
        <v>2613</v>
      </c>
      <c r="Q11" s="39">
        <v>2393</v>
      </c>
      <c r="R11" s="39">
        <v>2393</v>
      </c>
      <c r="S11" s="39">
        <v>2363</v>
      </c>
      <c r="T11" s="39">
        <v>2995</v>
      </c>
      <c r="U11" s="39">
        <v>3961</v>
      </c>
      <c r="V11" s="39">
        <v>4586</v>
      </c>
      <c r="W11" s="39">
        <v>4444</v>
      </c>
      <c r="X11" s="39">
        <v>4288</v>
      </c>
      <c r="Y11" s="39">
        <v>3637</v>
      </c>
      <c r="Z11" s="40">
        <v>2810</v>
      </c>
      <c r="AA11" s="41">
        <f t="shared" si="0"/>
        <v>58525</v>
      </c>
      <c r="AB11" s="23">
        <v>4</v>
      </c>
      <c r="AC11" s="96"/>
      <c r="AD11" s="48"/>
    </row>
    <row r="12" spans="1:30" ht="15.75" thickBot="1" x14ac:dyDescent="0.3">
      <c r="A12" s="93">
        <v>47178</v>
      </c>
      <c r="B12" s="18" t="s">
        <v>5</v>
      </c>
      <c r="C12" s="33">
        <v>2708</v>
      </c>
      <c r="D12" s="33">
        <v>2413</v>
      </c>
      <c r="E12" s="33">
        <v>2236</v>
      </c>
      <c r="F12" s="33">
        <v>2141</v>
      </c>
      <c r="G12" s="33">
        <v>2204</v>
      </c>
      <c r="H12" s="33">
        <v>2684</v>
      </c>
      <c r="I12" s="33">
        <v>2332</v>
      </c>
      <c r="J12" s="33">
        <v>2539</v>
      </c>
      <c r="K12" s="33">
        <v>3249</v>
      </c>
      <c r="L12" s="33">
        <v>3899</v>
      </c>
      <c r="M12" s="33">
        <v>4482</v>
      </c>
      <c r="N12" s="33">
        <v>4926</v>
      </c>
      <c r="O12" s="33">
        <v>4520</v>
      </c>
      <c r="P12" s="33">
        <v>4589</v>
      </c>
      <c r="Q12" s="33">
        <v>5087</v>
      </c>
      <c r="R12" s="33">
        <v>5169</v>
      </c>
      <c r="S12" s="33">
        <v>5078</v>
      </c>
      <c r="T12" s="33">
        <v>5423</v>
      </c>
      <c r="U12" s="33">
        <v>5974</v>
      </c>
      <c r="V12" s="33">
        <v>6503</v>
      </c>
      <c r="W12" s="33">
        <v>6195</v>
      </c>
      <c r="X12" s="33">
        <v>5852</v>
      </c>
      <c r="Y12" s="33">
        <v>4992</v>
      </c>
      <c r="Z12" s="34">
        <v>3963</v>
      </c>
      <c r="AA12" s="35">
        <f t="shared" si="0"/>
        <v>99158</v>
      </c>
      <c r="AB12" s="19">
        <v>19</v>
      </c>
      <c r="AC12" s="94">
        <f>+AA12*AB12+AA13*AB13+AA14*AB14</f>
        <v>2810480</v>
      </c>
    </row>
    <row r="13" spans="1:30" ht="15.75" thickBot="1" x14ac:dyDescent="0.3">
      <c r="A13" s="93"/>
      <c r="B13" s="20" t="s">
        <v>4</v>
      </c>
      <c r="C13" s="36">
        <v>2743</v>
      </c>
      <c r="D13" s="36">
        <v>2400</v>
      </c>
      <c r="E13" s="36">
        <v>2111</v>
      </c>
      <c r="F13" s="36">
        <v>2052</v>
      </c>
      <c r="G13" s="36">
        <v>2041</v>
      </c>
      <c r="H13" s="36">
        <v>2133</v>
      </c>
      <c r="I13" s="36">
        <v>1741</v>
      </c>
      <c r="J13" s="36">
        <v>1954</v>
      </c>
      <c r="K13" s="36">
        <v>2724</v>
      </c>
      <c r="L13" s="36">
        <v>3373</v>
      </c>
      <c r="M13" s="36">
        <v>3924</v>
      </c>
      <c r="N13" s="36">
        <v>4256</v>
      </c>
      <c r="O13" s="36">
        <v>4208</v>
      </c>
      <c r="P13" s="36">
        <v>4020</v>
      </c>
      <c r="Q13" s="36">
        <v>4001</v>
      </c>
      <c r="R13" s="36">
        <v>4038</v>
      </c>
      <c r="S13" s="36">
        <v>3930</v>
      </c>
      <c r="T13" s="36">
        <v>4416</v>
      </c>
      <c r="U13" s="36">
        <v>5254</v>
      </c>
      <c r="V13" s="36">
        <v>5828</v>
      </c>
      <c r="W13" s="36">
        <v>5589</v>
      </c>
      <c r="X13" s="36">
        <v>5228</v>
      </c>
      <c r="Y13" s="36">
        <v>4602</v>
      </c>
      <c r="Z13" s="37">
        <v>3947</v>
      </c>
      <c r="AA13" s="38">
        <f t="shared" si="0"/>
        <v>86513</v>
      </c>
      <c r="AB13" s="21">
        <v>5</v>
      </c>
      <c r="AC13" s="95"/>
      <c r="AD13" s="47"/>
    </row>
    <row r="14" spans="1:30" ht="15" x14ac:dyDescent="0.25">
      <c r="A14" s="93"/>
      <c r="B14" s="22" t="s">
        <v>3</v>
      </c>
      <c r="C14" s="39">
        <v>2730</v>
      </c>
      <c r="D14" s="39">
        <v>2399</v>
      </c>
      <c r="E14" s="39">
        <v>2122</v>
      </c>
      <c r="F14" s="39">
        <v>1913</v>
      </c>
      <c r="G14" s="39">
        <v>1806</v>
      </c>
      <c r="H14" s="39">
        <v>1858</v>
      </c>
      <c r="I14" s="39">
        <v>1279</v>
      </c>
      <c r="J14" s="39">
        <v>1192</v>
      </c>
      <c r="K14" s="39">
        <v>1737</v>
      </c>
      <c r="L14" s="39">
        <v>2237</v>
      </c>
      <c r="M14" s="39">
        <v>2633</v>
      </c>
      <c r="N14" s="39">
        <v>2977</v>
      </c>
      <c r="O14" s="39">
        <v>3245</v>
      </c>
      <c r="P14" s="39">
        <v>3027</v>
      </c>
      <c r="Q14" s="39">
        <v>2885</v>
      </c>
      <c r="R14" s="39">
        <v>2885</v>
      </c>
      <c r="S14" s="39">
        <v>2835</v>
      </c>
      <c r="T14" s="39">
        <v>3512</v>
      </c>
      <c r="U14" s="39">
        <v>4455</v>
      </c>
      <c r="V14" s="39">
        <v>5225</v>
      </c>
      <c r="W14" s="39">
        <v>5229</v>
      </c>
      <c r="X14" s="39">
        <v>4920</v>
      </c>
      <c r="Y14" s="39">
        <v>4119</v>
      </c>
      <c r="Z14" s="40">
        <v>3339</v>
      </c>
      <c r="AA14" s="41">
        <f t="shared" si="0"/>
        <v>70559</v>
      </c>
      <c r="AB14" s="23">
        <v>7</v>
      </c>
      <c r="AC14" s="96"/>
      <c r="AD14" s="45"/>
    </row>
    <row r="15" spans="1:30" ht="15.75" thickBot="1" x14ac:dyDescent="0.3">
      <c r="A15" s="93">
        <v>47209</v>
      </c>
      <c r="B15" s="18" t="s">
        <v>5</v>
      </c>
      <c r="C15" s="33">
        <v>2428</v>
      </c>
      <c r="D15" s="33">
        <v>2099</v>
      </c>
      <c r="E15" s="33">
        <v>1908</v>
      </c>
      <c r="F15" s="33">
        <v>1827</v>
      </c>
      <c r="G15" s="33">
        <v>1864</v>
      </c>
      <c r="H15" s="33">
        <v>2151</v>
      </c>
      <c r="I15" s="33">
        <v>2099</v>
      </c>
      <c r="J15" s="33">
        <v>2431</v>
      </c>
      <c r="K15" s="33">
        <v>3059</v>
      </c>
      <c r="L15" s="33">
        <v>3669</v>
      </c>
      <c r="M15" s="33">
        <v>4239</v>
      </c>
      <c r="N15" s="33">
        <v>4776</v>
      </c>
      <c r="O15" s="33">
        <v>4540</v>
      </c>
      <c r="P15" s="33">
        <v>4507</v>
      </c>
      <c r="Q15" s="33">
        <v>4756</v>
      </c>
      <c r="R15" s="33">
        <v>4795</v>
      </c>
      <c r="S15" s="33">
        <v>4655</v>
      </c>
      <c r="T15" s="33">
        <v>5226</v>
      </c>
      <c r="U15" s="33">
        <v>5794</v>
      </c>
      <c r="V15" s="33">
        <v>6188</v>
      </c>
      <c r="W15" s="33">
        <v>5920</v>
      </c>
      <c r="X15" s="33">
        <v>5491</v>
      </c>
      <c r="Y15" s="33">
        <v>4625</v>
      </c>
      <c r="Z15" s="34">
        <v>3610</v>
      </c>
      <c r="AA15" s="35">
        <f t="shared" si="0"/>
        <v>92657</v>
      </c>
      <c r="AB15" s="19">
        <v>21</v>
      </c>
      <c r="AC15" s="94">
        <f>+AA15*AB15+AA16*AB16+AA17*AB17</f>
        <v>2631872</v>
      </c>
    </row>
    <row r="16" spans="1:30" ht="15.75" thickBot="1" x14ac:dyDescent="0.3">
      <c r="A16" s="93"/>
      <c r="B16" s="20" t="s">
        <v>4</v>
      </c>
      <c r="C16" s="36">
        <v>2427</v>
      </c>
      <c r="D16" s="36">
        <v>2075</v>
      </c>
      <c r="E16" s="36">
        <v>1836</v>
      </c>
      <c r="F16" s="36">
        <v>1750</v>
      </c>
      <c r="G16" s="36">
        <v>1767</v>
      </c>
      <c r="H16" s="36">
        <v>1851</v>
      </c>
      <c r="I16" s="36">
        <v>1760</v>
      </c>
      <c r="J16" s="36">
        <v>2058</v>
      </c>
      <c r="K16" s="36">
        <v>2648</v>
      </c>
      <c r="L16" s="36">
        <v>3262</v>
      </c>
      <c r="M16" s="36">
        <v>3822</v>
      </c>
      <c r="N16" s="36">
        <v>4188</v>
      </c>
      <c r="O16" s="36">
        <v>4220</v>
      </c>
      <c r="P16" s="36">
        <v>3989</v>
      </c>
      <c r="Q16" s="36">
        <v>3975</v>
      </c>
      <c r="R16" s="36">
        <v>3980</v>
      </c>
      <c r="S16" s="36">
        <v>3984</v>
      </c>
      <c r="T16" s="36">
        <v>4724</v>
      </c>
      <c r="U16" s="36">
        <v>5462</v>
      </c>
      <c r="V16" s="36">
        <v>5746</v>
      </c>
      <c r="W16" s="36">
        <v>5404</v>
      </c>
      <c r="X16" s="36">
        <v>5003</v>
      </c>
      <c r="Y16" s="36">
        <v>4338</v>
      </c>
      <c r="Z16" s="37">
        <v>3576</v>
      </c>
      <c r="AA16" s="38">
        <f t="shared" si="0"/>
        <v>83845</v>
      </c>
      <c r="AB16" s="21">
        <v>4</v>
      </c>
      <c r="AC16" s="95"/>
      <c r="AD16" s="47"/>
    </row>
    <row r="17" spans="1:30" ht="15" x14ac:dyDescent="0.25">
      <c r="A17" s="93"/>
      <c r="B17" s="22" t="s">
        <v>3</v>
      </c>
      <c r="C17" s="39">
        <v>2285</v>
      </c>
      <c r="D17" s="39">
        <v>2036</v>
      </c>
      <c r="E17" s="39">
        <v>1715</v>
      </c>
      <c r="F17" s="39">
        <v>1558</v>
      </c>
      <c r="G17" s="39">
        <v>1510</v>
      </c>
      <c r="H17" s="39">
        <v>1537</v>
      </c>
      <c r="I17" s="39">
        <v>1367</v>
      </c>
      <c r="J17" s="39">
        <v>1395</v>
      </c>
      <c r="K17" s="39">
        <v>1878</v>
      </c>
      <c r="L17" s="39">
        <v>2424</v>
      </c>
      <c r="M17" s="39">
        <v>2791</v>
      </c>
      <c r="N17" s="39">
        <v>3092</v>
      </c>
      <c r="O17" s="39">
        <v>3327</v>
      </c>
      <c r="P17" s="39">
        <v>3328</v>
      </c>
      <c r="Q17" s="39">
        <v>3188</v>
      </c>
      <c r="R17" s="39">
        <v>3176</v>
      </c>
      <c r="S17" s="39">
        <v>3182</v>
      </c>
      <c r="T17" s="39">
        <v>3911</v>
      </c>
      <c r="U17" s="39">
        <v>4655</v>
      </c>
      <c r="V17" s="39">
        <v>5202</v>
      </c>
      <c r="W17" s="39">
        <v>5066</v>
      </c>
      <c r="X17" s="39">
        <v>4615</v>
      </c>
      <c r="Y17" s="39">
        <v>3844</v>
      </c>
      <c r="Z17" s="40">
        <v>3057</v>
      </c>
      <c r="AA17" s="41">
        <f t="shared" si="0"/>
        <v>70139</v>
      </c>
      <c r="AB17" s="23">
        <v>5</v>
      </c>
      <c r="AC17" s="96"/>
      <c r="AD17" s="48"/>
    </row>
    <row r="18" spans="1:30" ht="15.75" thickBot="1" x14ac:dyDescent="0.3">
      <c r="A18" s="93">
        <v>47239</v>
      </c>
      <c r="B18" s="18" t="s">
        <v>5</v>
      </c>
      <c r="C18" s="33">
        <v>2412</v>
      </c>
      <c r="D18" s="33">
        <v>2094</v>
      </c>
      <c r="E18" s="33">
        <v>1935</v>
      </c>
      <c r="F18" s="33">
        <v>1816</v>
      </c>
      <c r="G18" s="33">
        <v>1860</v>
      </c>
      <c r="H18" s="33">
        <v>2066</v>
      </c>
      <c r="I18" s="33">
        <v>2049</v>
      </c>
      <c r="J18" s="33">
        <v>2434</v>
      </c>
      <c r="K18" s="33">
        <v>3116</v>
      </c>
      <c r="L18" s="33">
        <v>3714</v>
      </c>
      <c r="M18" s="33">
        <v>4247</v>
      </c>
      <c r="N18" s="33">
        <v>4704</v>
      </c>
      <c r="O18" s="33">
        <v>4360</v>
      </c>
      <c r="P18" s="33">
        <v>4337</v>
      </c>
      <c r="Q18" s="33">
        <v>4613</v>
      </c>
      <c r="R18" s="33">
        <v>4638</v>
      </c>
      <c r="S18" s="33">
        <v>4576</v>
      </c>
      <c r="T18" s="33">
        <v>5113</v>
      </c>
      <c r="U18" s="33">
        <v>5817</v>
      </c>
      <c r="V18" s="33">
        <v>6144</v>
      </c>
      <c r="W18" s="33">
        <v>5882</v>
      </c>
      <c r="X18" s="33">
        <v>5417</v>
      </c>
      <c r="Y18" s="33">
        <v>4535</v>
      </c>
      <c r="Z18" s="34">
        <v>3522</v>
      </c>
      <c r="AA18" s="35">
        <f t="shared" si="0"/>
        <v>91401</v>
      </c>
      <c r="AB18" s="19">
        <v>21</v>
      </c>
      <c r="AC18" s="94">
        <f>+AA18*AB18+AA19*AB19+AA20*AB20</f>
        <v>2670675</v>
      </c>
    </row>
    <row r="19" spans="1:30" ht="15.75" thickBot="1" x14ac:dyDescent="0.3">
      <c r="A19" s="93"/>
      <c r="B19" s="20" t="s">
        <v>4</v>
      </c>
      <c r="C19" s="36">
        <v>2509</v>
      </c>
      <c r="D19" s="36">
        <v>2115</v>
      </c>
      <c r="E19" s="36">
        <v>1975</v>
      </c>
      <c r="F19" s="36">
        <v>1854</v>
      </c>
      <c r="G19" s="36">
        <v>1862</v>
      </c>
      <c r="H19" s="36">
        <v>1821</v>
      </c>
      <c r="I19" s="36">
        <v>1660</v>
      </c>
      <c r="J19" s="36">
        <v>1957</v>
      </c>
      <c r="K19" s="36">
        <v>2592</v>
      </c>
      <c r="L19" s="36">
        <v>3224</v>
      </c>
      <c r="M19" s="36">
        <v>3815</v>
      </c>
      <c r="N19" s="36">
        <v>4224</v>
      </c>
      <c r="O19" s="36">
        <v>4124</v>
      </c>
      <c r="P19" s="36">
        <v>3920</v>
      </c>
      <c r="Q19" s="36">
        <v>3889</v>
      </c>
      <c r="R19" s="36">
        <v>3892</v>
      </c>
      <c r="S19" s="36">
        <v>3785</v>
      </c>
      <c r="T19" s="36">
        <v>4491</v>
      </c>
      <c r="U19" s="36">
        <v>5481</v>
      </c>
      <c r="V19" s="36">
        <v>5944</v>
      </c>
      <c r="W19" s="36">
        <v>5584</v>
      </c>
      <c r="X19" s="36">
        <v>5125</v>
      </c>
      <c r="Y19" s="36">
        <v>4445</v>
      </c>
      <c r="Z19" s="37">
        <v>3760</v>
      </c>
      <c r="AA19" s="38">
        <f t="shared" si="0"/>
        <v>84048</v>
      </c>
      <c r="AB19" s="21">
        <v>4</v>
      </c>
      <c r="AC19" s="95"/>
      <c r="AD19" s="47"/>
    </row>
    <row r="20" spans="1:30" ht="15" x14ac:dyDescent="0.25">
      <c r="A20" s="93"/>
      <c r="B20" s="22" t="s">
        <v>3</v>
      </c>
      <c r="C20" s="39">
        <v>2480</v>
      </c>
      <c r="D20" s="39">
        <v>2120</v>
      </c>
      <c r="E20" s="39">
        <v>1854</v>
      </c>
      <c r="F20" s="39">
        <v>1704</v>
      </c>
      <c r="G20" s="39">
        <v>1680</v>
      </c>
      <c r="H20" s="39">
        <v>1583</v>
      </c>
      <c r="I20" s="39">
        <v>1213</v>
      </c>
      <c r="J20" s="39">
        <v>1316</v>
      </c>
      <c r="K20" s="39">
        <v>1844</v>
      </c>
      <c r="L20" s="39">
        <v>2393</v>
      </c>
      <c r="M20" s="39">
        <v>2707</v>
      </c>
      <c r="N20" s="39">
        <v>3006</v>
      </c>
      <c r="O20" s="39">
        <v>3192</v>
      </c>
      <c r="P20" s="39">
        <v>3079</v>
      </c>
      <c r="Q20" s="39">
        <v>3013</v>
      </c>
      <c r="R20" s="39">
        <v>2985</v>
      </c>
      <c r="S20" s="39">
        <v>2911</v>
      </c>
      <c r="T20" s="39">
        <v>3526</v>
      </c>
      <c r="U20" s="39">
        <v>4396</v>
      </c>
      <c r="V20" s="39">
        <v>5105</v>
      </c>
      <c r="W20" s="39">
        <v>5021</v>
      </c>
      <c r="X20" s="39">
        <v>4771</v>
      </c>
      <c r="Y20" s="39">
        <v>4036</v>
      </c>
      <c r="Z20" s="40">
        <v>3242</v>
      </c>
      <c r="AA20" s="41">
        <f t="shared" si="0"/>
        <v>69177</v>
      </c>
      <c r="AB20" s="23">
        <v>6</v>
      </c>
      <c r="AC20" s="96"/>
      <c r="AD20" s="48"/>
    </row>
    <row r="21" spans="1:30" ht="15.75" thickBot="1" x14ac:dyDescent="0.3">
      <c r="A21" s="93">
        <v>47270</v>
      </c>
      <c r="B21" s="18" t="s">
        <v>5</v>
      </c>
      <c r="C21" s="33">
        <v>1750</v>
      </c>
      <c r="D21" s="33">
        <v>1501</v>
      </c>
      <c r="E21" s="33">
        <v>1318</v>
      </c>
      <c r="F21" s="33">
        <v>1271</v>
      </c>
      <c r="G21" s="33">
        <v>1375</v>
      </c>
      <c r="H21" s="33">
        <v>1621</v>
      </c>
      <c r="I21" s="33">
        <v>1792</v>
      </c>
      <c r="J21" s="33">
        <v>2252</v>
      </c>
      <c r="K21" s="33">
        <v>2935</v>
      </c>
      <c r="L21" s="33">
        <v>3586</v>
      </c>
      <c r="M21" s="33">
        <v>4127</v>
      </c>
      <c r="N21" s="33">
        <v>4574</v>
      </c>
      <c r="O21" s="33">
        <v>4242</v>
      </c>
      <c r="P21" s="33">
        <v>4135</v>
      </c>
      <c r="Q21" s="33">
        <v>4512</v>
      </c>
      <c r="R21" s="33">
        <v>4624</v>
      </c>
      <c r="S21" s="33">
        <v>4472</v>
      </c>
      <c r="T21" s="33">
        <v>5008</v>
      </c>
      <c r="U21" s="33">
        <v>5351</v>
      </c>
      <c r="V21" s="33">
        <v>5820</v>
      </c>
      <c r="W21" s="33">
        <v>5512</v>
      </c>
      <c r="X21" s="33">
        <v>4986</v>
      </c>
      <c r="Y21" s="33">
        <v>4056</v>
      </c>
      <c r="Z21" s="34">
        <v>2987</v>
      </c>
      <c r="AA21" s="35">
        <f t="shared" si="0"/>
        <v>83807</v>
      </c>
      <c r="AB21" s="19">
        <v>19</v>
      </c>
      <c r="AC21" s="94">
        <f>+AA21*AB21+AA22*AB22+AA23*AB23</f>
        <v>2476585</v>
      </c>
    </row>
    <row r="22" spans="1:30" ht="15.75" thickBot="1" x14ac:dyDescent="0.3">
      <c r="A22" s="93"/>
      <c r="B22" s="20" t="s">
        <v>4</v>
      </c>
      <c r="C22" s="36">
        <v>2075</v>
      </c>
      <c r="D22" s="36">
        <v>1769</v>
      </c>
      <c r="E22" s="36">
        <v>1452</v>
      </c>
      <c r="F22" s="36">
        <v>1418</v>
      </c>
      <c r="G22" s="36">
        <v>1493</v>
      </c>
      <c r="H22" s="36">
        <v>1551</v>
      </c>
      <c r="I22" s="36">
        <v>1503</v>
      </c>
      <c r="J22" s="36">
        <v>1955</v>
      </c>
      <c r="K22" s="36">
        <v>2645</v>
      </c>
      <c r="L22" s="36">
        <v>3402</v>
      </c>
      <c r="M22" s="36">
        <v>3901</v>
      </c>
      <c r="N22" s="36">
        <v>4319</v>
      </c>
      <c r="O22" s="36">
        <v>4196</v>
      </c>
      <c r="P22" s="36">
        <v>4071</v>
      </c>
      <c r="Q22" s="36">
        <v>4015</v>
      </c>
      <c r="R22" s="36">
        <v>4068</v>
      </c>
      <c r="S22" s="36">
        <v>4048</v>
      </c>
      <c r="T22" s="36">
        <v>4623</v>
      </c>
      <c r="U22" s="36">
        <v>5269</v>
      </c>
      <c r="V22" s="36">
        <v>5786</v>
      </c>
      <c r="W22" s="36">
        <v>5381</v>
      </c>
      <c r="X22" s="36">
        <v>5024</v>
      </c>
      <c r="Y22" s="36">
        <v>4276</v>
      </c>
      <c r="Z22" s="37">
        <v>3472</v>
      </c>
      <c r="AA22" s="38">
        <f t="shared" si="0"/>
        <v>81712</v>
      </c>
      <c r="AB22" s="21">
        <v>5</v>
      </c>
      <c r="AC22" s="95"/>
      <c r="AD22" s="47"/>
    </row>
    <row r="23" spans="1:30" ht="15" x14ac:dyDescent="0.25">
      <c r="A23" s="93"/>
      <c r="B23" s="22" t="s">
        <v>3</v>
      </c>
      <c r="C23" s="39">
        <v>2338</v>
      </c>
      <c r="D23" s="39">
        <v>1943</v>
      </c>
      <c r="E23" s="39">
        <v>1688</v>
      </c>
      <c r="F23" s="39">
        <v>1549</v>
      </c>
      <c r="G23" s="39">
        <v>1579</v>
      </c>
      <c r="H23" s="39">
        <v>1638</v>
      </c>
      <c r="I23" s="39">
        <v>1662</v>
      </c>
      <c r="J23" s="39">
        <v>1921</v>
      </c>
      <c r="K23" s="39">
        <v>2535</v>
      </c>
      <c r="L23" s="39">
        <v>3171</v>
      </c>
      <c r="M23" s="39">
        <v>3562</v>
      </c>
      <c r="N23" s="39">
        <v>3982</v>
      </c>
      <c r="O23" s="39">
        <v>3937</v>
      </c>
      <c r="P23" s="39">
        <v>3881</v>
      </c>
      <c r="Q23" s="39">
        <v>3941</v>
      </c>
      <c r="R23" s="39">
        <v>3917</v>
      </c>
      <c r="S23" s="39">
        <v>3835</v>
      </c>
      <c r="T23" s="39">
        <v>4476</v>
      </c>
      <c r="U23" s="39">
        <v>4839</v>
      </c>
      <c r="V23" s="39">
        <v>5513</v>
      </c>
      <c r="W23" s="39">
        <v>5322</v>
      </c>
      <c r="X23" s="39">
        <v>4888</v>
      </c>
      <c r="Y23" s="39">
        <v>4004</v>
      </c>
      <c r="Z23" s="40">
        <v>3161</v>
      </c>
      <c r="AA23" s="41">
        <f t="shared" si="0"/>
        <v>79282</v>
      </c>
      <c r="AB23" s="23">
        <v>6</v>
      </c>
      <c r="AC23" s="96"/>
      <c r="AD23" s="48"/>
    </row>
    <row r="24" spans="1:30" ht="15.75" thickBot="1" x14ac:dyDescent="0.3">
      <c r="A24" s="93">
        <v>47300</v>
      </c>
      <c r="B24" s="18" t="s">
        <v>5</v>
      </c>
      <c r="C24" s="33">
        <v>1903</v>
      </c>
      <c r="D24" s="33">
        <v>1657</v>
      </c>
      <c r="E24" s="33">
        <v>1459</v>
      </c>
      <c r="F24" s="33">
        <v>1378</v>
      </c>
      <c r="G24" s="33">
        <v>1450</v>
      </c>
      <c r="H24" s="33">
        <v>1688</v>
      </c>
      <c r="I24" s="33">
        <v>1775</v>
      </c>
      <c r="J24" s="33">
        <v>2301</v>
      </c>
      <c r="K24" s="33">
        <v>3026</v>
      </c>
      <c r="L24" s="33">
        <v>3748</v>
      </c>
      <c r="M24" s="33">
        <v>4341</v>
      </c>
      <c r="N24" s="33">
        <v>4817</v>
      </c>
      <c r="O24" s="33">
        <v>4420</v>
      </c>
      <c r="P24" s="33">
        <v>4350</v>
      </c>
      <c r="Q24" s="33">
        <v>4860</v>
      </c>
      <c r="R24" s="33">
        <v>4967</v>
      </c>
      <c r="S24" s="33">
        <v>4842</v>
      </c>
      <c r="T24" s="33">
        <v>5258</v>
      </c>
      <c r="U24" s="33">
        <v>5370</v>
      </c>
      <c r="V24" s="33">
        <v>5867</v>
      </c>
      <c r="W24" s="33">
        <v>5585</v>
      </c>
      <c r="X24" s="33">
        <v>5147</v>
      </c>
      <c r="Y24" s="33">
        <v>4212</v>
      </c>
      <c r="Z24" s="34">
        <v>3150</v>
      </c>
      <c r="AA24" s="35">
        <f t="shared" si="0"/>
        <v>87571</v>
      </c>
      <c r="AB24" s="19">
        <v>20</v>
      </c>
      <c r="AC24" s="94">
        <f>+AA24*AB24+AA25*AB25+AA26*AB26</f>
        <v>2480638</v>
      </c>
    </row>
    <row r="25" spans="1:30" ht="15.75" thickBot="1" x14ac:dyDescent="0.3">
      <c r="A25" s="93"/>
      <c r="B25" s="20" t="s">
        <v>4</v>
      </c>
      <c r="C25" s="36">
        <v>1749</v>
      </c>
      <c r="D25" s="36">
        <v>1475</v>
      </c>
      <c r="E25" s="36">
        <v>1218</v>
      </c>
      <c r="F25" s="36">
        <v>1113</v>
      </c>
      <c r="G25" s="36">
        <v>1197</v>
      </c>
      <c r="H25" s="36">
        <v>1298</v>
      </c>
      <c r="I25" s="36">
        <v>1164</v>
      </c>
      <c r="J25" s="36">
        <v>1579</v>
      </c>
      <c r="K25" s="36">
        <v>2329</v>
      </c>
      <c r="L25" s="36">
        <v>3083</v>
      </c>
      <c r="M25" s="36">
        <v>3526</v>
      </c>
      <c r="N25" s="36">
        <v>3913</v>
      </c>
      <c r="O25" s="36">
        <v>3789</v>
      </c>
      <c r="P25" s="36">
        <v>3611</v>
      </c>
      <c r="Q25" s="36">
        <v>3498</v>
      </c>
      <c r="R25" s="36">
        <v>3544</v>
      </c>
      <c r="S25" s="36">
        <v>3523</v>
      </c>
      <c r="T25" s="36">
        <v>4137</v>
      </c>
      <c r="U25" s="36">
        <v>4695</v>
      </c>
      <c r="V25" s="36">
        <v>5243</v>
      </c>
      <c r="W25" s="36">
        <v>4923</v>
      </c>
      <c r="X25" s="36">
        <v>4570</v>
      </c>
      <c r="Y25" s="36">
        <v>3842</v>
      </c>
      <c r="Z25" s="37">
        <v>3060</v>
      </c>
      <c r="AA25" s="38">
        <f t="shared" si="0"/>
        <v>72079</v>
      </c>
      <c r="AB25" s="21">
        <v>4</v>
      </c>
      <c r="AC25" s="95"/>
      <c r="AD25" s="47"/>
    </row>
    <row r="26" spans="1:30" ht="15" x14ac:dyDescent="0.25">
      <c r="A26" s="93"/>
      <c r="B26" s="22" t="s">
        <v>3</v>
      </c>
      <c r="C26" s="39">
        <v>2005</v>
      </c>
      <c r="D26" s="39">
        <v>1715</v>
      </c>
      <c r="E26" s="39">
        <v>1439</v>
      </c>
      <c r="F26" s="39">
        <v>1229</v>
      </c>
      <c r="G26" s="39">
        <v>1211</v>
      </c>
      <c r="H26" s="39">
        <v>1141</v>
      </c>
      <c r="I26" s="39">
        <v>928</v>
      </c>
      <c r="J26" s="39">
        <v>1073</v>
      </c>
      <c r="K26" s="39">
        <v>1614</v>
      </c>
      <c r="L26" s="39">
        <v>2236</v>
      </c>
      <c r="M26" s="39">
        <v>2604</v>
      </c>
      <c r="N26" s="39">
        <v>2990</v>
      </c>
      <c r="O26" s="39">
        <v>3187</v>
      </c>
      <c r="P26" s="39">
        <v>3072</v>
      </c>
      <c r="Q26" s="39">
        <v>2895</v>
      </c>
      <c r="R26" s="39">
        <v>2784</v>
      </c>
      <c r="S26" s="39">
        <v>2844</v>
      </c>
      <c r="T26" s="39">
        <v>3499</v>
      </c>
      <c r="U26" s="39">
        <v>3999</v>
      </c>
      <c r="V26" s="39">
        <v>4834</v>
      </c>
      <c r="W26" s="39">
        <v>4780</v>
      </c>
      <c r="X26" s="39">
        <v>4410</v>
      </c>
      <c r="Y26" s="39">
        <v>3691</v>
      </c>
      <c r="Z26" s="40">
        <v>2806</v>
      </c>
      <c r="AA26" s="41">
        <f t="shared" si="0"/>
        <v>62986</v>
      </c>
      <c r="AB26" s="23">
        <v>7</v>
      </c>
      <c r="AC26" s="96"/>
      <c r="AD26" s="48"/>
    </row>
    <row r="27" spans="1:30" ht="15.75" thickBot="1" x14ac:dyDescent="0.3">
      <c r="A27" s="93">
        <v>47331</v>
      </c>
      <c r="B27" s="18" t="s">
        <v>5</v>
      </c>
      <c r="C27" s="33">
        <v>2103</v>
      </c>
      <c r="D27" s="33">
        <v>1768</v>
      </c>
      <c r="E27" s="33">
        <v>1549</v>
      </c>
      <c r="F27" s="33">
        <v>1431</v>
      </c>
      <c r="G27" s="33">
        <v>1519</v>
      </c>
      <c r="H27" s="33">
        <v>1850</v>
      </c>
      <c r="I27" s="33">
        <v>1913</v>
      </c>
      <c r="J27" s="33">
        <v>2479</v>
      </c>
      <c r="K27" s="33">
        <v>3331</v>
      </c>
      <c r="L27" s="33">
        <v>4068</v>
      </c>
      <c r="M27" s="33">
        <v>4712</v>
      </c>
      <c r="N27" s="33">
        <v>5223</v>
      </c>
      <c r="O27" s="33">
        <v>4765</v>
      </c>
      <c r="P27" s="33">
        <v>4767</v>
      </c>
      <c r="Q27" s="33">
        <v>5346</v>
      </c>
      <c r="R27" s="33">
        <v>5506</v>
      </c>
      <c r="S27" s="33">
        <v>5404</v>
      </c>
      <c r="T27" s="33">
        <v>5679</v>
      </c>
      <c r="U27" s="33">
        <v>5869</v>
      </c>
      <c r="V27" s="33">
        <v>6129</v>
      </c>
      <c r="W27" s="33">
        <v>5824</v>
      </c>
      <c r="X27" s="33">
        <v>5400</v>
      </c>
      <c r="Y27" s="33">
        <v>4452</v>
      </c>
      <c r="Z27" s="34">
        <v>3352</v>
      </c>
      <c r="AA27" s="35">
        <f t="shared" si="0"/>
        <v>94439</v>
      </c>
      <c r="AB27" s="19">
        <v>21</v>
      </c>
      <c r="AC27" s="94">
        <f>+AA27*AB27+AA28*AB28+AA29*AB29</f>
        <v>2711297</v>
      </c>
    </row>
    <row r="28" spans="1:30" ht="15.75" thickBot="1" x14ac:dyDescent="0.3">
      <c r="A28" s="93"/>
      <c r="B28" s="20" t="s">
        <v>4</v>
      </c>
      <c r="C28" s="36">
        <v>2152</v>
      </c>
      <c r="D28" s="36">
        <v>1826</v>
      </c>
      <c r="E28" s="36">
        <v>1581</v>
      </c>
      <c r="F28" s="36">
        <v>1421</v>
      </c>
      <c r="G28" s="36">
        <v>1496</v>
      </c>
      <c r="H28" s="36">
        <v>1522</v>
      </c>
      <c r="I28" s="36">
        <v>1524</v>
      </c>
      <c r="J28" s="36">
        <v>1962</v>
      </c>
      <c r="K28" s="36">
        <v>2840</v>
      </c>
      <c r="L28" s="36">
        <v>3604</v>
      </c>
      <c r="M28" s="36">
        <v>4074</v>
      </c>
      <c r="N28" s="36">
        <v>4550</v>
      </c>
      <c r="O28" s="36">
        <v>4510</v>
      </c>
      <c r="P28" s="36">
        <v>4158</v>
      </c>
      <c r="Q28" s="36">
        <v>4546</v>
      </c>
      <c r="R28" s="36">
        <v>4344</v>
      </c>
      <c r="S28" s="36">
        <v>4138</v>
      </c>
      <c r="T28" s="36">
        <v>4687</v>
      </c>
      <c r="U28" s="36">
        <v>5228</v>
      </c>
      <c r="V28" s="36">
        <v>5684</v>
      </c>
      <c r="W28" s="36">
        <v>5279</v>
      </c>
      <c r="X28" s="36">
        <v>4828</v>
      </c>
      <c r="Y28" s="36">
        <v>4166</v>
      </c>
      <c r="Z28" s="37">
        <v>3354</v>
      </c>
      <c r="AA28" s="38">
        <f t="shared" si="0"/>
        <v>83474</v>
      </c>
      <c r="AB28" s="21">
        <v>4</v>
      </c>
      <c r="AC28" s="95"/>
      <c r="AD28" s="47"/>
    </row>
    <row r="29" spans="1:30" ht="15" x14ac:dyDescent="0.25">
      <c r="A29" s="93"/>
      <c r="B29" s="22" t="s">
        <v>3</v>
      </c>
      <c r="C29" s="39">
        <v>2187</v>
      </c>
      <c r="D29" s="39">
        <v>1794</v>
      </c>
      <c r="E29" s="39">
        <v>1480</v>
      </c>
      <c r="F29" s="39">
        <v>1324</v>
      </c>
      <c r="G29" s="39">
        <v>1321</v>
      </c>
      <c r="H29" s="39">
        <v>1288</v>
      </c>
      <c r="I29" s="39">
        <v>891</v>
      </c>
      <c r="J29" s="39">
        <v>1134</v>
      </c>
      <c r="K29" s="39">
        <v>1631</v>
      </c>
      <c r="L29" s="39">
        <v>2268</v>
      </c>
      <c r="M29" s="39">
        <v>2721</v>
      </c>
      <c r="N29" s="39">
        <v>3098</v>
      </c>
      <c r="O29" s="39">
        <v>3220</v>
      </c>
      <c r="P29" s="39">
        <v>3190</v>
      </c>
      <c r="Q29" s="39">
        <v>2991</v>
      </c>
      <c r="R29" s="39">
        <v>2947</v>
      </c>
      <c r="S29" s="39">
        <v>2966</v>
      </c>
      <c r="T29" s="39">
        <v>3569</v>
      </c>
      <c r="U29" s="39">
        <v>4248</v>
      </c>
      <c r="V29" s="39">
        <v>5040</v>
      </c>
      <c r="W29" s="39">
        <v>4934</v>
      </c>
      <c r="X29" s="39">
        <v>4663</v>
      </c>
      <c r="Y29" s="39">
        <v>3857</v>
      </c>
      <c r="Z29" s="40">
        <v>2935</v>
      </c>
      <c r="AA29" s="41">
        <f t="shared" si="0"/>
        <v>65697</v>
      </c>
      <c r="AB29" s="23">
        <v>6</v>
      </c>
      <c r="AC29" s="96"/>
      <c r="AD29" s="49"/>
    </row>
    <row r="30" spans="1:30" ht="15.75" thickBot="1" x14ac:dyDescent="0.3">
      <c r="A30" s="93">
        <v>47362</v>
      </c>
      <c r="B30" s="18" t="s">
        <v>5</v>
      </c>
      <c r="C30" s="33">
        <v>2231</v>
      </c>
      <c r="D30" s="33">
        <v>1893</v>
      </c>
      <c r="E30" s="33">
        <v>1708</v>
      </c>
      <c r="F30" s="33">
        <v>1620</v>
      </c>
      <c r="G30" s="33">
        <v>1703</v>
      </c>
      <c r="H30" s="33">
        <v>1971</v>
      </c>
      <c r="I30" s="33">
        <v>2068</v>
      </c>
      <c r="J30" s="33">
        <v>2566</v>
      </c>
      <c r="K30" s="33">
        <v>3412</v>
      </c>
      <c r="L30" s="33">
        <v>4125</v>
      </c>
      <c r="M30" s="33">
        <v>4754</v>
      </c>
      <c r="N30" s="33">
        <v>5266</v>
      </c>
      <c r="O30" s="33">
        <v>4811</v>
      </c>
      <c r="P30" s="33">
        <v>4805</v>
      </c>
      <c r="Q30" s="33">
        <v>5329</v>
      </c>
      <c r="R30" s="33">
        <v>5416</v>
      </c>
      <c r="S30" s="33">
        <v>5333</v>
      </c>
      <c r="T30" s="33">
        <v>5714</v>
      </c>
      <c r="U30" s="33">
        <v>6171</v>
      </c>
      <c r="V30" s="33">
        <v>6211</v>
      </c>
      <c r="W30" s="33">
        <v>5908</v>
      </c>
      <c r="X30" s="33">
        <v>5441</v>
      </c>
      <c r="Y30" s="33">
        <v>4469</v>
      </c>
      <c r="Z30" s="34">
        <v>3435</v>
      </c>
      <c r="AA30" s="35">
        <f t="shared" si="0"/>
        <v>96360</v>
      </c>
      <c r="AB30" s="19">
        <v>20</v>
      </c>
      <c r="AC30" s="94">
        <f>+AA30*AB30+AA31*AB31+AA32*AB32</f>
        <v>2693815</v>
      </c>
    </row>
    <row r="31" spans="1:30" ht="15.75" thickBot="1" x14ac:dyDescent="0.3">
      <c r="A31" s="93"/>
      <c r="B31" s="20" t="s">
        <v>4</v>
      </c>
      <c r="C31" s="36">
        <v>2246</v>
      </c>
      <c r="D31" s="36">
        <v>1886</v>
      </c>
      <c r="E31" s="36">
        <v>1675</v>
      </c>
      <c r="F31" s="36">
        <v>1550</v>
      </c>
      <c r="G31" s="36">
        <v>1582</v>
      </c>
      <c r="H31" s="36">
        <v>1554</v>
      </c>
      <c r="I31" s="36">
        <v>1568</v>
      </c>
      <c r="J31" s="36">
        <v>1991</v>
      </c>
      <c r="K31" s="36">
        <v>2939</v>
      </c>
      <c r="L31" s="36">
        <v>3697</v>
      </c>
      <c r="M31" s="36">
        <v>4232</v>
      </c>
      <c r="N31" s="36">
        <v>4573</v>
      </c>
      <c r="O31" s="36">
        <v>4515</v>
      </c>
      <c r="P31" s="36">
        <v>4232</v>
      </c>
      <c r="Q31" s="36">
        <v>4171</v>
      </c>
      <c r="R31" s="36">
        <v>4246</v>
      </c>
      <c r="S31" s="36">
        <v>4173</v>
      </c>
      <c r="T31" s="36">
        <v>4737</v>
      </c>
      <c r="U31" s="36">
        <v>5673</v>
      </c>
      <c r="V31" s="36">
        <v>5811</v>
      </c>
      <c r="W31" s="36">
        <v>5375</v>
      </c>
      <c r="X31" s="36">
        <v>4969</v>
      </c>
      <c r="Y31" s="36">
        <v>4269</v>
      </c>
      <c r="Z31" s="37">
        <v>3518</v>
      </c>
      <c r="AA31" s="38">
        <f t="shared" si="0"/>
        <v>85182</v>
      </c>
      <c r="AB31" s="21">
        <v>5</v>
      </c>
      <c r="AC31" s="95"/>
      <c r="AD31" s="47"/>
    </row>
    <row r="32" spans="1:30" ht="15" x14ac:dyDescent="0.25">
      <c r="A32" s="93"/>
      <c r="B32" s="22" t="s">
        <v>3</v>
      </c>
      <c r="C32" s="39">
        <v>2217</v>
      </c>
      <c r="D32" s="39">
        <v>1875</v>
      </c>
      <c r="E32" s="39">
        <v>1566</v>
      </c>
      <c r="F32" s="39">
        <v>1437</v>
      </c>
      <c r="G32" s="39">
        <v>1437</v>
      </c>
      <c r="H32" s="39">
        <v>1356</v>
      </c>
      <c r="I32" s="39">
        <v>1179</v>
      </c>
      <c r="J32" s="39">
        <v>1347</v>
      </c>
      <c r="K32" s="39">
        <v>1891</v>
      </c>
      <c r="L32" s="39">
        <v>2479</v>
      </c>
      <c r="M32" s="39">
        <v>2929</v>
      </c>
      <c r="N32" s="39">
        <v>3279</v>
      </c>
      <c r="O32" s="39">
        <v>3432</v>
      </c>
      <c r="P32" s="39">
        <v>3348</v>
      </c>
      <c r="Q32" s="39">
        <v>3195</v>
      </c>
      <c r="R32" s="39">
        <v>3084</v>
      </c>
      <c r="S32" s="39">
        <v>3048</v>
      </c>
      <c r="T32" s="39">
        <v>3672</v>
      </c>
      <c r="U32" s="39">
        <v>4544</v>
      </c>
      <c r="V32" s="39">
        <v>4950</v>
      </c>
      <c r="W32" s="39">
        <v>4806</v>
      </c>
      <c r="X32" s="39">
        <v>4486</v>
      </c>
      <c r="Y32" s="39">
        <v>3689</v>
      </c>
      <c r="Z32" s="40">
        <v>2895</v>
      </c>
      <c r="AA32" s="41">
        <f t="shared" si="0"/>
        <v>68141</v>
      </c>
      <c r="AB32" s="23">
        <v>5</v>
      </c>
      <c r="AC32" s="96"/>
      <c r="AD32" s="48"/>
    </row>
    <row r="33" spans="1:30" ht="15.75" thickBot="1" x14ac:dyDescent="0.3">
      <c r="A33" s="93">
        <v>47392</v>
      </c>
      <c r="B33" s="18" t="s">
        <v>5</v>
      </c>
      <c r="C33" s="33">
        <v>1737</v>
      </c>
      <c r="D33" s="33">
        <v>1430</v>
      </c>
      <c r="E33" s="33">
        <v>1269</v>
      </c>
      <c r="F33" s="33">
        <v>1197</v>
      </c>
      <c r="G33" s="33">
        <v>1272</v>
      </c>
      <c r="H33" s="33">
        <v>1450</v>
      </c>
      <c r="I33" s="33">
        <v>1595</v>
      </c>
      <c r="J33" s="33">
        <v>2107</v>
      </c>
      <c r="K33" s="33">
        <v>2884</v>
      </c>
      <c r="L33" s="33">
        <v>3533</v>
      </c>
      <c r="M33" s="33">
        <v>4138</v>
      </c>
      <c r="N33" s="33">
        <v>4601</v>
      </c>
      <c r="O33" s="33">
        <v>4166</v>
      </c>
      <c r="P33" s="33">
        <v>4144</v>
      </c>
      <c r="Q33" s="33">
        <v>4598</v>
      </c>
      <c r="R33" s="33">
        <v>4719</v>
      </c>
      <c r="S33" s="33">
        <v>4666</v>
      </c>
      <c r="T33" s="33">
        <v>5166</v>
      </c>
      <c r="U33" s="33">
        <v>5819</v>
      </c>
      <c r="V33" s="33">
        <v>5571</v>
      </c>
      <c r="W33" s="33">
        <v>5246</v>
      </c>
      <c r="X33" s="33">
        <v>4769</v>
      </c>
      <c r="Y33" s="33">
        <v>3880</v>
      </c>
      <c r="Z33" s="34">
        <v>2884</v>
      </c>
      <c r="AA33" s="35">
        <f t="shared" si="0"/>
        <v>82841</v>
      </c>
      <c r="AB33" s="19">
        <v>22</v>
      </c>
      <c r="AC33" s="94">
        <f>+AA33*AB33+AA34*AB34+AA35*AB35</f>
        <v>2448032</v>
      </c>
    </row>
    <row r="34" spans="1:30" ht="15.75" thickBot="1" x14ac:dyDescent="0.3">
      <c r="A34" s="93"/>
      <c r="B34" s="20" t="s">
        <v>4</v>
      </c>
      <c r="C34" s="36">
        <v>2171</v>
      </c>
      <c r="D34" s="36">
        <v>1832</v>
      </c>
      <c r="E34" s="36">
        <v>1589</v>
      </c>
      <c r="F34" s="36">
        <v>1428</v>
      </c>
      <c r="G34" s="36">
        <v>1511</v>
      </c>
      <c r="H34" s="36">
        <v>1362</v>
      </c>
      <c r="I34" s="36">
        <v>1427</v>
      </c>
      <c r="J34" s="36">
        <v>1941</v>
      </c>
      <c r="K34" s="36">
        <v>2825</v>
      </c>
      <c r="L34" s="36">
        <v>3553</v>
      </c>
      <c r="M34" s="36">
        <v>4086</v>
      </c>
      <c r="N34" s="36">
        <v>4398</v>
      </c>
      <c r="O34" s="36">
        <v>4258</v>
      </c>
      <c r="P34" s="36">
        <v>3969</v>
      </c>
      <c r="Q34" s="36">
        <v>3988</v>
      </c>
      <c r="R34" s="36">
        <v>3985</v>
      </c>
      <c r="S34" s="36">
        <v>3902</v>
      </c>
      <c r="T34" s="36">
        <v>4684</v>
      </c>
      <c r="U34" s="36">
        <v>5694</v>
      </c>
      <c r="V34" s="36">
        <v>5584</v>
      </c>
      <c r="W34" s="36">
        <v>5173</v>
      </c>
      <c r="X34" s="36">
        <v>4753</v>
      </c>
      <c r="Y34" s="36">
        <v>4100</v>
      </c>
      <c r="Z34" s="37">
        <v>3372</v>
      </c>
      <c r="AA34" s="38">
        <f t="shared" si="0"/>
        <v>81585</v>
      </c>
      <c r="AB34" s="21">
        <v>4</v>
      </c>
      <c r="AC34" s="95"/>
      <c r="AD34" s="47"/>
    </row>
    <row r="35" spans="1:30" ht="15" x14ac:dyDescent="0.25">
      <c r="A35" s="93"/>
      <c r="B35" s="22" t="s">
        <v>3</v>
      </c>
      <c r="C35" s="39">
        <v>2055</v>
      </c>
      <c r="D35" s="39">
        <v>1674</v>
      </c>
      <c r="E35" s="39">
        <v>1457</v>
      </c>
      <c r="F35" s="39">
        <v>1238</v>
      </c>
      <c r="G35" s="39">
        <v>1201</v>
      </c>
      <c r="H35" s="39">
        <v>1051</v>
      </c>
      <c r="I35" s="39">
        <v>923</v>
      </c>
      <c r="J35" s="39">
        <v>987</v>
      </c>
      <c r="K35" s="39">
        <v>1411</v>
      </c>
      <c r="L35" s="39">
        <v>2047</v>
      </c>
      <c r="M35" s="39">
        <v>2460</v>
      </c>
      <c r="N35" s="39">
        <v>2795</v>
      </c>
      <c r="O35" s="39">
        <v>2915</v>
      </c>
      <c r="P35" s="39">
        <v>2839</v>
      </c>
      <c r="Q35" s="39">
        <v>2633</v>
      </c>
      <c r="R35" s="39">
        <v>2504</v>
      </c>
      <c r="S35" s="39">
        <v>2510</v>
      </c>
      <c r="T35" s="39">
        <v>3277</v>
      </c>
      <c r="U35" s="39">
        <v>4393</v>
      </c>
      <c r="V35" s="39">
        <v>4594</v>
      </c>
      <c r="W35" s="39">
        <v>4482</v>
      </c>
      <c r="X35" s="39">
        <v>4193</v>
      </c>
      <c r="Y35" s="39">
        <v>3493</v>
      </c>
      <c r="Z35" s="40">
        <v>2706</v>
      </c>
      <c r="AA35" s="41">
        <f t="shared" si="0"/>
        <v>59838</v>
      </c>
      <c r="AB35" s="23">
        <v>5</v>
      </c>
      <c r="AC35" s="96"/>
      <c r="AD35" s="48"/>
    </row>
    <row r="36" spans="1:30" ht="15.75" thickBot="1" x14ac:dyDescent="0.3">
      <c r="A36" s="93">
        <v>47423</v>
      </c>
      <c r="B36" s="18" t="s">
        <v>5</v>
      </c>
      <c r="C36" s="33">
        <v>1624</v>
      </c>
      <c r="D36" s="33">
        <v>1389</v>
      </c>
      <c r="E36" s="33">
        <v>1229</v>
      </c>
      <c r="F36" s="33">
        <v>1126</v>
      </c>
      <c r="G36" s="33">
        <v>1210</v>
      </c>
      <c r="H36" s="33">
        <v>1455</v>
      </c>
      <c r="I36" s="33">
        <v>1605</v>
      </c>
      <c r="J36" s="33">
        <v>2061</v>
      </c>
      <c r="K36" s="33">
        <v>2783</v>
      </c>
      <c r="L36" s="33">
        <v>3388</v>
      </c>
      <c r="M36" s="33">
        <v>3922</v>
      </c>
      <c r="N36" s="33">
        <v>4353</v>
      </c>
      <c r="O36" s="33">
        <v>3981</v>
      </c>
      <c r="P36" s="33">
        <v>3925</v>
      </c>
      <c r="Q36" s="33">
        <v>4375</v>
      </c>
      <c r="R36" s="33">
        <v>4474</v>
      </c>
      <c r="S36" s="33">
        <v>4350</v>
      </c>
      <c r="T36" s="33">
        <v>5016</v>
      </c>
      <c r="U36" s="33">
        <v>5752</v>
      </c>
      <c r="V36" s="33">
        <v>5495</v>
      </c>
      <c r="W36" s="33">
        <v>5155</v>
      </c>
      <c r="X36" s="33">
        <v>4644</v>
      </c>
      <c r="Y36" s="33">
        <v>3763</v>
      </c>
      <c r="Z36" s="34">
        <v>2748</v>
      </c>
      <c r="AA36" s="35">
        <f t="shared" si="0"/>
        <v>79823</v>
      </c>
      <c r="AB36" s="19">
        <v>20</v>
      </c>
      <c r="AC36" s="94">
        <f>+AA36*AB36+AA37*AB37+AA38*AB38</f>
        <v>2244800</v>
      </c>
    </row>
    <row r="37" spans="1:30" ht="15.75" thickBot="1" x14ac:dyDescent="0.3">
      <c r="A37" s="93"/>
      <c r="B37" s="20" t="s">
        <v>4</v>
      </c>
      <c r="C37" s="36">
        <v>1541</v>
      </c>
      <c r="D37" s="36">
        <v>1243</v>
      </c>
      <c r="E37" s="36">
        <v>1019</v>
      </c>
      <c r="F37" s="36">
        <v>940</v>
      </c>
      <c r="G37" s="36">
        <v>1005</v>
      </c>
      <c r="H37" s="36">
        <v>1026</v>
      </c>
      <c r="I37" s="36">
        <v>1209</v>
      </c>
      <c r="J37" s="36">
        <v>1601</v>
      </c>
      <c r="K37" s="36">
        <v>2339</v>
      </c>
      <c r="L37" s="36">
        <v>3021</v>
      </c>
      <c r="M37" s="36">
        <v>3479</v>
      </c>
      <c r="N37" s="36">
        <v>3856</v>
      </c>
      <c r="O37" s="36">
        <v>3811</v>
      </c>
      <c r="P37" s="36">
        <v>3670</v>
      </c>
      <c r="Q37" s="36">
        <v>3590</v>
      </c>
      <c r="R37" s="36">
        <v>3635</v>
      </c>
      <c r="S37" s="36">
        <v>3548</v>
      </c>
      <c r="T37" s="36">
        <v>4309</v>
      </c>
      <c r="U37" s="36">
        <v>5376</v>
      </c>
      <c r="V37" s="36">
        <v>5326</v>
      </c>
      <c r="W37" s="36">
        <v>4869</v>
      </c>
      <c r="X37" s="36">
        <v>4428</v>
      </c>
      <c r="Y37" s="36">
        <v>3800</v>
      </c>
      <c r="Z37" s="37">
        <v>3051</v>
      </c>
      <c r="AA37" s="38">
        <f t="shared" si="0"/>
        <v>71692</v>
      </c>
      <c r="AB37" s="21">
        <v>4</v>
      </c>
      <c r="AC37" s="95"/>
      <c r="AD37" s="47"/>
    </row>
    <row r="38" spans="1:30" ht="15" x14ac:dyDescent="0.25">
      <c r="A38" s="93"/>
      <c r="B38" s="22" t="s">
        <v>3</v>
      </c>
      <c r="C38" s="39">
        <v>1861</v>
      </c>
      <c r="D38" s="39">
        <v>1596</v>
      </c>
      <c r="E38" s="39">
        <v>1292</v>
      </c>
      <c r="F38" s="39">
        <v>1075</v>
      </c>
      <c r="G38" s="39">
        <v>1073</v>
      </c>
      <c r="H38" s="39">
        <v>1018</v>
      </c>
      <c r="I38" s="39">
        <v>845</v>
      </c>
      <c r="J38" s="39">
        <v>987</v>
      </c>
      <c r="K38" s="39">
        <v>1498</v>
      </c>
      <c r="L38" s="39">
        <v>2161</v>
      </c>
      <c r="M38" s="39">
        <v>2604</v>
      </c>
      <c r="N38" s="39">
        <v>2896</v>
      </c>
      <c r="O38" s="39">
        <v>3086</v>
      </c>
      <c r="P38" s="39">
        <v>3011</v>
      </c>
      <c r="Q38" s="39">
        <v>2748</v>
      </c>
      <c r="R38" s="39">
        <v>2624</v>
      </c>
      <c r="S38" s="39">
        <v>2587</v>
      </c>
      <c r="T38" s="39">
        <v>3343</v>
      </c>
      <c r="U38" s="39">
        <v>4506</v>
      </c>
      <c r="V38" s="39">
        <v>4532</v>
      </c>
      <c r="W38" s="39">
        <v>4480</v>
      </c>
      <c r="X38" s="39">
        <v>4163</v>
      </c>
      <c r="Y38" s="39">
        <v>3513</v>
      </c>
      <c r="Z38" s="40">
        <v>2763</v>
      </c>
      <c r="AA38" s="41">
        <f t="shared" si="0"/>
        <v>60262</v>
      </c>
      <c r="AB38" s="23">
        <v>6</v>
      </c>
      <c r="AC38" s="96"/>
      <c r="AD38" s="49"/>
    </row>
    <row r="39" spans="1:30" ht="15.75" thickBot="1" x14ac:dyDescent="0.3">
      <c r="A39" s="93">
        <v>47453</v>
      </c>
      <c r="B39" s="18" t="s">
        <v>5</v>
      </c>
      <c r="C39" s="33">
        <v>2162</v>
      </c>
      <c r="D39" s="33">
        <v>1907</v>
      </c>
      <c r="E39" s="33">
        <v>1677</v>
      </c>
      <c r="F39" s="33">
        <v>1600</v>
      </c>
      <c r="G39" s="33">
        <v>1682</v>
      </c>
      <c r="H39" s="33">
        <v>1891</v>
      </c>
      <c r="I39" s="33">
        <v>1949</v>
      </c>
      <c r="J39" s="33">
        <v>2457</v>
      </c>
      <c r="K39" s="33">
        <v>3358</v>
      </c>
      <c r="L39" s="33">
        <v>4061</v>
      </c>
      <c r="M39" s="33">
        <v>4680</v>
      </c>
      <c r="N39" s="33">
        <v>5165</v>
      </c>
      <c r="O39" s="33">
        <v>4858</v>
      </c>
      <c r="P39" s="33">
        <v>4821</v>
      </c>
      <c r="Q39" s="33">
        <v>5200</v>
      </c>
      <c r="R39" s="33">
        <v>5224</v>
      </c>
      <c r="S39" s="33">
        <v>5075</v>
      </c>
      <c r="T39" s="33">
        <v>5537</v>
      </c>
      <c r="U39" s="33">
        <v>6297</v>
      </c>
      <c r="V39" s="33">
        <v>6321</v>
      </c>
      <c r="W39" s="33">
        <v>5889</v>
      </c>
      <c r="X39" s="33">
        <v>5379</v>
      </c>
      <c r="Y39" s="33">
        <v>4480</v>
      </c>
      <c r="Z39" s="34">
        <v>3466</v>
      </c>
      <c r="AA39" s="35">
        <f t="shared" si="0"/>
        <v>95136</v>
      </c>
      <c r="AB39" s="19">
        <v>20</v>
      </c>
      <c r="AC39" s="94">
        <f>+AA39*AB39+AA40*AB40+AA41*AB41</f>
        <v>2706589</v>
      </c>
    </row>
    <row r="40" spans="1:30" ht="15.75" thickBot="1" x14ac:dyDescent="0.3">
      <c r="A40" s="93"/>
      <c r="B40" s="20" t="s">
        <v>4</v>
      </c>
      <c r="C40" s="36">
        <v>2296</v>
      </c>
      <c r="D40" s="36">
        <v>1867</v>
      </c>
      <c r="E40" s="36">
        <v>1650</v>
      </c>
      <c r="F40" s="36">
        <v>1547</v>
      </c>
      <c r="G40" s="36">
        <v>1616</v>
      </c>
      <c r="H40" s="36">
        <v>1761</v>
      </c>
      <c r="I40" s="36">
        <v>1721</v>
      </c>
      <c r="J40" s="36">
        <v>2200</v>
      </c>
      <c r="K40" s="36">
        <v>3031</v>
      </c>
      <c r="L40" s="36">
        <v>3774</v>
      </c>
      <c r="M40" s="36">
        <v>4365</v>
      </c>
      <c r="N40" s="36">
        <v>4773</v>
      </c>
      <c r="O40" s="36">
        <v>4529</v>
      </c>
      <c r="P40" s="36">
        <v>4309</v>
      </c>
      <c r="Q40" s="36">
        <v>4296</v>
      </c>
      <c r="R40" s="36">
        <v>4232</v>
      </c>
      <c r="S40" s="36">
        <v>4145</v>
      </c>
      <c r="T40" s="36">
        <v>4796</v>
      </c>
      <c r="U40" s="36">
        <v>5848</v>
      </c>
      <c r="V40" s="36">
        <v>5941</v>
      </c>
      <c r="W40" s="36">
        <v>5514</v>
      </c>
      <c r="X40" s="36">
        <v>4979</v>
      </c>
      <c r="Y40" s="36">
        <v>4265</v>
      </c>
      <c r="Z40" s="37">
        <v>3435</v>
      </c>
      <c r="AA40" s="38">
        <f t="shared" si="0"/>
        <v>86890</v>
      </c>
      <c r="AB40" s="21">
        <v>4</v>
      </c>
      <c r="AC40" s="95"/>
      <c r="AD40" s="47"/>
    </row>
    <row r="41" spans="1:30" ht="15" x14ac:dyDescent="0.25">
      <c r="A41" s="93"/>
      <c r="B41" s="22" t="s">
        <v>3</v>
      </c>
      <c r="C41" s="39">
        <v>1953</v>
      </c>
      <c r="D41" s="39">
        <v>1599</v>
      </c>
      <c r="E41" s="39">
        <v>1341</v>
      </c>
      <c r="F41" s="39">
        <v>1201</v>
      </c>
      <c r="G41" s="39">
        <v>1205</v>
      </c>
      <c r="H41" s="39">
        <v>1277</v>
      </c>
      <c r="I41" s="39">
        <v>1077</v>
      </c>
      <c r="J41" s="39">
        <v>1180</v>
      </c>
      <c r="K41" s="39">
        <v>1697</v>
      </c>
      <c r="L41" s="39">
        <v>2335</v>
      </c>
      <c r="M41" s="39">
        <v>2800</v>
      </c>
      <c r="N41" s="39">
        <v>3195</v>
      </c>
      <c r="O41" s="39">
        <v>3311</v>
      </c>
      <c r="P41" s="39">
        <v>3256</v>
      </c>
      <c r="Q41" s="39">
        <v>3025</v>
      </c>
      <c r="R41" s="39">
        <v>2938</v>
      </c>
      <c r="S41" s="39">
        <v>2886</v>
      </c>
      <c r="T41" s="39">
        <v>3611</v>
      </c>
      <c r="U41" s="39">
        <v>4606</v>
      </c>
      <c r="V41" s="39">
        <v>4893</v>
      </c>
      <c r="W41" s="39">
        <v>4772</v>
      </c>
      <c r="X41" s="39">
        <v>4456</v>
      </c>
      <c r="Y41" s="39">
        <v>3708</v>
      </c>
      <c r="Z41" s="40">
        <v>2865</v>
      </c>
      <c r="AA41" s="41">
        <f t="shared" si="0"/>
        <v>65187</v>
      </c>
      <c r="AB41" s="23">
        <v>7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78692</v>
      </c>
      <c r="D42" s="31">
        <f t="shared" si="1"/>
        <v>67164</v>
      </c>
      <c r="E42" s="31">
        <f t="shared" si="1"/>
        <v>58780</v>
      </c>
      <c r="F42" s="31">
        <f t="shared" si="1"/>
        <v>54359</v>
      </c>
      <c r="G42" s="31">
        <f t="shared" si="1"/>
        <v>55498</v>
      </c>
      <c r="H42" s="31">
        <f t="shared" si="1"/>
        <v>59292</v>
      </c>
      <c r="I42" s="31">
        <f t="shared" si="1"/>
        <v>54944</v>
      </c>
      <c r="J42" s="31">
        <f t="shared" si="1"/>
        <v>65211</v>
      </c>
      <c r="K42" s="31">
        <f t="shared" si="1"/>
        <v>89774</v>
      </c>
      <c r="L42" s="31">
        <f t="shared" si="1"/>
        <v>113437</v>
      </c>
      <c r="M42" s="31">
        <f t="shared" si="1"/>
        <v>131684</v>
      </c>
      <c r="N42" s="31">
        <f t="shared" si="1"/>
        <v>146302</v>
      </c>
      <c r="O42" s="31">
        <f t="shared" si="1"/>
        <v>142532</v>
      </c>
      <c r="P42" s="31">
        <f t="shared" si="1"/>
        <v>138691</v>
      </c>
      <c r="Q42" s="31">
        <f t="shared" si="1"/>
        <v>142074</v>
      </c>
      <c r="R42" s="31">
        <f t="shared" si="1"/>
        <v>142405</v>
      </c>
      <c r="S42" s="31">
        <f t="shared" si="1"/>
        <v>139988</v>
      </c>
      <c r="T42" s="31">
        <f t="shared" si="1"/>
        <v>160969</v>
      </c>
      <c r="U42" s="31">
        <f t="shared" si="1"/>
        <v>186588</v>
      </c>
      <c r="V42" s="31">
        <f t="shared" si="1"/>
        <v>199710</v>
      </c>
      <c r="W42" s="31">
        <f t="shared" si="1"/>
        <v>190135</v>
      </c>
      <c r="X42" s="31">
        <f t="shared" si="1"/>
        <v>176318</v>
      </c>
      <c r="Y42" s="31">
        <f t="shared" si="1"/>
        <v>148711</v>
      </c>
      <c r="Z42" s="31">
        <f t="shared" si="1"/>
        <v>117492</v>
      </c>
      <c r="AA42" s="31">
        <f t="shared" si="1"/>
        <v>2860750</v>
      </c>
      <c r="AB42" s="31">
        <f t="shared" si="1"/>
        <v>365</v>
      </c>
      <c r="AC42" s="46">
        <f t="shared" si="1"/>
        <v>30867589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>
      <c r="AA46" s="45"/>
      <c r="AC46" s="45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B6AD-1EE8-45A9-999F-8E6EF3323DE6}">
  <sheetPr>
    <tabColor rgb="FF00B050"/>
  </sheetPr>
  <dimension ref="A1:AD46"/>
  <sheetViews>
    <sheetView showGridLines="0" zoomScale="115" zoomScaleNormal="115" zoomScaleSheetLayoutView="110"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I18" sqref="I18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74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47119</v>
      </c>
      <c r="B6" s="18" t="s">
        <v>5</v>
      </c>
      <c r="C6" s="33">
        <f>ROUND('Anexo 14'!C6*'Anexo 4'!$D$10,0)</f>
        <v>0</v>
      </c>
      <c r="D6" s="33">
        <f>ROUND('Anexo 14'!D6*'Anexo 4'!$D$10,0)</f>
        <v>0</v>
      </c>
      <c r="E6" s="33">
        <f>ROUND('Anexo 14'!E6*'Anexo 4'!$D$10,0)</f>
        <v>0</v>
      </c>
      <c r="F6" s="33">
        <f>ROUND('Anexo 14'!F6*'Anexo 4'!$D$10,0)</f>
        <v>0</v>
      </c>
      <c r="G6" s="33">
        <f>ROUND('Anexo 14'!G6*'Anexo 4'!$D$10,0)</f>
        <v>0</v>
      </c>
      <c r="H6" s="33">
        <f>ROUND('Anexo 14'!H6*'Anexo 4'!$D$10,0)</f>
        <v>0</v>
      </c>
      <c r="I6" s="33">
        <f>ROUND('Anexo 14'!I6*'Anexo 4'!$D$10,0)</f>
        <v>0</v>
      </c>
      <c r="J6" s="33">
        <f>ROUND('Anexo 14'!J6*'Anexo 4'!$D$10,0)</f>
        <v>0</v>
      </c>
      <c r="K6" s="33">
        <f>ROUND('Anexo 14'!K6*'Anexo 4'!$D$10,0)</f>
        <v>0</v>
      </c>
      <c r="L6" s="33">
        <f>ROUND('Anexo 14'!L6*'Anexo 4'!$D$10,0)</f>
        <v>0</v>
      </c>
      <c r="M6" s="33">
        <f>ROUND('Anexo 14'!M6*'Anexo 4'!$D$10,0)</f>
        <v>0</v>
      </c>
      <c r="N6" s="33">
        <f>ROUND('Anexo 14'!N6*'Anexo 4'!$D$10,0)</f>
        <v>0</v>
      </c>
      <c r="O6" s="33">
        <f>ROUND('Anexo 14'!O6*'Anexo 4'!$D$10,0)</f>
        <v>0</v>
      </c>
      <c r="P6" s="33">
        <f>ROUND('Anexo 14'!P6*'Anexo 4'!$D$10,0)</f>
        <v>0</v>
      </c>
      <c r="Q6" s="33">
        <f>ROUND('Anexo 14'!Q6*'Anexo 4'!$D$10,0)</f>
        <v>0</v>
      </c>
      <c r="R6" s="33">
        <f>ROUND('Anexo 14'!R6*'Anexo 4'!$D$10,0)</f>
        <v>0</v>
      </c>
      <c r="S6" s="33">
        <f>ROUND('Anexo 14'!S6*'Anexo 4'!$D$10,0)</f>
        <v>0</v>
      </c>
      <c r="T6" s="33">
        <f>ROUND('Anexo 14'!T6*'Anexo 4'!$D$10,0)</f>
        <v>0</v>
      </c>
      <c r="U6" s="33">
        <f>ROUND('Anexo 14'!U6*'Anexo 4'!$D$10,0)</f>
        <v>0</v>
      </c>
      <c r="V6" s="33">
        <f>ROUND('Anexo 14'!V6*'Anexo 4'!$D$10,0)</f>
        <v>0</v>
      </c>
      <c r="W6" s="33">
        <f>ROUND('Anexo 14'!W6*'Anexo 4'!$D$10,0)</f>
        <v>0</v>
      </c>
      <c r="X6" s="33">
        <f>ROUND('Anexo 14'!X6*'Anexo 4'!$D$10,0)</f>
        <v>0</v>
      </c>
      <c r="Y6" s="33">
        <f>ROUND('Anexo 14'!Y6*'Anexo 4'!$D$10,0)</f>
        <v>0</v>
      </c>
      <c r="Z6" s="33">
        <f>ROUND('Anexo 14'!Z6*'Anexo 4'!$D$10,0)</f>
        <v>0</v>
      </c>
      <c r="AA6" s="35">
        <f>SUM(C6:Z6)</f>
        <v>0</v>
      </c>
      <c r="AB6" s="19">
        <v>21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3">
        <f>ROUND('Anexo 14'!C7*'Anexo 4'!$D$10,0)</f>
        <v>0</v>
      </c>
      <c r="D7" s="33">
        <f>ROUND('Anexo 14'!D7*'Anexo 4'!$D$10,0)</f>
        <v>0</v>
      </c>
      <c r="E7" s="33">
        <f>ROUND('Anexo 14'!E7*'Anexo 4'!$D$10,0)</f>
        <v>0</v>
      </c>
      <c r="F7" s="33">
        <f>ROUND('Anexo 14'!F7*'Anexo 4'!$D$10,0)</f>
        <v>0</v>
      </c>
      <c r="G7" s="33">
        <f>ROUND('Anexo 14'!G7*'Anexo 4'!$D$10,0)</f>
        <v>0</v>
      </c>
      <c r="H7" s="33">
        <f>ROUND('Anexo 14'!H7*'Anexo 4'!$D$10,0)</f>
        <v>0</v>
      </c>
      <c r="I7" s="33">
        <f>ROUND('Anexo 14'!I7*'Anexo 4'!$D$10,0)</f>
        <v>0</v>
      </c>
      <c r="J7" s="33">
        <f>ROUND('Anexo 14'!J7*'Anexo 4'!$D$10,0)</f>
        <v>0</v>
      </c>
      <c r="K7" s="33">
        <f>ROUND('Anexo 14'!K7*'Anexo 4'!$D$10,0)</f>
        <v>0</v>
      </c>
      <c r="L7" s="33">
        <f>ROUND('Anexo 14'!L7*'Anexo 4'!$D$10,0)</f>
        <v>0</v>
      </c>
      <c r="M7" s="33">
        <f>ROUND('Anexo 14'!M7*'Anexo 4'!$D$10,0)</f>
        <v>0</v>
      </c>
      <c r="N7" s="33">
        <f>ROUND('Anexo 14'!N7*'Anexo 4'!$D$10,0)</f>
        <v>0</v>
      </c>
      <c r="O7" s="33">
        <f>ROUND('Anexo 14'!O7*'Anexo 4'!$D$10,0)</f>
        <v>0</v>
      </c>
      <c r="P7" s="33">
        <f>ROUND('Anexo 14'!P7*'Anexo 4'!$D$10,0)</f>
        <v>0</v>
      </c>
      <c r="Q7" s="33">
        <f>ROUND('Anexo 14'!Q7*'Anexo 4'!$D$10,0)</f>
        <v>0</v>
      </c>
      <c r="R7" s="33">
        <f>ROUND('Anexo 14'!R7*'Anexo 4'!$D$10,0)</f>
        <v>0</v>
      </c>
      <c r="S7" s="33">
        <f>ROUND('Anexo 14'!S7*'Anexo 4'!$D$10,0)</f>
        <v>0</v>
      </c>
      <c r="T7" s="33">
        <f>ROUND('Anexo 14'!T7*'Anexo 4'!$D$10,0)</f>
        <v>0</v>
      </c>
      <c r="U7" s="33">
        <f>ROUND('Anexo 14'!U7*'Anexo 4'!$D$10,0)</f>
        <v>0</v>
      </c>
      <c r="V7" s="33">
        <f>ROUND('Anexo 14'!V7*'Anexo 4'!$D$10,0)</f>
        <v>0</v>
      </c>
      <c r="W7" s="33">
        <f>ROUND('Anexo 14'!W7*'Anexo 4'!$D$10,0)</f>
        <v>0</v>
      </c>
      <c r="X7" s="33">
        <f>ROUND('Anexo 14'!X7*'Anexo 4'!$D$10,0)</f>
        <v>0</v>
      </c>
      <c r="Y7" s="33">
        <f>ROUND('Anexo 14'!Y7*'Anexo 4'!$D$10,0)</f>
        <v>0</v>
      </c>
      <c r="Z7" s="33">
        <f>ROUND('Anexo 14'!Z7*'Anexo 4'!$D$10,0)</f>
        <v>0</v>
      </c>
      <c r="AA7" s="38">
        <f t="shared" ref="AA7:AA41" si="0">SUM(C7:Z7)</f>
        <v>0</v>
      </c>
      <c r="AB7" s="21">
        <v>4</v>
      </c>
      <c r="AC7" s="95"/>
      <c r="AD7" s="47"/>
    </row>
    <row r="8" spans="1:30" ht="15.75" thickBot="1" x14ac:dyDescent="0.3">
      <c r="A8" s="93"/>
      <c r="B8" s="22" t="s">
        <v>3</v>
      </c>
      <c r="C8" s="33">
        <f>ROUND('Anexo 14'!C8*'Anexo 4'!$D$10,0)</f>
        <v>0</v>
      </c>
      <c r="D8" s="33">
        <f>ROUND('Anexo 14'!D8*'Anexo 4'!$D$10,0)</f>
        <v>0</v>
      </c>
      <c r="E8" s="33">
        <f>ROUND('Anexo 14'!E8*'Anexo 4'!$D$10,0)</f>
        <v>0</v>
      </c>
      <c r="F8" s="33">
        <f>ROUND('Anexo 14'!F8*'Anexo 4'!$D$10,0)</f>
        <v>0</v>
      </c>
      <c r="G8" s="33">
        <f>ROUND('Anexo 14'!G8*'Anexo 4'!$D$10,0)</f>
        <v>0</v>
      </c>
      <c r="H8" s="33">
        <f>ROUND('Anexo 14'!H8*'Anexo 4'!$D$10,0)</f>
        <v>0</v>
      </c>
      <c r="I8" s="33">
        <f>ROUND('Anexo 14'!I8*'Anexo 4'!$D$10,0)</f>
        <v>0</v>
      </c>
      <c r="J8" s="33">
        <f>ROUND('Anexo 14'!J8*'Anexo 4'!$D$10,0)</f>
        <v>0</v>
      </c>
      <c r="K8" s="33">
        <f>ROUND('Anexo 14'!K8*'Anexo 4'!$D$10,0)</f>
        <v>0</v>
      </c>
      <c r="L8" s="33">
        <f>ROUND('Anexo 14'!L8*'Anexo 4'!$D$10,0)</f>
        <v>0</v>
      </c>
      <c r="M8" s="33">
        <f>ROUND('Anexo 14'!M8*'Anexo 4'!$D$10,0)</f>
        <v>0</v>
      </c>
      <c r="N8" s="33">
        <f>ROUND('Anexo 14'!N8*'Anexo 4'!$D$10,0)</f>
        <v>0</v>
      </c>
      <c r="O8" s="33">
        <f>ROUND('Anexo 14'!O8*'Anexo 4'!$D$10,0)</f>
        <v>0</v>
      </c>
      <c r="P8" s="33">
        <f>ROUND('Anexo 14'!P8*'Anexo 4'!$D$10,0)</f>
        <v>0</v>
      </c>
      <c r="Q8" s="33">
        <f>ROUND('Anexo 14'!Q8*'Anexo 4'!$D$10,0)</f>
        <v>0</v>
      </c>
      <c r="R8" s="33">
        <f>ROUND('Anexo 14'!R8*'Anexo 4'!$D$10,0)</f>
        <v>0</v>
      </c>
      <c r="S8" s="33">
        <f>ROUND('Anexo 14'!S8*'Anexo 4'!$D$10,0)</f>
        <v>0</v>
      </c>
      <c r="T8" s="33">
        <f>ROUND('Anexo 14'!T8*'Anexo 4'!$D$10,0)</f>
        <v>0</v>
      </c>
      <c r="U8" s="33">
        <f>ROUND('Anexo 14'!U8*'Anexo 4'!$D$10,0)</f>
        <v>0</v>
      </c>
      <c r="V8" s="33">
        <f>ROUND('Anexo 14'!V8*'Anexo 4'!$D$10,0)</f>
        <v>0</v>
      </c>
      <c r="W8" s="33">
        <f>ROUND('Anexo 14'!W8*'Anexo 4'!$D$10,0)</f>
        <v>0</v>
      </c>
      <c r="X8" s="33">
        <f>ROUND('Anexo 14'!X8*'Anexo 4'!$D$10,0)</f>
        <v>0</v>
      </c>
      <c r="Y8" s="33">
        <f>ROUND('Anexo 14'!Y8*'Anexo 4'!$D$10,0)</f>
        <v>0</v>
      </c>
      <c r="Z8" s="33">
        <f>ROUND('Anexo 14'!Z8*'Anexo 4'!$D$10,0)</f>
        <v>0</v>
      </c>
      <c r="AA8" s="41">
        <f t="shared" si="0"/>
        <v>0</v>
      </c>
      <c r="AB8" s="23">
        <v>6</v>
      </c>
      <c r="AC8" s="96"/>
      <c r="AD8" s="48"/>
    </row>
    <row r="9" spans="1:30" ht="15.75" thickBot="1" x14ac:dyDescent="0.3">
      <c r="A9" s="93">
        <v>47150</v>
      </c>
      <c r="B9" s="18" t="s">
        <v>5</v>
      </c>
      <c r="C9" s="33">
        <f>ROUND('Anexo 14'!C9*'Anexo 4'!$D$10,0)</f>
        <v>0</v>
      </c>
      <c r="D9" s="33">
        <f>ROUND('Anexo 14'!D9*'Anexo 4'!$D$10,0)</f>
        <v>0</v>
      </c>
      <c r="E9" s="33">
        <f>ROUND('Anexo 14'!E9*'Anexo 4'!$D$10,0)</f>
        <v>0</v>
      </c>
      <c r="F9" s="33">
        <f>ROUND('Anexo 14'!F9*'Anexo 4'!$D$10,0)</f>
        <v>0</v>
      </c>
      <c r="G9" s="33">
        <f>ROUND('Anexo 14'!G9*'Anexo 4'!$D$10,0)</f>
        <v>0</v>
      </c>
      <c r="H9" s="33">
        <f>ROUND('Anexo 14'!H9*'Anexo 4'!$D$10,0)</f>
        <v>0</v>
      </c>
      <c r="I9" s="33">
        <f>ROUND('Anexo 14'!I9*'Anexo 4'!$D$10,0)</f>
        <v>0</v>
      </c>
      <c r="J9" s="33">
        <f>ROUND('Anexo 14'!J9*'Anexo 4'!$D$10,0)</f>
        <v>0</v>
      </c>
      <c r="K9" s="33">
        <f>ROUND('Anexo 14'!K9*'Anexo 4'!$D$10,0)</f>
        <v>0</v>
      </c>
      <c r="L9" s="33">
        <f>ROUND('Anexo 14'!L9*'Anexo 4'!$D$10,0)</f>
        <v>0</v>
      </c>
      <c r="M9" s="33">
        <f>ROUND('Anexo 14'!M9*'Anexo 4'!$D$10,0)</f>
        <v>0</v>
      </c>
      <c r="N9" s="33">
        <f>ROUND('Anexo 14'!N9*'Anexo 4'!$D$10,0)</f>
        <v>0</v>
      </c>
      <c r="O9" s="33">
        <f>ROUND('Anexo 14'!O9*'Anexo 4'!$D$10,0)</f>
        <v>0</v>
      </c>
      <c r="P9" s="33">
        <f>ROUND('Anexo 14'!P9*'Anexo 4'!$D$10,0)</f>
        <v>0</v>
      </c>
      <c r="Q9" s="33">
        <f>ROUND('Anexo 14'!Q9*'Anexo 4'!$D$10,0)</f>
        <v>0</v>
      </c>
      <c r="R9" s="33">
        <f>ROUND('Anexo 14'!R9*'Anexo 4'!$D$10,0)</f>
        <v>0</v>
      </c>
      <c r="S9" s="33">
        <f>ROUND('Anexo 14'!S9*'Anexo 4'!$D$10,0)</f>
        <v>0</v>
      </c>
      <c r="T9" s="33">
        <f>ROUND('Anexo 14'!T9*'Anexo 4'!$D$10,0)</f>
        <v>0</v>
      </c>
      <c r="U9" s="33">
        <f>ROUND('Anexo 14'!U9*'Anexo 4'!$D$10,0)</f>
        <v>0</v>
      </c>
      <c r="V9" s="33">
        <f>ROUND('Anexo 14'!V9*'Anexo 4'!$D$10,0)</f>
        <v>0</v>
      </c>
      <c r="W9" s="33">
        <f>ROUND('Anexo 14'!W9*'Anexo 4'!$D$10,0)</f>
        <v>0</v>
      </c>
      <c r="X9" s="33">
        <f>ROUND('Anexo 14'!X9*'Anexo 4'!$D$10,0)</f>
        <v>0</v>
      </c>
      <c r="Y9" s="33">
        <f>ROUND('Anexo 14'!Y9*'Anexo 4'!$D$10,0)</f>
        <v>0</v>
      </c>
      <c r="Z9" s="33">
        <f>ROUND('Anexo 14'!Z9*'Anexo 4'!$D$10,0)</f>
        <v>0</v>
      </c>
      <c r="AA9" s="35">
        <f t="shared" si="0"/>
        <v>0</v>
      </c>
      <c r="AB9" s="19">
        <v>20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ROUND('Anexo 14'!C10*'Anexo 4'!$D$10,0)</f>
        <v>0</v>
      </c>
      <c r="D10" s="33">
        <f>ROUND('Anexo 14'!D10*'Anexo 4'!$D$10,0)</f>
        <v>0</v>
      </c>
      <c r="E10" s="33">
        <f>ROUND('Anexo 14'!E10*'Anexo 4'!$D$10,0)</f>
        <v>0</v>
      </c>
      <c r="F10" s="33">
        <f>ROUND('Anexo 14'!F10*'Anexo 4'!$D$10,0)</f>
        <v>0</v>
      </c>
      <c r="G10" s="33">
        <f>ROUND('Anexo 14'!G10*'Anexo 4'!$D$10,0)</f>
        <v>0</v>
      </c>
      <c r="H10" s="33">
        <f>ROUND('Anexo 14'!H10*'Anexo 4'!$D$10,0)</f>
        <v>0</v>
      </c>
      <c r="I10" s="33">
        <f>ROUND('Anexo 14'!I10*'Anexo 4'!$D$10,0)</f>
        <v>0</v>
      </c>
      <c r="J10" s="33">
        <f>ROUND('Anexo 14'!J10*'Anexo 4'!$D$10,0)</f>
        <v>0</v>
      </c>
      <c r="K10" s="33">
        <f>ROUND('Anexo 14'!K10*'Anexo 4'!$D$10,0)</f>
        <v>0</v>
      </c>
      <c r="L10" s="33">
        <f>ROUND('Anexo 14'!L10*'Anexo 4'!$D$10,0)</f>
        <v>0</v>
      </c>
      <c r="M10" s="33">
        <f>ROUND('Anexo 14'!M10*'Anexo 4'!$D$10,0)</f>
        <v>0</v>
      </c>
      <c r="N10" s="33">
        <f>ROUND('Anexo 14'!N10*'Anexo 4'!$D$10,0)</f>
        <v>0</v>
      </c>
      <c r="O10" s="33">
        <f>ROUND('Anexo 14'!O10*'Anexo 4'!$D$10,0)</f>
        <v>0</v>
      </c>
      <c r="P10" s="33">
        <f>ROUND('Anexo 14'!P10*'Anexo 4'!$D$10,0)</f>
        <v>0</v>
      </c>
      <c r="Q10" s="33">
        <f>ROUND('Anexo 14'!Q10*'Anexo 4'!$D$10,0)</f>
        <v>0</v>
      </c>
      <c r="R10" s="33">
        <f>ROUND('Anexo 14'!R10*'Anexo 4'!$D$10,0)</f>
        <v>0</v>
      </c>
      <c r="S10" s="33">
        <f>ROUND('Anexo 14'!S10*'Anexo 4'!$D$10,0)</f>
        <v>0</v>
      </c>
      <c r="T10" s="33">
        <f>ROUND('Anexo 14'!T10*'Anexo 4'!$D$10,0)</f>
        <v>0</v>
      </c>
      <c r="U10" s="33">
        <f>ROUND('Anexo 14'!U10*'Anexo 4'!$D$10,0)</f>
        <v>0</v>
      </c>
      <c r="V10" s="33">
        <f>ROUND('Anexo 14'!V10*'Anexo 4'!$D$10,0)</f>
        <v>0</v>
      </c>
      <c r="W10" s="33">
        <f>ROUND('Anexo 14'!W10*'Anexo 4'!$D$10,0)</f>
        <v>0</v>
      </c>
      <c r="X10" s="33">
        <f>ROUND('Anexo 14'!X10*'Anexo 4'!$D$10,0)</f>
        <v>0</v>
      </c>
      <c r="Y10" s="33">
        <f>ROUND('Anexo 14'!Y10*'Anexo 4'!$D$10,0)</f>
        <v>0</v>
      </c>
      <c r="Z10" s="33">
        <f>ROUND('Anexo 14'!Z10*'Anexo 4'!$D$10,0)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ROUND('Anexo 14'!C11*'Anexo 4'!$D$10,0)</f>
        <v>0</v>
      </c>
      <c r="D11" s="33">
        <f>ROUND('Anexo 14'!D11*'Anexo 4'!$D$10,0)</f>
        <v>0</v>
      </c>
      <c r="E11" s="33">
        <f>ROUND('Anexo 14'!E11*'Anexo 4'!$D$10,0)</f>
        <v>0</v>
      </c>
      <c r="F11" s="33">
        <f>ROUND('Anexo 14'!F11*'Anexo 4'!$D$10,0)</f>
        <v>0</v>
      </c>
      <c r="G11" s="33">
        <f>ROUND('Anexo 14'!G11*'Anexo 4'!$D$10,0)</f>
        <v>0</v>
      </c>
      <c r="H11" s="33">
        <f>ROUND('Anexo 14'!H11*'Anexo 4'!$D$10,0)</f>
        <v>0</v>
      </c>
      <c r="I11" s="33">
        <f>ROUND('Anexo 14'!I11*'Anexo 4'!$D$10,0)</f>
        <v>0</v>
      </c>
      <c r="J11" s="33">
        <f>ROUND('Anexo 14'!J11*'Anexo 4'!$D$10,0)</f>
        <v>0</v>
      </c>
      <c r="K11" s="33">
        <f>ROUND('Anexo 14'!K11*'Anexo 4'!$D$10,0)</f>
        <v>0</v>
      </c>
      <c r="L11" s="33">
        <f>ROUND('Anexo 14'!L11*'Anexo 4'!$D$10,0)</f>
        <v>0</v>
      </c>
      <c r="M11" s="33">
        <f>ROUND('Anexo 14'!M11*'Anexo 4'!$D$10,0)</f>
        <v>0</v>
      </c>
      <c r="N11" s="33">
        <f>ROUND('Anexo 14'!N11*'Anexo 4'!$D$10,0)</f>
        <v>0</v>
      </c>
      <c r="O11" s="33">
        <f>ROUND('Anexo 14'!O11*'Anexo 4'!$D$10,0)</f>
        <v>0</v>
      </c>
      <c r="P11" s="33">
        <f>ROUND('Anexo 14'!P11*'Anexo 4'!$D$10,0)</f>
        <v>0</v>
      </c>
      <c r="Q11" s="33">
        <f>ROUND('Anexo 14'!Q11*'Anexo 4'!$D$10,0)</f>
        <v>0</v>
      </c>
      <c r="R11" s="33">
        <f>ROUND('Anexo 14'!R11*'Anexo 4'!$D$10,0)</f>
        <v>0</v>
      </c>
      <c r="S11" s="33">
        <f>ROUND('Anexo 14'!S11*'Anexo 4'!$D$10,0)</f>
        <v>0</v>
      </c>
      <c r="T11" s="33">
        <f>ROUND('Anexo 14'!T11*'Anexo 4'!$D$10,0)</f>
        <v>0</v>
      </c>
      <c r="U11" s="33">
        <f>ROUND('Anexo 14'!U11*'Anexo 4'!$D$10,0)</f>
        <v>0</v>
      </c>
      <c r="V11" s="33">
        <f>ROUND('Anexo 14'!V11*'Anexo 4'!$D$10,0)</f>
        <v>0</v>
      </c>
      <c r="W11" s="33">
        <f>ROUND('Anexo 14'!W11*'Anexo 4'!$D$10,0)</f>
        <v>0</v>
      </c>
      <c r="X11" s="33">
        <f>ROUND('Anexo 14'!X11*'Anexo 4'!$D$10,0)</f>
        <v>0</v>
      </c>
      <c r="Y11" s="33">
        <f>ROUND('Anexo 14'!Y11*'Anexo 4'!$D$10,0)</f>
        <v>0</v>
      </c>
      <c r="Z11" s="33">
        <f>ROUND('Anexo 14'!Z11*'Anexo 4'!$D$10,0)</f>
        <v>0</v>
      </c>
      <c r="AA11" s="41">
        <f t="shared" si="0"/>
        <v>0</v>
      </c>
      <c r="AB11" s="23">
        <v>4</v>
      </c>
      <c r="AC11" s="96"/>
      <c r="AD11" s="48"/>
    </row>
    <row r="12" spans="1:30" ht="15.75" thickBot="1" x14ac:dyDescent="0.3">
      <c r="A12" s="93">
        <v>47178</v>
      </c>
      <c r="B12" s="18" t="s">
        <v>5</v>
      </c>
      <c r="C12" s="33">
        <f>ROUND('Anexo 14'!C12*'Anexo 4'!$D$10,0)</f>
        <v>0</v>
      </c>
      <c r="D12" s="33">
        <f>ROUND('Anexo 14'!D12*'Anexo 4'!$D$10,0)</f>
        <v>0</v>
      </c>
      <c r="E12" s="33">
        <f>ROUND('Anexo 14'!E12*'Anexo 4'!$D$10,0)</f>
        <v>0</v>
      </c>
      <c r="F12" s="33">
        <f>ROUND('Anexo 14'!F12*'Anexo 4'!$D$10,0)</f>
        <v>0</v>
      </c>
      <c r="G12" s="33">
        <f>ROUND('Anexo 14'!G12*'Anexo 4'!$D$10,0)</f>
        <v>0</v>
      </c>
      <c r="H12" s="33">
        <f>ROUND('Anexo 14'!H12*'Anexo 4'!$D$10,0)</f>
        <v>0</v>
      </c>
      <c r="I12" s="33">
        <f>ROUND('Anexo 14'!I12*'Anexo 4'!$D$10,0)</f>
        <v>0</v>
      </c>
      <c r="J12" s="33">
        <f>ROUND('Anexo 14'!J12*'Anexo 4'!$D$10,0)</f>
        <v>0</v>
      </c>
      <c r="K12" s="33">
        <f>ROUND('Anexo 14'!K12*'Anexo 4'!$D$10,0)</f>
        <v>0</v>
      </c>
      <c r="L12" s="33">
        <f>ROUND('Anexo 14'!L12*'Anexo 4'!$D$10,0)</f>
        <v>0</v>
      </c>
      <c r="M12" s="33">
        <f>ROUND('Anexo 14'!M12*'Anexo 4'!$D$10,0)</f>
        <v>0</v>
      </c>
      <c r="N12" s="33">
        <f>ROUND('Anexo 14'!N12*'Anexo 4'!$D$10,0)</f>
        <v>0</v>
      </c>
      <c r="O12" s="33">
        <f>ROUND('Anexo 14'!O12*'Anexo 4'!$D$10,0)</f>
        <v>0</v>
      </c>
      <c r="P12" s="33">
        <f>ROUND('Anexo 14'!P12*'Anexo 4'!$D$10,0)</f>
        <v>0</v>
      </c>
      <c r="Q12" s="33">
        <f>ROUND('Anexo 14'!Q12*'Anexo 4'!$D$10,0)</f>
        <v>0</v>
      </c>
      <c r="R12" s="33">
        <f>ROUND('Anexo 14'!R12*'Anexo 4'!$D$10,0)</f>
        <v>0</v>
      </c>
      <c r="S12" s="33">
        <f>ROUND('Anexo 14'!S12*'Anexo 4'!$D$10,0)</f>
        <v>0</v>
      </c>
      <c r="T12" s="33">
        <f>ROUND('Anexo 14'!T12*'Anexo 4'!$D$10,0)</f>
        <v>0</v>
      </c>
      <c r="U12" s="33">
        <f>ROUND('Anexo 14'!U12*'Anexo 4'!$D$10,0)</f>
        <v>0</v>
      </c>
      <c r="V12" s="33">
        <f>ROUND('Anexo 14'!V12*'Anexo 4'!$D$10,0)</f>
        <v>0</v>
      </c>
      <c r="W12" s="33">
        <f>ROUND('Anexo 14'!W12*'Anexo 4'!$D$10,0)</f>
        <v>0</v>
      </c>
      <c r="X12" s="33">
        <f>ROUND('Anexo 14'!X12*'Anexo 4'!$D$10,0)</f>
        <v>0</v>
      </c>
      <c r="Y12" s="33">
        <f>ROUND('Anexo 14'!Y12*'Anexo 4'!$D$10,0)</f>
        <v>0</v>
      </c>
      <c r="Z12" s="33">
        <f>ROUND('Anexo 14'!Z12*'Anexo 4'!$D$10,0)</f>
        <v>0</v>
      </c>
      <c r="AA12" s="35">
        <f t="shared" si="0"/>
        <v>0</v>
      </c>
      <c r="AB12" s="19">
        <v>19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ROUND('Anexo 14'!C13*'Anexo 4'!$D$10,0)</f>
        <v>0</v>
      </c>
      <c r="D13" s="33">
        <f>ROUND('Anexo 14'!D13*'Anexo 4'!$D$10,0)</f>
        <v>0</v>
      </c>
      <c r="E13" s="33">
        <f>ROUND('Anexo 14'!E13*'Anexo 4'!$D$10,0)</f>
        <v>0</v>
      </c>
      <c r="F13" s="33">
        <f>ROUND('Anexo 14'!F13*'Anexo 4'!$D$10,0)</f>
        <v>0</v>
      </c>
      <c r="G13" s="33">
        <f>ROUND('Anexo 14'!G13*'Anexo 4'!$D$10,0)</f>
        <v>0</v>
      </c>
      <c r="H13" s="33">
        <f>ROUND('Anexo 14'!H13*'Anexo 4'!$D$10,0)</f>
        <v>0</v>
      </c>
      <c r="I13" s="33">
        <f>ROUND('Anexo 14'!I13*'Anexo 4'!$D$10,0)</f>
        <v>0</v>
      </c>
      <c r="J13" s="33">
        <f>ROUND('Anexo 14'!J13*'Anexo 4'!$D$10,0)</f>
        <v>0</v>
      </c>
      <c r="K13" s="33">
        <f>ROUND('Anexo 14'!K13*'Anexo 4'!$D$10,0)</f>
        <v>0</v>
      </c>
      <c r="L13" s="33">
        <f>ROUND('Anexo 14'!L13*'Anexo 4'!$D$10,0)</f>
        <v>0</v>
      </c>
      <c r="M13" s="33">
        <f>ROUND('Anexo 14'!M13*'Anexo 4'!$D$10,0)</f>
        <v>0</v>
      </c>
      <c r="N13" s="33">
        <f>ROUND('Anexo 14'!N13*'Anexo 4'!$D$10,0)</f>
        <v>0</v>
      </c>
      <c r="O13" s="33">
        <f>ROUND('Anexo 14'!O13*'Anexo 4'!$D$10,0)</f>
        <v>0</v>
      </c>
      <c r="P13" s="33">
        <f>ROUND('Anexo 14'!P13*'Anexo 4'!$D$10,0)</f>
        <v>0</v>
      </c>
      <c r="Q13" s="33">
        <f>ROUND('Anexo 14'!Q13*'Anexo 4'!$D$10,0)</f>
        <v>0</v>
      </c>
      <c r="R13" s="33">
        <f>ROUND('Anexo 14'!R13*'Anexo 4'!$D$10,0)</f>
        <v>0</v>
      </c>
      <c r="S13" s="33">
        <f>ROUND('Anexo 14'!S13*'Anexo 4'!$D$10,0)</f>
        <v>0</v>
      </c>
      <c r="T13" s="33">
        <f>ROUND('Anexo 14'!T13*'Anexo 4'!$D$10,0)</f>
        <v>0</v>
      </c>
      <c r="U13" s="33">
        <f>ROUND('Anexo 14'!U13*'Anexo 4'!$D$10,0)</f>
        <v>0</v>
      </c>
      <c r="V13" s="33">
        <f>ROUND('Anexo 14'!V13*'Anexo 4'!$D$10,0)</f>
        <v>0</v>
      </c>
      <c r="W13" s="33">
        <f>ROUND('Anexo 14'!W13*'Anexo 4'!$D$10,0)</f>
        <v>0</v>
      </c>
      <c r="X13" s="33">
        <f>ROUND('Anexo 14'!X13*'Anexo 4'!$D$10,0)</f>
        <v>0</v>
      </c>
      <c r="Y13" s="33">
        <f>ROUND('Anexo 14'!Y13*'Anexo 4'!$D$10,0)</f>
        <v>0</v>
      </c>
      <c r="Z13" s="33">
        <f>ROUND('Anexo 14'!Z13*'Anexo 4'!$D$10,0)</f>
        <v>0</v>
      </c>
      <c r="AA13" s="38">
        <f t="shared" si="0"/>
        <v>0</v>
      </c>
      <c r="AB13" s="21">
        <v>5</v>
      </c>
      <c r="AC13" s="95"/>
      <c r="AD13" s="47"/>
    </row>
    <row r="14" spans="1:30" ht="15.75" thickBot="1" x14ac:dyDescent="0.3">
      <c r="A14" s="93"/>
      <c r="B14" s="22" t="s">
        <v>3</v>
      </c>
      <c r="C14" s="33">
        <f>ROUND('Anexo 14'!C14*'Anexo 4'!$D$10,0)</f>
        <v>0</v>
      </c>
      <c r="D14" s="33">
        <f>ROUND('Anexo 14'!D14*'Anexo 4'!$D$10,0)</f>
        <v>0</v>
      </c>
      <c r="E14" s="33">
        <f>ROUND('Anexo 14'!E14*'Anexo 4'!$D$10,0)</f>
        <v>0</v>
      </c>
      <c r="F14" s="33">
        <f>ROUND('Anexo 14'!F14*'Anexo 4'!$D$10,0)</f>
        <v>0</v>
      </c>
      <c r="G14" s="33">
        <f>ROUND('Anexo 14'!G14*'Anexo 4'!$D$10,0)</f>
        <v>0</v>
      </c>
      <c r="H14" s="33">
        <f>ROUND('Anexo 14'!H14*'Anexo 4'!$D$10,0)</f>
        <v>0</v>
      </c>
      <c r="I14" s="33">
        <f>ROUND('Anexo 14'!I14*'Anexo 4'!$D$10,0)</f>
        <v>0</v>
      </c>
      <c r="J14" s="33">
        <f>ROUND('Anexo 14'!J14*'Anexo 4'!$D$10,0)</f>
        <v>0</v>
      </c>
      <c r="K14" s="33">
        <f>ROUND('Anexo 14'!K14*'Anexo 4'!$D$10,0)</f>
        <v>0</v>
      </c>
      <c r="L14" s="33">
        <f>ROUND('Anexo 14'!L14*'Anexo 4'!$D$10,0)</f>
        <v>0</v>
      </c>
      <c r="M14" s="33">
        <f>ROUND('Anexo 14'!M14*'Anexo 4'!$D$10,0)</f>
        <v>0</v>
      </c>
      <c r="N14" s="33">
        <f>ROUND('Anexo 14'!N14*'Anexo 4'!$D$10,0)</f>
        <v>0</v>
      </c>
      <c r="O14" s="33">
        <f>ROUND('Anexo 14'!O14*'Anexo 4'!$D$10,0)</f>
        <v>0</v>
      </c>
      <c r="P14" s="33">
        <f>ROUND('Anexo 14'!P14*'Anexo 4'!$D$10,0)</f>
        <v>0</v>
      </c>
      <c r="Q14" s="33">
        <f>ROUND('Anexo 14'!Q14*'Anexo 4'!$D$10,0)</f>
        <v>0</v>
      </c>
      <c r="R14" s="33">
        <f>ROUND('Anexo 14'!R14*'Anexo 4'!$D$10,0)</f>
        <v>0</v>
      </c>
      <c r="S14" s="33">
        <f>ROUND('Anexo 14'!S14*'Anexo 4'!$D$10,0)</f>
        <v>0</v>
      </c>
      <c r="T14" s="33">
        <f>ROUND('Anexo 14'!T14*'Anexo 4'!$D$10,0)</f>
        <v>0</v>
      </c>
      <c r="U14" s="33">
        <f>ROUND('Anexo 14'!U14*'Anexo 4'!$D$10,0)</f>
        <v>0</v>
      </c>
      <c r="V14" s="33">
        <f>ROUND('Anexo 14'!V14*'Anexo 4'!$D$10,0)</f>
        <v>0</v>
      </c>
      <c r="W14" s="33">
        <f>ROUND('Anexo 14'!W14*'Anexo 4'!$D$10,0)</f>
        <v>0</v>
      </c>
      <c r="X14" s="33">
        <f>ROUND('Anexo 14'!X14*'Anexo 4'!$D$10,0)</f>
        <v>0</v>
      </c>
      <c r="Y14" s="33">
        <f>ROUND('Anexo 14'!Y14*'Anexo 4'!$D$10,0)</f>
        <v>0</v>
      </c>
      <c r="Z14" s="33">
        <f>ROUND('Anexo 14'!Z14*'Anexo 4'!$D$10,0)</f>
        <v>0</v>
      </c>
      <c r="AA14" s="41">
        <f t="shared" si="0"/>
        <v>0</v>
      </c>
      <c r="AB14" s="23">
        <v>7</v>
      </c>
      <c r="AC14" s="96"/>
      <c r="AD14" s="45"/>
    </row>
    <row r="15" spans="1:30" ht="15.75" thickBot="1" x14ac:dyDescent="0.3">
      <c r="A15" s="93">
        <v>47209</v>
      </c>
      <c r="B15" s="18" t="s">
        <v>5</v>
      </c>
      <c r="C15" s="33">
        <f>ROUND('Anexo 14'!C15*'Anexo 4'!$D$10,0)</f>
        <v>0</v>
      </c>
      <c r="D15" s="33">
        <f>ROUND('Anexo 14'!D15*'Anexo 4'!$D$10,0)</f>
        <v>0</v>
      </c>
      <c r="E15" s="33">
        <f>ROUND('Anexo 14'!E15*'Anexo 4'!$D$10,0)</f>
        <v>0</v>
      </c>
      <c r="F15" s="33">
        <f>ROUND('Anexo 14'!F15*'Anexo 4'!$D$10,0)</f>
        <v>0</v>
      </c>
      <c r="G15" s="33">
        <f>ROUND('Anexo 14'!G15*'Anexo 4'!$D$10,0)</f>
        <v>0</v>
      </c>
      <c r="H15" s="33">
        <f>ROUND('Anexo 14'!H15*'Anexo 4'!$D$10,0)</f>
        <v>0</v>
      </c>
      <c r="I15" s="33">
        <f>ROUND('Anexo 14'!I15*'Anexo 4'!$D$10,0)</f>
        <v>0</v>
      </c>
      <c r="J15" s="33">
        <f>ROUND('Anexo 14'!J15*'Anexo 4'!$D$10,0)</f>
        <v>0</v>
      </c>
      <c r="K15" s="33">
        <f>ROUND('Anexo 14'!K15*'Anexo 4'!$D$10,0)</f>
        <v>0</v>
      </c>
      <c r="L15" s="33">
        <f>ROUND('Anexo 14'!L15*'Anexo 4'!$D$10,0)</f>
        <v>0</v>
      </c>
      <c r="M15" s="33">
        <f>ROUND('Anexo 14'!M15*'Anexo 4'!$D$10,0)</f>
        <v>0</v>
      </c>
      <c r="N15" s="33">
        <f>ROUND('Anexo 14'!N15*'Anexo 4'!$D$10,0)</f>
        <v>0</v>
      </c>
      <c r="O15" s="33">
        <f>ROUND('Anexo 14'!O15*'Anexo 4'!$D$10,0)</f>
        <v>0</v>
      </c>
      <c r="P15" s="33">
        <f>ROUND('Anexo 14'!P15*'Anexo 4'!$D$10,0)</f>
        <v>0</v>
      </c>
      <c r="Q15" s="33">
        <f>ROUND('Anexo 14'!Q15*'Anexo 4'!$D$10,0)</f>
        <v>0</v>
      </c>
      <c r="R15" s="33">
        <f>ROUND('Anexo 14'!R15*'Anexo 4'!$D$10,0)</f>
        <v>0</v>
      </c>
      <c r="S15" s="33">
        <f>ROUND('Anexo 14'!S15*'Anexo 4'!$D$10,0)</f>
        <v>0</v>
      </c>
      <c r="T15" s="33">
        <f>ROUND('Anexo 14'!T15*'Anexo 4'!$D$10,0)</f>
        <v>0</v>
      </c>
      <c r="U15" s="33">
        <f>ROUND('Anexo 14'!U15*'Anexo 4'!$D$10,0)</f>
        <v>0</v>
      </c>
      <c r="V15" s="33">
        <f>ROUND('Anexo 14'!V15*'Anexo 4'!$D$10,0)</f>
        <v>0</v>
      </c>
      <c r="W15" s="33">
        <f>ROUND('Anexo 14'!W15*'Anexo 4'!$D$10,0)</f>
        <v>0</v>
      </c>
      <c r="X15" s="33">
        <f>ROUND('Anexo 14'!X15*'Anexo 4'!$D$10,0)</f>
        <v>0</v>
      </c>
      <c r="Y15" s="33">
        <f>ROUND('Anexo 14'!Y15*'Anexo 4'!$D$10,0)</f>
        <v>0</v>
      </c>
      <c r="Z15" s="33">
        <f>ROUND('Anexo 14'!Z15*'Anexo 4'!$D$10,0)</f>
        <v>0</v>
      </c>
      <c r="AA15" s="35">
        <f t="shared" si="0"/>
        <v>0</v>
      </c>
      <c r="AB15" s="19">
        <v>21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ROUND('Anexo 14'!C16*'Anexo 4'!$D$10,0)</f>
        <v>0</v>
      </c>
      <c r="D16" s="33">
        <f>ROUND('Anexo 14'!D16*'Anexo 4'!$D$10,0)</f>
        <v>0</v>
      </c>
      <c r="E16" s="33">
        <f>ROUND('Anexo 14'!E16*'Anexo 4'!$D$10,0)</f>
        <v>0</v>
      </c>
      <c r="F16" s="33">
        <f>ROUND('Anexo 14'!F16*'Anexo 4'!$D$10,0)</f>
        <v>0</v>
      </c>
      <c r="G16" s="33">
        <f>ROUND('Anexo 14'!G16*'Anexo 4'!$D$10,0)</f>
        <v>0</v>
      </c>
      <c r="H16" s="33">
        <f>ROUND('Anexo 14'!H16*'Anexo 4'!$D$10,0)</f>
        <v>0</v>
      </c>
      <c r="I16" s="33">
        <f>ROUND('Anexo 14'!I16*'Anexo 4'!$D$10,0)</f>
        <v>0</v>
      </c>
      <c r="J16" s="33">
        <f>ROUND('Anexo 14'!J16*'Anexo 4'!$D$10,0)</f>
        <v>0</v>
      </c>
      <c r="K16" s="33">
        <f>ROUND('Anexo 14'!K16*'Anexo 4'!$D$10,0)</f>
        <v>0</v>
      </c>
      <c r="L16" s="33">
        <f>ROUND('Anexo 14'!L16*'Anexo 4'!$D$10,0)</f>
        <v>0</v>
      </c>
      <c r="M16" s="33">
        <f>ROUND('Anexo 14'!M16*'Anexo 4'!$D$10,0)</f>
        <v>0</v>
      </c>
      <c r="N16" s="33">
        <f>ROUND('Anexo 14'!N16*'Anexo 4'!$D$10,0)</f>
        <v>0</v>
      </c>
      <c r="O16" s="33">
        <f>ROUND('Anexo 14'!O16*'Anexo 4'!$D$10,0)</f>
        <v>0</v>
      </c>
      <c r="P16" s="33">
        <f>ROUND('Anexo 14'!P16*'Anexo 4'!$D$10,0)</f>
        <v>0</v>
      </c>
      <c r="Q16" s="33">
        <f>ROUND('Anexo 14'!Q16*'Anexo 4'!$D$10,0)</f>
        <v>0</v>
      </c>
      <c r="R16" s="33">
        <f>ROUND('Anexo 14'!R16*'Anexo 4'!$D$10,0)</f>
        <v>0</v>
      </c>
      <c r="S16" s="33">
        <f>ROUND('Anexo 14'!S16*'Anexo 4'!$D$10,0)</f>
        <v>0</v>
      </c>
      <c r="T16" s="33">
        <f>ROUND('Anexo 14'!T16*'Anexo 4'!$D$10,0)</f>
        <v>0</v>
      </c>
      <c r="U16" s="33">
        <f>ROUND('Anexo 14'!U16*'Anexo 4'!$D$10,0)</f>
        <v>0</v>
      </c>
      <c r="V16" s="33">
        <f>ROUND('Anexo 14'!V16*'Anexo 4'!$D$10,0)</f>
        <v>0</v>
      </c>
      <c r="W16" s="33">
        <f>ROUND('Anexo 14'!W16*'Anexo 4'!$D$10,0)</f>
        <v>0</v>
      </c>
      <c r="X16" s="33">
        <f>ROUND('Anexo 14'!X16*'Anexo 4'!$D$10,0)</f>
        <v>0</v>
      </c>
      <c r="Y16" s="33">
        <f>ROUND('Anexo 14'!Y16*'Anexo 4'!$D$10,0)</f>
        <v>0</v>
      </c>
      <c r="Z16" s="33">
        <f>ROUND('Anexo 14'!Z16*'Anexo 4'!$D$10,0)</f>
        <v>0</v>
      </c>
      <c r="AA16" s="38">
        <f t="shared" si="0"/>
        <v>0</v>
      </c>
      <c r="AB16" s="21">
        <v>4</v>
      </c>
      <c r="AC16" s="95"/>
      <c r="AD16" s="47"/>
    </row>
    <row r="17" spans="1:30" ht="15.75" thickBot="1" x14ac:dyDescent="0.3">
      <c r="A17" s="93"/>
      <c r="B17" s="22" t="s">
        <v>3</v>
      </c>
      <c r="C17" s="33">
        <f>ROUND('Anexo 14'!C17*'Anexo 4'!$D$10,0)</f>
        <v>0</v>
      </c>
      <c r="D17" s="33">
        <f>ROUND('Anexo 14'!D17*'Anexo 4'!$D$10,0)</f>
        <v>0</v>
      </c>
      <c r="E17" s="33">
        <f>ROUND('Anexo 14'!E17*'Anexo 4'!$D$10,0)</f>
        <v>0</v>
      </c>
      <c r="F17" s="33">
        <f>ROUND('Anexo 14'!F17*'Anexo 4'!$D$10,0)</f>
        <v>0</v>
      </c>
      <c r="G17" s="33">
        <f>ROUND('Anexo 14'!G17*'Anexo 4'!$D$10,0)</f>
        <v>0</v>
      </c>
      <c r="H17" s="33">
        <f>ROUND('Anexo 14'!H17*'Anexo 4'!$D$10,0)</f>
        <v>0</v>
      </c>
      <c r="I17" s="33">
        <f>ROUND('Anexo 14'!I17*'Anexo 4'!$D$10,0)</f>
        <v>0</v>
      </c>
      <c r="J17" s="33">
        <f>ROUND('Anexo 14'!J17*'Anexo 4'!$D$10,0)</f>
        <v>0</v>
      </c>
      <c r="K17" s="33">
        <f>ROUND('Anexo 14'!K17*'Anexo 4'!$D$10,0)</f>
        <v>0</v>
      </c>
      <c r="L17" s="33">
        <f>ROUND('Anexo 14'!L17*'Anexo 4'!$D$10,0)</f>
        <v>0</v>
      </c>
      <c r="M17" s="33">
        <f>ROUND('Anexo 14'!M17*'Anexo 4'!$D$10,0)</f>
        <v>0</v>
      </c>
      <c r="N17" s="33">
        <f>ROUND('Anexo 14'!N17*'Anexo 4'!$D$10,0)</f>
        <v>0</v>
      </c>
      <c r="O17" s="33">
        <f>ROUND('Anexo 14'!O17*'Anexo 4'!$D$10,0)</f>
        <v>0</v>
      </c>
      <c r="P17" s="33">
        <f>ROUND('Anexo 14'!P17*'Anexo 4'!$D$10,0)</f>
        <v>0</v>
      </c>
      <c r="Q17" s="33">
        <f>ROUND('Anexo 14'!Q17*'Anexo 4'!$D$10,0)</f>
        <v>0</v>
      </c>
      <c r="R17" s="33">
        <f>ROUND('Anexo 14'!R17*'Anexo 4'!$D$10,0)</f>
        <v>0</v>
      </c>
      <c r="S17" s="33">
        <f>ROUND('Anexo 14'!S17*'Anexo 4'!$D$10,0)</f>
        <v>0</v>
      </c>
      <c r="T17" s="33">
        <f>ROUND('Anexo 14'!T17*'Anexo 4'!$D$10,0)</f>
        <v>0</v>
      </c>
      <c r="U17" s="33">
        <f>ROUND('Anexo 14'!U17*'Anexo 4'!$D$10,0)</f>
        <v>0</v>
      </c>
      <c r="V17" s="33">
        <f>ROUND('Anexo 14'!V17*'Anexo 4'!$D$10,0)</f>
        <v>0</v>
      </c>
      <c r="W17" s="33">
        <f>ROUND('Anexo 14'!W17*'Anexo 4'!$D$10,0)</f>
        <v>0</v>
      </c>
      <c r="X17" s="33">
        <f>ROUND('Anexo 14'!X17*'Anexo 4'!$D$10,0)</f>
        <v>0</v>
      </c>
      <c r="Y17" s="33">
        <f>ROUND('Anexo 14'!Y17*'Anexo 4'!$D$10,0)</f>
        <v>0</v>
      </c>
      <c r="Z17" s="33">
        <f>ROUND('Anexo 14'!Z17*'Anexo 4'!$D$10,0)</f>
        <v>0</v>
      </c>
      <c r="AA17" s="41">
        <f t="shared" si="0"/>
        <v>0</v>
      </c>
      <c r="AB17" s="23">
        <v>5</v>
      </c>
      <c r="AC17" s="96"/>
      <c r="AD17" s="48"/>
    </row>
    <row r="18" spans="1:30" ht="15.75" thickBot="1" x14ac:dyDescent="0.3">
      <c r="A18" s="93">
        <v>47239</v>
      </c>
      <c r="B18" s="18" t="s">
        <v>5</v>
      </c>
      <c r="C18" s="33">
        <f>ROUND('Anexo 14'!C18*'Anexo 4'!$D$10,0)</f>
        <v>0</v>
      </c>
      <c r="D18" s="33">
        <f>ROUND('Anexo 14'!D18*'Anexo 4'!$D$10,0)</f>
        <v>0</v>
      </c>
      <c r="E18" s="33">
        <f>ROUND('Anexo 14'!E18*'Anexo 4'!$D$10,0)</f>
        <v>0</v>
      </c>
      <c r="F18" s="33">
        <f>ROUND('Anexo 14'!F18*'Anexo 4'!$D$10,0)</f>
        <v>0</v>
      </c>
      <c r="G18" s="33">
        <f>ROUND('Anexo 14'!G18*'Anexo 4'!$D$10,0)</f>
        <v>0</v>
      </c>
      <c r="H18" s="33">
        <f>ROUND('Anexo 14'!H18*'Anexo 4'!$D$10,0)</f>
        <v>0</v>
      </c>
      <c r="I18" s="33">
        <f>ROUND('Anexo 14'!I18*'Anexo 4'!$D$10,0)</f>
        <v>0</v>
      </c>
      <c r="J18" s="33">
        <f>ROUND('Anexo 14'!J18*'Anexo 4'!$D$10,0)</f>
        <v>0</v>
      </c>
      <c r="K18" s="33">
        <f>ROUND('Anexo 14'!K18*'Anexo 4'!$D$10,0)</f>
        <v>0</v>
      </c>
      <c r="L18" s="33">
        <f>ROUND('Anexo 14'!L18*'Anexo 4'!$D$10,0)</f>
        <v>0</v>
      </c>
      <c r="M18" s="33">
        <f>ROUND('Anexo 14'!M18*'Anexo 4'!$D$10,0)</f>
        <v>0</v>
      </c>
      <c r="N18" s="33">
        <f>ROUND('Anexo 14'!N18*'Anexo 4'!$D$10,0)</f>
        <v>0</v>
      </c>
      <c r="O18" s="33">
        <f>ROUND('Anexo 14'!O18*'Anexo 4'!$D$10,0)</f>
        <v>0</v>
      </c>
      <c r="P18" s="33">
        <f>ROUND('Anexo 14'!P18*'Anexo 4'!$D$10,0)</f>
        <v>0</v>
      </c>
      <c r="Q18" s="33">
        <f>ROUND('Anexo 14'!Q18*'Anexo 4'!$D$10,0)</f>
        <v>0</v>
      </c>
      <c r="R18" s="33">
        <f>ROUND('Anexo 14'!R18*'Anexo 4'!$D$10,0)</f>
        <v>0</v>
      </c>
      <c r="S18" s="33">
        <f>ROUND('Anexo 14'!S18*'Anexo 4'!$D$10,0)</f>
        <v>0</v>
      </c>
      <c r="T18" s="33">
        <f>ROUND('Anexo 14'!T18*'Anexo 4'!$D$10,0)</f>
        <v>0</v>
      </c>
      <c r="U18" s="33">
        <f>ROUND('Anexo 14'!U18*'Anexo 4'!$D$10,0)</f>
        <v>0</v>
      </c>
      <c r="V18" s="33">
        <f>ROUND('Anexo 14'!V18*'Anexo 4'!$D$10,0)</f>
        <v>0</v>
      </c>
      <c r="W18" s="33">
        <f>ROUND('Anexo 14'!W18*'Anexo 4'!$D$10,0)</f>
        <v>0</v>
      </c>
      <c r="X18" s="33">
        <f>ROUND('Anexo 14'!X18*'Anexo 4'!$D$10,0)</f>
        <v>0</v>
      </c>
      <c r="Y18" s="33">
        <f>ROUND('Anexo 14'!Y18*'Anexo 4'!$D$10,0)</f>
        <v>0</v>
      </c>
      <c r="Z18" s="33">
        <f>ROUND('Anexo 14'!Z18*'Anexo 4'!$D$10,0)</f>
        <v>0</v>
      </c>
      <c r="AA18" s="35">
        <f t="shared" si="0"/>
        <v>0</v>
      </c>
      <c r="AB18" s="19">
        <v>21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ROUND('Anexo 14'!C19*'Anexo 4'!$D$10,0)</f>
        <v>0</v>
      </c>
      <c r="D19" s="33">
        <f>ROUND('Anexo 14'!D19*'Anexo 4'!$D$10,0)</f>
        <v>0</v>
      </c>
      <c r="E19" s="33">
        <f>ROUND('Anexo 14'!E19*'Anexo 4'!$D$10,0)</f>
        <v>0</v>
      </c>
      <c r="F19" s="33">
        <f>ROUND('Anexo 14'!F19*'Anexo 4'!$D$10,0)</f>
        <v>0</v>
      </c>
      <c r="G19" s="33">
        <f>ROUND('Anexo 14'!G19*'Anexo 4'!$D$10,0)</f>
        <v>0</v>
      </c>
      <c r="H19" s="33">
        <f>ROUND('Anexo 14'!H19*'Anexo 4'!$D$10,0)</f>
        <v>0</v>
      </c>
      <c r="I19" s="33">
        <f>ROUND('Anexo 14'!I19*'Anexo 4'!$D$10,0)</f>
        <v>0</v>
      </c>
      <c r="J19" s="33">
        <f>ROUND('Anexo 14'!J19*'Anexo 4'!$D$10,0)</f>
        <v>0</v>
      </c>
      <c r="K19" s="33">
        <f>ROUND('Anexo 14'!K19*'Anexo 4'!$D$10,0)</f>
        <v>0</v>
      </c>
      <c r="L19" s="33">
        <f>ROUND('Anexo 14'!L19*'Anexo 4'!$D$10,0)</f>
        <v>0</v>
      </c>
      <c r="M19" s="33">
        <f>ROUND('Anexo 14'!M19*'Anexo 4'!$D$10,0)</f>
        <v>0</v>
      </c>
      <c r="N19" s="33">
        <f>ROUND('Anexo 14'!N19*'Anexo 4'!$D$10,0)</f>
        <v>0</v>
      </c>
      <c r="O19" s="33">
        <f>ROUND('Anexo 14'!O19*'Anexo 4'!$D$10,0)</f>
        <v>0</v>
      </c>
      <c r="P19" s="33">
        <f>ROUND('Anexo 14'!P19*'Anexo 4'!$D$10,0)</f>
        <v>0</v>
      </c>
      <c r="Q19" s="33">
        <f>ROUND('Anexo 14'!Q19*'Anexo 4'!$D$10,0)</f>
        <v>0</v>
      </c>
      <c r="R19" s="33">
        <f>ROUND('Anexo 14'!R19*'Anexo 4'!$D$10,0)</f>
        <v>0</v>
      </c>
      <c r="S19" s="33">
        <f>ROUND('Anexo 14'!S19*'Anexo 4'!$D$10,0)</f>
        <v>0</v>
      </c>
      <c r="T19" s="33">
        <f>ROUND('Anexo 14'!T19*'Anexo 4'!$D$10,0)</f>
        <v>0</v>
      </c>
      <c r="U19" s="33">
        <f>ROUND('Anexo 14'!U19*'Anexo 4'!$D$10,0)</f>
        <v>0</v>
      </c>
      <c r="V19" s="33">
        <f>ROUND('Anexo 14'!V19*'Anexo 4'!$D$10,0)</f>
        <v>0</v>
      </c>
      <c r="W19" s="33">
        <f>ROUND('Anexo 14'!W19*'Anexo 4'!$D$10,0)</f>
        <v>0</v>
      </c>
      <c r="X19" s="33">
        <f>ROUND('Anexo 14'!X19*'Anexo 4'!$D$10,0)</f>
        <v>0</v>
      </c>
      <c r="Y19" s="33">
        <f>ROUND('Anexo 14'!Y19*'Anexo 4'!$D$10,0)</f>
        <v>0</v>
      </c>
      <c r="Z19" s="33">
        <f>ROUND('Anexo 14'!Z19*'Anexo 4'!$D$10,0)</f>
        <v>0</v>
      </c>
      <c r="AA19" s="38">
        <f t="shared" si="0"/>
        <v>0</v>
      </c>
      <c r="AB19" s="21">
        <v>4</v>
      </c>
      <c r="AC19" s="95"/>
      <c r="AD19" s="47"/>
    </row>
    <row r="20" spans="1:30" ht="15.75" thickBot="1" x14ac:dyDescent="0.3">
      <c r="A20" s="93"/>
      <c r="B20" s="22" t="s">
        <v>3</v>
      </c>
      <c r="C20" s="33">
        <f>ROUND('Anexo 14'!C20*'Anexo 4'!$D$10,0)</f>
        <v>0</v>
      </c>
      <c r="D20" s="33">
        <f>ROUND('Anexo 14'!D20*'Anexo 4'!$D$10,0)</f>
        <v>0</v>
      </c>
      <c r="E20" s="33">
        <f>ROUND('Anexo 14'!E20*'Anexo 4'!$D$10,0)</f>
        <v>0</v>
      </c>
      <c r="F20" s="33">
        <f>ROUND('Anexo 14'!F20*'Anexo 4'!$D$10,0)</f>
        <v>0</v>
      </c>
      <c r="G20" s="33">
        <f>ROUND('Anexo 14'!G20*'Anexo 4'!$D$10,0)</f>
        <v>0</v>
      </c>
      <c r="H20" s="33">
        <f>ROUND('Anexo 14'!H20*'Anexo 4'!$D$10,0)</f>
        <v>0</v>
      </c>
      <c r="I20" s="33">
        <f>ROUND('Anexo 14'!I20*'Anexo 4'!$D$10,0)</f>
        <v>0</v>
      </c>
      <c r="J20" s="33">
        <f>ROUND('Anexo 14'!J20*'Anexo 4'!$D$10,0)</f>
        <v>0</v>
      </c>
      <c r="K20" s="33">
        <f>ROUND('Anexo 14'!K20*'Anexo 4'!$D$10,0)</f>
        <v>0</v>
      </c>
      <c r="L20" s="33">
        <f>ROUND('Anexo 14'!L20*'Anexo 4'!$D$10,0)</f>
        <v>0</v>
      </c>
      <c r="M20" s="33">
        <f>ROUND('Anexo 14'!M20*'Anexo 4'!$D$10,0)</f>
        <v>0</v>
      </c>
      <c r="N20" s="33">
        <f>ROUND('Anexo 14'!N20*'Anexo 4'!$D$10,0)</f>
        <v>0</v>
      </c>
      <c r="O20" s="33">
        <f>ROUND('Anexo 14'!O20*'Anexo 4'!$D$10,0)</f>
        <v>0</v>
      </c>
      <c r="P20" s="33">
        <f>ROUND('Anexo 14'!P20*'Anexo 4'!$D$10,0)</f>
        <v>0</v>
      </c>
      <c r="Q20" s="33">
        <f>ROUND('Anexo 14'!Q20*'Anexo 4'!$D$10,0)</f>
        <v>0</v>
      </c>
      <c r="R20" s="33">
        <f>ROUND('Anexo 14'!R20*'Anexo 4'!$D$10,0)</f>
        <v>0</v>
      </c>
      <c r="S20" s="33">
        <f>ROUND('Anexo 14'!S20*'Anexo 4'!$D$10,0)</f>
        <v>0</v>
      </c>
      <c r="T20" s="33">
        <f>ROUND('Anexo 14'!T20*'Anexo 4'!$D$10,0)</f>
        <v>0</v>
      </c>
      <c r="U20" s="33">
        <f>ROUND('Anexo 14'!U20*'Anexo 4'!$D$10,0)</f>
        <v>0</v>
      </c>
      <c r="V20" s="33">
        <f>ROUND('Anexo 14'!V20*'Anexo 4'!$D$10,0)</f>
        <v>0</v>
      </c>
      <c r="W20" s="33">
        <f>ROUND('Anexo 14'!W20*'Anexo 4'!$D$10,0)</f>
        <v>0</v>
      </c>
      <c r="X20" s="33">
        <f>ROUND('Anexo 14'!X20*'Anexo 4'!$D$10,0)</f>
        <v>0</v>
      </c>
      <c r="Y20" s="33">
        <f>ROUND('Anexo 14'!Y20*'Anexo 4'!$D$10,0)</f>
        <v>0</v>
      </c>
      <c r="Z20" s="33">
        <f>ROUND('Anexo 14'!Z20*'Anexo 4'!$D$10,0)</f>
        <v>0</v>
      </c>
      <c r="AA20" s="41">
        <f t="shared" si="0"/>
        <v>0</v>
      </c>
      <c r="AB20" s="23">
        <v>6</v>
      </c>
      <c r="AC20" s="96"/>
      <c r="AD20" s="48"/>
    </row>
    <row r="21" spans="1:30" ht="15.75" thickBot="1" x14ac:dyDescent="0.3">
      <c r="A21" s="93">
        <v>47270</v>
      </c>
      <c r="B21" s="18" t="s">
        <v>5</v>
      </c>
      <c r="C21" s="33">
        <f>ROUND('Anexo 14'!C21*'Anexo 4'!$D$10,0)</f>
        <v>0</v>
      </c>
      <c r="D21" s="33">
        <f>ROUND('Anexo 14'!D21*'Anexo 4'!$D$10,0)</f>
        <v>0</v>
      </c>
      <c r="E21" s="33">
        <f>ROUND('Anexo 14'!E21*'Anexo 4'!$D$10,0)</f>
        <v>0</v>
      </c>
      <c r="F21" s="33">
        <f>ROUND('Anexo 14'!F21*'Anexo 4'!$D$10,0)</f>
        <v>0</v>
      </c>
      <c r="G21" s="33">
        <f>ROUND('Anexo 14'!G21*'Anexo 4'!$D$10,0)</f>
        <v>0</v>
      </c>
      <c r="H21" s="33">
        <f>ROUND('Anexo 14'!H21*'Anexo 4'!$D$10,0)</f>
        <v>0</v>
      </c>
      <c r="I21" s="33">
        <f>ROUND('Anexo 14'!I21*'Anexo 4'!$D$10,0)</f>
        <v>0</v>
      </c>
      <c r="J21" s="33">
        <f>ROUND('Anexo 14'!J21*'Anexo 4'!$D$10,0)</f>
        <v>0</v>
      </c>
      <c r="K21" s="33">
        <f>ROUND('Anexo 14'!K21*'Anexo 4'!$D$10,0)</f>
        <v>0</v>
      </c>
      <c r="L21" s="33">
        <f>ROUND('Anexo 14'!L21*'Anexo 4'!$D$10,0)</f>
        <v>0</v>
      </c>
      <c r="M21" s="33">
        <f>ROUND('Anexo 14'!M21*'Anexo 4'!$D$10,0)</f>
        <v>0</v>
      </c>
      <c r="N21" s="33">
        <f>ROUND('Anexo 14'!N21*'Anexo 4'!$D$10,0)</f>
        <v>0</v>
      </c>
      <c r="O21" s="33">
        <f>ROUND('Anexo 14'!O21*'Anexo 4'!$D$10,0)</f>
        <v>0</v>
      </c>
      <c r="P21" s="33">
        <f>ROUND('Anexo 14'!P21*'Anexo 4'!$D$10,0)</f>
        <v>0</v>
      </c>
      <c r="Q21" s="33">
        <f>ROUND('Anexo 14'!Q21*'Anexo 4'!$D$10,0)</f>
        <v>0</v>
      </c>
      <c r="R21" s="33">
        <f>ROUND('Anexo 14'!R21*'Anexo 4'!$D$10,0)</f>
        <v>0</v>
      </c>
      <c r="S21" s="33">
        <f>ROUND('Anexo 14'!S21*'Anexo 4'!$D$10,0)</f>
        <v>0</v>
      </c>
      <c r="T21" s="33">
        <f>ROUND('Anexo 14'!T21*'Anexo 4'!$D$10,0)</f>
        <v>0</v>
      </c>
      <c r="U21" s="33">
        <f>ROUND('Anexo 14'!U21*'Anexo 4'!$D$10,0)</f>
        <v>0</v>
      </c>
      <c r="V21" s="33">
        <f>ROUND('Anexo 14'!V21*'Anexo 4'!$D$10,0)</f>
        <v>0</v>
      </c>
      <c r="W21" s="33">
        <f>ROUND('Anexo 14'!W21*'Anexo 4'!$D$10,0)</f>
        <v>0</v>
      </c>
      <c r="X21" s="33">
        <f>ROUND('Anexo 14'!X21*'Anexo 4'!$D$10,0)</f>
        <v>0</v>
      </c>
      <c r="Y21" s="33">
        <f>ROUND('Anexo 14'!Y21*'Anexo 4'!$D$10,0)</f>
        <v>0</v>
      </c>
      <c r="Z21" s="33">
        <f>ROUND('Anexo 14'!Z21*'Anexo 4'!$D$10,0)</f>
        <v>0</v>
      </c>
      <c r="AA21" s="35">
        <f t="shared" si="0"/>
        <v>0</v>
      </c>
      <c r="AB21" s="19">
        <v>19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ROUND('Anexo 14'!C22*'Anexo 4'!$D$10,0)</f>
        <v>0</v>
      </c>
      <c r="D22" s="33">
        <f>ROUND('Anexo 14'!D22*'Anexo 4'!$D$10,0)</f>
        <v>0</v>
      </c>
      <c r="E22" s="33">
        <f>ROUND('Anexo 14'!E22*'Anexo 4'!$D$10,0)</f>
        <v>0</v>
      </c>
      <c r="F22" s="33">
        <f>ROUND('Anexo 14'!F22*'Anexo 4'!$D$10,0)</f>
        <v>0</v>
      </c>
      <c r="G22" s="33">
        <f>ROUND('Anexo 14'!G22*'Anexo 4'!$D$10,0)</f>
        <v>0</v>
      </c>
      <c r="H22" s="33">
        <f>ROUND('Anexo 14'!H22*'Anexo 4'!$D$10,0)</f>
        <v>0</v>
      </c>
      <c r="I22" s="33">
        <f>ROUND('Anexo 14'!I22*'Anexo 4'!$D$10,0)</f>
        <v>0</v>
      </c>
      <c r="J22" s="33">
        <f>ROUND('Anexo 14'!J22*'Anexo 4'!$D$10,0)</f>
        <v>0</v>
      </c>
      <c r="K22" s="33">
        <f>ROUND('Anexo 14'!K22*'Anexo 4'!$D$10,0)</f>
        <v>0</v>
      </c>
      <c r="L22" s="33">
        <f>ROUND('Anexo 14'!L22*'Anexo 4'!$D$10,0)</f>
        <v>0</v>
      </c>
      <c r="M22" s="33">
        <f>ROUND('Anexo 14'!M22*'Anexo 4'!$D$10,0)</f>
        <v>0</v>
      </c>
      <c r="N22" s="33">
        <f>ROUND('Anexo 14'!N22*'Anexo 4'!$D$10,0)</f>
        <v>0</v>
      </c>
      <c r="O22" s="33">
        <f>ROUND('Anexo 14'!O22*'Anexo 4'!$D$10,0)</f>
        <v>0</v>
      </c>
      <c r="P22" s="33">
        <f>ROUND('Anexo 14'!P22*'Anexo 4'!$D$10,0)</f>
        <v>0</v>
      </c>
      <c r="Q22" s="33">
        <f>ROUND('Anexo 14'!Q22*'Anexo 4'!$D$10,0)</f>
        <v>0</v>
      </c>
      <c r="R22" s="33">
        <f>ROUND('Anexo 14'!R22*'Anexo 4'!$D$10,0)</f>
        <v>0</v>
      </c>
      <c r="S22" s="33">
        <f>ROUND('Anexo 14'!S22*'Anexo 4'!$D$10,0)</f>
        <v>0</v>
      </c>
      <c r="T22" s="33">
        <f>ROUND('Anexo 14'!T22*'Anexo 4'!$D$10,0)</f>
        <v>0</v>
      </c>
      <c r="U22" s="33">
        <f>ROUND('Anexo 14'!U22*'Anexo 4'!$D$10,0)</f>
        <v>0</v>
      </c>
      <c r="V22" s="33">
        <f>ROUND('Anexo 14'!V22*'Anexo 4'!$D$10,0)</f>
        <v>0</v>
      </c>
      <c r="W22" s="33">
        <f>ROUND('Anexo 14'!W22*'Anexo 4'!$D$10,0)</f>
        <v>0</v>
      </c>
      <c r="X22" s="33">
        <f>ROUND('Anexo 14'!X22*'Anexo 4'!$D$10,0)</f>
        <v>0</v>
      </c>
      <c r="Y22" s="33">
        <f>ROUND('Anexo 14'!Y22*'Anexo 4'!$D$10,0)</f>
        <v>0</v>
      </c>
      <c r="Z22" s="33">
        <f>ROUND('Anexo 14'!Z22*'Anexo 4'!$D$10,0)</f>
        <v>0</v>
      </c>
      <c r="AA22" s="38">
        <f t="shared" si="0"/>
        <v>0</v>
      </c>
      <c r="AB22" s="21">
        <v>5</v>
      </c>
      <c r="AC22" s="95"/>
      <c r="AD22" s="47"/>
    </row>
    <row r="23" spans="1:30" ht="15.75" thickBot="1" x14ac:dyDescent="0.3">
      <c r="A23" s="93"/>
      <c r="B23" s="22" t="s">
        <v>3</v>
      </c>
      <c r="C23" s="33">
        <f>ROUND('Anexo 14'!C23*'Anexo 4'!$D$10,0)</f>
        <v>0</v>
      </c>
      <c r="D23" s="33">
        <f>ROUND('Anexo 14'!D23*'Anexo 4'!$D$10,0)</f>
        <v>0</v>
      </c>
      <c r="E23" s="33">
        <f>ROUND('Anexo 14'!E23*'Anexo 4'!$D$10,0)</f>
        <v>0</v>
      </c>
      <c r="F23" s="33">
        <f>ROUND('Anexo 14'!F23*'Anexo 4'!$D$10,0)</f>
        <v>0</v>
      </c>
      <c r="G23" s="33">
        <f>ROUND('Anexo 14'!G23*'Anexo 4'!$D$10,0)</f>
        <v>0</v>
      </c>
      <c r="H23" s="33">
        <f>ROUND('Anexo 14'!H23*'Anexo 4'!$D$10,0)</f>
        <v>0</v>
      </c>
      <c r="I23" s="33">
        <f>ROUND('Anexo 14'!I23*'Anexo 4'!$D$10,0)</f>
        <v>0</v>
      </c>
      <c r="J23" s="33">
        <f>ROUND('Anexo 14'!J23*'Anexo 4'!$D$10,0)</f>
        <v>0</v>
      </c>
      <c r="K23" s="33">
        <f>ROUND('Anexo 14'!K23*'Anexo 4'!$D$10,0)</f>
        <v>0</v>
      </c>
      <c r="L23" s="33">
        <f>ROUND('Anexo 14'!L23*'Anexo 4'!$D$10,0)</f>
        <v>0</v>
      </c>
      <c r="M23" s="33">
        <f>ROUND('Anexo 14'!M23*'Anexo 4'!$D$10,0)</f>
        <v>0</v>
      </c>
      <c r="N23" s="33">
        <f>ROUND('Anexo 14'!N23*'Anexo 4'!$D$10,0)</f>
        <v>0</v>
      </c>
      <c r="O23" s="33">
        <f>ROUND('Anexo 14'!O23*'Anexo 4'!$D$10,0)</f>
        <v>0</v>
      </c>
      <c r="P23" s="33">
        <f>ROUND('Anexo 14'!P23*'Anexo 4'!$D$10,0)</f>
        <v>0</v>
      </c>
      <c r="Q23" s="33">
        <f>ROUND('Anexo 14'!Q23*'Anexo 4'!$D$10,0)</f>
        <v>0</v>
      </c>
      <c r="R23" s="33">
        <f>ROUND('Anexo 14'!R23*'Anexo 4'!$D$10,0)</f>
        <v>0</v>
      </c>
      <c r="S23" s="33">
        <f>ROUND('Anexo 14'!S23*'Anexo 4'!$D$10,0)</f>
        <v>0</v>
      </c>
      <c r="T23" s="33">
        <f>ROUND('Anexo 14'!T23*'Anexo 4'!$D$10,0)</f>
        <v>0</v>
      </c>
      <c r="U23" s="33">
        <f>ROUND('Anexo 14'!U23*'Anexo 4'!$D$10,0)</f>
        <v>0</v>
      </c>
      <c r="V23" s="33">
        <f>ROUND('Anexo 14'!V23*'Anexo 4'!$D$10,0)</f>
        <v>0</v>
      </c>
      <c r="W23" s="33">
        <f>ROUND('Anexo 14'!W23*'Anexo 4'!$D$10,0)</f>
        <v>0</v>
      </c>
      <c r="X23" s="33">
        <f>ROUND('Anexo 14'!X23*'Anexo 4'!$D$10,0)</f>
        <v>0</v>
      </c>
      <c r="Y23" s="33">
        <f>ROUND('Anexo 14'!Y23*'Anexo 4'!$D$10,0)</f>
        <v>0</v>
      </c>
      <c r="Z23" s="33">
        <f>ROUND('Anexo 14'!Z23*'Anexo 4'!$D$10,0)</f>
        <v>0</v>
      </c>
      <c r="AA23" s="41">
        <f t="shared" si="0"/>
        <v>0</v>
      </c>
      <c r="AB23" s="23">
        <v>6</v>
      </c>
      <c r="AC23" s="96"/>
      <c r="AD23" s="48"/>
    </row>
    <row r="24" spans="1:30" ht="15.75" thickBot="1" x14ac:dyDescent="0.3">
      <c r="A24" s="93">
        <v>47300</v>
      </c>
      <c r="B24" s="18" t="s">
        <v>5</v>
      </c>
      <c r="C24" s="33">
        <f>ROUND('Anexo 14'!C24*'Anexo 4'!$D$10,0)</f>
        <v>0</v>
      </c>
      <c r="D24" s="33">
        <f>ROUND('Anexo 14'!D24*'Anexo 4'!$D$10,0)</f>
        <v>0</v>
      </c>
      <c r="E24" s="33">
        <f>ROUND('Anexo 14'!E24*'Anexo 4'!$D$10,0)</f>
        <v>0</v>
      </c>
      <c r="F24" s="33">
        <f>ROUND('Anexo 14'!F24*'Anexo 4'!$D$10,0)</f>
        <v>0</v>
      </c>
      <c r="G24" s="33">
        <f>ROUND('Anexo 14'!G24*'Anexo 4'!$D$10,0)</f>
        <v>0</v>
      </c>
      <c r="H24" s="33">
        <f>ROUND('Anexo 14'!H24*'Anexo 4'!$D$10,0)</f>
        <v>0</v>
      </c>
      <c r="I24" s="33">
        <f>ROUND('Anexo 14'!I24*'Anexo 4'!$D$10,0)</f>
        <v>0</v>
      </c>
      <c r="J24" s="33">
        <f>ROUND('Anexo 14'!J24*'Anexo 4'!$D$10,0)</f>
        <v>0</v>
      </c>
      <c r="K24" s="33">
        <f>ROUND('Anexo 14'!K24*'Anexo 4'!$D$10,0)</f>
        <v>0</v>
      </c>
      <c r="L24" s="33">
        <f>ROUND('Anexo 14'!L24*'Anexo 4'!$D$10,0)</f>
        <v>0</v>
      </c>
      <c r="M24" s="33">
        <f>ROUND('Anexo 14'!M24*'Anexo 4'!$D$10,0)</f>
        <v>0</v>
      </c>
      <c r="N24" s="33">
        <f>ROUND('Anexo 14'!N24*'Anexo 4'!$D$10,0)</f>
        <v>0</v>
      </c>
      <c r="O24" s="33">
        <f>ROUND('Anexo 14'!O24*'Anexo 4'!$D$10,0)</f>
        <v>0</v>
      </c>
      <c r="P24" s="33">
        <f>ROUND('Anexo 14'!P24*'Anexo 4'!$D$10,0)</f>
        <v>0</v>
      </c>
      <c r="Q24" s="33">
        <f>ROUND('Anexo 14'!Q24*'Anexo 4'!$D$10,0)</f>
        <v>0</v>
      </c>
      <c r="R24" s="33">
        <f>ROUND('Anexo 14'!R24*'Anexo 4'!$D$10,0)</f>
        <v>0</v>
      </c>
      <c r="S24" s="33">
        <f>ROUND('Anexo 14'!S24*'Anexo 4'!$D$10,0)</f>
        <v>0</v>
      </c>
      <c r="T24" s="33">
        <f>ROUND('Anexo 14'!T24*'Anexo 4'!$D$10,0)</f>
        <v>0</v>
      </c>
      <c r="U24" s="33">
        <f>ROUND('Anexo 14'!U24*'Anexo 4'!$D$10,0)</f>
        <v>0</v>
      </c>
      <c r="V24" s="33">
        <f>ROUND('Anexo 14'!V24*'Anexo 4'!$D$10,0)</f>
        <v>0</v>
      </c>
      <c r="W24" s="33">
        <f>ROUND('Anexo 14'!W24*'Anexo 4'!$D$10,0)</f>
        <v>0</v>
      </c>
      <c r="X24" s="33">
        <f>ROUND('Anexo 14'!X24*'Anexo 4'!$D$10,0)</f>
        <v>0</v>
      </c>
      <c r="Y24" s="33">
        <f>ROUND('Anexo 14'!Y24*'Anexo 4'!$D$10,0)</f>
        <v>0</v>
      </c>
      <c r="Z24" s="33">
        <f>ROUND('Anexo 14'!Z24*'Anexo 4'!$D$10,0)</f>
        <v>0</v>
      </c>
      <c r="AA24" s="35">
        <f t="shared" si="0"/>
        <v>0</v>
      </c>
      <c r="AB24" s="19">
        <v>20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ROUND('Anexo 14'!C25*'Anexo 4'!$D$10,0)</f>
        <v>0</v>
      </c>
      <c r="D25" s="33">
        <f>ROUND('Anexo 14'!D25*'Anexo 4'!$D$10,0)</f>
        <v>0</v>
      </c>
      <c r="E25" s="33">
        <f>ROUND('Anexo 14'!E25*'Anexo 4'!$D$10,0)</f>
        <v>0</v>
      </c>
      <c r="F25" s="33">
        <f>ROUND('Anexo 14'!F25*'Anexo 4'!$D$10,0)</f>
        <v>0</v>
      </c>
      <c r="G25" s="33">
        <f>ROUND('Anexo 14'!G25*'Anexo 4'!$D$10,0)</f>
        <v>0</v>
      </c>
      <c r="H25" s="33">
        <f>ROUND('Anexo 14'!H25*'Anexo 4'!$D$10,0)</f>
        <v>0</v>
      </c>
      <c r="I25" s="33">
        <f>ROUND('Anexo 14'!I25*'Anexo 4'!$D$10,0)</f>
        <v>0</v>
      </c>
      <c r="J25" s="33">
        <f>ROUND('Anexo 14'!J25*'Anexo 4'!$D$10,0)</f>
        <v>0</v>
      </c>
      <c r="K25" s="33">
        <f>ROUND('Anexo 14'!K25*'Anexo 4'!$D$10,0)</f>
        <v>0</v>
      </c>
      <c r="L25" s="33">
        <f>ROUND('Anexo 14'!L25*'Anexo 4'!$D$10,0)</f>
        <v>0</v>
      </c>
      <c r="M25" s="33">
        <f>ROUND('Anexo 14'!M25*'Anexo 4'!$D$10,0)</f>
        <v>0</v>
      </c>
      <c r="N25" s="33">
        <f>ROUND('Anexo 14'!N25*'Anexo 4'!$D$10,0)</f>
        <v>0</v>
      </c>
      <c r="O25" s="33">
        <f>ROUND('Anexo 14'!O25*'Anexo 4'!$D$10,0)</f>
        <v>0</v>
      </c>
      <c r="P25" s="33">
        <f>ROUND('Anexo 14'!P25*'Anexo 4'!$D$10,0)</f>
        <v>0</v>
      </c>
      <c r="Q25" s="33">
        <f>ROUND('Anexo 14'!Q25*'Anexo 4'!$D$10,0)</f>
        <v>0</v>
      </c>
      <c r="R25" s="33">
        <f>ROUND('Anexo 14'!R25*'Anexo 4'!$D$10,0)</f>
        <v>0</v>
      </c>
      <c r="S25" s="33">
        <f>ROUND('Anexo 14'!S25*'Anexo 4'!$D$10,0)</f>
        <v>0</v>
      </c>
      <c r="T25" s="33">
        <f>ROUND('Anexo 14'!T25*'Anexo 4'!$D$10,0)</f>
        <v>0</v>
      </c>
      <c r="U25" s="33">
        <f>ROUND('Anexo 14'!U25*'Anexo 4'!$D$10,0)</f>
        <v>0</v>
      </c>
      <c r="V25" s="33">
        <f>ROUND('Anexo 14'!V25*'Anexo 4'!$D$10,0)</f>
        <v>0</v>
      </c>
      <c r="W25" s="33">
        <f>ROUND('Anexo 14'!W25*'Anexo 4'!$D$10,0)</f>
        <v>0</v>
      </c>
      <c r="X25" s="33">
        <f>ROUND('Anexo 14'!X25*'Anexo 4'!$D$10,0)</f>
        <v>0</v>
      </c>
      <c r="Y25" s="33">
        <f>ROUND('Anexo 14'!Y25*'Anexo 4'!$D$10,0)</f>
        <v>0</v>
      </c>
      <c r="Z25" s="33">
        <f>ROUND('Anexo 14'!Z25*'Anexo 4'!$D$10,0)</f>
        <v>0</v>
      </c>
      <c r="AA25" s="38">
        <f t="shared" si="0"/>
        <v>0</v>
      </c>
      <c r="AB25" s="21">
        <v>4</v>
      </c>
      <c r="AC25" s="95"/>
      <c r="AD25" s="47"/>
    </row>
    <row r="26" spans="1:30" ht="15.75" thickBot="1" x14ac:dyDescent="0.3">
      <c r="A26" s="93"/>
      <c r="B26" s="22" t="s">
        <v>3</v>
      </c>
      <c r="C26" s="33">
        <f>ROUND('Anexo 14'!C26*'Anexo 4'!$D$10,0)</f>
        <v>0</v>
      </c>
      <c r="D26" s="33">
        <f>ROUND('Anexo 14'!D26*'Anexo 4'!$D$10,0)</f>
        <v>0</v>
      </c>
      <c r="E26" s="33">
        <f>ROUND('Anexo 14'!E26*'Anexo 4'!$D$10,0)</f>
        <v>0</v>
      </c>
      <c r="F26" s="33">
        <f>ROUND('Anexo 14'!F26*'Anexo 4'!$D$10,0)</f>
        <v>0</v>
      </c>
      <c r="G26" s="33">
        <f>ROUND('Anexo 14'!G26*'Anexo 4'!$D$10,0)</f>
        <v>0</v>
      </c>
      <c r="H26" s="33">
        <f>ROUND('Anexo 14'!H26*'Anexo 4'!$D$10,0)</f>
        <v>0</v>
      </c>
      <c r="I26" s="33">
        <f>ROUND('Anexo 14'!I26*'Anexo 4'!$D$10,0)</f>
        <v>0</v>
      </c>
      <c r="J26" s="33">
        <f>ROUND('Anexo 14'!J26*'Anexo 4'!$D$10,0)</f>
        <v>0</v>
      </c>
      <c r="K26" s="33">
        <f>ROUND('Anexo 14'!K26*'Anexo 4'!$D$10,0)</f>
        <v>0</v>
      </c>
      <c r="L26" s="33">
        <f>ROUND('Anexo 14'!L26*'Anexo 4'!$D$10,0)</f>
        <v>0</v>
      </c>
      <c r="M26" s="33">
        <f>ROUND('Anexo 14'!M26*'Anexo 4'!$D$10,0)</f>
        <v>0</v>
      </c>
      <c r="N26" s="33">
        <f>ROUND('Anexo 14'!N26*'Anexo 4'!$D$10,0)</f>
        <v>0</v>
      </c>
      <c r="O26" s="33">
        <f>ROUND('Anexo 14'!O26*'Anexo 4'!$D$10,0)</f>
        <v>0</v>
      </c>
      <c r="P26" s="33">
        <f>ROUND('Anexo 14'!P26*'Anexo 4'!$D$10,0)</f>
        <v>0</v>
      </c>
      <c r="Q26" s="33">
        <f>ROUND('Anexo 14'!Q26*'Anexo 4'!$D$10,0)</f>
        <v>0</v>
      </c>
      <c r="R26" s="33">
        <f>ROUND('Anexo 14'!R26*'Anexo 4'!$D$10,0)</f>
        <v>0</v>
      </c>
      <c r="S26" s="33">
        <f>ROUND('Anexo 14'!S26*'Anexo 4'!$D$10,0)</f>
        <v>0</v>
      </c>
      <c r="T26" s="33">
        <f>ROUND('Anexo 14'!T26*'Anexo 4'!$D$10,0)</f>
        <v>0</v>
      </c>
      <c r="U26" s="33">
        <f>ROUND('Anexo 14'!U26*'Anexo 4'!$D$10,0)</f>
        <v>0</v>
      </c>
      <c r="V26" s="33">
        <f>ROUND('Anexo 14'!V26*'Anexo 4'!$D$10,0)</f>
        <v>0</v>
      </c>
      <c r="W26" s="33">
        <f>ROUND('Anexo 14'!W26*'Anexo 4'!$D$10,0)</f>
        <v>0</v>
      </c>
      <c r="X26" s="33">
        <f>ROUND('Anexo 14'!X26*'Anexo 4'!$D$10,0)</f>
        <v>0</v>
      </c>
      <c r="Y26" s="33">
        <f>ROUND('Anexo 14'!Y26*'Anexo 4'!$D$10,0)</f>
        <v>0</v>
      </c>
      <c r="Z26" s="33">
        <f>ROUND('Anexo 14'!Z26*'Anexo 4'!$D$10,0)</f>
        <v>0</v>
      </c>
      <c r="AA26" s="41">
        <f t="shared" si="0"/>
        <v>0</v>
      </c>
      <c r="AB26" s="23">
        <v>7</v>
      </c>
      <c r="AC26" s="96"/>
      <c r="AD26" s="48"/>
    </row>
    <row r="27" spans="1:30" ht="15.75" thickBot="1" x14ac:dyDescent="0.3">
      <c r="A27" s="93">
        <v>47331</v>
      </c>
      <c r="B27" s="18" t="s">
        <v>5</v>
      </c>
      <c r="C27" s="33">
        <f>ROUND('Anexo 14'!C27*'Anexo 4'!$D$10,0)</f>
        <v>0</v>
      </c>
      <c r="D27" s="33">
        <f>ROUND('Anexo 14'!D27*'Anexo 4'!$D$10,0)</f>
        <v>0</v>
      </c>
      <c r="E27" s="33">
        <f>ROUND('Anexo 14'!E27*'Anexo 4'!$D$10,0)</f>
        <v>0</v>
      </c>
      <c r="F27" s="33">
        <f>ROUND('Anexo 14'!F27*'Anexo 4'!$D$10,0)</f>
        <v>0</v>
      </c>
      <c r="G27" s="33">
        <f>ROUND('Anexo 14'!G27*'Anexo 4'!$D$10,0)</f>
        <v>0</v>
      </c>
      <c r="H27" s="33">
        <f>ROUND('Anexo 14'!H27*'Anexo 4'!$D$10,0)</f>
        <v>0</v>
      </c>
      <c r="I27" s="33">
        <f>ROUND('Anexo 14'!I27*'Anexo 4'!$D$10,0)</f>
        <v>0</v>
      </c>
      <c r="J27" s="33">
        <f>ROUND('Anexo 14'!J27*'Anexo 4'!$D$10,0)</f>
        <v>0</v>
      </c>
      <c r="K27" s="33">
        <f>ROUND('Anexo 14'!K27*'Anexo 4'!$D$10,0)</f>
        <v>0</v>
      </c>
      <c r="L27" s="33">
        <f>ROUND('Anexo 14'!L27*'Anexo 4'!$D$10,0)</f>
        <v>0</v>
      </c>
      <c r="M27" s="33">
        <f>ROUND('Anexo 14'!M27*'Anexo 4'!$D$10,0)</f>
        <v>0</v>
      </c>
      <c r="N27" s="33">
        <f>ROUND('Anexo 14'!N27*'Anexo 4'!$D$10,0)</f>
        <v>0</v>
      </c>
      <c r="O27" s="33">
        <f>ROUND('Anexo 14'!O27*'Anexo 4'!$D$10,0)</f>
        <v>0</v>
      </c>
      <c r="P27" s="33">
        <f>ROUND('Anexo 14'!P27*'Anexo 4'!$D$10,0)</f>
        <v>0</v>
      </c>
      <c r="Q27" s="33">
        <f>ROUND('Anexo 14'!Q27*'Anexo 4'!$D$10,0)</f>
        <v>0</v>
      </c>
      <c r="R27" s="33">
        <f>ROUND('Anexo 14'!R27*'Anexo 4'!$D$10,0)</f>
        <v>0</v>
      </c>
      <c r="S27" s="33">
        <f>ROUND('Anexo 14'!S27*'Anexo 4'!$D$10,0)</f>
        <v>0</v>
      </c>
      <c r="T27" s="33">
        <f>ROUND('Anexo 14'!T27*'Anexo 4'!$D$10,0)</f>
        <v>0</v>
      </c>
      <c r="U27" s="33">
        <f>ROUND('Anexo 14'!U27*'Anexo 4'!$D$10,0)</f>
        <v>0</v>
      </c>
      <c r="V27" s="33">
        <f>ROUND('Anexo 14'!V27*'Anexo 4'!$D$10,0)</f>
        <v>0</v>
      </c>
      <c r="W27" s="33">
        <f>ROUND('Anexo 14'!W27*'Anexo 4'!$D$10,0)</f>
        <v>0</v>
      </c>
      <c r="X27" s="33">
        <f>ROUND('Anexo 14'!X27*'Anexo 4'!$D$10,0)</f>
        <v>0</v>
      </c>
      <c r="Y27" s="33">
        <f>ROUND('Anexo 14'!Y27*'Anexo 4'!$D$10,0)</f>
        <v>0</v>
      </c>
      <c r="Z27" s="33">
        <f>ROUND('Anexo 14'!Z27*'Anexo 4'!$D$10,0)</f>
        <v>0</v>
      </c>
      <c r="AA27" s="35">
        <f t="shared" si="0"/>
        <v>0</v>
      </c>
      <c r="AB27" s="19">
        <v>21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ROUND('Anexo 14'!C28*'Anexo 4'!$D$10,0)</f>
        <v>0</v>
      </c>
      <c r="D28" s="33">
        <f>ROUND('Anexo 14'!D28*'Anexo 4'!$D$10,0)</f>
        <v>0</v>
      </c>
      <c r="E28" s="33">
        <f>ROUND('Anexo 14'!E28*'Anexo 4'!$D$10,0)</f>
        <v>0</v>
      </c>
      <c r="F28" s="33">
        <f>ROUND('Anexo 14'!F28*'Anexo 4'!$D$10,0)</f>
        <v>0</v>
      </c>
      <c r="G28" s="33">
        <f>ROUND('Anexo 14'!G28*'Anexo 4'!$D$10,0)</f>
        <v>0</v>
      </c>
      <c r="H28" s="33">
        <f>ROUND('Anexo 14'!H28*'Anexo 4'!$D$10,0)</f>
        <v>0</v>
      </c>
      <c r="I28" s="33">
        <f>ROUND('Anexo 14'!I28*'Anexo 4'!$D$10,0)</f>
        <v>0</v>
      </c>
      <c r="J28" s="33">
        <f>ROUND('Anexo 14'!J28*'Anexo 4'!$D$10,0)</f>
        <v>0</v>
      </c>
      <c r="K28" s="33">
        <f>ROUND('Anexo 14'!K28*'Anexo 4'!$D$10,0)</f>
        <v>0</v>
      </c>
      <c r="L28" s="33">
        <f>ROUND('Anexo 14'!L28*'Anexo 4'!$D$10,0)</f>
        <v>0</v>
      </c>
      <c r="M28" s="33">
        <f>ROUND('Anexo 14'!M28*'Anexo 4'!$D$10,0)</f>
        <v>0</v>
      </c>
      <c r="N28" s="33">
        <f>ROUND('Anexo 14'!N28*'Anexo 4'!$D$10,0)</f>
        <v>0</v>
      </c>
      <c r="O28" s="33">
        <f>ROUND('Anexo 14'!O28*'Anexo 4'!$D$10,0)</f>
        <v>0</v>
      </c>
      <c r="P28" s="33">
        <f>ROUND('Anexo 14'!P28*'Anexo 4'!$D$10,0)</f>
        <v>0</v>
      </c>
      <c r="Q28" s="33">
        <f>ROUND('Anexo 14'!Q28*'Anexo 4'!$D$10,0)</f>
        <v>0</v>
      </c>
      <c r="R28" s="33">
        <f>ROUND('Anexo 14'!R28*'Anexo 4'!$D$10,0)</f>
        <v>0</v>
      </c>
      <c r="S28" s="33">
        <f>ROUND('Anexo 14'!S28*'Anexo 4'!$D$10,0)</f>
        <v>0</v>
      </c>
      <c r="T28" s="33">
        <f>ROUND('Anexo 14'!T28*'Anexo 4'!$D$10,0)</f>
        <v>0</v>
      </c>
      <c r="U28" s="33">
        <f>ROUND('Anexo 14'!U28*'Anexo 4'!$D$10,0)</f>
        <v>0</v>
      </c>
      <c r="V28" s="33">
        <f>ROUND('Anexo 14'!V28*'Anexo 4'!$D$10,0)</f>
        <v>0</v>
      </c>
      <c r="W28" s="33">
        <f>ROUND('Anexo 14'!W28*'Anexo 4'!$D$10,0)</f>
        <v>0</v>
      </c>
      <c r="X28" s="33">
        <f>ROUND('Anexo 14'!X28*'Anexo 4'!$D$10,0)</f>
        <v>0</v>
      </c>
      <c r="Y28" s="33">
        <f>ROUND('Anexo 14'!Y28*'Anexo 4'!$D$10,0)</f>
        <v>0</v>
      </c>
      <c r="Z28" s="33">
        <f>ROUND('Anexo 14'!Z28*'Anexo 4'!$D$10,0)</f>
        <v>0</v>
      </c>
      <c r="AA28" s="38">
        <f t="shared" si="0"/>
        <v>0</v>
      </c>
      <c r="AB28" s="21">
        <v>4</v>
      </c>
      <c r="AC28" s="95"/>
      <c r="AD28" s="47"/>
    </row>
    <row r="29" spans="1:30" ht="15.75" thickBot="1" x14ac:dyDescent="0.3">
      <c r="A29" s="93"/>
      <c r="B29" s="22" t="s">
        <v>3</v>
      </c>
      <c r="C29" s="33">
        <f>ROUND('Anexo 14'!C29*'Anexo 4'!$D$10,0)</f>
        <v>0</v>
      </c>
      <c r="D29" s="33">
        <f>ROUND('Anexo 14'!D29*'Anexo 4'!$D$10,0)</f>
        <v>0</v>
      </c>
      <c r="E29" s="33">
        <f>ROUND('Anexo 14'!E29*'Anexo 4'!$D$10,0)</f>
        <v>0</v>
      </c>
      <c r="F29" s="33">
        <f>ROUND('Anexo 14'!F29*'Anexo 4'!$D$10,0)</f>
        <v>0</v>
      </c>
      <c r="G29" s="33">
        <f>ROUND('Anexo 14'!G29*'Anexo 4'!$D$10,0)</f>
        <v>0</v>
      </c>
      <c r="H29" s="33">
        <f>ROUND('Anexo 14'!H29*'Anexo 4'!$D$10,0)</f>
        <v>0</v>
      </c>
      <c r="I29" s="33">
        <f>ROUND('Anexo 14'!I29*'Anexo 4'!$D$10,0)</f>
        <v>0</v>
      </c>
      <c r="J29" s="33">
        <f>ROUND('Anexo 14'!J29*'Anexo 4'!$D$10,0)</f>
        <v>0</v>
      </c>
      <c r="K29" s="33">
        <f>ROUND('Anexo 14'!K29*'Anexo 4'!$D$10,0)</f>
        <v>0</v>
      </c>
      <c r="L29" s="33">
        <f>ROUND('Anexo 14'!L29*'Anexo 4'!$D$10,0)</f>
        <v>0</v>
      </c>
      <c r="M29" s="33">
        <f>ROUND('Anexo 14'!M29*'Anexo 4'!$D$10,0)</f>
        <v>0</v>
      </c>
      <c r="N29" s="33">
        <f>ROUND('Anexo 14'!N29*'Anexo 4'!$D$10,0)</f>
        <v>0</v>
      </c>
      <c r="O29" s="33">
        <f>ROUND('Anexo 14'!O29*'Anexo 4'!$D$10,0)</f>
        <v>0</v>
      </c>
      <c r="P29" s="33">
        <f>ROUND('Anexo 14'!P29*'Anexo 4'!$D$10,0)</f>
        <v>0</v>
      </c>
      <c r="Q29" s="33">
        <f>ROUND('Anexo 14'!Q29*'Anexo 4'!$D$10,0)</f>
        <v>0</v>
      </c>
      <c r="R29" s="33">
        <f>ROUND('Anexo 14'!R29*'Anexo 4'!$D$10,0)</f>
        <v>0</v>
      </c>
      <c r="S29" s="33">
        <f>ROUND('Anexo 14'!S29*'Anexo 4'!$D$10,0)</f>
        <v>0</v>
      </c>
      <c r="T29" s="33">
        <f>ROUND('Anexo 14'!T29*'Anexo 4'!$D$10,0)</f>
        <v>0</v>
      </c>
      <c r="U29" s="33">
        <f>ROUND('Anexo 14'!U29*'Anexo 4'!$D$10,0)</f>
        <v>0</v>
      </c>
      <c r="V29" s="33">
        <f>ROUND('Anexo 14'!V29*'Anexo 4'!$D$10,0)</f>
        <v>0</v>
      </c>
      <c r="W29" s="33">
        <f>ROUND('Anexo 14'!W29*'Anexo 4'!$D$10,0)</f>
        <v>0</v>
      </c>
      <c r="X29" s="33">
        <f>ROUND('Anexo 14'!X29*'Anexo 4'!$D$10,0)</f>
        <v>0</v>
      </c>
      <c r="Y29" s="33">
        <f>ROUND('Anexo 14'!Y29*'Anexo 4'!$D$10,0)</f>
        <v>0</v>
      </c>
      <c r="Z29" s="33">
        <f>ROUND('Anexo 14'!Z29*'Anexo 4'!$D$10,0)</f>
        <v>0</v>
      </c>
      <c r="AA29" s="41">
        <f t="shared" si="0"/>
        <v>0</v>
      </c>
      <c r="AB29" s="23">
        <v>6</v>
      </c>
      <c r="AC29" s="96"/>
      <c r="AD29" s="49"/>
    </row>
    <row r="30" spans="1:30" ht="15.75" thickBot="1" x14ac:dyDescent="0.3">
      <c r="A30" s="93">
        <v>47362</v>
      </c>
      <c r="B30" s="18" t="s">
        <v>5</v>
      </c>
      <c r="C30" s="33">
        <f>ROUND('Anexo 14'!C30*'Anexo 4'!$D$10,0)</f>
        <v>0</v>
      </c>
      <c r="D30" s="33">
        <f>ROUND('Anexo 14'!D30*'Anexo 4'!$D$10,0)</f>
        <v>0</v>
      </c>
      <c r="E30" s="33">
        <f>ROUND('Anexo 14'!E30*'Anexo 4'!$D$10,0)</f>
        <v>0</v>
      </c>
      <c r="F30" s="33">
        <f>ROUND('Anexo 14'!F30*'Anexo 4'!$D$10,0)</f>
        <v>0</v>
      </c>
      <c r="G30" s="33">
        <f>ROUND('Anexo 14'!G30*'Anexo 4'!$D$10,0)</f>
        <v>0</v>
      </c>
      <c r="H30" s="33">
        <f>ROUND('Anexo 14'!H30*'Anexo 4'!$D$10,0)</f>
        <v>0</v>
      </c>
      <c r="I30" s="33">
        <f>ROUND('Anexo 14'!I30*'Anexo 4'!$D$10,0)</f>
        <v>0</v>
      </c>
      <c r="J30" s="33">
        <f>ROUND('Anexo 14'!J30*'Anexo 4'!$D$10,0)</f>
        <v>0</v>
      </c>
      <c r="K30" s="33">
        <f>ROUND('Anexo 14'!K30*'Anexo 4'!$D$10,0)</f>
        <v>0</v>
      </c>
      <c r="L30" s="33">
        <f>ROUND('Anexo 14'!L30*'Anexo 4'!$D$10,0)</f>
        <v>0</v>
      </c>
      <c r="M30" s="33">
        <f>ROUND('Anexo 14'!M30*'Anexo 4'!$D$10,0)</f>
        <v>0</v>
      </c>
      <c r="N30" s="33">
        <f>ROUND('Anexo 14'!N30*'Anexo 4'!$D$10,0)</f>
        <v>0</v>
      </c>
      <c r="O30" s="33">
        <f>ROUND('Anexo 14'!O30*'Anexo 4'!$D$10,0)</f>
        <v>0</v>
      </c>
      <c r="P30" s="33">
        <f>ROUND('Anexo 14'!P30*'Anexo 4'!$D$10,0)</f>
        <v>0</v>
      </c>
      <c r="Q30" s="33">
        <f>ROUND('Anexo 14'!Q30*'Anexo 4'!$D$10,0)</f>
        <v>0</v>
      </c>
      <c r="R30" s="33">
        <f>ROUND('Anexo 14'!R30*'Anexo 4'!$D$10,0)</f>
        <v>0</v>
      </c>
      <c r="S30" s="33">
        <f>ROUND('Anexo 14'!S30*'Anexo 4'!$D$10,0)</f>
        <v>0</v>
      </c>
      <c r="T30" s="33">
        <f>ROUND('Anexo 14'!T30*'Anexo 4'!$D$10,0)</f>
        <v>0</v>
      </c>
      <c r="U30" s="33">
        <f>ROUND('Anexo 14'!U30*'Anexo 4'!$D$10,0)</f>
        <v>0</v>
      </c>
      <c r="V30" s="33">
        <f>ROUND('Anexo 14'!V30*'Anexo 4'!$D$10,0)</f>
        <v>0</v>
      </c>
      <c r="W30" s="33">
        <f>ROUND('Anexo 14'!W30*'Anexo 4'!$D$10,0)</f>
        <v>0</v>
      </c>
      <c r="X30" s="33">
        <f>ROUND('Anexo 14'!X30*'Anexo 4'!$D$10,0)</f>
        <v>0</v>
      </c>
      <c r="Y30" s="33">
        <f>ROUND('Anexo 14'!Y30*'Anexo 4'!$D$10,0)</f>
        <v>0</v>
      </c>
      <c r="Z30" s="33">
        <f>ROUND('Anexo 14'!Z30*'Anexo 4'!$D$10,0)</f>
        <v>0</v>
      </c>
      <c r="AA30" s="35">
        <f t="shared" si="0"/>
        <v>0</v>
      </c>
      <c r="AB30" s="19">
        <v>20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ROUND('Anexo 14'!C31*'Anexo 4'!$D$10,0)</f>
        <v>0</v>
      </c>
      <c r="D31" s="33">
        <f>ROUND('Anexo 14'!D31*'Anexo 4'!$D$10,0)</f>
        <v>0</v>
      </c>
      <c r="E31" s="33">
        <f>ROUND('Anexo 14'!E31*'Anexo 4'!$D$10,0)</f>
        <v>0</v>
      </c>
      <c r="F31" s="33">
        <f>ROUND('Anexo 14'!F31*'Anexo 4'!$D$10,0)</f>
        <v>0</v>
      </c>
      <c r="G31" s="33">
        <f>ROUND('Anexo 14'!G31*'Anexo 4'!$D$10,0)</f>
        <v>0</v>
      </c>
      <c r="H31" s="33">
        <f>ROUND('Anexo 14'!H31*'Anexo 4'!$D$10,0)</f>
        <v>0</v>
      </c>
      <c r="I31" s="33">
        <f>ROUND('Anexo 14'!I31*'Anexo 4'!$D$10,0)</f>
        <v>0</v>
      </c>
      <c r="J31" s="33">
        <f>ROUND('Anexo 14'!J31*'Anexo 4'!$D$10,0)</f>
        <v>0</v>
      </c>
      <c r="K31" s="33">
        <f>ROUND('Anexo 14'!K31*'Anexo 4'!$D$10,0)</f>
        <v>0</v>
      </c>
      <c r="L31" s="33">
        <f>ROUND('Anexo 14'!L31*'Anexo 4'!$D$10,0)</f>
        <v>0</v>
      </c>
      <c r="M31" s="33">
        <f>ROUND('Anexo 14'!M31*'Anexo 4'!$D$10,0)</f>
        <v>0</v>
      </c>
      <c r="N31" s="33">
        <f>ROUND('Anexo 14'!N31*'Anexo 4'!$D$10,0)</f>
        <v>0</v>
      </c>
      <c r="O31" s="33">
        <f>ROUND('Anexo 14'!O31*'Anexo 4'!$D$10,0)</f>
        <v>0</v>
      </c>
      <c r="P31" s="33">
        <f>ROUND('Anexo 14'!P31*'Anexo 4'!$D$10,0)</f>
        <v>0</v>
      </c>
      <c r="Q31" s="33">
        <f>ROUND('Anexo 14'!Q31*'Anexo 4'!$D$10,0)</f>
        <v>0</v>
      </c>
      <c r="R31" s="33">
        <f>ROUND('Anexo 14'!R31*'Anexo 4'!$D$10,0)</f>
        <v>0</v>
      </c>
      <c r="S31" s="33">
        <f>ROUND('Anexo 14'!S31*'Anexo 4'!$D$10,0)</f>
        <v>0</v>
      </c>
      <c r="T31" s="33">
        <f>ROUND('Anexo 14'!T31*'Anexo 4'!$D$10,0)</f>
        <v>0</v>
      </c>
      <c r="U31" s="33">
        <f>ROUND('Anexo 14'!U31*'Anexo 4'!$D$10,0)</f>
        <v>0</v>
      </c>
      <c r="V31" s="33">
        <f>ROUND('Anexo 14'!V31*'Anexo 4'!$D$10,0)</f>
        <v>0</v>
      </c>
      <c r="W31" s="33">
        <f>ROUND('Anexo 14'!W31*'Anexo 4'!$D$10,0)</f>
        <v>0</v>
      </c>
      <c r="X31" s="33">
        <f>ROUND('Anexo 14'!X31*'Anexo 4'!$D$10,0)</f>
        <v>0</v>
      </c>
      <c r="Y31" s="33">
        <f>ROUND('Anexo 14'!Y31*'Anexo 4'!$D$10,0)</f>
        <v>0</v>
      </c>
      <c r="Z31" s="33">
        <f>ROUND('Anexo 14'!Z31*'Anexo 4'!$D$10,0)</f>
        <v>0</v>
      </c>
      <c r="AA31" s="38">
        <f t="shared" si="0"/>
        <v>0</v>
      </c>
      <c r="AB31" s="21">
        <v>5</v>
      </c>
      <c r="AC31" s="95"/>
      <c r="AD31" s="47"/>
    </row>
    <row r="32" spans="1:30" ht="15.75" thickBot="1" x14ac:dyDescent="0.3">
      <c r="A32" s="93"/>
      <c r="B32" s="22" t="s">
        <v>3</v>
      </c>
      <c r="C32" s="33">
        <f>ROUND('Anexo 14'!C32*'Anexo 4'!$D$10,0)</f>
        <v>0</v>
      </c>
      <c r="D32" s="33">
        <f>ROUND('Anexo 14'!D32*'Anexo 4'!$D$10,0)</f>
        <v>0</v>
      </c>
      <c r="E32" s="33">
        <f>ROUND('Anexo 14'!E32*'Anexo 4'!$D$10,0)</f>
        <v>0</v>
      </c>
      <c r="F32" s="33">
        <f>ROUND('Anexo 14'!F32*'Anexo 4'!$D$10,0)</f>
        <v>0</v>
      </c>
      <c r="G32" s="33">
        <f>ROUND('Anexo 14'!G32*'Anexo 4'!$D$10,0)</f>
        <v>0</v>
      </c>
      <c r="H32" s="33">
        <f>ROUND('Anexo 14'!H32*'Anexo 4'!$D$10,0)</f>
        <v>0</v>
      </c>
      <c r="I32" s="33">
        <f>ROUND('Anexo 14'!I32*'Anexo 4'!$D$10,0)</f>
        <v>0</v>
      </c>
      <c r="J32" s="33">
        <f>ROUND('Anexo 14'!J32*'Anexo 4'!$D$10,0)</f>
        <v>0</v>
      </c>
      <c r="K32" s="33">
        <f>ROUND('Anexo 14'!K32*'Anexo 4'!$D$10,0)</f>
        <v>0</v>
      </c>
      <c r="L32" s="33">
        <f>ROUND('Anexo 14'!L32*'Anexo 4'!$D$10,0)</f>
        <v>0</v>
      </c>
      <c r="M32" s="33">
        <f>ROUND('Anexo 14'!M32*'Anexo 4'!$D$10,0)</f>
        <v>0</v>
      </c>
      <c r="N32" s="33">
        <f>ROUND('Anexo 14'!N32*'Anexo 4'!$D$10,0)</f>
        <v>0</v>
      </c>
      <c r="O32" s="33">
        <f>ROUND('Anexo 14'!O32*'Anexo 4'!$D$10,0)</f>
        <v>0</v>
      </c>
      <c r="P32" s="33">
        <f>ROUND('Anexo 14'!P32*'Anexo 4'!$D$10,0)</f>
        <v>0</v>
      </c>
      <c r="Q32" s="33">
        <f>ROUND('Anexo 14'!Q32*'Anexo 4'!$D$10,0)</f>
        <v>0</v>
      </c>
      <c r="R32" s="33">
        <f>ROUND('Anexo 14'!R32*'Anexo 4'!$D$10,0)</f>
        <v>0</v>
      </c>
      <c r="S32" s="33">
        <f>ROUND('Anexo 14'!S32*'Anexo 4'!$D$10,0)</f>
        <v>0</v>
      </c>
      <c r="T32" s="33">
        <f>ROUND('Anexo 14'!T32*'Anexo 4'!$D$10,0)</f>
        <v>0</v>
      </c>
      <c r="U32" s="33">
        <f>ROUND('Anexo 14'!U32*'Anexo 4'!$D$10,0)</f>
        <v>0</v>
      </c>
      <c r="V32" s="33">
        <f>ROUND('Anexo 14'!V32*'Anexo 4'!$D$10,0)</f>
        <v>0</v>
      </c>
      <c r="W32" s="33">
        <f>ROUND('Anexo 14'!W32*'Anexo 4'!$D$10,0)</f>
        <v>0</v>
      </c>
      <c r="X32" s="33">
        <f>ROUND('Anexo 14'!X32*'Anexo 4'!$D$10,0)</f>
        <v>0</v>
      </c>
      <c r="Y32" s="33">
        <f>ROUND('Anexo 14'!Y32*'Anexo 4'!$D$10,0)</f>
        <v>0</v>
      </c>
      <c r="Z32" s="33">
        <f>ROUND('Anexo 14'!Z32*'Anexo 4'!$D$10,0)</f>
        <v>0</v>
      </c>
      <c r="AA32" s="41">
        <f t="shared" si="0"/>
        <v>0</v>
      </c>
      <c r="AB32" s="23">
        <v>5</v>
      </c>
      <c r="AC32" s="96"/>
      <c r="AD32" s="48"/>
    </row>
    <row r="33" spans="1:30" ht="15.75" thickBot="1" x14ac:dyDescent="0.3">
      <c r="A33" s="93">
        <v>47392</v>
      </c>
      <c r="B33" s="18" t="s">
        <v>5</v>
      </c>
      <c r="C33" s="33">
        <f>ROUND('Anexo 14'!C33*'Anexo 4'!$D$10,0)</f>
        <v>0</v>
      </c>
      <c r="D33" s="33">
        <f>ROUND('Anexo 14'!D33*'Anexo 4'!$D$10,0)</f>
        <v>0</v>
      </c>
      <c r="E33" s="33">
        <f>ROUND('Anexo 14'!E33*'Anexo 4'!$D$10,0)</f>
        <v>0</v>
      </c>
      <c r="F33" s="33">
        <f>ROUND('Anexo 14'!F33*'Anexo 4'!$D$10,0)</f>
        <v>0</v>
      </c>
      <c r="G33" s="33">
        <f>ROUND('Anexo 14'!G33*'Anexo 4'!$D$10,0)</f>
        <v>0</v>
      </c>
      <c r="H33" s="33">
        <f>ROUND('Anexo 14'!H33*'Anexo 4'!$D$10,0)</f>
        <v>0</v>
      </c>
      <c r="I33" s="33">
        <f>ROUND('Anexo 14'!I33*'Anexo 4'!$D$10,0)</f>
        <v>0</v>
      </c>
      <c r="J33" s="33">
        <f>ROUND('Anexo 14'!J33*'Anexo 4'!$D$10,0)</f>
        <v>0</v>
      </c>
      <c r="K33" s="33">
        <f>ROUND('Anexo 14'!K33*'Anexo 4'!$D$10,0)</f>
        <v>0</v>
      </c>
      <c r="L33" s="33">
        <f>ROUND('Anexo 14'!L33*'Anexo 4'!$D$10,0)</f>
        <v>0</v>
      </c>
      <c r="M33" s="33">
        <f>ROUND('Anexo 14'!M33*'Anexo 4'!$D$10,0)</f>
        <v>0</v>
      </c>
      <c r="N33" s="33">
        <f>ROUND('Anexo 14'!N33*'Anexo 4'!$D$10,0)</f>
        <v>0</v>
      </c>
      <c r="O33" s="33">
        <f>ROUND('Anexo 14'!O33*'Anexo 4'!$D$10,0)</f>
        <v>0</v>
      </c>
      <c r="P33" s="33">
        <f>ROUND('Anexo 14'!P33*'Anexo 4'!$D$10,0)</f>
        <v>0</v>
      </c>
      <c r="Q33" s="33">
        <f>ROUND('Anexo 14'!Q33*'Anexo 4'!$D$10,0)</f>
        <v>0</v>
      </c>
      <c r="R33" s="33">
        <f>ROUND('Anexo 14'!R33*'Anexo 4'!$D$10,0)</f>
        <v>0</v>
      </c>
      <c r="S33" s="33">
        <f>ROUND('Anexo 14'!S33*'Anexo 4'!$D$10,0)</f>
        <v>0</v>
      </c>
      <c r="T33" s="33">
        <f>ROUND('Anexo 14'!T33*'Anexo 4'!$D$10,0)</f>
        <v>0</v>
      </c>
      <c r="U33" s="33">
        <f>ROUND('Anexo 14'!U33*'Anexo 4'!$D$10,0)</f>
        <v>0</v>
      </c>
      <c r="V33" s="33">
        <f>ROUND('Anexo 14'!V33*'Anexo 4'!$D$10,0)</f>
        <v>0</v>
      </c>
      <c r="W33" s="33">
        <f>ROUND('Anexo 14'!W33*'Anexo 4'!$D$10,0)</f>
        <v>0</v>
      </c>
      <c r="X33" s="33">
        <f>ROUND('Anexo 14'!X33*'Anexo 4'!$D$10,0)</f>
        <v>0</v>
      </c>
      <c r="Y33" s="33">
        <f>ROUND('Anexo 14'!Y33*'Anexo 4'!$D$10,0)</f>
        <v>0</v>
      </c>
      <c r="Z33" s="33">
        <f>ROUND('Anexo 14'!Z33*'Anexo 4'!$D$10,0)</f>
        <v>0</v>
      </c>
      <c r="AA33" s="35">
        <f t="shared" si="0"/>
        <v>0</v>
      </c>
      <c r="AB33" s="19">
        <v>22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ROUND('Anexo 14'!C34*'Anexo 4'!$D$10,0)</f>
        <v>0</v>
      </c>
      <c r="D34" s="33">
        <f>ROUND('Anexo 14'!D34*'Anexo 4'!$D$10,0)</f>
        <v>0</v>
      </c>
      <c r="E34" s="33">
        <f>ROUND('Anexo 14'!E34*'Anexo 4'!$D$10,0)</f>
        <v>0</v>
      </c>
      <c r="F34" s="33">
        <f>ROUND('Anexo 14'!F34*'Anexo 4'!$D$10,0)</f>
        <v>0</v>
      </c>
      <c r="G34" s="33">
        <f>ROUND('Anexo 14'!G34*'Anexo 4'!$D$10,0)</f>
        <v>0</v>
      </c>
      <c r="H34" s="33">
        <f>ROUND('Anexo 14'!H34*'Anexo 4'!$D$10,0)</f>
        <v>0</v>
      </c>
      <c r="I34" s="33">
        <f>ROUND('Anexo 14'!I34*'Anexo 4'!$D$10,0)</f>
        <v>0</v>
      </c>
      <c r="J34" s="33">
        <f>ROUND('Anexo 14'!J34*'Anexo 4'!$D$10,0)</f>
        <v>0</v>
      </c>
      <c r="K34" s="33">
        <f>ROUND('Anexo 14'!K34*'Anexo 4'!$D$10,0)</f>
        <v>0</v>
      </c>
      <c r="L34" s="33">
        <f>ROUND('Anexo 14'!L34*'Anexo 4'!$D$10,0)</f>
        <v>0</v>
      </c>
      <c r="M34" s="33">
        <f>ROUND('Anexo 14'!M34*'Anexo 4'!$D$10,0)</f>
        <v>0</v>
      </c>
      <c r="N34" s="33">
        <f>ROUND('Anexo 14'!N34*'Anexo 4'!$D$10,0)</f>
        <v>0</v>
      </c>
      <c r="O34" s="33">
        <f>ROUND('Anexo 14'!O34*'Anexo 4'!$D$10,0)</f>
        <v>0</v>
      </c>
      <c r="P34" s="33">
        <f>ROUND('Anexo 14'!P34*'Anexo 4'!$D$10,0)</f>
        <v>0</v>
      </c>
      <c r="Q34" s="33">
        <f>ROUND('Anexo 14'!Q34*'Anexo 4'!$D$10,0)</f>
        <v>0</v>
      </c>
      <c r="R34" s="33">
        <f>ROUND('Anexo 14'!R34*'Anexo 4'!$D$10,0)</f>
        <v>0</v>
      </c>
      <c r="S34" s="33">
        <f>ROUND('Anexo 14'!S34*'Anexo 4'!$D$10,0)</f>
        <v>0</v>
      </c>
      <c r="T34" s="33">
        <f>ROUND('Anexo 14'!T34*'Anexo 4'!$D$10,0)</f>
        <v>0</v>
      </c>
      <c r="U34" s="33">
        <f>ROUND('Anexo 14'!U34*'Anexo 4'!$D$10,0)</f>
        <v>0</v>
      </c>
      <c r="V34" s="33">
        <f>ROUND('Anexo 14'!V34*'Anexo 4'!$D$10,0)</f>
        <v>0</v>
      </c>
      <c r="W34" s="33">
        <f>ROUND('Anexo 14'!W34*'Anexo 4'!$D$10,0)</f>
        <v>0</v>
      </c>
      <c r="X34" s="33">
        <f>ROUND('Anexo 14'!X34*'Anexo 4'!$D$10,0)</f>
        <v>0</v>
      </c>
      <c r="Y34" s="33">
        <f>ROUND('Anexo 14'!Y34*'Anexo 4'!$D$10,0)</f>
        <v>0</v>
      </c>
      <c r="Z34" s="33">
        <f>ROUND('Anexo 14'!Z34*'Anexo 4'!$D$10,0)</f>
        <v>0</v>
      </c>
      <c r="AA34" s="38">
        <f t="shared" si="0"/>
        <v>0</v>
      </c>
      <c r="AB34" s="21">
        <v>4</v>
      </c>
      <c r="AC34" s="95"/>
      <c r="AD34" s="47"/>
    </row>
    <row r="35" spans="1:30" ht="15.75" thickBot="1" x14ac:dyDescent="0.3">
      <c r="A35" s="93"/>
      <c r="B35" s="22" t="s">
        <v>3</v>
      </c>
      <c r="C35" s="33">
        <f>ROUND('Anexo 14'!C35*'Anexo 4'!$D$10,0)</f>
        <v>0</v>
      </c>
      <c r="D35" s="33">
        <f>ROUND('Anexo 14'!D35*'Anexo 4'!$D$10,0)</f>
        <v>0</v>
      </c>
      <c r="E35" s="33">
        <f>ROUND('Anexo 14'!E35*'Anexo 4'!$D$10,0)</f>
        <v>0</v>
      </c>
      <c r="F35" s="33">
        <f>ROUND('Anexo 14'!F35*'Anexo 4'!$D$10,0)</f>
        <v>0</v>
      </c>
      <c r="G35" s="33">
        <f>ROUND('Anexo 14'!G35*'Anexo 4'!$D$10,0)</f>
        <v>0</v>
      </c>
      <c r="H35" s="33">
        <f>ROUND('Anexo 14'!H35*'Anexo 4'!$D$10,0)</f>
        <v>0</v>
      </c>
      <c r="I35" s="33">
        <f>ROUND('Anexo 14'!I35*'Anexo 4'!$D$10,0)</f>
        <v>0</v>
      </c>
      <c r="J35" s="33">
        <f>ROUND('Anexo 14'!J35*'Anexo 4'!$D$10,0)</f>
        <v>0</v>
      </c>
      <c r="K35" s="33">
        <f>ROUND('Anexo 14'!K35*'Anexo 4'!$D$10,0)</f>
        <v>0</v>
      </c>
      <c r="L35" s="33">
        <f>ROUND('Anexo 14'!L35*'Anexo 4'!$D$10,0)</f>
        <v>0</v>
      </c>
      <c r="M35" s="33">
        <f>ROUND('Anexo 14'!M35*'Anexo 4'!$D$10,0)</f>
        <v>0</v>
      </c>
      <c r="N35" s="33">
        <f>ROUND('Anexo 14'!N35*'Anexo 4'!$D$10,0)</f>
        <v>0</v>
      </c>
      <c r="O35" s="33">
        <f>ROUND('Anexo 14'!O35*'Anexo 4'!$D$10,0)</f>
        <v>0</v>
      </c>
      <c r="P35" s="33">
        <f>ROUND('Anexo 14'!P35*'Anexo 4'!$D$10,0)</f>
        <v>0</v>
      </c>
      <c r="Q35" s="33">
        <f>ROUND('Anexo 14'!Q35*'Anexo 4'!$D$10,0)</f>
        <v>0</v>
      </c>
      <c r="R35" s="33">
        <f>ROUND('Anexo 14'!R35*'Anexo 4'!$D$10,0)</f>
        <v>0</v>
      </c>
      <c r="S35" s="33">
        <f>ROUND('Anexo 14'!S35*'Anexo 4'!$D$10,0)</f>
        <v>0</v>
      </c>
      <c r="T35" s="33">
        <f>ROUND('Anexo 14'!T35*'Anexo 4'!$D$10,0)</f>
        <v>0</v>
      </c>
      <c r="U35" s="33">
        <f>ROUND('Anexo 14'!U35*'Anexo 4'!$D$10,0)</f>
        <v>0</v>
      </c>
      <c r="V35" s="33">
        <f>ROUND('Anexo 14'!V35*'Anexo 4'!$D$10,0)</f>
        <v>0</v>
      </c>
      <c r="W35" s="33">
        <f>ROUND('Anexo 14'!W35*'Anexo 4'!$D$10,0)</f>
        <v>0</v>
      </c>
      <c r="X35" s="33">
        <f>ROUND('Anexo 14'!X35*'Anexo 4'!$D$10,0)</f>
        <v>0</v>
      </c>
      <c r="Y35" s="33">
        <f>ROUND('Anexo 14'!Y35*'Anexo 4'!$D$10,0)</f>
        <v>0</v>
      </c>
      <c r="Z35" s="33">
        <f>ROUND('Anexo 14'!Z35*'Anexo 4'!$D$10,0)</f>
        <v>0</v>
      </c>
      <c r="AA35" s="41">
        <f t="shared" si="0"/>
        <v>0</v>
      </c>
      <c r="AB35" s="23">
        <v>5</v>
      </c>
      <c r="AC35" s="96"/>
      <c r="AD35" s="48"/>
    </row>
    <row r="36" spans="1:30" ht="15.75" thickBot="1" x14ac:dyDescent="0.3">
      <c r="A36" s="93">
        <v>47423</v>
      </c>
      <c r="B36" s="18" t="s">
        <v>5</v>
      </c>
      <c r="C36" s="33">
        <f>ROUND('Anexo 14'!C36*'Anexo 4'!$D$10,0)</f>
        <v>0</v>
      </c>
      <c r="D36" s="33">
        <f>ROUND('Anexo 14'!D36*'Anexo 4'!$D$10,0)</f>
        <v>0</v>
      </c>
      <c r="E36" s="33">
        <f>ROUND('Anexo 14'!E36*'Anexo 4'!$D$10,0)</f>
        <v>0</v>
      </c>
      <c r="F36" s="33">
        <f>ROUND('Anexo 14'!F36*'Anexo 4'!$D$10,0)</f>
        <v>0</v>
      </c>
      <c r="G36" s="33">
        <f>ROUND('Anexo 14'!G36*'Anexo 4'!$D$10,0)</f>
        <v>0</v>
      </c>
      <c r="H36" s="33">
        <f>ROUND('Anexo 14'!H36*'Anexo 4'!$D$10,0)</f>
        <v>0</v>
      </c>
      <c r="I36" s="33">
        <f>ROUND('Anexo 14'!I36*'Anexo 4'!$D$10,0)</f>
        <v>0</v>
      </c>
      <c r="J36" s="33">
        <f>ROUND('Anexo 14'!J36*'Anexo 4'!$D$10,0)</f>
        <v>0</v>
      </c>
      <c r="K36" s="33">
        <f>ROUND('Anexo 14'!K36*'Anexo 4'!$D$10,0)</f>
        <v>0</v>
      </c>
      <c r="L36" s="33">
        <f>ROUND('Anexo 14'!L36*'Anexo 4'!$D$10,0)</f>
        <v>0</v>
      </c>
      <c r="M36" s="33">
        <f>ROUND('Anexo 14'!M36*'Anexo 4'!$D$10,0)</f>
        <v>0</v>
      </c>
      <c r="N36" s="33">
        <f>ROUND('Anexo 14'!N36*'Anexo 4'!$D$10,0)</f>
        <v>0</v>
      </c>
      <c r="O36" s="33">
        <f>ROUND('Anexo 14'!O36*'Anexo 4'!$D$10,0)</f>
        <v>0</v>
      </c>
      <c r="P36" s="33">
        <f>ROUND('Anexo 14'!P36*'Anexo 4'!$D$10,0)</f>
        <v>0</v>
      </c>
      <c r="Q36" s="33">
        <f>ROUND('Anexo 14'!Q36*'Anexo 4'!$D$10,0)</f>
        <v>0</v>
      </c>
      <c r="R36" s="33">
        <f>ROUND('Anexo 14'!R36*'Anexo 4'!$D$10,0)</f>
        <v>0</v>
      </c>
      <c r="S36" s="33">
        <f>ROUND('Anexo 14'!S36*'Anexo 4'!$D$10,0)</f>
        <v>0</v>
      </c>
      <c r="T36" s="33">
        <f>ROUND('Anexo 14'!T36*'Anexo 4'!$D$10,0)</f>
        <v>0</v>
      </c>
      <c r="U36" s="33">
        <f>ROUND('Anexo 14'!U36*'Anexo 4'!$D$10,0)</f>
        <v>0</v>
      </c>
      <c r="V36" s="33">
        <f>ROUND('Anexo 14'!V36*'Anexo 4'!$D$10,0)</f>
        <v>0</v>
      </c>
      <c r="W36" s="33">
        <f>ROUND('Anexo 14'!W36*'Anexo 4'!$D$10,0)</f>
        <v>0</v>
      </c>
      <c r="X36" s="33">
        <f>ROUND('Anexo 14'!X36*'Anexo 4'!$D$10,0)</f>
        <v>0</v>
      </c>
      <c r="Y36" s="33">
        <f>ROUND('Anexo 14'!Y36*'Anexo 4'!$D$10,0)</f>
        <v>0</v>
      </c>
      <c r="Z36" s="33">
        <f>ROUND('Anexo 14'!Z36*'Anexo 4'!$D$10,0)</f>
        <v>0</v>
      </c>
      <c r="AA36" s="35">
        <f t="shared" si="0"/>
        <v>0</v>
      </c>
      <c r="AB36" s="19">
        <v>20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ROUND('Anexo 14'!C37*'Anexo 4'!$D$10,0)</f>
        <v>0</v>
      </c>
      <c r="D37" s="33">
        <f>ROUND('Anexo 14'!D37*'Anexo 4'!$D$10,0)</f>
        <v>0</v>
      </c>
      <c r="E37" s="33">
        <f>ROUND('Anexo 14'!E37*'Anexo 4'!$D$10,0)</f>
        <v>0</v>
      </c>
      <c r="F37" s="33">
        <f>ROUND('Anexo 14'!F37*'Anexo 4'!$D$10,0)</f>
        <v>0</v>
      </c>
      <c r="G37" s="33">
        <f>ROUND('Anexo 14'!G37*'Anexo 4'!$D$10,0)</f>
        <v>0</v>
      </c>
      <c r="H37" s="33">
        <f>ROUND('Anexo 14'!H37*'Anexo 4'!$D$10,0)</f>
        <v>0</v>
      </c>
      <c r="I37" s="33">
        <f>ROUND('Anexo 14'!I37*'Anexo 4'!$D$10,0)</f>
        <v>0</v>
      </c>
      <c r="J37" s="33">
        <f>ROUND('Anexo 14'!J37*'Anexo 4'!$D$10,0)</f>
        <v>0</v>
      </c>
      <c r="K37" s="33">
        <f>ROUND('Anexo 14'!K37*'Anexo 4'!$D$10,0)</f>
        <v>0</v>
      </c>
      <c r="L37" s="33">
        <f>ROUND('Anexo 14'!L37*'Anexo 4'!$D$10,0)</f>
        <v>0</v>
      </c>
      <c r="M37" s="33">
        <f>ROUND('Anexo 14'!M37*'Anexo 4'!$D$10,0)</f>
        <v>0</v>
      </c>
      <c r="N37" s="33">
        <f>ROUND('Anexo 14'!N37*'Anexo 4'!$D$10,0)</f>
        <v>0</v>
      </c>
      <c r="O37" s="33">
        <f>ROUND('Anexo 14'!O37*'Anexo 4'!$D$10,0)</f>
        <v>0</v>
      </c>
      <c r="P37" s="33">
        <f>ROUND('Anexo 14'!P37*'Anexo 4'!$D$10,0)</f>
        <v>0</v>
      </c>
      <c r="Q37" s="33">
        <f>ROUND('Anexo 14'!Q37*'Anexo 4'!$D$10,0)</f>
        <v>0</v>
      </c>
      <c r="R37" s="33">
        <f>ROUND('Anexo 14'!R37*'Anexo 4'!$D$10,0)</f>
        <v>0</v>
      </c>
      <c r="S37" s="33">
        <f>ROUND('Anexo 14'!S37*'Anexo 4'!$D$10,0)</f>
        <v>0</v>
      </c>
      <c r="T37" s="33">
        <f>ROUND('Anexo 14'!T37*'Anexo 4'!$D$10,0)</f>
        <v>0</v>
      </c>
      <c r="U37" s="33">
        <f>ROUND('Anexo 14'!U37*'Anexo 4'!$D$10,0)</f>
        <v>0</v>
      </c>
      <c r="V37" s="33">
        <f>ROUND('Anexo 14'!V37*'Anexo 4'!$D$10,0)</f>
        <v>0</v>
      </c>
      <c r="W37" s="33">
        <f>ROUND('Anexo 14'!W37*'Anexo 4'!$D$10,0)</f>
        <v>0</v>
      </c>
      <c r="X37" s="33">
        <f>ROUND('Anexo 14'!X37*'Anexo 4'!$D$10,0)</f>
        <v>0</v>
      </c>
      <c r="Y37" s="33">
        <f>ROUND('Anexo 14'!Y37*'Anexo 4'!$D$10,0)</f>
        <v>0</v>
      </c>
      <c r="Z37" s="33">
        <f>ROUND('Anexo 14'!Z37*'Anexo 4'!$D$10,0)</f>
        <v>0</v>
      </c>
      <c r="AA37" s="38">
        <f t="shared" si="0"/>
        <v>0</v>
      </c>
      <c r="AB37" s="21">
        <v>4</v>
      </c>
      <c r="AC37" s="95"/>
      <c r="AD37" s="47"/>
    </row>
    <row r="38" spans="1:30" ht="15.75" thickBot="1" x14ac:dyDescent="0.3">
      <c r="A38" s="93"/>
      <c r="B38" s="22" t="s">
        <v>3</v>
      </c>
      <c r="C38" s="33">
        <f>ROUND('Anexo 14'!C38*'Anexo 4'!$D$10,0)</f>
        <v>0</v>
      </c>
      <c r="D38" s="33">
        <f>ROUND('Anexo 14'!D38*'Anexo 4'!$D$10,0)</f>
        <v>0</v>
      </c>
      <c r="E38" s="33">
        <f>ROUND('Anexo 14'!E38*'Anexo 4'!$D$10,0)</f>
        <v>0</v>
      </c>
      <c r="F38" s="33">
        <f>ROUND('Anexo 14'!F38*'Anexo 4'!$D$10,0)</f>
        <v>0</v>
      </c>
      <c r="G38" s="33">
        <f>ROUND('Anexo 14'!G38*'Anexo 4'!$D$10,0)</f>
        <v>0</v>
      </c>
      <c r="H38" s="33">
        <f>ROUND('Anexo 14'!H38*'Anexo 4'!$D$10,0)</f>
        <v>0</v>
      </c>
      <c r="I38" s="33">
        <f>ROUND('Anexo 14'!I38*'Anexo 4'!$D$10,0)</f>
        <v>0</v>
      </c>
      <c r="J38" s="33">
        <f>ROUND('Anexo 14'!J38*'Anexo 4'!$D$10,0)</f>
        <v>0</v>
      </c>
      <c r="K38" s="33">
        <f>ROUND('Anexo 14'!K38*'Anexo 4'!$D$10,0)</f>
        <v>0</v>
      </c>
      <c r="L38" s="33">
        <f>ROUND('Anexo 14'!L38*'Anexo 4'!$D$10,0)</f>
        <v>0</v>
      </c>
      <c r="M38" s="33">
        <f>ROUND('Anexo 14'!M38*'Anexo 4'!$D$10,0)</f>
        <v>0</v>
      </c>
      <c r="N38" s="33">
        <f>ROUND('Anexo 14'!N38*'Anexo 4'!$D$10,0)</f>
        <v>0</v>
      </c>
      <c r="O38" s="33">
        <f>ROUND('Anexo 14'!O38*'Anexo 4'!$D$10,0)</f>
        <v>0</v>
      </c>
      <c r="P38" s="33">
        <f>ROUND('Anexo 14'!P38*'Anexo 4'!$D$10,0)</f>
        <v>0</v>
      </c>
      <c r="Q38" s="33">
        <f>ROUND('Anexo 14'!Q38*'Anexo 4'!$D$10,0)</f>
        <v>0</v>
      </c>
      <c r="R38" s="33">
        <f>ROUND('Anexo 14'!R38*'Anexo 4'!$D$10,0)</f>
        <v>0</v>
      </c>
      <c r="S38" s="33">
        <f>ROUND('Anexo 14'!S38*'Anexo 4'!$D$10,0)</f>
        <v>0</v>
      </c>
      <c r="T38" s="33">
        <f>ROUND('Anexo 14'!T38*'Anexo 4'!$D$10,0)</f>
        <v>0</v>
      </c>
      <c r="U38" s="33">
        <f>ROUND('Anexo 14'!U38*'Anexo 4'!$D$10,0)</f>
        <v>0</v>
      </c>
      <c r="V38" s="33">
        <f>ROUND('Anexo 14'!V38*'Anexo 4'!$D$10,0)</f>
        <v>0</v>
      </c>
      <c r="W38" s="33">
        <f>ROUND('Anexo 14'!W38*'Anexo 4'!$D$10,0)</f>
        <v>0</v>
      </c>
      <c r="X38" s="33">
        <f>ROUND('Anexo 14'!X38*'Anexo 4'!$D$10,0)</f>
        <v>0</v>
      </c>
      <c r="Y38" s="33">
        <f>ROUND('Anexo 14'!Y38*'Anexo 4'!$D$10,0)</f>
        <v>0</v>
      </c>
      <c r="Z38" s="33">
        <f>ROUND('Anexo 14'!Z38*'Anexo 4'!$D$10,0)</f>
        <v>0</v>
      </c>
      <c r="AA38" s="41">
        <f t="shared" si="0"/>
        <v>0</v>
      </c>
      <c r="AB38" s="23">
        <v>6</v>
      </c>
      <c r="AC38" s="96"/>
      <c r="AD38" s="49"/>
    </row>
    <row r="39" spans="1:30" ht="15.75" thickBot="1" x14ac:dyDescent="0.3">
      <c r="A39" s="93">
        <v>47453</v>
      </c>
      <c r="B39" s="18" t="s">
        <v>5</v>
      </c>
      <c r="C39" s="33">
        <f>ROUND('Anexo 14'!C39*'Anexo 4'!$D$10,0)</f>
        <v>0</v>
      </c>
      <c r="D39" s="33">
        <f>ROUND('Anexo 14'!D39*'Anexo 4'!$D$10,0)</f>
        <v>0</v>
      </c>
      <c r="E39" s="33">
        <f>ROUND('Anexo 14'!E39*'Anexo 4'!$D$10,0)</f>
        <v>0</v>
      </c>
      <c r="F39" s="33">
        <f>ROUND('Anexo 14'!F39*'Anexo 4'!$D$10,0)</f>
        <v>0</v>
      </c>
      <c r="G39" s="33">
        <f>ROUND('Anexo 14'!G39*'Anexo 4'!$D$10,0)</f>
        <v>0</v>
      </c>
      <c r="H39" s="33">
        <f>ROUND('Anexo 14'!H39*'Anexo 4'!$D$10,0)</f>
        <v>0</v>
      </c>
      <c r="I39" s="33">
        <f>ROUND('Anexo 14'!I39*'Anexo 4'!$D$10,0)</f>
        <v>0</v>
      </c>
      <c r="J39" s="33">
        <f>ROUND('Anexo 14'!J39*'Anexo 4'!$D$10,0)</f>
        <v>0</v>
      </c>
      <c r="K39" s="33">
        <f>ROUND('Anexo 14'!K39*'Anexo 4'!$D$10,0)</f>
        <v>0</v>
      </c>
      <c r="L39" s="33">
        <f>ROUND('Anexo 14'!L39*'Anexo 4'!$D$10,0)</f>
        <v>0</v>
      </c>
      <c r="M39" s="33">
        <f>ROUND('Anexo 14'!M39*'Anexo 4'!$D$10,0)</f>
        <v>0</v>
      </c>
      <c r="N39" s="33">
        <f>ROUND('Anexo 14'!N39*'Anexo 4'!$D$10,0)</f>
        <v>0</v>
      </c>
      <c r="O39" s="33">
        <f>ROUND('Anexo 14'!O39*'Anexo 4'!$D$10,0)</f>
        <v>0</v>
      </c>
      <c r="P39" s="33">
        <f>ROUND('Anexo 14'!P39*'Anexo 4'!$D$10,0)</f>
        <v>0</v>
      </c>
      <c r="Q39" s="33">
        <f>ROUND('Anexo 14'!Q39*'Anexo 4'!$D$10,0)</f>
        <v>0</v>
      </c>
      <c r="R39" s="33">
        <f>ROUND('Anexo 14'!R39*'Anexo 4'!$D$10,0)</f>
        <v>0</v>
      </c>
      <c r="S39" s="33">
        <f>ROUND('Anexo 14'!S39*'Anexo 4'!$D$10,0)</f>
        <v>0</v>
      </c>
      <c r="T39" s="33">
        <f>ROUND('Anexo 14'!T39*'Anexo 4'!$D$10,0)</f>
        <v>0</v>
      </c>
      <c r="U39" s="33">
        <f>ROUND('Anexo 14'!U39*'Anexo 4'!$D$10,0)</f>
        <v>0</v>
      </c>
      <c r="V39" s="33">
        <f>ROUND('Anexo 14'!V39*'Anexo 4'!$D$10,0)</f>
        <v>0</v>
      </c>
      <c r="W39" s="33">
        <f>ROUND('Anexo 14'!W39*'Anexo 4'!$D$10,0)</f>
        <v>0</v>
      </c>
      <c r="X39" s="33">
        <f>ROUND('Anexo 14'!X39*'Anexo 4'!$D$10,0)</f>
        <v>0</v>
      </c>
      <c r="Y39" s="33">
        <f>ROUND('Anexo 14'!Y39*'Anexo 4'!$D$10,0)</f>
        <v>0</v>
      </c>
      <c r="Z39" s="33">
        <f>ROUND('Anexo 14'!Z39*'Anexo 4'!$D$10,0)</f>
        <v>0</v>
      </c>
      <c r="AA39" s="35">
        <f t="shared" si="0"/>
        <v>0</v>
      </c>
      <c r="AB39" s="19">
        <v>20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ROUND('Anexo 14'!C40*'Anexo 4'!$D$10,0)</f>
        <v>0</v>
      </c>
      <c r="D40" s="33">
        <f>ROUND('Anexo 14'!D40*'Anexo 4'!$D$10,0)</f>
        <v>0</v>
      </c>
      <c r="E40" s="33">
        <f>ROUND('Anexo 14'!E40*'Anexo 4'!$D$10,0)</f>
        <v>0</v>
      </c>
      <c r="F40" s="33">
        <f>ROUND('Anexo 14'!F40*'Anexo 4'!$D$10,0)</f>
        <v>0</v>
      </c>
      <c r="G40" s="33">
        <f>ROUND('Anexo 14'!G40*'Anexo 4'!$D$10,0)</f>
        <v>0</v>
      </c>
      <c r="H40" s="33">
        <f>ROUND('Anexo 14'!H40*'Anexo 4'!$D$10,0)</f>
        <v>0</v>
      </c>
      <c r="I40" s="33">
        <f>ROUND('Anexo 14'!I40*'Anexo 4'!$D$10,0)</f>
        <v>0</v>
      </c>
      <c r="J40" s="33">
        <f>ROUND('Anexo 14'!J40*'Anexo 4'!$D$10,0)</f>
        <v>0</v>
      </c>
      <c r="K40" s="33">
        <f>ROUND('Anexo 14'!K40*'Anexo 4'!$D$10,0)</f>
        <v>0</v>
      </c>
      <c r="L40" s="33">
        <f>ROUND('Anexo 14'!L40*'Anexo 4'!$D$10,0)</f>
        <v>0</v>
      </c>
      <c r="M40" s="33">
        <f>ROUND('Anexo 14'!M40*'Anexo 4'!$D$10,0)</f>
        <v>0</v>
      </c>
      <c r="N40" s="33">
        <f>ROUND('Anexo 14'!N40*'Anexo 4'!$D$10,0)</f>
        <v>0</v>
      </c>
      <c r="O40" s="33">
        <f>ROUND('Anexo 14'!O40*'Anexo 4'!$D$10,0)</f>
        <v>0</v>
      </c>
      <c r="P40" s="33">
        <f>ROUND('Anexo 14'!P40*'Anexo 4'!$D$10,0)</f>
        <v>0</v>
      </c>
      <c r="Q40" s="33">
        <f>ROUND('Anexo 14'!Q40*'Anexo 4'!$D$10,0)</f>
        <v>0</v>
      </c>
      <c r="R40" s="33">
        <f>ROUND('Anexo 14'!R40*'Anexo 4'!$D$10,0)</f>
        <v>0</v>
      </c>
      <c r="S40" s="33">
        <f>ROUND('Anexo 14'!S40*'Anexo 4'!$D$10,0)</f>
        <v>0</v>
      </c>
      <c r="T40" s="33">
        <f>ROUND('Anexo 14'!T40*'Anexo 4'!$D$10,0)</f>
        <v>0</v>
      </c>
      <c r="U40" s="33">
        <f>ROUND('Anexo 14'!U40*'Anexo 4'!$D$10,0)</f>
        <v>0</v>
      </c>
      <c r="V40" s="33">
        <f>ROUND('Anexo 14'!V40*'Anexo 4'!$D$10,0)</f>
        <v>0</v>
      </c>
      <c r="W40" s="33">
        <f>ROUND('Anexo 14'!W40*'Anexo 4'!$D$10,0)</f>
        <v>0</v>
      </c>
      <c r="X40" s="33">
        <f>ROUND('Anexo 14'!X40*'Anexo 4'!$D$10,0)</f>
        <v>0</v>
      </c>
      <c r="Y40" s="33">
        <f>ROUND('Anexo 14'!Y40*'Anexo 4'!$D$10,0)</f>
        <v>0</v>
      </c>
      <c r="Z40" s="33">
        <f>ROUND('Anexo 14'!Z40*'Anexo 4'!$D$10,0)</f>
        <v>0</v>
      </c>
      <c r="AA40" s="38">
        <f t="shared" si="0"/>
        <v>0</v>
      </c>
      <c r="AB40" s="21">
        <v>4</v>
      </c>
      <c r="AC40" s="95"/>
      <c r="AD40" s="47"/>
    </row>
    <row r="41" spans="1:30" ht="15.75" thickBot="1" x14ac:dyDescent="0.3">
      <c r="A41" s="93"/>
      <c r="B41" s="22" t="s">
        <v>3</v>
      </c>
      <c r="C41" s="33">
        <f>ROUND('Anexo 14'!C41*'Anexo 4'!$D$10,0)</f>
        <v>0</v>
      </c>
      <c r="D41" s="33">
        <f>ROUND('Anexo 14'!D41*'Anexo 4'!$D$10,0)</f>
        <v>0</v>
      </c>
      <c r="E41" s="33">
        <f>ROUND('Anexo 14'!E41*'Anexo 4'!$D$10,0)</f>
        <v>0</v>
      </c>
      <c r="F41" s="33">
        <f>ROUND('Anexo 14'!F41*'Anexo 4'!$D$10,0)</f>
        <v>0</v>
      </c>
      <c r="G41" s="33">
        <f>ROUND('Anexo 14'!G41*'Anexo 4'!$D$10,0)</f>
        <v>0</v>
      </c>
      <c r="H41" s="33">
        <f>ROUND('Anexo 14'!H41*'Anexo 4'!$D$10,0)</f>
        <v>0</v>
      </c>
      <c r="I41" s="33">
        <f>ROUND('Anexo 14'!I41*'Anexo 4'!$D$10,0)</f>
        <v>0</v>
      </c>
      <c r="J41" s="33">
        <f>ROUND('Anexo 14'!J41*'Anexo 4'!$D$10,0)</f>
        <v>0</v>
      </c>
      <c r="K41" s="33">
        <f>ROUND('Anexo 14'!K41*'Anexo 4'!$D$10,0)</f>
        <v>0</v>
      </c>
      <c r="L41" s="33">
        <f>ROUND('Anexo 14'!L41*'Anexo 4'!$D$10,0)</f>
        <v>0</v>
      </c>
      <c r="M41" s="33">
        <f>ROUND('Anexo 14'!M41*'Anexo 4'!$D$10,0)</f>
        <v>0</v>
      </c>
      <c r="N41" s="33">
        <f>ROUND('Anexo 14'!N41*'Anexo 4'!$D$10,0)</f>
        <v>0</v>
      </c>
      <c r="O41" s="33">
        <f>ROUND('Anexo 14'!O41*'Anexo 4'!$D$10,0)</f>
        <v>0</v>
      </c>
      <c r="P41" s="33">
        <f>ROUND('Anexo 14'!P41*'Anexo 4'!$D$10,0)</f>
        <v>0</v>
      </c>
      <c r="Q41" s="33">
        <f>ROUND('Anexo 14'!Q41*'Anexo 4'!$D$10,0)</f>
        <v>0</v>
      </c>
      <c r="R41" s="33">
        <f>ROUND('Anexo 14'!R41*'Anexo 4'!$D$10,0)</f>
        <v>0</v>
      </c>
      <c r="S41" s="33">
        <f>ROUND('Anexo 14'!S41*'Anexo 4'!$D$10,0)</f>
        <v>0</v>
      </c>
      <c r="T41" s="33">
        <f>ROUND('Anexo 14'!T41*'Anexo 4'!$D$10,0)</f>
        <v>0</v>
      </c>
      <c r="U41" s="33">
        <f>ROUND('Anexo 14'!U41*'Anexo 4'!$D$10,0)</f>
        <v>0</v>
      </c>
      <c r="V41" s="33">
        <f>ROUND('Anexo 14'!V41*'Anexo 4'!$D$10,0)</f>
        <v>0</v>
      </c>
      <c r="W41" s="33">
        <f>ROUND('Anexo 14'!W41*'Anexo 4'!$D$10,0)</f>
        <v>0</v>
      </c>
      <c r="X41" s="33">
        <f>ROUND('Anexo 14'!X41*'Anexo 4'!$D$10,0)</f>
        <v>0</v>
      </c>
      <c r="Y41" s="33">
        <f>ROUND('Anexo 14'!Y41*'Anexo 4'!$D$10,0)</f>
        <v>0</v>
      </c>
      <c r="Z41" s="33">
        <f>ROUND('Anexo 14'!Z41*'Anexo 4'!$D$10,0)</f>
        <v>0</v>
      </c>
      <c r="AA41" s="41">
        <f t="shared" si="0"/>
        <v>0</v>
      </c>
      <c r="AB41" s="23">
        <v>7</v>
      </c>
      <c r="AC41" s="96"/>
      <c r="AD41" s="42"/>
    </row>
    <row r="42" spans="1:30" ht="15.75" thickBot="1" x14ac:dyDescent="0.3">
      <c r="A42" s="97" t="s">
        <v>2</v>
      </c>
      <c r="B42" s="98"/>
      <c r="C42" s="33">
        <f>ROUND('Anexo 13'!C42*'Anexo 3'!$D$10,0)</f>
        <v>0</v>
      </c>
      <c r="D42" s="33">
        <f>ROUND('Anexo 13'!D42*'Anexo 3'!$D$10,0)</f>
        <v>0</v>
      </c>
      <c r="E42" s="33">
        <f>ROUND('Anexo 13'!E42*'Anexo 3'!$D$10,0)</f>
        <v>0</v>
      </c>
      <c r="F42" s="33">
        <f>ROUND('Anexo 13'!F42*'Anexo 3'!$D$10,0)</f>
        <v>0</v>
      </c>
      <c r="G42" s="33">
        <f>ROUND('Anexo 13'!G42*'Anexo 3'!$D$10,0)</f>
        <v>0</v>
      </c>
      <c r="H42" s="33">
        <f>ROUND('Anexo 13'!H42*'Anexo 3'!$D$10,0)</f>
        <v>0</v>
      </c>
      <c r="I42" s="33">
        <f>ROUND('Anexo 13'!I42*'Anexo 3'!$D$10,0)</f>
        <v>0</v>
      </c>
      <c r="J42" s="33">
        <f>ROUND('Anexo 13'!J42*'Anexo 3'!$D$10,0)</f>
        <v>0</v>
      </c>
      <c r="K42" s="33">
        <f>ROUND('Anexo 13'!K42*'Anexo 3'!$D$10,0)</f>
        <v>0</v>
      </c>
      <c r="L42" s="33">
        <f>ROUND('Anexo 13'!L42*'Anexo 3'!$D$10,0)</f>
        <v>0</v>
      </c>
      <c r="M42" s="33">
        <f>ROUND('Anexo 13'!M42*'Anexo 3'!$D$10,0)</f>
        <v>0</v>
      </c>
      <c r="N42" s="33">
        <f>ROUND('Anexo 13'!N42*'Anexo 3'!$D$10,0)</f>
        <v>0</v>
      </c>
      <c r="O42" s="33">
        <f>ROUND('Anexo 13'!O42*'Anexo 3'!$D$10,0)</f>
        <v>0</v>
      </c>
      <c r="P42" s="33">
        <f>ROUND('Anexo 13'!P42*'Anexo 3'!$D$10,0)</f>
        <v>0</v>
      </c>
      <c r="Q42" s="33">
        <f>ROUND('Anexo 13'!Q42*'Anexo 3'!$D$10,0)</f>
        <v>0</v>
      </c>
      <c r="R42" s="33">
        <f>ROUND('Anexo 13'!R42*'Anexo 3'!$D$10,0)</f>
        <v>0</v>
      </c>
      <c r="S42" s="33">
        <f>ROUND('Anexo 13'!S42*'Anexo 3'!$D$10,0)</f>
        <v>0</v>
      </c>
      <c r="T42" s="33">
        <f>ROUND('Anexo 13'!T42*'Anexo 3'!$D$10,0)</f>
        <v>0</v>
      </c>
      <c r="U42" s="33">
        <f>ROUND('Anexo 13'!U42*'Anexo 3'!$D$10,0)</f>
        <v>0</v>
      </c>
      <c r="V42" s="33">
        <f>ROUND('Anexo 13'!V42*'Anexo 3'!$D$10,0)</f>
        <v>0</v>
      </c>
      <c r="W42" s="33">
        <f>ROUND('Anexo 13'!W42*'Anexo 3'!$D$10,0)</f>
        <v>0</v>
      </c>
      <c r="X42" s="33">
        <f>ROUND('Anexo 13'!X42*'Anexo 3'!$D$10,0)</f>
        <v>0</v>
      </c>
      <c r="Y42" s="33">
        <f>ROUND('Anexo 13'!Y42*'Anexo 3'!$D$10,0)</f>
        <v>0</v>
      </c>
      <c r="Z42" s="33">
        <f>ROUND('Anexo 13'!Z42*'Anexo 3'!$D$10,0)</f>
        <v>0</v>
      </c>
      <c r="AA42" s="31">
        <f t="shared" ref="AA42:AC42" si="1">+SUM(AA6:AA41)</f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701E-77FB-4B66-8D04-18F03EABCD13}">
  <sheetPr codeName="Hoja1">
    <tabColor theme="5" tint="0.79998168889431442"/>
  </sheetPr>
  <dimension ref="A1:XFC36"/>
  <sheetViews>
    <sheetView showGridLines="0" topLeftCell="A4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 customWidth="1"/>
    <col min="9" max="16382" width="11.42578125" hidden="1" customWidth="1"/>
    <col min="16383" max="16383" width="6" hidden="1" customWidth="1"/>
    <col min="16384" max="16384" width="23.42578125" hidden="1" customWidth="1"/>
  </cols>
  <sheetData>
    <row r="1" spans="1:9" x14ac:dyDescent="0.25"/>
    <row r="2" spans="1:9" x14ac:dyDescent="0.25"/>
    <row r="3" spans="1:9" x14ac:dyDescent="0.25">
      <c r="B3" s="76" t="s">
        <v>79</v>
      </c>
      <c r="C3" s="76"/>
      <c r="D3" s="76"/>
      <c r="E3" s="76"/>
      <c r="F3" s="76"/>
      <c r="G3" s="29"/>
    </row>
    <row r="4" spans="1:9" x14ac:dyDescent="0.25">
      <c r="B4" s="76" t="s">
        <v>63</v>
      </c>
      <c r="C4" s="76"/>
      <c r="D4" s="76"/>
      <c r="E4" s="76"/>
      <c r="F4" s="76"/>
      <c r="G4" s="29"/>
    </row>
    <row r="5" spans="1:9" x14ac:dyDescent="0.25">
      <c r="B5" s="76" t="s">
        <v>90</v>
      </c>
      <c r="C5" s="76"/>
      <c r="D5" s="76"/>
      <c r="E5" s="76"/>
      <c r="F5" s="76"/>
      <c r="G5" s="29"/>
    </row>
    <row r="6" spans="1:9" x14ac:dyDescent="0.25">
      <c r="B6" s="5"/>
      <c r="C6" s="5"/>
      <c r="D6" s="5"/>
      <c r="E6" s="5"/>
      <c r="F6" s="5"/>
      <c r="G6" s="5"/>
    </row>
    <row r="7" spans="1:9" x14ac:dyDescent="0.25"/>
    <row r="8" spans="1:9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1:9" ht="23.25" customHeight="1" x14ac:dyDescent="0.25">
      <c r="B9" s="78"/>
      <c r="C9" s="78"/>
      <c r="D9" s="78"/>
      <c r="E9" s="78"/>
      <c r="F9" s="78"/>
      <c r="G9" s="28"/>
    </row>
    <row r="10" spans="1:9" ht="15.75" thickBot="1" x14ac:dyDescent="0.3">
      <c r="A10" s="59">
        <v>31</v>
      </c>
      <c r="B10" s="8">
        <v>47484</v>
      </c>
      <c r="C10" s="43">
        <f>+'Anexo 15'!AC6</f>
        <v>5284387</v>
      </c>
      <c r="D10" s="73"/>
      <c r="E10" s="57">
        <f>+'Cantidades Ofertadas Prod 5'!AC6</f>
        <v>0</v>
      </c>
      <c r="F10" s="99"/>
      <c r="G10" s="32"/>
      <c r="H10" s="66"/>
      <c r="I10" s="48"/>
    </row>
    <row r="11" spans="1:9" ht="15.75" thickBot="1" x14ac:dyDescent="0.3">
      <c r="A11" s="59">
        <v>29</v>
      </c>
      <c r="B11" s="8">
        <v>47515</v>
      </c>
      <c r="C11" s="43">
        <f>+'Anexo 15'!AC9</f>
        <v>4260316</v>
      </c>
      <c r="D11" s="74"/>
      <c r="E11" s="57">
        <f>+'Cantidades Ofertadas Prod 5'!AC9</f>
        <v>0</v>
      </c>
      <c r="F11" s="100"/>
      <c r="G11" s="32"/>
      <c r="H11" s="66"/>
      <c r="I11" s="48"/>
    </row>
    <row r="12" spans="1:9" ht="15.75" thickBot="1" x14ac:dyDescent="0.3">
      <c r="A12" s="59">
        <v>31</v>
      </c>
      <c r="B12" s="8">
        <v>47543</v>
      </c>
      <c r="C12" s="43">
        <f>+'Anexo 15'!AC12</f>
        <v>5229011</v>
      </c>
      <c r="D12" s="74"/>
      <c r="E12" s="57">
        <f>+'Cantidades Ofertadas Prod 5'!AC12</f>
        <v>0</v>
      </c>
      <c r="F12" s="100"/>
      <c r="G12" s="32"/>
      <c r="H12" s="66"/>
      <c r="I12" s="48"/>
    </row>
    <row r="13" spans="1:9" ht="15.75" thickBot="1" x14ac:dyDescent="0.3">
      <c r="A13" s="59">
        <v>30</v>
      </c>
      <c r="B13" s="8">
        <v>47574</v>
      </c>
      <c r="C13" s="43">
        <f>+'Anexo 15'!AC15</f>
        <v>4912232</v>
      </c>
      <c r="D13" s="74"/>
      <c r="E13" s="57">
        <f>+'Cantidades Ofertadas Prod 5'!AC15</f>
        <v>0</v>
      </c>
      <c r="F13" s="100"/>
      <c r="G13" s="32"/>
      <c r="H13" s="66"/>
      <c r="I13" s="48"/>
    </row>
    <row r="14" spans="1:9" ht="15.75" thickBot="1" x14ac:dyDescent="0.3">
      <c r="A14" s="59">
        <v>31</v>
      </c>
      <c r="B14" s="8">
        <v>47604</v>
      </c>
      <c r="C14" s="43">
        <f>+'Anexo 15'!AC18</f>
        <v>5078589</v>
      </c>
      <c r="D14" s="74"/>
      <c r="E14" s="57">
        <f>+'Cantidades Ofertadas Prod 5'!AC18</f>
        <v>0</v>
      </c>
      <c r="F14" s="100"/>
      <c r="G14" s="32"/>
      <c r="H14" s="66"/>
      <c r="I14" s="48"/>
    </row>
    <row r="15" spans="1:9" ht="15.75" thickBot="1" x14ac:dyDescent="0.3">
      <c r="A15" s="59">
        <v>30</v>
      </c>
      <c r="B15" s="8">
        <v>47635</v>
      </c>
      <c r="C15" s="43">
        <f>+'Anexo 15'!AC21</f>
        <v>4783983</v>
      </c>
      <c r="D15" s="74"/>
      <c r="E15" s="57">
        <f>+'Cantidades Ofertadas Prod 5'!AC21</f>
        <v>0</v>
      </c>
      <c r="F15" s="100"/>
      <c r="G15" s="32"/>
      <c r="H15" s="66"/>
      <c r="I15" s="48"/>
    </row>
    <row r="16" spans="1:9" ht="15.75" thickBot="1" x14ac:dyDescent="0.3">
      <c r="A16" s="59">
        <v>31</v>
      </c>
      <c r="B16" s="8">
        <v>47665</v>
      </c>
      <c r="C16" s="43">
        <f>+'Anexo 15'!AC24</f>
        <v>4917178</v>
      </c>
      <c r="D16" s="74"/>
      <c r="E16" s="57">
        <f>+'Cantidades Ofertadas Prod 5'!AC24</f>
        <v>0</v>
      </c>
      <c r="F16" s="100"/>
      <c r="G16" s="32"/>
      <c r="H16" s="66"/>
      <c r="I16" s="48"/>
    </row>
    <row r="17" spans="1:9" ht="15.75" thickBot="1" x14ac:dyDescent="0.3">
      <c r="A17" s="59">
        <v>31</v>
      </c>
      <c r="B17" s="8">
        <v>47696</v>
      </c>
      <c r="C17" s="43">
        <f>+'Anexo 15'!AC27</f>
        <v>5100291</v>
      </c>
      <c r="D17" s="74"/>
      <c r="E17" s="57">
        <f>+'Cantidades Ofertadas Prod 5'!AC27</f>
        <v>0</v>
      </c>
      <c r="F17" s="100"/>
      <c r="G17" s="32"/>
      <c r="H17" s="66"/>
      <c r="I17" s="48"/>
    </row>
    <row r="18" spans="1:9" ht="15.75" thickBot="1" x14ac:dyDescent="0.3">
      <c r="A18" s="59">
        <v>30</v>
      </c>
      <c r="B18" s="8">
        <v>47727</v>
      </c>
      <c r="C18" s="43">
        <f>+'Anexo 15'!AC30</f>
        <v>5030750</v>
      </c>
      <c r="D18" s="74"/>
      <c r="E18" s="57">
        <f>+'Cantidades Ofertadas Prod 5'!AC30</f>
        <v>0</v>
      </c>
      <c r="F18" s="100"/>
      <c r="G18" s="32"/>
      <c r="H18" s="66"/>
      <c r="I18" s="48"/>
    </row>
    <row r="19" spans="1:9" ht="15.75" thickBot="1" x14ac:dyDescent="0.3">
      <c r="A19" s="59">
        <v>31</v>
      </c>
      <c r="B19" s="8">
        <v>47757</v>
      </c>
      <c r="C19" s="43">
        <f>+'Anexo 15'!AC33</f>
        <v>4841984</v>
      </c>
      <c r="D19" s="74"/>
      <c r="E19" s="57">
        <f>+'Cantidades Ofertadas Prod 5'!AC33</f>
        <v>0</v>
      </c>
      <c r="F19" s="100"/>
      <c r="G19" s="32"/>
      <c r="H19" s="66"/>
      <c r="I19" s="48"/>
    </row>
    <row r="20" spans="1:9" ht="15.75" thickBot="1" x14ac:dyDescent="0.3">
      <c r="A20" s="59">
        <v>30</v>
      </c>
      <c r="B20" s="8">
        <v>47788</v>
      </c>
      <c r="C20" s="43">
        <f>+'Anexo 15'!AC36</f>
        <v>4548923</v>
      </c>
      <c r="D20" s="74"/>
      <c r="E20" s="57">
        <f>+'Cantidades Ofertadas Prod 5'!AC36</f>
        <v>0</v>
      </c>
      <c r="F20" s="100"/>
      <c r="G20" s="32"/>
      <c r="H20" s="66"/>
      <c r="I20" s="48"/>
    </row>
    <row r="21" spans="1:9" ht="15.75" thickBot="1" x14ac:dyDescent="0.3">
      <c r="A21" s="59">
        <v>31</v>
      </c>
      <c r="B21" s="8">
        <v>47818</v>
      </c>
      <c r="C21" s="43">
        <f>+'Anexo 15'!AC39</f>
        <v>5132569</v>
      </c>
      <c r="D21" s="75"/>
      <c r="E21" s="57">
        <f>+'Cantidades Ofertadas Prod 5'!AC39</f>
        <v>0</v>
      </c>
      <c r="F21" s="101"/>
      <c r="G21" s="32"/>
      <c r="H21" s="66"/>
      <c r="I21" s="48"/>
    </row>
    <row r="22" spans="1:9" ht="28.5" customHeight="1" x14ac:dyDescent="0.25">
      <c r="B22" s="9" t="s">
        <v>0</v>
      </c>
      <c r="C22" s="10">
        <f>+SUM(C10:C21)</f>
        <v>59120213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9" ht="19.5" customHeight="1" x14ac:dyDescent="0.25">
      <c r="B23" s="24"/>
      <c r="C23" s="25"/>
      <c r="D23" s="30"/>
      <c r="E23" s="25"/>
      <c r="F23" s="26"/>
      <c r="G23" s="26"/>
      <c r="H23" s="42"/>
    </row>
    <row r="24" spans="1:9" ht="15" customHeight="1" x14ac:dyDescent="0.25">
      <c r="B24" s="7" t="s">
        <v>58</v>
      </c>
      <c r="C24" s="25"/>
      <c r="D24" s="30"/>
      <c r="E24" s="25"/>
      <c r="F24" s="26"/>
      <c r="G24" s="67"/>
      <c r="H24" s="42"/>
    </row>
    <row r="25" spans="1:9" ht="15" customHeight="1" x14ac:dyDescent="0.25">
      <c r="B25" s="69" t="s">
        <v>46</v>
      </c>
      <c r="C25" s="69"/>
      <c r="D25" s="69"/>
      <c r="E25" s="69"/>
      <c r="F25" s="69"/>
      <c r="G25" s="69"/>
      <c r="H25" s="42"/>
    </row>
    <row r="26" spans="1:9" x14ac:dyDescent="0.25">
      <c r="B26" s="7" t="s">
        <v>103</v>
      </c>
      <c r="C26" s="52"/>
      <c r="D26" s="52"/>
      <c r="E26" s="52"/>
      <c r="F26" s="52"/>
      <c r="G26" s="52"/>
      <c r="H26" s="42"/>
    </row>
    <row r="27" spans="1:9" x14ac:dyDescent="0.25">
      <c r="B27" s="7" t="s">
        <v>115</v>
      </c>
      <c r="C27" s="52"/>
      <c r="D27" s="52"/>
      <c r="E27" s="52"/>
      <c r="F27" s="52"/>
      <c r="G27" s="52"/>
      <c r="H27" s="42"/>
    </row>
    <row r="28" spans="1:9" x14ac:dyDescent="0.25">
      <c r="B28" s="7" t="s">
        <v>43</v>
      </c>
      <c r="H28" s="42"/>
    </row>
    <row r="29" spans="1:9" x14ac:dyDescent="0.25">
      <c r="B29" s="7" t="s">
        <v>127</v>
      </c>
      <c r="C29" s="45"/>
      <c r="H29" s="42"/>
    </row>
    <row r="30" spans="1:9" ht="15" customHeight="1" x14ac:dyDescent="0.25">
      <c r="A30" s="2"/>
      <c r="H30" s="42">
        <f t="shared" ref="H30:H32" si="0">+C30-G30</f>
        <v>0</v>
      </c>
    </row>
    <row r="31" spans="1:9" ht="15" customHeight="1" x14ac:dyDescent="0.25">
      <c r="A31" s="1"/>
      <c r="B31" s="7"/>
      <c r="H31" s="42">
        <f t="shared" si="0"/>
        <v>0</v>
      </c>
    </row>
    <row r="32" spans="1:9" ht="15" customHeight="1" x14ac:dyDescent="0.25">
      <c r="A32" s="1"/>
      <c r="B32" s="7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F10:F21"/>
    <mergeCell ref="D10:D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5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1C57C6E5-60C0-4D4B-B5F0-CDB71C317BB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C271-1390-4645-9346-4D2A569B6105}">
  <sheetPr>
    <tabColor theme="5" tint="0.79998168889431442"/>
  </sheetPr>
  <dimension ref="A1:XFC34"/>
  <sheetViews>
    <sheetView showGridLines="0" zoomScaleNormal="100" zoomScaleSheetLayoutView="140" workbookViewId="0">
      <selection activeCell="D10" sqref="D10:D21"/>
    </sheetView>
  </sheetViews>
  <sheetFormatPr baseColWidth="10" defaultColWidth="0" defaultRowHeight="15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x14ac:dyDescent="0.25"/>
    <row r="2" spans="1:8" x14ac:dyDescent="0.25"/>
    <row r="3" spans="1:8" x14ac:dyDescent="0.25">
      <c r="B3" s="76" t="s">
        <v>70</v>
      </c>
      <c r="C3" s="76"/>
      <c r="D3" s="76"/>
      <c r="E3" s="76"/>
      <c r="F3" s="76"/>
      <c r="G3" s="29"/>
    </row>
    <row r="4" spans="1:8" x14ac:dyDescent="0.25">
      <c r="B4" s="76" t="s">
        <v>63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56</v>
      </c>
      <c r="D8" s="77" t="s">
        <v>66</v>
      </c>
      <c r="E8" s="77" t="s">
        <v>37</v>
      </c>
      <c r="F8" s="77" t="s">
        <v>42</v>
      </c>
      <c r="G8" s="28"/>
    </row>
    <row r="9" spans="1:8" ht="23.25" customHeight="1" x14ac:dyDescent="0.25">
      <c r="A9" s="63">
        <v>1500</v>
      </c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47484</v>
      </c>
      <c r="C10" s="43">
        <f>+$A$9*A10*24</f>
        <v>1116000</v>
      </c>
      <c r="D10" s="79"/>
      <c r="E10" s="57">
        <f>+$D$10*A10*24</f>
        <v>0</v>
      </c>
      <c r="F10" s="99"/>
      <c r="G10" s="32"/>
      <c r="H10" s="51"/>
    </row>
    <row r="11" spans="1:8" ht="15.75" thickBot="1" x14ac:dyDescent="0.3">
      <c r="A11" s="59">
        <v>28</v>
      </c>
      <c r="B11" s="8">
        <v>47515</v>
      </c>
      <c r="C11" s="43">
        <f t="shared" ref="C11:C21" si="0">+$A$9*A11*24</f>
        <v>1008000</v>
      </c>
      <c r="D11" s="80"/>
      <c r="E11" s="57">
        <f t="shared" ref="E11:E21" si="1">+$D$10*A11*24</f>
        <v>0</v>
      </c>
      <c r="F11" s="100"/>
      <c r="G11" s="32"/>
      <c r="H11" s="51"/>
    </row>
    <row r="12" spans="1:8" ht="15.75" thickBot="1" x14ac:dyDescent="0.3">
      <c r="A12" s="59">
        <v>31</v>
      </c>
      <c r="B12" s="8">
        <v>47543</v>
      </c>
      <c r="C12" s="43">
        <f t="shared" si="0"/>
        <v>1116000</v>
      </c>
      <c r="D12" s="80"/>
      <c r="E12" s="57">
        <f t="shared" si="1"/>
        <v>0</v>
      </c>
      <c r="F12" s="100"/>
      <c r="G12" s="32"/>
      <c r="H12" s="51"/>
    </row>
    <row r="13" spans="1:8" ht="15.75" thickBot="1" x14ac:dyDescent="0.3">
      <c r="A13" s="59">
        <v>30</v>
      </c>
      <c r="B13" s="8">
        <v>47574</v>
      </c>
      <c r="C13" s="43">
        <f t="shared" si="0"/>
        <v>1080000</v>
      </c>
      <c r="D13" s="80"/>
      <c r="E13" s="57">
        <f t="shared" si="1"/>
        <v>0</v>
      </c>
      <c r="F13" s="100"/>
      <c r="G13" s="32"/>
      <c r="H13" s="51"/>
    </row>
    <row r="14" spans="1:8" ht="15.75" thickBot="1" x14ac:dyDescent="0.3">
      <c r="A14" s="59">
        <v>31</v>
      </c>
      <c r="B14" s="8">
        <v>47604</v>
      </c>
      <c r="C14" s="43">
        <f t="shared" si="0"/>
        <v>1116000</v>
      </c>
      <c r="D14" s="80"/>
      <c r="E14" s="57">
        <f t="shared" si="1"/>
        <v>0</v>
      </c>
      <c r="F14" s="100"/>
      <c r="G14" s="32"/>
      <c r="H14" s="51"/>
    </row>
    <row r="15" spans="1:8" ht="15.75" thickBot="1" x14ac:dyDescent="0.3">
      <c r="A15" s="59">
        <v>30</v>
      </c>
      <c r="B15" s="8">
        <v>47635</v>
      </c>
      <c r="C15" s="43">
        <f t="shared" si="0"/>
        <v>1080000</v>
      </c>
      <c r="D15" s="80"/>
      <c r="E15" s="57">
        <f t="shared" si="1"/>
        <v>0</v>
      </c>
      <c r="F15" s="100"/>
      <c r="G15" s="32"/>
      <c r="H15" s="51"/>
    </row>
    <row r="16" spans="1:8" ht="15.75" thickBot="1" x14ac:dyDescent="0.3">
      <c r="A16" s="59">
        <v>31</v>
      </c>
      <c r="B16" s="8">
        <v>47665</v>
      </c>
      <c r="C16" s="43">
        <f t="shared" si="0"/>
        <v>1116000</v>
      </c>
      <c r="D16" s="80"/>
      <c r="E16" s="57">
        <f t="shared" si="1"/>
        <v>0</v>
      </c>
      <c r="F16" s="100"/>
      <c r="G16" s="32"/>
      <c r="H16" s="51"/>
    </row>
    <row r="17" spans="1:8" ht="15.75" thickBot="1" x14ac:dyDescent="0.3">
      <c r="A17" s="59">
        <v>31</v>
      </c>
      <c r="B17" s="8">
        <v>47696</v>
      </c>
      <c r="C17" s="43">
        <f t="shared" si="0"/>
        <v>1116000</v>
      </c>
      <c r="D17" s="80"/>
      <c r="E17" s="57">
        <f t="shared" si="1"/>
        <v>0</v>
      </c>
      <c r="F17" s="100"/>
      <c r="G17" s="32"/>
      <c r="H17" s="51"/>
    </row>
    <row r="18" spans="1:8" ht="15.75" thickBot="1" x14ac:dyDescent="0.3">
      <c r="A18" s="59">
        <v>30</v>
      </c>
      <c r="B18" s="8">
        <v>47727</v>
      </c>
      <c r="C18" s="43">
        <f t="shared" si="0"/>
        <v>1080000</v>
      </c>
      <c r="D18" s="80"/>
      <c r="E18" s="57">
        <f t="shared" si="1"/>
        <v>0</v>
      </c>
      <c r="F18" s="100"/>
      <c r="G18" s="32"/>
      <c r="H18" s="51"/>
    </row>
    <row r="19" spans="1:8" ht="15.75" thickBot="1" x14ac:dyDescent="0.3">
      <c r="A19" s="59">
        <v>31</v>
      </c>
      <c r="B19" s="8">
        <v>47757</v>
      </c>
      <c r="C19" s="43">
        <f t="shared" si="0"/>
        <v>1116000</v>
      </c>
      <c r="D19" s="80"/>
      <c r="E19" s="57">
        <f t="shared" si="1"/>
        <v>0</v>
      </c>
      <c r="F19" s="100"/>
      <c r="G19" s="32"/>
      <c r="H19" s="45"/>
    </row>
    <row r="20" spans="1:8" ht="15.75" thickBot="1" x14ac:dyDescent="0.3">
      <c r="A20" s="59">
        <v>30</v>
      </c>
      <c r="B20" s="8">
        <v>47788</v>
      </c>
      <c r="C20" s="43">
        <f t="shared" si="0"/>
        <v>1080000</v>
      </c>
      <c r="D20" s="80"/>
      <c r="E20" s="57">
        <f t="shared" si="1"/>
        <v>0</v>
      </c>
      <c r="F20" s="100"/>
      <c r="G20" s="32"/>
      <c r="H20" s="45"/>
    </row>
    <row r="21" spans="1:8" ht="15.75" thickBot="1" x14ac:dyDescent="0.3">
      <c r="A21" s="59">
        <v>31</v>
      </c>
      <c r="B21" s="8">
        <v>47818</v>
      </c>
      <c r="C21" s="43">
        <f t="shared" si="0"/>
        <v>1116000</v>
      </c>
      <c r="D21" s="81"/>
      <c r="E21" s="57">
        <f t="shared" si="1"/>
        <v>0</v>
      </c>
      <c r="F21" s="101"/>
      <c r="G21" s="32"/>
      <c r="H21" s="45"/>
    </row>
    <row r="22" spans="1:8" ht="28.5" customHeight="1" x14ac:dyDescent="0.25">
      <c r="B22" s="9" t="s">
        <v>0</v>
      </c>
      <c r="C22" s="10">
        <f>+SUM(C10:C21)</f>
        <v>13140000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126</v>
      </c>
      <c r="C24" s="7"/>
      <c r="D24" s="7"/>
      <c r="E24" s="7"/>
      <c r="F24" s="7"/>
      <c r="G24" s="7"/>
      <c r="H24" s="42"/>
    </row>
    <row r="25" spans="1:8" x14ac:dyDescent="0.25">
      <c r="B25" s="7" t="s">
        <v>43</v>
      </c>
      <c r="H25" s="42"/>
    </row>
    <row r="26" spans="1:8" ht="33" customHeight="1" x14ac:dyDescent="0.25">
      <c r="B26" s="69" t="s">
        <v>68</v>
      </c>
      <c r="C26" s="69"/>
      <c r="D26" s="69"/>
      <c r="E26" s="69"/>
      <c r="F26" s="69"/>
      <c r="G26" s="69"/>
      <c r="H26" s="42"/>
    </row>
    <row r="27" spans="1:8" x14ac:dyDescent="0.25">
      <c r="B27" s="7"/>
      <c r="C27" s="54"/>
      <c r="D27" s="54"/>
      <c r="E27" s="54"/>
      <c r="F27" s="54"/>
      <c r="G27" s="54"/>
      <c r="H27" s="42"/>
    </row>
    <row r="28" spans="1:8" x14ac:dyDescent="0.25">
      <c r="B28" s="7"/>
      <c r="C28" s="54"/>
      <c r="D28" s="54"/>
      <c r="E28" s="54"/>
      <c r="F28" s="54"/>
      <c r="G28" s="54"/>
      <c r="H28" s="42"/>
    </row>
    <row r="29" spans="1:8" x14ac:dyDescent="0.25">
      <c r="B29" s="7"/>
      <c r="C29" s="4"/>
      <c r="D29" s="3"/>
      <c r="E29" s="3"/>
      <c r="F29" s="3"/>
      <c r="G29" s="3"/>
      <c r="H29" s="42"/>
    </row>
    <row r="30" spans="1:8" ht="15" customHeight="1" x14ac:dyDescent="0.25">
      <c r="A30" s="2"/>
      <c r="H30" s="42"/>
    </row>
    <row r="31" spans="1:8" ht="15" customHeight="1" x14ac:dyDescent="0.25">
      <c r="A31" s="1"/>
      <c r="B31" s="60" t="s">
        <v>53</v>
      </c>
      <c r="H31" s="42"/>
    </row>
    <row r="32" spans="1:8" ht="15" customHeight="1" x14ac:dyDescent="0.25">
      <c r="A32" s="1"/>
      <c r="B32" s="61" t="s">
        <v>54</v>
      </c>
      <c r="H32" s="42"/>
    </row>
    <row r="33" spans="2:2" x14ac:dyDescent="0.25">
      <c r="B33" s="61" t="s">
        <v>55</v>
      </c>
    </row>
    <row r="34" spans="2:2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1.500" prompt="debe ofertar maximo 1.500 kWh" sqref="D10:D21" xr:uid="{866DA3E8-5A74-4B40-9889-E43639967D4F}">
      <formula1>0</formula1>
      <formula2>1500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CB67-858D-4069-925E-3F8524FB6B85}">
  <sheetPr codeName="Hoja4">
    <tabColor theme="5" tint="0.79998168889431442"/>
  </sheetPr>
  <dimension ref="A1:AD44"/>
  <sheetViews>
    <sheetView showGridLines="0" zoomScale="115" zoomScaleNormal="115" zoomScaleSheetLayoutView="110" workbookViewId="0">
      <pane xSplit="2" ySplit="5" topLeftCell="L38" activePane="bottomRight" state="frozen"/>
      <selection pane="topRight" activeCell="C1" sqref="C1"/>
      <selection pane="bottomLeft" activeCell="A6" sqref="A6"/>
      <selection pane="bottomRight" activeCell="A4" sqref="A4:AC4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5" width="7.7109375" bestFit="1" customWidth="1"/>
    <col min="6" max="6" width="7.42578125" bestFit="1" customWidth="1"/>
    <col min="7" max="7" width="7.7109375" bestFit="1" customWidth="1"/>
    <col min="8" max="8" width="7.140625" bestFit="1" customWidth="1"/>
    <col min="9" max="10" width="7.7109375" bestFit="1" customWidth="1"/>
    <col min="11" max="11" width="7.140625" bestFit="1" customWidth="1"/>
    <col min="12" max="20" width="8" bestFit="1" customWidth="1"/>
    <col min="21" max="21" width="7.7109375" bestFit="1" customWidth="1"/>
    <col min="22" max="23" width="8" bestFit="1" customWidth="1"/>
    <col min="24" max="24" width="7.7109375" bestFit="1" customWidth="1"/>
    <col min="25" max="25" width="8" bestFit="1" customWidth="1"/>
    <col min="26" max="26" width="7.710937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4" t="s">
        <v>67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47484</v>
      </c>
      <c r="B6" s="18" t="s">
        <v>5</v>
      </c>
      <c r="C6" s="33">
        <v>5658</v>
      </c>
      <c r="D6" s="33">
        <v>5282</v>
      </c>
      <c r="E6" s="33">
        <v>5066</v>
      </c>
      <c r="F6" s="33">
        <v>4941</v>
      </c>
      <c r="G6" s="33">
        <v>5022</v>
      </c>
      <c r="H6" s="33">
        <v>5297</v>
      </c>
      <c r="I6" s="33">
        <v>5308</v>
      </c>
      <c r="J6" s="33">
        <v>5968</v>
      </c>
      <c r="K6" s="33">
        <v>6898</v>
      </c>
      <c r="L6" s="33">
        <v>7671</v>
      </c>
      <c r="M6" s="33">
        <v>8392</v>
      </c>
      <c r="N6" s="33">
        <v>8907</v>
      </c>
      <c r="O6" s="33">
        <v>8470</v>
      </c>
      <c r="P6" s="33">
        <v>8487</v>
      </c>
      <c r="Q6" s="33">
        <v>9079</v>
      </c>
      <c r="R6" s="33">
        <v>9224</v>
      </c>
      <c r="S6" s="33">
        <v>9145</v>
      </c>
      <c r="T6" s="33">
        <v>8864</v>
      </c>
      <c r="U6" s="33">
        <v>9111</v>
      </c>
      <c r="V6" s="33">
        <v>9430</v>
      </c>
      <c r="W6" s="33">
        <v>9029</v>
      </c>
      <c r="X6" s="33">
        <v>8636</v>
      </c>
      <c r="Y6" s="33">
        <v>7748</v>
      </c>
      <c r="Z6" s="34">
        <v>6612</v>
      </c>
      <c r="AA6" s="35">
        <f>SUM(C6:Z6)</f>
        <v>178245</v>
      </c>
      <c r="AB6" s="19">
        <v>21</v>
      </c>
      <c r="AC6" s="94">
        <f>+AA6*AB6+AA7*AB7+AA8*AB8</f>
        <v>5284387</v>
      </c>
    </row>
    <row r="7" spans="1:30" ht="15.75" thickBot="1" x14ac:dyDescent="0.3">
      <c r="A7" s="93"/>
      <c r="B7" s="20" t="s">
        <v>4</v>
      </c>
      <c r="C7" s="36">
        <v>5724</v>
      </c>
      <c r="D7" s="36">
        <v>5331</v>
      </c>
      <c r="E7" s="36">
        <v>5076</v>
      </c>
      <c r="F7" s="36">
        <v>4929</v>
      </c>
      <c r="G7" s="36">
        <v>4949</v>
      </c>
      <c r="H7" s="36">
        <v>5065</v>
      </c>
      <c r="I7" s="36">
        <v>4862</v>
      </c>
      <c r="J7" s="36">
        <v>5326</v>
      </c>
      <c r="K7" s="36">
        <v>6270</v>
      </c>
      <c r="L7" s="36">
        <v>7029</v>
      </c>
      <c r="M7" s="36">
        <v>7667</v>
      </c>
      <c r="N7" s="36">
        <v>8134</v>
      </c>
      <c r="O7" s="36">
        <v>8061</v>
      </c>
      <c r="P7" s="36">
        <v>7888</v>
      </c>
      <c r="Q7" s="36">
        <v>7877</v>
      </c>
      <c r="R7" s="36">
        <v>7873</v>
      </c>
      <c r="S7" s="36">
        <v>7873</v>
      </c>
      <c r="T7" s="36">
        <v>7675</v>
      </c>
      <c r="U7" s="36">
        <v>8356</v>
      </c>
      <c r="V7" s="36">
        <v>8841</v>
      </c>
      <c r="W7" s="36">
        <v>8460</v>
      </c>
      <c r="X7" s="36">
        <v>8065</v>
      </c>
      <c r="Y7" s="36">
        <v>7427</v>
      </c>
      <c r="Z7" s="37">
        <v>6630</v>
      </c>
      <c r="AA7" s="38">
        <f t="shared" ref="AA7:AA41" si="0">SUM(C7:Z7)</f>
        <v>165388</v>
      </c>
      <c r="AB7" s="21">
        <v>4</v>
      </c>
      <c r="AC7" s="95"/>
      <c r="AD7" s="47"/>
    </row>
    <row r="8" spans="1:30" x14ac:dyDescent="0.25">
      <c r="A8" s="93"/>
      <c r="B8" s="22" t="s">
        <v>3</v>
      </c>
      <c r="C8" s="39">
        <v>5568</v>
      </c>
      <c r="D8" s="39">
        <v>5172</v>
      </c>
      <c r="E8" s="39">
        <v>4862</v>
      </c>
      <c r="F8" s="39">
        <v>4697</v>
      </c>
      <c r="G8" s="39">
        <v>4637</v>
      </c>
      <c r="H8" s="39">
        <v>4720</v>
      </c>
      <c r="I8" s="39">
        <v>4452</v>
      </c>
      <c r="J8" s="39">
        <v>4597</v>
      </c>
      <c r="K8" s="39">
        <v>5142</v>
      </c>
      <c r="L8" s="39">
        <v>5839</v>
      </c>
      <c r="M8" s="39">
        <v>6323</v>
      </c>
      <c r="N8" s="39">
        <v>6810</v>
      </c>
      <c r="O8" s="39">
        <v>7054</v>
      </c>
      <c r="P8" s="39">
        <v>6808</v>
      </c>
      <c r="Q8" s="39">
        <v>6582</v>
      </c>
      <c r="R8" s="39">
        <v>6541</v>
      </c>
      <c r="S8" s="39">
        <v>6472</v>
      </c>
      <c r="T8" s="39">
        <v>6565</v>
      </c>
      <c r="U8" s="39">
        <v>7247</v>
      </c>
      <c r="V8" s="39">
        <v>7955</v>
      </c>
      <c r="W8" s="39">
        <v>7900</v>
      </c>
      <c r="X8" s="39">
        <v>7642</v>
      </c>
      <c r="Y8" s="39">
        <v>6937</v>
      </c>
      <c r="Z8" s="40">
        <v>6093</v>
      </c>
      <c r="AA8" s="41">
        <f t="shared" si="0"/>
        <v>146615</v>
      </c>
      <c r="AB8" s="23">
        <v>6</v>
      </c>
      <c r="AC8" s="96"/>
      <c r="AD8" s="48"/>
    </row>
    <row r="9" spans="1:30" ht="15.75" thickBot="1" x14ac:dyDescent="0.3">
      <c r="A9" s="93">
        <v>47515</v>
      </c>
      <c r="B9" s="18" t="s">
        <v>5</v>
      </c>
      <c r="C9" s="33">
        <v>5085</v>
      </c>
      <c r="D9" s="33">
        <v>4819</v>
      </c>
      <c r="E9" s="33">
        <v>4662</v>
      </c>
      <c r="F9" s="33">
        <v>4559</v>
      </c>
      <c r="G9" s="33">
        <v>4650</v>
      </c>
      <c r="H9" s="33">
        <v>5196</v>
      </c>
      <c r="I9" s="33">
        <v>4854</v>
      </c>
      <c r="J9" s="33">
        <v>5260</v>
      </c>
      <c r="K9" s="33">
        <v>5960</v>
      </c>
      <c r="L9" s="33">
        <v>6582</v>
      </c>
      <c r="M9" s="33">
        <v>7160</v>
      </c>
      <c r="N9" s="33">
        <v>7598</v>
      </c>
      <c r="O9" s="33">
        <v>7105</v>
      </c>
      <c r="P9" s="33">
        <v>7226</v>
      </c>
      <c r="Q9" s="33">
        <v>7749</v>
      </c>
      <c r="R9" s="33">
        <v>7853</v>
      </c>
      <c r="S9" s="33">
        <v>7797</v>
      </c>
      <c r="T9" s="33">
        <v>7503</v>
      </c>
      <c r="U9" s="33">
        <v>7965</v>
      </c>
      <c r="V9" s="33">
        <v>8399</v>
      </c>
      <c r="W9" s="33">
        <v>8054</v>
      </c>
      <c r="X9" s="33">
        <v>7667</v>
      </c>
      <c r="Y9" s="33">
        <v>6835</v>
      </c>
      <c r="Z9" s="34">
        <v>5806</v>
      </c>
      <c r="AA9" s="35">
        <f t="shared" si="0"/>
        <v>156344</v>
      </c>
      <c r="AB9" s="19">
        <v>20</v>
      </c>
      <c r="AC9" s="94">
        <f>+AA9*AB9+AA10*AB10+AA11*AB11</f>
        <v>4260316</v>
      </c>
    </row>
    <row r="10" spans="1:30" ht="15.75" thickBot="1" x14ac:dyDescent="0.3">
      <c r="A10" s="93"/>
      <c r="B10" s="20" t="s">
        <v>4</v>
      </c>
      <c r="C10" s="36">
        <v>5226</v>
      </c>
      <c r="D10" s="36">
        <v>4967</v>
      </c>
      <c r="E10" s="36">
        <v>4753</v>
      </c>
      <c r="F10" s="36">
        <v>4647</v>
      </c>
      <c r="G10" s="36">
        <v>4659</v>
      </c>
      <c r="H10" s="36">
        <v>4745</v>
      </c>
      <c r="I10" s="36">
        <v>4400</v>
      </c>
      <c r="J10" s="36">
        <v>4811</v>
      </c>
      <c r="K10" s="36">
        <v>5573</v>
      </c>
      <c r="L10" s="36">
        <v>6299</v>
      </c>
      <c r="M10" s="36">
        <v>6765</v>
      </c>
      <c r="N10" s="36">
        <v>7164</v>
      </c>
      <c r="O10" s="36">
        <v>7077</v>
      </c>
      <c r="P10" s="36">
        <v>6888</v>
      </c>
      <c r="Q10" s="36">
        <v>6860</v>
      </c>
      <c r="R10" s="36">
        <v>6819</v>
      </c>
      <c r="S10" s="36">
        <v>6721</v>
      </c>
      <c r="T10" s="36">
        <v>6637</v>
      </c>
      <c r="U10" s="36">
        <v>7607</v>
      </c>
      <c r="V10" s="36">
        <v>8104</v>
      </c>
      <c r="W10" s="36">
        <v>7693</v>
      </c>
      <c r="X10" s="36">
        <v>7450</v>
      </c>
      <c r="Y10" s="36">
        <v>6809</v>
      </c>
      <c r="Z10" s="37">
        <v>6057</v>
      </c>
      <c r="AA10" s="38">
        <f t="shared" si="0"/>
        <v>148731</v>
      </c>
      <c r="AB10" s="21">
        <v>4</v>
      </c>
      <c r="AC10" s="95"/>
      <c r="AD10" s="47"/>
    </row>
    <row r="11" spans="1:30" x14ac:dyDescent="0.25">
      <c r="A11" s="93"/>
      <c r="B11" s="22" t="s">
        <v>3</v>
      </c>
      <c r="C11" s="39">
        <v>5263</v>
      </c>
      <c r="D11" s="39">
        <v>4981</v>
      </c>
      <c r="E11" s="39">
        <v>4706</v>
      </c>
      <c r="F11" s="39">
        <v>4519</v>
      </c>
      <c r="G11" s="39">
        <v>4499</v>
      </c>
      <c r="H11" s="39">
        <v>4539</v>
      </c>
      <c r="I11" s="39">
        <v>4006</v>
      </c>
      <c r="J11" s="39">
        <v>4152</v>
      </c>
      <c r="K11" s="39">
        <v>4633</v>
      </c>
      <c r="L11" s="39">
        <v>5228</v>
      </c>
      <c r="M11" s="39">
        <v>5649</v>
      </c>
      <c r="N11" s="39">
        <v>6045</v>
      </c>
      <c r="O11" s="39">
        <v>6178</v>
      </c>
      <c r="P11" s="39">
        <v>6080</v>
      </c>
      <c r="Q11" s="39">
        <v>5847</v>
      </c>
      <c r="R11" s="39">
        <v>5845</v>
      </c>
      <c r="S11" s="39">
        <v>5811</v>
      </c>
      <c r="T11" s="39">
        <v>5814</v>
      </c>
      <c r="U11" s="39">
        <v>6807</v>
      </c>
      <c r="V11" s="39">
        <v>7482</v>
      </c>
      <c r="W11" s="39">
        <v>7336</v>
      </c>
      <c r="X11" s="39">
        <v>7161</v>
      </c>
      <c r="Y11" s="39">
        <v>6463</v>
      </c>
      <c r="Z11" s="40">
        <v>5584</v>
      </c>
      <c r="AA11" s="41">
        <f t="shared" si="0"/>
        <v>134628</v>
      </c>
      <c r="AB11" s="23">
        <v>4</v>
      </c>
      <c r="AC11" s="96"/>
      <c r="AD11" s="48"/>
    </row>
    <row r="12" spans="1:30" ht="15.75" thickBot="1" x14ac:dyDescent="0.3">
      <c r="A12" s="93">
        <v>47543</v>
      </c>
      <c r="B12" s="18" t="s">
        <v>5</v>
      </c>
      <c r="C12" s="33">
        <v>5857</v>
      </c>
      <c r="D12" s="33">
        <v>5540</v>
      </c>
      <c r="E12" s="33">
        <v>5351</v>
      </c>
      <c r="F12" s="33">
        <v>5251</v>
      </c>
      <c r="G12" s="33">
        <v>5318</v>
      </c>
      <c r="H12" s="33">
        <v>5831</v>
      </c>
      <c r="I12" s="33">
        <v>5488</v>
      </c>
      <c r="J12" s="33">
        <v>5956</v>
      </c>
      <c r="K12" s="33">
        <v>6711</v>
      </c>
      <c r="L12" s="33">
        <v>7402</v>
      </c>
      <c r="M12" s="33">
        <v>8023</v>
      </c>
      <c r="N12" s="33">
        <v>8499</v>
      </c>
      <c r="O12" s="33">
        <v>8065</v>
      </c>
      <c r="P12" s="33">
        <v>8136</v>
      </c>
      <c r="Q12" s="33">
        <v>8662</v>
      </c>
      <c r="R12" s="33">
        <v>8751</v>
      </c>
      <c r="S12" s="33">
        <v>8652</v>
      </c>
      <c r="T12" s="33">
        <v>8350</v>
      </c>
      <c r="U12" s="33">
        <v>8908</v>
      </c>
      <c r="V12" s="33">
        <v>9462</v>
      </c>
      <c r="W12" s="33">
        <v>9132</v>
      </c>
      <c r="X12" s="33">
        <v>8760</v>
      </c>
      <c r="Y12" s="33">
        <v>7846</v>
      </c>
      <c r="Z12" s="34">
        <v>6755</v>
      </c>
      <c r="AA12" s="35">
        <f t="shared" si="0"/>
        <v>176706</v>
      </c>
      <c r="AB12" s="19">
        <v>20</v>
      </c>
      <c r="AC12" s="94">
        <f>+AA12*AB12+AA13*AB13+AA14*AB14</f>
        <v>5229011</v>
      </c>
    </row>
    <row r="13" spans="1:30" ht="15.75" thickBot="1" x14ac:dyDescent="0.3">
      <c r="A13" s="93"/>
      <c r="B13" s="20" t="s">
        <v>4</v>
      </c>
      <c r="C13" s="36">
        <v>5891</v>
      </c>
      <c r="D13" s="36">
        <v>5524</v>
      </c>
      <c r="E13" s="36">
        <v>5221</v>
      </c>
      <c r="F13" s="36">
        <v>5155</v>
      </c>
      <c r="G13" s="36">
        <v>5146</v>
      </c>
      <c r="H13" s="36">
        <v>5245</v>
      </c>
      <c r="I13" s="36">
        <v>4864</v>
      </c>
      <c r="J13" s="36">
        <v>5337</v>
      </c>
      <c r="K13" s="36">
        <v>6153</v>
      </c>
      <c r="L13" s="36">
        <v>6843</v>
      </c>
      <c r="M13" s="36">
        <v>7427</v>
      </c>
      <c r="N13" s="36">
        <v>7785</v>
      </c>
      <c r="O13" s="36">
        <v>7730</v>
      </c>
      <c r="P13" s="36">
        <v>7531</v>
      </c>
      <c r="Q13" s="36">
        <v>7510</v>
      </c>
      <c r="R13" s="36">
        <v>7542</v>
      </c>
      <c r="S13" s="36">
        <v>7433</v>
      </c>
      <c r="T13" s="36">
        <v>7286</v>
      </c>
      <c r="U13" s="36">
        <v>8151</v>
      </c>
      <c r="V13" s="36">
        <v>8755</v>
      </c>
      <c r="W13" s="36">
        <v>8493</v>
      </c>
      <c r="X13" s="36">
        <v>8104</v>
      </c>
      <c r="Y13" s="36">
        <v>7438</v>
      </c>
      <c r="Z13" s="37">
        <v>6739</v>
      </c>
      <c r="AA13" s="38">
        <f t="shared" si="0"/>
        <v>163303</v>
      </c>
      <c r="AB13" s="21">
        <v>5</v>
      </c>
      <c r="AC13" s="95"/>
      <c r="AD13" s="47"/>
    </row>
    <row r="14" spans="1:30" x14ac:dyDescent="0.25">
      <c r="A14" s="93"/>
      <c r="B14" s="22" t="s">
        <v>3</v>
      </c>
      <c r="C14" s="39">
        <v>5878</v>
      </c>
      <c r="D14" s="39">
        <v>5523</v>
      </c>
      <c r="E14" s="39">
        <v>5230</v>
      </c>
      <c r="F14" s="39">
        <v>5013</v>
      </c>
      <c r="G14" s="39">
        <v>4904</v>
      </c>
      <c r="H14" s="39">
        <v>4960</v>
      </c>
      <c r="I14" s="39">
        <v>4374</v>
      </c>
      <c r="J14" s="39">
        <v>4527</v>
      </c>
      <c r="K14" s="39">
        <v>5099</v>
      </c>
      <c r="L14" s="39">
        <v>5637</v>
      </c>
      <c r="M14" s="39">
        <v>6058</v>
      </c>
      <c r="N14" s="39">
        <v>6426</v>
      </c>
      <c r="O14" s="39">
        <v>6706</v>
      </c>
      <c r="P14" s="39">
        <v>6481</v>
      </c>
      <c r="Q14" s="39">
        <v>6328</v>
      </c>
      <c r="R14" s="39">
        <v>6323</v>
      </c>
      <c r="S14" s="39">
        <v>6270</v>
      </c>
      <c r="T14" s="39">
        <v>6320</v>
      </c>
      <c r="U14" s="39">
        <v>7294</v>
      </c>
      <c r="V14" s="39">
        <v>8109</v>
      </c>
      <c r="W14" s="39">
        <v>8108</v>
      </c>
      <c r="X14" s="39">
        <v>7782</v>
      </c>
      <c r="Y14" s="39">
        <v>6939</v>
      </c>
      <c r="Z14" s="40">
        <v>6107</v>
      </c>
      <c r="AA14" s="41">
        <f t="shared" si="0"/>
        <v>146396</v>
      </c>
      <c r="AB14" s="23">
        <v>6</v>
      </c>
      <c r="AC14" s="96"/>
      <c r="AD14" s="45"/>
    </row>
    <row r="15" spans="1:30" ht="15.75" thickBot="1" x14ac:dyDescent="0.3">
      <c r="A15" s="93">
        <v>47574</v>
      </c>
      <c r="B15" s="18" t="s">
        <v>5</v>
      </c>
      <c r="C15" s="33">
        <v>5562</v>
      </c>
      <c r="D15" s="33">
        <v>5212</v>
      </c>
      <c r="E15" s="33">
        <v>5009</v>
      </c>
      <c r="F15" s="33">
        <v>4926</v>
      </c>
      <c r="G15" s="33">
        <v>4967</v>
      </c>
      <c r="H15" s="33">
        <v>5276</v>
      </c>
      <c r="I15" s="33">
        <v>5233</v>
      </c>
      <c r="J15" s="33">
        <v>5835</v>
      </c>
      <c r="K15" s="33">
        <v>6506</v>
      </c>
      <c r="L15" s="33">
        <v>7152</v>
      </c>
      <c r="M15" s="33">
        <v>7759</v>
      </c>
      <c r="N15" s="33">
        <v>8324</v>
      </c>
      <c r="O15" s="33">
        <v>8067</v>
      </c>
      <c r="P15" s="33">
        <v>8033</v>
      </c>
      <c r="Q15" s="33">
        <v>8306</v>
      </c>
      <c r="R15" s="33">
        <v>8351</v>
      </c>
      <c r="S15" s="33">
        <v>8204</v>
      </c>
      <c r="T15" s="33">
        <v>8133</v>
      </c>
      <c r="U15" s="33">
        <v>8716</v>
      </c>
      <c r="V15" s="33">
        <v>9124</v>
      </c>
      <c r="W15" s="33">
        <v>8838</v>
      </c>
      <c r="X15" s="33">
        <v>8380</v>
      </c>
      <c r="Y15" s="33">
        <v>7459</v>
      </c>
      <c r="Z15" s="34">
        <v>6385</v>
      </c>
      <c r="AA15" s="35">
        <f t="shared" si="0"/>
        <v>169757</v>
      </c>
      <c r="AB15" s="19">
        <v>20</v>
      </c>
      <c r="AC15" s="94">
        <f>+AA15*AB15+AA16*AB16+AA17*AB17</f>
        <v>4912232</v>
      </c>
    </row>
    <row r="16" spans="1:30" ht="15.75" thickBot="1" x14ac:dyDescent="0.3">
      <c r="A16" s="93"/>
      <c r="B16" s="20" t="s">
        <v>4</v>
      </c>
      <c r="C16" s="36">
        <v>5564</v>
      </c>
      <c r="D16" s="36">
        <v>5190</v>
      </c>
      <c r="E16" s="36">
        <v>4938</v>
      </c>
      <c r="F16" s="36">
        <v>4844</v>
      </c>
      <c r="G16" s="36">
        <v>4865</v>
      </c>
      <c r="H16" s="36">
        <v>4954</v>
      </c>
      <c r="I16" s="36">
        <v>4868</v>
      </c>
      <c r="J16" s="36">
        <v>5431</v>
      </c>
      <c r="K16" s="36">
        <v>6067</v>
      </c>
      <c r="L16" s="36">
        <v>6722</v>
      </c>
      <c r="M16" s="36">
        <v>7313</v>
      </c>
      <c r="N16" s="36">
        <v>7702</v>
      </c>
      <c r="O16" s="36">
        <v>7733</v>
      </c>
      <c r="P16" s="36">
        <v>7489</v>
      </c>
      <c r="Q16" s="36">
        <v>7472</v>
      </c>
      <c r="R16" s="36">
        <v>7479</v>
      </c>
      <c r="S16" s="36">
        <v>7479</v>
      </c>
      <c r="T16" s="36">
        <v>7587</v>
      </c>
      <c r="U16" s="36">
        <v>8360</v>
      </c>
      <c r="V16" s="36">
        <v>8665</v>
      </c>
      <c r="W16" s="36">
        <v>8301</v>
      </c>
      <c r="X16" s="36">
        <v>7873</v>
      </c>
      <c r="Y16" s="36">
        <v>7168</v>
      </c>
      <c r="Z16" s="37">
        <v>6362</v>
      </c>
      <c r="AA16" s="38">
        <f t="shared" si="0"/>
        <v>160426</v>
      </c>
      <c r="AB16" s="21">
        <v>4</v>
      </c>
      <c r="AC16" s="95"/>
      <c r="AD16" s="47"/>
    </row>
    <row r="17" spans="1:30" x14ac:dyDescent="0.25">
      <c r="A17" s="93"/>
      <c r="B17" s="22" t="s">
        <v>3</v>
      </c>
      <c r="C17" s="39">
        <v>5429</v>
      </c>
      <c r="D17" s="39">
        <v>5153</v>
      </c>
      <c r="E17" s="39">
        <v>4819</v>
      </c>
      <c r="F17" s="39">
        <v>4653</v>
      </c>
      <c r="G17" s="39">
        <v>4603</v>
      </c>
      <c r="H17" s="39">
        <v>4626</v>
      </c>
      <c r="I17" s="39">
        <v>4448</v>
      </c>
      <c r="J17" s="39">
        <v>4724</v>
      </c>
      <c r="K17" s="39">
        <v>5239</v>
      </c>
      <c r="L17" s="39">
        <v>5819</v>
      </c>
      <c r="M17" s="39">
        <v>6211</v>
      </c>
      <c r="N17" s="39">
        <v>6539</v>
      </c>
      <c r="O17" s="39">
        <v>6786</v>
      </c>
      <c r="P17" s="39">
        <v>6782</v>
      </c>
      <c r="Q17" s="39">
        <v>6631</v>
      </c>
      <c r="R17" s="39">
        <v>6615</v>
      </c>
      <c r="S17" s="39">
        <v>6619</v>
      </c>
      <c r="T17" s="39">
        <v>6722</v>
      </c>
      <c r="U17" s="39">
        <v>7508</v>
      </c>
      <c r="V17" s="39">
        <v>8088</v>
      </c>
      <c r="W17" s="39">
        <v>7942</v>
      </c>
      <c r="X17" s="39">
        <v>7469</v>
      </c>
      <c r="Y17" s="39">
        <v>6656</v>
      </c>
      <c r="Z17" s="40">
        <v>5817</v>
      </c>
      <c r="AA17" s="41">
        <f t="shared" si="0"/>
        <v>145898</v>
      </c>
      <c r="AB17" s="23">
        <v>6</v>
      </c>
      <c r="AC17" s="96"/>
      <c r="AD17" s="48"/>
    </row>
    <row r="18" spans="1:30" ht="15.75" thickBot="1" x14ac:dyDescent="0.3">
      <c r="A18" s="93">
        <v>47604</v>
      </c>
      <c r="B18" s="18" t="s">
        <v>5</v>
      </c>
      <c r="C18" s="33">
        <v>5549</v>
      </c>
      <c r="D18" s="33">
        <v>5210</v>
      </c>
      <c r="E18" s="33">
        <v>5039</v>
      </c>
      <c r="F18" s="33">
        <v>4917</v>
      </c>
      <c r="G18" s="33">
        <v>4965</v>
      </c>
      <c r="H18" s="33">
        <v>5189</v>
      </c>
      <c r="I18" s="33">
        <v>5188</v>
      </c>
      <c r="J18" s="33">
        <v>5842</v>
      </c>
      <c r="K18" s="33">
        <v>6572</v>
      </c>
      <c r="L18" s="33">
        <v>7209</v>
      </c>
      <c r="M18" s="33">
        <v>7778</v>
      </c>
      <c r="N18" s="33">
        <v>8262</v>
      </c>
      <c r="O18" s="33">
        <v>7894</v>
      </c>
      <c r="P18" s="33">
        <v>7867</v>
      </c>
      <c r="Q18" s="33">
        <v>8168</v>
      </c>
      <c r="R18" s="33">
        <v>8200</v>
      </c>
      <c r="S18" s="33">
        <v>8133</v>
      </c>
      <c r="T18" s="33">
        <v>8028</v>
      </c>
      <c r="U18" s="33">
        <v>8745</v>
      </c>
      <c r="V18" s="33">
        <v>9087</v>
      </c>
      <c r="W18" s="33">
        <v>8807</v>
      </c>
      <c r="X18" s="33">
        <v>8311</v>
      </c>
      <c r="Y18" s="33">
        <v>7375</v>
      </c>
      <c r="Z18" s="34">
        <v>6300</v>
      </c>
      <c r="AA18" s="35">
        <f t="shared" si="0"/>
        <v>168635</v>
      </c>
      <c r="AB18" s="19">
        <v>22</v>
      </c>
      <c r="AC18" s="94">
        <f>+AA18*AB18+AA19*AB19+AA20*AB20</f>
        <v>5078589</v>
      </c>
    </row>
    <row r="19" spans="1:30" ht="15.75" thickBot="1" x14ac:dyDescent="0.3">
      <c r="A19" s="93"/>
      <c r="B19" s="20" t="s">
        <v>4</v>
      </c>
      <c r="C19" s="36">
        <v>5653</v>
      </c>
      <c r="D19" s="36">
        <v>5236</v>
      </c>
      <c r="E19" s="36">
        <v>5084</v>
      </c>
      <c r="F19" s="36">
        <v>4955</v>
      </c>
      <c r="G19" s="36">
        <v>4964</v>
      </c>
      <c r="H19" s="36">
        <v>4924</v>
      </c>
      <c r="I19" s="36">
        <v>4771</v>
      </c>
      <c r="J19" s="36">
        <v>5339</v>
      </c>
      <c r="K19" s="36">
        <v>6024</v>
      </c>
      <c r="L19" s="36">
        <v>6702</v>
      </c>
      <c r="M19" s="36">
        <v>7325</v>
      </c>
      <c r="N19" s="36">
        <v>7760</v>
      </c>
      <c r="O19" s="36">
        <v>7652</v>
      </c>
      <c r="P19" s="36">
        <v>7431</v>
      </c>
      <c r="Q19" s="36">
        <v>7393</v>
      </c>
      <c r="R19" s="36">
        <v>7395</v>
      </c>
      <c r="S19" s="36">
        <v>7283</v>
      </c>
      <c r="T19" s="36">
        <v>7362</v>
      </c>
      <c r="U19" s="36">
        <v>8389</v>
      </c>
      <c r="V19" s="36">
        <v>8868</v>
      </c>
      <c r="W19" s="36">
        <v>8485</v>
      </c>
      <c r="X19" s="36">
        <v>8004</v>
      </c>
      <c r="Y19" s="36">
        <v>7281</v>
      </c>
      <c r="Z19" s="37">
        <v>6551</v>
      </c>
      <c r="AA19" s="38">
        <f t="shared" si="0"/>
        <v>160831</v>
      </c>
      <c r="AB19" s="21">
        <v>4</v>
      </c>
      <c r="AC19" s="95"/>
      <c r="AD19" s="47"/>
    </row>
    <row r="20" spans="1:30" x14ac:dyDescent="0.25">
      <c r="A20" s="93"/>
      <c r="B20" s="22" t="s">
        <v>3</v>
      </c>
      <c r="C20" s="39">
        <v>5625</v>
      </c>
      <c r="D20" s="39">
        <v>5242</v>
      </c>
      <c r="E20" s="39">
        <v>4962</v>
      </c>
      <c r="F20" s="39">
        <v>4801</v>
      </c>
      <c r="G20" s="39">
        <v>4778</v>
      </c>
      <c r="H20" s="39">
        <v>4673</v>
      </c>
      <c r="I20" s="39">
        <v>4298</v>
      </c>
      <c r="J20" s="39">
        <v>4653</v>
      </c>
      <c r="K20" s="39">
        <v>5213</v>
      </c>
      <c r="L20" s="39">
        <v>5800</v>
      </c>
      <c r="M20" s="39">
        <v>6137</v>
      </c>
      <c r="N20" s="39">
        <v>6461</v>
      </c>
      <c r="O20" s="39">
        <v>6655</v>
      </c>
      <c r="P20" s="39">
        <v>6536</v>
      </c>
      <c r="Q20" s="39">
        <v>6459</v>
      </c>
      <c r="R20" s="39">
        <v>6427</v>
      </c>
      <c r="S20" s="39">
        <v>6352</v>
      </c>
      <c r="T20" s="39">
        <v>6339</v>
      </c>
      <c r="U20" s="39">
        <v>7251</v>
      </c>
      <c r="V20" s="39">
        <v>7995</v>
      </c>
      <c r="W20" s="39">
        <v>7903</v>
      </c>
      <c r="X20" s="39">
        <v>7634</v>
      </c>
      <c r="Y20" s="39">
        <v>6854</v>
      </c>
      <c r="Z20" s="40">
        <v>6011</v>
      </c>
      <c r="AA20" s="41">
        <f t="shared" si="0"/>
        <v>145059</v>
      </c>
      <c r="AB20" s="23">
        <v>5</v>
      </c>
      <c r="AC20" s="96"/>
      <c r="AD20" s="48"/>
    </row>
    <row r="21" spans="1:30" ht="15.75" thickBot="1" x14ac:dyDescent="0.3">
      <c r="A21" s="93">
        <v>47635</v>
      </c>
      <c r="B21" s="18" t="s">
        <v>5</v>
      </c>
      <c r="C21" s="33">
        <v>4889</v>
      </c>
      <c r="D21" s="33">
        <v>4622</v>
      </c>
      <c r="E21" s="33">
        <v>4427</v>
      </c>
      <c r="F21" s="33">
        <v>4376</v>
      </c>
      <c r="G21" s="33">
        <v>4486</v>
      </c>
      <c r="H21" s="33">
        <v>4745</v>
      </c>
      <c r="I21" s="33">
        <v>4934</v>
      </c>
      <c r="J21" s="33">
        <v>5666</v>
      </c>
      <c r="K21" s="33">
        <v>6394</v>
      </c>
      <c r="L21" s="33">
        <v>7087</v>
      </c>
      <c r="M21" s="33">
        <v>7664</v>
      </c>
      <c r="N21" s="33">
        <v>8141</v>
      </c>
      <c r="O21" s="33">
        <v>7786</v>
      </c>
      <c r="P21" s="33">
        <v>7674</v>
      </c>
      <c r="Q21" s="33">
        <v>8076</v>
      </c>
      <c r="R21" s="33">
        <v>8194</v>
      </c>
      <c r="S21" s="33">
        <v>8036</v>
      </c>
      <c r="T21" s="33">
        <v>7930</v>
      </c>
      <c r="U21" s="33">
        <v>8281</v>
      </c>
      <c r="V21" s="33">
        <v>8774</v>
      </c>
      <c r="W21" s="33">
        <v>8446</v>
      </c>
      <c r="X21" s="33">
        <v>7888</v>
      </c>
      <c r="Y21" s="33">
        <v>6902</v>
      </c>
      <c r="Z21" s="34">
        <v>5770</v>
      </c>
      <c r="AA21" s="35">
        <f t="shared" si="0"/>
        <v>161188</v>
      </c>
      <c r="AB21" s="19">
        <v>18</v>
      </c>
      <c r="AC21" s="94">
        <f>+AA21*AB21+AA22*AB22+AA23*AB23</f>
        <v>4783983</v>
      </c>
    </row>
    <row r="22" spans="1:30" ht="15.75" thickBot="1" x14ac:dyDescent="0.3">
      <c r="A22" s="93"/>
      <c r="B22" s="20" t="s">
        <v>4</v>
      </c>
      <c r="C22" s="36">
        <v>5222</v>
      </c>
      <c r="D22" s="36">
        <v>4895</v>
      </c>
      <c r="E22" s="36">
        <v>4566</v>
      </c>
      <c r="F22" s="36">
        <v>4524</v>
      </c>
      <c r="G22" s="36">
        <v>4604</v>
      </c>
      <c r="H22" s="36">
        <v>4663</v>
      </c>
      <c r="I22" s="36">
        <v>4624</v>
      </c>
      <c r="J22" s="36">
        <v>5348</v>
      </c>
      <c r="K22" s="36">
        <v>6085</v>
      </c>
      <c r="L22" s="36">
        <v>6889</v>
      </c>
      <c r="M22" s="36">
        <v>7419</v>
      </c>
      <c r="N22" s="36">
        <v>7862</v>
      </c>
      <c r="O22" s="36">
        <v>7734</v>
      </c>
      <c r="P22" s="36">
        <v>7595</v>
      </c>
      <c r="Q22" s="36">
        <v>7533</v>
      </c>
      <c r="R22" s="36">
        <v>7588</v>
      </c>
      <c r="S22" s="36">
        <v>7563</v>
      </c>
      <c r="T22" s="36">
        <v>7504</v>
      </c>
      <c r="U22" s="36">
        <v>8181</v>
      </c>
      <c r="V22" s="36">
        <v>8722</v>
      </c>
      <c r="W22" s="36">
        <v>8294</v>
      </c>
      <c r="X22" s="36">
        <v>7909</v>
      </c>
      <c r="Y22" s="36">
        <v>7119</v>
      </c>
      <c r="Z22" s="37">
        <v>6269</v>
      </c>
      <c r="AA22" s="38">
        <f t="shared" si="0"/>
        <v>158712</v>
      </c>
      <c r="AB22" s="21">
        <v>5</v>
      </c>
      <c r="AC22" s="95"/>
      <c r="AD22" s="47"/>
    </row>
    <row r="23" spans="1:30" x14ac:dyDescent="0.25">
      <c r="A23" s="93"/>
      <c r="B23" s="22" t="s">
        <v>3</v>
      </c>
      <c r="C23" s="39">
        <v>5495</v>
      </c>
      <c r="D23" s="39">
        <v>5077</v>
      </c>
      <c r="E23" s="39">
        <v>4807</v>
      </c>
      <c r="F23" s="39">
        <v>4659</v>
      </c>
      <c r="G23" s="39">
        <v>4689</v>
      </c>
      <c r="H23" s="39">
        <v>4742</v>
      </c>
      <c r="I23" s="39">
        <v>4769</v>
      </c>
      <c r="J23" s="39">
        <v>5281</v>
      </c>
      <c r="K23" s="39">
        <v>5927</v>
      </c>
      <c r="L23" s="39">
        <v>6602</v>
      </c>
      <c r="M23" s="39">
        <v>7016</v>
      </c>
      <c r="N23" s="39">
        <v>7463</v>
      </c>
      <c r="O23" s="39">
        <v>7423</v>
      </c>
      <c r="P23" s="39">
        <v>7360</v>
      </c>
      <c r="Q23" s="39">
        <v>7410</v>
      </c>
      <c r="R23" s="39">
        <v>7380</v>
      </c>
      <c r="S23" s="39">
        <v>7297</v>
      </c>
      <c r="T23" s="39">
        <v>7309</v>
      </c>
      <c r="U23" s="39">
        <v>7699</v>
      </c>
      <c r="V23" s="39">
        <v>8415</v>
      </c>
      <c r="W23" s="39">
        <v>8218</v>
      </c>
      <c r="X23" s="39">
        <v>7763</v>
      </c>
      <c r="Y23" s="39">
        <v>6835</v>
      </c>
      <c r="Z23" s="40">
        <v>5941</v>
      </c>
      <c r="AA23" s="41">
        <f t="shared" si="0"/>
        <v>155577</v>
      </c>
      <c r="AB23" s="23">
        <v>7</v>
      </c>
      <c r="AC23" s="96"/>
      <c r="AD23" s="48"/>
    </row>
    <row r="24" spans="1:30" ht="15.75" thickBot="1" x14ac:dyDescent="0.3">
      <c r="A24" s="93">
        <v>47665</v>
      </c>
      <c r="B24" s="18" t="s">
        <v>5</v>
      </c>
      <c r="C24" s="33">
        <v>5052</v>
      </c>
      <c r="D24" s="33">
        <v>4787</v>
      </c>
      <c r="E24" s="33">
        <v>4578</v>
      </c>
      <c r="F24" s="33">
        <v>4491</v>
      </c>
      <c r="G24" s="33">
        <v>4567</v>
      </c>
      <c r="H24" s="33">
        <v>4821</v>
      </c>
      <c r="I24" s="33">
        <v>4920</v>
      </c>
      <c r="J24" s="33">
        <v>5720</v>
      </c>
      <c r="K24" s="33">
        <v>6494</v>
      </c>
      <c r="L24" s="33">
        <v>7261</v>
      </c>
      <c r="M24" s="33">
        <v>7890</v>
      </c>
      <c r="N24" s="33">
        <v>8397</v>
      </c>
      <c r="O24" s="33">
        <v>7973</v>
      </c>
      <c r="P24" s="33">
        <v>7900</v>
      </c>
      <c r="Q24" s="33">
        <v>8441</v>
      </c>
      <c r="R24" s="33">
        <v>8555</v>
      </c>
      <c r="S24" s="33">
        <v>8425</v>
      </c>
      <c r="T24" s="33">
        <v>8194</v>
      </c>
      <c r="U24" s="33">
        <v>8302</v>
      </c>
      <c r="V24" s="33">
        <v>8827</v>
      </c>
      <c r="W24" s="33">
        <v>8527</v>
      </c>
      <c r="X24" s="33">
        <v>8061</v>
      </c>
      <c r="Y24" s="33">
        <v>7069</v>
      </c>
      <c r="Z24" s="34">
        <v>5947</v>
      </c>
      <c r="AA24" s="35">
        <f t="shared" si="0"/>
        <v>165199</v>
      </c>
      <c r="AB24" s="19">
        <v>22</v>
      </c>
      <c r="AC24" s="94">
        <f>+AA24*AB24+AA25*AB25+AA26*AB26</f>
        <v>4917178</v>
      </c>
    </row>
    <row r="25" spans="1:30" ht="15.75" thickBot="1" x14ac:dyDescent="0.3">
      <c r="A25" s="93"/>
      <c r="B25" s="20" t="s">
        <v>4</v>
      </c>
      <c r="C25" s="36">
        <v>4905</v>
      </c>
      <c r="D25" s="36">
        <v>4608</v>
      </c>
      <c r="E25" s="36">
        <v>4336</v>
      </c>
      <c r="F25" s="36">
        <v>4225</v>
      </c>
      <c r="G25" s="36">
        <v>4312</v>
      </c>
      <c r="H25" s="36">
        <v>4418</v>
      </c>
      <c r="I25" s="36">
        <v>4287</v>
      </c>
      <c r="J25" s="36">
        <v>4973</v>
      </c>
      <c r="K25" s="36">
        <v>5771</v>
      </c>
      <c r="L25" s="36">
        <v>6573</v>
      </c>
      <c r="M25" s="36">
        <v>7048</v>
      </c>
      <c r="N25" s="36">
        <v>7460</v>
      </c>
      <c r="O25" s="36">
        <v>7327</v>
      </c>
      <c r="P25" s="36">
        <v>7131</v>
      </c>
      <c r="Q25" s="36">
        <v>7016</v>
      </c>
      <c r="R25" s="36">
        <v>7062</v>
      </c>
      <c r="S25" s="36">
        <v>7039</v>
      </c>
      <c r="T25" s="36">
        <v>7015</v>
      </c>
      <c r="U25" s="36">
        <v>7598</v>
      </c>
      <c r="V25" s="36">
        <v>8177</v>
      </c>
      <c r="W25" s="36">
        <v>7833</v>
      </c>
      <c r="X25" s="36">
        <v>7456</v>
      </c>
      <c r="Y25" s="36">
        <v>6686</v>
      </c>
      <c r="Z25" s="37">
        <v>5860</v>
      </c>
      <c r="AA25" s="38">
        <f t="shared" si="0"/>
        <v>149116</v>
      </c>
      <c r="AB25" s="21">
        <v>3</v>
      </c>
      <c r="AC25" s="95"/>
      <c r="AD25" s="47"/>
    </row>
    <row r="26" spans="1:30" x14ac:dyDescent="0.25">
      <c r="A26" s="93"/>
      <c r="B26" s="22" t="s">
        <v>3</v>
      </c>
      <c r="C26" s="39">
        <v>5165</v>
      </c>
      <c r="D26" s="39">
        <v>4852</v>
      </c>
      <c r="E26" s="39">
        <v>4562</v>
      </c>
      <c r="F26" s="39">
        <v>4341</v>
      </c>
      <c r="G26" s="39">
        <v>4321</v>
      </c>
      <c r="H26" s="39">
        <v>4249</v>
      </c>
      <c r="I26" s="39">
        <v>4030</v>
      </c>
      <c r="J26" s="39">
        <v>4427</v>
      </c>
      <c r="K26" s="39">
        <v>5000</v>
      </c>
      <c r="L26" s="39">
        <v>5662</v>
      </c>
      <c r="M26" s="39">
        <v>6056</v>
      </c>
      <c r="N26" s="39">
        <v>6467</v>
      </c>
      <c r="O26" s="39">
        <v>6674</v>
      </c>
      <c r="P26" s="39">
        <v>6548</v>
      </c>
      <c r="Q26" s="39">
        <v>6356</v>
      </c>
      <c r="R26" s="39">
        <v>6239</v>
      </c>
      <c r="S26" s="39">
        <v>6299</v>
      </c>
      <c r="T26" s="39">
        <v>6326</v>
      </c>
      <c r="U26" s="39">
        <v>6853</v>
      </c>
      <c r="V26" s="39">
        <v>7737</v>
      </c>
      <c r="W26" s="39">
        <v>7678</v>
      </c>
      <c r="X26" s="39">
        <v>7289</v>
      </c>
      <c r="Y26" s="39">
        <v>6524</v>
      </c>
      <c r="Z26" s="40">
        <v>5587</v>
      </c>
      <c r="AA26" s="41">
        <f t="shared" si="0"/>
        <v>139242</v>
      </c>
      <c r="AB26" s="23">
        <v>6</v>
      </c>
      <c r="AC26" s="96"/>
      <c r="AD26" s="48"/>
    </row>
    <row r="27" spans="1:30" ht="15.75" thickBot="1" x14ac:dyDescent="0.3">
      <c r="A27" s="93">
        <v>47696</v>
      </c>
      <c r="B27" s="18" t="s">
        <v>5</v>
      </c>
      <c r="C27" s="33">
        <v>5256</v>
      </c>
      <c r="D27" s="33">
        <v>4901</v>
      </c>
      <c r="E27" s="33">
        <v>4670</v>
      </c>
      <c r="F27" s="33">
        <v>4545</v>
      </c>
      <c r="G27" s="33">
        <v>4640</v>
      </c>
      <c r="H27" s="33">
        <v>4994</v>
      </c>
      <c r="I27" s="33">
        <v>5066</v>
      </c>
      <c r="J27" s="33">
        <v>5905</v>
      </c>
      <c r="K27" s="33">
        <v>6805</v>
      </c>
      <c r="L27" s="33">
        <v>7583</v>
      </c>
      <c r="M27" s="33">
        <v>8266</v>
      </c>
      <c r="N27" s="33">
        <v>8810</v>
      </c>
      <c r="O27" s="33">
        <v>8323</v>
      </c>
      <c r="P27" s="33">
        <v>8324</v>
      </c>
      <c r="Q27" s="33">
        <v>8937</v>
      </c>
      <c r="R27" s="33">
        <v>9106</v>
      </c>
      <c r="S27" s="33">
        <v>8998</v>
      </c>
      <c r="T27" s="33">
        <v>8625</v>
      </c>
      <c r="U27" s="33">
        <v>8816</v>
      </c>
      <c r="V27" s="33">
        <v>9096</v>
      </c>
      <c r="W27" s="33">
        <v>8771</v>
      </c>
      <c r="X27" s="33">
        <v>8319</v>
      </c>
      <c r="Y27" s="33">
        <v>7312</v>
      </c>
      <c r="Z27" s="34">
        <v>6150</v>
      </c>
      <c r="AA27" s="35">
        <f t="shared" si="0"/>
        <v>172218</v>
      </c>
      <c r="AB27" s="19">
        <v>20</v>
      </c>
      <c r="AC27" s="94">
        <f>+AA27*AB27+AA28*AB28+AA29*AB29</f>
        <v>5100291</v>
      </c>
    </row>
    <row r="28" spans="1:30" ht="15.75" thickBot="1" x14ac:dyDescent="0.3">
      <c r="A28" s="93"/>
      <c r="B28" s="20" t="s">
        <v>4</v>
      </c>
      <c r="C28" s="36">
        <v>5319</v>
      </c>
      <c r="D28" s="36">
        <v>4969</v>
      </c>
      <c r="E28" s="36">
        <v>4710</v>
      </c>
      <c r="F28" s="36">
        <v>4542</v>
      </c>
      <c r="G28" s="36">
        <v>4616</v>
      </c>
      <c r="H28" s="36">
        <v>4651</v>
      </c>
      <c r="I28" s="36">
        <v>4664</v>
      </c>
      <c r="J28" s="36">
        <v>5371</v>
      </c>
      <c r="K28" s="36">
        <v>6300</v>
      </c>
      <c r="L28" s="36">
        <v>7112</v>
      </c>
      <c r="M28" s="36">
        <v>7614</v>
      </c>
      <c r="N28" s="36">
        <v>8117</v>
      </c>
      <c r="O28" s="36">
        <v>8070</v>
      </c>
      <c r="P28" s="36">
        <v>7699</v>
      </c>
      <c r="Q28" s="36">
        <v>8083</v>
      </c>
      <c r="R28" s="36">
        <v>7881</v>
      </c>
      <c r="S28" s="36">
        <v>7669</v>
      </c>
      <c r="T28" s="36">
        <v>7588</v>
      </c>
      <c r="U28" s="36">
        <v>8149</v>
      </c>
      <c r="V28" s="36">
        <v>8631</v>
      </c>
      <c r="W28" s="36">
        <v>8200</v>
      </c>
      <c r="X28" s="36">
        <v>7724</v>
      </c>
      <c r="Y28" s="36">
        <v>7018</v>
      </c>
      <c r="Z28" s="37">
        <v>6160</v>
      </c>
      <c r="AA28" s="38">
        <f t="shared" si="0"/>
        <v>160857</v>
      </c>
      <c r="AB28" s="21">
        <v>5</v>
      </c>
      <c r="AC28" s="95"/>
      <c r="AD28" s="47"/>
    </row>
    <row r="29" spans="1:30" x14ac:dyDescent="0.25">
      <c r="A29" s="93"/>
      <c r="B29" s="22" t="s">
        <v>3</v>
      </c>
      <c r="C29" s="39">
        <v>5351</v>
      </c>
      <c r="D29" s="39">
        <v>4934</v>
      </c>
      <c r="E29" s="39">
        <v>4603</v>
      </c>
      <c r="F29" s="39">
        <v>4438</v>
      </c>
      <c r="G29" s="39">
        <v>4434</v>
      </c>
      <c r="H29" s="39">
        <v>4400</v>
      </c>
      <c r="I29" s="39">
        <v>3987</v>
      </c>
      <c r="J29" s="39">
        <v>4484</v>
      </c>
      <c r="K29" s="39">
        <v>5014</v>
      </c>
      <c r="L29" s="39">
        <v>5689</v>
      </c>
      <c r="M29" s="39">
        <v>6169</v>
      </c>
      <c r="N29" s="39">
        <v>6571</v>
      </c>
      <c r="O29" s="39">
        <v>6701</v>
      </c>
      <c r="P29" s="39">
        <v>6662</v>
      </c>
      <c r="Q29" s="39">
        <v>6448</v>
      </c>
      <c r="R29" s="39">
        <v>6403</v>
      </c>
      <c r="S29" s="39">
        <v>6419</v>
      </c>
      <c r="T29" s="39">
        <v>6393</v>
      </c>
      <c r="U29" s="39">
        <v>7110</v>
      </c>
      <c r="V29" s="39">
        <v>7946</v>
      </c>
      <c r="W29" s="39">
        <v>7833</v>
      </c>
      <c r="X29" s="39">
        <v>7544</v>
      </c>
      <c r="Y29" s="39">
        <v>6692</v>
      </c>
      <c r="Z29" s="40">
        <v>5716</v>
      </c>
      <c r="AA29" s="41">
        <f t="shared" si="0"/>
        <v>141941</v>
      </c>
      <c r="AB29" s="23">
        <v>6</v>
      </c>
      <c r="AC29" s="96"/>
      <c r="AD29" s="49"/>
    </row>
    <row r="30" spans="1:30" ht="15.75" thickBot="1" x14ac:dyDescent="0.3">
      <c r="A30" s="93">
        <v>47727</v>
      </c>
      <c r="B30" s="18" t="s">
        <v>5</v>
      </c>
      <c r="C30" s="33">
        <v>5387</v>
      </c>
      <c r="D30" s="33">
        <v>5027</v>
      </c>
      <c r="E30" s="33">
        <v>4832</v>
      </c>
      <c r="F30" s="33">
        <v>4739</v>
      </c>
      <c r="G30" s="33">
        <v>4827</v>
      </c>
      <c r="H30" s="33">
        <v>5115</v>
      </c>
      <c r="I30" s="33">
        <v>5225</v>
      </c>
      <c r="J30" s="33">
        <v>5995</v>
      </c>
      <c r="K30" s="33">
        <v>6890</v>
      </c>
      <c r="L30" s="33">
        <v>7648</v>
      </c>
      <c r="M30" s="33">
        <v>8312</v>
      </c>
      <c r="N30" s="33">
        <v>8856</v>
      </c>
      <c r="O30" s="33">
        <v>8373</v>
      </c>
      <c r="P30" s="33">
        <v>8366</v>
      </c>
      <c r="Q30" s="33">
        <v>8924</v>
      </c>
      <c r="R30" s="33">
        <v>9021</v>
      </c>
      <c r="S30" s="33">
        <v>8930</v>
      </c>
      <c r="T30" s="33">
        <v>8663</v>
      </c>
      <c r="U30" s="33">
        <v>9141</v>
      </c>
      <c r="V30" s="33">
        <v>9181</v>
      </c>
      <c r="W30" s="33">
        <v>8858</v>
      </c>
      <c r="X30" s="33">
        <v>8359</v>
      </c>
      <c r="Y30" s="33">
        <v>7329</v>
      </c>
      <c r="Z30" s="34">
        <v>6235</v>
      </c>
      <c r="AA30" s="35">
        <f t="shared" si="0"/>
        <v>174233</v>
      </c>
      <c r="AB30" s="19">
        <v>21</v>
      </c>
      <c r="AC30" s="94">
        <f>+AA30*AB30+AA31*AB31+AA32*AB32</f>
        <v>5030750</v>
      </c>
    </row>
    <row r="31" spans="1:30" ht="15.75" thickBot="1" x14ac:dyDescent="0.3">
      <c r="A31" s="93"/>
      <c r="B31" s="20" t="s">
        <v>4</v>
      </c>
      <c r="C31" s="36">
        <v>5407</v>
      </c>
      <c r="D31" s="36">
        <v>5025</v>
      </c>
      <c r="E31" s="36">
        <v>4799</v>
      </c>
      <c r="F31" s="36">
        <v>4666</v>
      </c>
      <c r="G31" s="36">
        <v>4699</v>
      </c>
      <c r="H31" s="36">
        <v>4672</v>
      </c>
      <c r="I31" s="36">
        <v>4697</v>
      </c>
      <c r="J31" s="36">
        <v>5393</v>
      </c>
      <c r="K31" s="36">
        <v>6396</v>
      </c>
      <c r="L31" s="36">
        <v>7201</v>
      </c>
      <c r="M31" s="36">
        <v>7771</v>
      </c>
      <c r="N31" s="36">
        <v>8135</v>
      </c>
      <c r="O31" s="36">
        <v>8070</v>
      </c>
      <c r="P31" s="36">
        <v>7767</v>
      </c>
      <c r="Q31" s="36">
        <v>7706</v>
      </c>
      <c r="R31" s="36">
        <v>7781</v>
      </c>
      <c r="S31" s="36">
        <v>7705</v>
      </c>
      <c r="T31" s="36">
        <v>7638</v>
      </c>
      <c r="U31" s="36">
        <v>8615</v>
      </c>
      <c r="V31" s="36">
        <v>8756</v>
      </c>
      <c r="W31" s="36">
        <v>8293</v>
      </c>
      <c r="X31" s="36">
        <v>7862</v>
      </c>
      <c r="Y31" s="36">
        <v>7117</v>
      </c>
      <c r="Z31" s="37">
        <v>6322</v>
      </c>
      <c r="AA31" s="38">
        <f t="shared" si="0"/>
        <v>162493</v>
      </c>
      <c r="AB31" s="21">
        <v>4</v>
      </c>
      <c r="AC31" s="95"/>
      <c r="AD31" s="47"/>
    </row>
    <row r="32" spans="1:30" x14ac:dyDescent="0.25">
      <c r="A32" s="93"/>
      <c r="B32" s="22" t="s">
        <v>3</v>
      </c>
      <c r="C32" s="39">
        <v>5382</v>
      </c>
      <c r="D32" s="39">
        <v>5019</v>
      </c>
      <c r="E32" s="39">
        <v>4692</v>
      </c>
      <c r="F32" s="39">
        <v>4552</v>
      </c>
      <c r="G32" s="39">
        <v>4551</v>
      </c>
      <c r="H32" s="39">
        <v>4462</v>
      </c>
      <c r="I32" s="39">
        <v>4281</v>
      </c>
      <c r="J32" s="39">
        <v>4700</v>
      </c>
      <c r="K32" s="39">
        <v>5274</v>
      </c>
      <c r="L32" s="39">
        <v>5902</v>
      </c>
      <c r="M32" s="39">
        <v>6375</v>
      </c>
      <c r="N32" s="39">
        <v>6750</v>
      </c>
      <c r="O32" s="39">
        <v>6914</v>
      </c>
      <c r="P32" s="39">
        <v>6819</v>
      </c>
      <c r="Q32" s="39">
        <v>6654</v>
      </c>
      <c r="R32" s="39">
        <v>6537</v>
      </c>
      <c r="S32" s="39">
        <v>6499</v>
      </c>
      <c r="T32" s="39">
        <v>6498</v>
      </c>
      <c r="U32" s="39">
        <v>7420</v>
      </c>
      <c r="V32" s="39">
        <v>7849</v>
      </c>
      <c r="W32" s="39">
        <v>7702</v>
      </c>
      <c r="X32" s="39">
        <v>7359</v>
      </c>
      <c r="Y32" s="39">
        <v>6515</v>
      </c>
      <c r="Z32" s="40">
        <v>5671</v>
      </c>
      <c r="AA32" s="41">
        <f t="shared" si="0"/>
        <v>144377</v>
      </c>
      <c r="AB32" s="23">
        <v>5</v>
      </c>
      <c r="AC32" s="96"/>
      <c r="AD32" s="48"/>
    </row>
    <row r="33" spans="1:30" ht="15.75" thickBot="1" x14ac:dyDescent="0.3">
      <c r="A33" s="93">
        <v>47757</v>
      </c>
      <c r="B33" s="18" t="s">
        <v>5</v>
      </c>
      <c r="C33" s="33">
        <v>4878</v>
      </c>
      <c r="D33" s="33">
        <v>4551</v>
      </c>
      <c r="E33" s="33">
        <v>4380</v>
      </c>
      <c r="F33" s="33">
        <v>4304</v>
      </c>
      <c r="G33" s="33">
        <v>4385</v>
      </c>
      <c r="H33" s="33">
        <v>4579</v>
      </c>
      <c r="I33" s="33">
        <v>4742</v>
      </c>
      <c r="J33" s="33">
        <v>5526</v>
      </c>
      <c r="K33" s="33">
        <v>6349</v>
      </c>
      <c r="L33" s="33">
        <v>7039</v>
      </c>
      <c r="M33" s="33">
        <v>7681</v>
      </c>
      <c r="N33" s="33">
        <v>8176</v>
      </c>
      <c r="O33" s="33">
        <v>7714</v>
      </c>
      <c r="P33" s="33">
        <v>7689</v>
      </c>
      <c r="Q33" s="33">
        <v>8174</v>
      </c>
      <c r="R33" s="33">
        <v>8300</v>
      </c>
      <c r="S33" s="33">
        <v>8237</v>
      </c>
      <c r="T33" s="33">
        <v>8102</v>
      </c>
      <c r="U33" s="33">
        <v>8784</v>
      </c>
      <c r="V33" s="33">
        <v>8524</v>
      </c>
      <c r="W33" s="33">
        <v>8174</v>
      </c>
      <c r="X33" s="33">
        <v>7665</v>
      </c>
      <c r="Y33" s="33">
        <v>6721</v>
      </c>
      <c r="Z33" s="34">
        <v>5666</v>
      </c>
      <c r="AA33" s="35">
        <f t="shared" si="0"/>
        <v>160340</v>
      </c>
      <c r="AB33" s="19">
        <v>22</v>
      </c>
      <c r="AC33" s="94">
        <f>+AA33*AB33+AA34*AB34+AA35*AB35</f>
        <v>4841984</v>
      </c>
    </row>
    <row r="34" spans="1:30" ht="15.75" thickBot="1" x14ac:dyDescent="0.3">
      <c r="A34" s="93"/>
      <c r="B34" s="20" t="s">
        <v>4</v>
      </c>
      <c r="C34" s="36">
        <v>5324</v>
      </c>
      <c r="D34" s="36">
        <v>4965</v>
      </c>
      <c r="E34" s="36">
        <v>4708</v>
      </c>
      <c r="F34" s="36">
        <v>4538</v>
      </c>
      <c r="G34" s="36">
        <v>4626</v>
      </c>
      <c r="H34" s="36">
        <v>4476</v>
      </c>
      <c r="I34" s="36">
        <v>4552</v>
      </c>
      <c r="J34" s="36">
        <v>5338</v>
      </c>
      <c r="K34" s="36">
        <v>6271</v>
      </c>
      <c r="L34" s="36">
        <v>7044</v>
      </c>
      <c r="M34" s="36">
        <v>7611</v>
      </c>
      <c r="N34" s="36">
        <v>7949</v>
      </c>
      <c r="O34" s="36">
        <v>7800</v>
      </c>
      <c r="P34" s="36">
        <v>7493</v>
      </c>
      <c r="Q34" s="36">
        <v>7508</v>
      </c>
      <c r="R34" s="36">
        <v>7501</v>
      </c>
      <c r="S34" s="36">
        <v>7410</v>
      </c>
      <c r="T34" s="36">
        <v>7573</v>
      </c>
      <c r="U34" s="36">
        <v>8639</v>
      </c>
      <c r="V34" s="36">
        <v>8521</v>
      </c>
      <c r="W34" s="36">
        <v>8083</v>
      </c>
      <c r="X34" s="36">
        <v>7635</v>
      </c>
      <c r="Y34" s="36">
        <v>6940</v>
      </c>
      <c r="Z34" s="37">
        <v>6166</v>
      </c>
      <c r="AA34" s="38">
        <f t="shared" si="0"/>
        <v>158671</v>
      </c>
      <c r="AB34" s="21">
        <v>4</v>
      </c>
      <c r="AC34" s="95"/>
      <c r="AD34" s="47"/>
    </row>
    <row r="35" spans="1:30" x14ac:dyDescent="0.25">
      <c r="A35" s="93"/>
      <c r="B35" s="22" t="s">
        <v>3</v>
      </c>
      <c r="C35" s="39">
        <v>5210</v>
      </c>
      <c r="D35" s="39">
        <v>4807</v>
      </c>
      <c r="E35" s="39">
        <v>4576</v>
      </c>
      <c r="F35" s="39">
        <v>4345</v>
      </c>
      <c r="G35" s="39">
        <v>4308</v>
      </c>
      <c r="H35" s="39">
        <v>4150</v>
      </c>
      <c r="I35" s="39">
        <v>4019</v>
      </c>
      <c r="J35" s="39">
        <v>4336</v>
      </c>
      <c r="K35" s="39">
        <v>4789</v>
      </c>
      <c r="L35" s="39">
        <v>5465</v>
      </c>
      <c r="M35" s="39">
        <v>5905</v>
      </c>
      <c r="N35" s="39">
        <v>6262</v>
      </c>
      <c r="O35" s="39">
        <v>6391</v>
      </c>
      <c r="P35" s="39">
        <v>6306</v>
      </c>
      <c r="Q35" s="39">
        <v>6088</v>
      </c>
      <c r="R35" s="39">
        <v>5952</v>
      </c>
      <c r="S35" s="39">
        <v>5957</v>
      </c>
      <c r="T35" s="39">
        <v>6107</v>
      </c>
      <c r="U35" s="39">
        <v>7280</v>
      </c>
      <c r="V35" s="39">
        <v>7490</v>
      </c>
      <c r="W35" s="39">
        <v>7370</v>
      </c>
      <c r="X35" s="39">
        <v>7058</v>
      </c>
      <c r="Y35" s="39">
        <v>6314</v>
      </c>
      <c r="Z35" s="40">
        <v>5479</v>
      </c>
      <c r="AA35" s="41">
        <f t="shared" si="0"/>
        <v>135964</v>
      </c>
      <c r="AB35" s="23">
        <v>5</v>
      </c>
      <c r="AC35" s="96"/>
      <c r="AD35" s="48"/>
    </row>
    <row r="36" spans="1:30" ht="15.75" thickBot="1" x14ac:dyDescent="0.3">
      <c r="A36" s="93">
        <v>47788</v>
      </c>
      <c r="B36" s="18" t="s">
        <v>5</v>
      </c>
      <c r="C36" s="33">
        <v>4758</v>
      </c>
      <c r="D36" s="33">
        <v>4505</v>
      </c>
      <c r="E36" s="33">
        <v>4334</v>
      </c>
      <c r="F36" s="33">
        <v>4226</v>
      </c>
      <c r="G36" s="33">
        <v>4317</v>
      </c>
      <c r="H36" s="33">
        <v>4580</v>
      </c>
      <c r="I36" s="33">
        <v>4754</v>
      </c>
      <c r="J36" s="33">
        <v>5482</v>
      </c>
      <c r="K36" s="33">
        <v>6250</v>
      </c>
      <c r="L36" s="33">
        <v>6895</v>
      </c>
      <c r="M36" s="33">
        <v>7465</v>
      </c>
      <c r="N36" s="33">
        <v>7926</v>
      </c>
      <c r="O36" s="33">
        <v>7526</v>
      </c>
      <c r="P36" s="33">
        <v>7469</v>
      </c>
      <c r="Q36" s="33">
        <v>7947</v>
      </c>
      <c r="R36" s="33">
        <v>8053</v>
      </c>
      <c r="S36" s="33">
        <v>7922</v>
      </c>
      <c r="T36" s="33">
        <v>7952</v>
      </c>
      <c r="U36" s="33">
        <v>8716</v>
      </c>
      <c r="V36" s="33">
        <v>8445</v>
      </c>
      <c r="W36" s="33">
        <v>8080</v>
      </c>
      <c r="X36" s="33">
        <v>7537</v>
      </c>
      <c r="Y36" s="33">
        <v>6598</v>
      </c>
      <c r="Z36" s="34">
        <v>5523</v>
      </c>
      <c r="AA36" s="35">
        <f t="shared" si="0"/>
        <v>157260</v>
      </c>
      <c r="AB36" s="19">
        <v>19</v>
      </c>
      <c r="AC36" s="94">
        <f>+AA36*AB36+AA37*AB37+AA38*AB38</f>
        <v>4548923</v>
      </c>
    </row>
    <row r="37" spans="1:30" ht="15.75" thickBot="1" x14ac:dyDescent="0.3">
      <c r="A37" s="93"/>
      <c r="B37" s="20" t="s">
        <v>4</v>
      </c>
      <c r="C37" s="36">
        <v>4679</v>
      </c>
      <c r="D37" s="36">
        <v>4361</v>
      </c>
      <c r="E37" s="36">
        <v>4123</v>
      </c>
      <c r="F37" s="36">
        <v>4038</v>
      </c>
      <c r="G37" s="36">
        <v>4105</v>
      </c>
      <c r="H37" s="36">
        <v>4128</v>
      </c>
      <c r="I37" s="36">
        <v>4333</v>
      </c>
      <c r="J37" s="36">
        <v>4995</v>
      </c>
      <c r="K37" s="36">
        <v>5781</v>
      </c>
      <c r="L37" s="36">
        <v>6506</v>
      </c>
      <c r="M37" s="36">
        <v>6996</v>
      </c>
      <c r="N37" s="36">
        <v>7398</v>
      </c>
      <c r="O37" s="36">
        <v>7343</v>
      </c>
      <c r="P37" s="36">
        <v>7187</v>
      </c>
      <c r="Q37" s="36">
        <v>7105</v>
      </c>
      <c r="R37" s="36">
        <v>7151</v>
      </c>
      <c r="S37" s="36">
        <v>7059</v>
      </c>
      <c r="T37" s="36">
        <v>7198</v>
      </c>
      <c r="U37" s="36">
        <v>8312</v>
      </c>
      <c r="V37" s="36">
        <v>8252</v>
      </c>
      <c r="W37" s="36">
        <v>7771</v>
      </c>
      <c r="X37" s="36">
        <v>7303</v>
      </c>
      <c r="Y37" s="36">
        <v>6631</v>
      </c>
      <c r="Z37" s="37">
        <v>5836</v>
      </c>
      <c r="AA37" s="38">
        <f t="shared" si="0"/>
        <v>148591</v>
      </c>
      <c r="AB37" s="21">
        <v>5</v>
      </c>
      <c r="AC37" s="95"/>
      <c r="AD37" s="47"/>
    </row>
    <row r="38" spans="1:30" x14ac:dyDescent="0.25">
      <c r="A38" s="93"/>
      <c r="B38" s="22" t="s">
        <v>3</v>
      </c>
      <c r="C38" s="39">
        <v>5005</v>
      </c>
      <c r="D38" s="39">
        <v>4721</v>
      </c>
      <c r="E38" s="39">
        <v>4401</v>
      </c>
      <c r="F38" s="39">
        <v>4174</v>
      </c>
      <c r="G38" s="39">
        <v>4170</v>
      </c>
      <c r="H38" s="39">
        <v>4110</v>
      </c>
      <c r="I38" s="39">
        <v>3939</v>
      </c>
      <c r="J38" s="39">
        <v>4336</v>
      </c>
      <c r="K38" s="39">
        <v>4880</v>
      </c>
      <c r="L38" s="39">
        <v>5582</v>
      </c>
      <c r="M38" s="39">
        <v>6050</v>
      </c>
      <c r="N38" s="39">
        <v>6366</v>
      </c>
      <c r="O38" s="39">
        <v>6567</v>
      </c>
      <c r="P38" s="39">
        <v>6483</v>
      </c>
      <c r="Q38" s="39">
        <v>6207</v>
      </c>
      <c r="R38" s="39">
        <v>6075</v>
      </c>
      <c r="S38" s="39">
        <v>6035</v>
      </c>
      <c r="T38" s="39">
        <v>6173</v>
      </c>
      <c r="U38" s="39">
        <v>7391</v>
      </c>
      <c r="V38" s="39">
        <v>7421</v>
      </c>
      <c r="W38" s="39">
        <v>7364</v>
      </c>
      <c r="X38" s="39">
        <v>7023</v>
      </c>
      <c r="Y38" s="39">
        <v>6332</v>
      </c>
      <c r="Z38" s="40">
        <v>5533</v>
      </c>
      <c r="AA38" s="41">
        <f t="shared" si="0"/>
        <v>136338</v>
      </c>
      <c r="AB38" s="23">
        <v>6</v>
      </c>
      <c r="AC38" s="96"/>
      <c r="AD38" s="49"/>
    </row>
    <row r="39" spans="1:30" ht="15.75" thickBot="1" x14ac:dyDescent="0.3">
      <c r="A39" s="93">
        <v>47818</v>
      </c>
      <c r="B39" s="18" t="s">
        <v>5</v>
      </c>
      <c r="C39" s="33">
        <v>5304</v>
      </c>
      <c r="D39" s="33">
        <v>5028</v>
      </c>
      <c r="E39" s="33">
        <v>4784</v>
      </c>
      <c r="F39" s="33">
        <v>4700</v>
      </c>
      <c r="G39" s="33">
        <v>4787</v>
      </c>
      <c r="H39" s="33">
        <v>5009</v>
      </c>
      <c r="I39" s="33">
        <v>5094</v>
      </c>
      <c r="J39" s="33">
        <v>5877</v>
      </c>
      <c r="K39" s="33">
        <v>6831</v>
      </c>
      <c r="L39" s="33">
        <v>7580</v>
      </c>
      <c r="M39" s="33">
        <v>8238</v>
      </c>
      <c r="N39" s="33">
        <v>8755</v>
      </c>
      <c r="O39" s="33">
        <v>8428</v>
      </c>
      <c r="P39" s="33">
        <v>8387</v>
      </c>
      <c r="Q39" s="33">
        <v>8791</v>
      </c>
      <c r="R39" s="33">
        <v>8819</v>
      </c>
      <c r="S39" s="33">
        <v>8660</v>
      </c>
      <c r="T39" s="33">
        <v>8480</v>
      </c>
      <c r="U39" s="33">
        <v>9261</v>
      </c>
      <c r="V39" s="33">
        <v>9287</v>
      </c>
      <c r="W39" s="33">
        <v>8828</v>
      </c>
      <c r="X39" s="33">
        <v>8284</v>
      </c>
      <c r="Y39" s="33">
        <v>7331</v>
      </c>
      <c r="Z39" s="34">
        <v>6258</v>
      </c>
      <c r="AA39" s="35">
        <f t="shared" si="0"/>
        <v>172801</v>
      </c>
      <c r="AB39" s="19">
        <v>21</v>
      </c>
      <c r="AC39" s="94">
        <f>+AA39*AB39+AA40*AB40+AA41*AB41</f>
        <v>5132569</v>
      </c>
    </row>
    <row r="40" spans="1:30" ht="15.75" thickBot="1" x14ac:dyDescent="0.3">
      <c r="A40" s="93"/>
      <c r="B40" s="20" t="s">
        <v>4</v>
      </c>
      <c r="C40" s="36">
        <v>5448</v>
      </c>
      <c r="D40" s="36">
        <v>4993</v>
      </c>
      <c r="E40" s="36">
        <v>4762</v>
      </c>
      <c r="F40" s="36">
        <v>4651</v>
      </c>
      <c r="G40" s="36">
        <v>4723</v>
      </c>
      <c r="H40" s="36">
        <v>4872</v>
      </c>
      <c r="I40" s="36">
        <v>4850</v>
      </c>
      <c r="J40" s="36">
        <v>5595</v>
      </c>
      <c r="K40" s="36">
        <v>6476</v>
      </c>
      <c r="L40" s="36">
        <v>7261</v>
      </c>
      <c r="M40" s="36">
        <v>7887</v>
      </c>
      <c r="N40" s="36">
        <v>8319</v>
      </c>
      <c r="O40" s="36">
        <v>8067</v>
      </c>
      <c r="P40" s="36">
        <v>7830</v>
      </c>
      <c r="Q40" s="36">
        <v>7816</v>
      </c>
      <c r="R40" s="36">
        <v>7747</v>
      </c>
      <c r="S40" s="36">
        <v>7655</v>
      </c>
      <c r="T40" s="36">
        <v>7684</v>
      </c>
      <c r="U40" s="36">
        <v>8779</v>
      </c>
      <c r="V40" s="36">
        <v>8876</v>
      </c>
      <c r="W40" s="36">
        <v>8425</v>
      </c>
      <c r="X40" s="36">
        <v>7857</v>
      </c>
      <c r="Y40" s="36">
        <v>7101</v>
      </c>
      <c r="Z40" s="37">
        <v>6226</v>
      </c>
      <c r="AA40" s="38">
        <f t="shared" si="0"/>
        <v>163900</v>
      </c>
      <c r="AB40" s="21">
        <v>4</v>
      </c>
      <c r="AC40" s="95"/>
      <c r="AD40" s="47"/>
    </row>
    <row r="41" spans="1:30" x14ac:dyDescent="0.25">
      <c r="A41" s="93"/>
      <c r="B41" s="22" t="s">
        <v>3</v>
      </c>
      <c r="C41" s="39">
        <v>5104</v>
      </c>
      <c r="D41" s="39">
        <v>4727</v>
      </c>
      <c r="E41" s="39">
        <v>4452</v>
      </c>
      <c r="F41" s="39">
        <v>4302</v>
      </c>
      <c r="G41" s="39">
        <v>4303</v>
      </c>
      <c r="H41" s="39">
        <v>4375</v>
      </c>
      <c r="I41" s="39">
        <v>4181</v>
      </c>
      <c r="J41" s="39">
        <v>4531</v>
      </c>
      <c r="K41" s="39">
        <v>5082</v>
      </c>
      <c r="L41" s="39">
        <v>5759</v>
      </c>
      <c r="M41" s="39">
        <v>6252</v>
      </c>
      <c r="N41" s="39">
        <v>6674</v>
      </c>
      <c r="O41" s="39">
        <v>6798</v>
      </c>
      <c r="P41" s="39">
        <v>6736</v>
      </c>
      <c r="Q41" s="39">
        <v>6494</v>
      </c>
      <c r="R41" s="39">
        <v>6404</v>
      </c>
      <c r="S41" s="39">
        <v>6349</v>
      </c>
      <c r="T41" s="39">
        <v>6446</v>
      </c>
      <c r="U41" s="39">
        <v>7482</v>
      </c>
      <c r="V41" s="39">
        <v>7784</v>
      </c>
      <c r="W41" s="39">
        <v>7653</v>
      </c>
      <c r="X41" s="39">
        <v>7313</v>
      </c>
      <c r="Y41" s="39">
        <v>6524</v>
      </c>
      <c r="Z41" s="40">
        <v>5633</v>
      </c>
      <c r="AA41" s="41">
        <f t="shared" si="0"/>
        <v>141358</v>
      </c>
      <c r="AB41" s="23">
        <v>6</v>
      </c>
      <c r="AC41" s="96"/>
      <c r="AD41" s="42"/>
    </row>
    <row r="42" spans="1:30" x14ac:dyDescent="0.25">
      <c r="A42" s="97" t="s">
        <v>2</v>
      </c>
      <c r="B42" s="98"/>
      <c r="C42" s="31">
        <f t="shared" ref="C42:AC42" si="1">+SUM(C6:C41)</f>
        <v>192072</v>
      </c>
      <c r="D42" s="31">
        <f t="shared" si="1"/>
        <v>179756</v>
      </c>
      <c r="E42" s="31">
        <f t="shared" si="1"/>
        <v>170880</v>
      </c>
      <c r="F42" s="31">
        <f t="shared" si="1"/>
        <v>166183</v>
      </c>
      <c r="G42" s="31">
        <f t="shared" si="1"/>
        <v>167396</v>
      </c>
      <c r="H42" s="31">
        <f t="shared" si="1"/>
        <v>171451</v>
      </c>
      <c r="I42" s="31">
        <f t="shared" si="1"/>
        <v>167362</v>
      </c>
      <c r="J42" s="31">
        <f t="shared" si="1"/>
        <v>187037</v>
      </c>
      <c r="K42" s="31">
        <f t="shared" si="1"/>
        <v>213119</v>
      </c>
      <c r="L42" s="31">
        <f t="shared" si="1"/>
        <v>238274</v>
      </c>
      <c r="M42" s="31">
        <f t="shared" si="1"/>
        <v>257672</v>
      </c>
      <c r="N42" s="31">
        <f t="shared" si="1"/>
        <v>273270</v>
      </c>
      <c r="O42" s="31">
        <f t="shared" si="1"/>
        <v>269235</v>
      </c>
      <c r="P42" s="31">
        <f t="shared" si="1"/>
        <v>265088</v>
      </c>
      <c r="Q42" s="31">
        <f t="shared" si="1"/>
        <v>268637</v>
      </c>
      <c r="R42" s="31">
        <f t="shared" si="1"/>
        <v>268987</v>
      </c>
      <c r="S42" s="31">
        <f t="shared" si="1"/>
        <v>266407</v>
      </c>
      <c r="T42" s="31">
        <f t="shared" si="1"/>
        <v>264583</v>
      </c>
      <c r="U42" s="31">
        <f t="shared" si="1"/>
        <v>291224</v>
      </c>
      <c r="V42" s="31">
        <f t="shared" si="1"/>
        <v>305075</v>
      </c>
      <c r="W42" s="31">
        <f t="shared" si="1"/>
        <v>294882</v>
      </c>
      <c r="X42" s="31">
        <f t="shared" si="1"/>
        <v>280146</v>
      </c>
      <c r="Y42" s="31">
        <f t="shared" si="1"/>
        <v>250845</v>
      </c>
      <c r="Z42" s="31">
        <f t="shared" si="1"/>
        <v>217757</v>
      </c>
      <c r="AA42" s="31">
        <f t="shared" si="1"/>
        <v>5627338</v>
      </c>
      <c r="AB42" s="31">
        <f t="shared" si="1"/>
        <v>365</v>
      </c>
      <c r="AC42" s="46">
        <f t="shared" si="1"/>
        <v>59120213</v>
      </c>
    </row>
    <row r="43" spans="1:30" x14ac:dyDescent="0.25">
      <c r="AB43" s="6"/>
      <c r="AC43" s="6"/>
    </row>
    <row r="44" spans="1:30" x14ac:dyDescent="0.25">
      <c r="C44" s="49"/>
      <c r="AA44" s="48"/>
    </row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F99A-5221-45C2-B43E-7FD7B0826FBD}">
  <sheetPr codeName="Hoja7">
    <tabColor theme="5" tint="0.79998168889431442"/>
  </sheetPr>
  <dimension ref="A1:AD46"/>
  <sheetViews>
    <sheetView showGridLines="0" zoomScale="115" zoomScaleNormal="115" zoomScaleSheetLayoutView="110" workbookViewId="0">
      <pane xSplit="2" ySplit="5" topLeftCell="C33" activePane="bottomRight" state="frozen"/>
      <selection pane="topRight" activeCell="C1" sqref="C1"/>
      <selection pane="bottomLeft" activeCell="A6" sqref="A6"/>
      <selection pane="bottomRight" activeCell="N6" sqref="N6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75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47484</v>
      </c>
      <c r="B6" s="18" t="s">
        <v>5</v>
      </c>
      <c r="C6" s="33">
        <f>ROUND('Anexo 15'!C6*'Anexo 5'!$D$10,0)</f>
        <v>0</v>
      </c>
      <c r="D6" s="33">
        <f>ROUND('Anexo 15'!D6*'Anexo 5'!$D$10,0)</f>
        <v>0</v>
      </c>
      <c r="E6" s="33">
        <f>ROUND('Anexo 15'!E6*'Anexo 5'!$D$10,0)</f>
        <v>0</v>
      </c>
      <c r="F6" s="33">
        <f>ROUND('Anexo 15'!F6*'Anexo 5'!$D$10,0)</f>
        <v>0</v>
      </c>
      <c r="G6" s="33">
        <f>ROUND('Anexo 15'!G6*'Anexo 5'!$D$10,0)</f>
        <v>0</v>
      </c>
      <c r="H6" s="33">
        <f>ROUND('Anexo 15'!H6*'Anexo 5'!$D$10,0)</f>
        <v>0</v>
      </c>
      <c r="I6" s="33">
        <f>ROUND('Anexo 15'!I6*'Anexo 5'!$D$10,0)</f>
        <v>0</v>
      </c>
      <c r="J6" s="33">
        <f>ROUND('Anexo 15'!J6*'Anexo 5'!$D$10,0)</f>
        <v>0</v>
      </c>
      <c r="K6" s="33">
        <f>ROUND('Anexo 15'!K6*'Anexo 5'!$D$10,0)</f>
        <v>0</v>
      </c>
      <c r="L6" s="33">
        <f>ROUND('Anexo 15'!L6*'Anexo 5'!$D$10,0)</f>
        <v>0</v>
      </c>
      <c r="M6" s="33">
        <f>ROUND('Anexo 15'!M6*'Anexo 5'!$D$10,0)</f>
        <v>0</v>
      </c>
      <c r="N6" s="33">
        <f>ROUND('Anexo 15'!N6*'Anexo 5'!$D$10,0)</f>
        <v>0</v>
      </c>
      <c r="O6" s="33">
        <f>ROUND('Anexo 15'!O6*'Anexo 5'!$D$10,0)</f>
        <v>0</v>
      </c>
      <c r="P6" s="33">
        <f>ROUND('Anexo 15'!P6*'Anexo 5'!$D$10,0)</f>
        <v>0</v>
      </c>
      <c r="Q6" s="33">
        <f>ROUND('Anexo 15'!Q6*'Anexo 5'!$D$10,0)</f>
        <v>0</v>
      </c>
      <c r="R6" s="33">
        <f>ROUND('Anexo 15'!R6*'Anexo 5'!$D$10,0)</f>
        <v>0</v>
      </c>
      <c r="S6" s="33">
        <f>ROUND('Anexo 15'!S6*'Anexo 5'!$D$10,0)</f>
        <v>0</v>
      </c>
      <c r="T6" s="33">
        <f>ROUND('Anexo 15'!T6*'Anexo 5'!$D$10,0)</f>
        <v>0</v>
      </c>
      <c r="U6" s="33">
        <f>ROUND('Anexo 15'!U6*'Anexo 5'!$D$10,0)</f>
        <v>0</v>
      </c>
      <c r="V6" s="33">
        <f>ROUND('Anexo 15'!V6*'Anexo 5'!$D$10,0)</f>
        <v>0</v>
      </c>
      <c r="W6" s="33">
        <f>ROUND('Anexo 15'!W6*'Anexo 5'!$D$10,0)</f>
        <v>0</v>
      </c>
      <c r="X6" s="33">
        <f>ROUND('Anexo 15'!X6*'Anexo 5'!$D$10,0)</f>
        <v>0</v>
      </c>
      <c r="Y6" s="33">
        <f>ROUND('Anexo 15'!Y6*'Anexo 5'!$D$10,0)</f>
        <v>0</v>
      </c>
      <c r="Z6" s="34">
        <f>ROUND('Anexo 15'!Z6*'Anexo 5'!$D$10,0)</f>
        <v>0</v>
      </c>
      <c r="AA6" s="35">
        <f>SUM(C6:Z6)</f>
        <v>0</v>
      </c>
      <c r="AB6" s="19">
        <v>21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6">
        <f>ROUND('Anexo 15'!C7*'Anexo 5'!$D$10,0)</f>
        <v>0</v>
      </c>
      <c r="D7" s="36">
        <f>ROUND('Anexo 15'!D7*'Anexo 5'!$D$10,0)</f>
        <v>0</v>
      </c>
      <c r="E7" s="36">
        <f>ROUND('Anexo 15'!E7*'Anexo 5'!$D$10,0)</f>
        <v>0</v>
      </c>
      <c r="F7" s="36">
        <f>ROUND('Anexo 15'!F7*'Anexo 5'!$D$10,0)</f>
        <v>0</v>
      </c>
      <c r="G7" s="36">
        <f>ROUND('Anexo 15'!G7*'Anexo 5'!$D$10,0)</f>
        <v>0</v>
      </c>
      <c r="H7" s="36">
        <f>ROUND('Anexo 15'!H7*'Anexo 5'!$D$10,0)</f>
        <v>0</v>
      </c>
      <c r="I7" s="36">
        <f>ROUND('Anexo 15'!I7*'Anexo 5'!$D$10,0)</f>
        <v>0</v>
      </c>
      <c r="J7" s="36">
        <f>ROUND('Anexo 15'!J7*'Anexo 5'!$D$10,0)</f>
        <v>0</v>
      </c>
      <c r="K7" s="36">
        <f>ROUND('Anexo 15'!K7*'Anexo 5'!$D$10,0)</f>
        <v>0</v>
      </c>
      <c r="L7" s="36">
        <f>ROUND('Anexo 15'!L7*'Anexo 5'!$D$10,0)</f>
        <v>0</v>
      </c>
      <c r="M7" s="36">
        <f>ROUND('Anexo 15'!M7*'Anexo 5'!$D$10,0)</f>
        <v>0</v>
      </c>
      <c r="N7" s="36">
        <f>ROUND('Anexo 15'!N7*'Anexo 5'!$D$10,0)</f>
        <v>0</v>
      </c>
      <c r="O7" s="36">
        <f>ROUND('Anexo 15'!O7*'Anexo 5'!$D$10,0)</f>
        <v>0</v>
      </c>
      <c r="P7" s="36">
        <f>ROUND('Anexo 15'!P7*'Anexo 5'!$D$10,0)</f>
        <v>0</v>
      </c>
      <c r="Q7" s="36">
        <f>ROUND('Anexo 15'!Q7*'Anexo 5'!$D$10,0)</f>
        <v>0</v>
      </c>
      <c r="R7" s="36">
        <f>ROUND('Anexo 15'!R7*'Anexo 5'!$D$10,0)</f>
        <v>0</v>
      </c>
      <c r="S7" s="36">
        <f>ROUND('Anexo 15'!S7*'Anexo 5'!$D$10,0)</f>
        <v>0</v>
      </c>
      <c r="T7" s="36">
        <f>ROUND('Anexo 15'!T7*'Anexo 5'!$D$10,0)</f>
        <v>0</v>
      </c>
      <c r="U7" s="36">
        <f>ROUND('Anexo 15'!U7*'Anexo 5'!$D$10,0)</f>
        <v>0</v>
      </c>
      <c r="V7" s="36">
        <f>ROUND('Anexo 15'!V7*'Anexo 5'!$D$10,0)</f>
        <v>0</v>
      </c>
      <c r="W7" s="36">
        <f>ROUND('Anexo 15'!W7*'Anexo 5'!$D$10,0)</f>
        <v>0</v>
      </c>
      <c r="X7" s="36">
        <f>ROUND('Anexo 15'!X7*'Anexo 5'!$D$10,0)</f>
        <v>0</v>
      </c>
      <c r="Y7" s="36">
        <f>ROUND('Anexo 15'!Y7*'Anexo 5'!$D$10,0)</f>
        <v>0</v>
      </c>
      <c r="Z7" s="37">
        <f>ROUND('Anexo 15'!Z7*'Anexo 5'!$D$10,0)</f>
        <v>0</v>
      </c>
      <c r="AA7" s="38">
        <f t="shared" ref="AA7:AA41" si="0">SUM(C7:Z7)</f>
        <v>0</v>
      </c>
      <c r="AB7" s="21">
        <v>4</v>
      </c>
      <c r="AC7" s="95"/>
      <c r="AD7" s="47"/>
    </row>
    <row r="8" spans="1:30" ht="15" x14ac:dyDescent="0.25">
      <c r="A8" s="93"/>
      <c r="B8" s="22" t="s">
        <v>3</v>
      </c>
      <c r="C8" s="39">
        <f>ROUND('Anexo 15'!C8*'Anexo 5'!$D$10,0)</f>
        <v>0</v>
      </c>
      <c r="D8" s="39">
        <f>ROUND('Anexo 15'!D8*'Anexo 5'!$D$10,0)</f>
        <v>0</v>
      </c>
      <c r="E8" s="39">
        <f>ROUND('Anexo 15'!E8*'Anexo 5'!$D$10,0)</f>
        <v>0</v>
      </c>
      <c r="F8" s="39">
        <f>ROUND('Anexo 15'!F8*'Anexo 5'!$D$10,0)</f>
        <v>0</v>
      </c>
      <c r="G8" s="39">
        <f>ROUND('Anexo 15'!G8*'Anexo 5'!$D$10,0)</f>
        <v>0</v>
      </c>
      <c r="H8" s="39">
        <f>ROUND('Anexo 15'!H8*'Anexo 5'!$D$10,0)</f>
        <v>0</v>
      </c>
      <c r="I8" s="39">
        <f>ROUND('Anexo 15'!I8*'Anexo 5'!$D$10,0)</f>
        <v>0</v>
      </c>
      <c r="J8" s="39">
        <f>ROUND('Anexo 15'!J8*'Anexo 5'!$D$10,0)</f>
        <v>0</v>
      </c>
      <c r="K8" s="39">
        <f>ROUND('Anexo 15'!K8*'Anexo 5'!$D$10,0)</f>
        <v>0</v>
      </c>
      <c r="L8" s="39">
        <f>ROUND('Anexo 15'!L8*'Anexo 5'!$D$10,0)</f>
        <v>0</v>
      </c>
      <c r="M8" s="39">
        <f>ROUND('Anexo 15'!M8*'Anexo 5'!$D$10,0)</f>
        <v>0</v>
      </c>
      <c r="N8" s="39">
        <f>ROUND('Anexo 15'!N8*'Anexo 5'!$D$10,0)</f>
        <v>0</v>
      </c>
      <c r="O8" s="39">
        <f>ROUND('Anexo 15'!O8*'Anexo 5'!$D$10,0)</f>
        <v>0</v>
      </c>
      <c r="P8" s="39">
        <f>ROUND('Anexo 15'!P8*'Anexo 5'!$D$10,0)</f>
        <v>0</v>
      </c>
      <c r="Q8" s="39">
        <f>ROUND('Anexo 15'!Q8*'Anexo 5'!$D$10,0)</f>
        <v>0</v>
      </c>
      <c r="R8" s="39">
        <f>ROUND('Anexo 15'!R8*'Anexo 5'!$D$10,0)</f>
        <v>0</v>
      </c>
      <c r="S8" s="39">
        <f>ROUND('Anexo 15'!S8*'Anexo 5'!$D$10,0)</f>
        <v>0</v>
      </c>
      <c r="T8" s="39">
        <f>ROUND('Anexo 15'!T8*'Anexo 5'!$D$10,0)</f>
        <v>0</v>
      </c>
      <c r="U8" s="39">
        <f>ROUND('Anexo 15'!U8*'Anexo 5'!$D$10,0)</f>
        <v>0</v>
      </c>
      <c r="V8" s="39">
        <f>ROUND('Anexo 15'!V8*'Anexo 5'!$D$10,0)</f>
        <v>0</v>
      </c>
      <c r="W8" s="39">
        <f>ROUND('Anexo 15'!W8*'Anexo 5'!$D$10,0)</f>
        <v>0</v>
      </c>
      <c r="X8" s="39">
        <f>ROUND('Anexo 15'!X8*'Anexo 5'!$D$10,0)</f>
        <v>0</v>
      </c>
      <c r="Y8" s="39">
        <f>ROUND('Anexo 15'!Y8*'Anexo 5'!$D$10,0)</f>
        <v>0</v>
      </c>
      <c r="Z8" s="40">
        <f>ROUND('Anexo 15'!Z8*'Anexo 5'!$D$10,0)</f>
        <v>0</v>
      </c>
      <c r="AA8" s="41">
        <f t="shared" si="0"/>
        <v>0</v>
      </c>
      <c r="AB8" s="23">
        <v>6</v>
      </c>
      <c r="AC8" s="96"/>
      <c r="AD8" s="48"/>
    </row>
    <row r="9" spans="1:30" ht="15.75" thickBot="1" x14ac:dyDescent="0.3">
      <c r="A9" s="93">
        <v>47515</v>
      </c>
      <c r="B9" s="18" t="s">
        <v>5</v>
      </c>
      <c r="C9" s="33">
        <f>ROUND('Anexo 15'!C9*'Anexo 5'!$D$10,0)</f>
        <v>0</v>
      </c>
      <c r="D9" s="33">
        <f>ROUND('Anexo 15'!D9*'Anexo 5'!$D$10,0)</f>
        <v>0</v>
      </c>
      <c r="E9" s="33">
        <f>ROUND('Anexo 15'!E9*'Anexo 5'!$D$10,0)</f>
        <v>0</v>
      </c>
      <c r="F9" s="33">
        <f>ROUND('Anexo 15'!F9*'Anexo 5'!$D$10,0)</f>
        <v>0</v>
      </c>
      <c r="G9" s="33">
        <f>ROUND('Anexo 15'!G9*'Anexo 5'!$D$10,0)</f>
        <v>0</v>
      </c>
      <c r="H9" s="33">
        <f>ROUND('Anexo 15'!H9*'Anexo 5'!$D$10,0)</f>
        <v>0</v>
      </c>
      <c r="I9" s="33">
        <f>ROUND('Anexo 15'!I9*'Anexo 5'!$D$10,0)</f>
        <v>0</v>
      </c>
      <c r="J9" s="33">
        <f>ROUND('Anexo 15'!J9*'Anexo 5'!$D$10,0)</f>
        <v>0</v>
      </c>
      <c r="K9" s="33">
        <f>ROUND('Anexo 15'!K9*'Anexo 5'!$D$10,0)</f>
        <v>0</v>
      </c>
      <c r="L9" s="33">
        <f>ROUND('Anexo 15'!L9*'Anexo 5'!$D$10,0)</f>
        <v>0</v>
      </c>
      <c r="M9" s="33">
        <f>ROUND('Anexo 15'!M9*'Anexo 5'!$D$10,0)</f>
        <v>0</v>
      </c>
      <c r="N9" s="33">
        <f>ROUND('Anexo 15'!N9*'Anexo 5'!$D$10,0)</f>
        <v>0</v>
      </c>
      <c r="O9" s="33">
        <f>ROUND('Anexo 15'!O9*'Anexo 5'!$D$10,0)</f>
        <v>0</v>
      </c>
      <c r="P9" s="33">
        <f>ROUND('Anexo 15'!P9*'Anexo 5'!$D$10,0)</f>
        <v>0</v>
      </c>
      <c r="Q9" s="33">
        <f>ROUND('Anexo 15'!Q9*'Anexo 5'!$D$10,0)</f>
        <v>0</v>
      </c>
      <c r="R9" s="33">
        <f>ROUND('Anexo 15'!R9*'Anexo 5'!$D$10,0)</f>
        <v>0</v>
      </c>
      <c r="S9" s="33">
        <f>ROUND('Anexo 15'!S9*'Anexo 5'!$D$10,0)</f>
        <v>0</v>
      </c>
      <c r="T9" s="33">
        <f>ROUND('Anexo 15'!T9*'Anexo 5'!$D$10,0)</f>
        <v>0</v>
      </c>
      <c r="U9" s="33">
        <f>ROUND('Anexo 15'!U9*'Anexo 5'!$D$10,0)</f>
        <v>0</v>
      </c>
      <c r="V9" s="33">
        <f>ROUND('Anexo 15'!V9*'Anexo 5'!$D$10,0)</f>
        <v>0</v>
      </c>
      <c r="W9" s="33">
        <f>ROUND('Anexo 15'!W9*'Anexo 5'!$D$10,0)</f>
        <v>0</v>
      </c>
      <c r="X9" s="33">
        <f>ROUND('Anexo 15'!X9*'Anexo 5'!$D$10,0)</f>
        <v>0</v>
      </c>
      <c r="Y9" s="33">
        <f>ROUND('Anexo 15'!Y9*'Anexo 5'!$D$10,0)</f>
        <v>0</v>
      </c>
      <c r="Z9" s="33">
        <f>ROUND('Anexo 15'!Z9*'Anexo 5'!$D$10,0)</f>
        <v>0</v>
      </c>
      <c r="AA9" s="35">
        <f t="shared" si="0"/>
        <v>0</v>
      </c>
      <c r="AB9" s="19">
        <v>20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ROUND('Anexo 15'!C10*'Anexo 5'!$D$10,0)</f>
        <v>0</v>
      </c>
      <c r="D10" s="33">
        <f>ROUND('Anexo 15'!D10*'Anexo 5'!$D$10,0)</f>
        <v>0</v>
      </c>
      <c r="E10" s="33">
        <f>ROUND('Anexo 15'!E10*'Anexo 5'!$D$10,0)</f>
        <v>0</v>
      </c>
      <c r="F10" s="33">
        <f>ROUND('Anexo 15'!F10*'Anexo 5'!$D$10,0)</f>
        <v>0</v>
      </c>
      <c r="G10" s="33">
        <f>ROUND('Anexo 15'!G10*'Anexo 5'!$D$10,0)</f>
        <v>0</v>
      </c>
      <c r="H10" s="33">
        <f>ROUND('Anexo 15'!H10*'Anexo 5'!$D$10,0)</f>
        <v>0</v>
      </c>
      <c r="I10" s="33">
        <f>ROUND('Anexo 15'!I10*'Anexo 5'!$D$10,0)</f>
        <v>0</v>
      </c>
      <c r="J10" s="33">
        <f>ROUND('Anexo 15'!J10*'Anexo 5'!$D$10,0)</f>
        <v>0</v>
      </c>
      <c r="K10" s="33">
        <f>ROUND('Anexo 15'!K10*'Anexo 5'!$D$10,0)</f>
        <v>0</v>
      </c>
      <c r="L10" s="33">
        <f>ROUND('Anexo 15'!L10*'Anexo 5'!$D$10,0)</f>
        <v>0</v>
      </c>
      <c r="M10" s="33">
        <f>ROUND('Anexo 15'!M10*'Anexo 5'!$D$10,0)</f>
        <v>0</v>
      </c>
      <c r="N10" s="33">
        <f>ROUND('Anexo 15'!N10*'Anexo 5'!$D$10,0)</f>
        <v>0</v>
      </c>
      <c r="O10" s="33">
        <f>ROUND('Anexo 15'!O10*'Anexo 5'!$D$10,0)</f>
        <v>0</v>
      </c>
      <c r="P10" s="33">
        <f>ROUND('Anexo 15'!P10*'Anexo 5'!$D$10,0)</f>
        <v>0</v>
      </c>
      <c r="Q10" s="33">
        <f>ROUND('Anexo 15'!Q10*'Anexo 5'!$D$10,0)</f>
        <v>0</v>
      </c>
      <c r="R10" s="33">
        <f>ROUND('Anexo 15'!R10*'Anexo 5'!$D$10,0)</f>
        <v>0</v>
      </c>
      <c r="S10" s="33">
        <f>ROUND('Anexo 15'!S10*'Anexo 5'!$D$10,0)</f>
        <v>0</v>
      </c>
      <c r="T10" s="33">
        <f>ROUND('Anexo 15'!T10*'Anexo 5'!$D$10,0)</f>
        <v>0</v>
      </c>
      <c r="U10" s="33">
        <f>ROUND('Anexo 15'!U10*'Anexo 5'!$D$10,0)</f>
        <v>0</v>
      </c>
      <c r="V10" s="33">
        <f>ROUND('Anexo 15'!V10*'Anexo 5'!$D$10,0)</f>
        <v>0</v>
      </c>
      <c r="W10" s="33">
        <f>ROUND('Anexo 15'!W10*'Anexo 5'!$D$10,0)</f>
        <v>0</v>
      </c>
      <c r="X10" s="33">
        <f>ROUND('Anexo 15'!X10*'Anexo 5'!$D$10,0)</f>
        <v>0</v>
      </c>
      <c r="Y10" s="33">
        <f>ROUND('Anexo 15'!Y10*'Anexo 5'!$D$10,0)</f>
        <v>0</v>
      </c>
      <c r="Z10" s="33">
        <f>ROUND('Anexo 15'!Z10*'Anexo 5'!$D$10,0)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ROUND('Anexo 15'!C11*'Anexo 5'!$D$10,0)</f>
        <v>0</v>
      </c>
      <c r="D11" s="33">
        <f>ROUND('Anexo 15'!D11*'Anexo 5'!$D$10,0)</f>
        <v>0</v>
      </c>
      <c r="E11" s="33">
        <f>ROUND('Anexo 15'!E11*'Anexo 5'!$D$10,0)</f>
        <v>0</v>
      </c>
      <c r="F11" s="33">
        <f>ROUND('Anexo 15'!F11*'Anexo 5'!$D$10,0)</f>
        <v>0</v>
      </c>
      <c r="G11" s="33">
        <f>ROUND('Anexo 15'!G11*'Anexo 5'!$D$10,0)</f>
        <v>0</v>
      </c>
      <c r="H11" s="33">
        <f>ROUND('Anexo 15'!H11*'Anexo 5'!$D$10,0)</f>
        <v>0</v>
      </c>
      <c r="I11" s="33">
        <f>ROUND('Anexo 15'!I11*'Anexo 5'!$D$10,0)</f>
        <v>0</v>
      </c>
      <c r="J11" s="33">
        <f>ROUND('Anexo 15'!J11*'Anexo 5'!$D$10,0)</f>
        <v>0</v>
      </c>
      <c r="K11" s="33">
        <f>ROUND('Anexo 15'!K11*'Anexo 5'!$D$10,0)</f>
        <v>0</v>
      </c>
      <c r="L11" s="33">
        <f>ROUND('Anexo 15'!L11*'Anexo 5'!$D$10,0)</f>
        <v>0</v>
      </c>
      <c r="M11" s="33">
        <f>ROUND('Anexo 15'!M11*'Anexo 5'!$D$10,0)</f>
        <v>0</v>
      </c>
      <c r="N11" s="33">
        <f>ROUND('Anexo 15'!N11*'Anexo 5'!$D$10,0)</f>
        <v>0</v>
      </c>
      <c r="O11" s="33">
        <f>ROUND('Anexo 15'!O11*'Anexo 5'!$D$10,0)</f>
        <v>0</v>
      </c>
      <c r="P11" s="33">
        <f>ROUND('Anexo 15'!P11*'Anexo 5'!$D$10,0)</f>
        <v>0</v>
      </c>
      <c r="Q11" s="33">
        <f>ROUND('Anexo 15'!Q11*'Anexo 5'!$D$10,0)</f>
        <v>0</v>
      </c>
      <c r="R11" s="33">
        <f>ROUND('Anexo 15'!R11*'Anexo 5'!$D$10,0)</f>
        <v>0</v>
      </c>
      <c r="S11" s="33">
        <f>ROUND('Anexo 15'!S11*'Anexo 5'!$D$10,0)</f>
        <v>0</v>
      </c>
      <c r="T11" s="33">
        <f>ROUND('Anexo 15'!T11*'Anexo 5'!$D$10,0)</f>
        <v>0</v>
      </c>
      <c r="U11" s="33">
        <f>ROUND('Anexo 15'!U11*'Anexo 5'!$D$10,0)</f>
        <v>0</v>
      </c>
      <c r="V11" s="33">
        <f>ROUND('Anexo 15'!V11*'Anexo 5'!$D$10,0)</f>
        <v>0</v>
      </c>
      <c r="W11" s="33">
        <f>ROUND('Anexo 15'!W11*'Anexo 5'!$D$10,0)</f>
        <v>0</v>
      </c>
      <c r="X11" s="33">
        <f>ROUND('Anexo 15'!X11*'Anexo 5'!$D$10,0)</f>
        <v>0</v>
      </c>
      <c r="Y11" s="33">
        <f>ROUND('Anexo 15'!Y11*'Anexo 5'!$D$10,0)</f>
        <v>0</v>
      </c>
      <c r="Z11" s="33">
        <f>ROUND('Anexo 15'!Z11*'Anexo 5'!$D$10,0)</f>
        <v>0</v>
      </c>
      <c r="AA11" s="41">
        <f t="shared" si="0"/>
        <v>0</v>
      </c>
      <c r="AB11" s="23">
        <v>4</v>
      </c>
      <c r="AC11" s="96"/>
      <c r="AD11" s="48"/>
    </row>
    <row r="12" spans="1:30" ht="15.75" thickBot="1" x14ac:dyDescent="0.3">
      <c r="A12" s="93">
        <v>47543</v>
      </c>
      <c r="B12" s="18" t="s">
        <v>5</v>
      </c>
      <c r="C12" s="33">
        <f>ROUND('Anexo 15'!C12*'Anexo 5'!$D$10,0)</f>
        <v>0</v>
      </c>
      <c r="D12" s="33">
        <f>ROUND('Anexo 15'!D12*'Anexo 5'!$D$10,0)</f>
        <v>0</v>
      </c>
      <c r="E12" s="33">
        <f>ROUND('Anexo 15'!E12*'Anexo 5'!$D$10,0)</f>
        <v>0</v>
      </c>
      <c r="F12" s="33">
        <f>ROUND('Anexo 15'!F12*'Anexo 5'!$D$10,0)</f>
        <v>0</v>
      </c>
      <c r="G12" s="33">
        <f>ROUND('Anexo 15'!G12*'Anexo 5'!$D$10,0)</f>
        <v>0</v>
      </c>
      <c r="H12" s="33">
        <f>ROUND('Anexo 15'!H12*'Anexo 5'!$D$10,0)</f>
        <v>0</v>
      </c>
      <c r="I12" s="33">
        <f>ROUND('Anexo 15'!I12*'Anexo 5'!$D$10,0)</f>
        <v>0</v>
      </c>
      <c r="J12" s="33">
        <f>ROUND('Anexo 15'!J12*'Anexo 5'!$D$10,0)</f>
        <v>0</v>
      </c>
      <c r="K12" s="33">
        <f>ROUND('Anexo 15'!K12*'Anexo 5'!$D$10,0)</f>
        <v>0</v>
      </c>
      <c r="L12" s="33">
        <f>ROUND('Anexo 15'!L12*'Anexo 5'!$D$10,0)</f>
        <v>0</v>
      </c>
      <c r="M12" s="33">
        <f>ROUND('Anexo 15'!M12*'Anexo 5'!$D$10,0)</f>
        <v>0</v>
      </c>
      <c r="N12" s="33">
        <f>ROUND('Anexo 15'!N12*'Anexo 5'!$D$10,0)</f>
        <v>0</v>
      </c>
      <c r="O12" s="33">
        <f>ROUND('Anexo 15'!O12*'Anexo 5'!$D$10,0)</f>
        <v>0</v>
      </c>
      <c r="P12" s="33">
        <f>ROUND('Anexo 15'!P12*'Anexo 5'!$D$10,0)</f>
        <v>0</v>
      </c>
      <c r="Q12" s="33">
        <f>ROUND('Anexo 15'!Q12*'Anexo 5'!$D$10,0)</f>
        <v>0</v>
      </c>
      <c r="R12" s="33">
        <f>ROUND('Anexo 15'!R12*'Anexo 5'!$D$10,0)</f>
        <v>0</v>
      </c>
      <c r="S12" s="33">
        <f>ROUND('Anexo 15'!S12*'Anexo 5'!$D$10,0)</f>
        <v>0</v>
      </c>
      <c r="T12" s="33">
        <f>ROUND('Anexo 15'!T12*'Anexo 5'!$D$10,0)</f>
        <v>0</v>
      </c>
      <c r="U12" s="33">
        <f>ROUND('Anexo 15'!U12*'Anexo 5'!$D$10,0)</f>
        <v>0</v>
      </c>
      <c r="V12" s="33">
        <f>ROUND('Anexo 15'!V12*'Anexo 5'!$D$10,0)</f>
        <v>0</v>
      </c>
      <c r="W12" s="33">
        <f>ROUND('Anexo 15'!W12*'Anexo 5'!$D$10,0)</f>
        <v>0</v>
      </c>
      <c r="X12" s="33">
        <f>ROUND('Anexo 15'!X12*'Anexo 5'!$D$10,0)</f>
        <v>0</v>
      </c>
      <c r="Y12" s="33">
        <f>ROUND('Anexo 15'!Y12*'Anexo 5'!$D$10,0)</f>
        <v>0</v>
      </c>
      <c r="Z12" s="33">
        <f>ROUND('Anexo 15'!Z12*'Anexo 5'!$D$10,0)</f>
        <v>0</v>
      </c>
      <c r="AA12" s="35">
        <f t="shared" si="0"/>
        <v>0</v>
      </c>
      <c r="AB12" s="19">
        <v>20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ROUND('Anexo 15'!C13*'Anexo 5'!$D$10,0)</f>
        <v>0</v>
      </c>
      <c r="D13" s="33">
        <f>ROUND('Anexo 15'!D13*'Anexo 5'!$D$10,0)</f>
        <v>0</v>
      </c>
      <c r="E13" s="33">
        <f>ROUND('Anexo 15'!E13*'Anexo 5'!$D$10,0)</f>
        <v>0</v>
      </c>
      <c r="F13" s="33">
        <f>ROUND('Anexo 15'!F13*'Anexo 5'!$D$10,0)</f>
        <v>0</v>
      </c>
      <c r="G13" s="33">
        <f>ROUND('Anexo 15'!G13*'Anexo 5'!$D$10,0)</f>
        <v>0</v>
      </c>
      <c r="H13" s="33">
        <f>ROUND('Anexo 15'!H13*'Anexo 5'!$D$10,0)</f>
        <v>0</v>
      </c>
      <c r="I13" s="33">
        <f>ROUND('Anexo 15'!I13*'Anexo 5'!$D$10,0)</f>
        <v>0</v>
      </c>
      <c r="J13" s="33">
        <f>ROUND('Anexo 15'!J13*'Anexo 5'!$D$10,0)</f>
        <v>0</v>
      </c>
      <c r="K13" s="33">
        <f>ROUND('Anexo 15'!K13*'Anexo 5'!$D$10,0)</f>
        <v>0</v>
      </c>
      <c r="L13" s="33">
        <f>ROUND('Anexo 15'!L13*'Anexo 5'!$D$10,0)</f>
        <v>0</v>
      </c>
      <c r="M13" s="33">
        <f>ROUND('Anexo 15'!M13*'Anexo 5'!$D$10,0)</f>
        <v>0</v>
      </c>
      <c r="N13" s="33">
        <f>ROUND('Anexo 15'!N13*'Anexo 5'!$D$10,0)</f>
        <v>0</v>
      </c>
      <c r="O13" s="33">
        <f>ROUND('Anexo 15'!O13*'Anexo 5'!$D$10,0)</f>
        <v>0</v>
      </c>
      <c r="P13" s="33">
        <f>ROUND('Anexo 15'!P13*'Anexo 5'!$D$10,0)</f>
        <v>0</v>
      </c>
      <c r="Q13" s="33">
        <f>ROUND('Anexo 15'!Q13*'Anexo 5'!$D$10,0)</f>
        <v>0</v>
      </c>
      <c r="R13" s="33">
        <f>ROUND('Anexo 15'!R13*'Anexo 5'!$D$10,0)</f>
        <v>0</v>
      </c>
      <c r="S13" s="33">
        <f>ROUND('Anexo 15'!S13*'Anexo 5'!$D$10,0)</f>
        <v>0</v>
      </c>
      <c r="T13" s="33">
        <f>ROUND('Anexo 15'!T13*'Anexo 5'!$D$10,0)</f>
        <v>0</v>
      </c>
      <c r="U13" s="33">
        <f>ROUND('Anexo 15'!U13*'Anexo 5'!$D$10,0)</f>
        <v>0</v>
      </c>
      <c r="V13" s="33">
        <f>ROUND('Anexo 15'!V13*'Anexo 5'!$D$10,0)</f>
        <v>0</v>
      </c>
      <c r="W13" s="33">
        <f>ROUND('Anexo 15'!W13*'Anexo 5'!$D$10,0)</f>
        <v>0</v>
      </c>
      <c r="X13" s="33">
        <f>ROUND('Anexo 15'!X13*'Anexo 5'!$D$10,0)</f>
        <v>0</v>
      </c>
      <c r="Y13" s="33">
        <f>ROUND('Anexo 15'!Y13*'Anexo 5'!$D$10,0)</f>
        <v>0</v>
      </c>
      <c r="Z13" s="33">
        <f>ROUND('Anexo 15'!Z13*'Anexo 5'!$D$10,0)</f>
        <v>0</v>
      </c>
      <c r="AA13" s="38">
        <f t="shared" si="0"/>
        <v>0</v>
      </c>
      <c r="AB13" s="21">
        <v>5</v>
      </c>
      <c r="AC13" s="95"/>
      <c r="AD13" s="47"/>
    </row>
    <row r="14" spans="1:30" ht="15.75" thickBot="1" x14ac:dyDescent="0.3">
      <c r="A14" s="93"/>
      <c r="B14" s="22" t="s">
        <v>3</v>
      </c>
      <c r="C14" s="33">
        <f>ROUND('Anexo 15'!C14*'Anexo 5'!$D$10,0)</f>
        <v>0</v>
      </c>
      <c r="D14" s="33">
        <f>ROUND('Anexo 15'!D14*'Anexo 5'!$D$10,0)</f>
        <v>0</v>
      </c>
      <c r="E14" s="33">
        <f>ROUND('Anexo 15'!E14*'Anexo 5'!$D$10,0)</f>
        <v>0</v>
      </c>
      <c r="F14" s="33">
        <f>ROUND('Anexo 15'!F14*'Anexo 5'!$D$10,0)</f>
        <v>0</v>
      </c>
      <c r="G14" s="33">
        <f>ROUND('Anexo 15'!G14*'Anexo 5'!$D$10,0)</f>
        <v>0</v>
      </c>
      <c r="H14" s="33">
        <f>ROUND('Anexo 15'!H14*'Anexo 5'!$D$10,0)</f>
        <v>0</v>
      </c>
      <c r="I14" s="33">
        <f>ROUND('Anexo 15'!I14*'Anexo 5'!$D$10,0)</f>
        <v>0</v>
      </c>
      <c r="J14" s="33">
        <f>ROUND('Anexo 15'!J14*'Anexo 5'!$D$10,0)</f>
        <v>0</v>
      </c>
      <c r="K14" s="33">
        <f>ROUND('Anexo 15'!K14*'Anexo 5'!$D$10,0)</f>
        <v>0</v>
      </c>
      <c r="L14" s="33">
        <f>ROUND('Anexo 15'!L14*'Anexo 5'!$D$10,0)</f>
        <v>0</v>
      </c>
      <c r="M14" s="33">
        <f>ROUND('Anexo 15'!M14*'Anexo 5'!$D$10,0)</f>
        <v>0</v>
      </c>
      <c r="N14" s="33">
        <f>ROUND('Anexo 15'!N14*'Anexo 5'!$D$10,0)</f>
        <v>0</v>
      </c>
      <c r="O14" s="33">
        <f>ROUND('Anexo 15'!O14*'Anexo 5'!$D$10,0)</f>
        <v>0</v>
      </c>
      <c r="P14" s="33">
        <f>ROUND('Anexo 15'!P14*'Anexo 5'!$D$10,0)</f>
        <v>0</v>
      </c>
      <c r="Q14" s="33">
        <f>ROUND('Anexo 15'!Q14*'Anexo 5'!$D$10,0)</f>
        <v>0</v>
      </c>
      <c r="R14" s="33">
        <f>ROUND('Anexo 15'!R14*'Anexo 5'!$D$10,0)</f>
        <v>0</v>
      </c>
      <c r="S14" s="33">
        <f>ROUND('Anexo 15'!S14*'Anexo 5'!$D$10,0)</f>
        <v>0</v>
      </c>
      <c r="T14" s="33">
        <f>ROUND('Anexo 15'!T14*'Anexo 5'!$D$10,0)</f>
        <v>0</v>
      </c>
      <c r="U14" s="33">
        <f>ROUND('Anexo 15'!U14*'Anexo 5'!$D$10,0)</f>
        <v>0</v>
      </c>
      <c r="V14" s="33">
        <f>ROUND('Anexo 15'!V14*'Anexo 5'!$D$10,0)</f>
        <v>0</v>
      </c>
      <c r="W14" s="33">
        <f>ROUND('Anexo 15'!W14*'Anexo 5'!$D$10,0)</f>
        <v>0</v>
      </c>
      <c r="X14" s="33">
        <f>ROUND('Anexo 15'!X14*'Anexo 5'!$D$10,0)</f>
        <v>0</v>
      </c>
      <c r="Y14" s="33">
        <f>ROUND('Anexo 15'!Y14*'Anexo 5'!$D$10,0)</f>
        <v>0</v>
      </c>
      <c r="Z14" s="33">
        <f>ROUND('Anexo 15'!Z14*'Anexo 5'!$D$10,0)</f>
        <v>0</v>
      </c>
      <c r="AA14" s="41">
        <f t="shared" si="0"/>
        <v>0</v>
      </c>
      <c r="AB14" s="23">
        <v>6</v>
      </c>
      <c r="AC14" s="96"/>
      <c r="AD14" s="45"/>
    </row>
    <row r="15" spans="1:30" ht="15.75" thickBot="1" x14ac:dyDescent="0.3">
      <c r="A15" s="93">
        <v>47574</v>
      </c>
      <c r="B15" s="18" t="s">
        <v>5</v>
      </c>
      <c r="C15" s="33">
        <f>ROUND('Anexo 15'!C15*'Anexo 5'!$D$10,0)</f>
        <v>0</v>
      </c>
      <c r="D15" s="33">
        <f>ROUND('Anexo 15'!D15*'Anexo 5'!$D$10,0)</f>
        <v>0</v>
      </c>
      <c r="E15" s="33">
        <f>ROUND('Anexo 15'!E15*'Anexo 5'!$D$10,0)</f>
        <v>0</v>
      </c>
      <c r="F15" s="33">
        <f>ROUND('Anexo 15'!F15*'Anexo 5'!$D$10,0)</f>
        <v>0</v>
      </c>
      <c r="G15" s="33">
        <f>ROUND('Anexo 15'!G15*'Anexo 5'!$D$10,0)</f>
        <v>0</v>
      </c>
      <c r="H15" s="33">
        <f>ROUND('Anexo 15'!H15*'Anexo 5'!$D$10,0)</f>
        <v>0</v>
      </c>
      <c r="I15" s="33">
        <f>ROUND('Anexo 15'!I15*'Anexo 5'!$D$10,0)</f>
        <v>0</v>
      </c>
      <c r="J15" s="33">
        <f>ROUND('Anexo 15'!J15*'Anexo 5'!$D$10,0)</f>
        <v>0</v>
      </c>
      <c r="K15" s="33">
        <f>ROUND('Anexo 15'!K15*'Anexo 5'!$D$10,0)</f>
        <v>0</v>
      </c>
      <c r="L15" s="33">
        <f>ROUND('Anexo 15'!L15*'Anexo 5'!$D$10,0)</f>
        <v>0</v>
      </c>
      <c r="M15" s="33">
        <f>ROUND('Anexo 15'!M15*'Anexo 5'!$D$10,0)</f>
        <v>0</v>
      </c>
      <c r="N15" s="33">
        <f>ROUND('Anexo 15'!N15*'Anexo 5'!$D$10,0)</f>
        <v>0</v>
      </c>
      <c r="O15" s="33">
        <f>ROUND('Anexo 15'!O15*'Anexo 5'!$D$10,0)</f>
        <v>0</v>
      </c>
      <c r="P15" s="33">
        <f>ROUND('Anexo 15'!P15*'Anexo 5'!$D$10,0)</f>
        <v>0</v>
      </c>
      <c r="Q15" s="33">
        <f>ROUND('Anexo 15'!Q15*'Anexo 5'!$D$10,0)</f>
        <v>0</v>
      </c>
      <c r="R15" s="33">
        <f>ROUND('Anexo 15'!R15*'Anexo 5'!$D$10,0)</f>
        <v>0</v>
      </c>
      <c r="S15" s="33">
        <f>ROUND('Anexo 15'!S15*'Anexo 5'!$D$10,0)</f>
        <v>0</v>
      </c>
      <c r="T15" s="33">
        <f>ROUND('Anexo 15'!T15*'Anexo 5'!$D$10,0)</f>
        <v>0</v>
      </c>
      <c r="U15" s="33">
        <f>ROUND('Anexo 15'!U15*'Anexo 5'!$D$10,0)</f>
        <v>0</v>
      </c>
      <c r="V15" s="33">
        <f>ROUND('Anexo 15'!V15*'Anexo 5'!$D$10,0)</f>
        <v>0</v>
      </c>
      <c r="W15" s="33">
        <f>ROUND('Anexo 15'!W15*'Anexo 5'!$D$10,0)</f>
        <v>0</v>
      </c>
      <c r="X15" s="33">
        <f>ROUND('Anexo 15'!X15*'Anexo 5'!$D$10,0)</f>
        <v>0</v>
      </c>
      <c r="Y15" s="33">
        <f>ROUND('Anexo 15'!Y15*'Anexo 5'!$D$10,0)</f>
        <v>0</v>
      </c>
      <c r="Z15" s="33">
        <f>ROUND('Anexo 15'!Z15*'Anexo 5'!$D$10,0)</f>
        <v>0</v>
      </c>
      <c r="AA15" s="35">
        <f t="shared" si="0"/>
        <v>0</v>
      </c>
      <c r="AB15" s="19">
        <v>20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ROUND('Anexo 15'!C16*'Anexo 5'!$D$10,0)</f>
        <v>0</v>
      </c>
      <c r="D16" s="33">
        <f>ROUND('Anexo 15'!D16*'Anexo 5'!$D$10,0)</f>
        <v>0</v>
      </c>
      <c r="E16" s="33">
        <f>ROUND('Anexo 15'!E16*'Anexo 5'!$D$10,0)</f>
        <v>0</v>
      </c>
      <c r="F16" s="33">
        <f>ROUND('Anexo 15'!F16*'Anexo 5'!$D$10,0)</f>
        <v>0</v>
      </c>
      <c r="G16" s="33">
        <f>ROUND('Anexo 15'!G16*'Anexo 5'!$D$10,0)</f>
        <v>0</v>
      </c>
      <c r="H16" s="33">
        <f>ROUND('Anexo 15'!H16*'Anexo 5'!$D$10,0)</f>
        <v>0</v>
      </c>
      <c r="I16" s="33">
        <f>ROUND('Anexo 15'!I16*'Anexo 5'!$D$10,0)</f>
        <v>0</v>
      </c>
      <c r="J16" s="33">
        <f>ROUND('Anexo 15'!J16*'Anexo 5'!$D$10,0)</f>
        <v>0</v>
      </c>
      <c r="K16" s="33">
        <f>ROUND('Anexo 15'!K16*'Anexo 5'!$D$10,0)</f>
        <v>0</v>
      </c>
      <c r="L16" s="33">
        <f>ROUND('Anexo 15'!L16*'Anexo 5'!$D$10,0)</f>
        <v>0</v>
      </c>
      <c r="M16" s="33">
        <f>ROUND('Anexo 15'!M16*'Anexo 5'!$D$10,0)</f>
        <v>0</v>
      </c>
      <c r="N16" s="33">
        <f>ROUND('Anexo 15'!N16*'Anexo 5'!$D$10,0)</f>
        <v>0</v>
      </c>
      <c r="O16" s="33">
        <f>ROUND('Anexo 15'!O16*'Anexo 5'!$D$10,0)</f>
        <v>0</v>
      </c>
      <c r="P16" s="33">
        <f>ROUND('Anexo 15'!P16*'Anexo 5'!$D$10,0)</f>
        <v>0</v>
      </c>
      <c r="Q16" s="33">
        <f>ROUND('Anexo 15'!Q16*'Anexo 5'!$D$10,0)</f>
        <v>0</v>
      </c>
      <c r="R16" s="33">
        <f>ROUND('Anexo 15'!R16*'Anexo 5'!$D$10,0)</f>
        <v>0</v>
      </c>
      <c r="S16" s="33">
        <f>ROUND('Anexo 15'!S16*'Anexo 5'!$D$10,0)</f>
        <v>0</v>
      </c>
      <c r="T16" s="33">
        <f>ROUND('Anexo 15'!T16*'Anexo 5'!$D$10,0)</f>
        <v>0</v>
      </c>
      <c r="U16" s="33">
        <f>ROUND('Anexo 15'!U16*'Anexo 5'!$D$10,0)</f>
        <v>0</v>
      </c>
      <c r="V16" s="33">
        <f>ROUND('Anexo 15'!V16*'Anexo 5'!$D$10,0)</f>
        <v>0</v>
      </c>
      <c r="W16" s="33">
        <f>ROUND('Anexo 15'!W16*'Anexo 5'!$D$10,0)</f>
        <v>0</v>
      </c>
      <c r="X16" s="33">
        <f>ROUND('Anexo 15'!X16*'Anexo 5'!$D$10,0)</f>
        <v>0</v>
      </c>
      <c r="Y16" s="33">
        <f>ROUND('Anexo 15'!Y16*'Anexo 5'!$D$10,0)</f>
        <v>0</v>
      </c>
      <c r="Z16" s="33">
        <f>ROUND('Anexo 15'!Z16*'Anexo 5'!$D$10,0)</f>
        <v>0</v>
      </c>
      <c r="AA16" s="38">
        <f t="shared" si="0"/>
        <v>0</v>
      </c>
      <c r="AB16" s="21">
        <v>4</v>
      </c>
      <c r="AC16" s="95"/>
      <c r="AD16" s="47"/>
    </row>
    <row r="17" spans="1:30" ht="15.75" thickBot="1" x14ac:dyDescent="0.3">
      <c r="A17" s="93"/>
      <c r="B17" s="22" t="s">
        <v>3</v>
      </c>
      <c r="C17" s="33">
        <f>ROUND('Anexo 15'!C17*'Anexo 5'!$D$10,0)</f>
        <v>0</v>
      </c>
      <c r="D17" s="33">
        <f>ROUND('Anexo 15'!D17*'Anexo 5'!$D$10,0)</f>
        <v>0</v>
      </c>
      <c r="E17" s="33">
        <f>ROUND('Anexo 15'!E17*'Anexo 5'!$D$10,0)</f>
        <v>0</v>
      </c>
      <c r="F17" s="33">
        <f>ROUND('Anexo 15'!F17*'Anexo 5'!$D$10,0)</f>
        <v>0</v>
      </c>
      <c r="G17" s="33">
        <f>ROUND('Anexo 15'!G17*'Anexo 5'!$D$10,0)</f>
        <v>0</v>
      </c>
      <c r="H17" s="33">
        <f>ROUND('Anexo 15'!H17*'Anexo 5'!$D$10,0)</f>
        <v>0</v>
      </c>
      <c r="I17" s="33">
        <f>ROUND('Anexo 15'!I17*'Anexo 5'!$D$10,0)</f>
        <v>0</v>
      </c>
      <c r="J17" s="33">
        <f>ROUND('Anexo 15'!J17*'Anexo 5'!$D$10,0)</f>
        <v>0</v>
      </c>
      <c r="K17" s="33">
        <f>ROUND('Anexo 15'!K17*'Anexo 5'!$D$10,0)</f>
        <v>0</v>
      </c>
      <c r="L17" s="33">
        <f>ROUND('Anexo 15'!L17*'Anexo 5'!$D$10,0)</f>
        <v>0</v>
      </c>
      <c r="M17" s="33">
        <f>ROUND('Anexo 15'!M17*'Anexo 5'!$D$10,0)</f>
        <v>0</v>
      </c>
      <c r="N17" s="33">
        <f>ROUND('Anexo 15'!N17*'Anexo 5'!$D$10,0)</f>
        <v>0</v>
      </c>
      <c r="O17" s="33">
        <f>ROUND('Anexo 15'!O17*'Anexo 5'!$D$10,0)</f>
        <v>0</v>
      </c>
      <c r="P17" s="33">
        <f>ROUND('Anexo 15'!P17*'Anexo 5'!$D$10,0)</f>
        <v>0</v>
      </c>
      <c r="Q17" s="33">
        <f>ROUND('Anexo 15'!Q17*'Anexo 5'!$D$10,0)</f>
        <v>0</v>
      </c>
      <c r="R17" s="33">
        <f>ROUND('Anexo 15'!R17*'Anexo 5'!$D$10,0)</f>
        <v>0</v>
      </c>
      <c r="S17" s="33">
        <f>ROUND('Anexo 15'!S17*'Anexo 5'!$D$10,0)</f>
        <v>0</v>
      </c>
      <c r="T17" s="33">
        <f>ROUND('Anexo 15'!T17*'Anexo 5'!$D$10,0)</f>
        <v>0</v>
      </c>
      <c r="U17" s="33">
        <f>ROUND('Anexo 15'!U17*'Anexo 5'!$D$10,0)</f>
        <v>0</v>
      </c>
      <c r="V17" s="33">
        <f>ROUND('Anexo 15'!V17*'Anexo 5'!$D$10,0)</f>
        <v>0</v>
      </c>
      <c r="W17" s="33">
        <f>ROUND('Anexo 15'!W17*'Anexo 5'!$D$10,0)</f>
        <v>0</v>
      </c>
      <c r="X17" s="33">
        <f>ROUND('Anexo 15'!X17*'Anexo 5'!$D$10,0)</f>
        <v>0</v>
      </c>
      <c r="Y17" s="33">
        <f>ROUND('Anexo 15'!Y17*'Anexo 5'!$D$10,0)</f>
        <v>0</v>
      </c>
      <c r="Z17" s="33">
        <f>ROUND('Anexo 15'!Z17*'Anexo 5'!$D$10,0)</f>
        <v>0</v>
      </c>
      <c r="AA17" s="41">
        <f t="shared" si="0"/>
        <v>0</v>
      </c>
      <c r="AB17" s="23">
        <v>6</v>
      </c>
      <c r="AC17" s="96"/>
      <c r="AD17" s="48"/>
    </row>
    <row r="18" spans="1:30" ht="15.75" thickBot="1" x14ac:dyDescent="0.3">
      <c r="A18" s="93">
        <v>47604</v>
      </c>
      <c r="B18" s="18" t="s">
        <v>5</v>
      </c>
      <c r="C18" s="33">
        <f>ROUND('Anexo 15'!C18*'Anexo 5'!$D$10,0)</f>
        <v>0</v>
      </c>
      <c r="D18" s="33">
        <f>ROUND('Anexo 15'!D18*'Anexo 5'!$D$10,0)</f>
        <v>0</v>
      </c>
      <c r="E18" s="33">
        <f>ROUND('Anexo 15'!E18*'Anexo 5'!$D$10,0)</f>
        <v>0</v>
      </c>
      <c r="F18" s="33">
        <f>ROUND('Anexo 15'!F18*'Anexo 5'!$D$10,0)</f>
        <v>0</v>
      </c>
      <c r="G18" s="33">
        <f>ROUND('Anexo 15'!G18*'Anexo 5'!$D$10,0)</f>
        <v>0</v>
      </c>
      <c r="H18" s="33">
        <f>ROUND('Anexo 15'!H18*'Anexo 5'!$D$10,0)</f>
        <v>0</v>
      </c>
      <c r="I18" s="33">
        <f>ROUND('Anexo 15'!I18*'Anexo 5'!$D$10,0)</f>
        <v>0</v>
      </c>
      <c r="J18" s="33">
        <f>ROUND('Anexo 15'!J18*'Anexo 5'!$D$10,0)</f>
        <v>0</v>
      </c>
      <c r="K18" s="33">
        <f>ROUND('Anexo 15'!K18*'Anexo 5'!$D$10,0)</f>
        <v>0</v>
      </c>
      <c r="L18" s="33">
        <f>ROUND('Anexo 15'!L18*'Anexo 5'!$D$10,0)</f>
        <v>0</v>
      </c>
      <c r="M18" s="33">
        <f>ROUND('Anexo 15'!M18*'Anexo 5'!$D$10,0)</f>
        <v>0</v>
      </c>
      <c r="N18" s="33">
        <f>ROUND('Anexo 15'!N18*'Anexo 5'!$D$10,0)</f>
        <v>0</v>
      </c>
      <c r="O18" s="33">
        <f>ROUND('Anexo 15'!O18*'Anexo 5'!$D$10,0)</f>
        <v>0</v>
      </c>
      <c r="P18" s="33">
        <f>ROUND('Anexo 15'!P18*'Anexo 5'!$D$10,0)</f>
        <v>0</v>
      </c>
      <c r="Q18" s="33">
        <f>ROUND('Anexo 15'!Q18*'Anexo 5'!$D$10,0)</f>
        <v>0</v>
      </c>
      <c r="R18" s="33">
        <f>ROUND('Anexo 15'!R18*'Anexo 5'!$D$10,0)</f>
        <v>0</v>
      </c>
      <c r="S18" s="33">
        <f>ROUND('Anexo 15'!S18*'Anexo 5'!$D$10,0)</f>
        <v>0</v>
      </c>
      <c r="T18" s="33">
        <f>ROUND('Anexo 15'!T18*'Anexo 5'!$D$10,0)</f>
        <v>0</v>
      </c>
      <c r="U18" s="33">
        <f>ROUND('Anexo 15'!U18*'Anexo 5'!$D$10,0)</f>
        <v>0</v>
      </c>
      <c r="V18" s="33">
        <f>ROUND('Anexo 15'!V18*'Anexo 5'!$D$10,0)</f>
        <v>0</v>
      </c>
      <c r="W18" s="33">
        <f>ROUND('Anexo 15'!W18*'Anexo 5'!$D$10,0)</f>
        <v>0</v>
      </c>
      <c r="X18" s="33">
        <f>ROUND('Anexo 15'!X18*'Anexo 5'!$D$10,0)</f>
        <v>0</v>
      </c>
      <c r="Y18" s="33">
        <f>ROUND('Anexo 15'!Y18*'Anexo 5'!$D$10,0)</f>
        <v>0</v>
      </c>
      <c r="Z18" s="33">
        <f>ROUND('Anexo 15'!Z18*'Anexo 5'!$D$10,0)</f>
        <v>0</v>
      </c>
      <c r="AA18" s="35">
        <f t="shared" si="0"/>
        <v>0</v>
      </c>
      <c r="AB18" s="19">
        <v>22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ROUND('Anexo 15'!C19*'Anexo 5'!$D$10,0)</f>
        <v>0</v>
      </c>
      <c r="D19" s="33">
        <f>ROUND('Anexo 15'!D19*'Anexo 5'!$D$10,0)</f>
        <v>0</v>
      </c>
      <c r="E19" s="33">
        <f>ROUND('Anexo 15'!E19*'Anexo 5'!$D$10,0)</f>
        <v>0</v>
      </c>
      <c r="F19" s="33">
        <f>ROUND('Anexo 15'!F19*'Anexo 5'!$D$10,0)</f>
        <v>0</v>
      </c>
      <c r="G19" s="33">
        <f>ROUND('Anexo 15'!G19*'Anexo 5'!$D$10,0)</f>
        <v>0</v>
      </c>
      <c r="H19" s="33">
        <f>ROUND('Anexo 15'!H19*'Anexo 5'!$D$10,0)</f>
        <v>0</v>
      </c>
      <c r="I19" s="33">
        <f>ROUND('Anexo 15'!I19*'Anexo 5'!$D$10,0)</f>
        <v>0</v>
      </c>
      <c r="J19" s="33">
        <f>ROUND('Anexo 15'!J19*'Anexo 5'!$D$10,0)</f>
        <v>0</v>
      </c>
      <c r="K19" s="33">
        <f>ROUND('Anexo 15'!K19*'Anexo 5'!$D$10,0)</f>
        <v>0</v>
      </c>
      <c r="L19" s="33">
        <f>ROUND('Anexo 15'!L19*'Anexo 5'!$D$10,0)</f>
        <v>0</v>
      </c>
      <c r="M19" s="33">
        <f>ROUND('Anexo 15'!M19*'Anexo 5'!$D$10,0)</f>
        <v>0</v>
      </c>
      <c r="N19" s="33">
        <f>ROUND('Anexo 15'!N19*'Anexo 5'!$D$10,0)</f>
        <v>0</v>
      </c>
      <c r="O19" s="33">
        <f>ROUND('Anexo 15'!O19*'Anexo 5'!$D$10,0)</f>
        <v>0</v>
      </c>
      <c r="P19" s="33">
        <f>ROUND('Anexo 15'!P19*'Anexo 5'!$D$10,0)</f>
        <v>0</v>
      </c>
      <c r="Q19" s="33">
        <f>ROUND('Anexo 15'!Q19*'Anexo 5'!$D$10,0)</f>
        <v>0</v>
      </c>
      <c r="R19" s="33">
        <f>ROUND('Anexo 15'!R19*'Anexo 5'!$D$10,0)</f>
        <v>0</v>
      </c>
      <c r="S19" s="33">
        <f>ROUND('Anexo 15'!S19*'Anexo 5'!$D$10,0)</f>
        <v>0</v>
      </c>
      <c r="T19" s="33">
        <f>ROUND('Anexo 15'!T19*'Anexo 5'!$D$10,0)</f>
        <v>0</v>
      </c>
      <c r="U19" s="33">
        <f>ROUND('Anexo 15'!U19*'Anexo 5'!$D$10,0)</f>
        <v>0</v>
      </c>
      <c r="V19" s="33">
        <f>ROUND('Anexo 15'!V19*'Anexo 5'!$D$10,0)</f>
        <v>0</v>
      </c>
      <c r="W19" s="33">
        <f>ROUND('Anexo 15'!W19*'Anexo 5'!$D$10,0)</f>
        <v>0</v>
      </c>
      <c r="X19" s="33">
        <f>ROUND('Anexo 15'!X19*'Anexo 5'!$D$10,0)</f>
        <v>0</v>
      </c>
      <c r="Y19" s="33">
        <f>ROUND('Anexo 15'!Y19*'Anexo 5'!$D$10,0)</f>
        <v>0</v>
      </c>
      <c r="Z19" s="33">
        <f>ROUND('Anexo 15'!Z19*'Anexo 5'!$D$10,0)</f>
        <v>0</v>
      </c>
      <c r="AA19" s="38">
        <f t="shared" si="0"/>
        <v>0</v>
      </c>
      <c r="AB19" s="21">
        <v>4</v>
      </c>
      <c r="AC19" s="95"/>
      <c r="AD19" s="47"/>
    </row>
    <row r="20" spans="1:30" ht="15.75" thickBot="1" x14ac:dyDescent="0.3">
      <c r="A20" s="93"/>
      <c r="B20" s="22" t="s">
        <v>3</v>
      </c>
      <c r="C20" s="33">
        <f>ROUND('Anexo 15'!C20*'Anexo 5'!$D$10,0)</f>
        <v>0</v>
      </c>
      <c r="D20" s="33">
        <f>ROUND('Anexo 15'!D20*'Anexo 5'!$D$10,0)</f>
        <v>0</v>
      </c>
      <c r="E20" s="33">
        <f>ROUND('Anexo 15'!E20*'Anexo 5'!$D$10,0)</f>
        <v>0</v>
      </c>
      <c r="F20" s="33">
        <f>ROUND('Anexo 15'!F20*'Anexo 5'!$D$10,0)</f>
        <v>0</v>
      </c>
      <c r="G20" s="33">
        <f>ROUND('Anexo 15'!G20*'Anexo 5'!$D$10,0)</f>
        <v>0</v>
      </c>
      <c r="H20" s="33">
        <f>ROUND('Anexo 15'!H20*'Anexo 5'!$D$10,0)</f>
        <v>0</v>
      </c>
      <c r="I20" s="33">
        <f>ROUND('Anexo 15'!I20*'Anexo 5'!$D$10,0)</f>
        <v>0</v>
      </c>
      <c r="J20" s="33">
        <f>ROUND('Anexo 15'!J20*'Anexo 5'!$D$10,0)</f>
        <v>0</v>
      </c>
      <c r="K20" s="33">
        <f>ROUND('Anexo 15'!K20*'Anexo 5'!$D$10,0)</f>
        <v>0</v>
      </c>
      <c r="L20" s="33">
        <f>ROUND('Anexo 15'!L20*'Anexo 5'!$D$10,0)</f>
        <v>0</v>
      </c>
      <c r="M20" s="33">
        <f>ROUND('Anexo 15'!M20*'Anexo 5'!$D$10,0)</f>
        <v>0</v>
      </c>
      <c r="N20" s="33">
        <f>ROUND('Anexo 15'!N20*'Anexo 5'!$D$10,0)</f>
        <v>0</v>
      </c>
      <c r="O20" s="33">
        <f>ROUND('Anexo 15'!O20*'Anexo 5'!$D$10,0)</f>
        <v>0</v>
      </c>
      <c r="P20" s="33">
        <f>ROUND('Anexo 15'!P20*'Anexo 5'!$D$10,0)</f>
        <v>0</v>
      </c>
      <c r="Q20" s="33">
        <f>ROUND('Anexo 15'!Q20*'Anexo 5'!$D$10,0)</f>
        <v>0</v>
      </c>
      <c r="R20" s="33">
        <f>ROUND('Anexo 15'!R20*'Anexo 5'!$D$10,0)</f>
        <v>0</v>
      </c>
      <c r="S20" s="33">
        <f>ROUND('Anexo 15'!S20*'Anexo 5'!$D$10,0)</f>
        <v>0</v>
      </c>
      <c r="T20" s="33">
        <f>ROUND('Anexo 15'!T20*'Anexo 5'!$D$10,0)</f>
        <v>0</v>
      </c>
      <c r="U20" s="33">
        <f>ROUND('Anexo 15'!U20*'Anexo 5'!$D$10,0)</f>
        <v>0</v>
      </c>
      <c r="V20" s="33">
        <f>ROUND('Anexo 15'!V20*'Anexo 5'!$D$10,0)</f>
        <v>0</v>
      </c>
      <c r="W20" s="33">
        <f>ROUND('Anexo 15'!W20*'Anexo 5'!$D$10,0)</f>
        <v>0</v>
      </c>
      <c r="X20" s="33">
        <f>ROUND('Anexo 15'!X20*'Anexo 5'!$D$10,0)</f>
        <v>0</v>
      </c>
      <c r="Y20" s="33">
        <f>ROUND('Anexo 15'!Y20*'Anexo 5'!$D$10,0)</f>
        <v>0</v>
      </c>
      <c r="Z20" s="33">
        <f>ROUND('Anexo 15'!Z20*'Anexo 5'!$D$10,0)</f>
        <v>0</v>
      </c>
      <c r="AA20" s="41">
        <f t="shared" si="0"/>
        <v>0</v>
      </c>
      <c r="AB20" s="23">
        <v>5</v>
      </c>
      <c r="AC20" s="96"/>
      <c r="AD20" s="48"/>
    </row>
    <row r="21" spans="1:30" ht="15.75" thickBot="1" x14ac:dyDescent="0.3">
      <c r="A21" s="93">
        <v>47635</v>
      </c>
      <c r="B21" s="18" t="s">
        <v>5</v>
      </c>
      <c r="C21" s="33">
        <f>ROUND('Anexo 15'!C21*'Anexo 5'!$D$10,0)</f>
        <v>0</v>
      </c>
      <c r="D21" s="33">
        <f>ROUND('Anexo 15'!D21*'Anexo 5'!$D$10,0)</f>
        <v>0</v>
      </c>
      <c r="E21" s="33">
        <f>ROUND('Anexo 15'!E21*'Anexo 5'!$D$10,0)</f>
        <v>0</v>
      </c>
      <c r="F21" s="33">
        <f>ROUND('Anexo 15'!F21*'Anexo 5'!$D$10,0)</f>
        <v>0</v>
      </c>
      <c r="G21" s="33">
        <f>ROUND('Anexo 15'!G21*'Anexo 5'!$D$10,0)</f>
        <v>0</v>
      </c>
      <c r="H21" s="33">
        <f>ROUND('Anexo 15'!H21*'Anexo 5'!$D$10,0)</f>
        <v>0</v>
      </c>
      <c r="I21" s="33">
        <f>ROUND('Anexo 15'!I21*'Anexo 5'!$D$10,0)</f>
        <v>0</v>
      </c>
      <c r="J21" s="33">
        <f>ROUND('Anexo 15'!J21*'Anexo 5'!$D$10,0)</f>
        <v>0</v>
      </c>
      <c r="K21" s="33">
        <f>ROUND('Anexo 15'!K21*'Anexo 5'!$D$10,0)</f>
        <v>0</v>
      </c>
      <c r="L21" s="33">
        <f>ROUND('Anexo 15'!L21*'Anexo 5'!$D$10,0)</f>
        <v>0</v>
      </c>
      <c r="M21" s="33">
        <f>ROUND('Anexo 15'!M21*'Anexo 5'!$D$10,0)</f>
        <v>0</v>
      </c>
      <c r="N21" s="33">
        <f>ROUND('Anexo 15'!N21*'Anexo 5'!$D$10,0)</f>
        <v>0</v>
      </c>
      <c r="O21" s="33">
        <f>ROUND('Anexo 15'!O21*'Anexo 5'!$D$10,0)</f>
        <v>0</v>
      </c>
      <c r="P21" s="33">
        <f>ROUND('Anexo 15'!P21*'Anexo 5'!$D$10,0)</f>
        <v>0</v>
      </c>
      <c r="Q21" s="33">
        <f>ROUND('Anexo 15'!Q21*'Anexo 5'!$D$10,0)</f>
        <v>0</v>
      </c>
      <c r="R21" s="33">
        <f>ROUND('Anexo 15'!R21*'Anexo 5'!$D$10,0)</f>
        <v>0</v>
      </c>
      <c r="S21" s="33">
        <f>ROUND('Anexo 15'!S21*'Anexo 5'!$D$10,0)</f>
        <v>0</v>
      </c>
      <c r="T21" s="33">
        <f>ROUND('Anexo 15'!T21*'Anexo 5'!$D$10,0)</f>
        <v>0</v>
      </c>
      <c r="U21" s="33">
        <f>ROUND('Anexo 15'!U21*'Anexo 5'!$D$10,0)</f>
        <v>0</v>
      </c>
      <c r="V21" s="33">
        <f>ROUND('Anexo 15'!V21*'Anexo 5'!$D$10,0)</f>
        <v>0</v>
      </c>
      <c r="W21" s="33">
        <f>ROUND('Anexo 15'!W21*'Anexo 5'!$D$10,0)</f>
        <v>0</v>
      </c>
      <c r="X21" s="33">
        <f>ROUND('Anexo 15'!X21*'Anexo 5'!$D$10,0)</f>
        <v>0</v>
      </c>
      <c r="Y21" s="33">
        <f>ROUND('Anexo 15'!Y21*'Anexo 5'!$D$10,0)</f>
        <v>0</v>
      </c>
      <c r="Z21" s="33">
        <f>ROUND('Anexo 15'!Z21*'Anexo 5'!$D$10,0)</f>
        <v>0</v>
      </c>
      <c r="AA21" s="35">
        <f t="shared" si="0"/>
        <v>0</v>
      </c>
      <c r="AB21" s="19">
        <v>18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ROUND('Anexo 15'!C22*'Anexo 5'!$D$10,0)</f>
        <v>0</v>
      </c>
      <c r="D22" s="33">
        <f>ROUND('Anexo 15'!D22*'Anexo 5'!$D$10,0)</f>
        <v>0</v>
      </c>
      <c r="E22" s="33">
        <f>ROUND('Anexo 15'!E22*'Anexo 5'!$D$10,0)</f>
        <v>0</v>
      </c>
      <c r="F22" s="33">
        <f>ROUND('Anexo 15'!F22*'Anexo 5'!$D$10,0)</f>
        <v>0</v>
      </c>
      <c r="G22" s="33">
        <f>ROUND('Anexo 15'!G22*'Anexo 5'!$D$10,0)</f>
        <v>0</v>
      </c>
      <c r="H22" s="33">
        <f>ROUND('Anexo 15'!H22*'Anexo 5'!$D$10,0)</f>
        <v>0</v>
      </c>
      <c r="I22" s="33">
        <f>ROUND('Anexo 15'!I22*'Anexo 5'!$D$10,0)</f>
        <v>0</v>
      </c>
      <c r="J22" s="33">
        <f>ROUND('Anexo 15'!J22*'Anexo 5'!$D$10,0)</f>
        <v>0</v>
      </c>
      <c r="K22" s="33">
        <f>ROUND('Anexo 15'!K22*'Anexo 5'!$D$10,0)</f>
        <v>0</v>
      </c>
      <c r="L22" s="33">
        <f>ROUND('Anexo 15'!L22*'Anexo 5'!$D$10,0)</f>
        <v>0</v>
      </c>
      <c r="M22" s="33">
        <f>ROUND('Anexo 15'!M22*'Anexo 5'!$D$10,0)</f>
        <v>0</v>
      </c>
      <c r="N22" s="33">
        <f>ROUND('Anexo 15'!N22*'Anexo 5'!$D$10,0)</f>
        <v>0</v>
      </c>
      <c r="O22" s="33">
        <f>ROUND('Anexo 15'!O22*'Anexo 5'!$D$10,0)</f>
        <v>0</v>
      </c>
      <c r="P22" s="33">
        <f>ROUND('Anexo 15'!P22*'Anexo 5'!$D$10,0)</f>
        <v>0</v>
      </c>
      <c r="Q22" s="33">
        <f>ROUND('Anexo 15'!Q22*'Anexo 5'!$D$10,0)</f>
        <v>0</v>
      </c>
      <c r="R22" s="33">
        <f>ROUND('Anexo 15'!R22*'Anexo 5'!$D$10,0)</f>
        <v>0</v>
      </c>
      <c r="S22" s="33">
        <f>ROUND('Anexo 15'!S22*'Anexo 5'!$D$10,0)</f>
        <v>0</v>
      </c>
      <c r="T22" s="33">
        <f>ROUND('Anexo 15'!T22*'Anexo 5'!$D$10,0)</f>
        <v>0</v>
      </c>
      <c r="U22" s="33">
        <f>ROUND('Anexo 15'!U22*'Anexo 5'!$D$10,0)</f>
        <v>0</v>
      </c>
      <c r="V22" s="33">
        <f>ROUND('Anexo 15'!V22*'Anexo 5'!$D$10,0)</f>
        <v>0</v>
      </c>
      <c r="W22" s="33">
        <f>ROUND('Anexo 15'!W22*'Anexo 5'!$D$10,0)</f>
        <v>0</v>
      </c>
      <c r="X22" s="33">
        <f>ROUND('Anexo 15'!X22*'Anexo 5'!$D$10,0)</f>
        <v>0</v>
      </c>
      <c r="Y22" s="33">
        <f>ROUND('Anexo 15'!Y22*'Anexo 5'!$D$10,0)</f>
        <v>0</v>
      </c>
      <c r="Z22" s="33">
        <f>ROUND('Anexo 15'!Z22*'Anexo 5'!$D$10,0)</f>
        <v>0</v>
      </c>
      <c r="AA22" s="38">
        <f t="shared" si="0"/>
        <v>0</v>
      </c>
      <c r="AB22" s="21">
        <v>5</v>
      </c>
      <c r="AC22" s="95"/>
      <c r="AD22" s="47"/>
    </row>
    <row r="23" spans="1:30" ht="15.75" thickBot="1" x14ac:dyDescent="0.3">
      <c r="A23" s="93"/>
      <c r="B23" s="22" t="s">
        <v>3</v>
      </c>
      <c r="C23" s="33">
        <f>ROUND('Anexo 15'!C23*'Anexo 5'!$D$10,0)</f>
        <v>0</v>
      </c>
      <c r="D23" s="33">
        <f>ROUND('Anexo 15'!D23*'Anexo 5'!$D$10,0)</f>
        <v>0</v>
      </c>
      <c r="E23" s="33">
        <f>ROUND('Anexo 15'!E23*'Anexo 5'!$D$10,0)</f>
        <v>0</v>
      </c>
      <c r="F23" s="33">
        <f>ROUND('Anexo 15'!F23*'Anexo 5'!$D$10,0)</f>
        <v>0</v>
      </c>
      <c r="G23" s="33">
        <f>ROUND('Anexo 15'!G23*'Anexo 5'!$D$10,0)</f>
        <v>0</v>
      </c>
      <c r="H23" s="33">
        <f>ROUND('Anexo 15'!H23*'Anexo 5'!$D$10,0)</f>
        <v>0</v>
      </c>
      <c r="I23" s="33">
        <f>ROUND('Anexo 15'!I23*'Anexo 5'!$D$10,0)</f>
        <v>0</v>
      </c>
      <c r="J23" s="33">
        <f>ROUND('Anexo 15'!J23*'Anexo 5'!$D$10,0)</f>
        <v>0</v>
      </c>
      <c r="K23" s="33">
        <f>ROUND('Anexo 15'!K23*'Anexo 5'!$D$10,0)</f>
        <v>0</v>
      </c>
      <c r="L23" s="33">
        <f>ROUND('Anexo 15'!L23*'Anexo 5'!$D$10,0)</f>
        <v>0</v>
      </c>
      <c r="M23" s="33">
        <f>ROUND('Anexo 15'!M23*'Anexo 5'!$D$10,0)</f>
        <v>0</v>
      </c>
      <c r="N23" s="33">
        <f>ROUND('Anexo 15'!N23*'Anexo 5'!$D$10,0)</f>
        <v>0</v>
      </c>
      <c r="O23" s="33">
        <f>ROUND('Anexo 15'!O23*'Anexo 5'!$D$10,0)</f>
        <v>0</v>
      </c>
      <c r="P23" s="33">
        <f>ROUND('Anexo 15'!P23*'Anexo 5'!$D$10,0)</f>
        <v>0</v>
      </c>
      <c r="Q23" s="33">
        <f>ROUND('Anexo 15'!Q23*'Anexo 5'!$D$10,0)</f>
        <v>0</v>
      </c>
      <c r="R23" s="33">
        <f>ROUND('Anexo 15'!R23*'Anexo 5'!$D$10,0)</f>
        <v>0</v>
      </c>
      <c r="S23" s="33">
        <f>ROUND('Anexo 15'!S23*'Anexo 5'!$D$10,0)</f>
        <v>0</v>
      </c>
      <c r="T23" s="33">
        <f>ROUND('Anexo 15'!T23*'Anexo 5'!$D$10,0)</f>
        <v>0</v>
      </c>
      <c r="U23" s="33">
        <f>ROUND('Anexo 15'!U23*'Anexo 5'!$D$10,0)</f>
        <v>0</v>
      </c>
      <c r="V23" s="33">
        <f>ROUND('Anexo 15'!V23*'Anexo 5'!$D$10,0)</f>
        <v>0</v>
      </c>
      <c r="W23" s="33">
        <f>ROUND('Anexo 15'!W23*'Anexo 5'!$D$10,0)</f>
        <v>0</v>
      </c>
      <c r="X23" s="33">
        <f>ROUND('Anexo 15'!X23*'Anexo 5'!$D$10,0)</f>
        <v>0</v>
      </c>
      <c r="Y23" s="33">
        <f>ROUND('Anexo 15'!Y23*'Anexo 5'!$D$10,0)</f>
        <v>0</v>
      </c>
      <c r="Z23" s="33">
        <f>ROUND('Anexo 15'!Z23*'Anexo 5'!$D$10,0)</f>
        <v>0</v>
      </c>
      <c r="AA23" s="41">
        <f t="shared" si="0"/>
        <v>0</v>
      </c>
      <c r="AB23" s="23">
        <v>7</v>
      </c>
      <c r="AC23" s="96"/>
      <c r="AD23" s="48"/>
    </row>
    <row r="24" spans="1:30" ht="15.75" thickBot="1" x14ac:dyDescent="0.3">
      <c r="A24" s="93">
        <v>47665</v>
      </c>
      <c r="B24" s="18" t="s">
        <v>5</v>
      </c>
      <c r="C24" s="33">
        <f>ROUND('Anexo 15'!C24*'Anexo 5'!$D$10,0)</f>
        <v>0</v>
      </c>
      <c r="D24" s="33">
        <f>ROUND('Anexo 15'!D24*'Anexo 5'!$D$10,0)</f>
        <v>0</v>
      </c>
      <c r="E24" s="33">
        <f>ROUND('Anexo 15'!E24*'Anexo 5'!$D$10,0)</f>
        <v>0</v>
      </c>
      <c r="F24" s="33">
        <f>ROUND('Anexo 15'!F24*'Anexo 5'!$D$10,0)</f>
        <v>0</v>
      </c>
      <c r="G24" s="33">
        <f>ROUND('Anexo 15'!G24*'Anexo 5'!$D$10,0)</f>
        <v>0</v>
      </c>
      <c r="H24" s="33">
        <f>ROUND('Anexo 15'!H24*'Anexo 5'!$D$10,0)</f>
        <v>0</v>
      </c>
      <c r="I24" s="33">
        <f>ROUND('Anexo 15'!I24*'Anexo 5'!$D$10,0)</f>
        <v>0</v>
      </c>
      <c r="J24" s="33">
        <f>ROUND('Anexo 15'!J24*'Anexo 5'!$D$10,0)</f>
        <v>0</v>
      </c>
      <c r="K24" s="33">
        <f>ROUND('Anexo 15'!K24*'Anexo 5'!$D$10,0)</f>
        <v>0</v>
      </c>
      <c r="L24" s="33">
        <f>ROUND('Anexo 15'!L24*'Anexo 5'!$D$10,0)</f>
        <v>0</v>
      </c>
      <c r="M24" s="33">
        <f>ROUND('Anexo 15'!M24*'Anexo 5'!$D$10,0)</f>
        <v>0</v>
      </c>
      <c r="N24" s="33">
        <f>ROUND('Anexo 15'!N24*'Anexo 5'!$D$10,0)</f>
        <v>0</v>
      </c>
      <c r="O24" s="33">
        <f>ROUND('Anexo 15'!O24*'Anexo 5'!$D$10,0)</f>
        <v>0</v>
      </c>
      <c r="P24" s="33">
        <f>ROUND('Anexo 15'!P24*'Anexo 5'!$D$10,0)</f>
        <v>0</v>
      </c>
      <c r="Q24" s="33">
        <f>ROUND('Anexo 15'!Q24*'Anexo 5'!$D$10,0)</f>
        <v>0</v>
      </c>
      <c r="R24" s="33">
        <f>ROUND('Anexo 15'!R24*'Anexo 5'!$D$10,0)</f>
        <v>0</v>
      </c>
      <c r="S24" s="33">
        <f>ROUND('Anexo 15'!S24*'Anexo 5'!$D$10,0)</f>
        <v>0</v>
      </c>
      <c r="T24" s="33">
        <f>ROUND('Anexo 15'!T24*'Anexo 5'!$D$10,0)</f>
        <v>0</v>
      </c>
      <c r="U24" s="33">
        <f>ROUND('Anexo 15'!U24*'Anexo 5'!$D$10,0)</f>
        <v>0</v>
      </c>
      <c r="V24" s="33">
        <f>ROUND('Anexo 15'!V24*'Anexo 5'!$D$10,0)</f>
        <v>0</v>
      </c>
      <c r="W24" s="33">
        <f>ROUND('Anexo 15'!W24*'Anexo 5'!$D$10,0)</f>
        <v>0</v>
      </c>
      <c r="X24" s="33">
        <f>ROUND('Anexo 15'!X24*'Anexo 5'!$D$10,0)</f>
        <v>0</v>
      </c>
      <c r="Y24" s="33">
        <f>ROUND('Anexo 15'!Y24*'Anexo 5'!$D$10,0)</f>
        <v>0</v>
      </c>
      <c r="Z24" s="33">
        <f>ROUND('Anexo 15'!Z24*'Anexo 5'!$D$10,0)</f>
        <v>0</v>
      </c>
      <c r="AA24" s="35">
        <f t="shared" si="0"/>
        <v>0</v>
      </c>
      <c r="AB24" s="19">
        <v>22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ROUND('Anexo 15'!C25*'Anexo 5'!$D$10,0)</f>
        <v>0</v>
      </c>
      <c r="D25" s="33">
        <f>ROUND('Anexo 15'!D25*'Anexo 5'!$D$10,0)</f>
        <v>0</v>
      </c>
      <c r="E25" s="33">
        <f>ROUND('Anexo 15'!E25*'Anexo 5'!$D$10,0)</f>
        <v>0</v>
      </c>
      <c r="F25" s="33">
        <f>ROUND('Anexo 15'!F25*'Anexo 5'!$D$10,0)</f>
        <v>0</v>
      </c>
      <c r="G25" s="33">
        <f>ROUND('Anexo 15'!G25*'Anexo 5'!$D$10,0)</f>
        <v>0</v>
      </c>
      <c r="H25" s="33">
        <f>ROUND('Anexo 15'!H25*'Anexo 5'!$D$10,0)</f>
        <v>0</v>
      </c>
      <c r="I25" s="33">
        <f>ROUND('Anexo 15'!I25*'Anexo 5'!$D$10,0)</f>
        <v>0</v>
      </c>
      <c r="J25" s="33">
        <f>ROUND('Anexo 15'!J25*'Anexo 5'!$D$10,0)</f>
        <v>0</v>
      </c>
      <c r="K25" s="33">
        <f>ROUND('Anexo 15'!K25*'Anexo 5'!$D$10,0)</f>
        <v>0</v>
      </c>
      <c r="L25" s="33">
        <f>ROUND('Anexo 15'!L25*'Anexo 5'!$D$10,0)</f>
        <v>0</v>
      </c>
      <c r="M25" s="33">
        <f>ROUND('Anexo 15'!M25*'Anexo 5'!$D$10,0)</f>
        <v>0</v>
      </c>
      <c r="N25" s="33">
        <f>ROUND('Anexo 15'!N25*'Anexo 5'!$D$10,0)</f>
        <v>0</v>
      </c>
      <c r="O25" s="33">
        <f>ROUND('Anexo 15'!O25*'Anexo 5'!$D$10,0)</f>
        <v>0</v>
      </c>
      <c r="P25" s="33">
        <f>ROUND('Anexo 15'!P25*'Anexo 5'!$D$10,0)</f>
        <v>0</v>
      </c>
      <c r="Q25" s="33">
        <f>ROUND('Anexo 15'!Q25*'Anexo 5'!$D$10,0)</f>
        <v>0</v>
      </c>
      <c r="R25" s="33">
        <f>ROUND('Anexo 15'!R25*'Anexo 5'!$D$10,0)</f>
        <v>0</v>
      </c>
      <c r="S25" s="33">
        <f>ROUND('Anexo 15'!S25*'Anexo 5'!$D$10,0)</f>
        <v>0</v>
      </c>
      <c r="T25" s="33">
        <f>ROUND('Anexo 15'!T25*'Anexo 5'!$D$10,0)</f>
        <v>0</v>
      </c>
      <c r="U25" s="33">
        <f>ROUND('Anexo 15'!U25*'Anexo 5'!$D$10,0)</f>
        <v>0</v>
      </c>
      <c r="V25" s="33">
        <f>ROUND('Anexo 15'!V25*'Anexo 5'!$D$10,0)</f>
        <v>0</v>
      </c>
      <c r="W25" s="33">
        <f>ROUND('Anexo 15'!W25*'Anexo 5'!$D$10,0)</f>
        <v>0</v>
      </c>
      <c r="X25" s="33">
        <f>ROUND('Anexo 15'!X25*'Anexo 5'!$D$10,0)</f>
        <v>0</v>
      </c>
      <c r="Y25" s="33">
        <f>ROUND('Anexo 15'!Y25*'Anexo 5'!$D$10,0)</f>
        <v>0</v>
      </c>
      <c r="Z25" s="33">
        <f>ROUND('Anexo 15'!Z25*'Anexo 5'!$D$10,0)</f>
        <v>0</v>
      </c>
      <c r="AA25" s="38">
        <f t="shared" si="0"/>
        <v>0</v>
      </c>
      <c r="AB25" s="21">
        <v>3</v>
      </c>
      <c r="AC25" s="95"/>
      <c r="AD25" s="47"/>
    </row>
    <row r="26" spans="1:30" ht="15.75" thickBot="1" x14ac:dyDescent="0.3">
      <c r="A26" s="93"/>
      <c r="B26" s="22" t="s">
        <v>3</v>
      </c>
      <c r="C26" s="33">
        <f>ROUND('Anexo 15'!C26*'Anexo 5'!$D$10,0)</f>
        <v>0</v>
      </c>
      <c r="D26" s="33">
        <f>ROUND('Anexo 15'!D26*'Anexo 5'!$D$10,0)</f>
        <v>0</v>
      </c>
      <c r="E26" s="33">
        <f>ROUND('Anexo 15'!E26*'Anexo 5'!$D$10,0)</f>
        <v>0</v>
      </c>
      <c r="F26" s="33">
        <f>ROUND('Anexo 15'!F26*'Anexo 5'!$D$10,0)</f>
        <v>0</v>
      </c>
      <c r="G26" s="33">
        <f>ROUND('Anexo 15'!G26*'Anexo 5'!$D$10,0)</f>
        <v>0</v>
      </c>
      <c r="H26" s="33">
        <f>ROUND('Anexo 15'!H26*'Anexo 5'!$D$10,0)</f>
        <v>0</v>
      </c>
      <c r="I26" s="33">
        <f>ROUND('Anexo 15'!I26*'Anexo 5'!$D$10,0)</f>
        <v>0</v>
      </c>
      <c r="J26" s="33">
        <f>ROUND('Anexo 15'!J26*'Anexo 5'!$D$10,0)</f>
        <v>0</v>
      </c>
      <c r="K26" s="33">
        <f>ROUND('Anexo 15'!K26*'Anexo 5'!$D$10,0)</f>
        <v>0</v>
      </c>
      <c r="L26" s="33">
        <f>ROUND('Anexo 15'!L26*'Anexo 5'!$D$10,0)</f>
        <v>0</v>
      </c>
      <c r="M26" s="33">
        <f>ROUND('Anexo 15'!M26*'Anexo 5'!$D$10,0)</f>
        <v>0</v>
      </c>
      <c r="N26" s="33">
        <f>ROUND('Anexo 15'!N26*'Anexo 5'!$D$10,0)</f>
        <v>0</v>
      </c>
      <c r="O26" s="33">
        <f>ROUND('Anexo 15'!O26*'Anexo 5'!$D$10,0)</f>
        <v>0</v>
      </c>
      <c r="P26" s="33">
        <f>ROUND('Anexo 15'!P26*'Anexo 5'!$D$10,0)</f>
        <v>0</v>
      </c>
      <c r="Q26" s="33">
        <f>ROUND('Anexo 15'!Q26*'Anexo 5'!$D$10,0)</f>
        <v>0</v>
      </c>
      <c r="R26" s="33">
        <f>ROUND('Anexo 15'!R26*'Anexo 5'!$D$10,0)</f>
        <v>0</v>
      </c>
      <c r="S26" s="33">
        <f>ROUND('Anexo 15'!S26*'Anexo 5'!$D$10,0)</f>
        <v>0</v>
      </c>
      <c r="T26" s="33">
        <f>ROUND('Anexo 15'!T26*'Anexo 5'!$D$10,0)</f>
        <v>0</v>
      </c>
      <c r="U26" s="33">
        <f>ROUND('Anexo 15'!U26*'Anexo 5'!$D$10,0)</f>
        <v>0</v>
      </c>
      <c r="V26" s="33">
        <f>ROUND('Anexo 15'!V26*'Anexo 5'!$D$10,0)</f>
        <v>0</v>
      </c>
      <c r="W26" s="33">
        <f>ROUND('Anexo 15'!W26*'Anexo 5'!$D$10,0)</f>
        <v>0</v>
      </c>
      <c r="X26" s="33">
        <f>ROUND('Anexo 15'!X26*'Anexo 5'!$D$10,0)</f>
        <v>0</v>
      </c>
      <c r="Y26" s="33">
        <f>ROUND('Anexo 15'!Y26*'Anexo 5'!$D$10,0)</f>
        <v>0</v>
      </c>
      <c r="Z26" s="33">
        <f>ROUND('Anexo 15'!Z26*'Anexo 5'!$D$10,0)</f>
        <v>0</v>
      </c>
      <c r="AA26" s="41">
        <f t="shared" si="0"/>
        <v>0</v>
      </c>
      <c r="AB26" s="23">
        <v>6</v>
      </c>
      <c r="AC26" s="96"/>
      <c r="AD26" s="48"/>
    </row>
    <row r="27" spans="1:30" ht="15.75" thickBot="1" x14ac:dyDescent="0.3">
      <c r="A27" s="93">
        <v>47696</v>
      </c>
      <c r="B27" s="18" t="s">
        <v>5</v>
      </c>
      <c r="C27" s="33">
        <f>ROUND('Anexo 15'!C27*'Anexo 5'!$D$10,0)</f>
        <v>0</v>
      </c>
      <c r="D27" s="33">
        <f>ROUND('Anexo 15'!D27*'Anexo 5'!$D$10,0)</f>
        <v>0</v>
      </c>
      <c r="E27" s="33">
        <f>ROUND('Anexo 15'!E27*'Anexo 5'!$D$10,0)</f>
        <v>0</v>
      </c>
      <c r="F27" s="33">
        <f>ROUND('Anexo 15'!F27*'Anexo 5'!$D$10,0)</f>
        <v>0</v>
      </c>
      <c r="G27" s="33">
        <f>ROUND('Anexo 15'!G27*'Anexo 5'!$D$10,0)</f>
        <v>0</v>
      </c>
      <c r="H27" s="33">
        <f>ROUND('Anexo 15'!H27*'Anexo 5'!$D$10,0)</f>
        <v>0</v>
      </c>
      <c r="I27" s="33">
        <f>ROUND('Anexo 15'!I27*'Anexo 5'!$D$10,0)</f>
        <v>0</v>
      </c>
      <c r="J27" s="33">
        <f>ROUND('Anexo 15'!J27*'Anexo 5'!$D$10,0)</f>
        <v>0</v>
      </c>
      <c r="K27" s="33">
        <f>ROUND('Anexo 15'!K27*'Anexo 5'!$D$10,0)</f>
        <v>0</v>
      </c>
      <c r="L27" s="33">
        <f>ROUND('Anexo 15'!L27*'Anexo 5'!$D$10,0)</f>
        <v>0</v>
      </c>
      <c r="M27" s="33">
        <f>ROUND('Anexo 15'!M27*'Anexo 5'!$D$10,0)</f>
        <v>0</v>
      </c>
      <c r="N27" s="33">
        <f>ROUND('Anexo 15'!N27*'Anexo 5'!$D$10,0)</f>
        <v>0</v>
      </c>
      <c r="O27" s="33">
        <f>ROUND('Anexo 15'!O27*'Anexo 5'!$D$10,0)</f>
        <v>0</v>
      </c>
      <c r="P27" s="33">
        <f>ROUND('Anexo 15'!P27*'Anexo 5'!$D$10,0)</f>
        <v>0</v>
      </c>
      <c r="Q27" s="33">
        <f>ROUND('Anexo 15'!Q27*'Anexo 5'!$D$10,0)</f>
        <v>0</v>
      </c>
      <c r="R27" s="33">
        <f>ROUND('Anexo 15'!R27*'Anexo 5'!$D$10,0)</f>
        <v>0</v>
      </c>
      <c r="S27" s="33">
        <f>ROUND('Anexo 15'!S27*'Anexo 5'!$D$10,0)</f>
        <v>0</v>
      </c>
      <c r="T27" s="33">
        <f>ROUND('Anexo 15'!T27*'Anexo 5'!$D$10,0)</f>
        <v>0</v>
      </c>
      <c r="U27" s="33">
        <f>ROUND('Anexo 15'!U27*'Anexo 5'!$D$10,0)</f>
        <v>0</v>
      </c>
      <c r="V27" s="33">
        <f>ROUND('Anexo 15'!V27*'Anexo 5'!$D$10,0)</f>
        <v>0</v>
      </c>
      <c r="W27" s="33">
        <f>ROUND('Anexo 15'!W27*'Anexo 5'!$D$10,0)</f>
        <v>0</v>
      </c>
      <c r="X27" s="33">
        <f>ROUND('Anexo 15'!X27*'Anexo 5'!$D$10,0)</f>
        <v>0</v>
      </c>
      <c r="Y27" s="33">
        <f>ROUND('Anexo 15'!Y27*'Anexo 5'!$D$10,0)</f>
        <v>0</v>
      </c>
      <c r="Z27" s="33">
        <f>ROUND('Anexo 15'!Z27*'Anexo 5'!$D$10,0)</f>
        <v>0</v>
      </c>
      <c r="AA27" s="35">
        <f t="shared" si="0"/>
        <v>0</v>
      </c>
      <c r="AB27" s="19">
        <v>20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ROUND('Anexo 15'!C28*'Anexo 5'!$D$10,0)</f>
        <v>0</v>
      </c>
      <c r="D28" s="33">
        <f>ROUND('Anexo 15'!D28*'Anexo 5'!$D$10,0)</f>
        <v>0</v>
      </c>
      <c r="E28" s="33">
        <f>ROUND('Anexo 15'!E28*'Anexo 5'!$D$10,0)</f>
        <v>0</v>
      </c>
      <c r="F28" s="33">
        <f>ROUND('Anexo 15'!F28*'Anexo 5'!$D$10,0)</f>
        <v>0</v>
      </c>
      <c r="G28" s="33">
        <f>ROUND('Anexo 15'!G28*'Anexo 5'!$D$10,0)</f>
        <v>0</v>
      </c>
      <c r="H28" s="33">
        <f>ROUND('Anexo 15'!H28*'Anexo 5'!$D$10,0)</f>
        <v>0</v>
      </c>
      <c r="I28" s="33">
        <f>ROUND('Anexo 15'!I28*'Anexo 5'!$D$10,0)</f>
        <v>0</v>
      </c>
      <c r="J28" s="33">
        <f>ROUND('Anexo 15'!J28*'Anexo 5'!$D$10,0)</f>
        <v>0</v>
      </c>
      <c r="K28" s="33">
        <f>ROUND('Anexo 15'!K28*'Anexo 5'!$D$10,0)</f>
        <v>0</v>
      </c>
      <c r="L28" s="33">
        <f>ROUND('Anexo 15'!L28*'Anexo 5'!$D$10,0)</f>
        <v>0</v>
      </c>
      <c r="M28" s="33">
        <f>ROUND('Anexo 15'!M28*'Anexo 5'!$D$10,0)</f>
        <v>0</v>
      </c>
      <c r="N28" s="33">
        <f>ROUND('Anexo 15'!N28*'Anexo 5'!$D$10,0)</f>
        <v>0</v>
      </c>
      <c r="O28" s="33">
        <f>ROUND('Anexo 15'!O28*'Anexo 5'!$D$10,0)</f>
        <v>0</v>
      </c>
      <c r="P28" s="33">
        <f>ROUND('Anexo 15'!P28*'Anexo 5'!$D$10,0)</f>
        <v>0</v>
      </c>
      <c r="Q28" s="33">
        <f>ROUND('Anexo 15'!Q28*'Anexo 5'!$D$10,0)</f>
        <v>0</v>
      </c>
      <c r="R28" s="33">
        <f>ROUND('Anexo 15'!R28*'Anexo 5'!$D$10,0)</f>
        <v>0</v>
      </c>
      <c r="S28" s="33">
        <f>ROUND('Anexo 15'!S28*'Anexo 5'!$D$10,0)</f>
        <v>0</v>
      </c>
      <c r="T28" s="33">
        <f>ROUND('Anexo 15'!T28*'Anexo 5'!$D$10,0)</f>
        <v>0</v>
      </c>
      <c r="U28" s="33">
        <f>ROUND('Anexo 15'!U28*'Anexo 5'!$D$10,0)</f>
        <v>0</v>
      </c>
      <c r="V28" s="33">
        <f>ROUND('Anexo 15'!V28*'Anexo 5'!$D$10,0)</f>
        <v>0</v>
      </c>
      <c r="W28" s="33">
        <f>ROUND('Anexo 15'!W28*'Anexo 5'!$D$10,0)</f>
        <v>0</v>
      </c>
      <c r="X28" s="33">
        <f>ROUND('Anexo 15'!X28*'Anexo 5'!$D$10,0)</f>
        <v>0</v>
      </c>
      <c r="Y28" s="33">
        <f>ROUND('Anexo 15'!Y28*'Anexo 5'!$D$10,0)</f>
        <v>0</v>
      </c>
      <c r="Z28" s="33">
        <f>ROUND('Anexo 15'!Z28*'Anexo 5'!$D$10,0)</f>
        <v>0</v>
      </c>
      <c r="AA28" s="38">
        <f t="shared" si="0"/>
        <v>0</v>
      </c>
      <c r="AB28" s="21">
        <v>5</v>
      </c>
      <c r="AC28" s="95"/>
      <c r="AD28" s="47"/>
    </row>
    <row r="29" spans="1:30" ht="15.75" thickBot="1" x14ac:dyDescent="0.3">
      <c r="A29" s="93"/>
      <c r="B29" s="22" t="s">
        <v>3</v>
      </c>
      <c r="C29" s="33">
        <f>ROUND('Anexo 15'!C29*'Anexo 5'!$D$10,0)</f>
        <v>0</v>
      </c>
      <c r="D29" s="33">
        <f>ROUND('Anexo 15'!D29*'Anexo 5'!$D$10,0)</f>
        <v>0</v>
      </c>
      <c r="E29" s="33">
        <f>ROUND('Anexo 15'!E29*'Anexo 5'!$D$10,0)</f>
        <v>0</v>
      </c>
      <c r="F29" s="33">
        <f>ROUND('Anexo 15'!F29*'Anexo 5'!$D$10,0)</f>
        <v>0</v>
      </c>
      <c r="G29" s="33">
        <f>ROUND('Anexo 15'!G29*'Anexo 5'!$D$10,0)</f>
        <v>0</v>
      </c>
      <c r="H29" s="33">
        <f>ROUND('Anexo 15'!H29*'Anexo 5'!$D$10,0)</f>
        <v>0</v>
      </c>
      <c r="I29" s="33">
        <f>ROUND('Anexo 15'!I29*'Anexo 5'!$D$10,0)</f>
        <v>0</v>
      </c>
      <c r="J29" s="33">
        <f>ROUND('Anexo 15'!J29*'Anexo 5'!$D$10,0)</f>
        <v>0</v>
      </c>
      <c r="K29" s="33">
        <f>ROUND('Anexo 15'!K29*'Anexo 5'!$D$10,0)</f>
        <v>0</v>
      </c>
      <c r="L29" s="33">
        <f>ROUND('Anexo 15'!L29*'Anexo 5'!$D$10,0)</f>
        <v>0</v>
      </c>
      <c r="M29" s="33">
        <f>ROUND('Anexo 15'!M29*'Anexo 5'!$D$10,0)</f>
        <v>0</v>
      </c>
      <c r="N29" s="33">
        <f>ROUND('Anexo 15'!N29*'Anexo 5'!$D$10,0)</f>
        <v>0</v>
      </c>
      <c r="O29" s="33">
        <f>ROUND('Anexo 15'!O29*'Anexo 5'!$D$10,0)</f>
        <v>0</v>
      </c>
      <c r="P29" s="33">
        <f>ROUND('Anexo 15'!P29*'Anexo 5'!$D$10,0)</f>
        <v>0</v>
      </c>
      <c r="Q29" s="33">
        <f>ROUND('Anexo 15'!Q29*'Anexo 5'!$D$10,0)</f>
        <v>0</v>
      </c>
      <c r="R29" s="33">
        <f>ROUND('Anexo 15'!R29*'Anexo 5'!$D$10,0)</f>
        <v>0</v>
      </c>
      <c r="S29" s="33">
        <f>ROUND('Anexo 15'!S29*'Anexo 5'!$D$10,0)</f>
        <v>0</v>
      </c>
      <c r="T29" s="33">
        <f>ROUND('Anexo 15'!T29*'Anexo 5'!$D$10,0)</f>
        <v>0</v>
      </c>
      <c r="U29" s="33">
        <f>ROUND('Anexo 15'!U29*'Anexo 5'!$D$10,0)</f>
        <v>0</v>
      </c>
      <c r="V29" s="33">
        <f>ROUND('Anexo 15'!V29*'Anexo 5'!$D$10,0)</f>
        <v>0</v>
      </c>
      <c r="W29" s="33">
        <f>ROUND('Anexo 15'!W29*'Anexo 5'!$D$10,0)</f>
        <v>0</v>
      </c>
      <c r="X29" s="33">
        <f>ROUND('Anexo 15'!X29*'Anexo 5'!$D$10,0)</f>
        <v>0</v>
      </c>
      <c r="Y29" s="33">
        <f>ROUND('Anexo 15'!Y29*'Anexo 5'!$D$10,0)</f>
        <v>0</v>
      </c>
      <c r="Z29" s="33">
        <f>ROUND('Anexo 15'!Z29*'Anexo 5'!$D$10,0)</f>
        <v>0</v>
      </c>
      <c r="AA29" s="41">
        <f t="shared" si="0"/>
        <v>0</v>
      </c>
      <c r="AB29" s="23">
        <v>6</v>
      </c>
      <c r="AC29" s="96"/>
      <c r="AD29" s="49"/>
    </row>
    <row r="30" spans="1:30" ht="15.75" thickBot="1" x14ac:dyDescent="0.3">
      <c r="A30" s="93">
        <v>47727</v>
      </c>
      <c r="B30" s="18" t="s">
        <v>5</v>
      </c>
      <c r="C30" s="33">
        <f>ROUND('Anexo 15'!C30*'Anexo 5'!$D$10,0)</f>
        <v>0</v>
      </c>
      <c r="D30" s="33">
        <f>ROUND('Anexo 15'!D30*'Anexo 5'!$D$10,0)</f>
        <v>0</v>
      </c>
      <c r="E30" s="33">
        <f>ROUND('Anexo 15'!E30*'Anexo 5'!$D$10,0)</f>
        <v>0</v>
      </c>
      <c r="F30" s="33">
        <f>ROUND('Anexo 15'!F30*'Anexo 5'!$D$10,0)</f>
        <v>0</v>
      </c>
      <c r="G30" s="33">
        <f>ROUND('Anexo 15'!G30*'Anexo 5'!$D$10,0)</f>
        <v>0</v>
      </c>
      <c r="H30" s="33">
        <f>ROUND('Anexo 15'!H30*'Anexo 5'!$D$10,0)</f>
        <v>0</v>
      </c>
      <c r="I30" s="33">
        <f>ROUND('Anexo 15'!I30*'Anexo 5'!$D$10,0)</f>
        <v>0</v>
      </c>
      <c r="J30" s="33">
        <f>ROUND('Anexo 15'!J30*'Anexo 5'!$D$10,0)</f>
        <v>0</v>
      </c>
      <c r="K30" s="33">
        <f>ROUND('Anexo 15'!K30*'Anexo 5'!$D$10,0)</f>
        <v>0</v>
      </c>
      <c r="L30" s="33">
        <f>ROUND('Anexo 15'!L30*'Anexo 5'!$D$10,0)</f>
        <v>0</v>
      </c>
      <c r="M30" s="33">
        <f>ROUND('Anexo 15'!M30*'Anexo 5'!$D$10,0)</f>
        <v>0</v>
      </c>
      <c r="N30" s="33">
        <f>ROUND('Anexo 15'!N30*'Anexo 5'!$D$10,0)</f>
        <v>0</v>
      </c>
      <c r="O30" s="33">
        <f>ROUND('Anexo 15'!O30*'Anexo 5'!$D$10,0)</f>
        <v>0</v>
      </c>
      <c r="P30" s="33">
        <f>ROUND('Anexo 15'!P30*'Anexo 5'!$D$10,0)</f>
        <v>0</v>
      </c>
      <c r="Q30" s="33">
        <f>ROUND('Anexo 15'!Q30*'Anexo 5'!$D$10,0)</f>
        <v>0</v>
      </c>
      <c r="R30" s="33">
        <f>ROUND('Anexo 15'!R30*'Anexo 5'!$D$10,0)</f>
        <v>0</v>
      </c>
      <c r="S30" s="33">
        <f>ROUND('Anexo 15'!S30*'Anexo 5'!$D$10,0)</f>
        <v>0</v>
      </c>
      <c r="T30" s="33">
        <f>ROUND('Anexo 15'!T30*'Anexo 5'!$D$10,0)</f>
        <v>0</v>
      </c>
      <c r="U30" s="33">
        <f>ROUND('Anexo 15'!U30*'Anexo 5'!$D$10,0)</f>
        <v>0</v>
      </c>
      <c r="V30" s="33">
        <f>ROUND('Anexo 15'!V30*'Anexo 5'!$D$10,0)</f>
        <v>0</v>
      </c>
      <c r="W30" s="33">
        <f>ROUND('Anexo 15'!W30*'Anexo 5'!$D$10,0)</f>
        <v>0</v>
      </c>
      <c r="X30" s="33">
        <f>ROUND('Anexo 15'!X30*'Anexo 5'!$D$10,0)</f>
        <v>0</v>
      </c>
      <c r="Y30" s="33">
        <f>ROUND('Anexo 15'!Y30*'Anexo 5'!$D$10,0)</f>
        <v>0</v>
      </c>
      <c r="Z30" s="33">
        <f>ROUND('Anexo 15'!Z30*'Anexo 5'!$D$10,0)</f>
        <v>0</v>
      </c>
      <c r="AA30" s="35">
        <f t="shared" si="0"/>
        <v>0</v>
      </c>
      <c r="AB30" s="19">
        <v>21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ROUND('Anexo 15'!C31*'Anexo 5'!$D$10,0)</f>
        <v>0</v>
      </c>
      <c r="D31" s="33">
        <f>ROUND('Anexo 15'!D31*'Anexo 5'!$D$10,0)</f>
        <v>0</v>
      </c>
      <c r="E31" s="33">
        <f>ROUND('Anexo 15'!E31*'Anexo 5'!$D$10,0)</f>
        <v>0</v>
      </c>
      <c r="F31" s="33">
        <f>ROUND('Anexo 15'!F31*'Anexo 5'!$D$10,0)</f>
        <v>0</v>
      </c>
      <c r="G31" s="33">
        <f>ROUND('Anexo 15'!G31*'Anexo 5'!$D$10,0)</f>
        <v>0</v>
      </c>
      <c r="H31" s="33">
        <f>ROUND('Anexo 15'!H31*'Anexo 5'!$D$10,0)</f>
        <v>0</v>
      </c>
      <c r="I31" s="33">
        <f>ROUND('Anexo 15'!I31*'Anexo 5'!$D$10,0)</f>
        <v>0</v>
      </c>
      <c r="J31" s="33">
        <f>ROUND('Anexo 15'!J31*'Anexo 5'!$D$10,0)</f>
        <v>0</v>
      </c>
      <c r="K31" s="33">
        <f>ROUND('Anexo 15'!K31*'Anexo 5'!$D$10,0)</f>
        <v>0</v>
      </c>
      <c r="L31" s="33">
        <f>ROUND('Anexo 15'!L31*'Anexo 5'!$D$10,0)</f>
        <v>0</v>
      </c>
      <c r="M31" s="33">
        <f>ROUND('Anexo 15'!M31*'Anexo 5'!$D$10,0)</f>
        <v>0</v>
      </c>
      <c r="N31" s="33">
        <f>ROUND('Anexo 15'!N31*'Anexo 5'!$D$10,0)</f>
        <v>0</v>
      </c>
      <c r="O31" s="33">
        <f>ROUND('Anexo 15'!O31*'Anexo 5'!$D$10,0)</f>
        <v>0</v>
      </c>
      <c r="P31" s="33">
        <f>ROUND('Anexo 15'!P31*'Anexo 5'!$D$10,0)</f>
        <v>0</v>
      </c>
      <c r="Q31" s="33">
        <f>ROUND('Anexo 15'!Q31*'Anexo 5'!$D$10,0)</f>
        <v>0</v>
      </c>
      <c r="R31" s="33">
        <f>ROUND('Anexo 15'!R31*'Anexo 5'!$D$10,0)</f>
        <v>0</v>
      </c>
      <c r="S31" s="33">
        <f>ROUND('Anexo 15'!S31*'Anexo 5'!$D$10,0)</f>
        <v>0</v>
      </c>
      <c r="T31" s="33">
        <f>ROUND('Anexo 15'!T31*'Anexo 5'!$D$10,0)</f>
        <v>0</v>
      </c>
      <c r="U31" s="33">
        <f>ROUND('Anexo 15'!U31*'Anexo 5'!$D$10,0)</f>
        <v>0</v>
      </c>
      <c r="V31" s="33">
        <f>ROUND('Anexo 15'!V31*'Anexo 5'!$D$10,0)</f>
        <v>0</v>
      </c>
      <c r="W31" s="33">
        <f>ROUND('Anexo 15'!W31*'Anexo 5'!$D$10,0)</f>
        <v>0</v>
      </c>
      <c r="X31" s="33">
        <f>ROUND('Anexo 15'!X31*'Anexo 5'!$D$10,0)</f>
        <v>0</v>
      </c>
      <c r="Y31" s="33">
        <f>ROUND('Anexo 15'!Y31*'Anexo 5'!$D$10,0)</f>
        <v>0</v>
      </c>
      <c r="Z31" s="33">
        <f>ROUND('Anexo 15'!Z31*'Anexo 5'!$D$10,0)</f>
        <v>0</v>
      </c>
      <c r="AA31" s="38">
        <f t="shared" si="0"/>
        <v>0</v>
      </c>
      <c r="AB31" s="21">
        <v>4</v>
      </c>
      <c r="AC31" s="95"/>
      <c r="AD31" s="47"/>
    </row>
    <row r="32" spans="1:30" ht="15.75" thickBot="1" x14ac:dyDescent="0.3">
      <c r="A32" s="93"/>
      <c r="B32" s="22" t="s">
        <v>3</v>
      </c>
      <c r="C32" s="33">
        <f>ROUND('Anexo 15'!C32*'Anexo 5'!$D$10,0)</f>
        <v>0</v>
      </c>
      <c r="D32" s="33">
        <f>ROUND('Anexo 15'!D32*'Anexo 5'!$D$10,0)</f>
        <v>0</v>
      </c>
      <c r="E32" s="33">
        <f>ROUND('Anexo 15'!E32*'Anexo 5'!$D$10,0)</f>
        <v>0</v>
      </c>
      <c r="F32" s="33">
        <f>ROUND('Anexo 15'!F32*'Anexo 5'!$D$10,0)</f>
        <v>0</v>
      </c>
      <c r="G32" s="33">
        <f>ROUND('Anexo 15'!G32*'Anexo 5'!$D$10,0)</f>
        <v>0</v>
      </c>
      <c r="H32" s="33">
        <f>ROUND('Anexo 15'!H32*'Anexo 5'!$D$10,0)</f>
        <v>0</v>
      </c>
      <c r="I32" s="33">
        <f>ROUND('Anexo 15'!I32*'Anexo 5'!$D$10,0)</f>
        <v>0</v>
      </c>
      <c r="J32" s="33">
        <f>ROUND('Anexo 15'!J32*'Anexo 5'!$D$10,0)</f>
        <v>0</v>
      </c>
      <c r="K32" s="33">
        <f>ROUND('Anexo 15'!K32*'Anexo 5'!$D$10,0)</f>
        <v>0</v>
      </c>
      <c r="L32" s="33">
        <f>ROUND('Anexo 15'!L32*'Anexo 5'!$D$10,0)</f>
        <v>0</v>
      </c>
      <c r="M32" s="33">
        <f>ROUND('Anexo 15'!M32*'Anexo 5'!$D$10,0)</f>
        <v>0</v>
      </c>
      <c r="N32" s="33">
        <f>ROUND('Anexo 15'!N32*'Anexo 5'!$D$10,0)</f>
        <v>0</v>
      </c>
      <c r="O32" s="33">
        <f>ROUND('Anexo 15'!O32*'Anexo 5'!$D$10,0)</f>
        <v>0</v>
      </c>
      <c r="P32" s="33">
        <f>ROUND('Anexo 15'!P32*'Anexo 5'!$D$10,0)</f>
        <v>0</v>
      </c>
      <c r="Q32" s="33">
        <f>ROUND('Anexo 15'!Q32*'Anexo 5'!$D$10,0)</f>
        <v>0</v>
      </c>
      <c r="R32" s="33">
        <f>ROUND('Anexo 15'!R32*'Anexo 5'!$D$10,0)</f>
        <v>0</v>
      </c>
      <c r="S32" s="33">
        <f>ROUND('Anexo 15'!S32*'Anexo 5'!$D$10,0)</f>
        <v>0</v>
      </c>
      <c r="T32" s="33">
        <f>ROUND('Anexo 15'!T32*'Anexo 5'!$D$10,0)</f>
        <v>0</v>
      </c>
      <c r="U32" s="33">
        <f>ROUND('Anexo 15'!U32*'Anexo 5'!$D$10,0)</f>
        <v>0</v>
      </c>
      <c r="V32" s="33">
        <f>ROUND('Anexo 15'!V32*'Anexo 5'!$D$10,0)</f>
        <v>0</v>
      </c>
      <c r="W32" s="33">
        <f>ROUND('Anexo 15'!W32*'Anexo 5'!$D$10,0)</f>
        <v>0</v>
      </c>
      <c r="X32" s="33">
        <f>ROUND('Anexo 15'!X32*'Anexo 5'!$D$10,0)</f>
        <v>0</v>
      </c>
      <c r="Y32" s="33">
        <f>ROUND('Anexo 15'!Y32*'Anexo 5'!$D$10,0)</f>
        <v>0</v>
      </c>
      <c r="Z32" s="33">
        <f>ROUND('Anexo 15'!Z32*'Anexo 5'!$D$10,0)</f>
        <v>0</v>
      </c>
      <c r="AA32" s="41">
        <f t="shared" si="0"/>
        <v>0</v>
      </c>
      <c r="AB32" s="23">
        <v>5</v>
      </c>
      <c r="AC32" s="96"/>
      <c r="AD32" s="48"/>
    </row>
    <row r="33" spans="1:30" ht="15.75" thickBot="1" x14ac:dyDescent="0.3">
      <c r="A33" s="93">
        <v>47757</v>
      </c>
      <c r="B33" s="18" t="s">
        <v>5</v>
      </c>
      <c r="C33" s="33">
        <f>ROUND('Anexo 15'!C33*'Anexo 5'!$D$10,0)</f>
        <v>0</v>
      </c>
      <c r="D33" s="33">
        <f>ROUND('Anexo 15'!D33*'Anexo 5'!$D$10,0)</f>
        <v>0</v>
      </c>
      <c r="E33" s="33">
        <f>ROUND('Anexo 15'!E33*'Anexo 5'!$D$10,0)</f>
        <v>0</v>
      </c>
      <c r="F33" s="33">
        <f>ROUND('Anexo 15'!F33*'Anexo 5'!$D$10,0)</f>
        <v>0</v>
      </c>
      <c r="G33" s="33">
        <f>ROUND('Anexo 15'!G33*'Anexo 5'!$D$10,0)</f>
        <v>0</v>
      </c>
      <c r="H33" s="33">
        <f>ROUND('Anexo 15'!H33*'Anexo 5'!$D$10,0)</f>
        <v>0</v>
      </c>
      <c r="I33" s="33">
        <f>ROUND('Anexo 15'!I33*'Anexo 5'!$D$10,0)</f>
        <v>0</v>
      </c>
      <c r="J33" s="33">
        <f>ROUND('Anexo 15'!J33*'Anexo 5'!$D$10,0)</f>
        <v>0</v>
      </c>
      <c r="K33" s="33">
        <f>ROUND('Anexo 15'!K33*'Anexo 5'!$D$10,0)</f>
        <v>0</v>
      </c>
      <c r="L33" s="33">
        <f>ROUND('Anexo 15'!L33*'Anexo 5'!$D$10,0)</f>
        <v>0</v>
      </c>
      <c r="M33" s="33">
        <f>ROUND('Anexo 15'!M33*'Anexo 5'!$D$10,0)</f>
        <v>0</v>
      </c>
      <c r="N33" s="33">
        <f>ROUND('Anexo 15'!N33*'Anexo 5'!$D$10,0)</f>
        <v>0</v>
      </c>
      <c r="O33" s="33">
        <f>ROUND('Anexo 15'!O33*'Anexo 5'!$D$10,0)</f>
        <v>0</v>
      </c>
      <c r="P33" s="33">
        <f>ROUND('Anexo 15'!P33*'Anexo 5'!$D$10,0)</f>
        <v>0</v>
      </c>
      <c r="Q33" s="33">
        <f>ROUND('Anexo 15'!Q33*'Anexo 5'!$D$10,0)</f>
        <v>0</v>
      </c>
      <c r="R33" s="33">
        <f>ROUND('Anexo 15'!R33*'Anexo 5'!$D$10,0)</f>
        <v>0</v>
      </c>
      <c r="S33" s="33">
        <f>ROUND('Anexo 15'!S33*'Anexo 5'!$D$10,0)</f>
        <v>0</v>
      </c>
      <c r="T33" s="33">
        <f>ROUND('Anexo 15'!T33*'Anexo 5'!$D$10,0)</f>
        <v>0</v>
      </c>
      <c r="U33" s="33">
        <f>ROUND('Anexo 15'!U33*'Anexo 5'!$D$10,0)</f>
        <v>0</v>
      </c>
      <c r="V33" s="33">
        <f>ROUND('Anexo 15'!V33*'Anexo 5'!$D$10,0)</f>
        <v>0</v>
      </c>
      <c r="W33" s="33">
        <f>ROUND('Anexo 15'!W33*'Anexo 5'!$D$10,0)</f>
        <v>0</v>
      </c>
      <c r="X33" s="33">
        <f>ROUND('Anexo 15'!X33*'Anexo 5'!$D$10,0)</f>
        <v>0</v>
      </c>
      <c r="Y33" s="33">
        <f>ROUND('Anexo 15'!Y33*'Anexo 5'!$D$10,0)</f>
        <v>0</v>
      </c>
      <c r="Z33" s="33">
        <f>ROUND('Anexo 15'!Z33*'Anexo 5'!$D$10,0)</f>
        <v>0</v>
      </c>
      <c r="AA33" s="35">
        <f t="shared" si="0"/>
        <v>0</v>
      </c>
      <c r="AB33" s="19">
        <v>22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ROUND('Anexo 15'!C34*'Anexo 5'!$D$10,0)</f>
        <v>0</v>
      </c>
      <c r="D34" s="33">
        <f>ROUND('Anexo 15'!D34*'Anexo 5'!$D$10,0)</f>
        <v>0</v>
      </c>
      <c r="E34" s="33">
        <f>ROUND('Anexo 15'!E34*'Anexo 5'!$D$10,0)</f>
        <v>0</v>
      </c>
      <c r="F34" s="33">
        <f>ROUND('Anexo 15'!F34*'Anexo 5'!$D$10,0)</f>
        <v>0</v>
      </c>
      <c r="G34" s="33">
        <f>ROUND('Anexo 15'!G34*'Anexo 5'!$D$10,0)</f>
        <v>0</v>
      </c>
      <c r="H34" s="33">
        <f>ROUND('Anexo 15'!H34*'Anexo 5'!$D$10,0)</f>
        <v>0</v>
      </c>
      <c r="I34" s="33">
        <f>ROUND('Anexo 15'!I34*'Anexo 5'!$D$10,0)</f>
        <v>0</v>
      </c>
      <c r="J34" s="33">
        <f>ROUND('Anexo 15'!J34*'Anexo 5'!$D$10,0)</f>
        <v>0</v>
      </c>
      <c r="K34" s="33">
        <f>ROUND('Anexo 15'!K34*'Anexo 5'!$D$10,0)</f>
        <v>0</v>
      </c>
      <c r="L34" s="33">
        <f>ROUND('Anexo 15'!L34*'Anexo 5'!$D$10,0)</f>
        <v>0</v>
      </c>
      <c r="M34" s="33">
        <f>ROUND('Anexo 15'!M34*'Anexo 5'!$D$10,0)</f>
        <v>0</v>
      </c>
      <c r="N34" s="33">
        <f>ROUND('Anexo 15'!N34*'Anexo 5'!$D$10,0)</f>
        <v>0</v>
      </c>
      <c r="O34" s="33">
        <f>ROUND('Anexo 15'!O34*'Anexo 5'!$D$10,0)</f>
        <v>0</v>
      </c>
      <c r="P34" s="33">
        <f>ROUND('Anexo 15'!P34*'Anexo 5'!$D$10,0)</f>
        <v>0</v>
      </c>
      <c r="Q34" s="33">
        <f>ROUND('Anexo 15'!Q34*'Anexo 5'!$D$10,0)</f>
        <v>0</v>
      </c>
      <c r="R34" s="33">
        <f>ROUND('Anexo 15'!R34*'Anexo 5'!$D$10,0)</f>
        <v>0</v>
      </c>
      <c r="S34" s="33">
        <f>ROUND('Anexo 15'!S34*'Anexo 5'!$D$10,0)</f>
        <v>0</v>
      </c>
      <c r="T34" s="33">
        <f>ROUND('Anexo 15'!T34*'Anexo 5'!$D$10,0)</f>
        <v>0</v>
      </c>
      <c r="U34" s="33">
        <f>ROUND('Anexo 15'!U34*'Anexo 5'!$D$10,0)</f>
        <v>0</v>
      </c>
      <c r="V34" s="33">
        <f>ROUND('Anexo 15'!V34*'Anexo 5'!$D$10,0)</f>
        <v>0</v>
      </c>
      <c r="W34" s="33">
        <f>ROUND('Anexo 15'!W34*'Anexo 5'!$D$10,0)</f>
        <v>0</v>
      </c>
      <c r="X34" s="33">
        <f>ROUND('Anexo 15'!X34*'Anexo 5'!$D$10,0)</f>
        <v>0</v>
      </c>
      <c r="Y34" s="33">
        <f>ROUND('Anexo 15'!Y34*'Anexo 5'!$D$10,0)</f>
        <v>0</v>
      </c>
      <c r="Z34" s="33">
        <f>ROUND('Anexo 15'!Z34*'Anexo 5'!$D$10,0)</f>
        <v>0</v>
      </c>
      <c r="AA34" s="38">
        <f t="shared" si="0"/>
        <v>0</v>
      </c>
      <c r="AB34" s="21">
        <v>4</v>
      </c>
      <c r="AC34" s="95"/>
      <c r="AD34" s="47"/>
    </row>
    <row r="35" spans="1:30" ht="15.75" thickBot="1" x14ac:dyDescent="0.3">
      <c r="A35" s="93"/>
      <c r="B35" s="22" t="s">
        <v>3</v>
      </c>
      <c r="C35" s="33">
        <f>ROUND('Anexo 15'!C35*'Anexo 5'!$D$10,0)</f>
        <v>0</v>
      </c>
      <c r="D35" s="33">
        <f>ROUND('Anexo 15'!D35*'Anexo 5'!$D$10,0)</f>
        <v>0</v>
      </c>
      <c r="E35" s="33">
        <f>ROUND('Anexo 15'!E35*'Anexo 5'!$D$10,0)</f>
        <v>0</v>
      </c>
      <c r="F35" s="33">
        <f>ROUND('Anexo 15'!F35*'Anexo 5'!$D$10,0)</f>
        <v>0</v>
      </c>
      <c r="G35" s="33">
        <f>ROUND('Anexo 15'!G35*'Anexo 5'!$D$10,0)</f>
        <v>0</v>
      </c>
      <c r="H35" s="33">
        <f>ROUND('Anexo 15'!H35*'Anexo 5'!$D$10,0)</f>
        <v>0</v>
      </c>
      <c r="I35" s="33">
        <f>ROUND('Anexo 15'!I35*'Anexo 5'!$D$10,0)</f>
        <v>0</v>
      </c>
      <c r="J35" s="33">
        <f>ROUND('Anexo 15'!J35*'Anexo 5'!$D$10,0)</f>
        <v>0</v>
      </c>
      <c r="K35" s="33">
        <f>ROUND('Anexo 15'!K35*'Anexo 5'!$D$10,0)</f>
        <v>0</v>
      </c>
      <c r="L35" s="33">
        <f>ROUND('Anexo 15'!L35*'Anexo 5'!$D$10,0)</f>
        <v>0</v>
      </c>
      <c r="M35" s="33">
        <f>ROUND('Anexo 15'!M35*'Anexo 5'!$D$10,0)</f>
        <v>0</v>
      </c>
      <c r="N35" s="33">
        <f>ROUND('Anexo 15'!N35*'Anexo 5'!$D$10,0)</f>
        <v>0</v>
      </c>
      <c r="O35" s="33">
        <f>ROUND('Anexo 15'!O35*'Anexo 5'!$D$10,0)</f>
        <v>0</v>
      </c>
      <c r="P35" s="33">
        <f>ROUND('Anexo 15'!P35*'Anexo 5'!$D$10,0)</f>
        <v>0</v>
      </c>
      <c r="Q35" s="33">
        <f>ROUND('Anexo 15'!Q35*'Anexo 5'!$D$10,0)</f>
        <v>0</v>
      </c>
      <c r="R35" s="33">
        <f>ROUND('Anexo 15'!R35*'Anexo 5'!$D$10,0)</f>
        <v>0</v>
      </c>
      <c r="S35" s="33">
        <f>ROUND('Anexo 15'!S35*'Anexo 5'!$D$10,0)</f>
        <v>0</v>
      </c>
      <c r="T35" s="33">
        <f>ROUND('Anexo 15'!T35*'Anexo 5'!$D$10,0)</f>
        <v>0</v>
      </c>
      <c r="U35" s="33">
        <f>ROUND('Anexo 15'!U35*'Anexo 5'!$D$10,0)</f>
        <v>0</v>
      </c>
      <c r="V35" s="33">
        <f>ROUND('Anexo 15'!V35*'Anexo 5'!$D$10,0)</f>
        <v>0</v>
      </c>
      <c r="W35" s="33">
        <f>ROUND('Anexo 15'!W35*'Anexo 5'!$D$10,0)</f>
        <v>0</v>
      </c>
      <c r="X35" s="33">
        <f>ROUND('Anexo 15'!X35*'Anexo 5'!$D$10,0)</f>
        <v>0</v>
      </c>
      <c r="Y35" s="33">
        <f>ROUND('Anexo 15'!Y35*'Anexo 5'!$D$10,0)</f>
        <v>0</v>
      </c>
      <c r="Z35" s="33">
        <f>ROUND('Anexo 15'!Z35*'Anexo 5'!$D$10,0)</f>
        <v>0</v>
      </c>
      <c r="AA35" s="41">
        <f t="shared" si="0"/>
        <v>0</v>
      </c>
      <c r="AB35" s="23">
        <v>5</v>
      </c>
      <c r="AC35" s="96"/>
      <c r="AD35" s="48"/>
    </row>
    <row r="36" spans="1:30" ht="15.75" thickBot="1" x14ac:dyDescent="0.3">
      <c r="A36" s="93">
        <v>47788</v>
      </c>
      <c r="B36" s="18" t="s">
        <v>5</v>
      </c>
      <c r="C36" s="33">
        <f>ROUND('Anexo 15'!C36*'Anexo 5'!$D$10,0)</f>
        <v>0</v>
      </c>
      <c r="D36" s="33">
        <f>ROUND('Anexo 15'!D36*'Anexo 5'!$D$10,0)</f>
        <v>0</v>
      </c>
      <c r="E36" s="33">
        <f>ROUND('Anexo 15'!E36*'Anexo 5'!$D$10,0)</f>
        <v>0</v>
      </c>
      <c r="F36" s="33">
        <f>ROUND('Anexo 15'!F36*'Anexo 5'!$D$10,0)</f>
        <v>0</v>
      </c>
      <c r="G36" s="33">
        <f>ROUND('Anexo 15'!G36*'Anexo 5'!$D$10,0)</f>
        <v>0</v>
      </c>
      <c r="H36" s="33">
        <f>ROUND('Anexo 15'!H36*'Anexo 5'!$D$10,0)</f>
        <v>0</v>
      </c>
      <c r="I36" s="33">
        <f>ROUND('Anexo 15'!I36*'Anexo 5'!$D$10,0)</f>
        <v>0</v>
      </c>
      <c r="J36" s="33">
        <f>ROUND('Anexo 15'!J36*'Anexo 5'!$D$10,0)</f>
        <v>0</v>
      </c>
      <c r="K36" s="33">
        <f>ROUND('Anexo 15'!K36*'Anexo 5'!$D$10,0)</f>
        <v>0</v>
      </c>
      <c r="L36" s="33">
        <f>ROUND('Anexo 15'!L36*'Anexo 5'!$D$10,0)</f>
        <v>0</v>
      </c>
      <c r="M36" s="33">
        <f>ROUND('Anexo 15'!M36*'Anexo 5'!$D$10,0)</f>
        <v>0</v>
      </c>
      <c r="N36" s="33">
        <f>ROUND('Anexo 15'!N36*'Anexo 5'!$D$10,0)</f>
        <v>0</v>
      </c>
      <c r="O36" s="33">
        <f>ROUND('Anexo 15'!O36*'Anexo 5'!$D$10,0)</f>
        <v>0</v>
      </c>
      <c r="P36" s="33">
        <f>ROUND('Anexo 15'!P36*'Anexo 5'!$D$10,0)</f>
        <v>0</v>
      </c>
      <c r="Q36" s="33">
        <f>ROUND('Anexo 15'!Q36*'Anexo 5'!$D$10,0)</f>
        <v>0</v>
      </c>
      <c r="R36" s="33">
        <f>ROUND('Anexo 15'!R36*'Anexo 5'!$D$10,0)</f>
        <v>0</v>
      </c>
      <c r="S36" s="33">
        <f>ROUND('Anexo 15'!S36*'Anexo 5'!$D$10,0)</f>
        <v>0</v>
      </c>
      <c r="T36" s="33">
        <f>ROUND('Anexo 15'!T36*'Anexo 5'!$D$10,0)</f>
        <v>0</v>
      </c>
      <c r="U36" s="33">
        <f>ROUND('Anexo 15'!U36*'Anexo 5'!$D$10,0)</f>
        <v>0</v>
      </c>
      <c r="V36" s="33">
        <f>ROUND('Anexo 15'!V36*'Anexo 5'!$D$10,0)</f>
        <v>0</v>
      </c>
      <c r="W36" s="33">
        <f>ROUND('Anexo 15'!W36*'Anexo 5'!$D$10,0)</f>
        <v>0</v>
      </c>
      <c r="X36" s="33">
        <f>ROUND('Anexo 15'!X36*'Anexo 5'!$D$10,0)</f>
        <v>0</v>
      </c>
      <c r="Y36" s="33">
        <f>ROUND('Anexo 15'!Y36*'Anexo 5'!$D$10,0)</f>
        <v>0</v>
      </c>
      <c r="Z36" s="33">
        <f>ROUND('Anexo 15'!Z36*'Anexo 5'!$D$10,0)</f>
        <v>0</v>
      </c>
      <c r="AA36" s="35">
        <f t="shared" si="0"/>
        <v>0</v>
      </c>
      <c r="AB36" s="19">
        <v>19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ROUND('Anexo 15'!C37*'Anexo 5'!$D$10,0)</f>
        <v>0</v>
      </c>
      <c r="D37" s="33">
        <f>ROUND('Anexo 15'!D37*'Anexo 5'!$D$10,0)</f>
        <v>0</v>
      </c>
      <c r="E37" s="33">
        <f>ROUND('Anexo 15'!E37*'Anexo 5'!$D$10,0)</f>
        <v>0</v>
      </c>
      <c r="F37" s="33">
        <f>ROUND('Anexo 15'!F37*'Anexo 5'!$D$10,0)</f>
        <v>0</v>
      </c>
      <c r="G37" s="33">
        <f>ROUND('Anexo 15'!G37*'Anexo 5'!$D$10,0)</f>
        <v>0</v>
      </c>
      <c r="H37" s="33">
        <f>ROUND('Anexo 15'!H37*'Anexo 5'!$D$10,0)</f>
        <v>0</v>
      </c>
      <c r="I37" s="33">
        <f>ROUND('Anexo 15'!I37*'Anexo 5'!$D$10,0)</f>
        <v>0</v>
      </c>
      <c r="J37" s="33">
        <f>ROUND('Anexo 15'!J37*'Anexo 5'!$D$10,0)</f>
        <v>0</v>
      </c>
      <c r="K37" s="33">
        <f>ROUND('Anexo 15'!K37*'Anexo 5'!$D$10,0)</f>
        <v>0</v>
      </c>
      <c r="L37" s="33">
        <f>ROUND('Anexo 15'!L37*'Anexo 5'!$D$10,0)</f>
        <v>0</v>
      </c>
      <c r="M37" s="33">
        <f>ROUND('Anexo 15'!M37*'Anexo 5'!$D$10,0)</f>
        <v>0</v>
      </c>
      <c r="N37" s="33">
        <f>ROUND('Anexo 15'!N37*'Anexo 5'!$D$10,0)</f>
        <v>0</v>
      </c>
      <c r="O37" s="33">
        <f>ROUND('Anexo 15'!O37*'Anexo 5'!$D$10,0)</f>
        <v>0</v>
      </c>
      <c r="P37" s="33">
        <f>ROUND('Anexo 15'!P37*'Anexo 5'!$D$10,0)</f>
        <v>0</v>
      </c>
      <c r="Q37" s="33">
        <f>ROUND('Anexo 15'!Q37*'Anexo 5'!$D$10,0)</f>
        <v>0</v>
      </c>
      <c r="R37" s="33">
        <f>ROUND('Anexo 15'!R37*'Anexo 5'!$D$10,0)</f>
        <v>0</v>
      </c>
      <c r="S37" s="33">
        <f>ROUND('Anexo 15'!S37*'Anexo 5'!$D$10,0)</f>
        <v>0</v>
      </c>
      <c r="T37" s="33">
        <f>ROUND('Anexo 15'!T37*'Anexo 5'!$D$10,0)</f>
        <v>0</v>
      </c>
      <c r="U37" s="33">
        <f>ROUND('Anexo 15'!U37*'Anexo 5'!$D$10,0)</f>
        <v>0</v>
      </c>
      <c r="V37" s="33">
        <f>ROUND('Anexo 15'!V37*'Anexo 5'!$D$10,0)</f>
        <v>0</v>
      </c>
      <c r="W37" s="33">
        <f>ROUND('Anexo 15'!W37*'Anexo 5'!$D$10,0)</f>
        <v>0</v>
      </c>
      <c r="X37" s="33">
        <f>ROUND('Anexo 15'!X37*'Anexo 5'!$D$10,0)</f>
        <v>0</v>
      </c>
      <c r="Y37" s="33">
        <f>ROUND('Anexo 15'!Y37*'Anexo 5'!$D$10,0)</f>
        <v>0</v>
      </c>
      <c r="Z37" s="33">
        <f>ROUND('Anexo 15'!Z37*'Anexo 5'!$D$10,0)</f>
        <v>0</v>
      </c>
      <c r="AA37" s="38">
        <f t="shared" si="0"/>
        <v>0</v>
      </c>
      <c r="AB37" s="21">
        <v>5</v>
      </c>
      <c r="AC37" s="95"/>
      <c r="AD37" s="47"/>
    </row>
    <row r="38" spans="1:30" ht="15.75" thickBot="1" x14ac:dyDescent="0.3">
      <c r="A38" s="93"/>
      <c r="B38" s="22" t="s">
        <v>3</v>
      </c>
      <c r="C38" s="33">
        <f>ROUND('Anexo 15'!C38*'Anexo 5'!$D$10,0)</f>
        <v>0</v>
      </c>
      <c r="D38" s="33">
        <f>ROUND('Anexo 15'!D38*'Anexo 5'!$D$10,0)</f>
        <v>0</v>
      </c>
      <c r="E38" s="33">
        <f>ROUND('Anexo 15'!E38*'Anexo 5'!$D$10,0)</f>
        <v>0</v>
      </c>
      <c r="F38" s="33">
        <f>ROUND('Anexo 15'!F38*'Anexo 5'!$D$10,0)</f>
        <v>0</v>
      </c>
      <c r="G38" s="33">
        <f>ROUND('Anexo 15'!G38*'Anexo 5'!$D$10,0)</f>
        <v>0</v>
      </c>
      <c r="H38" s="33">
        <f>ROUND('Anexo 15'!H38*'Anexo 5'!$D$10,0)</f>
        <v>0</v>
      </c>
      <c r="I38" s="33">
        <f>ROUND('Anexo 15'!I38*'Anexo 5'!$D$10,0)</f>
        <v>0</v>
      </c>
      <c r="J38" s="33">
        <f>ROUND('Anexo 15'!J38*'Anexo 5'!$D$10,0)</f>
        <v>0</v>
      </c>
      <c r="K38" s="33">
        <f>ROUND('Anexo 15'!K38*'Anexo 5'!$D$10,0)</f>
        <v>0</v>
      </c>
      <c r="L38" s="33">
        <f>ROUND('Anexo 15'!L38*'Anexo 5'!$D$10,0)</f>
        <v>0</v>
      </c>
      <c r="M38" s="33">
        <f>ROUND('Anexo 15'!M38*'Anexo 5'!$D$10,0)</f>
        <v>0</v>
      </c>
      <c r="N38" s="33">
        <f>ROUND('Anexo 15'!N38*'Anexo 5'!$D$10,0)</f>
        <v>0</v>
      </c>
      <c r="O38" s="33">
        <f>ROUND('Anexo 15'!O38*'Anexo 5'!$D$10,0)</f>
        <v>0</v>
      </c>
      <c r="P38" s="33">
        <f>ROUND('Anexo 15'!P38*'Anexo 5'!$D$10,0)</f>
        <v>0</v>
      </c>
      <c r="Q38" s="33">
        <f>ROUND('Anexo 15'!Q38*'Anexo 5'!$D$10,0)</f>
        <v>0</v>
      </c>
      <c r="R38" s="33">
        <f>ROUND('Anexo 15'!R38*'Anexo 5'!$D$10,0)</f>
        <v>0</v>
      </c>
      <c r="S38" s="33">
        <f>ROUND('Anexo 15'!S38*'Anexo 5'!$D$10,0)</f>
        <v>0</v>
      </c>
      <c r="T38" s="33">
        <f>ROUND('Anexo 15'!T38*'Anexo 5'!$D$10,0)</f>
        <v>0</v>
      </c>
      <c r="U38" s="33">
        <f>ROUND('Anexo 15'!U38*'Anexo 5'!$D$10,0)</f>
        <v>0</v>
      </c>
      <c r="V38" s="33">
        <f>ROUND('Anexo 15'!V38*'Anexo 5'!$D$10,0)</f>
        <v>0</v>
      </c>
      <c r="W38" s="33">
        <f>ROUND('Anexo 15'!W38*'Anexo 5'!$D$10,0)</f>
        <v>0</v>
      </c>
      <c r="X38" s="33">
        <f>ROUND('Anexo 15'!X38*'Anexo 5'!$D$10,0)</f>
        <v>0</v>
      </c>
      <c r="Y38" s="33">
        <f>ROUND('Anexo 15'!Y38*'Anexo 5'!$D$10,0)</f>
        <v>0</v>
      </c>
      <c r="Z38" s="33">
        <f>ROUND('Anexo 15'!Z38*'Anexo 5'!$D$10,0)</f>
        <v>0</v>
      </c>
      <c r="AA38" s="41">
        <f t="shared" si="0"/>
        <v>0</v>
      </c>
      <c r="AB38" s="23">
        <v>6</v>
      </c>
      <c r="AC38" s="96"/>
      <c r="AD38" s="49"/>
    </row>
    <row r="39" spans="1:30" ht="15.75" thickBot="1" x14ac:dyDescent="0.3">
      <c r="A39" s="93">
        <v>47818</v>
      </c>
      <c r="B39" s="18" t="s">
        <v>5</v>
      </c>
      <c r="C39" s="33">
        <f>ROUND('Anexo 15'!C39*'Anexo 5'!$D$10,0)</f>
        <v>0</v>
      </c>
      <c r="D39" s="33">
        <f>ROUND('Anexo 15'!D39*'Anexo 5'!$D$10,0)</f>
        <v>0</v>
      </c>
      <c r="E39" s="33">
        <f>ROUND('Anexo 15'!E39*'Anexo 5'!$D$10,0)</f>
        <v>0</v>
      </c>
      <c r="F39" s="33">
        <f>ROUND('Anexo 15'!F39*'Anexo 5'!$D$10,0)</f>
        <v>0</v>
      </c>
      <c r="G39" s="33">
        <f>ROUND('Anexo 15'!G39*'Anexo 5'!$D$10,0)</f>
        <v>0</v>
      </c>
      <c r="H39" s="33">
        <f>ROUND('Anexo 15'!H39*'Anexo 5'!$D$10,0)</f>
        <v>0</v>
      </c>
      <c r="I39" s="33">
        <f>ROUND('Anexo 15'!I39*'Anexo 5'!$D$10,0)</f>
        <v>0</v>
      </c>
      <c r="J39" s="33">
        <f>ROUND('Anexo 15'!J39*'Anexo 5'!$D$10,0)</f>
        <v>0</v>
      </c>
      <c r="K39" s="33">
        <f>ROUND('Anexo 15'!K39*'Anexo 5'!$D$10,0)</f>
        <v>0</v>
      </c>
      <c r="L39" s="33">
        <f>ROUND('Anexo 15'!L39*'Anexo 5'!$D$10,0)</f>
        <v>0</v>
      </c>
      <c r="M39" s="33">
        <f>ROUND('Anexo 15'!M39*'Anexo 5'!$D$10,0)</f>
        <v>0</v>
      </c>
      <c r="N39" s="33">
        <f>ROUND('Anexo 15'!N39*'Anexo 5'!$D$10,0)</f>
        <v>0</v>
      </c>
      <c r="O39" s="33">
        <f>ROUND('Anexo 15'!O39*'Anexo 5'!$D$10,0)</f>
        <v>0</v>
      </c>
      <c r="P39" s="33">
        <f>ROUND('Anexo 15'!P39*'Anexo 5'!$D$10,0)</f>
        <v>0</v>
      </c>
      <c r="Q39" s="33">
        <f>ROUND('Anexo 15'!Q39*'Anexo 5'!$D$10,0)</f>
        <v>0</v>
      </c>
      <c r="R39" s="33">
        <f>ROUND('Anexo 15'!R39*'Anexo 5'!$D$10,0)</f>
        <v>0</v>
      </c>
      <c r="S39" s="33">
        <f>ROUND('Anexo 15'!S39*'Anexo 5'!$D$10,0)</f>
        <v>0</v>
      </c>
      <c r="T39" s="33">
        <f>ROUND('Anexo 15'!T39*'Anexo 5'!$D$10,0)</f>
        <v>0</v>
      </c>
      <c r="U39" s="33">
        <f>ROUND('Anexo 15'!U39*'Anexo 5'!$D$10,0)</f>
        <v>0</v>
      </c>
      <c r="V39" s="33">
        <f>ROUND('Anexo 15'!V39*'Anexo 5'!$D$10,0)</f>
        <v>0</v>
      </c>
      <c r="W39" s="33">
        <f>ROUND('Anexo 15'!W39*'Anexo 5'!$D$10,0)</f>
        <v>0</v>
      </c>
      <c r="X39" s="33">
        <f>ROUND('Anexo 15'!X39*'Anexo 5'!$D$10,0)</f>
        <v>0</v>
      </c>
      <c r="Y39" s="33">
        <f>ROUND('Anexo 15'!Y39*'Anexo 5'!$D$10,0)</f>
        <v>0</v>
      </c>
      <c r="Z39" s="33">
        <f>ROUND('Anexo 15'!Z39*'Anexo 5'!$D$10,0)</f>
        <v>0</v>
      </c>
      <c r="AA39" s="35">
        <f t="shared" si="0"/>
        <v>0</v>
      </c>
      <c r="AB39" s="19">
        <v>21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ROUND('Anexo 15'!C40*'Anexo 5'!$D$10,0)</f>
        <v>0</v>
      </c>
      <c r="D40" s="33">
        <f>ROUND('Anexo 15'!D40*'Anexo 5'!$D$10,0)</f>
        <v>0</v>
      </c>
      <c r="E40" s="33">
        <f>ROUND('Anexo 15'!E40*'Anexo 5'!$D$10,0)</f>
        <v>0</v>
      </c>
      <c r="F40" s="33">
        <f>ROUND('Anexo 15'!F40*'Anexo 5'!$D$10,0)</f>
        <v>0</v>
      </c>
      <c r="G40" s="33">
        <f>ROUND('Anexo 15'!G40*'Anexo 5'!$D$10,0)</f>
        <v>0</v>
      </c>
      <c r="H40" s="33">
        <f>ROUND('Anexo 15'!H40*'Anexo 5'!$D$10,0)</f>
        <v>0</v>
      </c>
      <c r="I40" s="33">
        <f>ROUND('Anexo 15'!I40*'Anexo 5'!$D$10,0)</f>
        <v>0</v>
      </c>
      <c r="J40" s="33">
        <f>ROUND('Anexo 15'!J40*'Anexo 5'!$D$10,0)</f>
        <v>0</v>
      </c>
      <c r="K40" s="33">
        <f>ROUND('Anexo 15'!K40*'Anexo 5'!$D$10,0)</f>
        <v>0</v>
      </c>
      <c r="L40" s="33">
        <f>ROUND('Anexo 15'!L40*'Anexo 5'!$D$10,0)</f>
        <v>0</v>
      </c>
      <c r="M40" s="33">
        <f>ROUND('Anexo 15'!M40*'Anexo 5'!$D$10,0)</f>
        <v>0</v>
      </c>
      <c r="N40" s="33">
        <f>ROUND('Anexo 15'!N40*'Anexo 5'!$D$10,0)</f>
        <v>0</v>
      </c>
      <c r="O40" s="33">
        <f>ROUND('Anexo 15'!O40*'Anexo 5'!$D$10,0)</f>
        <v>0</v>
      </c>
      <c r="P40" s="33">
        <f>ROUND('Anexo 15'!P40*'Anexo 5'!$D$10,0)</f>
        <v>0</v>
      </c>
      <c r="Q40" s="33">
        <f>ROUND('Anexo 15'!Q40*'Anexo 5'!$D$10,0)</f>
        <v>0</v>
      </c>
      <c r="R40" s="33">
        <f>ROUND('Anexo 15'!R40*'Anexo 5'!$D$10,0)</f>
        <v>0</v>
      </c>
      <c r="S40" s="33">
        <f>ROUND('Anexo 15'!S40*'Anexo 5'!$D$10,0)</f>
        <v>0</v>
      </c>
      <c r="T40" s="33">
        <f>ROUND('Anexo 15'!T40*'Anexo 5'!$D$10,0)</f>
        <v>0</v>
      </c>
      <c r="U40" s="33">
        <f>ROUND('Anexo 15'!U40*'Anexo 5'!$D$10,0)</f>
        <v>0</v>
      </c>
      <c r="V40" s="33">
        <f>ROUND('Anexo 15'!V40*'Anexo 5'!$D$10,0)</f>
        <v>0</v>
      </c>
      <c r="W40" s="33">
        <f>ROUND('Anexo 15'!W40*'Anexo 5'!$D$10,0)</f>
        <v>0</v>
      </c>
      <c r="X40" s="33">
        <f>ROUND('Anexo 15'!X40*'Anexo 5'!$D$10,0)</f>
        <v>0</v>
      </c>
      <c r="Y40" s="33">
        <f>ROUND('Anexo 15'!Y40*'Anexo 5'!$D$10,0)</f>
        <v>0</v>
      </c>
      <c r="Z40" s="33">
        <f>ROUND('Anexo 15'!Z40*'Anexo 5'!$D$10,0)</f>
        <v>0</v>
      </c>
      <c r="AA40" s="38">
        <f t="shared" si="0"/>
        <v>0</v>
      </c>
      <c r="AB40" s="21">
        <v>4</v>
      </c>
      <c r="AC40" s="95"/>
      <c r="AD40" s="47"/>
    </row>
    <row r="41" spans="1:30" ht="15.75" thickBot="1" x14ac:dyDescent="0.3">
      <c r="A41" s="93"/>
      <c r="B41" s="22" t="s">
        <v>3</v>
      </c>
      <c r="C41" s="33">
        <f>ROUND('Anexo 15'!C41*'Anexo 5'!$D$10,0)</f>
        <v>0</v>
      </c>
      <c r="D41" s="33">
        <f>ROUND('Anexo 15'!D41*'Anexo 5'!$D$10,0)</f>
        <v>0</v>
      </c>
      <c r="E41" s="33">
        <f>ROUND('Anexo 15'!E41*'Anexo 5'!$D$10,0)</f>
        <v>0</v>
      </c>
      <c r="F41" s="33">
        <f>ROUND('Anexo 15'!F41*'Anexo 5'!$D$10,0)</f>
        <v>0</v>
      </c>
      <c r="G41" s="33">
        <f>ROUND('Anexo 15'!G41*'Anexo 5'!$D$10,0)</f>
        <v>0</v>
      </c>
      <c r="H41" s="33">
        <f>ROUND('Anexo 15'!H41*'Anexo 5'!$D$10,0)</f>
        <v>0</v>
      </c>
      <c r="I41" s="33">
        <f>ROUND('Anexo 15'!I41*'Anexo 5'!$D$10,0)</f>
        <v>0</v>
      </c>
      <c r="J41" s="33">
        <f>ROUND('Anexo 15'!J41*'Anexo 5'!$D$10,0)</f>
        <v>0</v>
      </c>
      <c r="K41" s="33">
        <f>ROUND('Anexo 15'!K41*'Anexo 5'!$D$10,0)</f>
        <v>0</v>
      </c>
      <c r="L41" s="33">
        <f>ROUND('Anexo 15'!L41*'Anexo 5'!$D$10,0)</f>
        <v>0</v>
      </c>
      <c r="M41" s="33">
        <f>ROUND('Anexo 15'!M41*'Anexo 5'!$D$10,0)</f>
        <v>0</v>
      </c>
      <c r="N41" s="33">
        <f>ROUND('Anexo 15'!N41*'Anexo 5'!$D$10,0)</f>
        <v>0</v>
      </c>
      <c r="O41" s="33">
        <f>ROUND('Anexo 15'!O41*'Anexo 5'!$D$10,0)</f>
        <v>0</v>
      </c>
      <c r="P41" s="33">
        <f>ROUND('Anexo 15'!P41*'Anexo 5'!$D$10,0)</f>
        <v>0</v>
      </c>
      <c r="Q41" s="33">
        <f>ROUND('Anexo 15'!Q41*'Anexo 5'!$D$10,0)</f>
        <v>0</v>
      </c>
      <c r="R41" s="33">
        <f>ROUND('Anexo 15'!R41*'Anexo 5'!$D$10,0)</f>
        <v>0</v>
      </c>
      <c r="S41" s="33">
        <f>ROUND('Anexo 15'!S41*'Anexo 5'!$D$10,0)</f>
        <v>0</v>
      </c>
      <c r="T41" s="33">
        <f>ROUND('Anexo 15'!T41*'Anexo 5'!$D$10,0)</f>
        <v>0</v>
      </c>
      <c r="U41" s="33">
        <f>ROUND('Anexo 15'!U41*'Anexo 5'!$D$10,0)</f>
        <v>0</v>
      </c>
      <c r="V41" s="33">
        <f>ROUND('Anexo 15'!V41*'Anexo 5'!$D$10,0)</f>
        <v>0</v>
      </c>
      <c r="W41" s="33">
        <f>ROUND('Anexo 15'!W41*'Anexo 5'!$D$10,0)</f>
        <v>0</v>
      </c>
      <c r="X41" s="33">
        <f>ROUND('Anexo 15'!X41*'Anexo 5'!$D$10,0)</f>
        <v>0</v>
      </c>
      <c r="Y41" s="33">
        <f>ROUND('Anexo 15'!Y41*'Anexo 5'!$D$10,0)</f>
        <v>0</v>
      </c>
      <c r="Z41" s="33">
        <f>ROUND('Anexo 15'!Z41*'Anexo 5'!$D$10,0)</f>
        <v>0</v>
      </c>
      <c r="AA41" s="41">
        <f t="shared" si="0"/>
        <v>0</v>
      </c>
      <c r="AB41" s="23">
        <v>6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35E0-29B2-4565-9B1E-79BFC59CE816}">
  <sheetPr>
    <tabColor theme="7" tint="-0.249977111117893"/>
  </sheetPr>
  <dimension ref="A1:XFC36"/>
  <sheetViews>
    <sheetView showGridLines="0" topLeftCell="A20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22.855468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6" t="s">
        <v>80</v>
      </c>
      <c r="C3" s="76"/>
      <c r="D3" s="76"/>
      <c r="E3" s="76"/>
      <c r="F3" s="76"/>
      <c r="G3" s="29"/>
    </row>
    <row r="4" spans="1:8" x14ac:dyDescent="0.25">
      <c r="B4" s="76" t="s">
        <v>78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1:8" ht="23.25" customHeight="1" x14ac:dyDescent="0.25"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47849</v>
      </c>
      <c r="C10" s="43">
        <f>+'Anexo 16'!AC6</f>
        <v>3738729</v>
      </c>
      <c r="D10" s="73"/>
      <c r="E10" s="57">
        <f>+'Cantidades Ofertadas Prod 6'!AC6</f>
        <v>0</v>
      </c>
      <c r="F10" s="99"/>
      <c r="G10" s="32"/>
      <c r="H10" s="66"/>
    </row>
    <row r="11" spans="1:8" ht="15.75" thickBot="1" x14ac:dyDescent="0.3">
      <c r="A11" s="59">
        <v>29</v>
      </c>
      <c r="B11" s="8">
        <v>47880</v>
      </c>
      <c r="C11" s="43">
        <f>+'Anexo 16'!AC9</f>
        <v>3289036</v>
      </c>
      <c r="D11" s="74"/>
      <c r="E11" s="57">
        <f>+'Cantidades Ofertadas Prod 6'!AC9</f>
        <v>0</v>
      </c>
      <c r="F11" s="100"/>
      <c r="G11" s="32"/>
      <c r="H11" s="66"/>
    </row>
    <row r="12" spans="1:8" ht="15.75" thickBot="1" x14ac:dyDescent="0.3">
      <c r="A12" s="59">
        <v>31</v>
      </c>
      <c r="B12" s="8">
        <v>47908</v>
      </c>
      <c r="C12" s="43">
        <f>+'Anexo 16'!AC12</f>
        <v>3725907</v>
      </c>
      <c r="D12" s="74"/>
      <c r="E12" s="57">
        <f>+'Cantidades Ofertadas Prod 6'!AC12</f>
        <v>0</v>
      </c>
      <c r="F12" s="100"/>
      <c r="G12" s="32"/>
      <c r="H12" s="66"/>
    </row>
    <row r="13" spans="1:8" ht="15.75" thickBot="1" x14ac:dyDescent="0.3">
      <c r="A13" s="59">
        <v>30</v>
      </c>
      <c r="B13" s="8">
        <v>47939</v>
      </c>
      <c r="C13" s="43">
        <f>+'Anexo 16'!AC15</f>
        <v>3412160</v>
      </c>
      <c r="D13" s="74"/>
      <c r="E13" s="57">
        <f>+'Cantidades Ofertadas Prod 6'!AC15</f>
        <v>0</v>
      </c>
      <c r="F13" s="100"/>
      <c r="G13" s="32"/>
      <c r="H13" s="66"/>
    </row>
    <row r="14" spans="1:8" ht="15.75" thickBot="1" x14ac:dyDescent="0.3">
      <c r="A14" s="59">
        <v>31</v>
      </c>
      <c r="B14" s="8">
        <v>47969</v>
      </c>
      <c r="C14" s="43">
        <f>+'Anexo 16'!AC18</f>
        <v>3585507</v>
      </c>
      <c r="D14" s="74"/>
      <c r="E14" s="57">
        <f>+'Cantidades Ofertadas Prod 6'!AC18</f>
        <v>0</v>
      </c>
      <c r="F14" s="100"/>
      <c r="G14" s="32"/>
      <c r="H14" s="66"/>
    </row>
    <row r="15" spans="1:8" ht="15.75" thickBot="1" x14ac:dyDescent="0.3">
      <c r="A15" s="59">
        <v>30</v>
      </c>
      <c r="B15" s="8">
        <v>48000</v>
      </c>
      <c r="C15" s="43">
        <f>+'Anexo 16'!AC21</f>
        <v>3504900</v>
      </c>
      <c r="D15" s="74"/>
      <c r="E15" s="57">
        <f>+'Cantidades Ofertadas Prod 6'!AC21</f>
        <v>0</v>
      </c>
      <c r="F15" s="100"/>
      <c r="G15" s="32"/>
      <c r="H15" s="66"/>
    </row>
    <row r="16" spans="1:8" ht="15.75" thickBot="1" x14ac:dyDescent="0.3">
      <c r="A16" s="59">
        <v>31</v>
      </c>
      <c r="B16" s="8">
        <v>48030</v>
      </c>
      <c r="C16" s="43">
        <f>+'Anexo 16'!AC24</f>
        <v>3781734</v>
      </c>
      <c r="D16" s="74"/>
      <c r="E16" s="57">
        <f>+'Cantidades Ofertadas Prod 6'!AC24</f>
        <v>0</v>
      </c>
      <c r="F16" s="100"/>
      <c r="G16" s="32"/>
      <c r="H16" s="66"/>
    </row>
    <row r="17" spans="1:8" ht="15.75" thickBot="1" x14ac:dyDescent="0.3">
      <c r="A17" s="59">
        <v>31</v>
      </c>
      <c r="B17" s="8">
        <v>48061</v>
      </c>
      <c r="C17" s="43">
        <f>+'Anexo 16'!AC27</f>
        <v>3811512</v>
      </c>
      <c r="D17" s="74"/>
      <c r="E17" s="57">
        <f>+'Cantidades Ofertadas Prod 6'!AC27</f>
        <v>0</v>
      </c>
      <c r="F17" s="100"/>
      <c r="G17" s="32"/>
      <c r="H17" s="66"/>
    </row>
    <row r="18" spans="1:8" ht="15.75" thickBot="1" x14ac:dyDescent="0.3">
      <c r="A18" s="59">
        <v>30</v>
      </c>
      <c r="B18" s="8">
        <v>48092</v>
      </c>
      <c r="C18" s="43">
        <f>+'Anexo 16'!AC30</f>
        <v>3828576</v>
      </c>
      <c r="D18" s="74"/>
      <c r="E18" s="57">
        <f>+'Cantidades Ofertadas Prod 6'!AC30</f>
        <v>0</v>
      </c>
      <c r="F18" s="100"/>
      <c r="G18" s="32"/>
      <c r="H18" s="66"/>
    </row>
    <row r="19" spans="1:8" ht="15.75" thickBot="1" x14ac:dyDescent="0.3">
      <c r="A19" s="59">
        <v>31</v>
      </c>
      <c r="B19" s="8">
        <v>48122</v>
      </c>
      <c r="C19" s="43">
        <f>+'Anexo 16'!AC33</f>
        <v>3679947</v>
      </c>
      <c r="D19" s="74"/>
      <c r="E19" s="57">
        <f>+'Cantidades Ofertadas Prod 6'!AC33</f>
        <v>0</v>
      </c>
      <c r="F19" s="100"/>
      <c r="G19" s="32"/>
      <c r="H19" s="66"/>
    </row>
    <row r="20" spans="1:8" ht="15.75" thickBot="1" x14ac:dyDescent="0.3">
      <c r="A20" s="59">
        <v>30</v>
      </c>
      <c r="B20" s="8">
        <v>48153</v>
      </c>
      <c r="C20" s="43">
        <f>+'Anexo 16'!AC36</f>
        <v>3426382</v>
      </c>
      <c r="D20" s="74"/>
      <c r="E20" s="57">
        <f>+'Cantidades Ofertadas Prod 6'!AC36</f>
        <v>0</v>
      </c>
      <c r="F20" s="100"/>
      <c r="G20" s="32"/>
      <c r="H20" s="66"/>
    </row>
    <row r="21" spans="1:8" ht="15.75" thickBot="1" x14ac:dyDescent="0.3">
      <c r="A21" s="59">
        <v>31</v>
      </c>
      <c r="B21" s="8">
        <v>48183</v>
      </c>
      <c r="C21" s="43">
        <f>+'Anexo 16'!AC39</f>
        <v>3793601</v>
      </c>
      <c r="D21" s="75"/>
      <c r="E21" s="57">
        <f>+'Cantidades Ofertadas Prod 6'!AC39</f>
        <v>0</v>
      </c>
      <c r="F21" s="101"/>
      <c r="G21" s="32"/>
      <c r="H21" s="66"/>
    </row>
    <row r="22" spans="1:8" ht="28.5" customHeight="1" x14ac:dyDescent="0.25">
      <c r="B22" s="9" t="s">
        <v>0</v>
      </c>
      <c r="C22" s="10">
        <f>+SUM(C10:C21)</f>
        <v>43577991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69" t="s">
        <v>46</v>
      </c>
      <c r="C25" s="69"/>
      <c r="D25" s="69"/>
      <c r="E25" s="69"/>
      <c r="F25" s="69"/>
      <c r="G25" s="69"/>
      <c r="H25" s="42"/>
    </row>
    <row r="26" spans="1:8" x14ac:dyDescent="0.25">
      <c r="B26" s="7" t="s">
        <v>104</v>
      </c>
      <c r="C26" s="52"/>
      <c r="D26" s="52"/>
      <c r="E26" s="52"/>
      <c r="F26" s="52"/>
      <c r="G26" s="52"/>
      <c r="H26" s="42"/>
    </row>
    <row r="27" spans="1:8" x14ac:dyDescent="0.25">
      <c r="B27" s="7" t="s">
        <v>85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116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4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83D15ABA-9ACF-45C5-844A-B21EB694D032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47E-EB38-44D8-A1D5-39A69B36BA5A}">
  <sheetPr>
    <tabColor theme="7" tint="-0.249977111117893"/>
  </sheetPr>
  <dimension ref="A1:H33"/>
  <sheetViews>
    <sheetView showGridLines="0" topLeftCell="A13" zoomScaleNormal="100" zoomScaleSheetLayoutView="140" workbookViewId="0">
      <selection activeCell="D10" sqref="D10:D21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6" t="s">
        <v>117</v>
      </c>
      <c r="C3" s="76"/>
      <c r="D3" s="76"/>
      <c r="E3" s="76"/>
      <c r="F3" s="76"/>
      <c r="G3" s="29"/>
    </row>
    <row r="4" spans="1:8" ht="15" x14ac:dyDescent="0.25">
      <c r="B4" s="76" t="s">
        <v>78</v>
      </c>
      <c r="C4" s="76"/>
      <c r="D4" s="76"/>
      <c r="E4" s="76"/>
      <c r="F4" s="76"/>
      <c r="G4" s="29"/>
    </row>
    <row r="5" spans="1:8" ht="15" x14ac:dyDescent="0.25">
      <c r="B5" s="76" t="s">
        <v>90</v>
      </c>
      <c r="C5" s="76"/>
      <c r="D5" s="76"/>
      <c r="E5" s="76"/>
      <c r="F5" s="76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77" t="s">
        <v>1</v>
      </c>
      <c r="C8" s="77" t="s">
        <v>56</v>
      </c>
      <c r="D8" s="77" t="s">
        <v>66</v>
      </c>
      <c r="E8" s="77" t="s">
        <v>37</v>
      </c>
      <c r="F8" s="77" t="s">
        <v>42</v>
      </c>
      <c r="G8" s="28"/>
    </row>
    <row r="9" spans="1:8" ht="23.25" customHeight="1" x14ac:dyDescent="0.25">
      <c r="A9" s="63">
        <v>500</v>
      </c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47849</v>
      </c>
      <c r="C10" s="43">
        <f>+$A$9*A10*24</f>
        <v>372000</v>
      </c>
      <c r="D10" s="79"/>
      <c r="E10" s="57">
        <f>+$D$10*A10*24</f>
        <v>0</v>
      </c>
      <c r="F10" s="70"/>
      <c r="G10" s="32"/>
      <c r="H10" s="51"/>
    </row>
    <row r="11" spans="1:8" ht="15.75" thickBot="1" x14ac:dyDescent="0.3">
      <c r="A11" s="59">
        <v>28</v>
      </c>
      <c r="B11" s="8">
        <v>47880</v>
      </c>
      <c r="C11" s="43">
        <f t="shared" ref="C11:C21" si="0">+$A$9*A11*24</f>
        <v>336000</v>
      </c>
      <c r="D11" s="80"/>
      <c r="E11" s="57">
        <f t="shared" ref="E11:E21" si="1">+$D$10*A11*24</f>
        <v>0</v>
      </c>
      <c r="F11" s="71"/>
      <c r="G11" s="32"/>
      <c r="H11" s="51"/>
    </row>
    <row r="12" spans="1:8" ht="15.75" thickBot="1" x14ac:dyDescent="0.3">
      <c r="A12" s="59">
        <v>31</v>
      </c>
      <c r="B12" s="8">
        <v>47908</v>
      </c>
      <c r="C12" s="43">
        <f t="shared" si="0"/>
        <v>372000</v>
      </c>
      <c r="D12" s="80"/>
      <c r="E12" s="57">
        <f t="shared" si="1"/>
        <v>0</v>
      </c>
      <c r="F12" s="71"/>
      <c r="G12" s="32"/>
      <c r="H12" s="51"/>
    </row>
    <row r="13" spans="1:8" ht="15.75" thickBot="1" x14ac:dyDescent="0.3">
      <c r="A13" s="59">
        <v>30</v>
      </c>
      <c r="B13" s="8">
        <v>47939</v>
      </c>
      <c r="C13" s="43">
        <f t="shared" si="0"/>
        <v>360000</v>
      </c>
      <c r="D13" s="80"/>
      <c r="E13" s="57">
        <f t="shared" si="1"/>
        <v>0</v>
      </c>
      <c r="F13" s="71"/>
      <c r="G13" s="32"/>
      <c r="H13" s="51"/>
    </row>
    <row r="14" spans="1:8" ht="15.75" thickBot="1" x14ac:dyDescent="0.3">
      <c r="A14" s="59">
        <v>31</v>
      </c>
      <c r="B14" s="8">
        <v>47969</v>
      </c>
      <c r="C14" s="43">
        <f t="shared" si="0"/>
        <v>372000</v>
      </c>
      <c r="D14" s="80"/>
      <c r="E14" s="57">
        <f t="shared" si="1"/>
        <v>0</v>
      </c>
      <c r="F14" s="71"/>
      <c r="G14" s="32"/>
      <c r="H14" s="51"/>
    </row>
    <row r="15" spans="1:8" ht="15.75" thickBot="1" x14ac:dyDescent="0.3">
      <c r="A15" s="59">
        <v>30</v>
      </c>
      <c r="B15" s="8">
        <v>48000</v>
      </c>
      <c r="C15" s="43">
        <f t="shared" si="0"/>
        <v>360000</v>
      </c>
      <c r="D15" s="80"/>
      <c r="E15" s="57">
        <f t="shared" si="1"/>
        <v>0</v>
      </c>
      <c r="F15" s="71"/>
      <c r="G15" s="32"/>
      <c r="H15" s="51"/>
    </row>
    <row r="16" spans="1:8" ht="15.75" thickBot="1" x14ac:dyDescent="0.3">
      <c r="A16" s="59">
        <v>31</v>
      </c>
      <c r="B16" s="8">
        <v>48030</v>
      </c>
      <c r="C16" s="43">
        <f t="shared" si="0"/>
        <v>372000</v>
      </c>
      <c r="D16" s="80"/>
      <c r="E16" s="57">
        <f t="shared" si="1"/>
        <v>0</v>
      </c>
      <c r="F16" s="71"/>
      <c r="G16" s="32"/>
      <c r="H16" s="51"/>
    </row>
    <row r="17" spans="1:8" ht="15.75" thickBot="1" x14ac:dyDescent="0.3">
      <c r="A17" s="59">
        <v>31</v>
      </c>
      <c r="B17" s="8">
        <v>48061</v>
      </c>
      <c r="C17" s="43">
        <f t="shared" si="0"/>
        <v>372000</v>
      </c>
      <c r="D17" s="80"/>
      <c r="E17" s="57">
        <f t="shared" si="1"/>
        <v>0</v>
      </c>
      <c r="F17" s="71"/>
      <c r="G17" s="32"/>
      <c r="H17" s="51"/>
    </row>
    <row r="18" spans="1:8" ht="15.75" thickBot="1" x14ac:dyDescent="0.3">
      <c r="A18" s="59">
        <v>30</v>
      </c>
      <c r="B18" s="8">
        <v>48092</v>
      </c>
      <c r="C18" s="43">
        <f t="shared" si="0"/>
        <v>360000</v>
      </c>
      <c r="D18" s="80"/>
      <c r="E18" s="57">
        <f t="shared" si="1"/>
        <v>0</v>
      </c>
      <c r="F18" s="71"/>
      <c r="G18" s="32"/>
      <c r="H18" s="51"/>
    </row>
    <row r="19" spans="1:8" ht="15.75" thickBot="1" x14ac:dyDescent="0.3">
      <c r="A19" s="59">
        <v>31</v>
      </c>
      <c r="B19" s="8">
        <v>48122</v>
      </c>
      <c r="C19" s="43">
        <f t="shared" si="0"/>
        <v>372000</v>
      </c>
      <c r="D19" s="80"/>
      <c r="E19" s="57">
        <f t="shared" si="1"/>
        <v>0</v>
      </c>
      <c r="F19" s="71"/>
      <c r="G19" s="32"/>
      <c r="H19" s="51"/>
    </row>
    <row r="20" spans="1:8" ht="15.75" thickBot="1" x14ac:dyDescent="0.3">
      <c r="A20" s="59">
        <v>30</v>
      </c>
      <c r="B20" s="8">
        <v>48153</v>
      </c>
      <c r="C20" s="43">
        <f t="shared" si="0"/>
        <v>360000</v>
      </c>
      <c r="D20" s="80"/>
      <c r="E20" s="57">
        <f t="shared" si="1"/>
        <v>0</v>
      </c>
      <c r="F20" s="71"/>
      <c r="G20" s="32"/>
      <c r="H20" s="51"/>
    </row>
    <row r="21" spans="1:8" ht="15.75" thickBot="1" x14ac:dyDescent="0.3">
      <c r="A21" s="59">
        <v>31</v>
      </c>
      <c r="B21" s="8">
        <v>48183</v>
      </c>
      <c r="C21" s="43">
        <f t="shared" si="0"/>
        <v>372000</v>
      </c>
      <c r="D21" s="81"/>
      <c r="E21" s="57">
        <f t="shared" si="1"/>
        <v>0</v>
      </c>
      <c r="F21" s="72"/>
      <c r="G21" s="32"/>
      <c r="H21" s="51"/>
    </row>
    <row r="22" spans="1:8" ht="28.5" customHeight="1" x14ac:dyDescent="0.25">
      <c r="B22" s="9" t="s">
        <v>0</v>
      </c>
      <c r="C22" s="10">
        <f>+SUM(C10:C21)</f>
        <v>4380000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113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69" t="s">
        <v>68</v>
      </c>
      <c r="C26" s="69"/>
      <c r="D26" s="69"/>
      <c r="E26" s="69"/>
      <c r="F26" s="69"/>
      <c r="G26" s="69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500 kWh" sqref="D10:D21" xr:uid="{B0F9BE98-7BDC-46DE-A9BE-55C73056D228}">
      <formula1>0</formula1>
      <formula2>500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B97C-E805-4999-AE4C-42ACE0510DD7}">
  <sheetPr>
    <tabColor theme="7" tint="-0.249977111117893"/>
  </sheetPr>
  <dimension ref="A1:AD45"/>
  <sheetViews>
    <sheetView showGridLines="0" zoomScale="115" zoomScaleNormal="115" zoomScaleSheetLayoutView="110" workbookViewId="0">
      <pane xSplit="2" ySplit="5" topLeftCell="C34" activePane="bottomRight" state="frozen"/>
      <selection pane="topRight" activeCell="C1" sqref="C1"/>
      <selection pane="bottomLeft" activeCell="A6" sqref="A6"/>
      <selection pane="bottomRight" activeCell="A4" sqref="A4:AC4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4" width="7.140625" bestFit="1" customWidth="1"/>
    <col min="5" max="5" width="6.5703125" bestFit="1" customWidth="1"/>
    <col min="6" max="11" width="7.140625" bestFit="1" customWidth="1"/>
    <col min="12" max="15" width="7.7109375" bestFit="1" customWidth="1"/>
    <col min="16" max="16" width="7.42578125" bestFit="1" customWidth="1"/>
    <col min="17" max="17" width="7.7109375" bestFit="1" customWidth="1"/>
    <col min="18" max="18" width="6.85546875" bestFit="1" customWidth="1"/>
    <col min="19" max="21" width="7.7109375" bestFit="1" customWidth="1"/>
    <col min="22" max="25" width="8" bestFit="1" customWidth="1"/>
    <col min="26" max="26" width="7.710937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4" t="s">
        <v>72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47849</v>
      </c>
      <c r="B6" s="18" t="s">
        <v>5</v>
      </c>
      <c r="C6" s="33">
        <v>3248</v>
      </c>
      <c r="D6" s="33">
        <v>2798</v>
      </c>
      <c r="E6" s="33">
        <v>2545</v>
      </c>
      <c r="F6" s="33">
        <v>2432</v>
      </c>
      <c r="G6" s="33">
        <v>2501</v>
      </c>
      <c r="H6" s="33">
        <v>2833</v>
      </c>
      <c r="I6" s="33">
        <v>3066</v>
      </c>
      <c r="J6" s="33">
        <v>2957</v>
      </c>
      <c r="K6" s="33">
        <v>3987</v>
      </c>
      <c r="L6" s="33">
        <v>4849</v>
      </c>
      <c r="M6" s="33">
        <v>5644</v>
      </c>
      <c r="N6" s="33">
        <v>6286</v>
      </c>
      <c r="O6" s="33">
        <v>5847</v>
      </c>
      <c r="P6" s="33">
        <v>5831</v>
      </c>
      <c r="Q6" s="33">
        <v>6453</v>
      </c>
      <c r="R6" s="33">
        <v>6611</v>
      </c>
      <c r="S6" s="33">
        <v>6483</v>
      </c>
      <c r="T6" s="33">
        <v>8436</v>
      </c>
      <c r="U6" s="33">
        <v>8564</v>
      </c>
      <c r="V6" s="33">
        <v>8915</v>
      </c>
      <c r="W6" s="33">
        <v>8462</v>
      </c>
      <c r="X6" s="33">
        <v>7978</v>
      </c>
      <c r="Y6" s="33">
        <v>6940</v>
      </c>
      <c r="Z6" s="34">
        <v>5717</v>
      </c>
      <c r="AA6" s="35">
        <f>SUM(C6:Z6)</f>
        <v>129383</v>
      </c>
      <c r="AB6" s="19">
        <v>21</v>
      </c>
      <c r="AC6" s="94">
        <f>+AA6*AB6+AA7*AB7+AA8*AB8</f>
        <v>3738729</v>
      </c>
    </row>
    <row r="7" spans="1:30" ht="15.75" thickBot="1" x14ac:dyDescent="0.3">
      <c r="A7" s="93"/>
      <c r="B7" s="20" t="s">
        <v>4</v>
      </c>
      <c r="C7" s="36">
        <v>3363</v>
      </c>
      <c r="D7" s="36">
        <v>2899</v>
      </c>
      <c r="E7" s="36">
        <v>2609</v>
      </c>
      <c r="F7" s="36">
        <v>2445</v>
      </c>
      <c r="G7" s="36">
        <v>2452</v>
      </c>
      <c r="H7" s="36">
        <v>2602</v>
      </c>
      <c r="I7" s="36">
        <v>2596</v>
      </c>
      <c r="J7" s="36">
        <v>2267</v>
      </c>
      <c r="K7" s="36">
        <v>3219</v>
      </c>
      <c r="L7" s="36">
        <v>4098</v>
      </c>
      <c r="M7" s="36">
        <v>4808</v>
      </c>
      <c r="N7" s="36">
        <v>5363</v>
      </c>
      <c r="O7" s="36">
        <v>5289</v>
      </c>
      <c r="P7" s="36">
        <v>5043</v>
      </c>
      <c r="Q7" s="36">
        <v>5004</v>
      </c>
      <c r="R7" s="36">
        <v>5008</v>
      </c>
      <c r="S7" s="36">
        <v>4968</v>
      </c>
      <c r="T7" s="36">
        <v>7141</v>
      </c>
      <c r="U7" s="36">
        <v>7782</v>
      </c>
      <c r="V7" s="36">
        <v>8304</v>
      </c>
      <c r="W7" s="36">
        <v>7869</v>
      </c>
      <c r="X7" s="36">
        <v>7402</v>
      </c>
      <c r="Y7" s="36">
        <v>6629</v>
      </c>
      <c r="Z7" s="37">
        <v>5719</v>
      </c>
      <c r="AA7" s="38">
        <f t="shared" ref="AA7:AA41" si="0">SUM(C7:Z7)</f>
        <v>114879</v>
      </c>
      <c r="AB7" s="21">
        <v>4</v>
      </c>
      <c r="AC7" s="95"/>
      <c r="AD7" s="47"/>
    </row>
    <row r="8" spans="1:30" x14ac:dyDescent="0.25">
      <c r="A8" s="93"/>
      <c r="B8" s="22" t="s">
        <v>3</v>
      </c>
      <c r="C8" s="39">
        <v>3220</v>
      </c>
      <c r="D8" s="39">
        <v>2760</v>
      </c>
      <c r="E8" s="39">
        <v>2421</v>
      </c>
      <c r="F8" s="39">
        <v>2213</v>
      </c>
      <c r="G8" s="39">
        <v>2154</v>
      </c>
      <c r="H8" s="39">
        <v>2219</v>
      </c>
      <c r="I8" s="39">
        <v>2027</v>
      </c>
      <c r="J8" s="39">
        <v>1362</v>
      </c>
      <c r="K8" s="39">
        <v>1934</v>
      </c>
      <c r="L8" s="39">
        <v>2686</v>
      </c>
      <c r="M8" s="39">
        <v>3216</v>
      </c>
      <c r="N8" s="39">
        <v>3784</v>
      </c>
      <c r="O8" s="39">
        <v>4064</v>
      </c>
      <c r="P8" s="39">
        <v>3847</v>
      </c>
      <c r="Q8" s="39">
        <v>3585</v>
      </c>
      <c r="R8" s="39">
        <v>3525</v>
      </c>
      <c r="S8" s="39">
        <v>3463</v>
      </c>
      <c r="T8" s="39">
        <v>5827</v>
      </c>
      <c r="U8" s="39">
        <v>6576</v>
      </c>
      <c r="V8" s="39">
        <v>7363</v>
      </c>
      <c r="W8" s="39">
        <v>7263</v>
      </c>
      <c r="X8" s="39">
        <v>6916</v>
      </c>
      <c r="Y8" s="39">
        <v>6106</v>
      </c>
      <c r="Z8" s="40">
        <v>5164</v>
      </c>
      <c r="AA8" s="41">
        <f t="shared" si="0"/>
        <v>93695</v>
      </c>
      <c r="AB8" s="23">
        <v>6</v>
      </c>
      <c r="AC8" s="96"/>
      <c r="AD8" s="48"/>
    </row>
    <row r="9" spans="1:30" ht="15.75" thickBot="1" x14ac:dyDescent="0.3">
      <c r="A9" s="93">
        <v>47880</v>
      </c>
      <c r="B9" s="18" t="s">
        <v>5</v>
      </c>
      <c r="C9" s="33">
        <v>3028</v>
      </c>
      <c r="D9" s="33">
        <v>2636</v>
      </c>
      <c r="E9" s="33">
        <v>2416</v>
      </c>
      <c r="F9" s="33">
        <v>2321</v>
      </c>
      <c r="G9" s="33">
        <v>2439</v>
      </c>
      <c r="H9" s="33">
        <v>3103</v>
      </c>
      <c r="I9" s="33">
        <v>3172</v>
      </c>
      <c r="J9" s="33">
        <v>2874</v>
      </c>
      <c r="K9" s="33">
        <v>3759</v>
      </c>
      <c r="L9" s="33">
        <v>4529</v>
      </c>
      <c r="M9" s="33">
        <v>5259</v>
      </c>
      <c r="N9" s="33">
        <v>5848</v>
      </c>
      <c r="O9" s="33">
        <v>5285</v>
      </c>
      <c r="P9" s="33">
        <v>5348</v>
      </c>
      <c r="Q9" s="33">
        <v>6017</v>
      </c>
      <c r="R9" s="33">
        <v>6177</v>
      </c>
      <c r="S9" s="33">
        <v>6053</v>
      </c>
      <c r="T9" s="33">
        <v>7976</v>
      </c>
      <c r="U9" s="33">
        <v>8046</v>
      </c>
      <c r="V9" s="33">
        <v>8580</v>
      </c>
      <c r="W9" s="33">
        <v>8169</v>
      </c>
      <c r="X9" s="33">
        <v>7663</v>
      </c>
      <c r="Y9" s="33">
        <v>6597</v>
      </c>
      <c r="Z9" s="34">
        <v>5377</v>
      </c>
      <c r="AA9" s="35">
        <f t="shared" si="0"/>
        <v>122672</v>
      </c>
      <c r="AB9" s="19">
        <v>20</v>
      </c>
      <c r="AC9" s="94">
        <f>+AA9*AB9+AA10*AB10+AA11*AB11</f>
        <v>3289036</v>
      </c>
    </row>
    <row r="10" spans="1:30" ht="15.75" thickBot="1" x14ac:dyDescent="0.3">
      <c r="A10" s="93"/>
      <c r="B10" s="20" t="s">
        <v>4</v>
      </c>
      <c r="C10" s="36">
        <v>3203</v>
      </c>
      <c r="D10" s="36">
        <v>2792</v>
      </c>
      <c r="E10" s="36">
        <v>2509</v>
      </c>
      <c r="F10" s="36">
        <v>2368</v>
      </c>
      <c r="G10" s="36">
        <v>2377</v>
      </c>
      <c r="H10" s="36">
        <v>2576</v>
      </c>
      <c r="I10" s="36">
        <v>2664</v>
      </c>
      <c r="J10" s="36">
        <v>2358</v>
      </c>
      <c r="K10" s="36">
        <v>3276</v>
      </c>
      <c r="L10" s="36">
        <v>4174</v>
      </c>
      <c r="M10" s="36">
        <v>4875</v>
      </c>
      <c r="N10" s="36">
        <v>5375</v>
      </c>
      <c r="O10" s="36">
        <v>5238</v>
      </c>
      <c r="P10" s="36">
        <v>4973</v>
      </c>
      <c r="Q10" s="36">
        <v>4943</v>
      </c>
      <c r="R10" s="36">
        <v>4940</v>
      </c>
      <c r="S10" s="36">
        <v>4823</v>
      </c>
      <c r="T10" s="36">
        <v>6965</v>
      </c>
      <c r="U10" s="36">
        <v>7548</v>
      </c>
      <c r="V10" s="36">
        <v>8166</v>
      </c>
      <c r="W10" s="36">
        <v>7716</v>
      </c>
      <c r="X10" s="36">
        <v>7280</v>
      </c>
      <c r="Y10" s="36">
        <v>6476</v>
      </c>
      <c r="Z10" s="37">
        <v>5585</v>
      </c>
      <c r="AA10" s="38">
        <f t="shared" si="0"/>
        <v>113200</v>
      </c>
      <c r="AB10" s="21">
        <v>4</v>
      </c>
      <c r="AC10" s="95"/>
      <c r="AD10" s="47"/>
    </row>
    <row r="11" spans="1:30" x14ac:dyDescent="0.25">
      <c r="A11" s="93"/>
      <c r="B11" s="22" t="s">
        <v>3</v>
      </c>
      <c r="C11" s="39">
        <v>3327</v>
      </c>
      <c r="D11" s="39">
        <v>2860</v>
      </c>
      <c r="E11" s="39">
        <v>2558</v>
      </c>
      <c r="F11" s="39">
        <v>2309</v>
      </c>
      <c r="G11" s="39">
        <v>2291</v>
      </c>
      <c r="H11" s="39">
        <v>2341</v>
      </c>
      <c r="I11" s="39">
        <v>2170</v>
      </c>
      <c r="J11" s="39">
        <v>1490</v>
      </c>
      <c r="K11" s="39">
        <v>2064</v>
      </c>
      <c r="L11" s="39">
        <v>2812</v>
      </c>
      <c r="M11" s="39">
        <v>3310</v>
      </c>
      <c r="N11" s="39">
        <v>3837</v>
      </c>
      <c r="O11" s="39">
        <v>4031</v>
      </c>
      <c r="P11" s="39">
        <v>3896</v>
      </c>
      <c r="Q11" s="39">
        <v>3637</v>
      </c>
      <c r="R11" s="39">
        <v>3583</v>
      </c>
      <c r="S11" s="39">
        <v>3540</v>
      </c>
      <c r="T11" s="39">
        <v>5866</v>
      </c>
      <c r="U11" s="39">
        <v>6568</v>
      </c>
      <c r="V11" s="39">
        <v>7496</v>
      </c>
      <c r="W11" s="39">
        <v>7403</v>
      </c>
      <c r="X11" s="39">
        <v>7074</v>
      </c>
      <c r="Y11" s="39">
        <v>6134</v>
      </c>
      <c r="Z11" s="40">
        <v>5102</v>
      </c>
      <c r="AA11" s="41">
        <f t="shared" si="0"/>
        <v>95699</v>
      </c>
      <c r="AB11" s="23">
        <v>4</v>
      </c>
      <c r="AC11" s="96"/>
      <c r="AD11" s="48"/>
    </row>
    <row r="12" spans="1:30" ht="15.75" thickBot="1" x14ac:dyDescent="0.3">
      <c r="A12" s="93">
        <v>47908</v>
      </c>
      <c r="B12" s="18" t="s">
        <v>5</v>
      </c>
      <c r="C12" s="33">
        <v>3286</v>
      </c>
      <c r="D12" s="33">
        <v>2876</v>
      </c>
      <c r="E12" s="33">
        <v>2642</v>
      </c>
      <c r="F12" s="33">
        <v>2543</v>
      </c>
      <c r="G12" s="33">
        <v>2647</v>
      </c>
      <c r="H12" s="33">
        <v>3264</v>
      </c>
      <c r="I12" s="33">
        <v>3299</v>
      </c>
      <c r="J12" s="33">
        <v>3098</v>
      </c>
      <c r="K12" s="33">
        <v>4001</v>
      </c>
      <c r="L12" s="33">
        <v>4806</v>
      </c>
      <c r="M12" s="33">
        <v>5557</v>
      </c>
      <c r="N12" s="33">
        <v>6168</v>
      </c>
      <c r="O12" s="33">
        <v>5640</v>
      </c>
      <c r="P12" s="33">
        <v>5658</v>
      </c>
      <c r="Q12" s="33">
        <v>6254</v>
      </c>
      <c r="R12" s="33">
        <v>6388</v>
      </c>
      <c r="S12" s="33">
        <v>6233</v>
      </c>
      <c r="T12" s="33">
        <v>8223</v>
      </c>
      <c r="U12" s="33">
        <v>8473</v>
      </c>
      <c r="V12" s="33">
        <v>9012</v>
      </c>
      <c r="W12" s="33">
        <v>8577</v>
      </c>
      <c r="X12" s="33">
        <v>8043</v>
      </c>
      <c r="Y12" s="33">
        <v>6936</v>
      </c>
      <c r="Z12" s="34">
        <v>5698</v>
      </c>
      <c r="AA12" s="35">
        <f t="shared" si="0"/>
        <v>129322</v>
      </c>
      <c r="AB12" s="19">
        <v>20</v>
      </c>
      <c r="AC12" s="94">
        <f>+AA12*AB12+AA13*AB13+AA14*AB14</f>
        <v>3725907</v>
      </c>
    </row>
    <row r="13" spans="1:30" ht="15.75" thickBot="1" x14ac:dyDescent="0.3">
      <c r="A13" s="93"/>
      <c r="B13" s="20" t="s">
        <v>4</v>
      </c>
      <c r="C13" s="36">
        <v>3289</v>
      </c>
      <c r="D13" s="36">
        <v>2829</v>
      </c>
      <c r="E13" s="36">
        <v>2542</v>
      </c>
      <c r="F13" s="36">
        <v>2412</v>
      </c>
      <c r="G13" s="36">
        <v>2417</v>
      </c>
      <c r="H13" s="36">
        <v>2586</v>
      </c>
      <c r="I13" s="36">
        <v>2615</v>
      </c>
      <c r="J13" s="36">
        <v>2397</v>
      </c>
      <c r="K13" s="36">
        <v>3321</v>
      </c>
      <c r="L13" s="36">
        <v>4145</v>
      </c>
      <c r="M13" s="36">
        <v>4819</v>
      </c>
      <c r="N13" s="36">
        <v>5300</v>
      </c>
      <c r="O13" s="36">
        <v>5196</v>
      </c>
      <c r="P13" s="36">
        <v>4978</v>
      </c>
      <c r="Q13" s="36">
        <v>4910</v>
      </c>
      <c r="R13" s="36">
        <v>4893</v>
      </c>
      <c r="S13" s="36">
        <v>4818</v>
      </c>
      <c r="T13" s="36">
        <v>7046</v>
      </c>
      <c r="U13" s="36">
        <v>7711</v>
      </c>
      <c r="V13" s="36">
        <v>8320</v>
      </c>
      <c r="W13" s="36">
        <v>7883</v>
      </c>
      <c r="X13" s="36">
        <v>7358</v>
      </c>
      <c r="Y13" s="36">
        <v>6575</v>
      </c>
      <c r="Z13" s="37">
        <v>5717</v>
      </c>
      <c r="AA13" s="38">
        <f t="shared" si="0"/>
        <v>114077</v>
      </c>
      <c r="AB13" s="21">
        <v>5</v>
      </c>
      <c r="AC13" s="95"/>
      <c r="AD13" s="47"/>
    </row>
    <row r="14" spans="1:30" x14ac:dyDescent="0.25">
      <c r="A14" s="93"/>
      <c r="B14" s="22" t="s">
        <v>3</v>
      </c>
      <c r="C14" s="39">
        <v>3292</v>
      </c>
      <c r="D14" s="39">
        <v>2815</v>
      </c>
      <c r="E14" s="39">
        <v>2497</v>
      </c>
      <c r="F14" s="39">
        <v>2311</v>
      </c>
      <c r="G14" s="39">
        <v>2270</v>
      </c>
      <c r="H14" s="39">
        <v>2333</v>
      </c>
      <c r="I14" s="39">
        <v>2070</v>
      </c>
      <c r="J14" s="39">
        <v>1452</v>
      </c>
      <c r="K14" s="39">
        <v>2027</v>
      </c>
      <c r="L14" s="39">
        <v>2736</v>
      </c>
      <c r="M14" s="39">
        <v>3245</v>
      </c>
      <c r="N14" s="39">
        <v>3729</v>
      </c>
      <c r="O14" s="39">
        <v>3964</v>
      </c>
      <c r="P14" s="39">
        <v>3816</v>
      </c>
      <c r="Q14" s="39">
        <v>3584</v>
      </c>
      <c r="R14" s="39">
        <v>3505</v>
      </c>
      <c r="S14" s="39">
        <v>3466</v>
      </c>
      <c r="T14" s="39">
        <v>5839</v>
      </c>
      <c r="U14" s="39">
        <v>6595</v>
      </c>
      <c r="V14" s="39">
        <v>7480</v>
      </c>
      <c r="W14" s="39">
        <v>7435</v>
      </c>
      <c r="X14" s="39">
        <v>7045</v>
      </c>
      <c r="Y14" s="39">
        <v>6181</v>
      </c>
      <c r="Z14" s="40">
        <v>5160</v>
      </c>
      <c r="AA14" s="41">
        <f t="shared" si="0"/>
        <v>94847</v>
      </c>
      <c r="AB14" s="23">
        <v>6</v>
      </c>
      <c r="AC14" s="96"/>
      <c r="AD14" s="45"/>
    </row>
    <row r="15" spans="1:30" ht="15.75" thickBot="1" x14ac:dyDescent="0.3">
      <c r="A15" s="93">
        <v>47939</v>
      </c>
      <c r="B15" s="18" t="s">
        <v>5</v>
      </c>
      <c r="C15" s="33">
        <v>2994</v>
      </c>
      <c r="D15" s="33">
        <v>2584</v>
      </c>
      <c r="E15" s="33">
        <v>2346</v>
      </c>
      <c r="F15" s="33">
        <v>2260</v>
      </c>
      <c r="G15" s="33">
        <v>2347</v>
      </c>
      <c r="H15" s="33">
        <v>2776</v>
      </c>
      <c r="I15" s="33">
        <v>2921</v>
      </c>
      <c r="J15" s="33">
        <v>2864</v>
      </c>
      <c r="K15" s="33">
        <v>3702</v>
      </c>
      <c r="L15" s="33">
        <v>4460</v>
      </c>
      <c r="M15" s="33">
        <v>5159</v>
      </c>
      <c r="N15" s="33">
        <v>5758</v>
      </c>
      <c r="O15" s="33">
        <v>5361</v>
      </c>
      <c r="P15" s="33">
        <v>5334</v>
      </c>
      <c r="Q15" s="33">
        <v>5759</v>
      </c>
      <c r="R15" s="33">
        <v>5878</v>
      </c>
      <c r="S15" s="33">
        <v>5727</v>
      </c>
      <c r="T15" s="33">
        <v>7833</v>
      </c>
      <c r="U15" s="33">
        <v>8215</v>
      </c>
      <c r="V15" s="33">
        <v>8576</v>
      </c>
      <c r="W15" s="33">
        <v>8196</v>
      </c>
      <c r="X15" s="33">
        <v>7628</v>
      </c>
      <c r="Y15" s="33">
        <v>6530</v>
      </c>
      <c r="Z15" s="34">
        <v>5341</v>
      </c>
      <c r="AA15" s="35">
        <f t="shared" si="0"/>
        <v>120549</v>
      </c>
      <c r="AB15" s="19">
        <v>20</v>
      </c>
      <c r="AC15" s="94">
        <f>+AA15*AB15+AA16*AB16+AA17*AB17</f>
        <v>3412160</v>
      </c>
    </row>
    <row r="16" spans="1:30" ht="15.75" thickBot="1" x14ac:dyDescent="0.3">
      <c r="A16" s="93"/>
      <c r="B16" s="20" t="s">
        <v>4</v>
      </c>
      <c r="C16" s="36">
        <v>3034</v>
      </c>
      <c r="D16" s="36">
        <v>2596</v>
      </c>
      <c r="E16" s="36">
        <v>2318</v>
      </c>
      <c r="F16" s="36">
        <v>2185</v>
      </c>
      <c r="G16" s="36">
        <v>2235</v>
      </c>
      <c r="H16" s="36">
        <v>2353</v>
      </c>
      <c r="I16" s="36">
        <v>2410</v>
      </c>
      <c r="J16" s="36">
        <v>2289</v>
      </c>
      <c r="K16" s="36">
        <v>3141</v>
      </c>
      <c r="L16" s="36">
        <v>3941</v>
      </c>
      <c r="M16" s="36">
        <v>4603</v>
      </c>
      <c r="N16" s="36">
        <v>5066</v>
      </c>
      <c r="O16" s="36">
        <v>5058</v>
      </c>
      <c r="P16" s="36">
        <v>4784</v>
      </c>
      <c r="Q16" s="36">
        <v>4735</v>
      </c>
      <c r="R16" s="36">
        <v>4761</v>
      </c>
      <c r="S16" s="36">
        <v>4712</v>
      </c>
      <c r="T16" s="36">
        <v>7037</v>
      </c>
      <c r="U16" s="36">
        <v>7767</v>
      </c>
      <c r="V16" s="36">
        <v>8170</v>
      </c>
      <c r="W16" s="36">
        <v>7722</v>
      </c>
      <c r="X16" s="36">
        <v>7197</v>
      </c>
      <c r="Y16" s="36">
        <v>6388</v>
      </c>
      <c r="Z16" s="37">
        <v>5483</v>
      </c>
      <c r="AA16" s="38">
        <f t="shared" si="0"/>
        <v>109985</v>
      </c>
      <c r="AB16" s="21">
        <v>4</v>
      </c>
      <c r="AC16" s="95"/>
      <c r="AD16" s="47"/>
    </row>
    <row r="17" spans="1:30" x14ac:dyDescent="0.25">
      <c r="A17" s="93"/>
      <c r="B17" s="22" t="s">
        <v>3</v>
      </c>
      <c r="C17" s="39">
        <v>3097</v>
      </c>
      <c r="D17" s="39">
        <v>2641</v>
      </c>
      <c r="E17" s="39">
        <v>2334</v>
      </c>
      <c r="F17" s="39">
        <v>2154</v>
      </c>
      <c r="G17" s="39">
        <v>2080</v>
      </c>
      <c r="H17" s="39">
        <v>2060</v>
      </c>
      <c r="I17" s="39">
        <v>1882</v>
      </c>
      <c r="J17" s="39">
        <v>1412</v>
      </c>
      <c r="K17" s="39">
        <v>2040</v>
      </c>
      <c r="L17" s="39">
        <v>2730</v>
      </c>
      <c r="M17" s="39">
        <v>3230</v>
      </c>
      <c r="N17" s="39">
        <v>3713</v>
      </c>
      <c r="O17" s="39">
        <v>3971</v>
      </c>
      <c r="P17" s="39">
        <v>3887</v>
      </c>
      <c r="Q17" s="39">
        <v>3677</v>
      </c>
      <c r="R17" s="39">
        <v>3619</v>
      </c>
      <c r="S17" s="39">
        <v>3578</v>
      </c>
      <c r="T17" s="39">
        <v>5962</v>
      </c>
      <c r="U17" s="39">
        <v>6849</v>
      </c>
      <c r="V17" s="39">
        <v>7522</v>
      </c>
      <c r="W17" s="39">
        <v>7324</v>
      </c>
      <c r="X17" s="39">
        <v>6864</v>
      </c>
      <c r="Y17" s="39">
        <v>5957</v>
      </c>
      <c r="Z17" s="40">
        <v>4957</v>
      </c>
      <c r="AA17" s="41">
        <f t="shared" si="0"/>
        <v>93540</v>
      </c>
      <c r="AB17" s="23">
        <v>6</v>
      </c>
      <c r="AC17" s="96"/>
      <c r="AD17" s="48"/>
    </row>
    <row r="18" spans="1:30" ht="15.75" thickBot="1" x14ac:dyDescent="0.3">
      <c r="A18" s="93">
        <v>47969</v>
      </c>
      <c r="B18" s="18" t="s">
        <v>5</v>
      </c>
      <c r="C18" s="33">
        <v>3034</v>
      </c>
      <c r="D18" s="33">
        <v>2621</v>
      </c>
      <c r="E18" s="33">
        <v>2410</v>
      </c>
      <c r="F18" s="33">
        <v>2296</v>
      </c>
      <c r="G18" s="33">
        <v>2384</v>
      </c>
      <c r="H18" s="33">
        <v>2739</v>
      </c>
      <c r="I18" s="33">
        <v>2971</v>
      </c>
      <c r="J18" s="33">
        <v>2934</v>
      </c>
      <c r="K18" s="33">
        <v>3859</v>
      </c>
      <c r="L18" s="33">
        <v>4643</v>
      </c>
      <c r="M18" s="33">
        <v>5330</v>
      </c>
      <c r="N18" s="33">
        <v>5891</v>
      </c>
      <c r="O18" s="33">
        <v>5439</v>
      </c>
      <c r="P18" s="33">
        <v>5359</v>
      </c>
      <c r="Q18" s="33">
        <v>5831</v>
      </c>
      <c r="R18" s="33">
        <v>5926</v>
      </c>
      <c r="S18" s="33">
        <v>5840</v>
      </c>
      <c r="T18" s="33">
        <v>7928</v>
      </c>
      <c r="U18" s="33">
        <v>8349</v>
      </c>
      <c r="V18" s="33">
        <v>8668</v>
      </c>
      <c r="W18" s="33">
        <v>8310</v>
      </c>
      <c r="X18" s="33">
        <v>7700</v>
      </c>
      <c r="Y18" s="33">
        <v>6586</v>
      </c>
      <c r="Z18" s="34">
        <v>5369</v>
      </c>
      <c r="AA18" s="35">
        <f t="shared" si="0"/>
        <v>122417</v>
      </c>
      <c r="AB18" s="19">
        <v>20</v>
      </c>
      <c r="AC18" s="94">
        <f>+AA18*AB18+AA19*AB19+AA20*AB20</f>
        <v>3585507</v>
      </c>
    </row>
    <row r="19" spans="1:30" ht="15.75" thickBot="1" x14ac:dyDescent="0.3">
      <c r="A19" s="93"/>
      <c r="B19" s="20" t="s">
        <v>4</v>
      </c>
      <c r="C19" s="36">
        <v>3180</v>
      </c>
      <c r="D19" s="36">
        <v>2717</v>
      </c>
      <c r="E19" s="36">
        <v>2485</v>
      </c>
      <c r="F19" s="36">
        <v>2320</v>
      </c>
      <c r="G19" s="36">
        <v>2349</v>
      </c>
      <c r="H19" s="36">
        <v>2345</v>
      </c>
      <c r="I19" s="36">
        <v>2431</v>
      </c>
      <c r="J19" s="36">
        <v>2398</v>
      </c>
      <c r="K19" s="36">
        <v>3348</v>
      </c>
      <c r="L19" s="36">
        <v>4240</v>
      </c>
      <c r="M19" s="36">
        <v>4896</v>
      </c>
      <c r="N19" s="36">
        <v>5380</v>
      </c>
      <c r="O19" s="36">
        <v>5241</v>
      </c>
      <c r="P19" s="36">
        <v>4914</v>
      </c>
      <c r="Q19" s="36">
        <v>4830</v>
      </c>
      <c r="R19" s="36">
        <v>4808</v>
      </c>
      <c r="S19" s="36">
        <v>4710</v>
      </c>
      <c r="T19" s="36">
        <v>7062</v>
      </c>
      <c r="U19" s="36">
        <v>7937</v>
      </c>
      <c r="V19" s="36">
        <v>8312</v>
      </c>
      <c r="W19" s="36">
        <v>7870</v>
      </c>
      <c r="X19" s="36">
        <v>7388</v>
      </c>
      <c r="Y19" s="36">
        <v>6500</v>
      </c>
      <c r="Z19" s="37">
        <v>5620</v>
      </c>
      <c r="AA19" s="38">
        <f t="shared" si="0"/>
        <v>113281</v>
      </c>
      <c r="AB19" s="21">
        <v>5</v>
      </c>
      <c r="AC19" s="95"/>
      <c r="AD19" s="47"/>
    </row>
    <row r="20" spans="1:30" x14ac:dyDescent="0.25">
      <c r="A20" s="93"/>
      <c r="B20" s="22" t="s">
        <v>3</v>
      </c>
      <c r="C20" s="39">
        <v>3188</v>
      </c>
      <c r="D20" s="39">
        <v>2712</v>
      </c>
      <c r="E20" s="39">
        <v>2426</v>
      </c>
      <c r="F20" s="39">
        <v>2215</v>
      </c>
      <c r="G20" s="39">
        <v>2221</v>
      </c>
      <c r="H20" s="39">
        <v>2092</v>
      </c>
      <c r="I20" s="39">
        <v>1899</v>
      </c>
      <c r="J20" s="39">
        <v>1520</v>
      </c>
      <c r="K20" s="39">
        <v>2150</v>
      </c>
      <c r="L20" s="39">
        <v>2903</v>
      </c>
      <c r="M20" s="39">
        <v>3338</v>
      </c>
      <c r="N20" s="39">
        <v>3804</v>
      </c>
      <c r="O20" s="39">
        <v>4005</v>
      </c>
      <c r="P20" s="39">
        <v>3861</v>
      </c>
      <c r="Q20" s="39">
        <v>3676</v>
      </c>
      <c r="R20" s="39">
        <v>3616</v>
      </c>
      <c r="S20" s="39">
        <v>3549</v>
      </c>
      <c r="T20" s="39">
        <v>5895</v>
      </c>
      <c r="U20" s="39">
        <v>6806</v>
      </c>
      <c r="V20" s="39">
        <v>7543</v>
      </c>
      <c r="W20" s="39">
        <v>7400</v>
      </c>
      <c r="X20" s="39">
        <v>7024</v>
      </c>
      <c r="Y20" s="39">
        <v>6130</v>
      </c>
      <c r="Z20" s="40">
        <v>5154</v>
      </c>
      <c r="AA20" s="41">
        <f t="shared" si="0"/>
        <v>95127</v>
      </c>
      <c r="AB20" s="23">
        <v>6</v>
      </c>
      <c r="AC20" s="96"/>
      <c r="AD20" s="48"/>
    </row>
    <row r="21" spans="1:30" ht="15.75" thickBot="1" x14ac:dyDescent="0.3">
      <c r="A21" s="93">
        <v>48000</v>
      </c>
      <c r="B21" s="18" t="s">
        <v>5</v>
      </c>
      <c r="C21" s="33">
        <v>2886</v>
      </c>
      <c r="D21" s="33">
        <v>2516</v>
      </c>
      <c r="E21" s="33">
        <v>2287</v>
      </c>
      <c r="F21" s="33">
        <v>2203</v>
      </c>
      <c r="G21" s="33">
        <v>2324</v>
      </c>
      <c r="H21" s="33">
        <v>2631</v>
      </c>
      <c r="I21" s="33">
        <v>2947</v>
      </c>
      <c r="J21" s="33">
        <v>2976</v>
      </c>
      <c r="K21" s="33">
        <v>3867</v>
      </c>
      <c r="L21" s="33">
        <v>4696</v>
      </c>
      <c r="M21" s="33">
        <v>5404</v>
      </c>
      <c r="N21" s="33">
        <v>6012</v>
      </c>
      <c r="O21" s="33">
        <v>5556</v>
      </c>
      <c r="P21" s="33">
        <v>5423</v>
      </c>
      <c r="Q21" s="33">
        <v>5931</v>
      </c>
      <c r="R21" s="33">
        <v>6067</v>
      </c>
      <c r="S21" s="33">
        <v>5906</v>
      </c>
      <c r="T21" s="33">
        <v>8013</v>
      </c>
      <c r="U21" s="33">
        <v>8234</v>
      </c>
      <c r="V21" s="33">
        <v>8746</v>
      </c>
      <c r="W21" s="33">
        <v>8356</v>
      </c>
      <c r="X21" s="33">
        <v>7703</v>
      </c>
      <c r="Y21" s="33">
        <v>6552</v>
      </c>
      <c r="Z21" s="34">
        <v>5300</v>
      </c>
      <c r="AA21" s="35">
        <f t="shared" si="0"/>
        <v>122536</v>
      </c>
      <c r="AB21" s="19">
        <v>18</v>
      </c>
      <c r="AC21" s="94">
        <f>+AA21*AB21+AA22*AB22+AA23*AB23</f>
        <v>3504900</v>
      </c>
    </row>
    <row r="22" spans="1:30" ht="15.75" thickBot="1" x14ac:dyDescent="0.3">
      <c r="A22" s="93"/>
      <c r="B22" s="20" t="s">
        <v>4</v>
      </c>
      <c r="C22" s="36">
        <v>3111</v>
      </c>
      <c r="D22" s="36">
        <v>2697</v>
      </c>
      <c r="E22" s="36">
        <v>2401</v>
      </c>
      <c r="F22" s="36">
        <v>2289</v>
      </c>
      <c r="G22" s="36">
        <v>2378</v>
      </c>
      <c r="H22" s="36">
        <v>2427</v>
      </c>
      <c r="I22" s="36">
        <v>2535</v>
      </c>
      <c r="J22" s="36">
        <v>2562</v>
      </c>
      <c r="K22" s="36">
        <v>3490</v>
      </c>
      <c r="L22" s="36">
        <v>4404</v>
      </c>
      <c r="M22" s="36">
        <v>5049</v>
      </c>
      <c r="N22" s="36">
        <v>5574</v>
      </c>
      <c r="O22" s="36">
        <v>5437</v>
      </c>
      <c r="P22" s="36">
        <v>5182</v>
      </c>
      <c r="Q22" s="36">
        <v>5094</v>
      </c>
      <c r="R22" s="36">
        <v>5115</v>
      </c>
      <c r="S22" s="36">
        <v>5032</v>
      </c>
      <c r="T22" s="36">
        <v>7279</v>
      </c>
      <c r="U22" s="36">
        <v>7938</v>
      </c>
      <c r="V22" s="36">
        <v>8473</v>
      </c>
      <c r="W22" s="36">
        <v>7964</v>
      </c>
      <c r="X22" s="36">
        <v>7448</v>
      </c>
      <c r="Y22" s="36">
        <v>6576</v>
      </c>
      <c r="Z22" s="37">
        <v>5628</v>
      </c>
      <c r="AA22" s="38">
        <f t="shared" si="0"/>
        <v>116083</v>
      </c>
      <c r="AB22" s="21">
        <v>4</v>
      </c>
      <c r="AC22" s="95"/>
      <c r="AD22" s="47"/>
    </row>
    <row r="23" spans="1:30" x14ac:dyDescent="0.25">
      <c r="A23" s="93"/>
      <c r="B23" s="22" t="s">
        <v>3</v>
      </c>
      <c r="C23" s="39">
        <v>3351</v>
      </c>
      <c r="D23" s="39">
        <v>2868</v>
      </c>
      <c r="E23" s="39">
        <v>2557</v>
      </c>
      <c r="F23" s="39">
        <v>2367</v>
      </c>
      <c r="G23" s="39">
        <v>2366</v>
      </c>
      <c r="H23" s="39">
        <v>2321</v>
      </c>
      <c r="I23" s="39">
        <v>2343</v>
      </c>
      <c r="J23" s="39">
        <v>2028</v>
      </c>
      <c r="K23" s="39">
        <v>2704</v>
      </c>
      <c r="L23" s="39">
        <v>3488</v>
      </c>
      <c r="M23" s="39">
        <v>3960</v>
      </c>
      <c r="N23" s="39">
        <v>4487</v>
      </c>
      <c r="O23" s="39">
        <v>4568</v>
      </c>
      <c r="P23" s="39">
        <v>4431</v>
      </c>
      <c r="Q23" s="39">
        <v>4297</v>
      </c>
      <c r="R23" s="39">
        <v>4220</v>
      </c>
      <c r="S23" s="39">
        <v>4147</v>
      </c>
      <c r="T23" s="39">
        <v>6492</v>
      </c>
      <c r="U23" s="39">
        <v>7005</v>
      </c>
      <c r="V23" s="39">
        <v>7853</v>
      </c>
      <c r="W23" s="39">
        <v>7700</v>
      </c>
      <c r="X23" s="39">
        <v>7228</v>
      </c>
      <c r="Y23" s="39">
        <v>6291</v>
      </c>
      <c r="Z23" s="40">
        <v>5293</v>
      </c>
      <c r="AA23" s="41">
        <f t="shared" si="0"/>
        <v>104365</v>
      </c>
      <c r="AB23" s="23">
        <v>8</v>
      </c>
      <c r="AC23" s="96"/>
      <c r="AD23" s="48"/>
    </row>
    <row r="24" spans="1:30" ht="15.75" thickBot="1" x14ac:dyDescent="0.3">
      <c r="A24" s="93">
        <v>48030</v>
      </c>
      <c r="B24" s="18" t="s">
        <v>5</v>
      </c>
      <c r="C24" s="33">
        <v>3109</v>
      </c>
      <c r="D24" s="33">
        <v>2729</v>
      </c>
      <c r="E24" s="33">
        <v>2487</v>
      </c>
      <c r="F24" s="33">
        <v>2376</v>
      </c>
      <c r="G24" s="33">
        <v>2455</v>
      </c>
      <c r="H24" s="33">
        <v>2782</v>
      </c>
      <c r="I24" s="33">
        <v>2985</v>
      </c>
      <c r="J24" s="33">
        <v>3073</v>
      </c>
      <c r="K24" s="33">
        <v>4029</v>
      </c>
      <c r="L24" s="33">
        <v>4910</v>
      </c>
      <c r="M24" s="33">
        <v>5656</v>
      </c>
      <c r="N24" s="33">
        <v>6259</v>
      </c>
      <c r="O24" s="33">
        <v>5743</v>
      </c>
      <c r="P24" s="33">
        <v>5659</v>
      </c>
      <c r="Q24" s="33">
        <v>6285</v>
      </c>
      <c r="R24" s="33">
        <v>6442</v>
      </c>
      <c r="S24" s="33">
        <v>6296</v>
      </c>
      <c r="T24" s="33">
        <v>8281</v>
      </c>
      <c r="U24" s="33">
        <v>8257</v>
      </c>
      <c r="V24" s="33">
        <v>8844</v>
      </c>
      <c r="W24" s="33">
        <v>8484</v>
      </c>
      <c r="X24" s="33">
        <v>7919</v>
      </c>
      <c r="Y24" s="33">
        <v>6773</v>
      </c>
      <c r="Z24" s="34">
        <v>5557</v>
      </c>
      <c r="AA24" s="35">
        <f t="shared" si="0"/>
        <v>127390</v>
      </c>
      <c r="AB24" s="19">
        <v>23</v>
      </c>
      <c r="AC24" s="94">
        <f>+AA24*AB24+AA25*AB25+AA26*AB26</f>
        <v>3781734</v>
      </c>
    </row>
    <row r="25" spans="1:30" ht="15.75" thickBot="1" x14ac:dyDescent="0.3">
      <c r="A25" s="93"/>
      <c r="B25" s="20" t="s">
        <v>4</v>
      </c>
      <c r="C25" s="36">
        <v>3143</v>
      </c>
      <c r="D25" s="36">
        <v>2721</v>
      </c>
      <c r="E25" s="36">
        <v>2421</v>
      </c>
      <c r="F25" s="36">
        <v>2268</v>
      </c>
      <c r="G25" s="36">
        <v>2353</v>
      </c>
      <c r="H25" s="36">
        <v>2450</v>
      </c>
      <c r="I25" s="36">
        <v>2478</v>
      </c>
      <c r="J25" s="36">
        <v>2474</v>
      </c>
      <c r="K25" s="36">
        <v>3427</v>
      </c>
      <c r="L25" s="36">
        <v>4372</v>
      </c>
      <c r="M25" s="36">
        <v>4987</v>
      </c>
      <c r="N25" s="36">
        <v>5483</v>
      </c>
      <c r="O25" s="36">
        <v>5317</v>
      </c>
      <c r="P25" s="36">
        <v>5006</v>
      </c>
      <c r="Q25" s="36">
        <v>4927</v>
      </c>
      <c r="R25" s="36">
        <v>4938</v>
      </c>
      <c r="S25" s="36">
        <v>4890</v>
      </c>
      <c r="T25" s="36">
        <v>7119</v>
      </c>
      <c r="U25" s="36">
        <v>7627</v>
      </c>
      <c r="V25" s="36">
        <v>8254</v>
      </c>
      <c r="W25" s="36">
        <v>7813</v>
      </c>
      <c r="X25" s="36">
        <v>7318</v>
      </c>
      <c r="Y25" s="36">
        <v>6491</v>
      </c>
      <c r="Z25" s="37">
        <v>5564</v>
      </c>
      <c r="AA25" s="38">
        <f t="shared" si="0"/>
        <v>113841</v>
      </c>
      <c r="AB25" s="21">
        <v>4</v>
      </c>
      <c r="AC25" s="95"/>
      <c r="AD25" s="47"/>
    </row>
    <row r="26" spans="1:30" x14ac:dyDescent="0.25">
      <c r="A26" s="93"/>
      <c r="B26" s="22" t="s">
        <v>3</v>
      </c>
      <c r="C26" s="39">
        <v>3280</v>
      </c>
      <c r="D26" s="39">
        <v>2853</v>
      </c>
      <c r="E26" s="39">
        <v>2540</v>
      </c>
      <c r="F26" s="39">
        <v>2305</v>
      </c>
      <c r="G26" s="39">
        <v>2280</v>
      </c>
      <c r="H26" s="39">
        <v>2225</v>
      </c>
      <c r="I26" s="39">
        <v>2074</v>
      </c>
      <c r="J26" s="39">
        <v>1701</v>
      </c>
      <c r="K26" s="39">
        <v>2353</v>
      </c>
      <c r="L26" s="39">
        <v>3148</v>
      </c>
      <c r="M26" s="39">
        <v>3663</v>
      </c>
      <c r="N26" s="39">
        <v>4151</v>
      </c>
      <c r="O26" s="39">
        <v>4351</v>
      </c>
      <c r="P26" s="39">
        <v>4157</v>
      </c>
      <c r="Q26" s="39">
        <v>3881</v>
      </c>
      <c r="R26" s="39">
        <v>3753</v>
      </c>
      <c r="S26" s="39">
        <v>3752</v>
      </c>
      <c r="T26" s="39">
        <v>6127</v>
      </c>
      <c r="U26" s="39">
        <v>6654</v>
      </c>
      <c r="V26" s="39">
        <v>7652</v>
      </c>
      <c r="W26" s="39">
        <v>7587</v>
      </c>
      <c r="X26" s="39">
        <v>7149</v>
      </c>
      <c r="Y26" s="39">
        <v>6250</v>
      </c>
      <c r="Z26" s="40">
        <v>5214</v>
      </c>
      <c r="AA26" s="41">
        <f t="shared" si="0"/>
        <v>99100</v>
      </c>
      <c r="AB26" s="23">
        <v>4</v>
      </c>
      <c r="AC26" s="96"/>
      <c r="AD26" s="48"/>
    </row>
    <row r="27" spans="1:30" ht="15.75" thickBot="1" x14ac:dyDescent="0.3">
      <c r="A27" s="93">
        <v>48061</v>
      </c>
      <c r="B27" s="18" t="s">
        <v>5</v>
      </c>
      <c r="C27" s="33">
        <v>3204</v>
      </c>
      <c r="D27" s="33">
        <v>2787</v>
      </c>
      <c r="E27" s="33">
        <v>2538</v>
      </c>
      <c r="F27" s="33">
        <v>2418</v>
      </c>
      <c r="G27" s="33">
        <v>2526</v>
      </c>
      <c r="H27" s="33">
        <v>2995</v>
      </c>
      <c r="I27" s="33">
        <v>3163</v>
      </c>
      <c r="J27" s="33">
        <v>3230</v>
      </c>
      <c r="K27" s="33">
        <v>4213</v>
      </c>
      <c r="L27" s="33">
        <v>5070</v>
      </c>
      <c r="M27" s="33">
        <v>5838</v>
      </c>
      <c r="N27" s="33">
        <v>6476</v>
      </c>
      <c r="O27" s="33">
        <v>5909</v>
      </c>
      <c r="P27" s="33">
        <v>5865</v>
      </c>
      <c r="Q27" s="33">
        <v>6564</v>
      </c>
      <c r="R27" s="33">
        <v>6754</v>
      </c>
      <c r="S27" s="33">
        <v>6637</v>
      </c>
      <c r="T27" s="33">
        <v>8550</v>
      </c>
      <c r="U27" s="33">
        <v>8649</v>
      </c>
      <c r="V27" s="33">
        <v>9027</v>
      </c>
      <c r="W27" s="33">
        <v>8635</v>
      </c>
      <c r="X27" s="33">
        <v>8064</v>
      </c>
      <c r="Y27" s="33">
        <v>6897</v>
      </c>
      <c r="Z27" s="34">
        <v>5630</v>
      </c>
      <c r="AA27" s="35">
        <f t="shared" si="0"/>
        <v>131639</v>
      </c>
      <c r="AB27" s="19">
        <v>19</v>
      </c>
      <c r="AC27" s="94">
        <f>+AA27*AB27+AA28*AB28+AA29*AB29</f>
        <v>3811512</v>
      </c>
    </row>
    <row r="28" spans="1:30" ht="15.75" thickBot="1" x14ac:dyDescent="0.3">
      <c r="A28" s="93"/>
      <c r="B28" s="20" t="s">
        <v>4</v>
      </c>
      <c r="C28" s="36">
        <v>3412</v>
      </c>
      <c r="D28" s="36">
        <v>2977</v>
      </c>
      <c r="E28" s="36">
        <v>2672</v>
      </c>
      <c r="F28" s="36">
        <v>2494</v>
      </c>
      <c r="G28" s="36">
        <v>2544</v>
      </c>
      <c r="H28" s="36">
        <v>2660</v>
      </c>
      <c r="I28" s="36">
        <v>2824</v>
      </c>
      <c r="J28" s="36">
        <v>2807</v>
      </c>
      <c r="K28" s="36">
        <v>3849</v>
      </c>
      <c r="L28" s="36">
        <v>4789</v>
      </c>
      <c r="M28" s="36">
        <v>5400</v>
      </c>
      <c r="N28" s="36">
        <v>5973</v>
      </c>
      <c r="O28" s="36">
        <v>5851</v>
      </c>
      <c r="P28" s="36">
        <v>5443</v>
      </c>
      <c r="Q28" s="36">
        <v>5500</v>
      </c>
      <c r="R28" s="36">
        <v>5443</v>
      </c>
      <c r="S28" s="36">
        <v>5329</v>
      </c>
      <c r="T28" s="36">
        <v>7590</v>
      </c>
      <c r="U28" s="36">
        <v>8057</v>
      </c>
      <c r="V28" s="36">
        <v>8594</v>
      </c>
      <c r="W28" s="36">
        <v>8080</v>
      </c>
      <c r="X28" s="36">
        <v>7542</v>
      </c>
      <c r="Y28" s="36">
        <v>6717</v>
      </c>
      <c r="Z28" s="37">
        <v>5747</v>
      </c>
      <c r="AA28" s="38">
        <f t="shared" si="0"/>
        <v>122294</v>
      </c>
      <c r="AB28" s="21">
        <v>5</v>
      </c>
      <c r="AC28" s="95"/>
      <c r="AD28" s="47"/>
    </row>
    <row r="29" spans="1:30" x14ac:dyDescent="0.25">
      <c r="A29" s="93"/>
      <c r="B29" s="22" t="s">
        <v>3</v>
      </c>
      <c r="C29" s="39">
        <v>3385</v>
      </c>
      <c r="D29" s="39">
        <v>2922</v>
      </c>
      <c r="E29" s="39">
        <v>2572</v>
      </c>
      <c r="F29" s="39">
        <v>2367</v>
      </c>
      <c r="G29" s="39">
        <v>2354</v>
      </c>
      <c r="H29" s="39">
        <v>2337</v>
      </c>
      <c r="I29" s="39">
        <v>1993</v>
      </c>
      <c r="J29" s="39">
        <v>1678</v>
      </c>
      <c r="K29" s="39">
        <v>2304</v>
      </c>
      <c r="L29" s="39">
        <v>3103</v>
      </c>
      <c r="M29" s="39">
        <v>3627</v>
      </c>
      <c r="N29" s="39">
        <v>4122</v>
      </c>
      <c r="O29" s="39">
        <v>4274</v>
      </c>
      <c r="P29" s="39">
        <v>4130</v>
      </c>
      <c r="Q29" s="39">
        <v>3860</v>
      </c>
      <c r="R29" s="39">
        <v>3805</v>
      </c>
      <c r="S29" s="39">
        <v>3766</v>
      </c>
      <c r="T29" s="39">
        <v>6096</v>
      </c>
      <c r="U29" s="39">
        <v>6849</v>
      </c>
      <c r="V29" s="39">
        <v>7775</v>
      </c>
      <c r="W29" s="39">
        <v>7665</v>
      </c>
      <c r="X29" s="39">
        <v>7272</v>
      </c>
      <c r="Y29" s="39">
        <v>6328</v>
      </c>
      <c r="Z29" s="40">
        <v>5259</v>
      </c>
      <c r="AA29" s="41">
        <f t="shared" si="0"/>
        <v>99843</v>
      </c>
      <c r="AB29" s="23">
        <v>7</v>
      </c>
      <c r="AC29" s="96"/>
      <c r="AD29" s="49"/>
    </row>
    <row r="30" spans="1:30" ht="15.75" thickBot="1" x14ac:dyDescent="0.3">
      <c r="A30" s="93">
        <v>48092</v>
      </c>
      <c r="B30" s="18" t="s">
        <v>5</v>
      </c>
      <c r="C30" s="33">
        <v>3277</v>
      </c>
      <c r="D30" s="33">
        <v>2852</v>
      </c>
      <c r="E30" s="33">
        <v>2631</v>
      </c>
      <c r="F30" s="33">
        <v>2529</v>
      </c>
      <c r="G30" s="33">
        <v>2626</v>
      </c>
      <c r="H30" s="33">
        <v>3026</v>
      </c>
      <c r="I30" s="33">
        <v>3251</v>
      </c>
      <c r="J30" s="33">
        <v>3298</v>
      </c>
      <c r="K30" s="33">
        <v>4286</v>
      </c>
      <c r="L30" s="33">
        <v>5159</v>
      </c>
      <c r="M30" s="33">
        <v>5915</v>
      </c>
      <c r="N30" s="33">
        <v>6557</v>
      </c>
      <c r="O30" s="33">
        <v>5989</v>
      </c>
      <c r="P30" s="33">
        <v>5973</v>
      </c>
      <c r="Q30" s="33">
        <v>6646</v>
      </c>
      <c r="R30" s="33">
        <v>6803</v>
      </c>
      <c r="S30" s="33">
        <v>6664</v>
      </c>
      <c r="T30" s="33">
        <v>8635</v>
      </c>
      <c r="U30" s="33">
        <v>9072</v>
      </c>
      <c r="V30" s="33">
        <v>9100</v>
      </c>
      <c r="W30" s="33">
        <v>8686</v>
      </c>
      <c r="X30" s="33">
        <v>8083</v>
      </c>
      <c r="Y30" s="33">
        <v>6898</v>
      </c>
      <c r="Z30" s="34">
        <v>5682</v>
      </c>
      <c r="AA30" s="35">
        <f t="shared" si="0"/>
        <v>133638</v>
      </c>
      <c r="AB30" s="19">
        <v>22</v>
      </c>
      <c r="AC30" s="94">
        <f>+AA30*AB30+AA31*AB31+AA32*AB32</f>
        <v>3828576</v>
      </c>
    </row>
    <row r="31" spans="1:30" ht="15.75" thickBot="1" x14ac:dyDescent="0.3">
      <c r="A31" s="93"/>
      <c r="B31" s="20" t="s">
        <v>4</v>
      </c>
      <c r="C31" s="36">
        <v>3360</v>
      </c>
      <c r="D31" s="36">
        <v>2911</v>
      </c>
      <c r="E31" s="36">
        <v>2634</v>
      </c>
      <c r="F31" s="36">
        <v>2471</v>
      </c>
      <c r="G31" s="36">
        <v>2509</v>
      </c>
      <c r="H31" s="36">
        <v>2511</v>
      </c>
      <c r="I31" s="36">
        <v>2687</v>
      </c>
      <c r="J31" s="36">
        <v>2703</v>
      </c>
      <c r="K31" s="36">
        <v>3813</v>
      </c>
      <c r="L31" s="36">
        <v>4774</v>
      </c>
      <c r="M31" s="36">
        <v>5448</v>
      </c>
      <c r="N31" s="36">
        <v>5906</v>
      </c>
      <c r="O31" s="36">
        <v>5778</v>
      </c>
      <c r="P31" s="36">
        <v>5415</v>
      </c>
      <c r="Q31" s="36">
        <v>5369</v>
      </c>
      <c r="R31" s="36">
        <v>5387</v>
      </c>
      <c r="S31" s="36">
        <v>5326</v>
      </c>
      <c r="T31" s="36">
        <v>7613</v>
      </c>
      <c r="U31" s="36">
        <v>8519</v>
      </c>
      <c r="V31" s="36">
        <v>8598</v>
      </c>
      <c r="W31" s="36">
        <v>8054</v>
      </c>
      <c r="X31" s="36">
        <v>7540</v>
      </c>
      <c r="Y31" s="36">
        <v>6671</v>
      </c>
      <c r="Z31" s="37">
        <v>5768</v>
      </c>
      <c r="AA31" s="38">
        <f t="shared" si="0"/>
        <v>121765</v>
      </c>
      <c r="AB31" s="21">
        <v>4</v>
      </c>
      <c r="AC31" s="95"/>
      <c r="AD31" s="47"/>
    </row>
    <row r="32" spans="1:30" x14ac:dyDescent="0.25">
      <c r="A32" s="93"/>
      <c r="B32" s="22" t="s">
        <v>3</v>
      </c>
      <c r="C32" s="39">
        <v>3421</v>
      </c>
      <c r="D32" s="39">
        <v>2973</v>
      </c>
      <c r="E32" s="39">
        <v>2630</v>
      </c>
      <c r="F32" s="39">
        <v>2429</v>
      </c>
      <c r="G32" s="39">
        <v>2395</v>
      </c>
      <c r="H32" s="39">
        <v>2269</v>
      </c>
      <c r="I32" s="39">
        <v>2155</v>
      </c>
      <c r="J32" s="39">
        <v>1770</v>
      </c>
      <c r="K32" s="39">
        <v>2408</v>
      </c>
      <c r="L32" s="39">
        <v>3184</v>
      </c>
      <c r="M32" s="39">
        <v>3681</v>
      </c>
      <c r="N32" s="39">
        <v>4146</v>
      </c>
      <c r="O32" s="39">
        <v>4338</v>
      </c>
      <c r="P32" s="39">
        <v>4165</v>
      </c>
      <c r="Q32" s="39">
        <v>3920</v>
      </c>
      <c r="R32" s="39">
        <v>3809</v>
      </c>
      <c r="S32" s="39">
        <v>3757</v>
      </c>
      <c r="T32" s="39">
        <v>6157</v>
      </c>
      <c r="U32" s="39">
        <v>7167</v>
      </c>
      <c r="V32" s="39">
        <v>7656</v>
      </c>
      <c r="W32" s="39">
        <v>7533</v>
      </c>
      <c r="X32" s="39">
        <v>7106</v>
      </c>
      <c r="Y32" s="39">
        <v>6145</v>
      </c>
      <c r="Z32" s="40">
        <v>5156</v>
      </c>
      <c r="AA32" s="41">
        <f t="shared" si="0"/>
        <v>100370</v>
      </c>
      <c r="AB32" s="23">
        <v>4</v>
      </c>
      <c r="AC32" s="96"/>
      <c r="AD32" s="48"/>
    </row>
    <row r="33" spans="1:30" ht="15.75" thickBot="1" x14ac:dyDescent="0.3">
      <c r="A33" s="93">
        <v>48122</v>
      </c>
      <c r="B33" s="18" t="s">
        <v>5</v>
      </c>
      <c r="C33" s="33">
        <v>2909</v>
      </c>
      <c r="D33" s="33">
        <v>2520</v>
      </c>
      <c r="E33" s="33">
        <v>2318</v>
      </c>
      <c r="F33" s="33">
        <v>2233</v>
      </c>
      <c r="G33" s="33">
        <v>2341</v>
      </c>
      <c r="H33" s="33">
        <v>2649</v>
      </c>
      <c r="I33" s="33">
        <v>2960</v>
      </c>
      <c r="J33" s="33">
        <v>3009</v>
      </c>
      <c r="K33" s="33">
        <v>3943</v>
      </c>
      <c r="L33" s="33">
        <v>4764</v>
      </c>
      <c r="M33" s="33">
        <v>5509</v>
      </c>
      <c r="N33" s="33">
        <v>6106</v>
      </c>
      <c r="O33" s="33">
        <v>5575</v>
      </c>
      <c r="P33" s="33">
        <v>5533</v>
      </c>
      <c r="Q33" s="33">
        <v>6132</v>
      </c>
      <c r="R33" s="33">
        <v>6242</v>
      </c>
      <c r="S33" s="33">
        <v>6091</v>
      </c>
      <c r="T33" s="33">
        <v>8258</v>
      </c>
      <c r="U33" s="33">
        <v>8926</v>
      </c>
      <c r="V33" s="33">
        <v>8633</v>
      </c>
      <c r="W33" s="33">
        <v>8186</v>
      </c>
      <c r="X33" s="33">
        <v>7561</v>
      </c>
      <c r="Y33" s="33">
        <v>6426</v>
      </c>
      <c r="Z33" s="34">
        <v>5248</v>
      </c>
      <c r="AA33" s="35">
        <f t="shared" si="0"/>
        <v>124072</v>
      </c>
      <c r="AB33" s="19">
        <v>22</v>
      </c>
      <c r="AC33" s="94">
        <f>+AA33*AB33+AA34*AB34+AA35*AB35</f>
        <v>3679947</v>
      </c>
    </row>
    <row r="34" spans="1:30" ht="15.75" thickBot="1" x14ac:dyDescent="0.3">
      <c r="A34" s="93"/>
      <c r="B34" s="20" t="s">
        <v>4</v>
      </c>
      <c r="C34" s="36">
        <v>3219</v>
      </c>
      <c r="D34" s="36">
        <v>2793</v>
      </c>
      <c r="E34" s="36">
        <v>2522</v>
      </c>
      <c r="F34" s="36">
        <v>2358</v>
      </c>
      <c r="G34" s="36">
        <v>2427</v>
      </c>
      <c r="H34" s="36">
        <v>2387</v>
      </c>
      <c r="I34" s="36">
        <v>2582</v>
      </c>
      <c r="J34" s="36">
        <v>2612</v>
      </c>
      <c r="K34" s="36">
        <v>3618</v>
      </c>
      <c r="L34" s="36">
        <v>4527</v>
      </c>
      <c r="M34" s="36">
        <v>5195</v>
      </c>
      <c r="N34" s="36">
        <v>5680</v>
      </c>
      <c r="O34" s="36">
        <v>5520</v>
      </c>
      <c r="P34" s="36">
        <v>5123</v>
      </c>
      <c r="Q34" s="36">
        <v>5074</v>
      </c>
      <c r="R34" s="36">
        <v>5033</v>
      </c>
      <c r="S34" s="36">
        <v>4892</v>
      </c>
      <c r="T34" s="36">
        <v>7419</v>
      </c>
      <c r="U34" s="36">
        <v>8550</v>
      </c>
      <c r="V34" s="36">
        <v>8394</v>
      </c>
      <c r="W34" s="36">
        <v>7878</v>
      </c>
      <c r="X34" s="36">
        <v>7337</v>
      </c>
      <c r="Y34" s="36">
        <v>6482</v>
      </c>
      <c r="Z34" s="37">
        <v>5575</v>
      </c>
      <c r="AA34" s="38">
        <f t="shared" si="0"/>
        <v>117197</v>
      </c>
      <c r="AB34" s="21">
        <v>4</v>
      </c>
      <c r="AC34" s="95"/>
      <c r="AD34" s="47"/>
    </row>
    <row r="35" spans="1:30" x14ac:dyDescent="0.25">
      <c r="A35" s="93"/>
      <c r="B35" s="22" t="s">
        <v>3</v>
      </c>
      <c r="C35" s="39">
        <v>3210</v>
      </c>
      <c r="D35" s="39">
        <v>2751</v>
      </c>
      <c r="E35" s="39">
        <v>2481</v>
      </c>
      <c r="F35" s="39">
        <v>2243</v>
      </c>
      <c r="G35" s="39">
        <v>2227</v>
      </c>
      <c r="H35" s="39">
        <v>2058</v>
      </c>
      <c r="I35" s="39">
        <v>1986</v>
      </c>
      <c r="J35" s="39">
        <v>1587</v>
      </c>
      <c r="K35" s="39">
        <v>2185</v>
      </c>
      <c r="L35" s="39">
        <v>2998</v>
      </c>
      <c r="M35" s="39">
        <v>3491</v>
      </c>
      <c r="N35" s="39">
        <v>3946</v>
      </c>
      <c r="O35" s="39">
        <v>4122</v>
      </c>
      <c r="P35" s="39">
        <v>3962</v>
      </c>
      <c r="Q35" s="39">
        <v>3701</v>
      </c>
      <c r="R35" s="39">
        <v>3570</v>
      </c>
      <c r="S35" s="39">
        <v>3551</v>
      </c>
      <c r="T35" s="39">
        <v>6101</v>
      </c>
      <c r="U35" s="39">
        <v>7293</v>
      </c>
      <c r="V35" s="39">
        <v>7502</v>
      </c>
      <c r="W35" s="39">
        <v>7338</v>
      </c>
      <c r="X35" s="39">
        <v>6927</v>
      </c>
      <c r="Y35" s="39">
        <v>6034</v>
      </c>
      <c r="Z35" s="40">
        <v>5051</v>
      </c>
      <c r="AA35" s="41">
        <f t="shared" si="0"/>
        <v>96315</v>
      </c>
      <c r="AB35" s="23">
        <v>5</v>
      </c>
      <c r="AC35" s="96"/>
      <c r="AD35" s="48"/>
    </row>
    <row r="36" spans="1:30" ht="15.75" thickBot="1" x14ac:dyDescent="0.3">
      <c r="A36" s="93">
        <v>48153</v>
      </c>
      <c r="B36" s="18" t="s">
        <v>5</v>
      </c>
      <c r="C36" s="33">
        <v>2771</v>
      </c>
      <c r="D36" s="33">
        <v>2414</v>
      </c>
      <c r="E36" s="33">
        <v>2211</v>
      </c>
      <c r="F36" s="33">
        <v>2113</v>
      </c>
      <c r="G36" s="33">
        <v>2228</v>
      </c>
      <c r="H36" s="33">
        <v>2578</v>
      </c>
      <c r="I36" s="33">
        <v>2996</v>
      </c>
      <c r="J36" s="33">
        <v>3030</v>
      </c>
      <c r="K36" s="33">
        <v>3935</v>
      </c>
      <c r="L36" s="33">
        <v>4724</v>
      </c>
      <c r="M36" s="33">
        <v>5429</v>
      </c>
      <c r="N36" s="33">
        <v>6015</v>
      </c>
      <c r="O36" s="33">
        <v>5490</v>
      </c>
      <c r="P36" s="33">
        <v>5430</v>
      </c>
      <c r="Q36" s="33">
        <v>6014</v>
      </c>
      <c r="R36" s="33">
        <v>6139</v>
      </c>
      <c r="S36" s="33">
        <v>5983</v>
      </c>
      <c r="T36" s="33">
        <v>8262</v>
      </c>
      <c r="U36" s="33">
        <v>8867</v>
      </c>
      <c r="V36" s="33">
        <v>8548</v>
      </c>
      <c r="W36" s="33">
        <v>8103</v>
      </c>
      <c r="X36" s="33">
        <v>7458</v>
      </c>
      <c r="Y36" s="33">
        <v>6315</v>
      </c>
      <c r="Z36" s="34">
        <v>5103</v>
      </c>
      <c r="AA36" s="35">
        <f t="shared" si="0"/>
        <v>122156</v>
      </c>
      <c r="AB36" s="19">
        <v>18</v>
      </c>
      <c r="AC36" s="94">
        <f>+AA36*AB36+AA37*AB37+AA38*AB38</f>
        <v>3426382</v>
      </c>
    </row>
    <row r="37" spans="1:30" ht="15.75" thickBot="1" x14ac:dyDescent="0.3">
      <c r="A37" s="93"/>
      <c r="B37" s="20" t="s">
        <v>4</v>
      </c>
      <c r="C37" s="36">
        <v>2829</v>
      </c>
      <c r="D37" s="36">
        <v>2413</v>
      </c>
      <c r="E37" s="36">
        <v>2153</v>
      </c>
      <c r="F37" s="36">
        <v>2024</v>
      </c>
      <c r="G37" s="36">
        <v>2076</v>
      </c>
      <c r="H37" s="36">
        <v>2105</v>
      </c>
      <c r="I37" s="36">
        <v>2491</v>
      </c>
      <c r="J37" s="36">
        <v>2472</v>
      </c>
      <c r="K37" s="36">
        <v>3437</v>
      </c>
      <c r="L37" s="36">
        <v>4287</v>
      </c>
      <c r="M37" s="36">
        <v>4893</v>
      </c>
      <c r="N37" s="36">
        <v>5379</v>
      </c>
      <c r="O37" s="36">
        <v>5249</v>
      </c>
      <c r="P37" s="36">
        <v>4965</v>
      </c>
      <c r="Q37" s="36">
        <v>4892</v>
      </c>
      <c r="R37" s="36">
        <v>4926</v>
      </c>
      <c r="S37" s="36">
        <v>4818</v>
      </c>
      <c r="T37" s="36">
        <v>7300</v>
      </c>
      <c r="U37" s="36">
        <v>8334</v>
      </c>
      <c r="V37" s="36">
        <v>8184</v>
      </c>
      <c r="W37" s="36">
        <v>7657</v>
      </c>
      <c r="X37" s="36">
        <v>7109</v>
      </c>
      <c r="Y37" s="36">
        <v>6277</v>
      </c>
      <c r="Z37" s="37">
        <v>5339</v>
      </c>
      <c r="AA37" s="38">
        <f t="shared" si="0"/>
        <v>111609</v>
      </c>
      <c r="AB37" s="21">
        <v>5</v>
      </c>
      <c r="AC37" s="95"/>
      <c r="AD37" s="47"/>
    </row>
    <row r="38" spans="1:30" x14ac:dyDescent="0.25">
      <c r="A38" s="93"/>
      <c r="B38" s="22" t="s">
        <v>3</v>
      </c>
      <c r="C38" s="39">
        <v>2998</v>
      </c>
      <c r="D38" s="39">
        <v>2601</v>
      </c>
      <c r="E38" s="39">
        <v>2273</v>
      </c>
      <c r="F38" s="39">
        <v>2052</v>
      </c>
      <c r="G38" s="39">
        <v>2039</v>
      </c>
      <c r="H38" s="39">
        <v>1926</v>
      </c>
      <c r="I38" s="39">
        <v>1937</v>
      </c>
      <c r="J38" s="39">
        <v>1589</v>
      </c>
      <c r="K38" s="39">
        <v>2249</v>
      </c>
      <c r="L38" s="39">
        <v>3065</v>
      </c>
      <c r="M38" s="39">
        <v>3583</v>
      </c>
      <c r="N38" s="39">
        <v>4032</v>
      </c>
      <c r="O38" s="39">
        <v>4239</v>
      </c>
      <c r="P38" s="39">
        <v>4099</v>
      </c>
      <c r="Q38" s="39">
        <v>3798</v>
      </c>
      <c r="R38" s="39">
        <v>3664</v>
      </c>
      <c r="S38" s="39">
        <v>3599</v>
      </c>
      <c r="T38" s="39">
        <v>6116</v>
      </c>
      <c r="U38" s="39">
        <v>7299</v>
      </c>
      <c r="V38" s="39">
        <v>7386</v>
      </c>
      <c r="W38" s="39">
        <v>7269</v>
      </c>
      <c r="X38" s="39">
        <v>6825</v>
      </c>
      <c r="Y38" s="39">
        <v>5980</v>
      </c>
      <c r="Z38" s="40">
        <v>5029</v>
      </c>
      <c r="AA38" s="41">
        <f t="shared" si="0"/>
        <v>95647</v>
      </c>
      <c r="AB38" s="23">
        <v>7</v>
      </c>
      <c r="AC38" s="96"/>
      <c r="AD38" s="49"/>
    </row>
    <row r="39" spans="1:30" ht="15.75" thickBot="1" x14ac:dyDescent="0.3">
      <c r="A39" s="93">
        <v>48183</v>
      </c>
      <c r="B39" s="18" t="s">
        <v>5</v>
      </c>
      <c r="C39" s="33">
        <v>3052</v>
      </c>
      <c r="D39" s="33">
        <v>2635</v>
      </c>
      <c r="E39" s="33">
        <v>2361</v>
      </c>
      <c r="F39" s="33">
        <v>2241</v>
      </c>
      <c r="G39" s="33">
        <v>2327</v>
      </c>
      <c r="H39" s="33">
        <v>2594</v>
      </c>
      <c r="I39" s="33">
        <v>3010</v>
      </c>
      <c r="J39" s="33">
        <v>3111</v>
      </c>
      <c r="K39" s="33">
        <v>4211</v>
      </c>
      <c r="L39" s="33">
        <v>5106</v>
      </c>
      <c r="M39" s="33">
        <v>5879</v>
      </c>
      <c r="N39" s="33">
        <v>6510</v>
      </c>
      <c r="O39" s="33">
        <v>6120</v>
      </c>
      <c r="P39" s="33">
        <v>6041</v>
      </c>
      <c r="Q39" s="33">
        <v>6555</v>
      </c>
      <c r="R39" s="33">
        <v>6619</v>
      </c>
      <c r="S39" s="33">
        <v>6426</v>
      </c>
      <c r="T39" s="33">
        <v>8490</v>
      </c>
      <c r="U39" s="33">
        <v>9029</v>
      </c>
      <c r="V39" s="33">
        <v>9057</v>
      </c>
      <c r="W39" s="33">
        <v>8521</v>
      </c>
      <c r="X39" s="33">
        <v>7856</v>
      </c>
      <c r="Y39" s="33">
        <v>6767</v>
      </c>
      <c r="Z39" s="34">
        <v>5577</v>
      </c>
      <c r="AA39" s="35">
        <f t="shared" si="0"/>
        <v>130095</v>
      </c>
      <c r="AB39" s="19">
        <v>21</v>
      </c>
      <c r="AC39" s="94">
        <f>+AA39*AB39+AA40*AB40+AA41*AB41</f>
        <v>3793601</v>
      </c>
    </row>
    <row r="40" spans="1:30" ht="15.75" thickBot="1" x14ac:dyDescent="0.3">
      <c r="A40" s="93"/>
      <c r="B40" s="20" t="s">
        <v>4</v>
      </c>
      <c r="C40" s="36">
        <v>3233</v>
      </c>
      <c r="D40" s="36">
        <v>2720</v>
      </c>
      <c r="E40" s="36">
        <v>2431</v>
      </c>
      <c r="F40" s="36">
        <v>2286</v>
      </c>
      <c r="G40" s="36">
        <v>2334</v>
      </c>
      <c r="H40" s="36">
        <v>2468</v>
      </c>
      <c r="I40" s="36">
        <v>2728</v>
      </c>
      <c r="J40" s="36">
        <v>2678</v>
      </c>
      <c r="K40" s="36">
        <v>3665</v>
      </c>
      <c r="L40" s="36">
        <v>4523</v>
      </c>
      <c r="M40" s="36">
        <v>5233</v>
      </c>
      <c r="N40" s="36">
        <v>5721</v>
      </c>
      <c r="O40" s="36">
        <v>5522</v>
      </c>
      <c r="P40" s="36">
        <v>5214</v>
      </c>
      <c r="Q40" s="36">
        <v>5178</v>
      </c>
      <c r="R40" s="36">
        <v>5083</v>
      </c>
      <c r="S40" s="36">
        <v>4990</v>
      </c>
      <c r="T40" s="36">
        <v>7420</v>
      </c>
      <c r="U40" s="36">
        <v>8370</v>
      </c>
      <c r="V40" s="36">
        <v>8483</v>
      </c>
      <c r="W40" s="36">
        <v>7985</v>
      </c>
      <c r="X40" s="36">
        <v>7337</v>
      </c>
      <c r="Y40" s="36">
        <v>6480</v>
      </c>
      <c r="Z40" s="37">
        <v>5553</v>
      </c>
      <c r="AA40" s="38">
        <f t="shared" si="0"/>
        <v>117635</v>
      </c>
      <c r="AB40" s="21">
        <v>4</v>
      </c>
      <c r="AC40" s="95"/>
      <c r="AD40" s="47"/>
    </row>
    <row r="41" spans="1:30" x14ac:dyDescent="0.25">
      <c r="A41" s="93"/>
      <c r="B41" s="22" t="s">
        <v>3</v>
      </c>
      <c r="C41" s="39">
        <v>3128</v>
      </c>
      <c r="D41" s="39">
        <v>2663</v>
      </c>
      <c r="E41" s="39">
        <v>2333</v>
      </c>
      <c r="F41" s="39">
        <v>2133</v>
      </c>
      <c r="G41" s="39">
        <v>2094</v>
      </c>
      <c r="H41" s="39">
        <v>2115</v>
      </c>
      <c r="I41" s="39">
        <v>2144</v>
      </c>
      <c r="J41" s="39">
        <v>1699</v>
      </c>
      <c r="K41" s="39">
        <v>2359</v>
      </c>
      <c r="L41" s="39">
        <v>3146</v>
      </c>
      <c r="M41" s="39">
        <v>3707</v>
      </c>
      <c r="N41" s="39">
        <v>4226</v>
      </c>
      <c r="O41" s="39">
        <v>4397</v>
      </c>
      <c r="P41" s="39">
        <v>4274</v>
      </c>
      <c r="Q41" s="39">
        <v>4051</v>
      </c>
      <c r="R41" s="39">
        <v>3961</v>
      </c>
      <c r="S41" s="39">
        <v>3872</v>
      </c>
      <c r="T41" s="39">
        <v>6277</v>
      </c>
      <c r="U41" s="39">
        <v>7216</v>
      </c>
      <c r="V41" s="39">
        <v>7502</v>
      </c>
      <c r="W41" s="39">
        <v>7294</v>
      </c>
      <c r="X41" s="39">
        <v>6858</v>
      </c>
      <c r="Y41" s="39">
        <v>6011</v>
      </c>
      <c r="Z41" s="40">
        <v>5051</v>
      </c>
      <c r="AA41" s="41">
        <f t="shared" si="0"/>
        <v>98511</v>
      </c>
      <c r="AB41" s="23">
        <v>6</v>
      </c>
      <c r="AC41" s="96"/>
      <c r="AD41" s="42"/>
    </row>
    <row r="42" spans="1:30" x14ac:dyDescent="0.25">
      <c r="A42" s="97" t="s">
        <v>2</v>
      </c>
      <c r="B42" s="98"/>
      <c r="C42" s="31">
        <f t="shared" ref="C42:AC42" si="1">+SUM(C6:C41)</f>
        <v>114071</v>
      </c>
      <c r="D42" s="31">
        <f t="shared" si="1"/>
        <v>98452</v>
      </c>
      <c r="E42" s="31">
        <f t="shared" si="1"/>
        <v>88511</v>
      </c>
      <c r="F42" s="31">
        <f t="shared" si="1"/>
        <v>82983</v>
      </c>
      <c r="G42" s="31">
        <f t="shared" si="1"/>
        <v>84367</v>
      </c>
      <c r="H42" s="31">
        <f t="shared" si="1"/>
        <v>89736</v>
      </c>
      <c r="I42" s="31">
        <f t="shared" si="1"/>
        <v>92462</v>
      </c>
      <c r="J42" s="31">
        <f t="shared" si="1"/>
        <v>85759</v>
      </c>
      <c r="K42" s="31">
        <f t="shared" si="1"/>
        <v>116173</v>
      </c>
      <c r="L42" s="31">
        <f t="shared" si="1"/>
        <v>145989</v>
      </c>
      <c r="M42" s="31">
        <f t="shared" si="1"/>
        <v>168836</v>
      </c>
      <c r="N42" s="31">
        <f t="shared" si="1"/>
        <v>188063</v>
      </c>
      <c r="O42" s="31">
        <f t="shared" si="1"/>
        <v>182974</v>
      </c>
      <c r="P42" s="31">
        <f t="shared" si="1"/>
        <v>177019</v>
      </c>
      <c r="Q42" s="31">
        <f t="shared" si="1"/>
        <v>180564</v>
      </c>
      <c r="R42" s="31">
        <f t="shared" si="1"/>
        <v>181011</v>
      </c>
      <c r="S42" s="31">
        <f t="shared" si="1"/>
        <v>177687</v>
      </c>
      <c r="T42" s="31">
        <f t="shared" si="1"/>
        <v>258631</v>
      </c>
      <c r="U42" s="31">
        <f t="shared" si="1"/>
        <v>281698</v>
      </c>
      <c r="V42" s="31">
        <f t="shared" si="1"/>
        <v>296688</v>
      </c>
      <c r="W42" s="31">
        <f t="shared" si="1"/>
        <v>284387</v>
      </c>
      <c r="X42" s="31">
        <f t="shared" si="1"/>
        <v>266200</v>
      </c>
      <c r="Y42" s="31">
        <f t="shared" si="1"/>
        <v>232026</v>
      </c>
      <c r="Z42" s="31">
        <f t="shared" si="1"/>
        <v>194487</v>
      </c>
      <c r="AA42" s="31">
        <f t="shared" si="1"/>
        <v>4068774</v>
      </c>
      <c r="AB42" s="31">
        <f t="shared" si="1"/>
        <v>365</v>
      </c>
      <c r="AC42" s="46">
        <f t="shared" si="1"/>
        <v>43577991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EDF8-B73D-4B08-91CE-CBF3686E8764}">
  <sheetPr>
    <tabColor theme="7" tint="-0.249977111117893"/>
  </sheetPr>
  <dimension ref="A1:AD46"/>
  <sheetViews>
    <sheetView showGridLines="0" zoomScale="115" zoomScaleNormal="115" zoomScaleSheetLayoutView="110" workbookViewId="0">
      <pane xSplit="2" ySplit="5" topLeftCell="C11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76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47849</v>
      </c>
      <c r="B6" s="18" t="s">
        <v>5</v>
      </c>
      <c r="C6" s="33">
        <f>+'Anexo 16'!C6*'Anexo 6'!$D$10</f>
        <v>0</v>
      </c>
      <c r="D6" s="33">
        <f>+'Anexo 16'!D6*'Anexo 6'!$D$10</f>
        <v>0</v>
      </c>
      <c r="E6" s="33">
        <f>+'Anexo 16'!E6*'Anexo 6'!$D$10</f>
        <v>0</v>
      </c>
      <c r="F6" s="33">
        <f>+'Anexo 16'!F6*'Anexo 6'!$D$10</f>
        <v>0</v>
      </c>
      <c r="G6" s="33">
        <f>+'Anexo 16'!G6*'Anexo 6'!$D$10</f>
        <v>0</v>
      </c>
      <c r="H6" s="33">
        <f>+'Anexo 16'!H6*'Anexo 6'!$D$10</f>
        <v>0</v>
      </c>
      <c r="I6" s="33">
        <f>+'Anexo 16'!I6*'Anexo 6'!$D$10</f>
        <v>0</v>
      </c>
      <c r="J6" s="33">
        <f>+'Anexo 16'!J6*'Anexo 6'!$D$10</f>
        <v>0</v>
      </c>
      <c r="K6" s="33">
        <f>+'Anexo 16'!K6*'Anexo 6'!$D$10</f>
        <v>0</v>
      </c>
      <c r="L6" s="33">
        <f>+'Anexo 16'!L6*'Anexo 6'!$D$10</f>
        <v>0</v>
      </c>
      <c r="M6" s="33">
        <f>+'Anexo 16'!M6*'Anexo 6'!$D$10</f>
        <v>0</v>
      </c>
      <c r="N6" s="33">
        <f>+'Anexo 16'!N6*'Anexo 6'!$D$10</f>
        <v>0</v>
      </c>
      <c r="O6" s="33">
        <f>+'Anexo 16'!O6*'Anexo 6'!$D$10</f>
        <v>0</v>
      </c>
      <c r="P6" s="33">
        <f>+'Anexo 16'!P6*'Anexo 6'!$D$10</f>
        <v>0</v>
      </c>
      <c r="Q6" s="33">
        <f>+'Anexo 16'!Q6*'Anexo 6'!$D$10</f>
        <v>0</v>
      </c>
      <c r="R6" s="33">
        <f>+'Anexo 16'!R6*'Anexo 6'!$D$10</f>
        <v>0</v>
      </c>
      <c r="S6" s="33">
        <f>+'Anexo 16'!S6*'Anexo 6'!$D$10</f>
        <v>0</v>
      </c>
      <c r="T6" s="33">
        <f>+'Anexo 16'!T6*'Anexo 6'!$D$10</f>
        <v>0</v>
      </c>
      <c r="U6" s="33">
        <f>+'Anexo 16'!U6*'Anexo 6'!$D$10</f>
        <v>0</v>
      </c>
      <c r="V6" s="33">
        <f>+'Anexo 16'!V6*'Anexo 6'!$D$10</f>
        <v>0</v>
      </c>
      <c r="W6" s="33">
        <f>+'Anexo 16'!W6*'Anexo 6'!$D$10</f>
        <v>0</v>
      </c>
      <c r="X6" s="33">
        <f>+'Anexo 16'!X6*'Anexo 6'!$D$10</f>
        <v>0</v>
      </c>
      <c r="Y6" s="33">
        <f>+'Anexo 16'!Y6*'Anexo 6'!$D$10</f>
        <v>0</v>
      </c>
      <c r="Z6" s="33">
        <f>+'Anexo 16'!Z6*'Anexo 6'!$D$10</f>
        <v>0</v>
      </c>
      <c r="AA6" s="35">
        <f>SUM(C6:Z6)</f>
        <v>0</v>
      </c>
      <c r="AB6" s="19">
        <v>21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3">
        <f>+'Anexo 16'!C7*'Anexo 6'!$D$10</f>
        <v>0</v>
      </c>
      <c r="D7" s="33">
        <f>+'Anexo 16'!D7*'Anexo 6'!$D$10</f>
        <v>0</v>
      </c>
      <c r="E7" s="33">
        <f>+'Anexo 16'!E7*'Anexo 6'!$D$10</f>
        <v>0</v>
      </c>
      <c r="F7" s="33">
        <f>+'Anexo 16'!F7*'Anexo 6'!$D$10</f>
        <v>0</v>
      </c>
      <c r="G7" s="33">
        <f>+'Anexo 16'!G7*'Anexo 6'!$D$10</f>
        <v>0</v>
      </c>
      <c r="H7" s="33">
        <f>+'Anexo 16'!H7*'Anexo 6'!$D$10</f>
        <v>0</v>
      </c>
      <c r="I7" s="33">
        <f>+'Anexo 16'!I7*'Anexo 6'!$D$10</f>
        <v>0</v>
      </c>
      <c r="J7" s="33">
        <f>+'Anexo 16'!J7*'Anexo 6'!$D$10</f>
        <v>0</v>
      </c>
      <c r="K7" s="33">
        <f>+'Anexo 16'!K7*'Anexo 6'!$D$10</f>
        <v>0</v>
      </c>
      <c r="L7" s="33">
        <f>+'Anexo 16'!L7*'Anexo 6'!$D$10</f>
        <v>0</v>
      </c>
      <c r="M7" s="33">
        <f>+'Anexo 16'!M7*'Anexo 6'!$D$10</f>
        <v>0</v>
      </c>
      <c r="N7" s="33">
        <f>+'Anexo 16'!N7*'Anexo 6'!$D$10</f>
        <v>0</v>
      </c>
      <c r="O7" s="33">
        <f>+'Anexo 16'!O7*'Anexo 6'!$D$10</f>
        <v>0</v>
      </c>
      <c r="P7" s="33">
        <f>+'Anexo 16'!P7*'Anexo 6'!$D$10</f>
        <v>0</v>
      </c>
      <c r="Q7" s="33">
        <f>+'Anexo 16'!Q7*'Anexo 6'!$D$10</f>
        <v>0</v>
      </c>
      <c r="R7" s="33">
        <f>+'Anexo 16'!R7*'Anexo 6'!$D$10</f>
        <v>0</v>
      </c>
      <c r="S7" s="33">
        <f>+'Anexo 16'!S7*'Anexo 6'!$D$10</f>
        <v>0</v>
      </c>
      <c r="T7" s="33">
        <f>+'Anexo 16'!T7*'Anexo 6'!$D$10</f>
        <v>0</v>
      </c>
      <c r="U7" s="33">
        <f>+'Anexo 16'!U7*'Anexo 6'!$D$10</f>
        <v>0</v>
      </c>
      <c r="V7" s="33">
        <f>+'Anexo 16'!V7*'Anexo 6'!$D$10</f>
        <v>0</v>
      </c>
      <c r="W7" s="33">
        <f>+'Anexo 16'!W7*'Anexo 6'!$D$10</f>
        <v>0</v>
      </c>
      <c r="X7" s="33">
        <f>+'Anexo 16'!X7*'Anexo 6'!$D$10</f>
        <v>0</v>
      </c>
      <c r="Y7" s="33">
        <f>+'Anexo 16'!Y7*'Anexo 6'!$D$10</f>
        <v>0</v>
      </c>
      <c r="Z7" s="33">
        <f>+'Anexo 16'!Z7*'Anexo 6'!$D$10</f>
        <v>0</v>
      </c>
      <c r="AA7" s="38">
        <f t="shared" ref="AA7:AA41" si="0">SUM(C7:Z7)</f>
        <v>0</v>
      </c>
      <c r="AB7" s="21">
        <v>4</v>
      </c>
      <c r="AC7" s="95"/>
      <c r="AD7" s="47"/>
    </row>
    <row r="8" spans="1:30" ht="15.75" thickBot="1" x14ac:dyDescent="0.3">
      <c r="A8" s="93"/>
      <c r="B8" s="22" t="s">
        <v>3</v>
      </c>
      <c r="C8" s="33">
        <f>+'Anexo 16'!C8*'Anexo 6'!$D$10</f>
        <v>0</v>
      </c>
      <c r="D8" s="33">
        <f>+'Anexo 16'!D8*'Anexo 6'!$D$10</f>
        <v>0</v>
      </c>
      <c r="E8" s="33">
        <f>+'Anexo 16'!E8*'Anexo 6'!$D$10</f>
        <v>0</v>
      </c>
      <c r="F8" s="33">
        <f>+'Anexo 16'!F8*'Anexo 6'!$D$10</f>
        <v>0</v>
      </c>
      <c r="G8" s="33">
        <f>+'Anexo 16'!G8*'Anexo 6'!$D$10</f>
        <v>0</v>
      </c>
      <c r="H8" s="33">
        <f>+'Anexo 16'!H8*'Anexo 6'!$D$10</f>
        <v>0</v>
      </c>
      <c r="I8" s="33">
        <f>+'Anexo 16'!I8*'Anexo 6'!$D$10</f>
        <v>0</v>
      </c>
      <c r="J8" s="33">
        <f>+'Anexo 16'!J8*'Anexo 6'!$D$10</f>
        <v>0</v>
      </c>
      <c r="K8" s="33">
        <f>+'Anexo 16'!K8*'Anexo 6'!$D$10</f>
        <v>0</v>
      </c>
      <c r="L8" s="33">
        <f>+'Anexo 16'!L8*'Anexo 6'!$D$10</f>
        <v>0</v>
      </c>
      <c r="M8" s="33">
        <f>+'Anexo 16'!M8*'Anexo 6'!$D$10</f>
        <v>0</v>
      </c>
      <c r="N8" s="33">
        <f>+'Anexo 16'!N8*'Anexo 6'!$D$10</f>
        <v>0</v>
      </c>
      <c r="O8" s="33">
        <f>+'Anexo 16'!O8*'Anexo 6'!$D$10</f>
        <v>0</v>
      </c>
      <c r="P8" s="33">
        <f>+'Anexo 16'!P8*'Anexo 6'!$D$10</f>
        <v>0</v>
      </c>
      <c r="Q8" s="33">
        <f>+'Anexo 16'!Q8*'Anexo 6'!$D$10</f>
        <v>0</v>
      </c>
      <c r="R8" s="33">
        <f>+'Anexo 16'!R8*'Anexo 6'!$D$10</f>
        <v>0</v>
      </c>
      <c r="S8" s="33">
        <f>+'Anexo 16'!S8*'Anexo 6'!$D$10</f>
        <v>0</v>
      </c>
      <c r="T8" s="33">
        <f>+'Anexo 16'!T8*'Anexo 6'!$D$10</f>
        <v>0</v>
      </c>
      <c r="U8" s="33">
        <f>+'Anexo 16'!U8*'Anexo 6'!$D$10</f>
        <v>0</v>
      </c>
      <c r="V8" s="33">
        <f>+'Anexo 16'!V8*'Anexo 6'!$D$10</f>
        <v>0</v>
      </c>
      <c r="W8" s="33">
        <f>+'Anexo 16'!W8*'Anexo 6'!$D$10</f>
        <v>0</v>
      </c>
      <c r="X8" s="33">
        <f>+'Anexo 16'!X8*'Anexo 6'!$D$10</f>
        <v>0</v>
      </c>
      <c r="Y8" s="33">
        <f>+'Anexo 16'!Y8*'Anexo 6'!$D$10</f>
        <v>0</v>
      </c>
      <c r="Z8" s="33">
        <f>+'Anexo 16'!Z8*'Anexo 6'!$D$10</f>
        <v>0</v>
      </c>
      <c r="AA8" s="41">
        <f t="shared" si="0"/>
        <v>0</v>
      </c>
      <c r="AB8" s="23">
        <v>6</v>
      </c>
      <c r="AC8" s="96"/>
      <c r="AD8" s="48"/>
    </row>
    <row r="9" spans="1:30" ht="15.75" thickBot="1" x14ac:dyDescent="0.3">
      <c r="A9" s="93">
        <v>47880</v>
      </c>
      <c r="B9" s="18" t="s">
        <v>5</v>
      </c>
      <c r="C9" s="33">
        <f>+'Anexo 16'!C9*'Anexo 6'!$D$10</f>
        <v>0</v>
      </c>
      <c r="D9" s="33">
        <f>+'Anexo 16'!D9*'Anexo 6'!$D$10</f>
        <v>0</v>
      </c>
      <c r="E9" s="33">
        <f>+'Anexo 16'!E9*'Anexo 6'!$D$10</f>
        <v>0</v>
      </c>
      <c r="F9" s="33">
        <f>+'Anexo 16'!F9*'Anexo 6'!$D$10</f>
        <v>0</v>
      </c>
      <c r="G9" s="33">
        <f>+'Anexo 16'!G9*'Anexo 6'!$D$10</f>
        <v>0</v>
      </c>
      <c r="H9" s="33">
        <f>+'Anexo 16'!H9*'Anexo 6'!$D$10</f>
        <v>0</v>
      </c>
      <c r="I9" s="33">
        <f>+'Anexo 16'!I9*'Anexo 6'!$D$10</f>
        <v>0</v>
      </c>
      <c r="J9" s="33">
        <f>+'Anexo 16'!J9*'Anexo 6'!$D$10</f>
        <v>0</v>
      </c>
      <c r="K9" s="33">
        <f>+'Anexo 16'!K9*'Anexo 6'!$D$10</f>
        <v>0</v>
      </c>
      <c r="L9" s="33">
        <f>+'Anexo 16'!L9*'Anexo 6'!$D$10</f>
        <v>0</v>
      </c>
      <c r="M9" s="33">
        <f>+'Anexo 16'!M9*'Anexo 6'!$D$10</f>
        <v>0</v>
      </c>
      <c r="N9" s="33">
        <f>+'Anexo 16'!N9*'Anexo 6'!$D$10</f>
        <v>0</v>
      </c>
      <c r="O9" s="33">
        <f>+'Anexo 16'!O9*'Anexo 6'!$D$10</f>
        <v>0</v>
      </c>
      <c r="P9" s="33">
        <f>+'Anexo 16'!P9*'Anexo 6'!$D$10</f>
        <v>0</v>
      </c>
      <c r="Q9" s="33">
        <f>+'Anexo 16'!Q9*'Anexo 6'!$D$10</f>
        <v>0</v>
      </c>
      <c r="R9" s="33">
        <f>+'Anexo 16'!R9*'Anexo 6'!$D$10</f>
        <v>0</v>
      </c>
      <c r="S9" s="33">
        <f>+'Anexo 16'!S9*'Anexo 6'!$D$10</f>
        <v>0</v>
      </c>
      <c r="T9" s="33">
        <f>+'Anexo 16'!T9*'Anexo 6'!$D$10</f>
        <v>0</v>
      </c>
      <c r="U9" s="33">
        <f>+'Anexo 16'!U9*'Anexo 6'!$D$10</f>
        <v>0</v>
      </c>
      <c r="V9" s="33">
        <f>+'Anexo 16'!V9*'Anexo 6'!$D$10</f>
        <v>0</v>
      </c>
      <c r="W9" s="33">
        <f>+'Anexo 16'!W9*'Anexo 6'!$D$10</f>
        <v>0</v>
      </c>
      <c r="X9" s="33">
        <f>+'Anexo 16'!X9*'Anexo 6'!$D$10</f>
        <v>0</v>
      </c>
      <c r="Y9" s="33">
        <f>+'Anexo 16'!Y9*'Anexo 6'!$D$10</f>
        <v>0</v>
      </c>
      <c r="Z9" s="33">
        <f>+'Anexo 16'!Z9*'Anexo 6'!$D$10</f>
        <v>0</v>
      </c>
      <c r="AA9" s="35">
        <f t="shared" si="0"/>
        <v>0</v>
      </c>
      <c r="AB9" s="19">
        <v>20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+'Anexo 16'!C10*'Anexo 6'!$D$10</f>
        <v>0</v>
      </c>
      <c r="D10" s="33">
        <f>+'Anexo 16'!D10*'Anexo 6'!$D$10</f>
        <v>0</v>
      </c>
      <c r="E10" s="33">
        <f>+'Anexo 16'!E10*'Anexo 6'!$D$10</f>
        <v>0</v>
      </c>
      <c r="F10" s="33">
        <f>+'Anexo 16'!F10*'Anexo 6'!$D$10</f>
        <v>0</v>
      </c>
      <c r="G10" s="33">
        <f>+'Anexo 16'!G10*'Anexo 6'!$D$10</f>
        <v>0</v>
      </c>
      <c r="H10" s="33">
        <f>+'Anexo 16'!H10*'Anexo 6'!$D$10</f>
        <v>0</v>
      </c>
      <c r="I10" s="33">
        <f>+'Anexo 16'!I10*'Anexo 6'!$D$10</f>
        <v>0</v>
      </c>
      <c r="J10" s="33">
        <f>+'Anexo 16'!J10*'Anexo 6'!$D$10</f>
        <v>0</v>
      </c>
      <c r="K10" s="33">
        <f>+'Anexo 16'!K10*'Anexo 6'!$D$10</f>
        <v>0</v>
      </c>
      <c r="L10" s="33">
        <f>+'Anexo 16'!L10*'Anexo 6'!$D$10</f>
        <v>0</v>
      </c>
      <c r="M10" s="33">
        <f>+'Anexo 16'!M10*'Anexo 6'!$D$10</f>
        <v>0</v>
      </c>
      <c r="N10" s="33">
        <f>+'Anexo 16'!N10*'Anexo 6'!$D$10</f>
        <v>0</v>
      </c>
      <c r="O10" s="33">
        <f>+'Anexo 16'!O10*'Anexo 6'!$D$10</f>
        <v>0</v>
      </c>
      <c r="P10" s="33">
        <f>+'Anexo 16'!P10*'Anexo 6'!$D$10</f>
        <v>0</v>
      </c>
      <c r="Q10" s="33">
        <f>+'Anexo 16'!Q10*'Anexo 6'!$D$10</f>
        <v>0</v>
      </c>
      <c r="R10" s="33">
        <f>+'Anexo 16'!R10*'Anexo 6'!$D$10</f>
        <v>0</v>
      </c>
      <c r="S10" s="33">
        <f>+'Anexo 16'!S10*'Anexo 6'!$D$10</f>
        <v>0</v>
      </c>
      <c r="T10" s="33">
        <f>+'Anexo 16'!T10*'Anexo 6'!$D$10</f>
        <v>0</v>
      </c>
      <c r="U10" s="33">
        <f>+'Anexo 16'!U10*'Anexo 6'!$D$10</f>
        <v>0</v>
      </c>
      <c r="V10" s="33">
        <f>+'Anexo 16'!V10*'Anexo 6'!$D$10</f>
        <v>0</v>
      </c>
      <c r="W10" s="33">
        <f>+'Anexo 16'!W10*'Anexo 6'!$D$10</f>
        <v>0</v>
      </c>
      <c r="X10" s="33">
        <f>+'Anexo 16'!X10*'Anexo 6'!$D$10</f>
        <v>0</v>
      </c>
      <c r="Y10" s="33">
        <f>+'Anexo 16'!Y10*'Anexo 6'!$D$10</f>
        <v>0</v>
      </c>
      <c r="Z10" s="33">
        <f>+'Anexo 16'!Z10*'Anexo 6'!$D$10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+'Anexo 16'!C11*'Anexo 6'!$D$10</f>
        <v>0</v>
      </c>
      <c r="D11" s="33">
        <f>+'Anexo 16'!D11*'Anexo 6'!$D$10</f>
        <v>0</v>
      </c>
      <c r="E11" s="33">
        <f>+'Anexo 16'!E11*'Anexo 6'!$D$10</f>
        <v>0</v>
      </c>
      <c r="F11" s="33">
        <f>+'Anexo 16'!F11*'Anexo 6'!$D$10</f>
        <v>0</v>
      </c>
      <c r="G11" s="33">
        <f>+'Anexo 16'!G11*'Anexo 6'!$D$10</f>
        <v>0</v>
      </c>
      <c r="H11" s="33">
        <f>+'Anexo 16'!H11*'Anexo 6'!$D$10</f>
        <v>0</v>
      </c>
      <c r="I11" s="33">
        <f>+'Anexo 16'!I11*'Anexo 6'!$D$10</f>
        <v>0</v>
      </c>
      <c r="J11" s="33">
        <f>+'Anexo 16'!J11*'Anexo 6'!$D$10</f>
        <v>0</v>
      </c>
      <c r="K11" s="33">
        <f>+'Anexo 16'!K11*'Anexo 6'!$D$10</f>
        <v>0</v>
      </c>
      <c r="L11" s="33">
        <f>+'Anexo 16'!L11*'Anexo 6'!$D$10</f>
        <v>0</v>
      </c>
      <c r="M11" s="33">
        <f>+'Anexo 16'!M11*'Anexo 6'!$D$10</f>
        <v>0</v>
      </c>
      <c r="N11" s="33">
        <f>+'Anexo 16'!N11*'Anexo 6'!$D$10</f>
        <v>0</v>
      </c>
      <c r="O11" s="33">
        <f>+'Anexo 16'!O11*'Anexo 6'!$D$10</f>
        <v>0</v>
      </c>
      <c r="P11" s="33">
        <f>+'Anexo 16'!P11*'Anexo 6'!$D$10</f>
        <v>0</v>
      </c>
      <c r="Q11" s="33">
        <f>+'Anexo 16'!Q11*'Anexo 6'!$D$10</f>
        <v>0</v>
      </c>
      <c r="R11" s="33">
        <f>+'Anexo 16'!R11*'Anexo 6'!$D$10</f>
        <v>0</v>
      </c>
      <c r="S11" s="33">
        <f>+'Anexo 16'!S11*'Anexo 6'!$D$10</f>
        <v>0</v>
      </c>
      <c r="T11" s="33">
        <f>+'Anexo 16'!T11*'Anexo 6'!$D$10</f>
        <v>0</v>
      </c>
      <c r="U11" s="33">
        <f>+'Anexo 16'!U11*'Anexo 6'!$D$10</f>
        <v>0</v>
      </c>
      <c r="V11" s="33">
        <f>+'Anexo 16'!V11*'Anexo 6'!$D$10</f>
        <v>0</v>
      </c>
      <c r="W11" s="33">
        <f>+'Anexo 16'!W11*'Anexo 6'!$D$10</f>
        <v>0</v>
      </c>
      <c r="X11" s="33">
        <f>+'Anexo 16'!X11*'Anexo 6'!$D$10</f>
        <v>0</v>
      </c>
      <c r="Y11" s="33">
        <f>+'Anexo 16'!Y11*'Anexo 6'!$D$10</f>
        <v>0</v>
      </c>
      <c r="Z11" s="33">
        <f>+'Anexo 16'!Z11*'Anexo 6'!$D$10</f>
        <v>0</v>
      </c>
      <c r="AA11" s="41">
        <f t="shared" si="0"/>
        <v>0</v>
      </c>
      <c r="AB11" s="23">
        <v>4</v>
      </c>
      <c r="AC11" s="96"/>
      <c r="AD11" s="48"/>
    </row>
    <row r="12" spans="1:30" ht="15.75" thickBot="1" x14ac:dyDescent="0.3">
      <c r="A12" s="93">
        <v>47908</v>
      </c>
      <c r="B12" s="18" t="s">
        <v>5</v>
      </c>
      <c r="C12" s="33">
        <f>+'Anexo 16'!C12*'Anexo 6'!$D$10</f>
        <v>0</v>
      </c>
      <c r="D12" s="33">
        <f>+'Anexo 16'!D12*'Anexo 6'!$D$10</f>
        <v>0</v>
      </c>
      <c r="E12" s="33">
        <f>+'Anexo 16'!E12*'Anexo 6'!$D$10</f>
        <v>0</v>
      </c>
      <c r="F12" s="33">
        <f>+'Anexo 16'!F12*'Anexo 6'!$D$10</f>
        <v>0</v>
      </c>
      <c r="G12" s="33">
        <f>+'Anexo 16'!G12*'Anexo 6'!$D$10</f>
        <v>0</v>
      </c>
      <c r="H12" s="33">
        <f>+'Anexo 16'!H12*'Anexo 6'!$D$10</f>
        <v>0</v>
      </c>
      <c r="I12" s="33">
        <f>+'Anexo 16'!I12*'Anexo 6'!$D$10</f>
        <v>0</v>
      </c>
      <c r="J12" s="33">
        <f>+'Anexo 16'!J12*'Anexo 6'!$D$10</f>
        <v>0</v>
      </c>
      <c r="K12" s="33">
        <f>+'Anexo 16'!K12*'Anexo 6'!$D$10</f>
        <v>0</v>
      </c>
      <c r="L12" s="33">
        <f>+'Anexo 16'!L12*'Anexo 6'!$D$10</f>
        <v>0</v>
      </c>
      <c r="M12" s="33">
        <f>+'Anexo 16'!M12*'Anexo 6'!$D$10</f>
        <v>0</v>
      </c>
      <c r="N12" s="33">
        <f>+'Anexo 16'!N12*'Anexo 6'!$D$10</f>
        <v>0</v>
      </c>
      <c r="O12" s="33">
        <f>+'Anexo 16'!O12*'Anexo 6'!$D$10</f>
        <v>0</v>
      </c>
      <c r="P12" s="33">
        <f>+'Anexo 16'!P12*'Anexo 6'!$D$10</f>
        <v>0</v>
      </c>
      <c r="Q12" s="33">
        <f>+'Anexo 16'!Q12*'Anexo 6'!$D$10</f>
        <v>0</v>
      </c>
      <c r="R12" s="33">
        <f>+'Anexo 16'!R12*'Anexo 6'!$D$10</f>
        <v>0</v>
      </c>
      <c r="S12" s="33">
        <f>+'Anexo 16'!S12*'Anexo 6'!$D$10</f>
        <v>0</v>
      </c>
      <c r="T12" s="33">
        <f>+'Anexo 16'!T12*'Anexo 6'!$D$10</f>
        <v>0</v>
      </c>
      <c r="U12" s="33">
        <f>+'Anexo 16'!U12*'Anexo 6'!$D$10</f>
        <v>0</v>
      </c>
      <c r="V12" s="33">
        <f>+'Anexo 16'!V12*'Anexo 6'!$D$10</f>
        <v>0</v>
      </c>
      <c r="W12" s="33">
        <f>+'Anexo 16'!W12*'Anexo 6'!$D$10</f>
        <v>0</v>
      </c>
      <c r="X12" s="33">
        <f>+'Anexo 16'!X12*'Anexo 6'!$D$10</f>
        <v>0</v>
      </c>
      <c r="Y12" s="33">
        <f>+'Anexo 16'!Y12*'Anexo 6'!$D$10</f>
        <v>0</v>
      </c>
      <c r="Z12" s="33">
        <f>+'Anexo 16'!Z12*'Anexo 6'!$D$10</f>
        <v>0</v>
      </c>
      <c r="AA12" s="35">
        <f t="shared" si="0"/>
        <v>0</v>
      </c>
      <c r="AB12" s="19">
        <v>20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+'Anexo 16'!C13*'Anexo 6'!$D$10</f>
        <v>0</v>
      </c>
      <c r="D13" s="33">
        <f>+'Anexo 16'!D13*'Anexo 6'!$D$10</f>
        <v>0</v>
      </c>
      <c r="E13" s="33">
        <f>+'Anexo 16'!E13*'Anexo 6'!$D$10</f>
        <v>0</v>
      </c>
      <c r="F13" s="33">
        <f>+'Anexo 16'!F13*'Anexo 6'!$D$10</f>
        <v>0</v>
      </c>
      <c r="G13" s="33">
        <f>+'Anexo 16'!G13*'Anexo 6'!$D$10</f>
        <v>0</v>
      </c>
      <c r="H13" s="33">
        <f>+'Anexo 16'!H13*'Anexo 6'!$D$10</f>
        <v>0</v>
      </c>
      <c r="I13" s="33">
        <f>+'Anexo 16'!I13*'Anexo 6'!$D$10</f>
        <v>0</v>
      </c>
      <c r="J13" s="33">
        <f>+'Anexo 16'!J13*'Anexo 6'!$D$10</f>
        <v>0</v>
      </c>
      <c r="K13" s="33">
        <f>+'Anexo 16'!K13*'Anexo 6'!$D$10</f>
        <v>0</v>
      </c>
      <c r="L13" s="33">
        <f>+'Anexo 16'!L13*'Anexo 6'!$D$10</f>
        <v>0</v>
      </c>
      <c r="M13" s="33">
        <f>+'Anexo 16'!M13*'Anexo 6'!$D$10</f>
        <v>0</v>
      </c>
      <c r="N13" s="33">
        <f>+'Anexo 16'!N13*'Anexo 6'!$D$10</f>
        <v>0</v>
      </c>
      <c r="O13" s="33">
        <f>+'Anexo 16'!O13*'Anexo 6'!$D$10</f>
        <v>0</v>
      </c>
      <c r="P13" s="33">
        <f>+'Anexo 16'!P13*'Anexo 6'!$D$10</f>
        <v>0</v>
      </c>
      <c r="Q13" s="33">
        <f>+'Anexo 16'!Q13*'Anexo 6'!$D$10</f>
        <v>0</v>
      </c>
      <c r="R13" s="33">
        <f>+'Anexo 16'!R13*'Anexo 6'!$D$10</f>
        <v>0</v>
      </c>
      <c r="S13" s="33">
        <f>+'Anexo 16'!S13*'Anexo 6'!$D$10</f>
        <v>0</v>
      </c>
      <c r="T13" s="33">
        <f>+'Anexo 16'!T13*'Anexo 6'!$D$10</f>
        <v>0</v>
      </c>
      <c r="U13" s="33">
        <f>+'Anexo 16'!U13*'Anexo 6'!$D$10</f>
        <v>0</v>
      </c>
      <c r="V13" s="33">
        <f>+'Anexo 16'!V13*'Anexo 6'!$D$10</f>
        <v>0</v>
      </c>
      <c r="W13" s="33">
        <f>+'Anexo 16'!W13*'Anexo 6'!$D$10</f>
        <v>0</v>
      </c>
      <c r="X13" s="33">
        <f>+'Anexo 16'!X13*'Anexo 6'!$D$10</f>
        <v>0</v>
      </c>
      <c r="Y13" s="33">
        <f>+'Anexo 16'!Y13*'Anexo 6'!$D$10</f>
        <v>0</v>
      </c>
      <c r="Z13" s="33">
        <f>+'Anexo 16'!Z13*'Anexo 6'!$D$10</f>
        <v>0</v>
      </c>
      <c r="AA13" s="38">
        <f t="shared" si="0"/>
        <v>0</v>
      </c>
      <c r="AB13" s="21">
        <v>5</v>
      </c>
      <c r="AC13" s="95"/>
      <c r="AD13" s="47"/>
    </row>
    <row r="14" spans="1:30" ht="15.75" thickBot="1" x14ac:dyDescent="0.3">
      <c r="A14" s="93"/>
      <c r="B14" s="22" t="s">
        <v>3</v>
      </c>
      <c r="C14" s="33">
        <f>+'Anexo 16'!C14*'Anexo 6'!$D$10</f>
        <v>0</v>
      </c>
      <c r="D14" s="33">
        <f>+'Anexo 16'!D14*'Anexo 6'!$D$10</f>
        <v>0</v>
      </c>
      <c r="E14" s="33">
        <f>+'Anexo 16'!E14*'Anexo 6'!$D$10</f>
        <v>0</v>
      </c>
      <c r="F14" s="33">
        <f>+'Anexo 16'!F14*'Anexo 6'!$D$10</f>
        <v>0</v>
      </c>
      <c r="G14" s="33">
        <f>+'Anexo 16'!G14*'Anexo 6'!$D$10</f>
        <v>0</v>
      </c>
      <c r="H14" s="33">
        <f>+'Anexo 16'!H14*'Anexo 6'!$D$10</f>
        <v>0</v>
      </c>
      <c r="I14" s="33">
        <f>+'Anexo 16'!I14*'Anexo 6'!$D$10</f>
        <v>0</v>
      </c>
      <c r="J14" s="33">
        <f>+'Anexo 16'!J14*'Anexo 6'!$D$10</f>
        <v>0</v>
      </c>
      <c r="K14" s="33">
        <f>+'Anexo 16'!K14*'Anexo 6'!$D$10</f>
        <v>0</v>
      </c>
      <c r="L14" s="33">
        <f>+'Anexo 16'!L14*'Anexo 6'!$D$10</f>
        <v>0</v>
      </c>
      <c r="M14" s="33">
        <f>+'Anexo 16'!M14*'Anexo 6'!$D$10</f>
        <v>0</v>
      </c>
      <c r="N14" s="33">
        <f>+'Anexo 16'!N14*'Anexo 6'!$D$10</f>
        <v>0</v>
      </c>
      <c r="O14" s="33">
        <f>+'Anexo 16'!O14*'Anexo 6'!$D$10</f>
        <v>0</v>
      </c>
      <c r="P14" s="33">
        <f>+'Anexo 16'!P14*'Anexo 6'!$D$10</f>
        <v>0</v>
      </c>
      <c r="Q14" s="33">
        <f>+'Anexo 16'!Q14*'Anexo 6'!$D$10</f>
        <v>0</v>
      </c>
      <c r="R14" s="33">
        <f>+'Anexo 16'!R14*'Anexo 6'!$D$10</f>
        <v>0</v>
      </c>
      <c r="S14" s="33">
        <f>+'Anexo 16'!S14*'Anexo 6'!$D$10</f>
        <v>0</v>
      </c>
      <c r="T14" s="33">
        <f>+'Anexo 16'!T14*'Anexo 6'!$D$10</f>
        <v>0</v>
      </c>
      <c r="U14" s="33">
        <f>+'Anexo 16'!U14*'Anexo 6'!$D$10</f>
        <v>0</v>
      </c>
      <c r="V14" s="33">
        <f>+'Anexo 16'!V14*'Anexo 6'!$D$10</f>
        <v>0</v>
      </c>
      <c r="W14" s="33">
        <f>+'Anexo 16'!W14*'Anexo 6'!$D$10</f>
        <v>0</v>
      </c>
      <c r="X14" s="33">
        <f>+'Anexo 16'!X14*'Anexo 6'!$D$10</f>
        <v>0</v>
      </c>
      <c r="Y14" s="33">
        <f>+'Anexo 16'!Y14*'Anexo 6'!$D$10</f>
        <v>0</v>
      </c>
      <c r="Z14" s="33">
        <f>+'Anexo 16'!Z14*'Anexo 6'!$D$10</f>
        <v>0</v>
      </c>
      <c r="AA14" s="41">
        <f t="shared" si="0"/>
        <v>0</v>
      </c>
      <c r="AB14" s="23">
        <v>6</v>
      </c>
      <c r="AC14" s="96"/>
      <c r="AD14" s="45"/>
    </row>
    <row r="15" spans="1:30" ht="15.75" thickBot="1" x14ac:dyDescent="0.3">
      <c r="A15" s="93">
        <v>47939</v>
      </c>
      <c r="B15" s="18" t="s">
        <v>5</v>
      </c>
      <c r="C15" s="33">
        <f>+'Anexo 16'!C15*'Anexo 6'!$D$10</f>
        <v>0</v>
      </c>
      <c r="D15" s="33">
        <f>+'Anexo 16'!D15*'Anexo 6'!$D$10</f>
        <v>0</v>
      </c>
      <c r="E15" s="33">
        <f>+'Anexo 16'!E15*'Anexo 6'!$D$10</f>
        <v>0</v>
      </c>
      <c r="F15" s="33">
        <f>+'Anexo 16'!F15*'Anexo 6'!$D$10</f>
        <v>0</v>
      </c>
      <c r="G15" s="33">
        <f>+'Anexo 16'!G15*'Anexo 6'!$D$10</f>
        <v>0</v>
      </c>
      <c r="H15" s="33">
        <f>+'Anexo 16'!H15*'Anexo 6'!$D$10</f>
        <v>0</v>
      </c>
      <c r="I15" s="33">
        <f>+'Anexo 16'!I15*'Anexo 6'!$D$10</f>
        <v>0</v>
      </c>
      <c r="J15" s="33">
        <f>+'Anexo 16'!J15*'Anexo 6'!$D$10</f>
        <v>0</v>
      </c>
      <c r="K15" s="33">
        <f>+'Anexo 16'!K15*'Anexo 6'!$D$10</f>
        <v>0</v>
      </c>
      <c r="L15" s="33">
        <f>+'Anexo 16'!L15*'Anexo 6'!$D$10</f>
        <v>0</v>
      </c>
      <c r="M15" s="33">
        <f>+'Anexo 16'!M15*'Anexo 6'!$D$10</f>
        <v>0</v>
      </c>
      <c r="N15" s="33">
        <f>+'Anexo 16'!N15*'Anexo 6'!$D$10</f>
        <v>0</v>
      </c>
      <c r="O15" s="33">
        <f>+'Anexo 16'!O15*'Anexo 6'!$D$10</f>
        <v>0</v>
      </c>
      <c r="P15" s="33">
        <f>+'Anexo 16'!P15*'Anexo 6'!$D$10</f>
        <v>0</v>
      </c>
      <c r="Q15" s="33">
        <f>+'Anexo 16'!Q15*'Anexo 6'!$D$10</f>
        <v>0</v>
      </c>
      <c r="R15" s="33">
        <f>+'Anexo 16'!R15*'Anexo 6'!$D$10</f>
        <v>0</v>
      </c>
      <c r="S15" s="33">
        <f>+'Anexo 16'!S15*'Anexo 6'!$D$10</f>
        <v>0</v>
      </c>
      <c r="T15" s="33">
        <f>+'Anexo 16'!T15*'Anexo 6'!$D$10</f>
        <v>0</v>
      </c>
      <c r="U15" s="33">
        <f>+'Anexo 16'!U15*'Anexo 6'!$D$10</f>
        <v>0</v>
      </c>
      <c r="V15" s="33">
        <f>+'Anexo 16'!V15*'Anexo 6'!$D$10</f>
        <v>0</v>
      </c>
      <c r="W15" s="33">
        <f>+'Anexo 16'!W15*'Anexo 6'!$D$10</f>
        <v>0</v>
      </c>
      <c r="X15" s="33">
        <f>+'Anexo 16'!X15*'Anexo 6'!$D$10</f>
        <v>0</v>
      </c>
      <c r="Y15" s="33">
        <f>+'Anexo 16'!Y15*'Anexo 6'!$D$10</f>
        <v>0</v>
      </c>
      <c r="Z15" s="33">
        <f>+'Anexo 16'!Z15*'Anexo 6'!$D$10</f>
        <v>0</v>
      </c>
      <c r="AA15" s="35">
        <f t="shared" si="0"/>
        <v>0</v>
      </c>
      <c r="AB15" s="19">
        <v>20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+'Anexo 16'!C16*'Anexo 6'!$D$10</f>
        <v>0</v>
      </c>
      <c r="D16" s="33">
        <f>+'Anexo 16'!D16*'Anexo 6'!$D$10</f>
        <v>0</v>
      </c>
      <c r="E16" s="33">
        <f>+'Anexo 16'!E16*'Anexo 6'!$D$10</f>
        <v>0</v>
      </c>
      <c r="F16" s="33">
        <f>+'Anexo 16'!F16*'Anexo 6'!$D$10</f>
        <v>0</v>
      </c>
      <c r="G16" s="33">
        <f>+'Anexo 16'!G16*'Anexo 6'!$D$10</f>
        <v>0</v>
      </c>
      <c r="H16" s="33">
        <f>+'Anexo 16'!H16*'Anexo 6'!$D$10</f>
        <v>0</v>
      </c>
      <c r="I16" s="33">
        <f>+'Anexo 16'!I16*'Anexo 6'!$D$10</f>
        <v>0</v>
      </c>
      <c r="J16" s="33">
        <f>+'Anexo 16'!J16*'Anexo 6'!$D$10</f>
        <v>0</v>
      </c>
      <c r="K16" s="33">
        <f>+'Anexo 16'!K16*'Anexo 6'!$D$10</f>
        <v>0</v>
      </c>
      <c r="L16" s="33">
        <f>+'Anexo 16'!L16*'Anexo 6'!$D$10</f>
        <v>0</v>
      </c>
      <c r="M16" s="33">
        <f>+'Anexo 16'!M16*'Anexo 6'!$D$10</f>
        <v>0</v>
      </c>
      <c r="N16" s="33">
        <f>+'Anexo 16'!N16*'Anexo 6'!$D$10</f>
        <v>0</v>
      </c>
      <c r="O16" s="33">
        <f>+'Anexo 16'!O16*'Anexo 6'!$D$10</f>
        <v>0</v>
      </c>
      <c r="P16" s="33">
        <f>+'Anexo 16'!P16*'Anexo 6'!$D$10</f>
        <v>0</v>
      </c>
      <c r="Q16" s="33">
        <f>+'Anexo 16'!Q16*'Anexo 6'!$D$10</f>
        <v>0</v>
      </c>
      <c r="R16" s="33">
        <f>+'Anexo 16'!R16*'Anexo 6'!$D$10</f>
        <v>0</v>
      </c>
      <c r="S16" s="33">
        <f>+'Anexo 16'!S16*'Anexo 6'!$D$10</f>
        <v>0</v>
      </c>
      <c r="T16" s="33">
        <f>+'Anexo 16'!T16*'Anexo 6'!$D$10</f>
        <v>0</v>
      </c>
      <c r="U16" s="33">
        <f>+'Anexo 16'!U16*'Anexo 6'!$D$10</f>
        <v>0</v>
      </c>
      <c r="V16" s="33">
        <f>+'Anexo 16'!V16*'Anexo 6'!$D$10</f>
        <v>0</v>
      </c>
      <c r="W16" s="33">
        <f>+'Anexo 16'!W16*'Anexo 6'!$D$10</f>
        <v>0</v>
      </c>
      <c r="X16" s="33">
        <f>+'Anexo 16'!X16*'Anexo 6'!$D$10</f>
        <v>0</v>
      </c>
      <c r="Y16" s="33">
        <f>+'Anexo 16'!Y16*'Anexo 6'!$D$10</f>
        <v>0</v>
      </c>
      <c r="Z16" s="33">
        <f>+'Anexo 16'!Z16*'Anexo 6'!$D$10</f>
        <v>0</v>
      </c>
      <c r="AA16" s="38">
        <f t="shared" si="0"/>
        <v>0</v>
      </c>
      <c r="AB16" s="21">
        <v>4</v>
      </c>
      <c r="AC16" s="95"/>
      <c r="AD16" s="47"/>
    </row>
    <row r="17" spans="1:30" ht="15.75" thickBot="1" x14ac:dyDescent="0.3">
      <c r="A17" s="93"/>
      <c r="B17" s="22" t="s">
        <v>3</v>
      </c>
      <c r="C17" s="33">
        <f>+'Anexo 16'!C17*'Anexo 6'!$D$10</f>
        <v>0</v>
      </c>
      <c r="D17" s="33">
        <f>+'Anexo 16'!D17*'Anexo 6'!$D$10</f>
        <v>0</v>
      </c>
      <c r="E17" s="33">
        <f>+'Anexo 16'!E17*'Anexo 6'!$D$10</f>
        <v>0</v>
      </c>
      <c r="F17" s="33">
        <f>+'Anexo 16'!F17*'Anexo 6'!$D$10</f>
        <v>0</v>
      </c>
      <c r="G17" s="33">
        <f>+'Anexo 16'!G17*'Anexo 6'!$D$10</f>
        <v>0</v>
      </c>
      <c r="H17" s="33">
        <f>+'Anexo 16'!H17*'Anexo 6'!$D$10</f>
        <v>0</v>
      </c>
      <c r="I17" s="33">
        <f>+'Anexo 16'!I17*'Anexo 6'!$D$10</f>
        <v>0</v>
      </c>
      <c r="J17" s="33">
        <f>+'Anexo 16'!J17*'Anexo 6'!$D$10</f>
        <v>0</v>
      </c>
      <c r="K17" s="33">
        <f>+'Anexo 16'!K17*'Anexo 6'!$D$10</f>
        <v>0</v>
      </c>
      <c r="L17" s="33">
        <f>+'Anexo 16'!L17*'Anexo 6'!$D$10</f>
        <v>0</v>
      </c>
      <c r="M17" s="33">
        <f>+'Anexo 16'!M17*'Anexo 6'!$D$10</f>
        <v>0</v>
      </c>
      <c r="N17" s="33">
        <f>+'Anexo 16'!N17*'Anexo 6'!$D$10</f>
        <v>0</v>
      </c>
      <c r="O17" s="33">
        <f>+'Anexo 16'!O17*'Anexo 6'!$D$10</f>
        <v>0</v>
      </c>
      <c r="P17" s="33">
        <f>+'Anexo 16'!P17*'Anexo 6'!$D$10</f>
        <v>0</v>
      </c>
      <c r="Q17" s="33">
        <f>+'Anexo 16'!Q17*'Anexo 6'!$D$10</f>
        <v>0</v>
      </c>
      <c r="R17" s="33">
        <f>+'Anexo 16'!R17*'Anexo 6'!$D$10</f>
        <v>0</v>
      </c>
      <c r="S17" s="33">
        <f>+'Anexo 16'!S17*'Anexo 6'!$D$10</f>
        <v>0</v>
      </c>
      <c r="T17" s="33">
        <f>+'Anexo 16'!T17*'Anexo 6'!$D$10</f>
        <v>0</v>
      </c>
      <c r="U17" s="33">
        <f>+'Anexo 16'!U17*'Anexo 6'!$D$10</f>
        <v>0</v>
      </c>
      <c r="V17" s="33">
        <f>+'Anexo 16'!V17*'Anexo 6'!$D$10</f>
        <v>0</v>
      </c>
      <c r="W17" s="33">
        <f>+'Anexo 16'!W17*'Anexo 6'!$D$10</f>
        <v>0</v>
      </c>
      <c r="X17" s="33">
        <f>+'Anexo 16'!X17*'Anexo 6'!$D$10</f>
        <v>0</v>
      </c>
      <c r="Y17" s="33">
        <f>+'Anexo 16'!Y17*'Anexo 6'!$D$10</f>
        <v>0</v>
      </c>
      <c r="Z17" s="33">
        <f>+'Anexo 16'!Z17*'Anexo 6'!$D$10</f>
        <v>0</v>
      </c>
      <c r="AA17" s="41">
        <f t="shared" si="0"/>
        <v>0</v>
      </c>
      <c r="AB17" s="23">
        <v>6</v>
      </c>
      <c r="AC17" s="96"/>
      <c r="AD17" s="48"/>
    </row>
    <row r="18" spans="1:30" ht="15.75" thickBot="1" x14ac:dyDescent="0.3">
      <c r="A18" s="93">
        <v>47969</v>
      </c>
      <c r="B18" s="18" t="s">
        <v>5</v>
      </c>
      <c r="C18" s="33">
        <f>+'Anexo 16'!C18*'Anexo 6'!$D$10</f>
        <v>0</v>
      </c>
      <c r="D18" s="33">
        <f>+'Anexo 16'!D18*'Anexo 6'!$D$10</f>
        <v>0</v>
      </c>
      <c r="E18" s="33">
        <f>+'Anexo 16'!E18*'Anexo 6'!$D$10</f>
        <v>0</v>
      </c>
      <c r="F18" s="33">
        <f>+'Anexo 16'!F18*'Anexo 6'!$D$10</f>
        <v>0</v>
      </c>
      <c r="G18" s="33">
        <f>+'Anexo 16'!G18*'Anexo 6'!$D$10</f>
        <v>0</v>
      </c>
      <c r="H18" s="33">
        <f>+'Anexo 16'!H18*'Anexo 6'!$D$10</f>
        <v>0</v>
      </c>
      <c r="I18" s="33">
        <f>+'Anexo 16'!I18*'Anexo 6'!$D$10</f>
        <v>0</v>
      </c>
      <c r="J18" s="33">
        <f>+'Anexo 16'!J18*'Anexo 6'!$D$10</f>
        <v>0</v>
      </c>
      <c r="K18" s="33">
        <f>+'Anexo 16'!K18*'Anexo 6'!$D$10</f>
        <v>0</v>
      </c>
      <c r="L18" s="33">
        <f>+'Anexo 16'!L18*'Anexo 6'!$D$10</f>
        <v>0</v>
      </c>
      <c r="M18" s="33">
        <f>+'Anexo 16'!M18*'Anexo 6'!$D$10</f>
        <v>0</v>
      </c>
      <c r="N18" s="33">
        <f>+'Anexo 16'!N18*'Anexo 6'!$D$10</f>
        <v>0</v>
      </c>
      <c r="O18" s="33">
        <f>+'Anexo 16'!O18*'Anexo 6'!$D$10</f>
        <v>0</v>
      </c>
      <c r="P18" s="33">
        <f>+'Anexo 16'!P18*'Anexo 6'!$D$10</f>
        <v>0</v>
      </c>
      <c r="Q18" s="33">
        <f>+'Anexo 16'!Q18*'Anexo 6'!$D$10</f>
        <v>0</v>
      </c>
      <c r="R18" s="33">
        <f>+'Anexo 16'!R18*'Anexo 6'!$D$10</f>
        <v>0</v>
      </c>
      <c r="S18" s="33">
        <f>+'Anexo 16'!S18*'Anexo 6'!$D$10</f>
        <v>0</v>
      </c>
      <c r="T18" s="33">
        <f>+'Anexo 16'!T18*'Anexo 6'!$D$10</f>
        <v>0</v>
      </c>
      <c r="U18" s="33">
        <f>+'Anexo 16'!U18*'Anexo 6'!$D$10</f>
        <v>0</v>
      </c>
      <c r="V18" s="33">
        <f>+'Anexo 16'!V18*'Anexo 6'!$D$10</f>
        <v>0</v>
      </c>
      <c r="W18" s="33">
        <f>+'Anexo 16'!W18*'Anexo 6'!$D$10</f>
        <v>0</v>
      </c>
      <c r="X18" s="33">
        <f>+'Anexo 16'!X18*'Anexo 6'!$D$10</f>
        <v>0</v>
      </c>
      <c r="Y18" s="33">
        <f>+'Anexo 16'!Y18*'Anexo 6'!$D$10</f>
        <v>0</v>
      </c>
      <c r="Z18" s="33">
        <f>+'Anexo 16'!Z18*'Anexo 6'!$D$10</f>
        <v>0</v>
      </c>
      <c r="AA18" s="35">
        <f t="shared" si="0"/>
        <v>0</v>
      </c>
      <c r="AB18" s="19">
        <v>20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+'Anexo 16'!C19*'Anexo 6'!$D$10</f>
        <v>0</v>
      </c>
      <c r="D19" s="33">
        <f>+'Anexo 16'!D19*'Anexo 6'!$D$10</f>
        <v>0</v>
      </c>
      <c r="E19" s="33">
        <f>+'Anexo 16'!E19*'Anexo 6'!$D$10</f>
        <v>0</v>
      </c>
      <c r="F19" s="33">
        <f>+'Anexo 16'!F19*'Anexo 6'!$D$10</f>
        <v>0</v>
      </c>
      <c r="G19" s="33">
        <f>+'Anexo 16'!G19*'Anexo 6'!$D$10</f>
        <v>0</v>
      </c>
      <c r="H19" s="33">
        <f>+'Anexo 16'!H19*'Anexo 6'!$D$10</f>
        <v>0</v>
      </c>
      <c r="I19" s="33">
        <f>+'Anexo 16'!I19*'Anexo 6'!$D$10</f>
        <v>0</v>
      </c>
      <c r="J19" s="33">
        <f>+'Anexo 16'!J19*'Anexo 6'!$D$10</f>
        <v>0</v>
      </c>
      <c r="K19" s="33">
        <f>+'Anexo 16'!K19*'Anexo 6'!$D$10</f>
        <v>0</v>
      </c>
      <c r="L19" s="33">
        <f>+'Anexo 16'!L19*'Anexo 6'!$D$10</f>
        <v>0</v>
      </c>
      <c r="M19" s="33">
        <f>+'Anexo 16'!M19*'Anexo 6'!$D$10</f>
        <v>0</v>
      </c>
      <c r="N19" s="33">
        <f>+'Anexo 16'!N19*'Anexo 6'!$D$10</f>
        <v>0</v>
      </c>
      <c r="O19" s="33">
        <f>+'Anexo 16'!O19*'Anexo 6'!$D$10</f>
        <v>0</v>
      </c>
      <c r="P19" s="33">
        <f>+'Anexo 16'!P19*'Anexo 6'!$D$10</f>
        <v>0</v>
      </c>
      <c r="Q19" s="33">
        <f>+'Anexo 16'!Q19*'Anexo 6'!$D$10</f>
        <v>0</v>
      </c>
      <c r="R19" s="33">
        <f>+'Anexo 16'!R19*'Anexo 6'!$D$10</f>
        <v>0</v>
      </c>
      <c r="S19" s="33">
        <f>+'Anexo 16'!S19*'Anexo 6'!$D$10</f>
        <v>0</v>
      </c>
      <c r="T19" s="33">
        <f>+'Anexo 16'!T19*'Anexo 6'!$D$10</f>
        <v>0</v>
      </c>
      <c r="U19" s="33">
        <f>+'Anexo 16'!U19*'Anexo 6'!$D$10</f>
        <v>0</v>
      </c>
      <c r="V19" s="33">
        <f>+'Anexo 16'!V19*'Anexo 6'!$D$10</f>
        <v>0</v>
      </c>
      <c r="W19" s="33">
        <f>+'Anexo 16'!W19*'Anexo 6'!$D$10</f>
        <v>0</v>
      </c>
      <c r="X19" s="33">
        <f>+'Anexo 16'!X19*'Anexo 6'!$D$10</f>
        <v>0</v>
      </c>
      <c r="Y19" s="33">
        <f>+'Anexo 16'!Y19*'Anexo 6'!$D$10</f>
        <v>0</v>
      </c>
      <c r="Z19" s="33">
        <f>+'Anexo 16'!Z19*'Anexo 6'!$D$10</f>
        <v>0</v>
      </c>
      <c r="AA19" s="38">
        <f t="shared" si="0"/>
        <v>0</v>
      </c>
      <c r="AB19" s="21">
        <v>5</v>
      </c>
      <c r="AC19" s="95"/>
      <c r="AD19" s="47"/>
    </row>
    <row r="20" spans="1:30" ht="15.75" thickBot="1" x14ac:dyDescent="0.3">
      <c r="A20" s="93"/>
      <c r="B20" s="22" t="s">
        <v>3</v>
      </c>
      <c r="C20" s="33">
        <f>+'Anexo 16'!C20*'Anexo 6'!$D$10</f>
        <v>0</v>
      </c>
      <c r="D20" s="33">
        <f>+'Anexo 16'!D20*'Anexo 6'!$D$10</f>
        <v>0</v>
      </c>
      <c r="E20" s="33">
        <f>+'Anexo 16'!E20*'Anexo 6'!$D$10</f>
        <v>0</v>
      </c>
      <c r="F20" s="33">
        <f>+'Anexo 16'!F20*'Anexo 6'!$D$10</f>
        <v>0</v>
      </c>
      <c r="G20" s="33">
        <f>+'Anexo 16'!G20*'Anexo 6'!$D$10</f>
        <v>0</v>
      </c>
      <c r="H20" s="33">
        <f>+'Anexo 16'!H20*'Anexo 6'!$D$10</f>
        <v>0</v>
      </c>
      <c r="I20" s="33">
        <f>+'Anexo 16'!I20*'Anexo 6'!$D$10</f>
        <v>0</v>
      </c>
      <c r="J20" s="33">
        <f>+'Anexo 16'!J20*'Anexo 6'!$D$10</f>
        <v>0</v>
      </c>
      <c r="K20" s="33">
        <f>+'Anexo 16'!K20*'Anexo 6'!$D$10</f>
        <v>0</v>
      </c>
      <c r="L20" s="33">
        <f>+'Anexo 16'!L20*'Anexo 6'!$D$10</f>
        <v>0</v>
      </c>
      <c r="M20" s="33">
        <f>+'Anexo 16'!M20*'Anexo 6'!$D$10</f>
        <v>0</v>
      </c>
      <c r="N20" s="33">
        <f>+'Anexo 16'!N20*'Anexo 6'!$D$10</f>
        <v>0</v>
      </c>
      <c r="O20" s="33">
        <f>+'Anexo 16'!O20*'Anexo 6'!$D$10</f>
        <v>0</v>
      </c>
      <c r="P20" s="33">
        <f>+'Anexo 16'!P20*'Anexo 6'!$D$10</f>
        <v>0</v>
      </c>
      <c r="Q20" s="33">
        <f>+'Anexo 16'!Q20*'Anexo 6'!$D$10</f>
        <v>0</v>
      </c>
      <c r="R20" s="33">
        <f>+'Anexo 16'!R20*'Anexo 6'!$D$10</f>
        <v>0</v>
      </c>
      <c r="S20" s="33">
        <f>+'Anexo 16'!S20*'Anexo 6'!$D$10</f>
        <v>0</v>
      </c>
      <c r="T20" s="33">
        <f>+'Anexo 16'!T20*'Anexo 6'!$D$10</f>
        <v>0</v>
      </c>
      <c r="U20" s="33">
        <f>+'Anexo 16'!U20*'Anexo 6'!$D$10</f>
        <v>0</v>
      </c>
      <c r="V20" s="33">
        <f>+'Anexo 16'!V20*'Anexo 6'!$D$10</f>
        <v>0</v>
      </c>
      <c r="W20" s="33">
        <f>+'Anexo 16'!W20*'Anexo 6'!$D$10</f>
        <v>0</v>
      </c>
      <c r="X20" s="33">
        <f>+'Anexo 16'!X20*'Anexo 6'!$D$10</f>
        <v>0</v>
      </c>
      <c r="Y20" s="33">
        <f>+'Anexo 16'!Y20*'Anexo 6'!$D$10</f>
        <v>0</v>
      </c>
      <c r="Z20" s="33">
        <f>+'Anexo 16'!Z20*'Anexo 6'!$D$10</f>
        <v>0</v>
      </c>
      <c r="AA20" s="41">
        <f t="shared" si="0"/>
        <v>0</v>
      </c>
      <c r="AB20" s="23">
        <v>6</v>
      </c>
      <c r="AC20" s="96"/>
      <c r="AD20" s="48"/>
    </row>
    <row r="21" spans="1:30" ht="15.75" thickBot="1" x14ac:dyDescent="0.3">
      <c r="A21" s="93">
        <v>48000</v>
      </c>
      <c r="B21" s="18" t="s">
        <v>5</v>
      </c>
      <c r="C21" s="33">
        <f>+'Anexo 16'!C21*'Anexo 6'!$D$10</f>
        <v>0</v>
      </c>
      <c r="D21" s="33">
        <f>+'Anexo 16'!D21*'Anexo 6'!$D$10</f>
        <v>0</v>
      </c>
      <c r="E21" s="33">
        <f>+'Anexo 16'!E21*'Anexo 6'!$D$10</f>
        <v>0</v>
      </c>
      <c r="F21" s="33">
        <f>+'Anexo 16'!F21*'Anexo 6'!$D$10</f>
        <v>0</v>
      </c>
      <c r="G21" s="33">
        <f>+'Anexo 16'!G21*'Anexo 6'!$D$10</f>
        <v>0</v>
      </c>
      <c r="H21" s="33">
        <f>+'Anexo 16'!H21*'Anexo 6'!$D$10</f>
        <v>0</v>
      </c>
      <c r="I21" s="33">
        <f>+'Anexo 16'!I21*'Anexo 6'!$D$10</f>
        <v>0</v>
      </c>
      <c r="J21" s="33">
        <f>+'Anexo 16'!J21*'Anexo 6'!$D$10</f>
        <v>0</v>
      </c>
      <c r="K21" s="33">
        <f>+'Anexo 16'!K21*'Anexo 6'!$D$10</f>
        <v>0</v>
      </c>
      <c r="L21" s="33">
        <f>+'Anexo 16'!L21*'Anexo 6'!$D$10</f>
        <v>0</v>
      </c>
      <c r="M21" s="33">
        <f>+'Anexo 16'!M21*'Anexo 6'!$D$10</f>
        <v>0</v>
      </c>
      <c r="N21" s="33">
        <f>+'Anexo 16'!N21*'Anexo 6'!$D$10</f>
        <v>0</v>
      </c>
      <c r="O21" s="33">
        <f>+'Anexo 16'!O21*'Anexo 6'!$D$10</f>
        <v>0</v>
      </c>
      <c r="P21" s="33">
        <f>+'Anexo 16'!P21*'Anexo 6'!$D$10</f>
        <v>0</v>
      </c>
      <c r="Q21" s="33">
        <f>+'Anexo 16'!Q21*'Anexo 6'!$D$10</f>
        <v>0</v>
      </c>
      <c r="R21" s="33">
        <f>+'Anexo 16'!R21*'Anexo 6'!$D$10</f>
        <v>0</v>
      </c>
      <c r="S21" s="33">
        <f>+'Anexo 16'!S21*'Anexo 6'!$D$10</f>
        <v>0</v>
      </c>
      <c r="T21" s="33">
        <f>+'Anexo 16'!T21*'Anexo 6'!$D$10</f>
        <v>0</v>
      </c>
      <c r="U21" s="33">
        <f>+'Anexo 16'!U21*'Anexo 6'!$D$10</f>
        <v>0</v>
      </c>
      <c r="V21" s="33">
        <f>+'Anexo 16'!V21*'Anexo 6'!$D$10</f>
        <v>0</v>
      </c>
      <c r="W21" s="33">
        <f>+'Anexo 16'!W21*'Anexo 6'!$D$10</f>
        <v>0</v>
      </c>
      <c r="X21" s="33">
        <f>+'Anexo 16'!X21*'Anexo 6'!$D$10</f>
        <v>0</v>
      </c>
      <c r="Y21" s="33">
        <f>+'Anexo 16'!Y21*'Anexo 6'!$D$10</f>
        <v>0</v>
      </c>
      <c r="Z21" s="33">
        <f>+'Anexo 16'!Z21*'Anexo 6'!$D$10</f>
        <v>0</v>
      </c>
      <c r="AA21" s="35">
        <f t="shared" si="0"/>
        <v>0</v>
      </c>
      <c r="AB21" s="19">
        <v>18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+'Anexo 16'!C22*'Anexo 6'!$D$10</f>
        <v>0</v>
      </c>
      <c r="D22" s="33">
        <f>+'Anexo 16'!D22*'Anexo 6'!$D$10</f>
        <v>0</v>
      </c>
      <c r="E22" s="33">
        <f>+'Anexo 16'!E22*'Anexo 6'!$D$10</f>
        <v>0</v>
      </c>
      <c r="F22" s="33">
        <f>+'Anexo 16'!F22*'Anexo 6'!$D$10</f>
        <v>0</v>
      </c>
      <c r="G22" s="33">
        <f>+'Anexo 16'!G22*'Anexo 6'!$D$10</f>
        <v>0</v>
      </c>
      <c r="H22" s="33">
        <f>+'Anexo 16'!H22*'Anexo 6'!$D$10</f>
        <v>0</v>
      </c>
      <c r="I22" s="33">
        <f>+'Anexo 16'!I22*'Anexo 6'!$D$10</f>
        <v>0</v>
      </c>
      <c r="J22" s="33">
        <f>+'Anexo 16'!J22*'Anexo 6'!$D$10</f>
        <v>0</v>
      </c>
      <c r="K22" s="33">
        <f>+'Anexo 16'!K22*'Anexo 6'!$D$10</f>
        <v>0</v>
      </c>
      <c r="L22" s="33">
        <f>+'Anexo 16'!L22*'Anexo 6'!$D$10</f>
        <v>0</v>
      </c>
      <c r="M22" s="33">
        <f>+'Anexo 16'!M22*'Anexo 6'!$D$10</f>
        <v>0</v>
      </c>
      <c r="N22" s="33">
        <f>+'Anexo 16'!N22*'Anexo 6'!$D$10</f>
        <v>0</v>
      </c>
      <c r="O22" s="33">
        <f>+'Anexo 16'!O22*'Anexo 6'!$D$10</f>
        <v>0</v>
      </c>
      <c r="P22" s="33">
        <f>+'Anexo 16'!P22*'Anexo 6'!$D$10</f>
        <v>0</v>
      </c>
      <c r="Q22" s="33">
        <f>+'Anexo 16'!Q22*'Anexo 6'!$D$10</f>
        <v>0</v>
      </c>
      <c r="R22" s="33">
        <f>+'Anexo 16'!R22*'Anexo 6'!$D$10</f>
        <v>0</v>
      </c>
      <c r="S22" s="33">
        <f>+'Anexo 16'!S22*'Anexo 6'!$D$10</f>
        <v>0</v>
      </c>
      <c r="T22" s="33">
        <f>+'Anexo 16'!T22*'Anexo 6'!$D$10</f>
        <v>0</v>
      </c>
      <c r="U22" s="33">
        <f>+'Anexo 16'!U22*'Anexo 6'!$D$10</f>
        <v>0</v>
      </c>
      <c r="V22" s="33">
        <f>+'Anexo 16'!V22*'Anexo 6'!$D$10</f>
        <v>0</v>
      </c>
      <c r="W22" s="33">
        <f>+'Anexo 16'!W22*'Anexo 6'!$D$10</f>
        <v>0</v>
      </c>
      <c r="X22" s="33">
        <f>+'Anexo 16'!X22*'Anexo 6'!$D$10</f>
        <v>0</v>
      </c>
      <c r="Y22" s="33">
        <f>+'Anexo 16'!Y22*'Anexo 6'!$D$10</f>
        <v>0</v>
      </c>
      <c r="Z22" s="33">
        <f>+'Anexo 16'!Z22*'Anexo 6'!$D$10</f>
        <v>0</v>
      </c>
      <c r="AA22" s="38">
        <f t="shared" si="0"/>
        <v>0</v>
      </c>
      <c r="AB22" s="21">
        <v>4</v>
      </c>
      <c r="AC22" s="95"/>
      <c r="AD22" s="47"/>
    </row>
    <row r="23" spans="1:30" ht="15.75" thickBot="1" x14ac:dyDescent="0.3">
      <c r="A23" s="93"/>
      <c r="B23" s="22" t="s">
        <v>3</v>
      </c>
      <c r="C23" s="33">
        <f>+'Anexo 16'!C23*'Anexo 6'!$D$10</f>
        <v>0</v>
      </c>
      <c r="D23" s="33">
        <f>+'Anexo 16'!D23*'Anexo 6'!$D$10</f>
        <v>0</v>
      </c>
      <c r="E23" s="33">
        <f>+'Anexo 16'!E23*'Anexo 6'!$D$10</f>
        <v>0</v>
      </c>
      <c r="F23" s="33">
        <f>+'Anexo 16'!F23*'Anexo 6'!$D$10</f>
        <v>0</v>
      </c>
      <c r="G23" s="33">
        <f>+'Anexo 16'!G23*'Anexo 6'!$D$10</f>
        <v>0</v>
      </c>
      <c r="H23" s="33">
        <f>+'Anexo 16'!H23*'Anexo 6'!$D$10</f>
        <v>0</v>
      </c>
      <c r="I23" s="33">
        <f>+'Anexo 16'!I23*'Anexo 6'!$D$10</f>
        <v>0</v>
      </c>
      <c r="J23" s="33">
        <f>+'Anexo 16'!J23*'Anexo 6'!$D$10</f>
        <v>0</v>
      </c>
      <c r="K23" s="33">
        <f>+'Anexo 16'!K23*'Anexo 6'!$D$10</f>
        <v>0</v>
      </c>
      <c r="L23" s="33">
        <f>+'Anexo 16'!L23*'Anexo 6'!$D$10</f>
        <v>0</v>
      </c>
      <c r="M23" s="33">
        <f>+'Anexo 16'!M23*'Anexo 6'!$D$10</f>
        <v>0</v>
      </c>
      <c r="N23" s="33">
        <f>+'Anexo 16'!N23*'Anexo 6'!$D$10</f>
        <v>0</v>
      </c>
      <c r="O23" s="33">
        <f>+'Anexo 16'!O23*'Anexo 6'!$D$10</f>
        <v>0</v>
      </c>
      <c r="P23" s="33">
        <f>+'Anexo 16'!P23*'Anexo 6'!$D$10</f>
        <v>0</v>
      </c>
      <c r="Q23" s="33">
        <f>+'Anexo 16'!Q23*'Anexo 6'!$D$10</f>
        <v>0</v>
      </c>
      <c r="R23" s="33">
        <f>+'Anexo 16'!R23*'Anexo 6'!$D$10</f>
        <v>0</v>
      </c>
      <c r="S23" s="33">
        <f>+'Anexo 16'!S23*'Anexo 6'!$D$10</f>
        <v>0</v>
      </c>
      <c r="T23" s="33">
        <f>+'Anexo 16'!T23*'Anexo 6'!$D$10</f>
        <v>0</v>
      </c>
      <c r="U23" s="33">
        <f>+'Anexo 16'!U23*'Anexo 6'!$D$10</f>
        <v>0</v>
      </c>
      <c r="V23" s="33">
        <f>+'Anexo 16'!V23*'Anexo 6'!$D$10</f>
        <v>0</v>
      </c>
      <c r="W23" s="33">
        <f>+'Anexo 16'!W23*'Anexo 6'!$D$10</f>
        <v>0</v>
      </c>
      <c r="X23" s="33">
        <f>+'Anexo 16'!X23*'Anexo 6'!$D$10</f>
        <v>0</v>
      </c>
      <c r="Y23" s="33">
        <f>+'Anexo 16'!Y23*'Anexo 6'!$D$10</f>
        <v>0</v>
      </c>
      <c r="Z23" s="33">
        <f>+'Anexo 16'!Z23*'Anexo 6'!$D$10</f>
        <v>0</v>
      </c>
      <c r="AA23" s="41">
        <f t="shared" si="0"/>
        <v>0</v>
      </c>
      <c r="AB23" s="23">
        <v>8</v>
      </c>
      <c r="AC23" s="96"/>
      <c r="AD23" s="48"/>
    </row>
    <row r="24" spans="1:30" ht="15.75" thickBot="1" x14ac:dyDescent="0.3">
      <c r="A24" s="93">
        <v>48030</v>
      </c>
      <c r="B24" s="18" t="s">
        <v>5</v>
      </c>
      <c r="C24" s="33">
        <f>+'Anexo 16'!C24*'Anexo 6'!$D$10</f>
        <v>0</v>
      </c>
      <c r="D24" s="33">
        <f>+'Anexo 16'!D24*'Anexo 6'!$D$10</f>
        <v>0</v>
      </c>
      <c r="E24" s="33">
        <f>+'Anexo 16'!E24*'Anexo 6'!$D$10</f>
        <v>0</v>
      </c>
      <c r="F24" s="33">
        <f>+'Anexo 16'!F24*'Anexo 6'!$D$10</f>
        <v>0</v>
      </c>
      <c r="G24" s="33">
        <f>+'Anexo 16'!G24*'Anexo 6'!$D$10</f>
        <v>0</v>
      </c>
      <c r="H24" s="33">
        <f>+'Anexo 16'!H24*'Anexo 6'!$D$10</f>
        <v>0</v>
      </c>
      <c r="I24" s="33">
        <f>+'Anexo 16'!I24*'Anexo 6'!$D$10</f>
        <v>0</v>
      </c>
      <c r="J24" s="33">
        <f>+'Anexo 16'!J24*'Anexo 6'!$D$10</f>
        <v>0</v>
      </c>
      <c r="K24" s="33">
        <f>+'Anexo 16'!K24*'Anexo 6'!$D$10</f>
        <v>0</v>
      </c>
      <c r="L24" s="33">
        <f>+'Anexo 16'!L24*'Anexo 6'!$D$10</f>
        <v>0</v>
      </c>
      <c r="M24" s="33">
        <f>+'Anexo 16'!M24*'Anexo 6'!$D$10</f>
        <v>0</v>
      </c>
      <c r="N24" s="33">
        <f>+'Anexo 16'!N24*'Anexo 6'!$D$10</f>
        <v>0</v>
      </c>
      <c r="O24" s="33">
        <f>+'Anexo 16'!O24*'Anexo 6'!$D$10</f>
        <v>0</v>
      </c>
      <c r="P24" s="33">
        <f>+'Anexo 16'!P24*'Anexo 6'!$D$10</f>
        <v>0</v>
      </c>
      <c r="Q24" s="33">
        <f>+'Anexo 16'!Q24*'Anexo 6'!$D$10</f>
        <v>0</v>
      </c>
      <c r="R24" s="33">
        <f>+'Anexo 16'!R24*'Anexo 6'!$D$10</f>
        <v>0</v>
      </c>
      <c r="S24" s="33">
        <f>+'Anexo 16'!S24*'Anexo 6'!$D$10</f>
        <v>0</v>
      </c>
      <c r="T24" s="33">
        <f>+'Anexo 16'!T24*'Anexo 6'!$D$10</f>
        <v>0</v>
      </c>
      <c r="U24" s="33">
        <f>+'Anexo 16'!U24*'Anexo 6'!$D$10</f>
        <v>0</v>
      </c>
      <c r="V24" s="33">
        <f>+'Anexo 16'!V24*'Anexo 6'!$D$10</f>
        <v>0</v>
      </c>
      <c r="W24" s="33">
        <f>+'Anexo 16'!W24*'Anexo 6'!$D$10</f>
        <v>0</v>
      </c>
      <c r="X24" s="33">
        <f>+'Anexo 16'!X24*'Anexo 6'!$D$10</f>
        <v>0</v>
      </c>
      <c r="Y24" s="33">
        <f>+'Anexo 16'!Y24*'Anexo 6'!$D$10</f>
        <v>0</v>
      </c>
      <c r="Z24" s="33">
        <f>+'Anexo 16'!Z24*'Anexo 6'!$D$10</f>
        <v>0</v>
      </c>
      <c r="AA24" s="35">
        <f t="shared" si="0"/>
        <v>0</v>
      </c>
      <c r="AB24" s="19">
        <v>23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+'Anexo 16'!C25*'Anexo 6'!$D$10</f>
        <v>0</v>
      </c>
      <c r="D25" s="33">
        <f>+'Anexo 16'!D25*'Anexo 6'!$D$10</f>
        <v>0</v>
      </c>
      <c r="E25" s="33">
        <f>+'Anexo 16'!E25*'Anexo 6'!$D$10</f>
        <v>0</v>
      </c>
      <c r="F25" s="33">
        <f>+'Anexo 16'!F25*'Anexo 6'!$D$10</f>
        <v>0</v>
      </c>
      <c r="G25" s="33">
        <f>+'Anexo 16'!G25*'Anexo 6'!$D$10</f>
        <v>0</v>
      </c>
      <c r="H25" s="33">
        <f>+'Anexo 16'!H25*'Anexo 6'!$D$10</f>
        <v>0</v>
      </c>
      <c r="I25" s="33">
        <f>+'Anexo 16'!I25*'Anexo 6'!$D$10</f>
        <v>0</v>
      </c>
      <c r="J25" s="33">
        <f>+'Anexo 16'!J25*'Anexo 6'!$D$10</f>
        <v>0</v>
      </c>
      <c r="K25" s="33">
        <f>+'Anexo 16'!K25*'Anexo 6'!$D$10</f>
        <v>0</v>
      </c>
      <c r="L25" s="33">
        <f>+'Anexo 16'!L25*'Anexo 6'!$D$10</f>
        <v>0</v>
      </c>
      <c r="M25" s="33">
        <f>+'Anexo 16'!M25*'Anexo 6'!$D$10</f>
        <v>0</v>
      </c>
      <c r="N25" s="33">
        <f>+'Anexo 16'!N25*'Anexo 6'!$D$10</f>
        <v>0</v>
      </c>
      <c r="O25" s="33">
        <f>+'Anexo 16'!O25*'Anexo 6'!$D$10</f>
        <v>0</v>
      </c>
      <c r="P25" s="33">
        <f>+'Anexo 16'!P25*'Anexo 6'!$D$10</f>
        <v>0</v>
      </c>
      <c r="Q25" s="33">
        <f>+'Anexo 16'!Q25*'Anexo 6'!$D$10</f>
        <v>0</v>
      </c>
      <c r="R25" s="33">
        <f>+'Anexo 16'!R25*'Anexo 6'!$D$10</f>
        <v>0</v>
      </c>
      <c r="S25" s="33">
        <f>+'Anexo 16'!S25*'Anexo 6'!$D$10</f>
        <v>0</v>
      </c>
      <c r="T25" s="33">
        <f>+'Anexo 16'!T25*'Anexo 6'!$D$10</f>
        <v>0</v>
      </c>
      <c r="U25" s="33">
        <f>+'Anexo 16'!U25*'Anexo 6'!$D$10</f>
        <v>0</v>
      </c>
      <c r="V25" s="33">
        <f>+'Anexo 16'!V25*'Anexo 6'!$D$10</f>
        <v>0</v>
      </c>
      <c r="W25" s="33">
        <f>+'Anexo 16'!W25*'Anexo 6'!$D$10</f>
        <v>0</v>
      </c>
      <c r="X25" s="33">
        <f>+'Anexo 16'!X25*'Anexo 6'!$D$10</f>
        <v>0</v>
      </c>
      <c r="Y25" s="33">
        <f>+'Anexo 16'!Y25*'Anexo 6'!$D$10</f>
        <v>0</v>
      </c>
      <c r="Z25" s="33">
        <f>+'Anexo 16'!Z25*'Anexo 6'!$D$10</f>
        <v>0</v>
      </c>
      <c r="AA25" s="38">
        <f t="shared" si="0"/>
        <v>0</v>
      </c>
      <c r="AB25" s="21">
        <v>4</v>
      </c>
      <c r="AC25" s="95"/>
      <c r="AD25" s="47"/>
    </row>
    <row r="26" spans="1:30" ht="15.75" thickBot="1" x14ac:dyDescent="0.3">
      <c r="A26" s="93"/>
      <c r="B26" s="22" t="s">
        <v>3</v>
      </c>
      <c r="C26" s="33">
        <f>+'Anexo 16'!C26*'Anexo 6'!$D$10</f>
        <v>0</v>
      </c>
      <c r="D26" s="33">
        <f>+'Anexo 16'!D26*'Anexo 6'!$D$10</f>
        <v>0</v>
      </c>
      <c r="E26" s="33">
        <f>+'Anexo 16'!E26*'Anexo 6'!$D$10</f>
        <v>0</v>
      </c>
      <c r="F26" s="33">
        <f>+'Anexo 16'!F26*'Anexo 6'!$D$10</f>
        <v>0</v>
      </c>
      <c r="G26" s="33">
        <f>+'Anexo 16'!G26*'Anexo 6'!$D$10</f>
        <v>0</v>
      </c>
      <c r="H26" s="33">
        <f>+'Anexo 16'!H26*'Anexo 6'!$D$10</f>
        <v>0</v>
      </c>
      <c r="I26" s="33">
        <f>+'Anexo 16'!I26*'Anexo 6'!$D$10</f>
        <v>0</v>
      </c>
      <c r="J26" s="33">
        <f>+'Anexo 16'!J26*'Anexo 6'!$D$10</f>
        <v>0</v>
      </c>
      <c r="K26" s="33">
        <f>+'Anexo 16'!K26*'Anexo 6'!$D$10</f>
        <v>0</v>
      </c>
      <c r="L26" s="33">
        <f>+'Anexo 16'!L26*'Anexo 6'!$D$10</f>
        <v>0</v>
      </c>
      <c r="M26" s="33">
        <f>+'Anexo 16'!M26*'Anexo 6'!$D$10</f>
        <v>0</v>
      </c>
      <c r="N26" s="33">
        <f>+'Anexo 16'!N26*'Anexo 6'!$D$10</f>
        <v>0</v>
      </c>
      <c r="O26" s="33">
        <f>+'Anexo 16'!O26*'Anexo 6'!$D$10</f>
        <v>0</v>
      </c>
      <c r="P26" s="33">
        <f>+'Anexo 16'!P26*'Anexo 6'!$D$10</f>
        <v>0</v>
      </c>
      <c r="Q26" s="33">
        <f>+'Anexo 16'!Q26*'Anexo 6'!$D$10</f>
        <v>0</v>
      </c>
      <c r="R26" s="33">
        <f>+'Anexo 16'!R26*'Anexo 6'!$D$10</f>
        <v>0</v>
      </c>
      <c r="S26" s="33">
        <f>+'Anexo 16'!S26*'Anexo 6'!$D$10</f>
        <v>0</v>
      </c>
      <c r="T26" s="33">
        <f>+'Anexo 16'!T26*'Anexo 6'!$D$10</f>
        <v>0</v>
      </c>
      <c r="U26" s="33">
        <f>+'Anexo 16'!U26*'Anexo 6'!$D$10</f>
        <v>0</v>
      </c>
      <c r="V26" s="33">
        <f>+'Anexo 16'!V26*'Anexo 6'!$D$10</f>
        <v>0</v>
      </c>
      <c r="W26" s="33">
        <f>+'Anexo 16'!W26*'Anexo 6'!$D$10</f>
        <v>0</v>
      </c>
      <c r="X26" s="33">
        <f>+'Anexo 16'!X26*'Anexo 6'!$D$10</f>
        <v>0</v>
      </c>
      <c r="Y26" s="33">
        <f>+'Anexo 16'!Y26*'Anexo 6'!$D$10</f>
        <v>0</v>
      </c>
      <c r="Z26" s="33">
        <f>+'Anexo 16'!Z26*'Anexo 6'!$D$10</f>
        <v>0</v>
      </c>
      <c r="AA26" s="41">
        <f t="shared" si="0"/>
        <v>0</v>
      </c>
      <c r="AB26" s="23">
        <v>4</v>
      </c>
      <c r="AC26" s="96"/>
      <c r="AD26" s="48"/>
    </row>
    <row r="27" spans="1:30" ht="15.75" thickBot="1" x14ac:dyDescent="0.3">
      <c r="A27" s="93">
        <v>48061</v>
      </c>
      <c r="B27" s="18" t="s">
        <v>5</v>
      </c>
      <c r="C27" s="33">
        <f>+'Anexo 16'!C27*'Anexo 6'!$D$10</f>
        <v>0</v>
      </c>
      <c r="D27" s="33">
        <f>+'Anexo 16'!D27*'Anexo 6'!$D$10</f>
        <v>0</v>
      </c>
      <c r="E27" s="33">
        <f>+'Anexo 16'!E27*'Anexo 6'!$D$10</f>
        <v>0</v>
      </c>
      <c r="F27" s="33">
        <f>+'Anexo 16'!F27*'Anexo 6'!$D$10</f>
        <v>0</v>
      </c>
      <c r="G27" s="33">
        <f>+'Anexo 16'!G27*'Anexo 6'!$D$10</f>
        <v>0</v>
      </c>
      <c r="H27" s="33">
        <f>+'Anexo 16'!H27*'Anexo 6'!$D$10</f>
        <v>0</v>
      </c>
      <c r="I27" s="33">
        <f>+'Anexo 16'!I27*'Anexo 6'!$D$10</f>
        <v>0</v>
      </c>
      <c r="J27" s="33">
        <f>+'Anexo 16'!J27*'Anexo 6'!$D$10</f>
        <v>0</v>
      </c>
      <c r="K27" s="33">
        <f>+'Anexo 16'!K27*'Anexo 6'!$D$10</f>
        <v>0</v>
      </c>
      <c r="L27" s="33">
        <f>+'Anexo 16'!L27*'Anexo 6'!$D$10</f>
        <v>0</v>
      </c>
      <c r="M27" s="33">
        <f>+'Anexo 16'!M27*'Anexo 6'!$D$10</f>
        <v>0</v>
      </c>
      <c r="N27" s="33">
        <f>+'Anexo 16'!N27*'Anexo 6'!$D$10</f>
        <v>0</v>
      </c>
      <c r="O27" s="33">
        <f>+'Anexo 16'!O27*'Anexo 6'!$D$10</f>
        <v>0</v>
      </c>
      <c r="P27" s="33">
        <f>+'Anexo 16'!P27*'Anexo 6'!$D$10</f>
        <v>0</v>
      </c>
      <c r="Q27" s="33">
        <f>+'Anexo 16'!Q27*'Anexo 6'!$D$10</f>
        <v>0</v>
      </c>
      <c r="R27" s="33">
        <f>+'Anexo 16'!R27*'Anexo 6'!$D$10</f>
        <v>0</v>
      </c>
      <c r="S27" s="33">
        <f>+'Anexo 16'!S27*'Anexo 6'!$D$10</f>
        <v>0</v>
      </c>
      <c r="T27" s="33">
        <f>+'Anexo 16'!T27*'Anexo 6'!$D$10</f>
        <v>0</v>
      </c>
      <c r="U27" s="33">
        <f>+'Anexo 16'!U27*'Anexo 6'!$D$10</f>
        <v>0</v>
      </c>
      <c r="V27" s="33">
        <f>+'Anexo 16'!V27*'Anexo 6'!$D$10</f>
        <v>0</v>
      </c>
      <c r="W27" s="33">
        <f>+'Anexo 16'!W27*'Anexo 6'!$D$10</f>
        <v>0</v>
      </c>
      <c r="X27" s="33">
        <f>+'Anexo 16'!X27*'Anexo 6'!$D$10</f>
        <v>0</v>
      </c>
      <c r="Y27" s="33">
        <f>+'Anexo 16'!Y27*'Anexo 6'!$D$10</f>
        <v>0</v>
      </c>
      <c r="Z27" s="33">
        <f>+'Anexo 16'!Z27*'Anexo 6'!$D$10</f>
        <v>0</v>
      </c>
      <c r="AA27" s="35">
        <f t="shared" si="0"/>
        <v>0</v>
      </c>
      <c r="AB27" s="19">
        <v>19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+'Anexo 16'!C28*'Anexo 6'!$D$10</f>
        <v>0</v>
      </c>
      <c r="D28" s="33">
        <f>+'Anexo 16'!D28*'Anexo 6'!$D$10</f>
        <v>0</v>
      </c>
      <c r="E28" s="33">
        <f>+'Anexo 16'!E28*'Anexo 6'!$D$10</f>
        <v>0</v>
      </c>
      <c r="F28" s="33">
        <f>+'Anexo 16'!F28*'Anexo 6'!$D$10</f>
        <v>0</v>
      </c>
      <c r="G28" s="33">
        <f>+'Anexo 16'!G28*'Anexo 6'!$D$10</f>
        <v>0</v>
      </c>
      <c r="H28" s="33">
        <f>+'Anexo 16'!H28*'Anexo 6'!$D$10</f>
        <v>0</v>
      </c>
      <c r="I28" s="33">
        <f>+'Anexo 16'!I28*'Anexo 6'!$D$10</f>
        <v>0</v>
      </c>
      <c r="J28" s="33">
        <f>+'Anexo 16'!J28*'Anexo 6'!$D$10</f>
        <v>0</v>
      </c>
      <c r="K28" s="33">
        <f>+'Anexo 16'!K28*'Anexo 6'!$D$10</f>
        <v>0</v>
      </c>
      <c r="L28" s="33">
        <f>+'Anexo 16'!L28*'Anexo 6'!$D$10</f>
        <v>0</v>
      </c>
      <c r="M28" s="33">
        <f>+'Anexo 16'!M28*'Anexo 6'!$D$10</f>
        <v>0</v>
      </c>
      <c r="N28" s="33">
        <f>+'Anexo 16'!N28*'Anexo 6'!$D$10</f>
        <v>0</v>
      </c>
      <c r="O28" s="33">
        <f>+'Anexo 16'!O28*'Anexo 6'!$D$10</f>
        <v>0</v>
      </c>
      <c r="P28" s="33">
        <f>+'Anexo 16'!P28*'Anexo 6'!$D$10</f>
        <v>0</v>
      </c>
      <c r="Q28" s="33">
        <f>+'Anexo 16'!Q28*'Anexo 6'!$D$10</f>
        <v>0</v>
      </c>
      <c r="R28" s="33">
        <f>+'Anexo 16'!R28*'Anexo 6'!$D$10</f>
        <v>0</v>
      </c>
      <c r="S28" s="33">
        <f>+'Anexo 16'!S28*'Anexo 6'!$D$10</f>
        <v>0</v>
      </c>
      <c r="T28" s="33">
        <f>+'Anexo 16'!T28*'Anexo 6'!$D$10</f>
        <v>0</v>
      </c>
      <c r="U28" s="33">
        <f>+'Anexo 16'!U28*'Anexo 6'!$D$10</f>
        <v>0</v>
      </c>
      <c r="V28" s="33">
        <f>+'Anexo 16'!V28*'Anexo 6'!$D$10</f>
        <v>0</v>
      </c>
      <c r="W28" s="33">
        <f>+'Anexo 16'!W28*'Anexo 6'!$D$10</f>
        <v>0</v>
      </c>
      <c r="X28" s="33">
        <f>+'Anexo 16'!X28*'Anexo 6'!$D$10</f>
        <v>0</v>
      </c>
      <c r="Y28" s="33">
        <f>+'Anexo 16'!Y28*'Anexo 6'!$D$10</f>
        <v>0</v>
      </c>
      <c r="Z28" s="33">
        <f>+'Anexo 16'!Z28*'Anexo 6'!$D$10</f>
        <v>0</v>
      </c>
      <c r="AA28" s="38">
        <f t="shared" si="0"/>
        <v>0</v>
      </c>
      <c r="AB28" s="21">
        <v>5</v>
      </c>
      <c r="AC28" s="95"/>
      <c r="AD28" s="47"/>
    </row>
    <row r="29" spans="1:30" ht="15.75" thickBot="1" x14ac:dyDescent="0.3">
      <c r="A29" s="93"/>
      <c r="B29" s="22" t="s">
        <v>3</v>
      </c>
      <c r="C29" s="33">
        <f>+'Anexo 16'!C29*'Anexo 6'!$D$10</f>
        <v>0</v>
      </c>
      <c r="D29" s="33">
        <f>+'Anexo 16'!D29*'Anexo 6'!$D$10</f>
        <v>0</v>
      </c>
      <c r="E29" s="33">
        <f>+'Anexo 16'!E29*'Anexo 6'!$D$10</f>
        <v>0</v>
      </c>
      <c r="F29" s="33">
        <f>+'Anexo 16'!F29*'Anexo 6'!$D$10</f>
        <v>0</v>
      </c>
      <c r="G29" s="33">
        <f>+'Anexo 16'!G29*'Anexo 6'!$D$10</f>
        <v>0</v>
      </c>
      <c r="H29" s="33">
        <f>+'Anexo 16'!H29*'Anexo 6'!$D$10</f>
        <v>0</v>
      </c>
      <c r="I29" s="33">
        <f>+'Anexo 16'!I29*'Anexo 6'!$D$10</f>
        <v>0</v>
      </c>
      <c r="J29" s="33">
        <f>+'Anexo 16'!J29*'Anexo 6'!$D$10</f>
        <v>0</v>
      </c>
      <c r="K29" s="33">
        <f>+'Anexo 16'!K29*'Anexo 6'!$D$10</f>
        <v>0</v>
      </c>
      <c r="L29" s="33">
        <f>+'Anexo 16'!L29*'Anexo 6'!$D$10</f>
        <v>0</v>
      </c>
      <c r="M29" s="33">
        <f>+'Anexo 16'!M29*'Anexo 6'!$D$10</f>
        <v>0</v>
      </c>
      <c r="N29" s="33">
        <f>+'Anexo 16'!N29*'Anexo 6'!$D$10</f>
        <v>0</v>
      </c>
      <c r="O29" s="33">
        <f>+'Anexo 16'!O29*'Anexo 6'!$D$10</f>
        <v>0</v>
      </c>
      <c r="P29" s="33">
        <f>+'Anexo 16'!P29*'Anexo 6'!$D$10</f>
        <v>0</v>
      </c>
      <c r="Q29" s="33">
        <f>+'Anexo 16'!Q29*'Anexo 6'!$D$10</f>
        <v>0</v>
      </c>
      <c r="R29" s="33">
        <f>+'Anexo 16'!R29*'Anexo 6'!$D$10</f>
        <v>0</v>
      </c>
      <c r="S29" s="33">
        <f>+'Anexo 16'!S29*'Anexo 6'!$D$10</f>
        <v>0</v>
      </c>
      <c r="T29" s="33">
        <f>+'Anexo 16'!T29*'Anexo 6'!$D$10</f>
        <v>0</v>
      </c>
      <c r="U29" s="33">
        <f>+'Anexo 16'!U29*'Anexo 6'!$D$10</f>
        <v>0</v>
      </c>
      <c r="V29" s="33">
        <f>+'Anexo 16'!V29*'Anexo 6'!$D$10</f>
        <v>0</v>
      </c>
      <c r="W29" s="33">
        <f>+'Anexo 16'!W29*'Anexo 6'!$D$10</f>
        <v>0</v>
      </c>
      <c r="X29" s="33">
        <f>+'Anexo 16'!X29*'Anexo 6'!$D$10</f>
        <v>0</v>
      </c>
      <c r="Y29" s="33">
        <f>+'Anexo 16'!Y29*'Anexo 6'!$D$10</f>
        <v>0</v>
      </c>
      <c r="Z29" s="33">
        <f>+'Anexo 16'!Z29*'Anexo 6'!$D$10</f>
        <v>0</v>
      </c>
      <c r="AA29" s="41">
        <f t="shared" si="0"/>
        <v>0</v>
      </c>
      <c r="AB29" s="23">
        <v>7</v>
      </c>
      <c r="AC29" s="96"/>
      <c r="AD29" s="49"/>
    </row>
    <row r="30" spans="1:30" ht="15.75" thickBot="1" x14ac:dyDescent="0.3">
      <c r="A30" s="93">
        <v>48092</v>
      </c>
      <c r="B30" s="18" t="s">
        <v>5</v>
      </c>
      <c r="C30" s="33">
        <f>+'Anexo 16'!C30*'Anexo 6'!$D$10</f>
        <v>0</v>
      </c>
      <c r="D30" s="33">
        <f>+'Anexo 16'!D30*'Anexo 6'!$D$10</f>
        <v>0</v>
      </c>
      <c r="E30" s="33">
        <f>+'Anexo 16'!E30*'Anexo 6'!$D$10</f>
        <v>0</v>
      </c>
      <c r="F30" s="33">
        <f>+'Anexo 16'!F30*'Anexo 6'!$D$10</f>
        <v>0</v>
      </c>
      <c r="G30" s="33">
        <f>+'Anexo 16'!G30*'Anexo 6'!$D$10</f>
        <v>0</v>
      </c>
      <c r="H30" s="33">
        <f>+'Anexo 16'!H30*'Anexo 6'!$D$10</f>
        <v>0</v>
      </c>
      <c r="I30" s="33">
        <f>+'Anexo 16'!I30*'Anexo 6'!$D$10</f>
        <v>0</v>
      </c>
      <c r="J30" s="33">
        <f>+'Anexo 16'!J30*'Anexo 6'!$D$10</f>
        <v>0</v>
      </c>
      <c r="K30" s="33">
        <f>+'Anexo 16'!K30*'Anexo 6'!$D$10</f>
        <v>0</v>
      </c>
      <c r="L30" s="33">
        <f>+'Anexo 16'!L30*'Anexo 6'!$D$10</f>
        <v>0</v>
      </c>
      <c r="M30" s="33">
        <f>+'Anexo 16'!M30*'Anexo 6'!$D$10</f>
        <v>0</v>
      </c>
      <c r="N30" s="33">
        <f>+'Anexo 16'!N30*'Anexo 6'!$D$10</f>
        <v>0</v>
      </c>
      <c r="O30" s="33">
        <f>+'Anexo 16'!O30*'Anexo 6'!$D$10</f>
        <v>0</v>
      </c>
      <c r="P30" s="33">
        <f>+'Anexo 16'!P30*'Anexo 6'!$D$10</f>
        <v>0</v>
      </c>
      <c r="Q30" s="33">
        <f>+'Anexo 16'!Q30*'Anexo 6'!$D$10</f>
        <v>0</v>
      </c>
      <c r="R30" s="33">
        <f>+'Anexo 16'!R30*'Anexo 6'!$D$10</f>
        <v>0</v>
      </c>
      <c r="S30" s="33">
        <f>+'Anexo 16'!S30*'Anexo 6'!$D$10</f>
        <v>0</v>
      </c>
      <c r="T30" s="33">
        <f>+'Anexo 16'!T30*'Anexo 6'!$D$10</f>
        <v>0</v>
      </c>
      <c r="U30" s="33">
        <f>+'Anexo 16'!U30*'Anexo 6'!$D$10</f>
        <v>0</v>
      </c>
      <c r="V30" s="33">
        <f>+'Anexo 16'!V30*'Anexo 6'!$D$10</f>
        <v>0</v>
      </c>
      <c r="W30" s="33">
        <f>+'Anexo 16'!W30*'Anexo 6'!$D$10</f>
        <v>0</v>
      </c>
      <c r="X30" s="33">
        <f>+'Anexo 16'!X30*'Anexo 6'!$D$10</f>
        <v>0</v>
      </c>
      <c r="Y30" s="33">
        <f>+'Anexo 16'!Y30*'Anexo 6'!$D$10</f>
        <v>0</v>
      </c>
      <c r="Z30" s="33">
        <f>+'Anexo 16'!Z30*'Anexo 6'!$D$10</f>
        <v>0</v>
      </c>
      <c r="AA30" s="35">
        <f t="shared" si="0"/>
        <v>0</v>
      </c>
      <c r="AB30" s="19">
        <v>22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+'Anexo 16'!C31*'Anexo 6'!$D$10</f>
        <v>0</v>
      </c>
      <c r="D31" s="33">
        <f>+'Anexo 16'!D31*'Anexo 6'!$D$10</f>
        <v>0</v>
      </c>
      <c r="E31" s="33">
        <f>+'Anexo 16'!E31*'Anexo 6'!$D$10</f>
        <v>0</v>
      </c>
      <c r="F31" s="33">
        <f>+'Anexo 16'!F31*'Anexo 6'!$D$10</f>
        <v>0</v>
      </c>
      <c r="G31" s="33">
        <f>+'Anexo 16'!G31*'Anexo 6'!$D$10</f>
        <v>0</v>
      </c>
      <c r="H31" s="33">
        <f>+'Anexo 16'!H31*'Anexo 6'!$D$10</f>
        <v>0</v>
      </c>
      <c r="I31" s="33">
        <f>+'Anexo 16'!I31*'Anexo 6'!$D$10</f>
        <v>0</v>
      </c>
      <c r="J31" s="33">
        <f>+'Anexo 16'!J31*'Anexo 6'!$D$10</f>
        <v>0</v>
      </c>
      <c r="K31" s="33">
        <f>+'Anexo 16'!K31*'Anexo 6'!$D$10</f>
        <v>0</v>
      </c>
      <c r="L31" s="33">
        <f>+'Anexo 16'!L31*'Anexo 6'!$D$10</f>
        <v>0</v>
      </c>
      <c r="M31" s="33">
        <f>+'Anexo 16'!M31*'Anexo 6'!$D$10</f>
        <v>0</v>
      </c>
      <c r="N31" s="33">
        <f>+'Anexo 16'!N31*'Anexo 6'!$D$10</f>
        <v>0</v>
      </c>
      <c r="O31" s="33">
        <f>+'Anexo 16'!O31*'Anexo 6'!$D$10</f>
        <v>0</v>
      </c>
      <c r="P31" s="33">
        <f>+'Anexo 16'!P31*'Anexo 6'!$D$10</f>
        <v>0</v>
      </c>
      <c r="Q31" s="33">
        <f>+'Anexo 16'!Q31*'Anexo 6'!$D$10</f>
        <v>0</v>
      </c>
      <c r="R31" s="33">
        <f>+'Anexo 16'!R31*'Anexo 6'!$D$10</f>
        <v>0</v>
      </c>
      <c r="S31" s="33">
        <f>+'Anexo 16'!S31*'Anexo 6'!$D$10</f>
        <v>0</v>
      </c>
      <c r="T31" s="33">
        <f>+'Anexo 16'!T31*'Anexo 6'!$D$10</f>
        <v>0</v>
      </c>
      <c r="U31" s="33">
        <f>+'Anexo 16'!U31*'Anexo 6'!$D$10</f>
        <v>0</v>
      </c>
      <c r="V31" s="33">
        <f>+'Anexo 16'!V31*'Anexo 6'!$D$10</f>
        <v>0</v>
      </c>
      <c r="W31" s="33">
        <f>+'Anexo 16'!W31*'Anexo 6'!$D$10</f>
        <v>0</v>
      </c>
      <c r="X31" s="33">
        <f>+'Anexo 16'!X31*'Anexo 6'!$D$10</f>
        <v>0</v>
      </c>
      <c r="Y31" s="33">
        <f>+'Anexo 16'!Y31*'Anexo 6'!$D$10</f>
        <v>0</v>
      </c>
      <c r="Z31" s="33">
        <f>+'Anexo 16'!Z31*'Anexo 6'!$D$10</f>
        <v>0</v>
      </c>
      <c r="AA31" s="38">
        <f t="shared" si="0"/>
        <v>0</v>
      </c>
      <c r="AB31" s="21">
        <v>4</v>
      </c>
      <c r="AC31" s="95"/>
      <c r="AD31" s="47"/>
    </row>
    <row r="32" spans="1:30" ht="15.75" thickBot="1" x14ac:dyDescent="0.3">
      <c r="A32" s="93"/>
      <c r="B32" s="22" t="s">
        <v>3</v>
      </c>
      <c r="C32" s="33">
        <f>+'Anexo 16'!C32*'Anexo 6'!$D$10</f>
        <v>0</v>
      </c>
      <c r="D32" s="33">
        <f>+'Anexo 16'!D32*'Anexo 6'!$D$10</f>
        <v>0</v>
      </c>
      <c r="E32" s="33">
        <f>+'Anexo 16'!E32*'Anexo 6'!$D$10</f>
        <v>0</v>
      </c>
      <c r="F32" s="33">
        <f>+'Anexo 16'!F32*'Anexo 6'!$D$10</f>
        <v>0</v>
      </c>
      <c r="G32" s="33">
        <f>+'Anexo 16'!G32*'Anexo 6'!$D$10</f>
        <v>0</v>
      </c>
      <c r="H32" s="33">
        <f>+'Anexo 16'!H32*'Anexo 6'!$D$10</f>
        <v>0</v>
      </c>
      <c r="I32" s="33">
        <f>+'Anexo 16'!I32*'Anexo 6'!$D$10</f>
        <v>0</v>
      </c>
      <c r="J32" s="33">
        <f>+'Anexo 16'!J32*'Anexo 6'!$D$10</f>
        <v>0</v>
      </c>
      <c r="K32" s="33">
        <f>+'Anexo 16'!K32*'Anexo 6'!$D$10</f>
        <v>0</v>
      </c>
      <c r="L32" s="33">
        <f>+'Anexo 16'!L32*'Anexo 6'!$D$10</f>
        <v>0</v>
      </c>
      <c r="M32" s="33">
        <f>+'Anexo 16'!M32*'Anexo 6'!$D$10</f>
        <v>0</v>
      </c>
      <c r="N32" s="33">
        <f>+'Anexo 16'!N32*'Anexo 6'!$D$10</f>
        <v>0</v>
      </c>
      <c r="O32" s="33">
        <f>+'Anexo 16'!O32*'Anexo 6'!$D$10</f>
        <v>0</v>
      </c>
      <c r="P32" s="33">
        <f>+'Anexo 16'!P32*'Anexo 6'!$D$10</f>
        <v>0</v>
      </c>
      <c r="Q32" s="33">
        <f>+'Anexo 16'!Q32*'Anexo 6'!$D$10</f>
        <v>0</v>
      </c>
      <c r="R32" s="33">
        <f>+'Anexo 16'!R32*'Anexo 6'!$D$10</f>
        <v>0</v>
      </c>
      <c r="S32" s="33">
        <f>+'Anexo 16'!S32*'Anexo 6'!$D$10</f>
        <v>0</v>
      </c>
      <c r="T32" s="33">
        <f>+'Anexo 16'!T32*'Anexo 6'!$D$10</f>
        <v>0</v>
      </c>
      <c r="U32" s="33">
        <f>+'Anexo 16'!U32*'Anexo 6'!$D$10</f>
        <v>0</v>
      </c>
      <c r="V32" s="33">
        <f>+'Anexo 16'!V32*'Anexo 6'!$D$10</f>
        <v>0</v>
      </c>
      <c r="W32" s="33">
        <f>+'Anexo 16'!W32*'Anexo 6'!$D$10</f>
        <v>0</v>
      </c>
      <c r="X32" s="33">
        <f>+'Anexo 16'!X32*'Anexo 6'!$D$10</f>
        <v>0</v>
      </c>
      <c r="Y32" s="33">
        <f>+'Anexo 16'!Y32*'Anexo 6'!$D$10</f>
        <v>0</v>
      </c>
      <c r="Z32" s="33">
        <f>+'Anexo 16'!Z32*'Anexo 6'!$D$10</f>
        <v>0</v>
      </c>
      <c r="AA32" s="41">
        <f t="shared" si="0"/>
        <v>0</v>
      </c>
      <c r="AB32" s="23">
        <v>4</v>
      </c>
      <c r="AC32" s="96"/>
      <c r="AD32" s="48"/>
    </row>
    <row r="33" spans="1:30" ht="15.75" thickBot="1" x14ac:dyDescent="0.3">
      <c r="A33" s="93">
        <v>48122</v>
      </c>
      <c r="B33" s="18" t="s">
        <v>5</v>
      </c>
      <c r="C33" s="33">
        <f>+'Anexo 16'!C33*'Anexo 6'!$D$10</f>
        <v>0</v>
      </c>
      <c r="D33" s="33">
        <f>+'Anexo 16'!D33*'Anexo 6'!$D$10</f>
        <v>0</v>
      </c>
      <c r="E33" s="33">
        <f>+'Anexo 16'!E33*'Anexo 6'!$D$10</f>
        <v>0</v>
      </c>
      <c r="F33" s="33">
        <f>+'Anexo 16'!F33*'Anexo 6'!$D$10</f>
        <v>0</v>
      </c>
      <c r="G33" s="33">
        <f>+'Anexo 16'!G33*'Anexo 6'!$D$10</f>
        <v>0</v>
      </c>
      <c r="H33" s="33">
        <f>+'Anexo 16'!H33*'Anexo 6'!$D$10</f>
        <v>0</v>
      </c>
      <c r="I33" s="33">
        <f>+'Anexo 16'!I33*'Anexo 6'!$D$10</f>
        <v>0</v>
      </c>
      <c r="J33" s="33">
        <f>+'Anexo 16'!J33*'Anexo 6'!$D$10</f>
        <v>0</v>
      </c>
      <c r="K33" s="33">
        <f>+'Anexo 16'!K33*'Anexo 6'!$D$10</f>
        <v>0</v>
      </c>
      <c r="L33" s="33">
        <f>+'Anexo 16'!L33*'Anexo 6'!$D$10</f>
        <v>0</v>
      </c>
      <c r="M33" s="33">
        <f>+'Anexo 16'!M33*'Anexo 6'!$D$10</f>
        <v>0</v>
      </c>
      <c r="N33" s="33">
        <f>+'Anexo 16'!N33*'Anexo 6'!$D$10</f>
        <v>0</v>
      </c>
      <c r="O33" s="33">
        <f>+'Anexo 16'!O33*'Anexo 6'!$D$10</f>
        <v>0</v>
      </c>
      <c r="P33" s="33">
        <f>+'Anexo 16'!P33*'Anexo 6'!$D$10</f>
        <v>0</v>
      </c>
      <c r="Q33" s="33">
        <f>+'Anexo 16'!Q33*'Anexo 6'!$D$10</f>
        <v>0</v>
      </c>
      <c r="R33" s="33">
        <f>+'Anexo 16'!R33*'Anexo 6'!$D$10</f>
        <v>0</v>
      </c>
      <c r="S33" s="33">
        <f>+'Anexo 16'!S33*'Anexo 6'!$D$10</f>
        <v>0</v>
      </c>
      <c r="T33" s="33">
        <f>+'Anexo 16'!T33*'Anexo 6'!$D$10</f>
        <v>0</v>
      </c>
      <c r="U33" s="33">
        <f>+'Anexo 16'!U33*'Anexo 6'!$D$10</f>
        <v>0</v>
      </c>
      <c r="V33" s="33">
        <f>+'Anexo 16'!V33*'Anexo 6'!$D$10</f>
        <v>0</v>
      </c>
      <c r="W33" s="33">
        <f>+'Anexo 16'!W33*'Anexo 6'!$D$10</f>
        <v>0</v>
      </c>
      <c r="X33" s="33">
        <f>+'Anexo 16'!X33*'Anexo 6'!$D$10</f>
        <v>0</v>
      </c>
      <c r="Y33" s="33">
        <f>+'Anexo 16'!Y33*'Anexo 6'!$D$10</f>
        <v>0</v>
      </c>
      <c r="Z33" s="33">
        <f>+'Anexo 16'!Z33*'Anexo 6'!$D$10</f>
        <v>0</v>
      </c>
      <c r="AA33" s="35">
        <f t="shared" si="0"/>
        <v>0</v>
      </c>
      <c r="AB33" s="19">
        <v>22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+'Anexo 16'!C34*'Anexo 6'!$D$10</f>
        <v>0</v>
      </c>
      <c r="D34" s="33">
        <f>+'Anexo 16'!D34*'Anexo 6'!$D$10</f>
        <v>0</v>
      </c>
      <c r="E34" s="33">
        <f>+'Anexo 16'!E34*'Anexo 6'!$D$10</f>
        <v>0</v>
      </c>
      <c r="F34" s="33">
        <f>+'Anexo 16'!F34*'Anexo 6'!$D$10</f>
        <v>0</v>
      </c>
      <c r="G34" s="33">
        <f>+'Anexo 16'!G34*'Anexo 6'!$D$10</f>
        <v>0</v>
      </c>
      <c r="H34" s="33">
        <f>+'Anexo 16'!H34*'Anexo 6'!$D$10</f>
        <v>0</v>
      </c>
      <c r="I34" s="33">
        <f>+'Anexo 16'!I34*'Anexo 6'!$D$10</f>
        <v>0</v>
      </c>
      <c r="J34" s="33">
        <f>+'Anexo 16'!J34*'Anexo 6'!$D$10</f>
        <v>0</v>
      </c>
      <c r="K34" s="33">
        <f>+'Anexo 16'!K34*'Anexo 6'!$D$10</f>
        <v>0</v>
      </c>
      <c r="L34" s="33">
        <f>+'Anexo 16'!L34*'Anexo 6'!$D$10</f>
        <v>0</v>
      </c>
      <c r="M34" s="33">
        <f>+'Anexo 16'!M34*'Anexo 6'!$D$10</f>
        <v>0</v>
      </c>
      <c r="N34" s="33">
        <f>+'Anexo 16'!N34*'Anexo 6'!$D$10</f>
        <v>0</v>
      </c>
      <c r="O34" s="33">
        <f>+'Anexo 16'!O34*'Anexo 6'!$D$10</f>
        <v>0</v>
      </c>
      <c r="P34" s="33">
        <f>+'Anexo 16'!P34*'Anexo 6'!$D$10</f>
        <v>0</v>
      </c>
      <c r="Q34" s="33">
        <f>+'Anexo 16'!Q34*'Anexo 6'!$D$10</f>
        <v>0</v>
      </c>
      <c r="R34" s="33">
        <f>+'Anexo 16'!R34*'Anexo 6'!$D$10</f>
        <v>0</v>
      </c>
      <c r="S34" s="33">
        <f>+'Anexo 16'!S34*'Anexo 6'!$D$10</f>
        <v>0</v>
      </c>
      <c r="T34" s="33">
        <f>+'Anexo 16'!T34*'Anexo 6'!$D$10</f>
        <v>0</v>
      </c>
      <c r="U34" s="33">
        <f>+'Anexo 16'!U34*'Anexo 6'!$D$10</f>
        <v>0</v>
      </c>
      <c r="V34" s="33">
        <f>+'Anexo 16'!V34*'Anexo 6'!$D$10</f>
        <v>0</v>
      </c>
      <c r="W34" s="33">
        <f>+'Anexo 16'!W34*'Anexo 6'!$D$10</f>
        <v>0</v>
      </c>
      <c r="X34" s="33">
        <f>+'Anexo 16'!X34*'Anexo 6'!$D$10</f>
        <v>0</v>
      </c>
      <c r="Y34" s="33">
        <f>+'Anexo 16'!Y34*'Anexo 6'!$D$10</f>
        <v>0</v>
      </c>
      <c r="Z34" s="33">
        <f>+'Anexo 16'!Z34*'Anexo 6'!$D$10</f>
        <v>0</v>
      </c>
      <c r="AA34" s="38">
        <f t="shared" si="0"/>
        <v>0</v>
      </c>
      <c r="AB34" s="21">
        <v>4</v>
      </c>
      <c r="AC34" s="95"/>
      <c r="AD34" s="47"/>
    </row>
    <row r="35" spans="1:30" ht="15.75" thickBot="1" x14ac:dyDescent="0.3">
      <c r="A35" s="93"/>
      <c r="B35" s="22" t="s">
        <v>3</v>
      </c>
      <c r="C35" s="33">
        <f>+'Anexo 16'!C35*'Anexo 6'!$D$10</f>
        <v>0</v>
      </c>
      <c r="D35" s="33">
        <f>+'Anexo 16'!D35*'Anexo 6'!$D$10</f>
        <v>0</v>
      </c>
      <c r="E35" s="33">
        <f>+'Anexo 16'!E35*'Anexo 6'!$D$10</f>
        <v>0</v>
      </c>
      <c r="F35" s="33">
        <f>+'Anexo 16'!F35*'Anexo 6'!$D$10</f>
        <v>0</v>
      </c>
      <c r="G35" s="33">
        <f>+'Anexo 16'!G35*'Anexo 6'!$D$10</f>
        <v>0</v>
      </c>
      <c r="H35" s="33">
        <f>+'Anexo 16'!H35*'Anexo 6'!$D$10</f>
        <v>0</v>
      </c>
      <c r="I35" s="33">
        <f>+'Anexo 16'!I35*'Anexo 6'!$D$10</f>
        <v>0</v>
      </c>
      <c r="J35" s="33">
        <f>+'Anexo 16'!J35*'Anexo 6'!$D$10</f>
        <v>0</v>
      </c>
      <c r="K35" s="33">
        <f>+'Anexo 16'!K35*'Anexo 6'!$D$10</f>
        <v>0</v>
      </c>
      <c r="L35" s="33">
        <f>+'Anexo 16'!L35*'Anexo 6'!$D$10</f>
        <v>0</v>
      </c>
      <c r="M35" s="33">
        <f>+'Anexo 16'!M35*'Anexo 6'!$D$10</f>
        <v>0</v>
      </c>
      <c r="N35" s="33">
        <f>+'Anexo 16'!N35*'Anexo 6'!$D$10</f>
        <v>0</v>
      </c>
      <c r="O35" s="33">
        <f>+'Anexo 16'!O35*'Anexo 6'!$D$10</f>
        <v>0</v>
      </c>
      <c r="P35" s="33">
        <f>+'Anexo 16'!P35*'Anexo 6'!$D$10</f>
        <v>0</v>
      </c>
      <c r="Q35" s="33">
        <f>+'Anexo 16'!Q35*'Anexo 6'!$D$10</f>
        <v>0</v>
      </c>
      <c r="R35" s="33">
        <f>+'Anexo 16'!R35*'Anexo 6'!$D$10</f>
        <v>0</v>
      </c>
      <c r="S35" s="33">
        <f>+'Anexo 16'!S35*'Anexo 6'!$D$10</f>
        <v>0</v>
      </c>
      <c r="T35" s="33">
        <f>+'Anexo 16'!T35*'Anexo 6'!$D$10</f>
        <v>0</v>
      </c>
      <c r="U35" s="33">
        <f>+'Anexo 16'!U35*'Anexo 6'!$D$10</f>
        <v>0</v>
      </c>
      <c r="V35" s="33">
        <f>+'Anexo 16'!V35*'Anexo 6'!$D$10</f>
        <v>0</v>
      </c>
      <c r="W35" s="33">
        <f>+'Anexo 16'!W35*'Anexo 6'!$D$10</f>
        <v>0</v>
      </c>
      <c r="X35" s="33">
        <f>+'Anexo 16'!X35*'Anexo 6'!$D$10</f>
        <v>0</v>
      </c>
      <c r="Y35" s="33">
        <f>+'Anexo 16'!Y35*'Anexo 6'!$D$10</f>
        <v>0</v>
      </c>
      <c r="Z35" s="33">
        <f>+'Anexo 16'!Z35*'Anexo 6'!$D$10</f>
        <v>0</v>
      </c>
      <c r="AA35" s="41">
        <f t="shared" si="0"/>
        <v>0</v>
      </c>
      <c r="AB35" s="23">
        <v>5</v>
      </c>
      <c r="AC35" s="96"/>
      <c r="AD35" s="48"/>
    </row>
    <row r="36" spans="1:30" ht="15.75" thickBot="1" x14ac:dyDescent="0.3">
      <c r="A36" s="93">
        <v>48153</v>
      </c>
      <c r="B36" s="18" t="s">
        <v>5</v>
      </c>
      <c r="C36" s="33">
        <f>+'Anexo 16'!C36*'Anexo 6'!$D$10</f>
        <v>0</v>
      </c>
      <c r="D36" s="33">
        <f>+'Anexo 16'!D36*'Anexo 6'!$D$10</f>
        <v>0</v>
      </c>
      <c r="E36" s="33">
        <f>+'Anexo 16'!E36*'Anexo 6'!$D$10</f>
        <v>0</v>
      </c>
      <c r="F36" s="33">
        <f>+'Anexo 16'!F36*'Anexo 6'!$D$10</f>
        <v>0</v>
      </c>
      <c r="G36" s="33">
        <f>+'Anexo 16'!G36*'Anexo 6'!$D$10</f>
        <v>0</v>
      </c>
      <c r="H36" s="33">
        <f>+'Anexo 16'!H36*'Anexo 6'!$D$10</f>
        <v>0</v>
      </c>
      <c r="I36" s="33">
        <f>+'Anexo 16'!I36*'Anexo 6'!$D$10</f>
        <v>0</v>
      </c>
      <c r="J36" s="33">
        <f>+'Anexo 16'!J36*'Anexo 6'!$D$10</f>
        <v>0</v>
      </c>
      <c r="K36" s="33">
        <f>+'Anexo 16'!K36*'Anexo 6'!$D$10</f>
        <v>0</v>
      </c>
      <c r="L36" s="33">
        <f>+'Anexo 16'!L36*'Anexo 6'!$D$10</f>
        <v>0</v>
      </c>
      <c r="M36" s="33">
        <f>+'Anexo 16'!M36*'Anexo 6'!$D$10</f>
        <v>0</v>
      </c>
      <c r="N36" s="33">
        <f>+'Anexo 16'!N36*'Anexo 6'!$D$10</f>
        <v>0</v>
      </c>
      <c r="O36" s="33">
        <f>+'Anexo 16'!O36*'Anexo 6'!$D$10</f>
        <v>0</v>
      </c>
      <c r="P36" s="33">
        <f>+'Anexo 16'!P36*'Anexo 6'!$D$10</f>
        <v>0</v>
      </c>
      <c r="Q36" s="33">
        <f>+'Anexo 16'!Q36*'Anexo 6'!$D$10</f>
        <v>0</v>
      </c>
      <c r="R36" s="33">
        <f>+'Anexo 16'!R36*'Anexo 6'!$D$10</f>
        <v>0</v>
      </c>
      <c r="S36" s="33">
        <f>+'Anexo 16'!S36*'Anexo 6'!$D$10</f>
        <v>0</v>
      </c>
      <c r="T36" s="33">
        <f>+'Anexo 16'!T36*'Anexo 6'!$D$10</f>
        <v>0</v>
      </c>
      <c r="U36" s="33">
        <f>+'Anexo 16'!U36*'Anexo 6'!$D$10</f>
        <v>0</v>
      </c>
      <c r="V36" s="33">
        <f>+'Anexo 16'!V36*'Anexo 6'!$D$10</f>
        <v>0</v>
      </c>
      <c r="W36" s="33">
        <f>+'Anexo 16'!W36*'Anexo 6'!$D$10</f>
        <v>0</v>
      </c>
      <c r="X36" s="33">
        <f>+'Anexo 16'!X36*'Anexo 6'!$D$10</f>
        <v>0</v>
      </c>
      <c r="Y36" s="33">
        <f>+'Anexo 16'!Y36*'Anexo 6'!$D$10</f>
        <v>0</v>
      </c>
      <c r="Z36" s="33">
        <f>+'Anexo 16'!Z36*'Anexo 6'!$D$10</f>
        <v>0</v>
      </c>
      <c r="AA36" s="35">
        <f t="shared" si="0"/>
        <v>0</v>
      </c>
      <c r="AB36" s="19">
        <v>18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+'Anexo 16'!C37*'Anexo 6'!$D$10</f>
        <v>0</v>
      </c>
      <c r="D37" s="33">
        <f>+'Anexo 16'!D37*'Anexo 6'!$D$10</f>
        <v>0</v>
      </c>
      <c r="E37" s="33">
        <f>+'Anexo 16'!E37*'Anexo 6'!$D$10</f>
        <v>0</v>
      </c>
      <c r="F37" s="33">
        <f>+'Anexo 16'!F37*'Anexo 6'!$D$10</f>
        <v>0</v>
      </c>
      <c r="G37" s="33">
        <f>+'Anexo 16'!G37*'Anexo 6'!$D$10</f>
        <v>0</v>
      </c>
      <c r="H37" s="33">
        <f>+'Anexo 16'!H37*'Anexo 6'!$D$10</f>
        <v>0</v>
      </c>
      <c r="I37" s="33">
        <f>+'Anexo 16'!I37*'Anexo 6'!$D$10</f>
        <v>0</v>
      </c>
      <c r="J37" s="33">
        <f>+'Anexo 16'!J37*'Anexo 6'!$D$10</f>
        <v>0</v>
      </c>
      <c r="K37" s="33">
        <f>+'Anexo 16'!K37*'Anexo 6'!$D$10</f>
        <v>0</v>
      </c>
      <c r="L37" s="33">
        <f>+'Anexo 16'!L37*'Anexo 6'!$D$10</f>
        <v>0</v>
      </c>
      <c r="M37" s="33">
        <f>+'Anexo 16'!M37*'Anexo 6'!$D$10</f>
        <v>0</v>
      </c>
      <c r="N37" s="33">
        <f>+'Anexo 16'!N37*'Anexo 6'!$D$10</f>
        <v>0</v>
      </c>
      <c r="O37" s="33">
        <f>+'Anexo 16'!O37*'Anexo 6'!$D$10</f>
        <v>0</v>
      </c>
      <c r="P37" s="33">
        <f>+'Anexo 16'!P37*'Anexo 6'!$D$10</f>
        <v>0</v>
      </c>
      <c r="Q37" s="33">
        <f>+'Anexo 16'!Q37*'Anexo 6'!$D$10</f>
        <v>0</v>
      </c>
      <c r="R37" s="33">
        <f>+'Anexo 16'!R37*'Anexo 6'!$D$10</f>
        <v>0</v>
      </c>
      <c r="S37" s="33">
        <f>+'Anexo 16'!S37*'Anexo 6'!$D$10</f>
        <v>0</v>
      </c>
      <c r="T37" s="33">
        <f>+'Anexo 16'!T37*'Anexo 6'!$D$10</f>
        <v>0</v>
      </c>
      <c r="U37" s="33">
        <f>+'Anexo 16'!U37*'Anexo 6'!$D$10</f>
        <v>0</v>
      </c>
      <c r="V37" s="33">
        <f>+'Anexo 16'!V37*'Anexo 6'!$D$10</f>
        <v>0</v>
      </c>
      <c r="W37" s="33">
        <f>+'Anexo 16'!W37*'Anexo 6'!$D$10</f>
        <v>0</v>
      </c>
      <c r="X37" s="33">
        <f>+'Anexo 16'!X37*'Anexo 6'!$D$10</f>
        <v>0</v>
      </c>
      <c r="Y37" s="33">
        <f>+'Anexo 16'!Y37*'Anexo 6'!$D$10</f>
        <v>0</v>
      </c>
      <c r="Z37" s="33">
        <f>+'Anexo 16'!Z37*'Anexo 6'!$D$10</f>
        <v>0</v>
      </c>
      <c r="AA37" s="38">
        <f t="shared" si="0"/>
        <v>0</v>
      </c>
      <c r="AB37" s="21">
        <v>5</v>
      </c>
      <c r="AC37" s="95"/>
      <c r="AD37" s="47"/>
    </row>
    <row r="38" spans="1:30" ht="15.75" thickBot="1" x14ac:dyDescent="0.3">
      <c r="A38" s="93"/>
      <c r="B38" s="22" t="s">
        <v>3</v>
      </c>
      <c r="C38" s="33">
        <f>+'Anexo 16'!C38*'Anexo 6'!$D$10</f>
        <v>0</v>
      </c>
      <c r="D38" s="33">
        <f>+'Anexo 16'!D38*'Anexo 6'!$D$10</f>
        <v>0</v>
      </c>
      <c r="E38" s="33">
        <f>+'Anexo 16'!E38*'Anexo 6'!$D$10</f>
        <v>0</v>
      </c>
      <c r="F38" s="33">
        <f>+'Anexo 16'!F38*'Anexo 6'!$D$10</f>
        <v>0</v>
      </c>
      <c r="G38" s="33">
        <f>+'Anexo 16'!G38*'Anexo 6'!$D$10</f>
        <v>0</v>
      </c>
      <c r="H38" s="33">
        <f>+'Anexo 16'!H38*'Anexo 6'!$D$10</f>
        <v>0</v>
      </c>
      <c r="I38" s="33">
        <f>+'Anexo 16'!I38*'Anexo 6'!$D$10</f>
        <v>0</v>
      </c>
      <c r="J38" s="33">
        <f>+'Anexo 16'!J38*'Anexo 6'!$D$10</f>
        <v>0</v>
      </c>
      <c r="K38" s="33">
        <f>+'Anexo 16'!K38*'Anexo 6'!$D$10</f>
        <v>0</v>
      </c>
      <c r="L38" s="33">
        <f>+'Anexo 16'!L38*'Anexo 6'!$D$10</f>
        <v>0</v>
      </c>
      <c r="M38" s="33">
        <f>+'Anexo 16'!M38*'Anexo 6'!$D$10</f>
        <v>0</v>
      </c>
      <c r="N38" s="33">
        <f>+'Anexo 16'!N38*'Anexo 6'!$D$10</f>
        <v>0</v>
      </c>
      <c r="O38" s="33">
        <f>+'Anexo 16'!O38*'Anexo 6'!$D$10</f>
        <v>0</v>
      </c>
      <c r="P38" s="33">
        <f>+'Anexo 16'!P38*'Anexo 6'!$D$10</f>
        <v>0</v>
      </c>
      <c r="Q38" s="33">
        <f>+'Anexo 16'!Q38*'Anexo 6'!$D$10</f>
        <v>0</v>
      </c>
      <c r="R38" s="33">
        <f>+'Anexo 16'!R38*'Anexo 6'!$D$10</f>
        <v>0</v>
      </c>
      <c r="S38" s="33">
        <f>+'Anexo 16'!S38*'Anexo 6'!$D$10</f>
        <v>0</v>
      </c>
      <c r="T38" s="33">
        <f>+'Anexo 16'!T38*'Anexo 6'!$D$10</f>
        <v>0</v>
      </c>
      <c r="U38" s="33">
        <f>+'Anexo 16'!U38*'Anexo 6'!$D$10</f>
        <v>0</v>
      </c>
      <c r="V38" s="33">
        <f>+'Anexo 16'!V38*'Anexo 6'!$D$10</f>
        <v>0</v>
      </c>
      <c r="W38" s="33">
        <f>+'Anexo 16'!W38*'Anexo 6'!$D$10</f>
        <v>0</v>
      </c>
      <c r="X38" s="33">
        <f>+'Anexo 16'!X38*'Anexo 6'!$D$10</f>
        <v>0</v>
      </c>
      <c r="Y38" s="33">
        <f>+'Anexo 16'!Y38*'Anexo 6'!$D$10</f>
        <v>0</v>
      </c>
      <c r="Z38" s="33">
        <f>+'Anexo 16'!Z38*'Anexo 6'!$D$10</f>
        <v>0</v>
      </c>
      <c r="AA38" s="41">
        <f t="shared" si="0"/>
        <v>0</v>
      </c>
      <c r="AB38" s="23">
        <v>7</v>
      </c>
      <c r="AC38" s="96"/>
      <c r="AD38" s="49"/>
    </row>
    <row r="39" spans="1:30" ht="15.75" thickBot="1" x14ac:dyDescent="0.3">
      <c r="A39" s="93">
        <v>48183</v>
      </c>
      <c r="B39" s="18" t="s">
        <v>5</v>
      </c>
      <c r="C39" s="33">
        <f>+'Anexo 16'!C39*'Anexo 6'!$D$10</f>
        <v>0</v>
      </c>
      <c r="D39" s="33">
        <f>+'Anexo 16'!D39*'Anexo 6'!$D$10</f>
        <v>0</v>
      </c>
      <c r="E39" s="33">
        <f>+'Anexo 16'!E39*'Anexo 6'!$D$10</f>
        <v>0</v>
      </c>
      <c r="F39" s="33">
        <f>+'Anexo 16'!F39*'Anexo 6'!$D$10</f>
        <v>0</v>
      </c>
      <c r="G39" s="33">
        <f>+'Anexo 16'!G39*'Anexo 6'!$D$10</f>
        <v>0</v>
      </c>
      <c r="H39" s="33">
        <f>+'Anexo 16'!H39*'Anexo 6'!$D$10</f>
        <v>0</v>
      </c>
      <c r="I39" s="33">
        <f>+'Anexo 16'!I39*'Anexo 6'!$D$10</f>
        <v>0</v>
      </c>
      <c r="J39" s="33">
        <f>+'Anexo 16'!J39*'Anexo 6'!$D$10</f>
        <v>0</v>
      </c>
      <c r="K39" s="33">
        <f>+'Anexo 16'!K39*'Anexo 6'!$D$10</f>
        <v>0</v>
      </c>
      <c r="L39" s="33">
        <f>+'Anexo 16'!L39*'Anexo 6'!$D$10</f>
        <v>0</v>
      </c>
      <c r="M39" s="33">
        <f>+'Anexo 16'!M39*'Anexo 6'!$D$10</f>
        <v>0</v>
      </c>
      <c r="N39" s="33">
        <f>+'Anexo 16'!N39*'Anexo 6'!$D$10</f>
        <v>0</v>
      </c>
      <c r="O39" s="33">
        <f>+'Anexo 16'!O39*'Anexo 6'!$D$10</f>
        <v>0</v>
      </c>
      <c r="P39" s="33">
        <f>+'Anexo 16'!P39*'Anexo 6'!$D$10</f>
        <v>0</v>
      </c>
      <c r="Q39" s="33">
        <f>+'Anexo 16'!Q39*'Anexo 6'!$D$10</f>
        <v>0</v>
      </c>
      <c r="R39" s="33">
        <f>+'Anexo 16'!R39*'Anexo 6'!$D$10</f>
        <v>0</v>
      </c>
      <c r="S39" s="33">
        <f>+'Anexo 16'!S39*'Anexo 6'!$D$10</f>
        <v>0</v>
      </c>
      <c r="T39" s="33">
        <f>+'Anexo 16'!T39*'Anexo 6'!$D$10</f>
        <v>0</v>
      </c>
      <c r="U39" s="33">
        <f>+'Anexo 16'!U39*'Anexo 6'!$D$10</f>
        <v>0</v>
      </c>
      <c r="V39" s="33">
        <f>+'Anexo 16'!V39*'Anexo 6'!$D$10</f>
        <v>0</v>
      </c>
      <c r="W39" s="33">
        <f>+'Anexo 16'!W39*'Anexo 6'!$D$10</f>
        <v>0</v>
      </c>
      <c r="X39" s="33">
        <f>+'Anexo 16'!X39*'Anexo 6'!$D$10</f>
        <v>0</v>
      </c>
      <c r="Y39" s="33">
        <f>+'Anexo 16'!Y39*'Anexo 6'!$D$10</f>
        <v>0</v>
      </c>
      <c r="Z39" s="33">
        <f>+'Anexo 16'!Z39*'Anexo 6'!$D$10</f>
        <v>0</v>
      </c>
      <c r="AA39" s="35">
        <f t="shared" si="0"/>
        <v>0</v>
      </c>
      <c r="AB39" s="19">
        <v>21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+'Anexo 16'!C40*'Anexo 6'!$D$10</f>
        <v>0</v>
      </c>
      <c r="D40" s="33">
        <f>+'Anexo 16'!D40*'Anexo 6'!$D$10</f>
        <v>0</v>
      </c>
      <c r="E40" s="33">
        <f>+'Anexo 16'!E40*'Anexo 6'!$D$10</f>
        <v>0</v>
      </c>
      <c r="F40" s="33">
        <f>+'Anexo 16'!F40*'Anexo 6'!$D$10</f>
        <v>0</v>
      </c>
      <c r="G40" s="33">
        <f>+'Anexo 16'!G40*'Anexo 6'!$D$10</f>
        <v>0</v>
      </c>
      <c r="H40" s="33">
        <f>+'Anexo 16'!H40*'Anexo 6'!$D$10</f>
        <v>0</v>
      </c>
      <c r="I40" s="33">
        <f>+'Anexo 16'!I40*'Anexo 6'!$D$10</f>
        <v>0</v>
      </c>
      <c r="J40" s="33">
        <f>+'Anexo 16'!J40*'Anexo 6'!$D$10</f>
        <v>0</v>
      </c>
      <c r="K40" s="33">
        <f>+'Anexo 16'!K40*'Anexo 6'!$D$10</f>
        <v>0</v>
      </c>
      <c r="L40" s="33">
        <f>+'Anexo 16'!L40*'Anexo 6'!$D$10</f>
        <v>0</v>
      </c>
      <c r="M40" s="33">
        <f>+'Anexo 16'!M40*'Anexo 6'!$D$10</f>
        <v>0</v>
      </c>
      <c r="N40" s="33">
        <f>+'Anexo 16'!N40*'Anexo 6'!$D$10</f>
        <v>0</v>
      </c>
      <c r="O40" s="33">
        <f>+'Anexo 16'!O40*'Anexo 6'!$D$10</f>
        <v>0</v>
      </c>
      <c r="P40" s="33">
        <f>+'Anexo 16'!P40*'Anexo 6'!$D$10</f>
        <v>0</v>
      </c>
      <c r="Q40" s="33">
        <f>+'Anexo 16'!Q40*'Anexo 6'!$D$10</f>
        <v>0</v>
      </c>
      <c r="R40" s="33">
        <f>+'Anexo 16'!R40*'Anexo 6'!$D$10</f>
        <v>0</v>
      </c>
      <c r="S40" s="33">
        <f>+'Anexo 16'!S40*'Anexo 6'!$D$10</f>
        <v>0</v>
      </c>
      <c r="T40" s="33">
        <f>+'Anexo 16'!T40*'Anexo 6'!$D$10</f>
        <v>0</v>
      </c>
      <c r="U40" s="33">
        <f>+'Anexo 16'!U40*'Anexo 6'!$D$10</f>
        <v>0</v>
      </c>
      <c r="V40" s="33">
        <f>+'Anexo 16'!V40*'Anexo 6'!$D$10</f>
        <v>0</v>
      </c>
      <c r="W40" s="33">
        <f>+'Anexo 16'!W40*'Anexo 6'!$D$10</f>
        <v>0</v>
      </c>
      <c r="X40" s="33">
        <f>+'Anexo 16'!X40*'Anexo 6'!$D$10</f>
        <v>0</v>
      </c>
      <c r="Y40" s="33">
        <f>+'Anexo 16'!Y40*'Anexo 6'!$D$10</f>
        <v>0</v>
      </c>
      <c r="Z40" s="33">
        <f>+'Anexo 16'!Z40*'Anexo 6'!$D$10</f>
        <v>0</v>
      </c>
      <c r="AA40" s="38">
        <f t="shared" si="0"/>
        <v>0</v>
      </c>
      <c r="AB40" s="21">
        <v>4</v>
      </c>
      <c r="AC40" s="95"/>
      <c r="AD40" s="47"/>
    </row>
    <row r="41" spans="1:30" ht="15.75" thickBot="1" x14ac:dyDescent="0.3">
      <c r="A41" s="93"/>
      <c r="B41" s="22" t="s">
        <v>3</v>
      </c>
      <c r="C41" s="33">
        <f>+'Anexo 16'!C41*'Anexo 6'!$D$10</f>
        <v>0</v>
      </c>
      <c r="D41" s="33">
        <f>+'Anexo 16'!D41*'Anexo 6'!$D$10</f>
        <v>0</v>
      </c>
      <c r="E41" s="33">
        <f>+'Anexo 16'!E41*'Anexo 6'!$D$10</f>
        <v>0</v>
      </c>
      <c r="F41" s="33">
        <f>+'Anexo 16'!F41*'Anexo 6'!$D$10</f>
        <v>0</v>
      </c>
      <c r="G41" s="33">
        <f>+'Anexo 16'!G41*'Anexo 6'!$D$10</f>
        <v>0</v>
      </c>
      <c r="H41" s="33">
        <f>+'Anexo 16'!H41*'Anexo 6'!$D$10</f>
        <v>0</v>
      </c>
      <c r="I41" s="33">
        <f>+'Anexo 16'!I41*'Anexo 6'!$D$10</f>
        <v>0</v>
      </c>
      <c r="J41" s="33">
        <f>+'Anexo 16'!J41*'Anexo 6'!$D$10</f>
        <v>0</v>
      </c>
      <c r="K41" s="33">
        <f>+'Anexo 16'!K41*'Anexo 6'!$D$10</f>
        <v>0</v>
      </c>
      <c r="L41" s="33">
        <f>+'Anexo 16'!L41*'Anexo 6'!$D$10</f>
        <v>0</v>
      </c>
      <c r="M41" s="33">
        <f>+'Anexo 16'!M41*'Anexo 6'!$D$10</f>
        <v>0</v>
      </c>
      <c r="N41" s="33">
        <f>+'Anexo 16'!N41*'Anexo 6'!$D$10</f>
        <v>0</v>
      </c>
      <c r="O41" s="33">
        <f>+'Anexo 16'!O41*'Anexo 6'!$D$10</f>
        <v>0</v>
      </c>
      <c r="P41" s="33">
        <f>+'Anexo 16'!P41*'Anexo 6'!$D$10</f>
        <v>0</v>
      </c>
      <c r="Q41" s="33">
        <f>+'Anexo 16'!Q41*'Anexo 6'!$D$10</f>
        <v>0</v>
      </c>
      <c r="R41" s="33">
        <f>+'Anexo 16'!R41*'Anexo 6'!$D$10</f>
        <v>0</v>
      </c>
      <c r="S41" s="33">
        <f>+'Anexo 16'!S41*'Anexo 6'!$D$10</f>
        <v>0</v>
      </c>
      <c r="T41" s="33">
        <f>+'Anexo 16'!T41*'Anexo 6'!$D$10</f>
        <v>0</v>
      </c>
      <c r="U41" s="33">
        <f>+'Anexo 16'!U41*'Anexo 6'!$D$10</f>
        <v>0</v>
      </c>
      <c r="V41" s="33">
        <f>+'Anexo 16'!V41*'Anexo 6'!$D$10</f>
        <v>0</v>
      </c>
      <c r="W41" s="33">
        <f>+'Anexo 16'!W41*'Anexo 6'!$D$10</f>
        <v>0</v>
      </c>
      <c r="X41" s="33">
        <f>+'Anexo 16'!X41*'Anexo 6'!$D$10</f>
        <v>0</v>
      </c>
      <c r="Y41" s="33">
        <f>+'Anexo 16'!Y41*'Anexo 6'!$D$10</f>
        <v>0</v>
      </c>
      <c r="Z41" s="33">
        <f>+'Anexo 16'!Z41*'Anexo 6'!$D$10</f>
        <v>0</v>
      </c>
      <c r="AA41" s="41">
        <f t="shared" si="0"/>
        <v>0</v>
      </c>
      <c r="AB41" s="23">
        <v>6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9C02-EFE5-4A32-85C8-2423083F2E66}">
  <sheetPr>
    <tabColor theme="9" tint="-0.499984740745262"/>
  </sheetPr>
  <dimension ref="A1:XFC36"/>
  <sheetViews>
    <sheetView showGridLines="0" topLeftCell="A7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6" t="s">
        <v>82</v>
      </c>
      <c r="C3" s="76"/>
      <c r="D3" s="76"/>
      <c r="E3" s="76"/>
      <c r="F3" s="76"/>
      <c r="G3" s="29"/>
    </row>
    <row r="4" spans="1:8" x14ac:dyDescent="0.25">
      <c r="B4" s="76" t="s">
        <v>77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1:8" ht="23.25" customHeight="1" x14ac:dyDescent="0.25"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48214</v>
      </c>
      <c r="C10" s="43">
        <f>+'Anexo 17'!AC6</f>
        <v>3840141</v>
      </c>
      <c r="D10" s="73"/>
      <c r="E10" s="57">
        <f>+'Cantidades Ofertadas Prod 7'!AC6</f>
        <v>0</v>
      </c>
      <c r="F10" s="99"/>
      <c r="G10" s="32"/>
      <c r="H10" s="66"/>
    </row>
    <row r="11" spans="1:8" ht="15.75" thickBot="1" x14ac:dyDescent="0.3">
      <c r="A11" s="59">
        <v>29</v>
      </c>
      <c r="B11" s="8">
        <v>48245</v>
      </c>
      <c r="C11" s="43">
        <f>+'Anexo 17'!AC9</f>
        <v>3491231</v>
      </c>
      <c r="D11" s="74"/>
      <c r="E11" s="57">
        <f>+'Cantidades Ofertadas Prod 7'!AC9</f>
        <v>0</v>
      </c>
      <c r="F11" s="100"/>
      <c r="G11" s="32"/>
      <c r="H11" s="66"/>
    </row>
    <row r="12" spans="1:8" ht="15.75" thickBot="1" x14ac:dyDescent="0.3">
      <c r="A12" s="59">
        <v>31</v>
      </c>
      <c r="B12" s="8">
        <v>48274</v>
      </c>
      <c r="C12" s="43">
        <f>+'Anexo 17'!AC12</f>
        <v>3822250</v>
      </c>
      <c r="D12" s="74"/>
      <c r="E12" s="57">
        <f>+'Cantidades Ofertadas Prod 7'!AC12</f>
        <v>0</v>
      </c>
      <c r="F12" s="100"/>
      <c r="G12" s="32"/>
      <c r="H12" s="66"/>
    </row>
    <row r="13" spans="1:8" ht="15.75" thickBot="1" x14ac:dyDescent="0.3">
      <c r="A13" s="59">
        <v>30</v>
      </c>
      <c r="B13" s="8">
        <v>48305</v>
      </c>
      <c r="C13" s="43">
        <f>+'Anexo 17'!AC15</f>
        <v>3575744</v>
      </c>
      <c r="D13" s="74"/>
      <c r="E13" s="57">
        <f>+'Cantidades Ofertadas Prod 7'!AC15</f>
        <v>0</v>
      </c>
      <c r="F13" s="100"/>
      <c r="G13" s="32"/>
      <c r="H13" s="66"/>
    </row>
    <row r="14" spans="1:8" ht="15.75" thickBot="1" x14ac:dyDescent="0.3">
      <c r="A14" s="59">
        <v>31</v>
      </c>
      <c r="B14" s="8">
        <v>48335</v>
      </c>
      <c r="C14" s="43">
        <f>+'Anexo 17'!AC18</f>
        <v>3652422</v>
      </c>
      <c r="D14" s="74"/>
      <c r="E14" s="57">
        <f>+'Cantidades Ofertadas Prod 7'!AC18</f>
        <v>0</v>
      </c>
      <c r="F14" s="100"/>
      <c r="G14" s="32"/>
      <c r="H14" s="66"/>
    </row>
    <row r="15" spans="1:8" ht="15.75" thickBot="1" x14ac:dyDescent="0.3">
      <c r="A15" s="59">
        <v>30</v>
      </c>
      <c r="B15" s="8">
        <v>48366</v>
      </c>
      <c r="C15" s="43">
        <f>+'Anexo 17'!AC21</f>
        <v>3670790</v>
      </c>
      <c r="D15" s="74"/>
      <c r="E15" s="57">
        <f>+'Cantidades Ofertadas Prod 7'!AC21</f>
        <v>0</v>
      </c>
      <c r="F15" s="100"/>
      <c r="G15" s="32"/>
      <c r="H15" s="66"/>
    </row>
    <row r="16" spans="1:8" ht="15.75" thickBot="1" x14ac:dyDescent="0.3">
      <c r="A16" s="59">
        <v>31</v>
      </c>
      <c r="B16" s="8">
        <v>48396</v>
      </c>
      <c r="C16" s="43">
        <f>+'Anexo 17'!AC24</f>
        <v>3827288</v>
      </c>
      <c r="D16" s="74"/>
      <c r="E16" s="57">
        <f>+'Cantidades Ofertadas Prod 7'!AC24</f>
        <v>0</v>
      </c>
      <c r="F16" s="100"/>
      <c r="G16" s="32"/>
      <c r="H16" s="66"/>
    </row>
    <row r="17" spans="1:8" ht="15.75" thickBot="1" x14ac:dyDescent="0.3">
      <c r="A17" s="59">
        <v>31</v>
      </c>
      <c r="B17" s="8">
        <v>48427</v>
      </c>
      <c r="C17" s="43">
        <f>+'Anexo 17'!AC27</f>
        <v>3948221</v>
      </c>
      <c r="D17" s="74"/>
      <c r="E17" s="57">
        <f>+'Cantidades Ofertadas Prod 7'!AC27</f>
        <v>0</v>
      </c>
      <c r="F17" s="100"/>
      <c r="G17" s="32"/>
      <c r="H17" s="66"/>
    </row>
    <row r="18" spans="1:8" ht="15.75" thickBot="1" x14ac:dyDescent="0.3">
      <c r="A18" s="59">
        <v>30</v>
      </c>
      <c r="B18" s="8">
        <v>48458</v>
      </c>
      <c r="C18" s="43">
        <f>+'Anexo 17'!AC30</f>
        <v>3945084</v>
      </c>
      <c r="D18" s="74"/>
      <c r="E18" s="57">
        <f>+'Cantidades Ofertadas Prod 7'!AC30</f>
        <v>0</v>
      </c>
      <c r="F18" s="100"/>
      <c r="G18" s="32"/>
      <c r="H18" s="66"/>
    </row>
    <row r="19" spans="1:8" ht="15.75" thickBot="1" x14ac:dyDescent="0.3">
      <c r="A19" s="59">
        <v>31</v>
      </c>
      <c r="B19" s="8">
        <v>48488</v>
      </c>
      <c r="C19" s="43">
        <f>+'Anexo 17'!AC33</f>
        <v>3759663</v>
      </c>
      <c r="D19" s="74"/>
      <c r="E19" s="57">
        <f>+'Cantidades Ofertadas Prod 7'!AC33</f>
        <v>0</v>
      </c>
      <c r="F19" s="100"/>
      <c r="G19" s="32"/>
      <c r="H19" s="66"/>
    </row>
    <row r="20" spans="1:8" ht="15.75" thickBot="1" x14ac:dyDescent="0.3">
      <c r="A20" s="59">
        <v>30</v>
      </c>
      <c r="B20" s="8">
        <v>48519</v>
      </c>
      <c r="C20" s="43">
        <f>+'Anexo 17'!AC36</f>
        <v>3572944</v>
      </c>
      <c r="D20" s="74"/>
      <c r="E20" s="57">
        <f>+'Cantidades Ofertadas Prod 7'!AC36</f>
        <v>0</v>
      </c>
      <c r="F20" s="100"/>
      <c r="G20" s="32"/>
      <c r="H20" s="66"/>
    </row>
    <row r="21" spans="1:8" ht="15.75" thickBot="1" x14ac:dyDescent="0.3">
      <c r="A21" s="59">
        <v>31</v>
      </c>
      <c r="B21" s="8">
        <v>48549</v>
      </c>
      <c r="C21" s="43">
        <f>+'Anexo 17'!AC39</f>
        <v>3923561</v>
      </c>
      <c r="D21" s="75"/>
      <c r="E21" s="57">
        <f>+'Cantidades Ofertadas Prod 7'!AC39</f>
        <v>0</v>
      </c>
      <c r="F21" s="101"/>
      <c r="G21" s="32"/>
      <c r="H21" s="66"/>
    </row>
    <row r="22" spans="1:8" ht="28.5" customHeight="1" x14ac:dyDescent="0.25">
      <c r="B22" s="9" t="s">
        <v>0</v>
      </c>
      <c r="C22" s="10">
        <f>+SUM(C10:C21)</f>
        <v>45029339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69" t="s">
        <v>46</v>
      </c>
      <c r="C25" s="69"/>
      <c r="D25" s="69"/>
      <c r="E25" s="69"/>
      <c r="F25" s="69"/>
      <c r="G25" s="69"/>
      <c r="H25" s="42"/>
    </row>
    <row r="26" spans="1:8" x14ac:dyDescent="0.25">
      <c r="B26" s="7" t="s">
        <v>105</v>
      </c>
      <c r="C26" s="52"/>
      <c r="D26" s="52"/>
      <c r="E26" s="52"/>
      <c r="F26" s="52"/>
      <c r="G26" s="52"/>
      <c r="H26" s="42"/>
    </row>
    <row r="27" spans="1:8" x14ac:dyDescent="0.25">
      <c r="B27" s="7" t="s">
        <v>86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118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3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F4B5ED03-4EF3-45E6-8A22-61591D5894B4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75C5-0EB3-40DC-A9B6-73BB1E5BFFD1}">
  <sheetPr>
    <tabColor theme="9" tint="-0.499984740745262"/>
  </sheetPr>
  <dimension ref="A1:H33"/>
  <sheetViews>
    <sheetView showGridLines="0" topLeftCell="A3" zoomScaleNormal="100" zoomScaleSheetLayoutView="140" workbookViewId="0">
      <selection activeCell="B8" sqref="B8:F22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6" t="s">
        <v>119</v>
      </c>
      <c r="C3" s="76"/>
      <c r="D3" s="76"/>
      <c r="E3" s="76"/>
      <c r="F3" s="76"/>
      <c r="G3" s="29"/>
    </row>
    <row r="4" spans="1:8" ht="15" x14ac:dyDescent="0.25">
      <c r="B4" s="76" t="s">
        <v>77</v>
      </c>
      <c r="C4" s="76"/>
      <c r="D4" s="76"/>
      <c r="E4" s="76"/>
      <c r="F4" s="76"/>
      <c r="G4" s="29"/>
    </row>
    <row r="5" spans="1:8" ht="15" x14ac:dyDescent="0.25">
      <c r="B5" s="76" t="s">
        <v>90</v>
      </c>
      <c r="C5" s="76"/>
      <c r="D5" s="76"/>
      <c r="E5" s="76"/>
      <c r="F5" s="76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77" t="s">
        <v>1</v>
      </c>
      <c r="C8" s="77" t="s">
        <v>56</v>
      </c>
      <c r="D8" s="77" t="s">
        <v>66</v>
      </c>
      <c r="E8" s="77" t="s">
        <v>37</v>
      </c>
      <c r="F8" s="77" t="s">
        <v>42</v>
      </c>
      <c r="G8" s="28"/>
    </row>
    <row r="9" spans="1:8" ht="23.25" customHeight="1" x14ac:dyDescent="0.25">
      <c r="A9" s="63">
        <v>500</v>
      </c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48214</v>
      </c>
      <c r="C10" s="43">
        <f>+$A$9*A10*24</f>
        <v>372000</v>
      </c>
      <c r="D10" s="79"/>
      <c r="E10" s="57">
        <f>+$D$10*A10*24</f>
        <v>0</v>
      </c>
      <c r="F10" s="70"/>
      <c r="G10" s="32"/>
      <c r="H10" s="51"/>
    </row>
    <row r="11" spans="1:8" ht="15.75" thickBot="1" x14ac:dyDescent="0.3">
      <c r="A11" s="59">
        <v>29</v>
      </c>
      <c r="B11" s="8">
        <v>48245</v>
      </c>
      <c r="C11" s="43">
        <f t="shared" ref="C11:C21" si="0">+$A$9*A11*24</f>
        <v>348000</v>
      </c>
      <c r="D11" s="80"/>
      <c r="E11" s="57">
        <f t="shared" ref="E11:E21" si="1">+$D$10*A11*24</f>
        <v>0</v>
      </c>
      <c r="F11" s="71"/>
      <c r="G11" s="32"/>
      <c r="H11" s="51"/>
    </row>
    <row r="12" spans="1:8" ht="15.75" thickBot="1" x14ac:dyDescent="0.3">
      <c r="A12" s="59">
        <v>31</v>
      </c>
      <c r="B12" s="8">
        <v>48274</v>
      </c>
      <c r="C12" s="43">
        <f t="shared" si="0"/>
        <v>372000</v>
      </c>
      <c r="D12" s="80"/>
      <c r="E12" s="57">
        <f t="shared" si="1"/>
        <v>0</v>
      </c>
      <c r="F12" s="71"/>
      <c r="G12" s="32"/>
      <c r="H12" s="51"/>
    </row>
    <row r="13" spans="1:8" ht="15.75" thickBot="1" x14ac:dyDescent="0.3">
      <c r="A13" s="59">
        <v>30</v>
      </c>
      <c r="B13" s="8">
        <v>48305</v>
      </c>
      <c r="C13" s="43">
        <f t="shared" si="0"/>
        <v>360000</v>
      </c>
      <c r="D13" s="80"/>
      <c r="E13" s="57">
        <f t="shared" si="1"/>
        <v>0</v>
      </c>
      <c r="F13" s="71"/>
      <c r="G13" s="32"/>
      <c r="H13" s="51"/>
    </row>
    <row r="14" spans="1:8" ht="15.75" thickBot="1" x14ac:dyDescent="0.3">
      <c r="A14" s="59">
        <v>31</v>
      </c>
      <c r="B14" s="8">
        <v>48335</v>
      </c>
      <c r="C14" s="43">
        <f t="shared" si="0"/>
        <v>372000</v>
      </c>
      <c r="D14" s="80"/>
      <c r="E14" s="57">
        <f t="shared" si="1"/>
        <v>0</v>
      </c>
      <c r="F14" s="71"/>
      <c r="G14" s="32"/>
      <c r="H14" s="51"/>
    </row>
    <row r="15" spans="1:8" ht="15.75" thickBot="1" x14ac:dyDescent="0.3">
      <c r="A15" s="59">
        <v>30</v>
      </c>
      <c r="B15" s="8">
        <v>48366</v>
      </c>
      <c r="C15" s="43">
        <f t="shared" si="0"/>
        <v>360000</v>
      </c>
      <c r="D15" s="80"/>
      <c r="E15" s="57">
        <f t="shared" si="1"/>
        <v>0</v>
      </c>
      <c r="F15" s="71"/>
      <c r="G15" s="32"/>
      <c r="H15" s="51"/>
    </row>
    <row r="16" spans="1:8" ht="15.75" thickBot="1" x14ac:dyDescent="0.3">
      <c r="A16" s="59">
        <v>31</v>
      </c>
      <c r="B16" s="8">
        <v>48396</v>
      </c>
      <c r="C16" s="43">
        <f t="shared" si="0"/>
        <v>372000</v>
      </c>
      <c r="D16" s="80"/>
      <c r="E16" s="57">
        <f t="shared" si="1"/>
        <v>0</v>
      </c>
      <c r="F16" s="71"/>
      <c r="G16" s="32"/>
      <c r="H16" s="51"/>
    </row>
    <row r="17" spans="1:8" ht="15.75" thickBot="1" x14ac:dyDescent="0.3">
      <c r="A17" s="59">
        <v>31</v>
      </c>
      <c r="B17" s="8">
        <v>48427</v>
      </c>
      <c r="C17" s="43">
        <f t="shared" si="0"/>
        <v>372000</v>
      </c>
      <c r="D17" s="80"/>
      <c r="E17" s="57">
        <f t="shared" si="1"/>
        <v>0</v>
      </c>
      <c r="F17" s="71"/>
      <c r="G17" s="32"/>
      <c r="H17" s="51"/>
    </row>
    <row r="18" spans="1:8" ht="15.75" thickBot="1" x14ac:dyDescent="0.3">
      <c r="A18" s="59">
        <v>30</v>
      </c>
      <c r="B18" s="8">
        <v>48458</v>
      </c>
      <c r="C18" s="43">
        <f t="shared" si="0"/>
        <v>360000</v>
      </c>
      <c r="D18" s="80"/>
      <c r="E18" s="57">
        <f t="shared" si="1"/>
        <v>0</v>
      </c>
      <c r="F18" s="71"/>
      <c r="G18" s="32"/>
      <c r="H18" s="51"/>
    </row>
    <row r="19" spans="1:8" ht="15.75" thickBot="1" x14ac:dyDescent="0.3">
      <c r="A19" s="59">
        <v>31</v>
      </c>
      <c r="B19" s="8">
        <v>48488</v>
      </c>
      <c r="C19" s="43">
        <f t="shared" si="0"/>
        <v>372000</v>
      </c>
      <c r="D19" s="80"/>
      <c r="E19" s="57">
        <f t="shared" si="1"/>
        <v>0</v>
      </c>
      <c r="F19" s="71"/>
      <c r="G19" s="32"/>
      <c r="H19" s="51"/>
    </row>
    <row r="20" spans="1:8" ht="15.75" thickBot="1" x14ac:dyDescent="0.3">
      <c r="A20" s="59">
        <v>30</v>
      </c>
      <c r="B20" s="8">
        <v>48519</v>
      </c>
      <c r="C20" s="43">
        <f t="shared" si="0"/>
        <v>360000</v>
      </c>
      <c r="D20" s="80"/>
      <c r="E20" s="57">
        <f t="shared" si="1"/>
        <v>0</v>
      </c>
      <c r="F20" s="71"/>
      <c r="G20" s="32"/>
      <c r="H20" s="51"/>
    </row>
    <row r="21" spans="1:8" ht="15.75" thickBot="1" x14ac:dyDescent="0.3">
      <c r="A21" s="59">
        <v>31</v>
      </c>
      <c r="B21" s="8">
        <v>48549</v>
      </c>
      <c r="C21" s="43">
        <f t="shared" si="0"/>
        <v>372000</v>
      </c>
      <c r="D21" s="81"/>
      <c r="E21" s="57">
        <f t="shared" si="1"/>
        <v>0</v>
      </c>
      <c r="F21" s="72"/>
      <c r="G21" s="32"/>
      <c r="H21" s="51"/>
    </row>
    <row r="22" spans="1:8" ht="28.5" customHeight="1" x14ac:dyDescent="0.25">
      <c r="B22" s="9" t="s">
        <v>0</v>
      </c>
      <c r="C22" s="10">
        <f>+SUM(C10:C21)</f>
        <v>4392000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113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69" t="s">
        <v>68</v>
      </c>
      <c r="C26" s="69"/>
      <c r="D26" s="69"/>
      <c r="E26" s="69"/>
      <c r="F26" s="69"/>
      <c r="G26" s="69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500 kWh" sqref="D10:D21" xr:uid="{4839B1F6-4FE5-4994-88F6-F0AE833A7970}">
      <formula1>0</formula1>
      <formula2>500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B5CB-58BF-4DB4-AA0A-7B9250A38166}">
  <sheetPr>
    <tabColor theme="9" tint="-0.499984740745262"/>
  </sheetPr>
  <dimension ref="A1:AD45"/>
  <sheetViews>
    <sheetView showGridLines="0" zoomScale="115" zoomScaleNormal="115" zoomScaleSheetLayoutView="110" workbookViewId="0">
      <pane xSplit="2" ySplit="5" topLeftCell="L6" activePane="bottomRight" state="frozen"/>
      <selection pane="topRight" activeCell="C1" sqref="C1"/>
      <selection pane="bottomLeft" activeCell="A6" sqref="A6"/>
      <selection pane="bottomRight" activeCell="O32" sqref="O3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3" width="7.42578125" bestFit="1" customWidth="1"/>
    <col min="4" max="4" width="7.7109375" bestFit="1" customWidth="1"/>
    <col min="5" max="6" width="7.140625" bestFit="1" customWidth="1"/>
    <col min="7" max="7" width="6.85546875" bestFit="1" customWidth="1"/>
    <col min="8" max="9" width="7.140625" bestFit="1" customWidth="1"/>
    <col min="10" max="10" width="6.85546875" bestFit="1" customWidth="1"/>
    <col min="11" max="11" width="7.140625" bestFit="1" customWidth="1"/>
    <col min="12" max="12" width="7.42578125" bestFit="1" customWidth="1"/>
    <col min="13" max="15" width="7.7109375" bestFit="1" customWidth="1"/>
    <col min="16" max="16" width="7.42578125" bestFit="1" customWidth="1"/>
    <col min="17" max="19" width="7.7109375" bestFit="1" customWidth="1"/>
    <col min="20" max="20" width="8" bestFit="1" customWidth="1"/>
    <col min="21" max="21" width="7.7109375" bestFit="1" customWidth="1"/>
    <col min="22" max="22" width="8" bestFit="1" customWidth="1"/>
    <col min="23" max="24" width="7.7109375" bestFit="1" customWidth="1"/>
    <col min="25" max="25" width="8" bestFit="1" customWidth="1"/>
    <col min="26" max="26" width="7.710937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4" t="s">
        <v>73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48214</v>
      </c>
      <c r="B6" s="18" t="s">
        <v>5</v>
      </c>
      <c r="C6" s="33">
        <v>3371</v>
      </c>
      <c r="D6" s="33">
        <v>2912</v>
      </c>
      <c r="E6" s="33">
        <v>2654</v>
      </c>
      <c r="F6" s="33">
        <v>2539</v>
      </c>
      <c r="G6" s="33">
        <v>2609</v>
      </c>
      <c r="H6" s="33">
        <v>2948</v>
      </c>
      <c r="I6" s="33">
        <v>3186</v>
      </c>
      <c r="J6" s="33">
        <v>3091</v>
      </c>
      <c r="K6" s="33">
        <v>4140</v>
      </c>
      <c r="L6" s="33">
        <v>5020</v>
      </c>
      <c r="M6" s="33">
        <v>5830</v>
      </c>
      <c r="N6" s="33">
        <v>6484</v>
      </c>
      <c r="O6" s="33">
        <v>6037</v>
      </c>
      <c r="P6" s="33">
        <v>6021</v>
      </c>
      <c r="Q6" s="33">
        <v>6655</v>
      </c>
      <c r="R6" s="33">
        <v>6816</v>
      </c>
      <c r="S6" s="33">
        <v>6686</v>
      </c>
      <c r="T6" s="33">
        <v>8632</v>
      </c>
      <c r="U6" s="33">
        <v>8762</v>
      </c>
      <c r="V6" s="33">
        <v>9120</v>
      </c>
      <c r="W6" s="33">
        <v>8658</v>
      </c>
      <c r="X6" s="33">
        <v>8165</v>
      </c>
      <c r="Y6" s="33">
        <v>7106</v>
      </c>
      <c r="Z6" s="34">
        <v>5860</v>
      </c>
      <c r="AA6" s="35">
        <f>SUM(C6:Z6)</f>
        <v>133302</v>
      </c>
      <c r="AB6" s="19">
        <v>20</v>
      </c>
      <c r="AC6" s="94">
        <f>+AA6*AB6+AA7*AB7+AA8*AB8</f>
        <v>3840141</v>
      </c>
    </row>
    <row r="7" spans="1:30" ht="15.75" thickBot="1" x14ac:dyDescent="0.3">
      <c r="A7" s="93"/>
      <c r="B7" s="20" t="s">
        <v>4</v>
      </c>
      <c r="C7" s="36">
        <v>3489</v>
      </c>
      <c r="D7" s="36">
        <v>3015</v>
      </c>
      <c r="E7" s="36">
        <v>2720</v>
      </c>
      <c r="F7" s="36">
        <v>2553</v>
      </c>
      <c r="G7" s="36">
        <v>2559</v>
      </c>
      <c r="H7" s="36">
        <v>2712</v>
      </c>
      <c r="I7" s="36">
        <v>2706</v>
      </c>
      <c r="J7" s="36">
        <v>2388</v>
      </c>
      <c r="K7" s="36">
        <v>3357</v>
      </c>
      <c r="L7" s="36">
        <v>4254</v>
      </c>
      <c r="M7" s="36">
        <v>4977</v>
      </c>
      <c r="N7" s="36">
        <v>5543</v>
      </c>
      <c r="O7" s="36">
        <v>5468</v>
      </c>
      <c r="P7" s="36">
        <v>5218</v>
      </c>
      <c r="Q7" s="36">
        <v>5177</v>
      </c>
      <c r="R7" s="36">
        <v>5182</v>
      </c>
      <c r="S7" s="36">
        <v>5141</v>
      </c>
      <c r="T7" s="36">
        <v>7312</v>
      </c>
      <c r="U7" s="36">
        <v>7965</v>
      </c>
      <c r="V7" s="36">
        <v>8497</v>
      </c>
      <c r="W7" s="36">
        <v>8054</v>
      </c>
      <c r="X7" s="36">
        <v>7577</v>
      </c>
      <c r="Y7" s="36">
        <v>6789</v>
      </c>
      <c r="Z7" s="37">
        <v>5862</v>
      </c>
      <c r="AA7" s="38">
        <f t="shared" ref="AA7:AA41" si="0">SUM(C7:Z7)</f>
        <v>118515</v>
      </c>
      <c r="AB7" s="21">
        <v>5</v>
      </c>
      <c r="AC7" s="95"/>
      <c r="AD7" s="47"/>
    </row>
    <row r="8" spans="1:30" x14ac:dyDescent="0.25">
      <c r="A8" s="93"/>
      <c r="B8" s="22" t="s">
        <v>3</v>
      </c>
      <c r="C8" s="39">
        <v>3343</v>
      </c>
      <c r="D8" s="39">
        <v>2873</v>
      </c>
      <c r="E8" s="39">
        <v>2528</v>
      </c>
      <c r="F8" s="39">
        <v>2316</v>
      </c>
      <c r="G8" s="39">
        <v>2255</v>
      </c>
      <c r="H8" s="39">
        <v>2322</v>
      </c>
      <c r="I8" s="39">
        <v>2127</v>
      </c>
      <c r="J8" s="39">
        <v>1465</v>
      </c>
      <c r="K8" s="39">
        <v>2048</v>
      </c>
      <c r="L8" s="39">
        <v>2815</v>
      </c>
      <c r="M8" s="39">
        <v>3355</v>
      </c>
      <c r="N8" s="39">
        <v>3934</v>
      </c>
      <c r="O8" s="39">
        <v>4220</v>
      </c>
      <c r="P8" s="39">
        <v>3998</v>
      </c>
      <c r="Q8" s="39">
        <v>3731</v>
      </c>
      <c r="R8" s="39">
        <v>3669</v>
      </c>
      <c r="S8" s="39">
        <v>3607</v>
      </c>
      <c r="T8" s="39">
        <v>5972</v>
      </c>
      <c r="U8" s="39">
        <v>6735</v>
      </c>
      <c r="V8" s="39">
        <v>7538</v>
      </c>
      <c r="W8" s="39">
        <v>7436</v>
      </c>
      <c r="X8" s="39">
        <v>7082</v>
      </c>
      <c r="Y8" s="39">
        <v>6256</v>
      </c>
      <c r="Z8" s="40">
        <v>5296</v>
      </c>
      <c r="AA8" s="41">
        <f t="shared" si="0"/>
        <v>96921</v>
      </c>
      <c r="AB8" s="23">
        <v>6</v>
      </c>
      <c r="AC8" s="96"/>
      <c r="AD8" s="48"/>
    </row>
    <row r="9" spans="1:30" ht="15.75" thickBot="1" x14ac:dyDescent="0.3">
      <c r="A9" s="93">
        <v>48245</v>
      </c>
      <c r="B9" s="18" t="s">
        <v>5</v>
      </c>
      <c r="C9" s="33">
        <v>3146</v>
      </c>
      <c r="D9" s="33">
        <v>2747</v>
      </c>
      <c r="E9" s="33">
        <v>2523</v>
      </c>
      <c r="F9" s="33">
        <v>2426</v>
      </c>
      <c r="G9" s="33">
        <v>2546</v>
      </c>
      <c r="H9" s="33">
        <v>3223</v>
      </c>
      <c r="I9" s="33">
        <v>3294</v>
      </c>
      <c r="J9" s="33">
        <v>3006</v>
      </c>
      <c r="K9" s="33">
        <v>3908</v>
      </c>
      <c r="L9" s="33">
        <v>4694</v>
      </c>
      <c r="M9" s="33">
        <v>5438</v>
      </c>
      <c r="N9" s="33">
        <v>6038</v>
      </c>
      <c r="O9" s="33">
        <v>5465</v>
      </c>
      <c r="P9" s="33">
        <v>5529</v>
      </c>
      <c r="Q9" s="33">
        <v>6210</v>
      </c>
      <c r="R9" s="33">
        <v>6373</v>
      </c>
      <c r="S9" s="33">
        <v>6247</v>
      </c>
      <c r="T9" s="33">
        <v>8162</v>
      </c>
      <c r="U9" s="33">
        <v>8234</v>
      </c>
      <c r="V9" s="33">
        <v>8778</v>
      </c>
      <c r="W9" s="33">
        <v>8359</v>
      </c>
      <c r="X9" s="33">
        <v>7843</v>
      </c>
      <c r="Y9" s="33">
        <v>6757</v>
      </c>
      <c r="Z9" s="34">
        <v>5513</v>
      </c>
      <c r="AA9" s="35">
        <f t="shared" si="0"/>
        <v>126459</v>
      </c>
      <c r="AB9" s="19">
        <v>20</v>
      </c>
      <c r="AC9" s="94">
        <f>+AA9*AB9+AA10*AB10+AA11*AB11</f>
        <v>3491231</v>
      </c>
    </row>
    <row r="10" spans="1:30" ht="15.75" thickBot="1" x14ac:dyDescent="0.3">
      <c r="A10" s="93"/>
      <c r="B10" s="20" t="s">
        <v>4</v>
      </c>
      <c r="C10" s="36">
        <v>3326</v>
      </c>
      <c r="D10" s="36">
        <v>2907</v>
      </c>
      <c r="E10" s="36">
        <v>2618</v>
      </c>
      <c r="F10" s="36">
        <v>2474</v>
      </c>
      <c r="G10" s="36">
        <v>2484</v>
      </c>
      <c r="H10" s="36">
        <v>2686</v>
      </c>
      <c r="I10" s="36">
        <v>2776</v>
      </c>
      <c r="J10" s="36">
        <v>2480</v>
      </c>
      <c r="K10" s="36">
        <v>3416</v>
      </c>
      <c r="L10" s="36">
        <v>4331</v>
      </c>
      <c r="M10" s="36">
        <v>5046</v>
      </c>
      <c r="N10" s="36">
        <v>5556</v>
      </c>
      <c r="O10" s="36">
        <v>5416</v>
      </c>
      <c r="P10" s="36">
        <v>5147</v>
      </c>
      <c r="Q10" s="36">
        <v>5116</v>
      </c>
      <c r="R10" s="36">
        <v>5113</v>
      </c>
      <c r="S10" s="36">
        <v>4993</v>
      </c>
      <c r="T10" s="36">
        <v>7131</v>
      </c>
      <c r="U10" s="36">
        <v>7727</v>
      </c>
      <c r="V10" s="36">
        <v>8357</v>
      </c>
      <c r="W10" s="36">
        <v>7898</v>
      </c>
      <c r="X10" s="36">
        <v>7453</v>
      </c>
      <c r="Y10" s="36">
        <v>6633</v>
      </c>
      <c r="Z10" s="37">
        <v>5725</v>
      </c>
      <c r="AA10" s="38">
        <f t="shared" si="0"/>
        <v>116809</v>
      </c>
      <c r="AB10" s="21">
        <v>4</v>
      </c>
      <c r="AC10" s="95"/>
      <c r="AD10" s="47"/>
    </row>
    <row r="11" spans="1:30" x14ac:dyDescent="0.25">
      <c r="A11" s="93"/>
      <c r="B11" s="22" t="s">
        <v>3</v>
      </c>
      <c r="C11" s="39">
        <v>3452</v>
      </c>
      <c r="D11" s="39">
        <v>2976</v>
      </c>
      <c r="E11" s="39">
        <v>2668</v>
      </c>
      <c r="F11" s="39">
        <v>2414</v>
      </c>
      <c r="G11" s="39">
        <v>2396</v>
      </c>
      <c r="H11" s="39">
        <v>2446</v>
      </c>
      <c r="I11" s="39">
        <v>2272</v>
      </c>
      <c r="J11" s="39">
        <v>1595</v>
      </c>
      <c r="K11" s="39">
        <v>2180</v>
      </c>
      <c r="L11" s="39">
        <v>2943</v>
      </c>
      <c r="M11" s="39">
        <v>3451</v>
      </c>
      <c r="N11" s="39">
        <v>3987</v>
      </c>
      <c r="O11" s="39">
        <v>4185</v>
      </c>
      <c r="P11" s="39">
        <v>4048</v>
      </c>
      <c r="Q11" s="39">
        <v>3784</v>
      </c>
      <c r="R11" s="39">
        <v>3729</v>
      </c>
      <c r="S11" s="39">
        <v>3685</v>
      </c>
      <c r="T11" s="39">
        <v>6011</v>
      </c>
      <c r="U11" s="39">
        <v>6727</v>
      </c>
      <c r="V11" s="39">
        <v>7674</v>
      </c>
      <c r="W11" s="39">
        <v>7579</v>
      </c>
      <c r="X11" s="39">
        <v>7243</v>
      </c>
      <c r="Y11" s="39">
        <v>6285</v>
      </c>
      <c r="Z11" s="40">
        <v>5233</v>
      </c>
      <c r="AA11" s="41">
        <f t="shared" si="0"/>
        <v>98963</v>
      </c>
      <c r="AB11" s="23">
        <v>5</v>
      </c>
      <c r="AC11" s="96"/>
      <c r="AD11" s="48"/>
    </row>
    <row r="12" spans="1:30" ht="15.75" thickBot="1" x14ac:dyDescent="0.3">
      <c r="A12" s="93">
        <v>48274</v>
      </c>
      <c r="B12" s="18" t="s">
        <v>5</v>
      </c>
      <c r="C12" s="33">
        <v>3410</v>
      </c>
      <c r="D12" s="33">
        <v>2992</v>
      </c>
      <c r="E12" s="33">
        <v>2753</v>
      </c>
      <c r="F12" s="33">
        <v>2653</v>
      </c>
      <c r="G12" s="33">
        <v>2758</v>
      </c>
      <c r="H12" s="33">
        <v>3387</v>
      </c>
      <c r="I12" s="33">
        <v>3423</v>
      </c>
      <c r="J12" s="33">
        <v>3234</v>
      </c>
      <c r="K12" s="33">
        <v>4155</v>
      </c>
      <c r="L12" s="33">
        <v>4976</v>
      </c>
      <c r="M12" s="33">
        <v>5741</v>
      </c>
      <c r="N12" s="33">
        <v>6364</v>
      </c>
      <c r="O12" s="33">
        <v>5826</v>
      </c>
      <c r="P12" s="33">
        <v>5844</v>
      </c>
      <c r="Q12" s="33">
        <v>6452</v>
      </c>
      <c r="R12" s="33">
        <v>6589</v>
      </c>
      <c r="S12" s="33">
        <v>6431</v>
      </c>
      <c r="T12" s="33">
        <v>8414</v>
      </c>
      <c r="U12" s="33">
        <v>8670</v>
      </c>
      <c r="V12" s="33">
        <v>9219</v>
      </c>
      <c r="W12" s="33">
        <v>8775</v>
      </c>
      <c r="X12" s="33">
        <v>8231</v>
      </c>
      <c r="Y12" s="33">
        <v>7102</v>
      </c>
      <c r="Z12" s="34">
        <v>5841</v>
      </c>
      <c r="AA12" s="35">
        <f t="shared" si="0"/>
        <v>133240</v>
      </c>
      <c r="AB12" s="19">
        <v>20</v>
      </c>
      <c r="AC12" s="94">
        <f>+AA12*AB12+AA13*AB13+AA14*AB14</f>
        <v>3822250</v>
      </c>
    </row>
    <row r="13" spans="1:30" ht="15.75" thickBot="1" x14ac:dyDescent="0.3">
      <c r="A13" s="93"/>
      <c r="B13" s="20" t="s">
        <v>4</v>
      </c>
      <c r="C13" s="36">
        <v>3412</v>
      </c>
      <c r="D13" s="36">
        <v>2944</v>
      </c>
      <c r="E13" s="36">
        <v>2651</v>
      </c>
      <c r="F13" s="36">
        <v>2519</v>
      </c>
      <c r="G13" s="36">
        <v>2524</v>
      </c>
      <c r="H13" s="36">
        <v>2696</v>
      </c>
      <c r="I13" s="36">
        <v>2726</v>
      </c>
      <c r="J13" s="36">
        <v>2520</v>
      </c>
      <c r="K13" s="36">
        <v>3462</v>
      </c>
      <c r="L13" s="36">
        <v>4302</v>
      </c>
      <c r="M13" s="36">
        <v>4989</v>
      </c>
      <c r="N13" s="36">
        <v>5480</v>
      </c>
      <c r="O13" s="36">
        <v>5373</v>
      </c>
      <c r="P13" s="36">
        <v>5151</v>
      </c>
      <c r="Q13" s="36">
        <v>5082</v>
      </c>
      <c r="R13" s="36">
        <v>5065</v>
      </c>
      <c r="S13" s="36">
        <v>4988</v>
      </c>
      <c r="T13" s="36">
        <v>7214</v>
      </c>
      <c r="U13" s="36">
        <v>7893</v>
      </c>
      <c r="V13" s="36">
        <v>8513</v>
      </c>
      <c r="W13" s="36">
        <v>8068</v>
      </c>
      <c r="X13" s="36">
        <v>7533</v>
      </c>
      <c r="Y13" s="36">
        <v>6734</v>
      </c>
      <c r="Z13" s="37">
        <v>5859</v>
      </c>
      <c r="AA13" s="38">
        <f t="shared" si="0"/>
        <v>117698</v>
      </c>
      <c r="AB13" s="21">
        <v>4</v>
      </c>
      <c r="AC13" s="95"/>
      <c r="AD13" s="47"/>
    </row>
    <row r="14" spans="1:30" x14ac:dyDescent="0.25">
      <c r="A14" s="93"/>
      <c r="B14" s="22" t="s">
        <v>3</v>
      </c>
      <c r="C14" s="39">
        <v>3416</v>
      </c>
      <c r="D14" s="39">
        <v>2930</v>
      </c>
      <c r="E14" s="39">
        <v>2606</v>
      </c>
      <c r="F14" s="39">
        <v>2416</v>
      </c>
      <c r="G14" s="39">
        <v>2374</v>
      </c>
      <c r="H14" s="39">
        <v>2439</v>
      </c>
      <c r="I14" s="39">
        <v>2170</v>
      </c>
      <c r="J14" s="39">
        <v>1557</v>
      </c>
      <c r="K14" s="39">
        <v>2142</v>
      </c>
      <c r="L14" s="39">
        <v>2865</v>
      </c>
      <c r="M14" s="39">
        <v>3384</v>
      </c>
      <c r="N14" s="39">
        <v>3878</v>
      </c>
      <c r="O14" s="39">
        <v>4117</v>
      </c>
      <c r="P14" s="39">
        <v>3967</v>
      </c>
      <c r="Q14" s="39">
        <v>3730</v>
      </c>
      <c r="R14" s="39">
        <v>3649</v>
      </c>
      <c r="S14" s="39">
        <v>3610</v>
      </c>
      <c r="T14" s="39">
        <v>5984</v>
      </c>
      <c r="U14" s="39">
        <v>6755</v>
      </c>
      <c r="V14" s="39">
        <v>7656</v>
      </c>
      <c r="W14" s="39">
        <v>7611</v>
      </c>
      <c r="X14" s="39">
        <v>7214</v>
      </c>
      <c r="Y14" s="39">
        <v>6333</v>
      </c>
      <c r="Z14" s="40">
        <v>5291</v>
      </c>
      <c r="AA14" s="41">
        <f t="shared" si="0"/>
        <v>98094</v>
      </c>
      <c r="AB14" s="23">
        <v>7</v>
      </c>
      <c r="AC14" s="96"/>
      <c r="AD14" s="45"/>
    </row>
    <row r="15" spans="1:30" ht="15.75" thickBot="1" x14ac:dyDescent="0.3">
      <c r="A15" s="93">
        <v>48305</v>
      </c>
      <c r="B15" s="18" t="s">
        <v>5</v>
      </c>
      <c r="C15" s="33">
        <v>3112</v>
      </c>
      <c r="D15" s="33">
        <v>2694</v>
      </c>
      <c r="E15" s="33">
        <v>2452</v>
      </c>
      <c r="F15" s="33">
        <v>2364</v>
      </c>
      <c r="G15" s="33">
        <v>2453</v>
      </c>
      <c r="H15" s="33">
        <v>2890</v>
      </c>
      <c r="I15" s="33">
        <v>3038</v>
      </c>
      <c r="J15" s="33">
        <v>2996</v>
      </c>
      <c r="K15" s="33">
        <v>3851</v>
      </c>
      <c r="L15" s="33">
        <v>4623</v>
      </c>
      <c r="M15" s="33">
        <v>5335</v>
      </c>
      <c r="N15" s="33">
        <v>5947</v>
      </c>
      <c r="O15" s="33">
        <v>5542</v>
      </c>
      <c r="P15" s="33">
        <v>5514</v>
      </c>
      <c r="Q15" s="33">
        <v>5948</v>
      </c>
      <c r="R15" s="33">
        <v>6069</v>
      </c>
      <c r="S15" s="33">
        <v>5914</v>
      </c>
      <c r="T15" s="33">
        <v>8017</v>
      </c>
      <c r="U15" s="33">
        <v>8407</v>
      </c>
      <c r="V15" s="33">
        <v>8775</v>
      </c>
      <c r="W15" s="33">
        <v>8387</v>
      </c>
      <c r="X15" s="33">
        <v>7808</v>
      </c>
      <c r="Y15" s="33">
        <v>6688</v>
      </c>
      <c r="Z15" s="34">
        <v>5476</v>
      </c>
      <c r="AA15" s="35">
        <f t="shared" si="0"/>
        <v>124300</v>
      </c>
      <c r="AB15" s="19">
        <v>22</v>
      </c>
      <c r="AC15" s="94">
        <f>+AA15*AB15+AA16*AB16+AA17*AB17</f>
        <v>3575744</v>
      </c>
    </row>
    <row r="16" spans="1:30" ht="15.75" thickBot="1" x14ac:dyDescent="0.3">
      <c r="A16" s="93"/>
      <c r="B16" s="20" t="s">
        <v>4</v>
      </c>
      <c r="C16" s="36">
        <v>3153</v>
      </c>
      <c r="D16" s="36">
        <v>2706</v>
      </c>
      <c r="E16" s="36">
        <v>2423</v>
      </c>
      <c r="F16" s="36">
        <v>2288</v>
      </c>
      <c r="G16" s="36">
        <v>2338</v>
      </c>
      <c r="H16" s="36">
        <v>2459</v>
      </c>
      <c r="I16" s="36">
        <v>2517</v>
      </c>
      <c r="J16" s="36">
        <v>2410</v>
      </c>
      <c r="K16" s="36">
        <v>3278</v>
      </c>
      <c r="L16" s="36">
        <v>4094</v>
      </c>
      <c r="M16" s="36">
        <v>4769</v>
      </c>
      <c r="N16" s="36">
        <v>5241</v>
      </c>
      <c r="O16" s="36">
        <v>5233</v>
      </c>
      <c r="P16" s="36">
        <v>4953</v>
      </c>
      <c r="Q16" s="36">
        <v>4903</v>
      </c>
      <c r="R16" s="36">
        <v>4930</v>
      </c>
      <c r="S16" s="36">
        <v>4880</v>
      </c>
      <c r="T16" s="36">
        <v>7205</v>
      </c>
      <c r="U16" s="36">
        <v>7950</v>
      </c>
      <c r="V16" s="36">
        <v>8360</v>
      </c>
      <c r="W16" s="36">
        <v>7904</v>
      </c>
      <c r="X16" s="36">
        <v>7369</v>
      </c>
      <c r="Y16" s="36">
        <v>6544</v>
      </c>
      <c r="Z16" s="37">
        <v>5621</v>
      </c>
      <c r="AA16" s="38">
        <f t="shared" si="0"/>
        <v>113528</v>
      </c>
      <c r="AB16" s="21">
        <v>4</v>
      </c>
      <c r="AC16" s="95"/>
      <c r="AD16" s="47"/>
    </row>
    <row r="17" spans="1:30" x14ac:dyDescent="0.25">
      <c r="A17" s="93"/>
      <c r="B17" s="22" t="s">
        <v>3</v>
      </c>
      <c r="C17" s="39">
        <v>3217</v>
      </c>
      <c r="D17" s="39">
        <v>2752</v>
      </c>
      <c r="E17" s="39">
        <v>2440</v>
      </c>
      <c r="F17" s="39">
        <v>2255</v>
      </c>
      <c r="G17" s="39">
        <v>2181</v>
      </c>
      <c r="H17" s="39">
        <v>2160</v>
      </c>
      <c r="I17" s="39">
        <v>1978</v>
      </c>
      <c r="J17" s="39">
        <v>1516</v>
      </c>
      <c r="K17" s="39">
        <v>2156</v>
      </c>
      <c r="L17" s="39">
        <v>2859</v>
      </c>
      <c r="M17" s="39">
        <v>3369</v>
      </c>
      <c r="N17" s="39">
        <v>3861</v>
      </c>
      <c r="O17" s="39">
        <v>4124</v>
      </c>
      <c r="P17" s="39">
        <v>4039</v>
      </c>
      <c r="Q17" s="39">
        <v>3825</v>
      </c>
      <c r="R17" s="39">
        <v>3765</v>
      </c>
      <c r="S17" s="39">
        <v>3723</v>
      </c>
      <c r="T17" s="39">
        <v>6109</v>
      </c>
      <c r="U17" s="39">
        <v>7014</v>
      </c>
      <c r="V17" s="39">
        <v>7699</v>
      </c>
      <c r="W17" s="39">
        <v>7498</v>
      </c>
      <c r="X17" s="39">
        <v>7029</v>
      </c>
      <c r="Y17" s="39">
        <v>6104</v>
      </c>
      <c r="Z17" s="40">
        <v>5085</v>
      </c>
      <c r="AA17" s="41">
        <f t="shared" si="0"/>
        <v>96758</v>
      </c>
      <c r="AB17" s="23">
        <v>4</v>
      </c>
      <c r="AC17" s="96"/>
      <c r="AD17" s="48"/>
    </row>
    <row r="18" spans="1:30" ht="15.75" thickBot="1" x14ac:dyDescent="0.3">
      <c r="A18" s="93">
        <v>48335</v>
      </c>
      <c r="B18" s="18" t="s">
        <v>5</v>
      </c>
      <c r="C18" s="33">
        <v>3153</v>
      </c>
      <c r="D18" s="33">
        <v>2732</v>
      </c>
      <c r="E18" s="33">
        <v>2516</v>
      </c>
      <c r="F18" s="33">
        <v>2401</v>
      </c>
      <c r="G18" s="33">
        <v>2491</v>
      </c>
      <c r="H18" s="33">
        <v>2852</v>
      </c>
      <c r="I18" s="33">
        <v>3089</v>
      </c>
      <c r="J18" s="33">
        <v>3067</v>
      </c>
      <c r="K18" s="33">
        <v>4010</v>
      </c>
      <c r="L18" s="33">
        <v>4810</v>
      </c>
      <c r="M18" s="33">
        <v>5510</v>
      </c>
      <c r="N18" s="33">
        <v>6082</v>
      </c>
      <c r="O18" s="33">
        <v>5622</v>
      </c>
      <c r="P18" s="33">
        <v>5540</v>
      </c>
      <c r="Q18" s="33">
        <v>6020</v>
      </c>
      <c r="R18" s="33">
        <v>6117</v>
      </c>
      <c r="S18" s="33">
        <v>6030</v>
      </c>
      <c r="T18" s="33">
        <v>8114</v>
      </c>
      <c r="U18" s="33">
        <v>8543</v>
      </c>
      <c r="V18" s="33">
        <v>8868</v>
      </c>
      <c r="W18" s="33">
        <v>8503</v>
      </c>
      <c r="X18" s="33">
        <v>7882</v>
      </c>
      <c r="Y18" s="33">
        <v>6745</v>
      </c>
      <c r="Z18" s="34">
        <v>5505</v>
      </c>
      <c r="AA18" s="35">
        <f t="shared" si="0"/>
        <v>126202</v>
      </c>
      <c r="AB18" s="19">
        <v>19</v>
      </c>
      <c r="AC18" s="94">
        <f>+AA18*AB18+AA19*AB19+AA20*AB20</f>
        <v>3652422</v>
      </c>
    </row>
    <row r="19" spans="1:30" ht="15.75" thickBot="1" x14ac:dyDescent="0.3">
      <c r="A19" s="93"/>
      <c r="B19" s="20" t="s">
        <v>4</v>
      </c>
      <c r="C19" s="36">
        <v>3302</v>
      </c>
      <c r="D19" s="36">
        <v>2830</v>
      </c>
      <c r="E19" s="36">
        <v>2594</v>
      </c>
      <c r="F19" s="36">
        <v>2425</v>
      </c>
      <c r="G19" s="36">
        <v>2455</v>
      </c>
      <c r="H19" s="36">
        <v>2450</v>
      </c>
      <c r="I19" s="36">
        <v>2539</v>
      </c>
      <c r="J19" s="36">
        <v>2521</v>
      </c>
      <c r="K19" s="36">
        <v>3489</v>
      </c>
      <c r="L19" s="36">
        <v>4399</v>
      </c>
      <c r="M19" s="36">
        <v>5067</v>
      </c>
      <c r="N19" s="36">
        <v>5561</v>
      </c>
      <c r="O19" s="36">
        <v>5419</v>
      </c>
      <c r="P19" s="36">
        <v>5086</v>
      </c>
      <c r="Q19" s="36">
        <v>5000</v>
      </c>
      <c r="R19" s="36">
        <v>4978</v>
      </c>
      <c r="S19" s="36">
        <v>4878</v>
      </c>
      <c r="T19" s="36">
        <v>7231</v>
      </c>
      <c r="U19" s="36">
        <v>8123</v>
      </c>
      <c r="V19" s="36">
        <v>8505</v>
      </c>
      <c r="W19" s="36">
        <v>8054</v>
      </c>
      <c r="X19" s="36">
        <v>7563</v>
      </c>
      <c r="Y19" s="36">
        <v>6658</v>
      </c>
      <c r="Z19" s="37">
        <v>5761</v>
      </c>
      <c r="AA19" s="38">
        <f t="shared" si="0"/>
        <v>116888</v>
      </c>
      <c r="AB19" s="21">
        <v>4</v>
      </c>
      <c r="AC19" s="95"/>
      <c r="AD19" s="47"/>
    </row>
    <row r="20" spans="1:30" x14ac:dyDescent="0.25">
      <c r="A20" s="93"/>
      <c r="B20" s="22" t="s">
        <v>3</v>
      </c>
      <c r="C20" s="39">
        <v>3310</v>
      </c>
      <c r="D20" s="39">
        <v>2825</v>
      </c>
      <c r="E20" s="39">
        <v>2534</v>
      </c>
      <c r="F20" s="39">
        <v>2318</v>
      </c>
      <c r="G20" s="39">
        <v>2324</v>
      </c>
      <c r="H20" s="39">
        <v>2193</v>
      </c>
      <c r="I20" s="39">
        <v>1996</v>
      </c>
      <c r="J20" s="39">
        <v>1626</v>
      </c>
      <c r="K20" s="39">
        <v>2268</v>
      </c>
      <c r="L20" s="39">
        <v>3036</v>
      </c>
      <c r="M20" s="39">
        <v>3479</v>
      </c>
      <c r="N20" s="39">
        <v>3954</v>
      </c>
      <c r="O20" s="39">
        <v>4159</v>
      </c>
      <c r="P20" s="39">
        <v>4012</v>
      </c>
      <c r="Q20" s="39">
        <v>3823</v>
      </c>
      <c r="R20" s="39">
        <v>3762</v>
      </c>
      <c r="S20" s="39">
        <v>3694</v>
      </c>
      <c r="T20" s="39">
        <v>6041</v>
      </c>
      <c r="U20" s="39">
        <v>6970</v>
      </c>
      <c r="V20" s="39">
        <v>7721</v>
      </c>
      <c r="W20" s="39">
        <v>7575</v>
      </c>
      <c r="X20" s="39">
        <v>7192</v>
      </c>
      <c r="Y20" s="39">
        <v>6281</v>
      </c>
      <c r="Z20" s="40">
        <v>5286</v>
      </c>
      <c r="AA20" s="41">
        <f t="shared" si="0"/>
        <v>98379</v>
      </c>
      <c r="AB20" s="23">
        <v>8</v>
      </c>
      <c r="AC20" s="96"/>
      <c r="AD20" s="48"/>
    </row>
    <row r="21" spans="1:30" ht="15.75" thickBot="1" x14ac:dyDescent="0.3">
      <c r="A21" s="93">
        <v>48366</v>
      </c>
      <c r="B21" s="18" t="s">
        <v>5</v>
      </c>
      <c r="C21" s="33">
        <v>3002</v>
      </c>
      <c r="D21" s="33">
        <v>2625</v>
      </c>
      <c r="E21" s="33">
        <v>2392</v>
      </c>
      <c r="F21" s="33">
        <v>2306</v>
      </c>
      <c r="G21" s="33">
        <v>2429</v>
      </c>
      <c r="H21" s="33">
        <v>2742</v>
      </c>
      <c r="I21" s="33">
        <v>3064</v>
      </c>
      <c r="J21" s="33">
        <v>3110</v>
      </c>
      <c r="K21" s="33">
        <v>4019</v>
      </c>
      <c r="L21" s="33">
        <v>4864</v>
      </c>
      <c r="M21" s="33">
        <v>5586</v>
      </c>
      <c r="N21" s="33">
        <v>6205</v>
      </c>
      <c r="O21" s="33">
        <v>5741</v>
      </c>
      <c r="P21" s="33">
        <v>5604</v>
      </c>
      <c r="Q21" s="33">
        <v>6123</v>
      </c>
      <c r="R21" s="33">
        <v>6261</v>
      </c>
      <c r="S21" s="33">
        <v>6097</v>
      </c>
      <c r="T21" s="33">
        <v>8201</v>
      </c>
      <c r="U21" s="33">
        <v>8426</v>
      </c>
      <c r="V21" s="33">
        <v>8948</v>
      </c>
      <c r="W21" s="33">
        <v>8550</v>
      </c>
      <c r="X21" s="33">
        <v>7884</v>
      </c>
      <c r="Y21" s="33">
        <v>6711</v>
      </c>
      <c r="Z21" s="34">
        <v>5434</v>
      </c>
      <c r="AA21" s="35">
        <f t="shared" si="0"/>
        <v>126324</v>
      </c>
      <c r="AB21" s="19">
        <v>21</v>
      </c>
      <c r="AC21" s="94">
        <f>+AA21*AB21+AA22*AB22+AA23*AB23</f>
        <v>3670790</v>
      </c>
    </row>
    <row r="22" spans="1:30" ht="15.75" thickBot="1" x14ac:dyDescent="0.3">
      <c r="A22" s="93"/>
      <c r="B22" s="20" t="s">
        <v>4</v>
      </c>
      <c r="C22" s="36">
        <v>3231</v>
      </c>
      <c r="D22" s="36">
        <v>2810</v>
      </c>
      <c r="E22" s="36">
        <v>2507</v>
      </c>
      <c r="F22" s="36">
        <v>2393</v>
      </c>
      <c r="G22" s="36">
        <v>2484</v>
      </c>
      <c r="H22" s="36">
        <v>2534</v>
      </c>
      <c r="I22" s="36">
        <v>2645</v>
      </c>
      <c r="J22" s="36">
        <v>2688</v>
      </c>
      <c r="K22" s="36">
        <v>3634</v>
      </c>
      <c r="L22" s="36">
        <v>4566</v>
      </c>
      <c r="M22" s="36">
        <v>5223</v>
      </c>
      <c r="N22" s="36">
        <v>5759</v>
      </c>
      <c r="O22" s="36">
        <v>5619</v>
      </c>
      <c r="P22" s="36">
        <v>5359</v>
      </c>
      <c r="Q22" s="36">
        <v>5270</v>
      </c>
      <c r="R22" s="36">
        <v>5291</v>
      </c>
      <c r="S22" s="36">
        <v>5207</v>
      </c>
      <c r="T22" s="36">
        <v>7452</v>
      </c>
      <c r="U22" s="36">
        <v>8124</v>
      </c>
      <c r="V22" s="36">
        <v>8670</v>
      </c>
      <c r="W22" s="36">
        <v>8150</v>
      </c>
      <c r="X22" s="36">
        <v>7624</v>
      </c>
      <c r="Y22" s="36">
        <v>6735</v>
      </c>
      <c r="Z22" s="37">
        <v>5769</v>
      </c>
      <c r="AA22" s="38">
        <f t="shared" si="0"/>
        <v>119744</v>
      </c>
      <c r="AB22" s="21">
        <v>4</v>
      </c>
      <c r="AC22" s="95"/>
      <c r="AD22" s="47"/>
    </row>
    <row r="23" spans="1:30" x14ac:dyDescent="0.25">
      <c r="A23" s="93"/>
      <c r="B23" s="22" t="s">
        <v>3</v>
      </c>
      <c r="C23" s="39">
        <v>3476</v>
      </c>
      <c r="D23" s="39">
        <v>2984</v>
      </c>
      <c r="E23" s="39">
        <v>2667</v>
      </c>
      <c r="F23" s="39">
        <v>2473</v>
      </c>
      <c r="G23" s="39">
        <v>2472</v>
      </c>
      <c r="H23" s="39">
        <v>2426</v>
      </c>
      <c r="I23" s="39">
        <v>2449</v>
      </c>
      <c r="J23" s="39">
        <v>2144</v>
      </c>
      <c r="K23" s="39">
        <v>2833</v>
      </c>
      <c r="L23" s="39">
        <v>3632</v>
      </c>
      <c r="M23" s="39">
        <v>4114</v>
      </c>
      <c r="N23" s="39">
        <v>4651</v>
      </c>
      <c r="O23" s="39">
        <v>4733</v>
      </c>
      <c r="P23" s="39">
        <v>4594</v>
      </c>
      <c r="Q23" s="39">
        <v>4457</v>
      </c>
      <c r="R23" s="39">
        <v>4378</v>
      </c>
      <c r="S23" s="39">
        <v>4304</v>
      </c>
      <c r="T23" s="39">
        <v>6650</v>
      </c>
      <c r="U23" s="39">
        <v>7173</v>
      </c>
      <c r="V23" s="39">
        <v>8037</v>
      </c>
      <c r="W23" s="39">
        <v>7882</v>
      </c>
      <c r="X23" s="39">
        <v>7400</v>
      </c>
      <c r="Y23" s="39">
        <v>6445</v>
      </c>
      <c r="Z23" s="40">
        <v>5428</v>
      </c>
      <c r="AA23" s="41">
        <f t="shared" si="0"/>
        <v>107802</v>
      </c>
      <c r="AB23" s="23">
        <v>5</v>
      </c>
      <c r="AC23" s="96"/>
      <c r="AD23" s="48"/>
    </row>
    <row r="24" spans="1:30" ht="15.75" thickBot="1" x14ac:dyDescent="0.3">
      <c r="A24" s="93">
        <v>48396</v>
      </c>
      <c r="B24" s="18" t="s">
        <v>5</v>
      </c>
      <c r="C24" s="33">
        <v>3229</v>
      </c>
      <c r="D24" s="33">
        <v>2842</v>
      </c>
      <c r="E24" s="33">
        <v>2595</v>
      </c>
      <c r="F24" s="33">
        <v>2483</v>
      </c>
      <c r="G24" s="33">
        <v>2563</v>
      </c>
      <c r="H24" s="33">
        <v>2896</v>
      </c>
      <c r="I24" s="33">
        <v>3103</v>
      </c>
      <c r="J24" s="33">
        <v>3209</v>
      </c>
      <c r="K24" s="33">
        <v>4184</v>
      </c>
      <c r="L24" s="33">
        <v>5081</v>
      </c>
      <c r="M24" s="33">
        <v>5842</v>
      </c>
      <c r="N24" s="33">
        <v>6457</v>
      </c>
      <c r="O24" s="33">
        <v>5931</v>
      </c>
      <c r="P24" s="33">
        <v>5845</v>
      </c>
      <c r="Q24" s="33">
        <v>6483</v>
      </c>
      <c r="R24" s="33">
        <v>6644</v>
      </c>
      <c r="S24" s="33">
        <v>6494</v>
      </c>
      <c r="T24" s="33">
        <v>8473</v>
      </c>
      <c r="U24" s="33">
        <v>8449</v>
      </c>
      <c r="V24" s="33">
        <v>9048</v>
      </c>
      <c r="W24" s="33">
        <v>8681</v>
      </c>
      <c r="X24" s="33">
        <v>8105</v>
      </c>
      <c r="Y24" s="33">
        <v>6937</v>
      </c>
      <c r="Z24" s="34">
        <v>5696</v>
      </c>
      <c r="AA24" s="35">
        <f t="shared" si="0"/>
        <v>131270</v>
      </c>
      <c r="AB24" s="19">
        <v>20</v>
      </c>
      <c r="AC24" s="94">
        <f>+AA24*AB24+AA25*AB25+AA26*AB26</f>
        <v>3827288</v>
      </c>
    </row>
    <row r="25" spans="1:30" ht="15.75" thickBot="1" x14ac:dyDescent="0.3">
      <c r="A25" s="93"/>
      <c r="B25" s="20" t="s">
        <v>4</v>
      </c>
      <c r="C25" s="36">
        <v>3264</v>
      </c>
      <c r="D25" s="36">
        <v>2834</v>
      </c>
      <c r="E25" s="36">
        <v>2528</v>
      </c>
      <c r="F25" s="36">
        <v>2372</v>
      </c>
      <c r="G25" s="36">
        <v>2458</v>
      </c>
      <c r="H25" s="36">
        <v>2558</v>
      </c>
      <c r="I25" s="36">
        <v>2586</v>
      </c>
      <c r="J25" s="36">
        <v>2598</v>
      </c>
      <c r="K25" s="36">
        <v>3570</v>
      </c>
      <c r="L25" s="36">
        <v>4534</v>
      </c>
      <c r="M25" s="36">
        <v>5160</v>
      </c>
      <c r="N25" s="36">
        <v>5666</v>
      </c>
      <c r="O25" s="36">
        <v>5497</v>
      </c>
      <c r="P25" s="36">
        <v>5180</v>
      </c>
      <c r="Q25" s="36">
        <v>5099</v>
      </c>
      <c r="R25" s="36">
        <v>5110</v>
      </c>
      <c r="S25" s="36">
        <v>5061</v>
      </c>
      <c r="T25" s="36">
        <v>7289</v>
      </c>
      <c r="U25" s="36">
        <v>7807</v>
      </c>
      <c r="V25" s="36">
        <v>8446</v>
      </c>
      <c r="W25" s="36">
        <v>7996</v>
      </c>
      <c r="X25" s="36">
        <v>7492</v>
      </c>
      <c r="Y25" s="36">
        <v>6649</v>
      </c>
      <c r="Z25" s="37">
        <v>5704</v>
      </c>
      <c r="AA25" s="38">
        <f t="shared" si="0"/>
        <v>117458</v>
      </c>
      <c r="AB25" s="21">
        <v>5</v>
      </c>
      <c r="AC25" s="95"/>
      <c r="AD25" s="47"/>
    </row>
    <row r="26" spans="1:30" x14ac:dyDescent="0.25">
      <c r="A26" s="93"/>
      <c r="B26" s="22" t="s">
        <v>3</v>
      </c>
      <c r="C26" s="39">
        <v>3404</v>
      </c>
      <c r="D26" s="39">
        <v>2968</v>
      </c>
      <c r="E26" s="39">
        <v>2649</v>
      </c>
      <c r="F26" s="39">
        <v>2410</v>
      </c>
      <c r="G26" s="39">
        <v>2385</v>
      </c>
      <c r="H26" s="39">
        <v>2328</v>
      </c>
      <c r="I26" s="39">
        <v>2174</v>
      </c>
      <c r="J26" s="39">
        <v>1811</v>
      </c>
      <c r="K26" s="39">
        <v>2475</v>
      </c>
      <c r="L26" s="39">
        <v>3286</v>
      </c>
      <c r="M26" s="39">
        <v>3811</v>
      </c>
      <c r="N26" s="39">
        <v>4308</v>
      </c>
      <c r="O26" s="39">
        <v>4512</v>
      </c>
      <c r="P26" s="39">
        <v>4314</v>
      </c>
      <c r="Q26" s="39">
        <v>4033</v>
      </c>
      <c r="R26" s="39">
        <v>3903</v>
      </c>
      <c r="S26" s="39">
        <v>3901</v>
      </c>
      <c r="T26" s="39">
        <v>6278</v>
      </c>
      <c r="U26" s="39">
        <v>6815</v>
      </c>
      <c r="V26" s="39">
        <v>7832</v>
      </c>
      <c r="W26" s="39">
        <v>7766</v>
      </c>
      <c r="X26" s="39">
        <v>7320</v>
      </c>
      <c r="Y26" s="39">
        <v>6403</v>
      </c>
      <c r="Z26" s="40">
        <v>5347</v>
      </c>
      <c r="AA26" s="41">
        <f t="shared" si="0"/>
        <v>102433</v>
      </c>
      <c r="AB26" s="23">
        <v>6</v>
      </c>
      <c r="AC26" s="96"/>
      <c r="AD26" s="48"/>
    </row>
    <row r="27" spans="1:30" ht="15.75" thickBot="1" x14ac:dyDescent="0.3">
      <c r="A27" s="93">
        <v>48427</v>
      </c>
      <c r="B27" s="18" t="s">
        <v>5</v>
      </c>
      <c r="C27" s="33">
        <v>3326</v>
      </c>
      <c r="D27" s="33">
        <v>2901</v>
      </c>
      <c r="E27" s="33">
        <v>2647</v>
      </c>
      <c r="F27" s="33">
        <v>2525</v>
      </c>
      <c r="G27" s="33">
        <v>2635</v>
      </c>
      <c r="H27" s="33">
        <v>3113</v>
      </c>
      <c r="I27" s="33">
        <v>3284</v>
      </c>
      <c r="J27" s="33">
        <v>3369</v>
      </c>
      <c r="K27" s="33">
        <v>4371</v>
      </c>
      <c r="L27" s="33">
        <v>5245</v>
      </c>
      <c r="M27" s="33">
        <v>6028</v>
      </c>
      <c r="N27" s="33">
        <v>6679</v>
      </c>
      <c r="O27" s="33">
        <v>6100</v>
      </c>
      <c r="P27" s="33">
        <v>6056</v>
      </c>
      <c r="Q27" s="33">
        <v>6768</v>
      </c>
      <c r="R27" s="33">
        <v>6962</v>
      </c>
      <c r="S27" s="33">
        <v>6843</v>
      </c>
      <c r="T27" s="33">
        <v>8748</v>
      </c>
      <c r="U27" s="33">
        <v>8849</v>
      </c>
      <c r="V27" s="33">
        <v>9234</v>
      </c>
      <c r="W27" s="33">
        <v>8834</v>
      </c>
      <c r="X27" s="33">
        <v>8252</v>
      </c>
      <c r="Y27" s="33">
        <v>7063</v>
      </c>
      <c r="Z27" s="34">
        <v>5771</v>
      </c>
      <c r="AA27" s="35">
        <f t="shared" si="0"/>
        <v>135603</v>
      </c>
      <c r="AB27" s="19">
        <v>21</v>
      </c>
      <c r="AC27" s="94">
        <f>+AA27*AB27+AA28*AB28+AA29*AB29</f>
        <v>3948221</v>
      </c>
    </row>
    <row r="28" spans="1:30" ht="15.75" thickBot="1" x14ac:dyDescent="0.3">
      <c r="A28" s="93"/>
      <c r="B28" s="20" t="s">
        <v>4</v>
      </c>
      <c r="C28" s="36">
        <v>3538</v>
      </c>
      <c r="D28" s="36">
        <v>3095</v>
      </c>
      <c r="E28" s="36">
        <v>2784</v>
      </c>
      <c r="F28" s="36">
        <v>2603</v>
      </c>
      <c r="G28" s="36">
        <v>2653</v>
      </c>
      <c r="H28" s="36">
        <v>2772</v>
      </c>
      <c r="I28" s="36">
        <v>2939</v>
      </c>
      <c r="J28" s="36">
        <v>2938</v>
      </c>
      <c r="K28" s="36">
        <v>4000</v>
      </c>
      <c r="L28" s="36">
        <v>4958</v>
      </c>
      <c r="M28" s="36">
        <v>5581</v>
      </c>
      <c r="N28" s="36">
        <v>6166</v>
      </c>
      <c r="O28" s="36">
        <v>6041</v>
      </c>
      <c r="P28" s="36">
        <v>5625</v>
      </c>
      <c r="Q28" s="36">
        <v>5683</v>
      </c>
      <c r="R28" s="36">
        <v>5625</v>
      </c>
      <c r="S28" s="36">
        <v>5509</v>
      </c>
      <c r="T28" s="36">
        <v>7769</v>
      </c>
      <c r="U28" s="36">
        <v>8245</v>
      </c>
      <c r="V28" s="36">
        <v>8793</v>
      </c>
      <c r="W28" s="36">
        <v>8269</v>
      </c>
      <c r="X28" s="36">
        <v>7721</v>
      </c>
      <c r="Y28" s="36">
        <v>6879</v>
      </c>
      <c r="Z28" s="37">
        <v>5890</v>
      </c>
      <c r="AA28" s="38">
        <f t="shared" si="0"/>
        <v>126076</v>
      </c>
      <c r="AB28" s="21">
        <v>3</v>
      </c>
      <c r="AC28" s="95"/>
      <c r="AD28" s="47"/>
    </row>
    <row r="29" spans="1:30" x14ac:dyDescent="0.25">
      <c r="A29" s="93"/>
      <c r="B29" s="22" t="s">
        <v>3</v>
      </c>
      <c r="C29" s="39">
        <v>3511</v>
      </c>
      <c r="D29" s="39">
        <v>3039</v>
      </c>
      <c r="E29" s="39">
        <v>2682</v>
      </c>
      <c r="F29" s="39">
        <v>2473</v>
      </c>
      <c r="G29" s="39">
        <v>2459</v>
      </c>
      <c r="H29" s="39">
        <v>2443</v>
      </c>
      <c r="I29" s="39">
        <v>2092</v>
      </c>
      <c r="J29" s="39">
        <v>1787</v>
      </c>
      <c r="K29" s="39">
        <v>2425</v>
      </c>
      <c r="L29" s="39">
        <v>3240</v>
      </c>
      <c r="M29" s="39">
        <v>3774</v>
      </c>
      <c r="N29" s="39">
        <v>4279</v>
      </c>
      <c r="O29" s="39">
        <v>4433</v>
      </c>
      <c r="P29" s="39">
        <v>4287</v>
      </c>
      <c r="Q29" s="39">
        <v>4011</v>
      </c>
      <c r="R29" s="39">
        <v>3955</v>
      </c>
      <c r="S29" s="39">
        <v>3916</v>
      </c>
      <c r="T29" s="39">
        <v>6246</v>
      </c>
      <c r="U29" s="39">
        <v>7014</v>
      </c>
      <c r="V29" s="39">
        <v>7958</v>
      </c>
      <c r="W29" s="39">
        <v>7846</v>
      </c>
      <c r="X29" s="39">
        <v>7445</v>
      </c>
      <c r="Y29" s="39">
        <v>6482</v>
      </c>
      <c r="Z29" s="40">
        <v>5393</v>
      </c>
      <c r="AA29" s="41">
        <f t="shared" si="0"/>
        <v>103190</v>
      </c>
      <c r="AB29" s="23">
        <v>7</v>
      </c>
      <c r="AC29" s="96"/>
      <c r="AD29" s="49"/>
    </row>
    <row r="30" spans="1:30" ht="15.75" thickBot="1" x14ac:dyDescent="0.3">
      <c r="A30" s="93">
        <v>48458</v>
      </c>
      <c r="B30" s="18" t="s">
        <v>5</v>
      </c>
      <c r="C30" s="33">
        <v>3401</v>
      </c>
      <c r="D30" s="33">
        <v>2967</v>
      </c>
      <c r="E30" s="33">
        <v>2742</v>
      </c>
      <c r="F30" s="33">
        <v>2638</v>
      </c>
      <c r="G30" s="33">
        <v>2737</v>
      </c>
      <c r="H30" s="33">
        <v>3145</v>
      </c>
      <c r="I30" s="33">
        <v>3374</v>
      </c>
      <c r="J30" s="33">
        <v>3438</v>
      </c>
      <c r="K30" s="33">
        <v>4446</v>
      </c>
      <c r="L30" s="33">
        <v>5336</v>
      </c>
      <c r="M30" s="33">
        <v>6106</v>
      </c>
      <c r="N30" s="33">
        <v>6761</v>
      </c>
      <c r="O30" s="33">
        <v>6182</v>
      </c>
      <c r="P30" s="33">
        <v>6165</v>
      </c>
      <c r="Q30" s="33">
        <v>6851</v>
      </c>
      <c r="R30" s="33">
        <v>7011</v>
      </c>
      <c r="S30" s="33">
        <v>6870</v>
      </c>
      <c r="T30" s="33">
        <v>8834</v>
      </c>
      <c r="U30" s="33">
        <v>9280</v>
      </c>
      <c r="V30" s="33">
        <v>9309</v>
      </c>
      <c r="W30" s="33">
        <v>8887</v>
      </c>
      <c r="X30" s="33">
        <v>8271</v>
      </c>
      <c r="Y30" s="33">
        <v>7064</v>
      </c>
      <c r="Z30" s="34">
        <v>5823</v>
      </c>
      <c r="AA30" s="35">
        <f t="shared" si="0"/>
        <v>137638</v>
      </c>
      <c r="AB30" s="19">
        <v>22</v>
      </c>
      <c r="AC30" s="94">
        <f>+AA30*AB30+AA31*AB31+AA32*AB32</f>
        <v>3945084</v>
      </c>
    </row>
    <row r="31" spans="1:30" ht="15.75" thickBot="1" x14ac:dyDescent="0.3">
      <c r="A31" s="93"/>
      <c r="B31" s="20" t="s">
        <v>4</v>
      </c>
      <c r="C31" s="36">
        <v>3485</v>
      </c>
      <c r="D31" s="36">
        <v>3027</v>
      </c>
      <c r="E31" s="36">
        <v>2746</v>
      </c>
      <c r="F31" s="36">
        <v>2579</v>
      </c>
      <c r="G31" s="36">
        <v>2617</v>
      </c>
      <c r="H31" s="36">
        <v>2620</v>
      </c>
      <c r="I31" s="36">
        <v>2799</v>
      </c>
      <c r="J31" s="36">
        <v>2831</v>
      </c>
      <c r="K31" s="36">
        <v>3963</v>
      </c>
      <c r="L31" s="36">
        <v>4943</v>
      </c>
      <c r="M31" s="36">
        <v>5630</v>
      </c>
      <c r="N31" s="36">
        <v>6098</v>
      </c>
      <c r="O31" s="36">
        <v>5967</v>
      </c>
      <c r="P31" s="36">
        <v>5597</v>
      </c>
      <c r="Q31" s="36">
        <v>5550</v>
      </c>
      <c r="R31" s="36">
        <v>5569</v>
      </c>
      <c r="S31" s="36">
        <v>5506</v>
      </c>
      <c r="T31" s="36">
        <v>7793</v>
      </c>
      <c r="U31" s="36">
        <v>8716</v>
      </c>
      <c r="V31" s="36">
        <v>8797</v>
      </c>
      <c r="W31" s="36">
        <v>8242</v>
      </c>
      <c r="X31" s="36">
        <v>7718</v>
      </c>
      <c r="Y31" s="36">
        <v>6832</v>
      </c>
      <c r="Z31" s="37">
        <v>5912</v>
      </c>
      <c r="AA31" s="38">
        <f t="shared" si="0"/>
        <v>125537</v>
      </c>
      <c r="AB31" s="21">
        <v>4</v>
      </c>
      <c r="AC31" s="95"/>
      <c r="AD31" s="47"/>
    </row>
    <row r="32" spans="1:30" x14ac:dyDescent="0.25">
      <c r="A32" s="93"/>
      <c r="B32" s="22" t="s">
        <v>3</v>
      </c>
      <c r="C32" s="39">
        <v>3547</v>
      </c>
      <c r="D32" s="39">
        <v>3091</v>
      </c>
      <c r="E32" s="39">
        <v>2741</v>
      </c>
      <c r="F32" s="39">
        <v>2536</v>
      </c>
      <c r="G32" s="39">
        <v>2502</v>
      </c>
      <c r="H32" s="39">
        <v>2373</v>
      </c>
      <c r="I32" s="39">
        <v>2257</v>
      </c>
      <c r="J32" s="39">
        <v>1880</v>
      </c>
      <c r="K32" s="39">
        <v>2531</v>
      </c>
      <c r="L32" s="39">
        <v>3322</v>
      </c>
      <c r="M32" s="39">
        <v>3828</v>
      </c>
      <c r="N32" s="39">
        <v>4303</v>
      </c>
      <c r="O32" s="39">
        <v>4499</v>
      </c>
      <c r="P32" s="39">
        <v>4323</v>
      </c>
      <c r="Q32" s="39">
        <v>4073</v>
      </c>
      <c r="R32" s="39">
        <v>3960</v>
      </c>
      <c r="S32" s="39">
        <v>3906</v>
      </c>
      <c r="T32" s="39">
        <v>6308</v>
      </c>
      <c r="U32" s="39">
        <v>7338</v>
      </c>
      <c r="V32" s="39">
        <v>7837</v>
      </c>
      <c r="W32" s="39">
        <v>7711</v>
      </c>
      <c r="X32" s="39">
        <v>7275</v>
      </c>
      <c r="Y32" s="39">
        <v>6296</v>
      </c>
      <c r="Z32" s="40">
        <v>5288</v>
      </c>
      <c r="AA32" s="41">
        <f t="shared" si="0"/>
        <v>103725</v>
      </c>
      <c r="AB32" s="23">
        <v>4</v>
      </c>
      <c r="AC32" s="96"/>
      <c r="AD32" s="48"/>
    </row>
    <row r="33" spans="1:30" ht="15.75" thickBot="1" x14ac:dyDescent="0.3">
      <c r="A33" s="93">
        <v>48488</v>
      </c>
      <c r="B33" s="18" t="s">
        <v>5</v>
      </c>
      <c r="C33" s="33">
        <v>3025</v>
      </c>
      <c r="D33" s="33">
        <v>2629</v>
      </c>
      <c r="E33" s="33">
        <v>2423</v>
      </c>
      <c r="F33" s="33">
        <v>2336</v>
      </c>
      <c r="G33" s="33">
        <v>2446</v>
      </c>
      <c r="H33" s="33">
        <v>2760</v>
      </c>
      <c r="I33" s="33">
        <v>3078</v>
      </c>
      <c r="J33" s="33">
        <v>3144</v>
      </c>
      <c r="K33" s="33">
        <v>4096</v>
      </c>
      <c r="L33" s="33">
        <v>4933</v>
      </c>
      <c r="M33" s="33">
        <v>5692</v>
      </c>
      <c r="N33" s="33">
        <v>6301</v>
      </c>
      <c r="O33" s="33">
        <v>5759</v>
      </c>
      <c r="P33" s="33">
        <v>5717</v>
      </c>
      <c r="Q33" s="33">
        <v>6328</v>
      </c>
      <c r="R33" s="33">
        <v>6440</v>
      </c>
      <c r="S33" s="33">
        <v>6286</v>
      </c>
      <c r="T33" s="33">
        <v>8450</v>
      </c>
      <c r="U33" s="33">
        <v>9131</v>
      </c>
      <c r="V33" s="33">
        <v>8832</v>
      </c>
      <c r="W33" s="33">
        <v>8377</v>
      </c>
      <c r="X33" s="33">
        <v>7740</v>
      </c>
      <c r="Y33" s="33">
        <v>6582</v>
      </c>
      <c r="Z33" s="34">
        <v>5382</v>
      </c>
      <c r="AA33" s="35">
        <f t="shared" si="0"/>
        <v>127887</v>
      </c>
      <c r="AB33" s="19">
        <v>20</v>
      </c>
      <c r="AC33" s="94">
        <f>+AA33*AB33+AA34*AB34+AA35*AB35</f>
        <v>3759663</v>
      </c>
    </row>
    <row r="34" spans="1:30" ht="15.75" thickBot="1" x14ac:dyDescent="0.3">
      <c r="A34" s="93"/>
      <c r="B34" s="20" t="s">
        <v>4</v>
      </c>
      <c r="C34" s="36">
        <v>3341</v>
      </c>
      <c r="D34" s="36">
        <v>2907</v>
      </c>
      <c r="E34" s="36">
        <v>2631</v>
      </c>
      <c r="F34" s="36">
        <v>2464</v>
      </c>
      <c r="G34" s="36">
        <v>2534</v>
      </c>
      <c r="H34" s="36">
        <v>2493</v>
      </c>
      <c r="I34" s="36">
        <v>2692</v>
      </c>
      <c r="J34" s="36">
        <v>2739</v>
      </c>
      <c r="K34" s="36">
        <v>3764</v>
      </c>
      <c r="L34" s="36">
        <v>4691</v>
      </c>
      <c r="M34" s="36">
        <v>5372</v>
      </c>
      <c r="N34" s="36">
        <v>5867</v>
      </c>
      <c r="O34" s="36">
        <v>5704</v>
      </c>
      <c r="P34" s="36">
        <v>5299</v>
      </c>
      <c r="Q34" s="36">
        <v>5249</v>
      </c>
      <c r="R34" s="36">
        <v>5207</v>
      </c>
      <c r="S34" s="36">
        <v>5064</v>
      </c>
      <c r="T34" s="36">
        <v>7595</v>
      </c>
      <c r="U34" s="36">
        <v>8748</v>
      </c>
      <c r="V34" s="36">
        <v>8589</v>
      </c>
      <c r="W34" s="36">
        <v>8063</v>
      </c>
      <c r="X34" s="36">
        <v>7512</v>
      </c>
      <c r="Y34" s="36">
        <v>6639</v>
      </c>
      <c r="Z34" s="37">
        <v>5715</v>
      </c>
      <c r="AA34" s="38">
        <f t="shared" si="0"/>
        <v>120879</v>
      </c>
      <c r="AB34" s="21">
        <v>5</v>
      </c>
      <c r="AC34" s="95"/>
      <c r="AD34" s="47"/>
    </row>
    <row r="35" spans="1:30" x14ac:dyDescent="0.25">
      <c r="A35" s="93"/>
      <c r="B35" s="22" t="s">
        <v>3</v>
      </c>
      <c r="C35" s="39">
        <v>3332</v>
      </c>
      <c r="D35" s="39">
        <v>2864</v>
      </c>
      <c r="E35" s="39">
        <v>2589</v>
      </c>
      <c r="F35" s="39">
        <v>2347</v>
      </c>
      <c r="G35" s="39">
        <v>2330</v>
      </c>
      <c r="H35" s="39">
        <v>2158</v>
      </c>
      <c r="I35" s="39">
        <v>2084</v>
      </c>
      <c r="J35" s="39">
        <v>1694</v>
      </c>
      <c r="K35" s="39">
        <v>2304</v>
      </c>
      <c r="L35" s="39">
        <v>3132</v>
      </c>
      <c r="M35" s="39">
        <v>3635</v>
      </c>
      <c r="N35" s="39">
        <v>4099</v>
      </c>
      <c r="O35" s="39">
        <v>4278</v>
      </c>
      <c r="P35" s="39">
        <v>4116</v>
      </c>
      <c r="Q35" s="39">
        <v>3849</v>
      </c>
      <c r="R35" s="39">
        <v>3715</v>
      </c>
      <c r="S35" s="39">
        <v>3697</v>
      </c>
      <c r="T35" s="39">
        <v>6251</v>
      </c>
      <c r="U35" s="39">
        <v>7466</v>
      </c>
      <c r="V35" s="39">
        <v>7679</v>
      </c>
      <c r="W35" s="39">
        <v>7512</v>
      </c>
      <c r="X35" s="39">
        <v>7093</v>
      </c>
      <c r="Y35" s="39">
        <v>6183</v>
      </c>
      <c r="Z35" s="40">
        <v>5181</v>
      </c>
      <c r="AA35" s="41">
        <f t="shared" si="0"/>
        <v>99588</v>
      </c>
      <c r="AB35" s="23">
        <v>6</v>
      </c>
      <c r="AC35" s="96"/>
      <c r="AD35" s="48"/>
    </row>
    <row r="36" spans="1:30" ht="15.75" thickBot="1" x14ac:dyDescent="0.3">
      <c r="A36" s="93">
        <v>48519</v>
      </c>
      <c r="B36" s="18" t="s">
        <v>5</v>
      </c>
      <c r="C36" s="33">
        <v>2885</v>
      </c>
      <c r="D36" s="33">
        <v>2521</v>
      </c>
      <c r="E36" s="33">
        <v>2314</v>
      </c>
      <c r="F36" s="33">
        <v>2214</v>
      </c>
      <c r="G36" s="33">
        <v>2331</v>
      </c>
      <c r="H36" s="33">
        <v>2688</v>
      </c>
      <c r="I36" s="33">
        <v>3115</v>
      </c>
      <c r="J36" s="33">
        <v>3166</v>
      </c>
      <c r="K36" s="33">
        <v>4087</v>
      </c>
      <c r="L36" s="33">
        <v>4893</v>
      </c>
      <c r="M36" s="33">
        <v>5611</v>
      </c>
      <c r="N36" s="33">
        <v>6209</v>
      </c>
      <c r="O36" s="33">
        <v>5673</v>
      </c>
      <c r="P36" s="33">
        <v>5612</v>
      </c>
      <c r="Q36" s="33">
        <v>6207</v>
      </c>
      <c r="R36" s="33">
        <v>6335</v>
      </c>
      <c r="S36" s="33">
        <v>6176</v>
      </c>
      <c r="T36" s="33">
        <v>8455</v>
      </c>
      <c r="U36" s="33">
        <v>9071</v>
      </c>
      <c r="V36" s="33">
        <v>8746</v>
      </c>
      <c r="W36" s="33">
        <v>8292</v>
      </c>
      <c r="X36" s="33">
        <v>7634</v>
      </c>
      <c r="Y36" s="33">
        <v>6469</v>
      </c>
      <c r="Z36" s="34">
        <v>5234</v>
      </c>
      <c r="AA36" s="35">
        <f t="shared" si="0"/>
        <v>125938</v>
      </c>
      <c r="AB36" s="19">
        <v>20</v>
      </c>
      <c r="AC36" s="94">
        <f>+AA36*AB36+AA37*AB37+AA38*AB38</f>
        <v>3572944</v>
      </c>
    </row>
    <row r="37" spans="1:30" ht="15.75" thickBot="1" x14ac:dyDescent="0.3">
      <c r="A37" s="93"/>
      <c r="B37" s="20" t="s">
        <v>4</v>
      </c>
      <c r="C37" s="36">
        <v>2944</v>
      </c>
      <c r="D37" s="36">
        <v>2520</v>
      </c>
      <c r="E37" s="36">
        <v>2255</v>
      </c>
      <c r="F37" s="36">
        <v>2124</v>
      </c>
      <c r="G37" s="36">
        <v>2177</v>
      </c>
      <c r="H37" s="36">
        <v>2206</v>
      </c>
      <c r="I37" s="36">
        <v>2599</v>
      </c>
      <c r="J37" s="36">
        <v>2596</v>
      </c>
      <c r="K37" s="36">
        <v>3580</v>
      </c>
      <c r="L37" s="36">
        <v>4447</v>
      </c>
      <c r="M37" s="36">
        <v>5064</v>
      </c>
      <c r="N37" s="36">
        <v>5560</v>
      </c>
      <c r="O37" s="36">
        <v>5427</v>
      </c>
      <c r="P37" s="36">
        <v>5138</v>
      </c>
      <c r="Q37" s="36">
        <v>5064</v>
      </c>
      <c r="R37" s="36">
        <v>5099</v>
      </c>
      <c r="S37" s="36">
        <v>4988</v>
      </c>
      <c r="T37" s="36">
        <v>7473</v>
      </c>
      <c r="U37" s="36">
        <v>8527</v>
      </c>
      <c r="V37" s="36">
        <v>8374</v>
      </c>
      <c r="W37" s="36">
        <v>7838</v>
      </c>
      <c r="X37" s="36">
        <v>7279</v>
      </c>
      <c r="Y37" s="36">
        <v>6431</v>
      </c>
      <c r="Z37" s="37">
        <v>5474</v>
      </c>
      <c r="AA37" s="38">
        <f t="shared" si="0"/>
        <v>115184</v>
      </c>
      <c r="AB37" s="21">
        <v>4</v>
      </c>
      <c r="AC37" s="95"/>
      <c r="AD37" s="47"/>
    </row>
    <row r="38" spans="1:30" x14ac:dyDescent="0.25">
      <c r="A38" s="93"/>
      <c r="B38" s="22" t="s">
        <v>3</v>
      </c>
      <c r="C38" s="39">
        <v>3117</v>
      </c>
      <c r="D38" s="39">
        <v>2711</v>
      </c>
      <c r="E38" s="39">
        <v>2377</v>
      </c>
      <c r="F38" s="39">
        <v>2152</v>
      </c>
      <c r="G38" s="39">
        <v>2138</v>
      </c>
      <c r="H38" s="39">
        <v>2023</v>
      </c>
      <c r="I38" s="39">
        <v>2034</v>
      </c>
      <c r="J38" s="39">
        <v>1696</v>
      </c>
      <c r="K38" s="39">
        <v>2369</v>
      </c>
      <c r="L38" s="39">
        <v>3201</v>
      </c>
      <c r="M38" s="39">
        <v>3729</v>
      </c>
      <c r="N38" s="39">
        <v>4186</v>
      </c>
      <c r="O38" s="39">
        <v>4398</v>
      </c>
      <c r="P38" s="39">
        <v>4255</v>
      </c>
      <c r="Q38" s="39">
        <v>3948</v>
      </c>
      <c r="R38" s="39">
        <v>3811</v>
      </c>
      <c r="S38" s="39">
        <v>3745</v>
      </c>
      <c r="T38" s="39">
        <v>6267</v>
      </c>
      <c r="U38" s="39">
        <v>7473</v>
      </c>
      <c r="V38" s="39">
        <v>7561</v>
      </c>
      <c r="W38" s="39">
        <v>7442</v>
      </c>
      <c r="X38" s="39">
        <v>6989</v>
      </c>
      <c r="Y38" s="39">
        <v>6128</v>
      </c>
      <c r="Z38" s="40">
        <v>5158</v>
      </c>
      <c r="AA38" s="41">
        <f t="shared" si="0"/>
        <v>98908</v>
      </c>
      <c r="AB38" s="23">
        <v>6</v>
      </c>
      <c r="AC38" s="96"/>
      <c r="AD38" s="49"/>
    </row>
    <row r="39" spans="1:30" ht="15.75" thickBot="1" x14ac:dyDescent="0.3">
      <c r="A39" s="93">
        <v>48549</v>
      </c>
      <c r="B39" s="18" t="s">
        <v>5</v>
      </c>
      <c r="C39" s="33">
        <v>3171</v>
      </c>
      <c r="D39" s="33">
        <v>2746</v>
      </c>
      <c r="E39" s="33">
        <v>2467</v>
      </c>
      <c r="F39" s="33">
        <v>2344</v>
      </c>
      <c r="G39" s="33">
        <v>2432</v>
      </c>
      <c r="H39" s="33">
        <v>2704</v>
      </c>
      <c r="I39" s="33">
        <v>3128</v>
      </c>
      <c r="J39" s="33">
        <v>3248</v>
      </c>
      <c r="K39" s="33">
        <v>4369</v>
      </c>
      <c r="L39" s="33">
        <v>5281</v>
      </c>
      <c r="M39" s="33">
        <v>6070</v>
      </c>
      <c r="N39" s="33">
        <v>6713</v>
      </c>
      <c r="O39" s="33">
        <v>6315</v>
      </c>
      <c r="P39" s="33">
        <v>6235</v>
      </c>
      <c r="Q39" s="33">
        <v>6759</v>
      </c>
      <c r="R39" s="33">
        <v>6824</v>
      </c>
      <c r="S39" s="33">
        <v>6627</v>
      </c>
      <c r="T39" s="33">
        <v>8687</v>
      </c>
      <c r="U39" s="33">
        <v>9236</v>
      </c>
      <c r="V39" s="33">
        <v>9265</v>
      </c>
      <c r="W39" s="33">
        <v>8719</v>
      </c>
      <c r="X39" s="33">
        <v>8040</v>
      </c>
      <c r="Y39" s="33">
        <v>6930</v>
      </c>
      <c r="Z39" s="34">
        <v>5717</v>
      </c>
      <c r="AA39" s="35">
        <f t="shared" si="0"/>
        <v>134027</v>
      </c>
      <c r="AB39" s="19">
        <v>22</v>
      </c>
      <c r="AC39" s="94">
        <f>+AA39*AB39+AA40*AB40+AA41*AB41</f>
        <v>3923561</v>
      </c>
    </row>
    <row r="40" spans="1:30" ht="15.75" thickBot="1" x14ac:dyDescent="0.3">
      <c r="A40" s="93"/>
      <c r="B40" s="20" t="s">
        <v>4</v>
      </c>
      <c r="C40" s="36">
        <v>3355</v>
      </c>
      <c r="D40" s="36">
        <v>2833</v>
      </c>
      <c r="E40" s="36">
        <v>2538</v>
      </c>
      <c r="F40" s="36">
        <v>2391</v>
      </c>
      <c r="G40" s="36">
        <v>2439</v>
      </c>
      <c r="H40" s="36">
        <v>2576</v>
      </c>
      <c r="I40" s="36">
        <v>2841</v>
      </c>
      <c r="J40" s="36">
        <v>2806</v>
      </c>
      <c r="K40" s="36">
        <v>3813</v>
      </c>
      <c r="L40" s="36">
        <v>4688</v>
      </c>
      <c r="M40" s="36">
        <v>5411</v>
      </c>
      <c r="N40" s="36">
        <v>5908</v>
      </c>
      <c r="O40" s="36">
        <v>5706</v>
      </c>
      <c r="P40" s="36">
        <v>5392</v>
      </c>
      <c r="Q40" s="36">
        <v>5355</v>
      </c>
      <c r="R40" s="36">
        <v>5258</v>
      </c>
      <c r="S40" s="36">
        <v>5164</v>
      </c>
      <c r="T40" s="36">
        <v>7596</v>
      </c>
      <c r="U40" s="36">
        <v>8564</v>
      </c>
      <c r="V40" s="36">
        <v>8680</v>
      </c>
      <c r="W40" s="36">
        <v>8172</v>
      </c>
      <c r="X40" s="36">
        <v>7512</v>
      </c>
      <c r="Y40" s="36">
        <v>6638</v>
      </c>
      <c r="Z40" s="37">
        <v>5693</v>
      </c>
      <c r="AA40" s="38">
        <f t="shared" si="0"/>
        <v>121329</v>
      </c>
      <c r="AB40" s="21">
        <v>3</v>
      </c>
      <c r="AC40" s="95"/>
      <c r="AD40" s="47"/>
    </row>
    <row r="41" spans="1:30" x14ac:dyDescent="0.25">
      <c r="A41" s="93"/>
      <c r="B41" s="22" t="s">
        <v>3</v>
      </c>
      <c r="C41" s="39">
        <v>3249</v>
      </c>
      <c r="D41" s="39">
        <v>2775</v>
      </c>
      <c r="E41" s="39">
        <v>2439</v>
      </c>
      <c r="F41" s="39">
        <v>2234</v>
      </c>
      <c r="G41" s="39">
        <v>2195</v>
      </c>
      <c r="H41" s="39">
        <v>2216</v>
      </c>
      <c r="I41" s="39">
        <v>2246</v>
      </c>
      <c r="J41" s="39">
        <v>1809</v>
      </c>
      <c r="K41" s="39">
        <v>2482</v>
      </c>
      <c r="L41" s="39">
        <v>3283</v>
      </c>
      <c r="M41" s="39">
        <v>3855</v>
      </c>
      <c r="N41" s="39">
        <v>4385</v>
      </c>
      <c r="O41" s="39">
        <v>4559</v>
      </c>
      <c r="P41" s="39">
        <v>4434</v>
      </c>
      <c r="Q41" s="39">
        <v>4206</v>
      </c>
      <c r="R41" s="39">
        <v>4114</v>
      </c>
      <c r="S41" s="39">
        <v>4024</v>
      </c>
      <c r="T41" s="39">
        <v>6430</v>
      </c>
      <c r="U41" s="39">
        <v>7387</v>
      </c>
      <c r="V41" s="39">
        <v>7679</v>
      </c>
      <c r="W41" s="39">
        <v>7467</v>
      </c>
      <c r="X41" s="39">
        <v>7023</v>
      </c>
      <c r="Y41" s="39">
        <v>6159</v>
      </c>
      <c r="Z41" s="40">
        <v>5180</v>
      </c>
      <c r="AA41" s="41">
        <f t="shared" si="0"/>
        <v>101830</v>
      </c>
      <c r="AB41" s="23">
        <v>6</v>
      </c>
      <c r="AC41" s="96"/>
      <c r="AD41" s="42"/>
    </row>
    <row r="42" spans="1:30" x14ac:dyDescent="0.25">
      <c r="A42" s="97" t="s">
        <v>2</v>
      </c>
      <c r="B42" s="98"/>
      <c r="C42" s="31">
        <f t="shared" ref="C42:AC42" si="1">+SUM(C6:C41)</f>
        <v>118445</v>
      </c>
      <c r="D42" s="31">
        <f t="shared" si="1"/>
        <v>102524</v>
      </c>
      <c r="E42" s="31">
        <f t="shared" si="1"/>
        <v>92393</v>
      </c>
      <c r="F42" s="31">
        <f t="shared" si="1"/>
        <v>86758</v>
      </c>
      <c r="G42" s="31">
        <f t="shared" si="1"/>
        <v>88163</v>
      </c>
      <c r="H42" s="31">
        <f t="shared" si="1"/>
        <v>93637</v>
      </c>
      <c r="I42" s="31">
        <f t="shared" si="1"/>
        <v>96420</v>
      </c>
      <c r="J42" s="31">
        <f t="shared" si="1"/>
        <v>90173</v>
      </c>
      <c r="K42" s="31">
        <f t="shared" si="1"/>
        <v>121175</v>
      </c>
      <c r="L42" s="31">
        <f t="shared" si="1"/>
        <v>151577</v>
      </c>
      <c r="M42" s="31">
        <f t="shared" si="1"/>
        <v>174862</v>
      </c>
      <c r="N42" s="31">
        <f t="shared" si="1"/>
        <v>194470</v>
      </c>
      <c r="O42" s="31">
        <f t="shared" si="1"/>
        <v>189280</v>
      </c>
      <c r="P42" s="31">
        <f t="shared" si="1"/>
        <v>183214</v>
      </c>
      <c r="Q42" s="31">
        <f t="shared" si="1"/>
        <v>186822</v>
      </c>
      <c r="R42" s="31">
        <f t="shared" si="1"/>
        <v>187278</v>
      </c>
      <c r="S42" s="31">
        <f t="shared" si="1"/>
        <v>183892</v>
      </c>
      <c r="T42" s="31">
        <f t="shared" si="1"/>
        <v>264794</v>
      </c>
      <c r="U42" s="31">
        <f t="shared" si="1"/>
        <v>288314</v>
      </c>
      <c r="V42" s="31">
        <f t="shared" si="1"/>
        <v>303594</v>
      </c>
      <c r="W42" s="31">
        <f t="shared" si="1"/>
        <v>291055</v>
      </c>
      <c r="X42" s="31">
        <f t="shared" si="1"/>
        <v>272513</v>
      </c>
      <c r="Y42" s="31">
        <f t="shared" si="1"/>
        <v>237670</v>
      </c>
      <c r="Z42" s="31">
        <f t="shared" si="1"/>
        <v>199403</v>
      </c>
      <c r="AA42" s="31">
        <f t="shared" si="1"/>
        <v>4198426</v>
      </c>
      <c r="AB42" s="31">
        <f t="shared" si="1"/>
        <v>366</v>
      </c>
      <c r="AC42" s="46">
        <f t="shared" si="1"/>
        <v>45029339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7A35-6482-4FAF-BE7B-A586066D4577}">
  <sheetPr>
    <tabColor theme="9" tint="-0.499984740745262"/>
  </sheetPr>
  <dimension ref="A1:AD46"/>
  <sheetViews>
    <sheetView showGridLines="0" zoomScale="115" zoomScaleNormal="115" zoomScaleSheetLayoutView="110" workbookViewId="0">
      <pane xSplit="2" ySplit="5" topLeftCell="N35" activePane="bottomRight" state="frozen"/>
      <selection pane="topRight" activeCell="C1" sqref="C1"/>
      <selection pane="bottomLeft" activeCell="A6" sqref="A6"/>
      <selection pane="bottomRight" activeCell="C6" sqref="C6:Z41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81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48214</v>
      </c>
      <c r="B6" s="18" t="s">
        <v>5</v>
      </c>
      <c r="C6" s="33">
        <f>+'Anexo 17'!C6*'Anexo 7'!$D$10</f>
        <v>0</v>
      </c>
      <c r="D6" s="33">
        <f>+'Anexo 17'!D6*'Anexo 7'!$D$10</f>
        <v>0</v>
      </c>
      <c r="E6" s="33">
        <f>+'Anexo 17'!E6*'Anexo 7'!$D$10</f>
        <v>0</v>
      </c>
      <c r="F6" s="33">
        <f>+'Anexo 17'!F6*'Anexo 7'!$D$10</f>
        <v>0</v>
      </c>
      <c r="G6" s="33">
        <f>+'Anexo 17'!G6*'Anexo 7'!$D$10</f>
        <v>0</v>
      </c>
      <c r="H6" s="33">
        <f>+'Anexo 17'!H6*'Anexo 7'!$D$10</f>
        <v>0</v>
      </c>
      <c r="I6" s="33">
        <f>+'Anexo 17'!I6*'Anexo 7'!$D$10</f>
        <v>0</v>
      </c>
      <c r="J6" s="33">
        <f>+'Anexo 17'!J6*'Anexo 7'!$D$10</f>
        <v>0</v>
      </c>
      <c r="K6" s="33">
        <f>+'Anexo 17'!K6*'Anexo 7'!$D$10</f>
        <v>0</v>
      </c>
      <c r="L6" s="33">
        <f>+'Anexo 17'!L6*'Anexo 7'!$D$10</f>
        <v>0</v>
      </c>
      <c r="M6" s="33">
        <f>+'Anexo 17'!M6*'Anexo 7'!$D$10</f>
        <v>0</v>
      </c>
      <c r="N6" s="33">
        <f>+'Anexo 17'!N6*'Anexo 7'!$D$10</f>
        <v>0</v>
      </c>
      <c r="O6" s="33">
        <f>+'Anexo 17'!O6*'Anexo 7'!$D$10</f>
        <v>0</v>
      </c>
      <c r="P6" s="33">
        <f>+'Anexo 17'!P6*'Anexo 7'!$D$10</f>
        <v>0</v>
      </c>
      <c r="Q6" s="33">
        <f>+'Anexo 17'!Q6*'Anexo 7'!$D$10</f>
        <v>0</v>
      </c>
      <c r="R6" s="33">
        <f>+'Anexo 17'!R6*'Anexo 7'!$D$10</f>
        <v>0</v>
      </c>
      <c r="S6" s="33">
        <f>+'Anexo 17'!S6*'Anexo 7'!$D$10</f>
        <v>0</v>
      </c>
      <c r="T6" s="33">
        <f>+'Anexo 17'!T6*'Anexo 7'!$D$10</f>
        <v>0</v>
      </c>
      <c r="U6" s="33">
        <f>+'Anexo 17'!U6*'Anexo 7'!$D$10</f>
        <v>0</v>
      </c>
      <c r="V6" s="33">
        <f>+'Anexo 17'!V6*'Anexo 7'!$D$10</f>
        <v>0</v>
      </c>
      <c r="W6" s="33">
        <f>+'Anexo 17'!W6*'Anexo 7'!$D$10</f>
        <v>0</v>
      </c>
      <c r="X6" s="33">
        <f>+'Anexo 17'!X6*'Anexo 7'!$D$10</f>
        <v>0</v>
      </c>
      <c r="Y6" s="33">
        <f>+'Anexo 17'!Y6*'Anexo 7'!$D$10</f>
        <v>0</v>
      </c>
      <c r="Z6" s="33">
        <f>+'Anexo 17'!Z6*'Anexo 7'!$D$10</f>
        <v>0</v>
      </c>
      <c r="AA6" s="35">
        <f>SUM(C6:Z6)</f>
        <v>0</v>
      </c>
      <c r="AB6" s="19">
        <v>20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3">
        <f>+'Anexo 17'!C7*'Anexo 7'!$D$10</f>
        <v>0</v>
      </c>
      <c r="D7" s="33">
        <f>+'Anexo 17'!D7*'Anexo 7'!$D$10</f>
        <v>0</v>
      </c>
      <c r="E7" s="33">
        <f>+'Anexo 17'!E7*'Anexo 7'!$D$10</f>
        <v>0</v>
      </c>
      <c r="F7" s="33">
        <f>+'Anexo 17'!F7*'Anexo 7'!$D$10</f>
        <v>0</v>
      </c>
      <c r="G7" s="33">
        <f>+'Anexo 17'!G7*'Anexo 7'!$D$10</f>
        <v>0</v>
      </c>
      <c r="H7" s="33">
        <f>+'Anexo 17'!H7*'Anexo 7'!$D$10</f>
        <v>0</v>
      </c>
      <c r="I7" s="33">
        <f>+'Anexo 17'!I7*'Anexo 7'!$D$10</f>
        <v>0</v>
      </c>
      <c r="J7" s="33">
        <f>+'Anexo 17'!J7*'Anexo 7'!$D$10</f>
        <v>0</v>
      </c>
      <c r="K7" s="33">
        <f>+'Anexo 17'!K7*'Anexo 7'!$D$10</f>
        <v>0</v>
      </c>
      <c r="L7" s="33">
        <f>+'Anexo 17'!L7*'Anexo 7'!$D$10</f>
        <v>0</v>
      </c>
      <c r="M7" s="33">
        <f>+'Anexo 17'!M7*'Anexo 7'!$D$10</f>
        <v>0</v>
      </c>
      <c r="N7" s="33">
        <f>+'Anexo 17'!N7*'Anexo 7'!$D$10</f>
        <v>0</v>
      </c>
      <c r="O7" s="33">
        <f>+'Anexo 17'!O7*'Anexo 7'!$D$10</f>
        <v>0</v>
      </c>
      <c r="P7" s="33">
        <f>+'Anexo 17'!P7*'Anexo 7'!$D$10</f>
        <v>0</v>
      </c>
      <c r="Q7" s="33">
        <f>+'Anexo 17'!Q7*'Anexo 7'!$D$10</f>
        <v>0</v>
      </c>
      <c r="R7" s="33">
        <f>+'Anexo 17'!R7*'Anexo 7'!$D$10</f>
        <v>0</v>
      </c>
      <c r="S7" s="33">
        <f>+'Anexo 17'!S7*'Anexo 7'!$D$10</f>
        <v>0</v>
      </c>
      <c r="T7" s="33">
        <f>+'Anexo 17'!T7*'Anexo 7'!$D$10</f>
        <v>0</v>
      </c>
      <c r="U7" s="33">
        <f>+'Anexo 17'!U7*'Anexo 7'!$D$10</f>
        <v>0</v>
      </c>
      <c r="V7" s="33">
        <f>+'Anexo 17'!V7*'Anexo 7'!$D$10</f>
        <v>0</v>
      </c>
      <c r="W7" s="33">
        <f>+'Anexo 17'!W7*'Anexo 7'!$D$10</f>
        <v>0</v>
      </c>
      <c r="X7" s="33">
        <f>+'Anexo 17'!X7*'Anexo 7'!$D$10</f>
        <v>0</v>
      </c>
      <c r="Y7" s="33">
        <f>+'Anexo 17'!Y7*'Anexo 7'!$D$10</f>
        <v>0</v>
      </c>
      <c r="Z7" s="33">
        <f>+'Anexo 17'!Z7*'Anexo 7'!$D$10</f>
        <v>0</v>
      </c>
      <c r="AA7" s="38">
        <f t="shared" ref="AA7:AA41" si="0">SUM(C7:Z7)</f>
        <v>0</v>
      </c>
      <c r="AB7" s="21">
        <v>5</v>
      </c>
      <c r="AC7" s="95"/>
      <c r="AD7" s="47"/>
    </row>
    <row r="8" spans="1:30" ht="15.75" thickBot="1" x14ac:dyDescent="0.3">
      <c r="A8" s="93"/>
      <c r="B8" s="22" t="s">
        <v>3</v>
      </c>
      <c r="C8" s="33">
        <f>+'Anexo 17'!C8*'Anexo 7'!$D$10</f>
        <v>0</v>
      </c>
      <c r="D8" s="33">
        <f>+'Anexo 17'!D8*'Anexo 7'!$D$10</f>
        <v>0</v>
      </c>
      <c r="E8" s="33">
        <f>+'Anexo 17'!E8*'Anexo 7'!$D$10</f>
        <v>0</v>
      </c>
      <c r="F8" s="33">
        <f>+'Anexo 17'!F8*'Anexo 7'!$D$10</f>
        <v>0</v>
      </c>
      <c r="G8" s="33">
        <f>+'Anexo 17'!G8*'Anexo 7'!$D$10</f>
        <v>0</v>
      </c>
      <c r="H8" s="33">
        <f>+'Anexo 17'!H8*'Anexo 7'!$D$10</f>
        <v>0</v>
      </c>
      <c r="I8" s="33">
        <f>+'Anexo 17'!I8*'Anexo 7'!$D$10</f>
        <v>0</v>
      </c>
      <c r="J8" s="33">
        <f>+'Anexo 17'!J8*'Anexo 7'!$D$10</f>
        <v>0</v>
      </c>
      <c r="K8" s="33">
        <f>+'Anexo 17'!K8*'Anexo 7'!$D$10</f>
        <v>0</v>
      </c>
      <c r="L8" s="33">
        <f>+'Anexo 17'!L8*'Anexo 7'!$D$10</f>
        <v>0</v>
      </c>
      <c r="M8" s="33">
        <f>+'Anexo 17'!M8*'Anexo 7'!$D$10</f>
        <v>0</v>
      </c>
      <c r="N8" s="33">
        <f>+'Anexo 17'!N8*'Anexo 7'!$D$10</f>
        <v>0</v>
      </c>
      <c r="O8" s="33">
        <f>+'Anexo 17'!O8*'Anexo 7'!$D$10</f>
        <v>0</v>
      </c>
      <c r="P8" s="33">
        <f>+'Anexo 17'!P8*'Anexo 7'!$D$10</f>
        <v>0</v>
      </c>
      <c r="Q8" s="33">
        <f>+'Anexo 17'!Q8*'Anexo 7'!$D$10</f>
        <v>0</v>
      </c>
      <c r="R8" s="33">
        <f>+'Anexo 17'!R8*'Anexo 7'!$D$10</f>
        <v>0</v>
      </c>
      <c r="S8" s="33">
        <f>+'Anexo 17'!S8*'Anexo 7'!$D$10</f>
        <v>0</v>
      </c>
      <c r="T8" s="33">
        <f>+'Anexo 17'!T8*'Anexo 7'!$D$10</f>
        <v>0</v>
      </c>
      <c r="U8" s="33">
        <f>+'Anexo 17'!U8*'Anexo 7'!$D$10</f>
        <v>0</v>
      </c>
      <c r="V8" s="33">
        <f>+'Anexo 17'!V8*'Anexo 7'!$D$10</f>
        <v>0</v>
      </c>
      <c r="W8" s="33">
        <f>+'Anexo 17'!W8*'Anexo 7'!$D$10</f>
        <v>0</v>
      </c>
      <c r="X8" s="33">
        <f>+'Anexo 17'!X8*'Anexo 7'!$D$10</f>
        <v>0</v>
      </c>
      <c r="Y8" s="33">
        <f>+'Anexo 17'!Y8*'Anexo 7'!$D$10</f>
        <v>0</v>
      </c>
      <c r="Z8" s="33">
        <f>+'Anexo 17'!Z8*'Anexo 7'!$D$10</f>
        <v>0</v>
      </c>
      <c r="AA8" s="41">
        <f t="shared" si="0"/>
        <v>0</v>
      </c>
      <c r="AB8" s="23">
        <v>6</v>
      </c>
      <c r="AC8" s="96"/>
      <c r="AD8" s="48"/>
    </row>
    <row r="9" spans="1:30" ht="15.75" thickBot="1" x14ac:dyDescent="0.3">
      <c r="A9" s="93">
        <v>48245</v>
      </c>
      <c r="B9" s="18" t="s">
        <v>5</v>
      </c>
      <c r="C9" s="33">
        <f>+'Anexo 17'!C9*'Anexo 7'!$D$10</f>
        <v>0</v>
      </c>
      <c r="D9" s="33">
        <f>+'Anexo 17'!D9*'Anexo 7'!$D$10</f>
        <v>0</v>
      </c>
      <c r="E9" s="33">
        <f>+'Anexo 17'!E9*'Anexo 7'!$D$10</f>
        <v>0</v>
      </c>
      <c r="F9" s="33">
        <f>+'Anexo 17'!F9*'Anexo 7'!$D$10</f>
        <v>0</v>
      </c>
      <c r="G9" s="33">
        <f>+'Anexo 17'!G9*'Anexo 7'!$D$10</f>
        <v>0</v>
      </c>
      <c r="H9" s="33">
        <f>+'Anexo 17'!H9*'Anexo 7'!$D$10</f>
        <v>0</v>
      </c>
      <c r="I9" s="33">
        <f>+'Anexo 17'!I9*'Anexo 7'!$D$10</f>
        <v>0</v>
      </c>
      <c r="J9" s="33">
        <f>+'Anexo 17'!J9*'Anexo 7'!$D$10</f>
        <v>0</v>
      </c>
      <c r="K9" s="33">
        <f>+'Anexo 17'!K9*'Anexo 7'!$D$10</f>
        <v>0</v>
      </c>
      <c r="L9" s="33">
        <f>+'Anexo 17'!L9*'Anexo 7'!$D$10</f>
        <v>0</v>
      </c>
      <c r="M9" s="33">
        <f>+'Anexo 17'!M9*'Anexo 7'!$D$10</f>
        <v>0</v>
      </c>
      <c r="N9" s="33">
        <f>+'Anexo 17'!N9*'Anexo 7'!$D$10</f>
        <v>0</v>
      </c>
      <c r="O9" s="33">
        <f>+'Anexo 17'!O9*'Anexo 7'!$D$10</f>
        <v>0</v>
      </c>
      <c r="P9" s="33">
        <f>+'Anexo 17'!P9*'Anexo 7'!$D$10</f>
        <v>0</v>
      </c>
      <c r="Q9" s="33">
        <f>+'Anexo 17'!Q9*'Anexo 7'!$D$10</f>
        <v>0</v>
      </c>
      <c r="R9" s="33">
        <f>+'Anexo 17'!R9*'Anexo 7'!$D$10</f>
        <v>0</v>
      </c>
      <c r="S9" s="33">
        <f>+'Anexo 17'!S9*'Anexo 7'!$D$10</f>
        <v>0</v>
      </c>
      <c r="T9" s="33">
        <f>+'Anexo 17'!T9*'Anexo 7'!$D$10</f>
        <v>0</v>
      </c>
      <c r="U9" s="33">
        <f>+'Anexo 17'!U9*'Anexo 7'!$D$10</f>
        <v>0</v>
      </c>
      <c r="V9" s="33">
        <f>+'Anexo 17'!V9*'Anexo 7'!$D$10</f>
        <v>0</v>
      </c>
      <c r="W9" s="33">
        <f>+'Anexo 17'!W9*'Anexo 7'!$D$10</f>
        <v>0</v>
      </c>
      <c r="X9" s="33">
        <f>+'Anexo 17'!X9*'Anexo 7'!$D$10</f>
        <v>0</v>
      </c>
      <c r="Y9" s="33">
        <f>+'Anexo 17'!Y9*'Anexo 7'!$D$10</f>
        <v>0</v>
      </c>
      <c r="Z9" s="33">
        <f>+'Anexo 17'!Z9*'Anexo 7'!$D$10</f>
        <v>0</v>
      </c>
      <c r="AA9" s="35">
        <f t="shared" si="0"/>
        <v>0</v>
      </c>
      <c r="AB9" s="19">
        <v>20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+'Anexo 17'!C10*'Anexo 7'!$D$10</f>
        <v>0</v>
      </c>
      <c r="D10" s="33">
        <f>+'Anexo 17'!D10*'Anexo 7'!$D$10</f>
        <v>0</v>
      </c>
      <c r="E10" s="33">
        <f>+'Anexo 17'!E10*'Anexo 7'!$D$10</f>
        <v>0</v>
      </c>
      <c r="F10" s="33">
        <f>+'Anexo 17'!F10*'Anexo 7'!$D$10</f>
        <v>0</v>
      </c>
      <c r="G10" s="33">
        <f>+'Anexo 17'!G10*'Anexo 7'!$D$10</f>
        <v>0</v>
      </c>
      <c r="H10" s="33">
        <f>+'Anexo 17'!H10*'Anexo 7'!$D$10</f>
        <v>0</v>
      </c>
      <c r="I10" s="33">
        <f>+'Anexo 17'!I10*'Anexo 7'!$D$10</f>
        <v>0</v>
      </c>
      <c r="J10" s="33">
        <f>+'Anexo 17'!J10*'Anexo 7'!$D$10</f>
        <v>0</v>
      </c>
      <c r="K10" s="33">
        <f>+'Anexo 17'!K10*'Anexo 7'!$D$10</f>
        <v>0</v>
      </c>
      <c r="L10" s="33">
        <f>+'Anexo 17'!L10*'Anexo 7'!$D$10</f>
        <v>0</v>
      </c>
      <c r="M10" s="33">
        <f>+'Anexo 17'!M10*'Anexo 7'!$D$10</f>
        <v>0</v>
      </c>
      <c r="N10" s="33">
        <f>+'Anexo 17'!N10*'Anexo 7'!$D$10</f>
        <v>0</v>
      </c>
      <c r="O10" s="33">
        <f>+'Anexo 17'!O10*'Anexo 7'!$D$10</f>
        <v>0</v>
      </c>
      <c r="P10" s="33">
        <f>+'Anexo 17'!P10*'Anexo 7'!$D$10</f>
        <v>0</v>
      </c>
      <c r="Q10" s="33">
        <f>+'Anexo 17'!Q10*'Anexo 7'!$D$10</f>
        <v>0</v>
      </c>
      <c r="R10" s="33">
        <f>+'Anexo 17'!R10*'Anexo 7'!$D$10</f>
        <v>0</v>
      </c>
      <c r="S10" s="33">
        <f>+'Anexo 17'!S10*'Anexo 7'!$D$10</f>
        <v>0</v>
      </c>
      <c r="T10" s="33">
        <f>+'Anexo 17'!T10*'Anexo 7'!$D$10</f>
        <v>0</v>
      </c>
      <c r="U10" s="33">
        <f>+'Anexo 17'!U10*'Anexo 7'!$D$10</f>
        <v>0</v>
      </c>
      <c r="V10" s="33">
        <f>+'Anexo 17'!V10*'Anexo 7'!$D$10</f>
        <v>0</v>
      </c>
      <c r="W10" s="33">
        <f>+'Anexo 17'!W10*'Anexo 7'!$D$10</f>
        <v>0</v>
      </c>
      <c r="X10" s="33">
        <f>+'Anexo 17'!X10*'Anexo 7'!$D$10</f>
        <v>0</v>
      </c>
      <c r="Y10" s="33">
        <f>+'Anexo 17'!Y10*'Anexo 7'!$D$10</f>
        <v>0</v>
      </c>
      <c r="Z10" s="33">
        <f>+'Anexo 17'!Z10*'Anexo 7'!$D$10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+'Anexo 17'!C11*'Anexo 7'!$D$10</f>
        <v>0</v>
      </c>
      <c r="D11" s="33">
        <f>+'Anexo 17'!D11*'Anexo 7'!$D$10</f>
        <v>0</v>
      </c>
      <c r="E11" s="33">
        <f>+'Anexo 17'!E11*'Anexo 7'!$D$10</f>
        <v>0</v>
      </c>
      <c r="F11" s="33">
        <f>+'Anexo 17'!F11*'Anexo 7'!$D$10</f>
        <v>0</v>
      </c>
      <c r="G11" s="33">
        <f>+'Anexo 17'!G11*'Anexo 7'!$D$10</f>
        <v>0</v>
      </c>
      <c r="H11" s="33">
        <f>+'Anexo 17'!H11*'Anexo 7'!$D$10</f>
        <v>0</v>
      </c>
      <c r="I11" s="33">
        <f>+'Anexo 17'!I11*'Anexo 7'!$D$10</f>
        <v>0</v>
      </c>
      <c r="J11" s="33">
        <f>+'Anexo 17'!J11*'Anexo 7'!$D$10</f>
        <v>0</v>
      </c>
      <c r="K11" s="33">
        <f>+'Anexo 17'!K11*'Anexo 7'!$D$10</f>
        <v>0</v>
      </c>
      <c r="L11" s="33">
        <f>+'Anexo 17'!L11*'Anexo 7'!$D$10</f>
        <v>0</v>
      </c>
      <c r="M11" s="33">
        <f>+'Anexo 17'!M11*'Anexo 7'!$D$10</f>
        <v>0</v>
      </c>
      <c r="N11" s="33">
        <f>+'Anexo 17'!N11*'Anexo 7'!$D$10</f>
        <v>0</v>
      </c>
      <c r="O11" s="33">
        <f>+'Anexo 17'!O11*'Anexo 7'!$D$10</f>
        <v>0</v>
      </c>
      <c r="P11" s="33">
        <f>+'Anexo 17'!P11*'Anexo 7'!$D$10</f>
        <v>0</v>
      </c>
      <c r="Q11" s="33">
        <f>+'Anexo 17'!Q11*'Anexo 7'!$D$10</f>
        <v>0</v>
      </c>
      <c r="R11" s="33">
        <f>+'Anexo 17'!R11*'Anexo 7'!$D$10</f>
        <v>0</v>
      </c>
      <c r="S11" s="33">
        <f>+'Anexo 17'!S11*'Anexo 7'!$D$10</f>
        <v>0</v>
      </c>
      <c r="T11" s="33">
        <f>+'Anexo 17'!T11*'Anexo 7'!$D$10</f>
        <v>0</v>
      </c>
      <c r="U11" s="33">
        <f>+'Anexo 17'!U11*'Anexo 7'!$D$10</f>
        <v>0</v>
      </c>
      <c r="V11" s="33">
        <f>+'Anexo 17'!V11*'Anexo 7'!$D$10</f>
        <v>0</v>
      </c>
      <c r="W11" s="33">
        <f>+'Anexo 17'!W11*'Anexo 7'!$D$10</f>
        <v>0</v>
      </c>
      <c r="X11" s="33">
        <f>+'Anexo 17'!X11*'Anexo 7'!$D$10</f>
        <v>0</v>
      </c>
      <c r="Y11" s="33">
        <f>+'Anexo 17'!Y11*'Anexo 7'!$D$10</f>
        <v>0</v>
      </c>
      <c r="Z11" s="33">
        <f>+'Anexo 17'!Z11*'Anexo 7'!$D$10</f>
        <v>0</v>
      </c>
      <c r="AA11" s="41">
        <f t="shared" si="0"/>
        <v>0</v>
      </c>
      <c r="AB11" s="23">
        <v>5</v>
      </c>
      <c r="AC11" s="96"/>
      <c r="AD11" s="48"/>
    </row>
    <row r="12" spans="1:30" ht="15.75" thickBot="1" x14ac:dyDescent="0.3">
      <c r="A12" s="93">
        <v>48274</v>
      </c>
      <c r="B12" s="18" t="s">
        <v>5</v>
      </c>
      <c r="C12" s="33">
        <f>+'Anexo 17'!C12*'Anexo 7'!$D$10</f>
        <v>0</v>
      </c>
      <c r="D12" s="33">
        <f>+'Anexo 17'!D12*'Anexo 7'!$D$10</f>
        <v>0</v>
      </c>
      <c r="E12" s="33">
        <f>+'Anexo 17'!E12*'Anexo 7'!$D$10</f>
        <v>0</v>
      </c>
      <c r="F12" s="33">
        <f>+'Anexo 17'!F12*'Anexo 7'!$D$10</f>
        <v>0</v>
      </c>
      <c r="G12" s="33">
        <f>+'Anexo 17'!G12*'Anexo 7'!$D$10</f>
        <v>0</v>
      </c>
      <c r="H12" s="33">
        <f>+'Anexo 17'!H12*'Anexo 7'!$D$10</f>
        <v>0</v>
      </c>
      <c r="I12" s="33">
        <f>+'Anexo 17'!I12*'Anexo 7'!$D$10</f>
        <v>0</v>
      </c>
      <c r="J12" s="33">
        <f>+'Anexo 17'!J12*'Anexo 7'!$D$10</f>
        <v>0</v>
      </c>
      <c r="K12" s="33">
        <f>+'Anexo 17'!K12*'Anexo 7'!$D$10</f>
        <v>0</v>
      </c>
      <c r="L12" s="33">
        <f>+'Anexo 17'!L12*'Anexo 7'!$D$10</f>
        <v>0</v>
      </c>
      <c r="M12" s="33">
        <f>+'Anexo 17'!M12*'Anexo 7'!$D$10</f>
        <v>0</v>
      </c>
      <c r="N12" s="33">
        <f>+'Anexo 17'!N12*'Anexo 7'!$D$10</f>
        <v>0</v>
      </c>
      <c r="O12" s="33">
        <f>+'Anexo 17'!O12*'Anexo 7'!$D$10</f>
        <v>0</v>
      </c>
      <c r="P12" s="33">
        <f>+'Anexo 17'!P12*'Anexo 7'!$D$10</f>
        <v>0</v>
      </c>
      <c r="Q12" s="33">
        <f>+'Anexo 17'!Q12*'Anexo 7'!$D$10</f>
        <v>0</v>
      </c>
      <c r="R12" s="33">
        <f>+'Anexo 17'!R12*'Anexo 7'!$D$10</f>
        <v>0</v>
      </c>
      <c r="S12" s="33">
        <f>+'Anexo 17'!S12*'Anexo 7'!$D$10</f>
        <v>0</v>
      </c>
      <c r="T12" s="33">
        <f>+'Anexo 17'!T12*'Anexo 7'!$D$10</f>
        <v>0</v>
      </c>
      <c r="U12" s="33">
        <f>+'Anexo 17'!U12*'Anexo 7'!$D$10</f>
        <v>0</v>
      </c>
      <c r="V12" s="33">
        <f>+'Anexo 17'!V12*'Anexo 7'!$D$10</f>
        <v>0</v>
      </c>
      <c r="W12" s="33">
        <f>+'Anexo 17'!W12*'Anexo 7'!$D$10</f>
        <v>0</v>
      </c>
      <c r="X12" s="33">
        <f>+'Anexo 17'!X12*'Anexo 7'!$D$10</f>
        <v>0</v>
      </c>
      <c r="Y12" s="33">
        <f>+'Anexo 17'!Y12*'Anexo 7'!$D$10</f>
        <v>0</v>
      </c>
      <c r="Z12" s="33">
        <f>+'Anexo 17'!Z12*'Anexo 7'!$D$10</f>
        <v>0</v>
      </c>
      <c r="AA12" s="35">
        <f t="shared" si="0"/>
        <v>0</v>
      </c>
      <c r="AB12" s="19">
        <v>20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+'Anexo 17'!C13*'Anexo 7'!$D$10</f>
        <v>0</v>
      </c>
      <c r="D13" s="33">
        <f>+'Anexo 17'!D13*'Anexo 7'!$D$10</f>
        <v>0</v>
      </c>
      <c r="E13" s="33">
        <f>+'Anexo 17'!E13*'Anexo 7'!$D$10</f>
        <v>0</v>
      </c>
      <c r="F13" s="33">
        <f>+'Anexo 17'!F13*'Anexo 7'!$D$10</f>
        <v>0</v>
      </c>
      <c r="G13" s="33">
        <f>+'Anexo 17'!G13*'Anexo 7'!$D$10</f>
        <v>0</v>
      </c>
      <c r="H13" s="33">
        <f>+'Anexo 17'!H13*'Anexo 7'!$D$10</f>
        <v>0</v>
      </c>
      <c r="I13" s="33">
        <f>+'Anexo 17'!I13*'Anexo 7'!$D$10</f>
        <v>0</v>
      </c>
      <c r="J13" s="33">
        <f>+'Anexo 17'!J13*'Anexo 7'!$D$10</f>
        <v>0</v>
      </c>
      <c r="K13" s="33">
        <f>+'Anexo 17'!K13*'Anexo 7'!$D$10</f>
        <v>0</v>
      </c>
      <c r="L13" s="33">
        <f>+'Anexo 17'!L13*'Anexo 7'!$D$10</f>
        <v>0</v>
      </c>
      <c r="M13" s="33">
        <f>+'Anexo 17'!M13*'Anexo 7'!$D$10</f>
        <v>0</v>
      </c>
      <c r="N13" s="33">
        <f>+'Anexo 17'!N13*'Anexo 7'!$D$10</f>
        <v>0</v>
      </c>
      <c r="O13" s="33">
        <f>+'Anexo 17'!O13*'Anexo 7'!$D$10</f>
        <v>0</v>
      </c>
      <c r="P13" s="33">
        <f>+'Anexo 17'!P13*'Anexo 7'!$D$10</f>
        <v>0</v>
      </c>
      <c r="Q13" s="33">
        <f>+'Anexo 17'!Q13*'Anexo 7'!$D$10</f>
        <v>0</v>
      </c>
      <c r="R13" s="33">
        <f>+'Anexo 17'!R13*'Anexo 7'!$D$10</f>
        <v>0</v>
      </c>
      <c r="S13" s="33">
        <f>+'Anexo 17'!S13*'Anexo 7'!$D$10</f>
        <v>0</v>
      </c>
      <c r="T13" s="33">
        <f>+'Anexo 17'!T13*'Anexo 7'!$D$10</f>
        <v>0</v>
      </c>
      <c r="U13" s="33">
        <f>+'Anexo 17'!U13*'Anexo 7'!$D$10</f>
        <v>0</v>
      </c>
      <c r="V13" s="33">
        <f>+'Anexo 17'!V13*'Anexo 7'!$D$10</f>
        <v>0</v>
      </c>
      <c r="W13" s="33">
        <f>+'Anexo 17'!W13*'Anexo 7'!$D$10</f>
        <v>0</v>
      </c>
      <c r="X13" s="33">
        <f>+'Anexo 17'!X13*'Anexo 7'!$D$10</f>
        <v>0</v>
      </c>
      <c r="Y13" s="33">
        <f>+'Anexo 17'!Y13*'Anexo 7'!$D$10</f>
        <v>0</v>
      </c>
      <c r="Z13" s="33">
        <f>+'Anexo 17'!Z13*'Anexo 7'!$D$10</f>
        <v>0</v>
      </c>
      <c r="AA13" s="38">
        <f t="shared" si="0"/>
        <v>0</v>
      </c>
      <c r="AB13" s="21">
        <v>4</v>
      </c>
      <c r="AC13" s="95"/>
      <c r="AD13" s="47"/>
    </row>
    <row r="14" spans="1:30" ht="15.75" thickBot="1" x14ac:dyDescent="0.3">
      <c r="A14" s="93"/>
      <c r="B14" s="22" t="s">
        <v>3</v>
      </c>
      <c r="C14" s="33">
        <f>+'Anexo 17'!C14*'Anexo 7'!$D$10</f>
        <v>0</v>
      </c>
      <c r="D14" s="33">
        <f>+'Anexo 17'!D14*'Anexo 7'!$D$10</f>
        <v>0</v>
      </c>
      <c r="E14" s="33">
        <f>+'Anexo 17'!E14*'Anexo 7'!$D$10</f>
        <v>0</v>
      </c>
      <c r="F14" s="33">
        <f>+'Anexo 17'!F14*'Anexo 7'!$D$10</f>
        <v>0</v>
      </c>
      <c r="G14" s="33">
        <f>+'Anexo 17'!G14*'Anexo 7'!$D$10</f>
        <v>0</v>
      </c>
      <c r="H14" s="33">
        <f>+'Anexo 17'!H14*'Anexo 7'!$D$10</f>
        <v>0</v>
      </c>
      <c r="I14" s="33">
        <f>+'Anexo 17'!I14*'Anexo 7'!$D$10</f>
        <v>0</v>
      </c>
      <c r="J14" s="33">
        <f>+'Anexo 17'!J14*'Anexo 7'!$D$10</f>
        <v>0</v>
      </c>
      <c r="K14" s="33">
        <f>+'Anexo 17'!K14*'Anexo 7'!$D$10</f>
        <v>0</v>
      </c>
      <c r="L14" s="33">
        <f>+'Anexo 17'!L14*'Anexo 7'!$D$10</f>
        <v>0</v>
      </c>
      <c r="M14" s="33">
        <f>+'Anexo 17'!M14*'Anexo 7'!$D$10</f>
        <v>0</v>
      </c>
      <c r="N14" s="33">
        <f>+'Anexo 17'!N14*'Anexo 7'!$D$10</f>
        <v>0</v>
      </c>
      <c r="O14" s="33">
        <f>+'Anexo 17'!O14*'Anexo 7'!$D$10</f>
        <v>0</v>
      </c>
      <c r="P14" s="33">
        <f>+'Anexo 17'!P14*'Anexo 7'!$D$10</f>
        <v>0</v>
      </c>
      <c r="Q14" s="33">
        <f>+'Anexo 17'!Q14*'Anexo 7'!$D$10</f>
        <v>0</v>
      </c>
      <c r="R14" s="33">
        <f>+'Anexo 17'!R14*'Anexo 7'!$D$10</f>
        <v>0</v>
      </c>
      <c r="S14" s="33">
        <f>+'Anexo 17'!S14*'Anexo 7'!$D$10</f>
        <v>0</v>
      </c>
      <c r="T14" s="33">
        <f>+'Anexo 17'!T14*'Anexo 7'!$D$10</f>
        <v>0</v>
      </c>
      <c r="U14" s="33">
        <f>+'Anexo 17'!U14*'Anexo 7'!$D$10</f>
        <v>0</v>
      </c>
      <c r="V14" s="33">
        <f>+'Anexo 17'!V14*'Anexo 7'!$D$10</f>
        <v>0</v>
      </c>
      <c r="W14" s="33">
        <f>+'Anexo 17'!W14*'Anexo 7'!$D$10</f>
        <v>0</v>
      </c>
      <c r="X14" s="33">
        <f>+'Anexo 17'!X14*'Anexo 7'!$D$10</f>
        <v>0</v>
      </c>
      <c r="Y14" s="33">
        <f>+'Anexo 17'!Y14*'Anexo 7'!$D$10</f>
        <v>0</v>
      </c>
      <c r="Z14" s="33">
        <f>+'Anexo 17'!Z14*'Anexo 7'!$D$10</f>
        <v>0</v>
      </c>
      <c r="AA14" s="41">
        <f t="shared" si="0"/>
        <v>0</v>
      </c>
      <c r="AB14" s="23">
        <v>7</v>
      </c>
      <c r="AC14" s="96"/>
      <c r="AD14" s="45"/>
    </row>
    <row r="15" spans="1:30" ht="15.75" thickBot="1" x14ac:dyDescent="0.3">
      <c r="A15" s="93">
        <v>48305</v>
      </c>
      <c r="B15" s="18" t="s">
        <v>5</v>
      </c>
      <c r="C15" s="33">
        <f>+'Anexo 17'!C15*'Anexo 7'!$D$10</f>
        <v>0</v>
      </c>
      <c r="D15" s="33">
        <f>+'Anexo 17'!D15*'Anexo 7'!$D$10</f>
        <v>0</v>
      </c>
      <c r="E15" s="33">
        <f>+'Anexo 17'!E15*'Anexo 7'!$D$10</f>
        <v>0</v>
      </c>
      <c r="F15" s="33">
        <f>+'Anexo 17'!F15*'Anexo 7'!$D$10</f>
        <v>0</v>
      </c>
      <c r="G15" s="33">
        <f>+'Anexo 17'!G15*'Anexo 7'!$D$10</f>
        <v>0</v>
      </c>
      <c r="H15" s="33">
        <f>+'Anexo 17'!H15*'Anexo 7'!$D$10</f>
        <v>0</v>
      </c>
      <c r="I15" s="33">
        <f>+'Anexo 17'!I15*'Anexo 7'!$D$10</f>
        <v>0</v>
      </c>
      <c r="J15" s="33">
        <f>+'Anexo 17'!J15*'Anexo 7'!$D$10</f>
        <v>0</v>
      </c>
      <c r="K15" s="33">
        <f>+'Anexo 17'!K15*'Anexo 7'!$D$10</f>
        <v>0</v>
      </c>
      <c r="L15" s="33">
        <f>+'Anexo 17'!L15*'Anexo 7'!$D$10</f>
        <v>0</v>
      </c>
      <c r="M15" s="33">
        <f>+'Anexo 17'!M15*'Anexo 7'!$D$10</f>
        <v>0</v>
      </c>
      <c r="N15" s="33">
        <f>+'Anexo 17'!N15*'Anexo 7'!$D$10</f>
        <v>0</v>
      </c>
      <c r="O15" s="33">
        <f>+'Anexo 17'!O15*'Anexo 7'!$D$10</f>
        <v>0</v>
      </c>
      <c r="P15" s="33">
        <f>+'Anexo 17'!P15*'Anexo 7'!$D$10</f>
        <v>0</v>
      </c>
      <c r="Q15" s="33">
        <f>+'Anexo 17'!Q15*'Anexo 7'!$D$10</f>
        <v>0</v>
      </c>
      <c r="R15" s="33">
        <f>+'Anexo 17'!R15*'Anexo 7'!$D$10</f>
        <v>0</v>
      </c>
      <c r="S15" s="33">
        <f>+'Anexo 17'!S15*'Anexo 7'!$D$10</f>
        <v>0</v>
      </c>
      <c r="T15" s="33">
        <f>+'Anexo 17'!T15*'Anexo 7'!$D$10</f>
        <v>0</v>
      </c>
      <c r="U15" s="33">
        <f>+'Anexo 17'!U15*'Anexo 7'!$D$10</f>
        <v>0</v>
      </c>
      <c r="V15" s="33">
        <f>+'Anexo 17'!V15*'Anexo 7'!$D$10</f>
        <v>0</v>
      </c>
      <c r="W15" s="33">
        <f>+'Anexo 17'!W15*'Anexo 7'!$D$10</f>
        <v>0</v>
      </c>
      <c r="X15" s="33">
        <f>+'Anexo 17'!X15*'Anexo 7'!$D$10</f>
        <v>0</v>
      </c>
      <c r="Y15" s="33">
        <f>+'Anexo 17'!Y15*'Anexo 7'!$D$10</f>
        <v>0</v>
      </c>
      <c r="Z15" s="33">
        <f>+'Anexo 17'!Z15*'Anexo 7'!$D$10</f>
        <v>0</v>
      </c>
      <c r="AA15" s="35">
        <f t="shared" si="0"/>
        <v>0</v>
      </c>
      <c r="AB15" s="19">
        <v>22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+'Anexo 17'!C16*'Anexo 7'!$D$10</f>
        <v>0</v>
      </c>
      <c r="D16" s="33">
        <f>+'Anexo 17'!D16*'Anexo 7'!$D$10</f>
        <v>0</v>
      </c>
      <c r="E16" s="33">
        <f>+'Anexo 17'!E16*'Anexo 7'!$D$10</f>
        <v>0</v>
      </c>
      <c r="F16" s="33">
        <f>+'Anexo 17'!F16*'Anexo 7'!$D$10</f>
        <v>0</v>
      </c>
      <c r="G16" s="33">
        <f>+'Anexo 17'!G16*'Anexo 7'!$D$10</f>
        <v>0</v>
      </c>
      <c r="H16" s="33">
        <f>+'Anexo 17'!H16*'Anexo 7'!$D$10</f>
        <v>0</v>
      </c>
      <c r="I16" s="33">
        <f>+'Anexo 17'!I16*'Anexo 7'!$D$10</f>
        <v>0</v>
      </c>
      <c r="J16" s="33">
        <f>+'Anexo 17'!J16*'Anexo 7'!$D$10</f>
        <v>0</v>
      </c>
      <c r="K16" s="33">
        <f>+'Anexo 17'!K16*'Anexo 7'!$D$10</f>
        <v>0</v>
      </c>
      <c r="L16" s="33">
        <f>+'Anexo 17'!L16*'Anexo 7'!$D$10</f>
        <v>0</v>
      </c>
      <c r="M16" s="33">
        <f>+'Anexo 17'!M16*'Anexo 7'!$D$10</f>
        <v>0</v>
      </c>
      <c r="N16" s="33">
        <f>+'Anexo 17'!N16*'Anexo 7'!$D$10</f>
        <v>0</v>
      </c>
      <c r="O16" s="33">
        <f>+'Anexo 17'!O16*'Anexo 7'!$D$10</f>
        <v>0</v>
      </c>
      <c r="P16" s="33">
        <f>+'Anexo 17'!P16*'Anexo 7'!$D$10</f>
        <v>0</v>
      </c>
      <c r="Q16" s="33">
        <f>+'Anexo 17'!Q16*'Anexo 7'!$D$10</f>
        <v>0</v>
      </c>
      <c r="R16" s="33">
        <f>+'Anexo 17'!R16*'Anexo 7'!$D$10</f>
        <v>0</v>
      </c>
      <c r="S16" s="33">
        <f>+'Anexo 17'!S16*'Anexo 7'!$D$10</f>
        <v>0</v>
      </c>
      <c r="T16" s="33">
        <f>+'Anexo 17'!T16*'Anexo 7'!$D$10</f>
        <v>0</v>
      </c>
      <c r="U16" s="33">
        <f>+'Anexo 17'!U16*'Anexo 7'!$D$10</f>
        <v>0</v>
      </c>
      <c r="V16" s="33">
        <f>+'Anexo 17'!V16*'Anexo 7'!$D$10</f>
        <v>0</v>
      </c>
      <c r="W16" s="33">
        <f>+'Anexo 17'!W16*'Anexo 7'!$D$10</f>
        <v>0</v>
      </c>
      <c r="X16" s="33">
        <f>+'Anexo 17'!X16*'Anexo 7'!$D$10</f>
        <v>0</v>
      </c>
      <c r="Y16" s="33">
        <f>+'Anexo 17'!Y16*'Anexo 7'!$D$10</f>
        <v>0</v>
      </c>
      <c r="Z16" s="33">
        <f>+'Anexo 17'!Z16*'Anexo 7'!$D$10</f>
        <v>0</v>
      </c>
      <c r="AA16" s="38">
        <f t="shared" si="0"/>
        <v>0</v>
      </c>
      <c r="AB16" s="21">
        <v>4</v>
      </c>
      <c r="AC16" s="95"/>
      <c r="AD16" s="47"/>
    </row>
    <row r="17" spans="1:30" ht="15.75" thickBot="1" x14ac:dyDescent="0.3">
      <c r="A17" s="93"/>
      <c r="B17" s="22" t="s">
        <v>3</v>
      </c>
      <c r="C17" s="33">
        <f>+'Anexo 17'!C17*'Anexo 7'!$D$10</f>
        <v>0</v>
      </c>
      <c r="D17" s="33">
        <f>+'Anexo 17'!D17*'Anexo 7'!$D$10</f>
        <v>0</v>
      </c>
      <c r="E17" s="33">
        <f>+'Anexo 17'!E17*'Anexo 7'!$D$10</f>
        <v>0</v>
      </c>
      <c r="F17" s="33">
        <f>+'Anexo 17'!F17*'Anexo 7'!$D$10</f>
        <v>0</v>
      </c>
      <c r="G17" s="33">
        <f>+'Anexo 17'!G17*'Anexo 7'!$D$10</f>
        <v>0</v>
      </c>
      <c r="H17" s="33">
        <f>+'Anexo 17'!H17*'Anexo 7'!$D$10</f>
        <v>0</v>
      </c>
      <c r="I17" s="33">
        <f>+'Anexo 17'!I17*'Anexo 7'!$D$10</f>
        <v>0</v>
      </c>
      <c r="J17" s="33">
        <f>+'Anexo 17'!J17*'Anexo 7'!$D$10</f>
        <v>0</v>
      </c>
      <c r="K17" s="33">
        <f>+'Anexo 17'!K17*'Anexo 7'!$D$10</f>
        <v>0</v>
      </c>
      <c r="L17" s="33">
        <f>+'Anexo 17'!L17*'Anexo 7'!$D$10</f>
        <v>0</v>
      </c>
      <c r="M17" s="33">
        <f>+'Anexo 17'!M17*'Anexo 7'!$D$10</f>
        <v>0</v>
      </c>
      <c r="N17" s="33">
        <f>+'Anexo 17'!N17*'Anexo 7'!$D$10</f>
        <v>0</v>
      </c>
      <c r="O17" s="33">
        <f>+'Anexo 17'!O17*'Anexo 7'!$D$10</f>
        <v>0</v>
      </c>
      <c r="P17" s="33">
        <f>+'Anexo 17'!P17*'Anexo 7'!$D$10</f>
        <v>0</v>
      </c>
      <c r="Q17" s="33">
        <f>+'Anexo 17'!Q17*'Anexo 7'!$D$10</f>
        <v>0</v>
      </c>
      <c r="R17" s="33">
        <f>+'Anexo 17'!R17*'Anexo 7'!$D$10</f>
        <v>0</v>
      </c>
      <c r="S17" s="33">
        <f>+'Anexo 17'!S17*'Anexo 7'!$D$10</f>
        <v>0</v>
      </c>
      <c r="T17" s="33">
        <f>+'Anexo 17'!T17*'Anexo 7'!$D$10</f>
        <v>0</v>
      </c>
      <c r="U17" s="33">
        <f>+'Anexo 17'!U17*'Anexo 7'!$D$10</f>
        <v>0</v>
      </c>
      <c r="V17" s="33">
        <f>+'Anexo 17'!V17*'Anexo 7'!$D$10</f>
        <v>0</v>
      </c>
      <c r="W17" s="33">
        <f>+'Anexo 17'!W17*'Anexo 7'!$D$10</f>
        <v>0</v>
      </c>
      <c r="X17" s="33">
        <f>+'Anexo 17'!X17*'Anexo 7'!$D$10</f>
        <v>0</v>
      </c>
      <c r="Y17" s="33">
        <f>+'Anexo 17'!Y17*'Anexo 7'!$D$10</f>
        <v>0</v>
      </c>
      <c r="Z17" s="33">
        <f>+'Anexo 17'!Z17*'Anexo 7'!$D$10</f>
        <v>0</v>
      </c>
      <c r="AA17" s="41">
        <f t="shared" si="0"/>
        <v>0</v>
      </c>
      <c r="AB17" s="23">
        <v>4</v>
      </c>
      <c r="AC17" s="96"/>
      <c r="AD17" s="48"/>
    </row>
    <row r="18" spans="1:30" ht="15.75" thickBot="1" x14ac:dyDescent="0.3">
      <c r="A18" s="93">
        <v>48335</v>
      </c>
      <c r="B18" s="18" t="s">
        <v>5</v>
      </c>
      <c r="C18" s="33">
        <f>+'Anexo 17'!C18*'Anexo 7'!$D$10</f>
        <v>0</v>
      </c>
      <c r="D18" s="33">
        <f>+'Anexo 17'!D18*'Anexo 7'!$D$10</f>
        <v>0</v>
      </c>
      <c r="E18" s="33">
        <f>+'Anexo 17'!E18*'Anexo 7'!$D$10</f>
        <v>0</v>
      </c>
      <c r="F18" s="33">
        <f>+'Anexo 17'!F18*'Anexo 7'!$D$10</f>
        <v>0</v>
      </c>
      <c r="G18" s="33">
        <f>+'Anexo 17'!G18*'Anexo 7'!$D$10</f>
        <v>0</v>
      </c>
      <c r="H18" s="33">
        <f>+'Anexo 17'!H18*'Anexo 7'!$D$10</f>
        <v>0</v>
      </c>
      <c r="I18" s="33">
        <f>+'Anexo 17'!I18*'Anexo 7'!$D$10</f>
        <v>0</v>
      </c>
      <c r="J18" s="33">
        <f>+'Anexo 17'!J18*'Anexo 7'!$D$10</f>
        <v>0</v>
      </c>
      <c r="K18" s="33">
        <f>+'Anexo 17'!K18*'Anexo 7'!$D$10</f>
        <v>0</v>
      </c>
      <c r="L18" s="33">
        <f>+'Anexo 17'!L18*'Anexo 7'!$D$10</f>
        <v>0</v>
      </c>
      <c r="M18" s="33">
        <f>+'Anexo 17'!M18*'Anexo 7'!$D$10</f>
        <v>0</v>
      </c>
      <c r="N18" s="33">
        <f>+'Anexo 17'!N18*'Anexo 7'!$D$10</f>
        <v>0</v>
      </c>
      <c r="O18" s="33">
        <f>+'Anexo 17'!O18*'Anexo 7'!$D$10</f>
        <v>0</v>
      </c>
      <c r="P18" s="33">
        <f>+'Anexo 17'!P18*'Anexo 7'!$D$10</f>
        <v>0</v>
      </c>
      <c r="Q18" s="33">
        <f>+'Anexo 17'!Q18*'Anexo 7'!$D$10</f>
        <v>0</v>
      </c>
      <c r="R18" s="33">
        <f>+'Anexo 17'!R18*'Anexo 7'!$D$10</f>
        <v>0</v>
      </c>
      <c r="S18" s="33">
        <f>+'Anexo 17'!S18*'Anexo 7'!$D$10</f>
        <v>0</v>
      </c>
      <c r="T18" s="33">
        <f>+'Anexo 17'!T18*'Anexo 7'!$D$10</f>
        <v>0</v>
      </c>
      <c r="U18" s="33">
        <f>+'Anexo 17'!U18*'Anexo 7'!$D$10</f>
        <v>0</v>
      </c>
      <c r="V18" s="33">
        <f>+'Anexo 17'!V18*'Anexo 7'!$D$10</f>
        <v>0</v>
      </c>
      <c r="W18" s="33">
        <f>+'Anexo 17'!W18*'Anexo 7'!$D$10</f>
        <v>0</v>
      </c>
      <c r="X18" s="33">
        <f>+'Anexo 17'!X18*'Anexo 7'!$D$10</f>
        <v>0</v>
      </c>
      <c r="Y18" s="33">
        <f>+'Anexo 17'!Y18*'Anexo 7'!$D$10</f>
        <v>0</v>
      </c>
      <c r="Z18" s="33">
        <f>+'Anexo 17'!Z18*'Anexo 7'!$D$10</f>
        <v>0</v>
      </c>
      <c r="AA18" s="35">
        <f t="shared" si="0"/>
        <v>0</v>
      </c>
      <c r="AB18" s="19">
        <v>19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+'Anexo 17'!C19*'Anexo 7'!$D$10</f>
        <v>0</v>
      </c>
      <c r="D19" s="33">
        <f>+'Anexo 17'!D19*'Anexo 7'!$D$10</f>
        <v>0</v>
      </c>
      <c r="E19" s="33">
        <f>+'Anexo 17'!E19*'Anexo 7'!$D$10</f>
        <v>0</v>
      </c>
      <c r="F19" s="33">
        <f>+'Anexo 17'!F19*'Anexo 7'!$D$10</f>
        <v>0</v>
      </c>
      <c r="G19" s="33">
        <f>+'Anexo 17'!G19*'Anexo 7'!$D$10</f>
        <v>0</v>
      </c>
      <c r="H19" s="33">
        <f>+'Anexo 17'!H19*'Anexo 7'!$D$10</f>
        <v>0</v>
      </c>
      <c r="I19" s="33">
        <f>+'Anexo 17'!I19*'Anexo 7'!$D$10</f>
        <v>0</v>
      </c>
      <c r="J19" s="33">
        <f>+'Anexo 17'!J19*'Anexo 7'!$D$10</f>
        <v>0</v>
      </c>
      <c r="K19" s="33">
        <f>+'Anexo 17'!K19*'Anexo 7'!$D$10</f>
        <v>0</v>
      </c>
      <c r="L19" s="33">
        <f>+'Anexo 17'!L19*'Anexo 7'!$D$10</f>
        <v>0</v>
      </c>
      <c r="M19" s="33">
        <f>+'Anexo 17'!M19*'Anexo 7'!$D$10</f>
        <v>0</v>
      </c>
      <c r="N19" s="33">
        <f>+'Anexo 17'!N19*'Anexo 7'!$D$10</f>
        <v>0</v>
      </c>
      <c r="O19" s="33">
        <f>+'Anexo 17'!O19*'Anexo 7'!$D$10</f>
        <v>0</v>
      </c>
      <c r="P19" s="33">
        <f>+'Anexo 17'!P19*'Anexo 7'!$D$10</f>
        <v>0</v>
      </c>
      <c r="Q19" s="33">
        <f>+'Anexo 17'!Q19*'Anexo 7'!$D$10</f>
        <v>0</v>
      </c>
      <c r="R19" s="33">
        <f>+'Anexo 17'!R19*'Anexo 7'!$D$10</f>
        <v>0</v>
      </c>
      <c r="S19" s="33">
        <f>+'Anexo 17'!S19*'Anexo 7'!$D$10</f>
        <v>0</v>
      </c>
      <c r="T19" s="33">
        <f>+'Anexo 17'!T19*'Anexo 7'!$D$10</f>
        <v>0</v>
      </c>
      <c r="U19" s="33">
        <f>+'Anexo 17'!U19*'Anexo 7'!$D$10</f>
        <v>0</v>
      </c>
      <c r="V19" s="33">
        <f>+'Anexo 17'!V19*'Anexo 7'!$D$10</f>
        <v>0</v>
      </c>
      <c r="W19" s="33">
        <f>+'Anexo 17'!W19*'Anexo 7'!$D$10</f>
        <v>0</v>
      </c>
      <c r="X19" s="33">
        <f>+'Anexo 17'!X19*'Anexo 7'!$D$10</f>
        <v>0</v>
      </c>
      <c r="Y19" s="33">
        <f>+'Anexo 17'!Y19*'Anexo 7'!$D$10</f>
        <v>0</v>
      </c>
      <c r="Z19" s="33">
        <f>+'Anexo 17'!Z19*'Anexo 7'!$D$10</f>
        <v>0</v>
      </c>
      <c r="AA19" s="38">
        <f t="shared" si="0"/>
        <v>0</v>
      </c>
      <c r="AB19" s="21">
        <v>4</v>
      </c>
      <c r="AC19" s="95"/>
      <c r="AD19" s="47"/>
    </row>
    <row r="20" spans="1:30" ht="15.75" thickBot="1" x14ac:dyDescent="0.3">
      <c r="A20" s="93"/>
      <c r="B20" s="22" t="s">
        <v>3</v>
      </c>
      <c r="C20" s="33">
        <f>+'Anexo 17'!C20*'Anexo 7'!$D$10</f>
        <v>0</v>
      </c>
      <c r="D20" s="33">
        <f>+'Anexo 17'!D20*'Anexo 7'!$D$10</f>
        <v>0</v>
      </c>
      <c r="E20" s="33">
        <f>+'Anexo 17'!E20*'Anexo 7'!$D$10</f>
        <v>0</v>
      </c>
      <c r="F20" s="33">
        <f>+'Anexo 17'!F20*'Anexo 7'!$D$10</f>
        <v>0</v>
      </c>
      <c r="G20" s="33">
        <f>+'Anexo 17'!G20*'Anexo 7'!$D$10</f>
        <v>0</v>
      </c>
      <c r="H20" s="33">
        <f>+'Anexo 17'!H20*'Anexo 7'!$D$10</f>
        <v>0</v>
      </c>
      <c r="I20" s="33">
        <f>+'Anexo 17'!I20*'Anexo 7'!$D$10</f>
        <v>0</v>
      </c>
      <c r="J20" s="33">
        <f>+'Anexo 17'!J20*'Anexo 7'!$D$10</f>
        <v>0</v>
      </c>
      <c r="K20" s="33">
        <f>+'Anexo 17'!K20*'Anexo 7'!$D$10</f>
        <v>0</v>
      </c>
      <c r="L20" s="33">
        <f>+'Anexo 17'!L20*'Anexo 7'!$D$10</f>
        <v>0</v>
      </c>
      <c r="M20" s="33">
        <f>+'Anexo 17'!M20*'Anexo 7'!$D$10</f>
        <v>0</v>
      </c>
      <c r="N20" s="33">
        <f>+'Anexo 17'!N20*'Anexo 7'!$D$10</f>
        <v>0</v>
      </c>
      <c r="O20" s="33">
        <f>+'Anexo 17'!O20*'Anexo 7'!$D$10</f>
        <v>0</v>
      </c>
      <c r="P20" s="33">
        <f>+'Anexo 17'!P20*'Anexo 7'!$D$10</f>
        <v>0</v>
      </c>
      <c r="Q20" s="33">
        <f>+'Anexo 17'!Q20*'Anexo 7'!$D$10</f>
        <v>0</v>
      </c>
      <c r="R20" s="33">
        <f>+'Anexo 17'!R20*'Anexo 7'!$D$10</f>
        <v>0</v>
      </c>
      <c r="S20" s="33">
        <f>+'Anexo 17'!S20*'Anexo 7'!$D$10</f>
        <v>0</v>
      </c>
      <c r="T20" s="33">
        <f>+'Anexo 17'!T20*'Anexo 7'!$D$10</f>
        <v>0</v>
      </c>
      <c r="U20" s="33">
        <f>+'Anexo 17'!U20*'Anexo 7'!$D$10</f>
        <v>0</v>
      </c>
      <c r="V20" s="33">
        <f>+'Anexo 17'!V20*'Anexo 7'!$D$10</f>
        <v>0</v>
      </c>
      <c r="W20" s="33">
        <f>+'Anexo 17'!W20*'Anexo 7'!$D$10</f>
        <v>0</v>
      </c>
      <c r="X20" s="33">
        <f>+'Anexo 17'!X20*'Anexo 7'!$D$10</f>
        <v>0</v>
      </c>
      <c r="Y20" s="33">
        <f>+'Anexo 17'!Y20*'Anexo 7'!$D$10</f>
        <v>0</v>
      </c>
      <c r="Z20" s="33">
        <f>+'Anexo 17'!Z20*'Anexo 7'!$D$10</f>
        <v>0</v>
      </c>
      <c r="AA20" s="41">
        <f t="shared" si="0"/>
        <v>0</v>
      </c>
      <c r="AB20" s="23">
        <v>8</v>
      </c>
      <c r="AC20" s="96"/>
      <c r="AD20" s="48"/>
    </row>
    <row r="21" spans="1:30" ht="15.75" thickBot="1" x14ac:dyDescent="0.3">
      <c r="A21" s="93">
        <v>48366</v>
      </c>
      <c r="B21" s="18" t="s">
        <v>5</v>
      </c>
      <c r="C21" s="33">
        <f>+'Anexo 17'!C21*'Anexo 7'!$D$10</f>
        <v>0</v>
      </c>
      <c r="D21" s="33">
        <f>+'Anexo 17'!D21*'Anexo 7'!$D$10</f>
        <v>0</v>
      </c>
      <c r="E21" s="33">
        <f>+'Anexo 17'!E21*'Anexo 7'!$D$10</f>
        <v>0</v>
      </c>
      <c r="F21" s="33">
        <f>+'Anexo 17'!F21*'Anexo 7'!$D$10</f>
        <v>0</v>
      </c>
      <c r="G21" s="33">
        <f>+'Anexo 17'!G21*'Anexo 7'!$D$10</f>
        <v>0</v>
      </c>
      <c r="H21" s="33">
        <f>+'Anexo 17'!H21*'Anexo 7'!$D$10</f>
        <v>0</v>
      </c>
      <c r="I21" s="33">
        <f>+'Anexo 17'!I21*'Anexo 7'!$D$10</f>
        <v>0</v>
      </c>
      <c r="J21" s="33">
        <f>+'Anexo 17'!J21*'Anexo 7'!$D$10</f>
        <v>0</v>
      </c>
      <c r="K21" s="33">
        <f>+'Anexo 17'!K21*'Anexo 7'!$D$10</f>
        <v>0</v>
      </c>
      <c r="L21" s="33">
        <f>+'Anexo 17'!L21*'Anexo 7'!$D$10</f>
        <v>0</v>
      </c>
      <c r="M21" s="33">
        <f>+'Anexo 17'!M21*'Anexo 7'!$D$10</f>
        <v>0</v>
      </c>
      <c r="N21" s="33">
        <f>+'Anexo 17'!N21*'Anexo 7'!$D$10</f>
        <v>0</v>
      </c>
      <c r="O21" s="33">
        <f>+'Anexo 17'!O21*'Anexo 7'!$D$10</f>
        <v>0</v>
      </c>
      <c r="P21" s="33">
        <f>+'Anexo 17'!P21*'Anexo 7'!$D$10</f>
        <v>0</v>
      </c>
      <c r="Q21" s="33">
        <f>+'Anexo 17'!Q21*'Anexo 7'!$D$10</f>
        <v>0</v>
      </c>
      <c r="R21" s="33">
        <f>+'Anexo 17'!R21*'Anexo 7'!$D$10</f>
        <v>0</v>
      </c>
      <c r="S21" s="33">
        <f>+'Anexo 17'!S21*'Anexo 7'!$D$10</f>
        <v>0</v>
      </c>
      <c r="T21" s="33">
        <f>+'Anexo 17'!T21*'Anexo 7'!$D$10</f>
        <v>0</v>
      </c>
      <c r="U21" s="33">
        <f>+'Anexo 17'!U21*'Anexo 7'!$D$10</f>
        <v>0</v>
      </c>
      <c r="V21" s="33">
        <f>+'Anexo 17'!V21*'Anexo 7'!$D$10</f>
        <v>0</v>
      </c>
      <c r="W21" s="33">
        <f>+'Anexo 17'!W21*'Anexo 7'!$D$10</f>
        <v>0</v>
      </c>
      <c r="X21" s="33">
        <f>+'Anexo 17'!X21*'Anexo 7'!$D$10</f>
        <v>0</v>
      </c>
      <c r="Y21" s="33">
        <f>+'Anexo 17'!Y21*'Anexo 7'!$D$10</f>
        <v>0</v>
      </c>
      <c r="Z21" s="33">
        <f>+'Anexo 17'!Z21*'Anexo 7'!$D$10</f>
        <v>0</v>
      </c>
      <c r="AA21" s="35">
        <f t="shared" si="0"/>
        <v>0</v>
      </c>
      <c r="AB21" s="19">
        <v>21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+'Anexo 17'!C22*'Anexo 7'!$D$10</f>
        <v>0</v>
      </c>
      <c r="D22" s="33">
        <f>+'Anexo 17'!D22*'Anexo 7'!$D$10</f>
        <v>0</v>
      </c>
      <c r="E22" s="33">
        <f>+'Anexo 17'!E22*'Anexo 7'!$D$10</f>
        <v>0</v>
      </c>
      <c r="F22" s="33">
        <f>+'Anexo 17'!F22*'Anexo 7'!$D$10</f>
        <v>0</v>
      </c>
      <c r="G22" s="33">
        <f>+'Anexo 17'!G22*'Anexo 7'!$D$10</f>
        <v>0</v>
      </c>
      <c r="H22" s="33">
        <f>+'Anexo 17'!H22*'Anexo 7'!$D$10</f>
        <v>0</v>
      </c>
      <c r="I22" s="33">
        <f>+'Anexo 17'!I22*'Anexo 7'!$D$10</f>
        <v>0</v>
      </c>
      <c r="J22" s="33">
        <f>+'Anexo 17'!J22*'Anexo 7'!$D$10</f>
        <v>0</v>
      </c>
      <c r="K22" s="33">
        <f>+'Anexo 17'!K22*'Anexo 7'!$D$10</f>
        <v>0</v>
      </c>
      <c r="L22" s="33">
        <f>+'Anexo 17'!L22*'Anexo 7'!$D$10</f>
        <v>0</v>
      </c>
      <c r="M22" s="33">
        <f>+'Anexo 17'!M22*'Anexo 7'!$D$10</f>
        <v>0</v>
      </c>
      <c r="N22" s="33">
        <f>+'Anexo 17'!N22*'Anexo 7'!$D$10</f>
        <v>0</v>
      </c>
      <c r="O22" s="33">
        <f>+'Anexo 17'!O22*'Anexo 7'!$D$10</f>
        <v>0</v>
      </c>
      <c r="P22" s="33">
        <f>+'Anexo 17'!P22*'Anexo 7'!$D$10</f>
        <v>0</v>
      </c>
      <c r="Q22" s="33">
        <f>+'Anexo 17'!Q22*'Anexo 7'!$D$10</f>
        <v>0</v>
      </c>
      <c r="R22" s="33">
        <f>+'Anexo 17'!R22*'Anexo 7'!$D$10</f>
        <v>0</v>
      </c>
      <c r="S22" s="33">
        <f>+'Anexo 17'!S22*'Anexo 7'!$D$10</f>
        <v>0</v>
      </c>
      <c r="T22" s="33">
        <f>+'Anexo 17'!T22*'Anexo 7'!$D$10</f>
        <v>0</v>
      </c>
      <c r="U22" s="33">
        <f>+'Anexo 17'!U22*'Anexo 7'!$D$10</f>
        <v>0</v>
      </c>
      <c r="V22" s="33">
        <f>+'Anexo 17'!V22*'Anexo 7'!$D$10</f>
        <v>0</v>
      </c>
      <c r="W22" s="33">
        <f>+'Anexo 17'!W22*'Anexo 7'!$D$10</f>
        <v>0</v>
      </c>
      <c r="X22" s="33">
        <f>+'Anexo 17'!X22*'Anexo 7'!$D$10</f>
        <v>0</v>
      </c>
      <c r="Y22" s="33">
        <f>+'Anexo 17'!Y22*'Anexo 7'!$D$10</f>
        <v>0</v>
      </c>
      <c r="Z22" s="33">
        <f>+'Anexo 17'!Z22*'Anexo 7'!$D$10</f>
        <v>0</v>
      </c>
      <c r="AA22" s="38">
        <f t="shared" si="0"/>
        <v>0</v>
      </c>
      <c r="AB22" s="21">
        <v>4</v>
      </c>
      <c r="AC22" s="95"/>
      <c r="AD22" s="47"/>
    </row>
    <row r="23" spans="1:30" ht="15.75" thickBot="1" x14ac:dyDescent="0.3">
      <c r="A23" s="93"/>
      <c r="B23" s="22" t="s">
        <v>3</v>
      </c>
      <c r="C23" s="33">
        <f>+'Anexo 17'!C23*'Anexo 7'!$D$10</f>
        <v>0</v>
      </c>
      <c r="D23" s="33">
        <f>+'Anexo 17'!D23*'Anexo 7'!$D$10</f>
        <v>0</v>
      </c>
      <c r="E23" s="33">
        <f>+'Anexo 17'!E23*'Anexo 7'!$D$10</f>
        <v>0</v>
      </c>
      <c r="F23" s="33">
        <f>+'Anexo 17'!F23*'Anexo 7'!$D$10</f>
        <v>0</v>
      </c>
      <c r="G23" s="33">
        <f>+'Anexo 17'!G23*'Anexo 7'!$D$10</f>
        <v>0</v>
      </c>
      <c r="H23" s="33">
        <f>+'Anexo 17'!H23*'Anexo 7'!$D$10</f>
        <v>0</v>
      </c>
      <c r="I23" s="33">
        <f>+'Anexo 17'!I23*'Anexo 7'!$D$10</f>
        <v>0</v>
      </c>
      <c r="J23" s="33">
        <f>+'Anexo 17'!J23*'Anexo 7'!$D$10</f>
        <v>0</v>
      </c>
      <c r="K23" s="33">
        <f>+'Anexo 17'!K23*'Anexo 7'!$D$10</f>
        <v>0</v>
      </c>
      <c r="L23" s="33">
        <f>+'Anexo 17'!L23*'Anexo 7'!$D$10</f>
        <v>0</v>
      </c>
      <c r="M23" s="33">
        <f>+'Anexo 17'!M23*'Anexo 7'!$D$10</f>
        <v>0</v>
      </c>
      <c r="N23" s="33">
        <f>+'Anexo 17'!N23*'Anexo 7'!$D$10</f>
        <v>0</v>
      </c>
      <c r="O23" s="33">
        <f>+'Anexo 17'!O23*'Anexo 7'!$D$10</f>
        <v>0</v>
      </c>
      <c r="P23" s="33">
        <f>+'Anexo 17'!P23*'Anexo 7'!$D$10</f>
        <v>0</v>
      </c>
      <c r="Q23" s="33">
        <f>+'Anexo 17'!Q23*'Anexo 7'!$D$10</f>
        <v>0</v>
      </c>
      <c r="R23" s="33">
        <f>+'Anexo 17'!R23*'Anexo 7'!$D$10</f>
        <v>0</v>
      </c>
      <c r="S23" s="33">
        <f>+'Anexo 17'!S23*'Anexo 7'!$D$10</f>
        <v>0</v>
      </c>
      <c r="T23" s="33">
        <f>+'Anexo 17'!T23*'Anexo 7'!$D$10</f>
        <v>0</v>
      </c>
      <c r="U23" s="33">
        <f>+'Anexo 17'!U23*'Anexo 7'!$D$10</f>
        <v>0</v>
      </c>
      <c r="V23" s="33">
        <f>+'Anexo 17'!V23*'Anexo 7'!$D$10</f>
        <v>0</v>
      </c>
      <c r="W23" s="33">
        <f>+'Anexo 17'!W23*'Anexo 7'!$D$10</f>
        <v>0</v>
      </c>
      <c r="X23" s="33">
        <f>+'Anexo 17'!X23*'Anexo 7'!$D$10</f>
        <v>0</v>
      </c>
      <c r="Y23" s="33">
        <f>+'Anexo 17'!Y23*'Anexo 7'!$D$10</f>
        <v>0</v>
      </c>
      <c r="Z23" s="33">
        <f>+'Anexo 17'!Z23*'Anexo 7'!$D$10</f>
        <v>0</v>
      </c>
      <c r="AA23" s="41">
        <f t="shared" si="0"/>
        <v>0</v>
      </c>
      <c r="AB23" s="23">
        <v>5</v>
      </c>
      <c r="AC23" s="96"/>
      <c r="AD23" s="48"/>
    </row>
    <row r="24" spans="1:30" ht="15.75" thickBot="1" x14ac:dyDescent="0.3">
      <c r="A24" s="93">
        <v>48396</v>
      </c>
      <c r="B24" s="18" t="s">
        <v>5</v>
      </c>
      <c r="C24" s="33">
        <f>+'Anexo 17'!C24*'Anexo 7'!$D$10</f>
        <v>0</v>
      </c>
      <c r="D24" s="33">
        <f>+'Anexo 17'!D24*'Anexo 7'!$D$10</f>
        <v>0</v>
      </c>
      <c r="E24" s="33">
        <f>+'Anexo 17'!E24*'Anexo 7'!$D$10</f>
        <v>0</v>
      </c>
      <c r="F24" s="33">
        <f>+'Anexo 17'!F24*'Anexo 7'!$D$10</f>
        <v>0</v>
      </c>
      <c r="G24" s="33">
        <f>+'Anexo 17'!G24*'Anexo 7'!$D$10</f>
        <v>0</v>
      </c>
      <c r="H24" s="33">
        <f>+'Anexo 17'!H24*'Anexo 7'!$D$10</f>
        <v>0</v>
      </c>
      <c r="I24" s="33">
        <f>+'Anexo 17'!I24*'Anexo 7'!$D$10</f>
        <v>0</v>
      </c>
      <c r="J24" s="33">
        <f>+'Anexo 17'!J24*'Anexo 7'!$D$10</f>
        <v>0</v>
      </c>
      <c r="K24" s="33">
        <f>+'Anexo 17'!K24*'Anexo 7'!$D$10</f>
        <v>0</v>
      </c>
      <c r="L24" s="33">
        <f>+'Anexo 17'!L24*'Anexo 7'!$D$10</f>
        <v>0</v>
      </c>
      <c r="M24" s="33">
        <f>+'Anexo 17'!M24*'Anexo 7'!$D$10</f>
        <v>0</v>
      </c>
      <c r="N24" s="33">
        <f>+'Anexo 17'!N24*'Anexo 7'!$D$10</f>
        <v>0</v>
      </c>
      <c r="O24" s="33">
        <f>+'Anexo 17'!O24*'Anexo 7'!$D$10</f>
        <v>0</v>
      </c>
      <c r="P24" s="33">
        <f>+'Anexo 17'!P24*'Anexo 7'!$D$10</f>
        <v>0</v>
      </c>
      <c r="Q24" s="33">
        <f>+'Anexo 17'!Q24*'Anexo 7'!$D$10</f>
        <v>0</v>
      </c>
      <c r="R24" s="33">
        <f>+'Anexo 17'!R24*'Anexo 7'!$D$10</f>
        <v>0</v>
      </c>
      <c r="S24" s="33">
        <f>+'Anexo 17'!S24*'Anexo 7'!$D$10</f>
        <v>0</v>
      </c>
      <c r="T24" s="33">
        <f>+'Anexo 17'!T24*'Anexo 7'!$D$10</f>
        <v>0</v>
      </c>
      <c r="U24" s="33">
        <f>+'Anexo 17'!U24*'Anexo 7'!$D$10</f>
        <v>0</v>
      </c>
      <c r="V24" s="33">
        <f>+'Anexo 17'!V24*'Anexo 7'!$D$10</f>
        <v>0</v>
      </c>
      <c r="W24" s="33">
        <f>+'Anexo 17'!W24*'Anexo 7'!$D$10</f>
        <v>0</v>
      </c>
      <c r="X24" s="33">
        <f>+'Anexo 17'!X24*'Anexo 7'!$D$10</f>
        <v>0</v>
      </c>
      <c r="Y24" s="33">
        <f>+'Anexo 17'!Y24*'Anexo 7'!$D$10</f>
        <v>0</v>
      </c>
      <c r="Z24" s="33">
        <f>+'Anexo 17'!Z24*'Anexo 7'!$D$10</f>
        <v>0</v>
      </c>
      <c r="AA24" s="35">
        <f t="shared" si="0"/>
        <v>0</v>
      </c>
      <c r="AB24" s="19">
        <v>20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+'Anexo 17'!C25*'Anexo 7'!$D$10</f>
        <v>0</v>
      </c>
      <c r="D25" s="33">
        <f>+'Anexo 17'!D25*'Anexo 7'!$D$10</f>
        <v>0</v>
      </c>
      <c r="E25" s="33">
        <f>+'Anexo 17'!E25*'Anexo 7'!$D$10</f>
        <v>0</v>
      </c>
      <c r="F25" s="33">
        <f>+'Anexo 17'!F25*'Anexo 7'!$D$10</f>
        <v>0</v>
      </c>
      <c r="G25" s="33">
        <f>+'Anexo 17'!G25*'Anexo 7'!$D$10</f>
        <v>0</v>
      </c>
      <c r="H25" s="33">
        <f>+'Anexo 17'!H25*'Anexo 7'!$D$10</f>
        <v>0</v>
      </c>
      <c r="I25" s="33">
        <f>+'Anexo 17'!I25*'Anexo 7'!$D$10</f>
        <v>0</v>
      </c>
      <c r="J25" s="33">
        <f>+'Anexo 17'!J25*'Anexo 7'!$D$10</f>
        <v>0</v>
      </c>
      <c r="K25" s="33">
        <f>+'Anexo 17'!K25*'Anexo 7'!$D$10</f>
        <v>0</v>
      </c>
      <c r="L25" s="33">
        <f>+'Anexo 17'!L25*'Anexo 7'!$D$10</f>
        <v>0</v>
      </c>
      <c r="M25" s="33">
        <f>+'Anexo 17'!M25*'Anexo 7'!$D$10</f>
        <v>0</v>
      </c>
      <c r="N25" s="33">
        <f>+'Anexo 17'!N25*'Anexo 7'!$D$10</f>
        <v>0</v>
      </c>
      <c r="O25" s="33">
        <f>+'Anexo 17'!O25*'Anexo 7'!$D$10</f>
        <v>0</v>
      </c>
      <c r="P25" s="33">
        <f>+'Anexo 17'!P25*'Anexo 7'!$D$10</f>
        <v>0</v>
      </c>
      <c r="Q25" s="33">
        <f>+'Anexo 17'!Q25*'Anexo 7'!$D$10</f>
        <v>0</v>
      </c>
      <c r="R25" s="33">
        <f>+'Anexo 17'!R25*'Anexo 7'!$D$10</f>
        <v>0</v>
      </c>
      <c r="S25" s="33">
        <f>+'Anexo 17'!S25*'Anexo 7'!$D$10</f>
        <v>0</v>
      </c>
      <c r="T25" s="33">
        <f>+'Anexo 17'!T25*'Anexo 7'!$D$10</f>
        <v>0</v>
      </c>
      <c r="U25" s="33">
        <f>+'Anexo 17'!U25*'Anexo 7'!$D$10</f>
        <v>0</v>
      </c>
      <c r="V25" s="33">
        <f>+'Anexo 17'!V25*'Anexo 7'!$D$10</f>
        <v>0</v>
      </c>
      <c r="W25" s="33">
        <f>+'Anexo 17'!W25*'Anexo 7'!$D$10</f>
        <v>0</v>
      </c>
      <c r="X25" s="33">
        <f>+'Anexo 17'!X25*'Anexo 7'!$D$10</f>
        <v>0</v>
      </c>
      <c r="Y25" s="33">
        <f>+'Anexo 17'!Y25*'Anexo 7'!$D$10</f>
        <v>0</v>
      </c>
      <c r="Z25" s="33">
        <f>+'Anexo 17'!Z25*'Anexo 7'!$D$10</f>
        <v>0</v>
      </c>
      <c r="AA25" s="38">
        <f t="shared" si="0"/>
        <v>0</v>
      </c>
      <c r="AB25" s="21">
        <v>5</v>
      </c>
      <c r="AC25" s="95"/>
      <c r="AD25" s="47"/>
    </row>
    <row r="26" spans="1:30" ht="15.75" thickBot="1" x14ac:dyDescent="0.3">
      <c r="A26" s="93"/>
      <c r="B26" s="22" t="s">
        <v>3</v>
      </c>
      <c r="C26" s="33">
        <f>+'Anexo 17'!C26*'Anexo 7'!$D$10</f>
        <v>0</v>
      </c>
      <c r="D26" s="33">
        <f>+'Anexo 17'!D26*'Anexo 7'!$D$10</f>
        <v>0</v>
      </c>
      <c r="E26" s="33">
        <f>+'Anexo 17'!E26*'Anexo 7'!$D$10</f>
        <v>0</v>
      </c>
      <c r="F26" s="33">
        <f>+'Anexo 17'!F26*'Anexo 7'!$D$10</f>
        <v>0</v>
      </c>
      <c r="G26" s="33">
        <f>+'Anexo 17'!G26*'Anexo 7'!$D$10</f>
        <v>0</v>
      </c>
      <c r="H26" s="33">
        <f>+'Anexo 17'!H26*'Anexo 7'!$D$10</f>
        <v>0</v>
      </c>
      <c r="I26" s="33">
        <f>+'Anexo 17'!I26*'Anexo 7'!$D$10</f>
        <v>0</v>
      </c>
      <c r="J26" s="33">
        <f>+'Anexo 17'!J26*'Anexo 7'!$D$10</f>
        <v>0</v>
      </c>
      <c r="K26" s="33">
        <f>+'Anexo 17'!K26*'Anexo 7'!$D$10</f>
        <v>0</v>
      </c>
      <c r="L26" s="33">
        <f>+'Anexo 17'!L26*'Anexo 7'!$D$10</f>
        <v>0</v>
      </c>
      <c r="M26" s="33">
        <f>+'Anexo 17'!M26*'Anexo 7'!$D$10</f>
        <v>0</v>
      </c>
      <c r="N26" s="33">
        <f>+'Anexo 17'!N26*'Anexo 7'!$D$10</f>
        <v>0</v>
      </c>
      <c r="O26" s="33">
        <f>+'Anexo 17'!O26*'Anexo 7'!$D$10</f>
        <v>0</v>
      </c>
      <c r="P26" s="33">
        <f>+'Anexo 17'!P26*'Anexo 7'!$D$10</f>
        <v>0</v>
      </c>
      <c r="Q26" s="33">
        <f>+'Anexo 17'!Q26*'Anexo 7'!$D$10</f>
        <v>0</v>
      </c>
      <c r="R26" s="33">
        <f>+'Anexo 17'!R26*'Anexo 7'!$D$10</f>
        <v>0</v>
      </c>
      <c r="S26" s="33">
        <f>+'Anexo 17'!S26*'Anexo 7'!$D$10</f>
        <v>0</v>
      </c>
      <c r="T26" s="33">
        <f>+'Anexo 17'!T26*'Anexo 7'!$D$10</f>
        <v>0</v>
      </c>
      <c r="U26" s="33">
        <f>+'Anexo 17'!U26*'Anexo 7'!$D$10</f>
        <v>0</v>
      </c>
      <c r="V26" s="33">
        <f>+'Anexo 17'!V26*'Anexo 7'!$D$10</f>
        <v>0</v>
      </c>
      <c r="W26" s="33">
        <f>+'Anexo 17'!W26*'Anexo 7'!$D$10</f>
        <v>0</v>
      </c>
      <c r="X26" s="33">
        <f>+'Anexo 17'!X26*'Anexo 7'!$D$10</f>
        <v>0</v>
      </c>
      <c r="Y26" s="33">
        <f>+'Anexo 17'!Y26*'Anexo 7'!$D$10</f>
        <v>0</v>
      </c>
      <c r="Z26" s="33">
        <f>+'Anexo 17'!Z26*'Anexo 7'!$D$10</f>
        <v>0</v>
      </c>
      <c r="AA26" s="41">
        <f t="shared" si="0"/>
        <v>0</v>
      </c>
      <c r="AB26" s="23">
        <v>6</v>
      </c>
      <c r="AC26" s="96"/>
      <c r="AD26" s="48"/>
    </row>
    <row r="27" spans="1:30" ht="15.75" thickBot="1" x14ac:dyDescent="0.3">
      <c r="A27" s="93">
        <v>48427</v>
      </c>
      <c r="B27" s="18" t="s">
        <v>5</v>
      </c>
      <c r="C27" s="33">
        <f>+'Anexo 17'!C27*'Anexo 7'!$D$10</f>
        <v>0</v>
      </c>
      <c r="D27" s="33">
        <f>+'Anexo 17'!D27*'Anexo 7'!$D$10</f>
        <v>0</v>
      </c>
      <c r="E27" s="33">
        <f>+'Anexo 17'!E27*'Anexo 7'!$D$10</f>
        <v>0</v>
      </c>
      <c r="F27" s="33">
        <f>+'Anexo 17'!F27*'Anexo 7'!$D$10</f>
        <v>0</v>
      </c>
      <c r="G27" s="33">
        <f>+'Anexo 17'!G27*'Anexo 7'!$D$10</f>
        <v>0</v>
      </c>
      <c r="H27" s="33">
        <f>+'Anexo 17'!H27*'Anexo 7'!$D$10</f>
        <v>0</v>
      </c>
      <c r="I27" s="33">
        <f>+'Anexo 17'!I27*'Anexo 7'!$D$10</f>
        <v>0</v>
      </c>
      <c r="J27" s="33">
        <f>+'Anexo 17'!J27*'Anexo 7'!$D$10</f>
        <v>0</v>
      </c>
      <c r="K27" s="33">
        <f>+'Anexo 17'!K27*'Anexo 7'!$D$10</f>
        <v>0</v>
      </c>
      <c r="L27" s="33">
        <f>+'Anexo 17'!L27*'Anexo 7'!$D$10</f>
        <v>0</v>
      </c>
      <c r="M27" s="33">
        <f>+'Anexo 17'!M27*'Anexo 7'!$D$10</f>
        <v>0</v>
      </c>
      <c r="N27" s="33">
        <f>+'Anexo 17'!N27*'Anexo 7'!$D$10</f>
        <v>0</v>
      </c>
      <c r="O27" s="33">
        <f>+'Anexo 17'!O27*'Anexo 7'!$D$10</f>
        <v>0</v>
      </c>
      <c r="P27" s="33">
        <f>+'Anexo 17'!P27*'Anexo 7'!$D$10</f>
        <v>0</v>
      </c>
      <c r="Q27" s="33">
        <f>+'Anexo 17'!Q27*'Anexo 7'!$D$10</f>
        <v>0</v>
      </c>
      <c r="R27" s="33">
        <f>+'Anexo 17'!R27*'Anexo 7'!$D$10</f>
        <v>0</v>
      </c>
      <c r="S27" s="33">
        <f>+'Anexo 17'!S27*'Anexo 7'!$D$10</f>
        <v>0</v>
      </c>
      <c r="T27" s="33">
        <f>+'Anexo 17'!T27*'Anexo 7'!$D$10</f>
        <v>0</v>
      </c>
      <c r="U27" s="33">
        <f>+'Anexo 17'!U27*'Anexo 7'!$D$10</f>
        <v>0</v>
      </c>
      <c r="V27" s="33">
        <f>+'Anexo 17'!V27*'Anexo 7'!$D$10</f>
        <v>0</v>
      </c>
      <c r="W27" s="33">
        <f>+'Anexo 17'!W27*'Anexo 7'!$D$10</f>
        <v>0</v>
      </c>
      <c r="X27" s="33">
        <f>+'Anexo 17'!X27*'Anexo 7'!$D$10</f>
        <v>0</v>
      </c>
      <c r="Y27" s="33">
        <f>+'Anexo 17'!Y27*'Anexo 7'!$D$10</f>
        <v>0</v>
      </c>
      <c r="Z27" s="33">
        <f>+'Anexo 17'!Z27*'Anexo 7'!$D$10</f>
        <v>0</v>
      </c>
      <c r="AA27" s="35">
        <f t="shared" si="0"/>
        <v>0</v>
      </c>
      <c r="AB27" s="19">
        <v>21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+'Anexo 17'!C28*'Anexo 7'!$D$10</f>
        <v>0</v>
      </c>
      <c r="D28" s="33">
        <f>+'Anexo 17'!D28*'Anexo 7'!$D$10</f>
        <v>0</v>
      </c>
      <c r="E28" s="33">
        <f>+'Anexo 17'!E28*'Anexo 7'!$D$10</f>
        <v>0</v>
      </c>
      <c r="F28" s="33">
        <f>+'Anexo 17'!F28*'Anexo 7'!$D$10</f>
        <v>0</v>
      </c>
      <c r="G28" s="33">
        <f>+'Anexo 17'!G28*'Anexo 7'!$D$10</f>
        <v>0</v>
      </c>
      <c r="H28" s="33">
        <f>+'Anexo 17'!H28*'Anexo 7'!$D$10</f>
        <v>0</v>
      </c>
      <c r="I28" s="33">
        <f>+'Anexo 17'!I28*'Anexo 7'!$D$10</f>
        <v>0</v>
      </c>
      <c r="J28" s="33">
        <f>+'Anexo 17'!J28*'Anexo 7'!$D$10</f>
        <v>0</v>
      </c>
      <c r="K28" s="33">
        <f>+'Anexo 17'!K28*'Anexo 7'!$D$10</f>
        <v>0</v>
      </c>
      <c r="L28" s="33">
        <f>+'Anexo 17'!L28*'Anexo 7'!$D$10</f>
        <v>0</v>
      </c>
      <c r="M28" s="33">
        <f>+'Anexo 17'!M28*'Anexo 7'!$D$10</f>
        <v>0</v>
      </c>
      <c r="N28" s="33">
        <f>+'Anexo 17'!N28*'Anexo 7'!$D$10</f>
        <v>0</v>
      </c>
      <c r="O28" s="33">
        <f>+'Anexo 17'!O28*'Anexo 7'!$D$10</f>
        <v>0</v>
      </c>
      <c r="P28" s="33">
        <f>+'Anexo 17'!P28*'Anexo 7'!$D$10</f>
        <v>0</v>
      </c>
      <c r="Q28" s="33">
        <f>+'Anexo 17'!Q28*'Anexo 7'!$D$10</f>
        <v>0</v>
      </c>
      <c r="R28" s="33">
        <f>+'Anexo 17'!R28*'Anexo 7'!$D$10</f>
        <v>0</v>
      </c>
      <c r="S28" s="33">
        <f>+'Anexo 17'!S28*'Anexo 7'!$D$10</f>
        <v>0</v>
      </c>
      <c r="T28" s="33">
        <f>+'Anexo 17'!T28*'Anexo 7'!$D$10</f>
        <v>0</v>
      </c>
      <c r="U28" s="33">
        <f>+'Anexo 17'!U28*'Anexo 7'!$D$10</f>
        <v>0</v>
      </c>
      <c r="V28" s="33">
        <f>+'Anexo 17'!V28*'Anexo 7'!$D$10</f>
        <v>0</v>
      </c>
      <c r="W28" s="33">
        <f>+'Anexo 17'!W28*'Anexo 7'!$D$10</f>
        <v>0</v>
      </c>
      <c r="X28" s="33">
        <f>+'Anexo 17'!X28*'Anexo 7'!$D$10</f>
        <v>0</v>
      </c>
      <c r="Y28" s="33">
        <f>+'Anexo 17'!Y28*'Anexo 7'!$D$10</f>
        <v>0</v>
      </c>
      <c r="Z28" s="33">
        <f>+'Anexo 17'!Z28*'Anexo 7'!$D$10</f>
        <v>0</v>
      </c>
      <c r="AA28" s="38">
        <f t="shared" si="0"/>
        <v>0</v>
      </c>
      <c r="AB28" s="21">
        <v>3</v>
      </c>
      <c r="AC28" s="95"/>
      <c r="AD28" s="47"/>
    </row>
    <row r="29" spans="1:30" ht="15.75" thickBot="1" x14ac:dyDescent="0.3">
      <c r="A29" s="93"/>
      <c r="B29" s="22" t="s">
        <v>3</v>
      </c>
      <c r="C29" s="33">
        <f>+'Anexo 17'!C29*'Anexo 7'!$D$10</f>
        <v>0</v>
      </c>
      <c r="D29" s="33">
        <f>+'Anexo 17'!D29*'Anexo 7'!$D$10</f>
        <v>0</v>
      </c>
      <c r="E29" s="33">
        <f>+'Anexo 17'!E29*'Anexo 7'!$D$10</f>
        <v>0</v>
      </c>
      <c r="F29" s="33">
        <f>+'Anexo 17'!F29*'Anexo 7'!$D$10</f>
        <v>0</v>
      </c>
      <c r="G29" s="33">
        <f>+'Anexo 17'!G29*'Anexo 7'!$D$10</f>
        <v>0</v>
      </c>
      <c r="H29" s="33">
        <f>+'Anexo 17'!H29*'Anexo 7'!$D$10</f>
        <v>0</v>
      </c>
      <c r="I29" s="33">
        <f>+'Anexo 17'!I29*'Anexo 7'!$D$10</f>
        <v>0</v>
      </c>
      <c r="J29" s="33">
        <f>+'Anexo 17'!J29*'Anexo 7'!$D$10</f>
        <v>0</v>
      </c>
      <c r="K29" s="33">
        <f>+'Anexo 17'!K29*'Anexo 7'!$D$10</f>
        <v>0</v>
      </c>
      <c r="L29" s="33">
        <f>+'Anexo 17'!L29*'Anexo 7'!$D$10</f>
        <v>0</v>
      </c>
      <c r="M29" s="33">
        <f>+'Anexo 17'!M29*'Anexo 7'!$D$10</f>
        <v>0</v>
      </c>
      <c r="N29" s="33">
        <f>+'Anexo 17'!N29*'Anexo 7'!$D$10</f>
        <v>0</v>
      </c>
      <c r="O29" s="33">
        <f>+'Anexo 17'!O29*'Anexo 7'!$D$10</f>
        <v>0</v>
      </c>
      <c r="P29" s="33">
        <f>+'Anexo 17'!P29*'Anexo 7'!$D$10</f>
        <v>0</v>
      </c>
      <c r="Q29" s="33">
        <f>+'Anexo 17'!Q29*'Anexo 7'!$D$10</f>
        <v>0</v>
      </c>
      <c r="R29" s="33">
        <f>+'Anexo 17'!R29*'Anexo 7'!$D$10</f>
        <v>0</v>
      </c>
      <c r="S29" s="33">
        <f>+'Anexo 17'!S29*'Anexo 7'!$D$10</f>
        <v>0</v>
      </c>
      <c r="T29" s="33">
        <f>+'Anexo 17'!T29*'Anexo 7'!$D$10</f>
        <v>0</v>
      </c>
      <c r="U29" s="33">
        <f>+'Anexo 17'!U29*'Anexo 7'!$D$10</f>
        <v>0</v>
      </c>
      <c r="V29" s="33">
        <f>+'Anexo 17'!V29*'Anexo 7'!$D$10</f>
        <v>0</v>
      </c>
      <c r="W29" s="33">
        <f>+'Anexo 17'!W29*'Anexo 7'!$D$10</f>
        <v>0</v>
      </c>
      <c r="X29" s="33">
        <f>+'Anexo 17'!X29*'Anexo 7'!$D$10</f>
        <v>0</v>
      </c>
      <c r="Y29" s="33">
        <f>+'Anexo 17'!Y29*'Anexo 7'!$D$10</f>
        <v>0</v>
      </c>
      <c r="Z29" s="33">
        <f>+'Anexo 17'!Z29*'Anexo 7'!$D$10</f>
        <v>0</v>
      </c>
      <c r="AA29" s="41">
        <f t="shared" si="0"/>
        <v>0</v>
      </c>
      <c r="AB29" s="23">
        <v>7</v>
      </c>
      <c r="AC29" s="96"/>
      <c r="AD29" s="49"/>
    </row>
    <row r="30" spans="1:30" ht="15.75" thickBot="1" x14ac:dyDescent="0.3">
      <c r="A30" s="93">
        <v>48458</v>
      </c>
      <c r="B30" s="18" t="s">
        <v>5</v>
      </c>
      <c r="C30" s="33">
        <f>+'Anexo 17'!C30*'Anexo 7'!$D$10</f>
        <v>0</v>
      </c>
      <c r="D30" s="33">
        <f>+'Anexo 17'!D30*'Anexo 7'!$D$10</f>
        <v>0</v>
      </c>
      <c r="E30" s="33">
        <f>+'Anexo 17'!E30*'Anexo 7'!$D$10</f>
        <v>0</v>
      </c>
      <c r="F30" s="33">
        <f>+'Anexo 17'!F30*'Anexo 7'!$D$10</f>
        <v>0</v>
      </c>
      <c r="G30" s="33">
        <f>+'Anexo 17'!G30*'Anexo 7'!$D$10</f>
        <v>0</v>
      </c>
      <c r="H30" s="33">
        <f>+'Anexo 17'!H30*'Anexo 7'!$D$10</f>
        <v>0</v>
      </c>
      <c r="I30" s="33">
        <f>+'Anexo 17'!I30*'Anexo 7'!$D$10</f>
        <v>0</v>
      </c>
      <c r="J30" s="33">
        <f>+'Anexo 17'!J30*'Anexo 7'!$D$10</f>
        <v>0</v>
      </c>
      <c r="K30" s="33">
        <f>+'Anexo 17'!K30*'Anexo 7'!$D$10</f>
        <v>0</v>
      </c>
      <c r="L30" s="33">
        <f>+'Anexo 17'!L30*'Anexo 7'!$D$10</f>
        <v>0</v>
      </c>
      <c r="M30" s="33">
        <f>+'Anexo 17'!M30*'Anexo 7'!$D$10</f>
        <v>0</v>
      </c>
      <c r="N30" s="33">
        <f>+'Anexo 17'!N30*'Anexo 7'!$D$10</f>
        <v>0</v>
      </c>
      <c r="O30" s="33">
        <f>+'Anexo 17'!O30*'Anexo 7'!$D$10</f>
        <v>0</v>
      </c>
      <c r="P30" s="33">
        <f>+'Anexo 17'!P30*'Anexo 7'!$D$10</f>
        <v>0</v>
      </c>
      <c r="Q30" s="33">
        <f>+'Anexo 17'!Q30*'Anexo 7'!$D$10</f>
        <v>0</v>
      </c>
      <c r="R30" s="33">
        <f>+'Anexo 17'!R30*'Anexo 7'!$D$10</f>
        <v>0</v>
      </c>
      <c r="S30" s="33">
        <f>+'Anexo 17'!S30*'Anexo 7'!$D$10</f>
        <v>0</v>
      </c>
      <c r="T30" s="33">
        <f>+'Anexo 17'!T30*'Anexo 7'!$D$10</f>
        <v>0</v>
      </c>
      <c r="U30" s="33">
        <f>+'Anexo 17'!U30*'Anexo 7'!$D$10</f>
        <v>0</v>
      </c>
      <c r="V30" s="33">
        <f>+'Anexo 17'!V30*'Anexo 7'!$D$10</f>
        <v>0</v>
      </c>
      <c r="W30" s="33">
        <f>+'Anexo 17'!W30*'Anexo 7'!$D$10</f>
        <v>0</v>
      </c>
      <c r="X30" s="33">
        <f>+'Anexo 17'!X30*'Anexo 7'!$D$10</f>
        <v>0</v>
      </c>
      <c r="Y30" s="33">
        <f>+'Anexo 17'!Y30*'Anexo 7'!$D$10</f>
        <v>0</v>
      </c>
      <c r="Z30" s="33">
        <f>+'Anexo 17'!Z30*'Anexo 7'!$D$10</f>
        <v>0</v>
      </c>
      <c r="AA30" s="35">
        <f t="shared" si="0"/>
        <v>0</v>
      </c>
      <c r="AB30" s="19">
        <v>22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+'Anexo 17'!C31*'Anexo 7'!$D$10</f>
        <v>0</v>
      </c>
      <c r="D31" s="33">
        <f>+'Anexo 17'!D31*'Anexo 7'!$D$10</f>
        <v>0</v>
      </c>
      <c r="E31" s="33">
        <f>+'Anexo 17'!E31*'Anexo 7'!$D$10</f>
        <v>0</v>
      </c>
      <c r="F31" s="33">
        <f>+'Anexo 17'!F31*'Anexo 7'!$D$10</f>
        <v>0</v>
      </c>
      <c r="G31" s="33">
        <f>+'Anexo 17'!G31*'Anexo 7'!$D$10</f>
        <v>0</v>
      </c>
      <c r="H31" s="33">
        <f>+'Anexo 17'!H31*'Anexo 7'!$D$10</f>
        <v>0</v>
      </c>
      <c r="I31" s="33">
        <f>+'Anexo 17'!I31*'Anexo 7'!$D$10</f>
        <v>0</v>
      </c>
      <c r="J31" s="33">
        <f>+'Anexo 17'!J31*'Anexo 7'!$D$10</f>
        <v>0</v>
      </c>
      <c r="K31" s="33">
        <f>+'Anexo 17'!K31*'Anexo 7'!$D$10</f>
        <v>0</v>
      </c>
      <c r="L31" s="33">
        <f>+'Anexo 17'!L31*'Anexo 7'!$D$10</f>
        <v>0</v>
      </c>
      <c r="M31" s="33">
        <f>+'Anexo 17'!M31*'Anexo 7'!$D$10</f>
        <v>0</v>
      </c>
      <c r="N31" s="33">
        <f>+'Anexo 17'!N31*'Anexo 7'!$D$10</f>
        <v>0</v>
      </c>
      <c r="O31" s="33">
        <f>+'Anexo 17'!O31*'Anexo 7'!$D$10</f>
        <v>0</v>
      </c>
      <c r="P31" s="33">
        <f>+'Anexo 17'!P31*'Anexo 7'!$D$10</f>
        <v>0</v>
      </c>
      <c r="Q31" s="33">
        <f>+'Anexo 17'!Q31*'Anexo 7'!$D$10</f>
        <v>0</v>
      </c>
      <c r="R31" s="33">
        <f>+'Anexo 17'!R31*'Anexo 7'!$D$10</f>
        <v>0</v>
      </c>
      <c r="S31" s="33">
        <f>+'Anexo 17'!S31*'Anexo 7'!$D$10</f>
        <v>0</v>
      </c>
      <c r="T31" s="33">
        <f>+'Anexo 17'!T31*'Anexo 7'!$D$10</f>
        <v>0</v>
      </c>
      <c r="U31" s="33">
        <f>+'Anexo 17'!U31*'Anexo 7'!$D$10</f>
        <v>0</v>
      </c>
      <c r="V31" s="33">
        <f>+'Anexo 17'!V31*'Anexo 7'!$D$10</f>
        <v>0</v>
      </c>
      <c r="W31" s="33">
        <f>+'Anexo 17'!W31*'Anexo 7'!$D$10</f>
        <v>0</v>
      </c>
      <c r="X31" s="33">
        <f>+'Anexo 17'!X31*'Anexo 7'!$D$10</f>
        <v>0</v>
      </c>
      <c r="Y31" s="33">
        <f>+'Anexo 17'!Y31*'Anexo 7'!$D$10</f>
        <v>0</v>
      </c>
      <c r="Z31" s="33">
        <f>+'Anexo 17'!Z31*'Anexo 7'!$D$10</f>
        <v>0</v>
      </c>
      <c r="AA31" s="38">
        <f t="shared" si="0"/>
        <v>0</v>
      </c>
      <c r="AB31" s="21">
        <v>4</v>
      </c>
      <c r="AC31" s="95"/>
      <c r="AD31" s="47"/>
    </row>
    <row r="32" spans="1:30" ht="15.75" thickBot="1" x14ac:dyDescent="0.3">
      <c r="A32" s="93"/>
      <c r="B32" s="22" t="s">
        <v>3</v>
      </c>
      <c r="C32" s="33">
        <f>+'Anexo 17'!C32*'Anexo 7'!$D$10</f>
        <v>0</v>
      </c>
      <c r="D32" s="33">
        <f>+'Anexo 17'!D32*'Anexo 7'!$D$10</f>
        <v>0</v>
      </c>
      <c r="E32" s="33">
        <f>+'Anexo 17'!E32*'Anexo 7'!$D$10</f>
        <v>0</v>
      </c>
      <c r="F32" s="33">
        <f>+'Anexo 17'!F32*'Anexo 7'!$D$10</f>
        <v>0</v>
      </c>
      <c r="G32" s="33">
        <f>+'Anexo 17'!G32*'Anexo 7'!$D$10</f>
        <v>0</v>
      </c>
      <c r="H32" s="33">
        <f>+'Anexo 17'!H32*'Anexo 7'!$D$10</f>
        <v>0</v>
      </c>
      <c r="I32" s="33">
        <f>+'Anexo 17'!I32*'Anexo 7'!$D$10</f>
        <v>0</v>
      </c>
      <c r="J32" s="33">
        <f>+'Anexo 17'!J32*'Anexo 7'!$D$10</f>
        <v>0</v>
      </c>
      <c r="K32" s="33">
        <f>+'Anexo 17'!K32*'Anexo 7'!$D$10</f>
        <v>0</v>
      </c>
      <c r="L32" s="33">
        <f>+'Anexo 17'!L32*'Anexo 7'!$D$10</f>
        <v>0</v>
      </c>
      <c r="M32" s="33">
        <f>+'Anexo 17'!M32*'Anexo 7'!$D$10</f>
        <v>0</v>
      </c>
      <c r="N32" s="33">
        <f>+'Anexo 17'!N32*'Anexo 7'!$D$10</f>
        <v>0</v>
      </c>
      <c r="O32" s="33">
        <f>+'Anexo 17'!O32*'Anexo 7'!$D$10</f>
        <v>0</v>
      </c>
      <c r="P32" s="33">
        <f>+'Anexo 17'!P32*'Anexo 7'!$D$10</f>
        <v>0</v>
      </c>
      <c r="Q32" s="33">
        <f>+'Anexo 17'!Q32*'Anexo 7'!$D$10</f>
        <v>0</v>
      </c>
      <c r="R32" s="33">
        <f>+'Anexo 17'!R32*'Anexo 7'!$D$10</f>
        <v>0</v>
      </c>
      <c r="S32" s="33">
        <f>+'Anexo 17'!S32*'Anexo 7'!$D$10</f>
        <v>0</v>
      </c>
      <c r="T32" s="33">
        <f>+'Anexo 17'!T32*'Anexo 7'!$D$10</f>
        <v>0</v>
      </c>
      <c r="U32" s="33">
        <f>+'Anexo 17'!U32*'Anexo 7'!$D$10</f>
        <v>0</v>
      </c>
      <c r="V32" s="33">
        <f>+'Anexo 17'!V32*'Anexo 7'!$D$10</f>
        <v>0</v>
      </c>
      <c r="W32" s="33">
        <f>+'Anexo 17'!W32*'Anexo 7'!$D$10</f>
        <v>0</v>
      </c>
      <c r="X32" s="33">
        <f>+'Anexo 17'!X32*'Anexo 7'!$D$10</f>
        <v>0</v>
      </c>
      <c r="Y32" s="33">
        <f>+'Anexo 17'!Y32*'Anexo 7'!$D$10</f>
        <v>0</v>
      </c>
      <c r="Z32" s="33">
        <f>+'Anexo 17'!Z32*'Anexo 7'!$D$10</f>
        <v>0</v>
      </c>
      <c r="AA32" s="41">
        <f t="shared" si="0"/>
        <v>0</v>
      </c>
      <c r="AB32" s="23">
        <v>4</v>
      </c>
      <c r="AC32" s="96"/>
      <c r="AD32" s="48"/>
    </row>
    <row r="33" spans="1:30" ht="15.75" thickBot="1" x14ac:dyDescent="0.3">
      <c r="A33" s="93">
        <v>48488</v>
      </c>
      <c r="B33" s="18" t="s">
        <v>5</v>
      </c>
      <c r="C33" s="33">
        <f>+'Anexo 17'!C33*'Anexo 7'!$D$10</f>
        <v>0</v>
      </c>
      <c r="D33" s="33">
        <f>+'Anexo 17'!D33*'Anexo 7'!$D$10</f>
        <v>0</v>
      </c>
      <c r="E33" s="33">
        <f>+'Anexo 17'!E33*'Anexo 7'!$D$10</f>
        <v>0</v>
      </c>
      <c r="F33" s="33">
        <f>+'Anexo 17'!F33*'Anexo 7'!$D$10</f>
        <v>0</v>
      </c>
      <c r="G33" s="33">
        <f>+'Anexo 17'!G33*'Anexo 7'!$D$10</f>
        <v>0</v>
      </c>
      <c r="H33" s="33">
        <f>+'Anexo 17'!H33*'Anexo 7'!$D$10</f>
        <v>0</v>
      </c>
      <c r="I33" s="33">
        <f>+'Anexo 17'!I33*'Anexo 7'!$D$10</f>
        <v>0</v>
      </c>
      <c r="J33" s="33">
        <f>+'Anexo 17'!J33*'Anexo 7'!$D$10</f>
        <v>0</v>
      </c>
      <c r="K33" s="33">
        <f>+'Anexo 17'!K33*'Anexo 7'!$D$10</f>
        <v>0</v>
      </c>
      <c r="L33" s="33">
        <f>+'Anexo 17'!L33*'Anexo 7'!$D$10</f>
        <v>0</v>
      </c>
      <c r="M33" s="33">
        <f>+'Anexo 17'!M33*'Anexo 7'!$D$10</f>
        <v>0</v>
      </c>
      <c r="N33" s="33">
        <f>+'Anexo 17'!N33*'Anexo 7'!$D$10</f>
        <v>0</v>
      </c>
      <c r="O33" s="33">
        <f>+'Anexo 17'!O33*'Anexo 7'!$D$10</f>
        <v>0</v>
      </c>
      <c r="P33" s="33">
        <f>+'Anexo 17'!P33*'Anexo 7'!$D$10</f>
        <v>0</v>
      </c>
      <c r="Q33" s="33">
        <f>+'Anexo 17'!Q33*'Anexo 7'!$D$10</f>
        <v>0</v>
      </c>
      <c r="R33" s="33">
        <f>+'Anexo 17'!R33*'Anexo 7'!$D$10</f>
        <v>0</v>
      </c>
      <c r="S33" s="33">
        <f>+'Anexo 17'!S33*'Anexo 7'!$D$10</f>
        <v>0</v>
      </c>
      <c r="T33" s="33">
        <f>+'Anexo 17'!T33*'Anexo 7'!$D$10</f>
        <v>0</v>
      </c>
      <c r="U33" s="33">
        <f>+'Anexo 17'!U33*'Anexo 7'!$D$10</f>
        <v>0</v>
      </c>
      <c r="V33" s="33">
        <f>+'Anexo 17'!V33*'Anexo 7'!$D$10</f>
        <v>0</v>
      </c>
      <c r="W33" s="33">
        <f>+'Anexo 17'!W33*'Anexo 7'!$D$10</f>
        <v>0</v>
      </c>
      <c r="X33" s="33">
        <f>+'Anexo 17'!X33*'Anexo 7'!$D$10</f>
        <v>0</v>
      </c>
      <c r="Y33" s="33">
        <f>+'Anexo 17'!Y33*'Anexo 7'!$D$10</f>
        <v>0</v>
      </c>
      <c r="Z33" s="33">
        <f>+'Anexo 17'!Z33*'Anexo 7'!$D$10</f>
        <v>0</v>
      </c>
      <c r="AA33" s="35">
        <f t="shared" si="0"/>
        <v>0</v>
      </c>
      <c r="AB33" s="19">
        <v>20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+'Anexo 17'!C34*'Anexo 7'!$D$10</f>
        <v>0</v>
      </c>
      <c r="D34" s="33">
        <f>+'Anexo 17'!D34*'Anexo 7'!$D$10</f>
        <v>0</v>
      </c>
      <c r="E34" s="33">
        <f>+'Anexo 17'!E34*'Anexo 7'!$D$10</f>
        <v>0</v>
      </c>
      <c r="F34" s="33">
        <f>+'Anexo 17'!F34*'Anexo 7'!$D$10</f>
        <v>0</v>
      </c>
      <c r="G34" s="33">
        <f>+'Anexo 17'!G34*'Anexo 7'!$D$10</f>
        <v>0</v>
      </c>
      <c r="H34" s="33">
        <f>+'Anexo 17'!H34*'Anexo 7'!$D$10</f>
        <v>0</v>
      </c>
      <c r="I34" s="33">
        <f>+'Anexo 17'!I34*'Anexo 7'!$D$10</f>
        <v>0</v>
      </c>
      <c r="J34" s="33">
        <f>+'Anexo 17'!J34*'Anexo 7'!$D$10</f>
        <v>0</v>
      </c>
      <c r="K34" s="33">
        <f>+'Anexo 17'!K34*'Anexo 7'!$D$10</f>
        <v>0</v>
      </c>
      <c r="L34" s="33">
        <f>+'Anexo 17'!L34*'Anexo 7'!$D$10</f>
        <v>0</v>
      </c>
      <c r="M34" s="33">
        <f>+'Anexo 17'!M34*'Anexo 7'!$D$10</f>
        <v>0</v>
      </c>
      <c r="N34" s="33">
        <f>+'Anexo 17'!N34*'Anexo 7'!$D$10</f>
        <v>0</v>
      </c>
      <c r="O34" s="33">
        <f>+'Anexo 17'!O34*'Anexo 7'!$D$10</f>
        <v>0</v>
      </c>
      <c r="P34" s="33">
        <f>+'Anexo 17'!P34*'Anexo 7'!$D$10</f>
        <v>0</v>
      </c>
      <c r="Q34" s="33">
        <f>+'Anexo 17'!Q34*'Anexo 7'!$D$10</f>
        <v>0</v>
      </c>
      <c r="R34" s="33">
        <f>+'Anexo 17'!R34*'Anexo 7'!$D$10</f>
        <v>0</v>
      </c>
      <c r="S34" s="33">
        <f>+'Anexo 17'!S34*'Anexo 7'!$D$10</f>
        <v>0</v>
      </c>
      <c r="T34" s="33">
        <f>+'Anexo 17'!T34*'Anexo 7'!$D$10</f>
        <v>0</v>
      </c>
      <c r="U34" s="33">
        <f>+'Anexo 17'!U34*'Anexo 7'!$D$10</f>
        <v>0</v>
      </c>
      <c r="V34" s="33">
        <f>+'Anexo 17'!V34*'Anexo 7'!$D$10</f>
        <v>0</v>
      </c>
      <c r="W34" s="33">
        <f>+'Anexo 17'!W34*'Anexo 7'!$D$10</f>
        <v>0</v>
      </c>
      <c r="X34" s="33">
        <f>+'Anexo 17'!X34*'Anexo 7'!$D$10</f>
        <v>0</v>
      </c>
      <c r="Y34" s="33">
        <f>+'Anexo 17'!Y34*'Anexo 7'!$D$10</f>
        <v>0</v>
      </c>
      <c r="Z34" s="33">
        <f>+'Anexo 17'!Z34*'Anexo 7'!$D$10</f>
        <v>0</v>
      </c>
      <c r="AA34" s="38">
        <f t="shared" si="0"/>
        <v>0</v>
      </c>
      <c r="AB34" s="21">
        <v>5</v>
      </c>
      <c r="AC34" s="95"/>
      <c r="AD34" s="47"/>
    </row>
    <row r="35" spans="1:30" ht="15.75" thickBot="1" x14ac:dyDescent="0.3">
      <c r="A35" s="93"/>
      <c r="B35" s="22" t="s">
        <v>3</v>
      </c>
      <c r="C35" s="33">
        <f>+'Anexo 17'!C35*'Anexo 7'!$D$10</f>
        <v>0</v>
      </c>
      <c r="D35" s="33">
        <f>+'Anexo 17'!D35*'Anexo 7'!$D$10</f>
        <v>0</v>
      </c>
      <c r="E35" s="33">
        <f>+'Anexo 17'!E35*'Anexo 7'!$D$10</f>
        <v>0</v>
      </c>
      <c r="F35" s="33">
        <f>+'Anexo 17'!F35*'Anexo 7'!$D$10</f>
        <v>0</v>
      </c>
      <c r="G35" s="33">
        <f>+'Anexo 17'!G35*'Anexo 7'!$D$10</f>
        <v>0</v>
      </c>
      <c r="H35" s="33">
        <f>+'Anexo 17'!H35*'Anexo 7'!$D$10</f>
        <v>0</v>
      </c>
      <c r="I35" s="33">
        <f>+'Anexo 17'!I35*'Anexo 7'!$D$10</f>
        <v>0</v>
      </c>
      <c r="J35" s="33">
        <f>+'Anexo 17'!J35*'Anexo 7'!$D$10</f>
        <v>0</v>
      </c>
      <c r="K35" s="33">
        <f>+'Anexo 17'!K35*'Anexo 7'!$D$10</f>
        <v>0</v>
      </c>
      <c r="L35" s="33">
        <f>+'Anexo 17'!L35*'Anexo 7'!$D$10</f>
        <v>0</v>
      </c>
      <c r="M35" s="33">
        <f>+'Anexo 17'!M35*'Anexo 7'!$D$10</f>
        <v>0</v>
      </c>
      <c r="N35" s="33">
        <f>+'Anexo 17'!N35*'Anexo 7'!$D$10</f>
        <v>0</v>
      </c>
      <c r="O35" s="33">
        <f>+'Anexo 17'!O35*'Anexo 7'!$D$10</f>
        <v>0</v>
      </c>
      <c r="P35" s="33">
        <f>+'Anexo 17'!P35*'Anexo 7'!$D$10</f>
        <v>0</v>
      </c>
      <c r="Q35" s="33">
        <f>+'Anexo 17'!Q35*'Anexo 7'!$D$10</f>
        <v>0</v>
      </c>
      <c r="R35" s="33">
        <f>+'Anexo 17'!R35*'Anexo 7'!$D$10</f>
        <v>0</v>
      </c>
      <c r="S35" s="33">
        <f>+'Anexo 17'!S35*'Anexo 7'!$D$10</f>
        <v>0</v>
      </c>
      <c r="T35" s="33">
        <f>+'Anexo 17'!T35*'Anexo 7'!$D$10</f>
        <v>0</v>
      </c>
      <c r="U35" s="33">
        <f>+'Anexo 17'!U35*'Anexo 7'!$D$10</f>
        <v>0</v>
      </c>
      <c r="V35" s="33">
        <f>+'Anexo 17'!V35*'Anexo 7'!$D$10</f>
        <v>0</v>
      </c>
      <c r="W35" s="33">
        <f>+'Anexo 17'!W35*'Anexo 7'!$D$10</f>
        <v>0</v>
      </c>
      <c r="X35" s="33">
        <f>+'Anexo 17'!X35*'Anexo 7'!$D$10</f>
        <v>0</v>
      </c>
      <c r="Y35" s="33">
        <f>+'Anexo 17'!Y35*'Anexo 7'!$D$10</f>
        <v>0</v>
      </c>
      <c r="Z35" s="33">
        <f>+'Anexo 17'!Z35*'Anexo 7'!$D$10</f>
        <v>0</v>
      </c>
      <c r="AA35" s="41">
        <f t="shared" si="0"/>
        <v>0</v>
      </c>
      <c r="AB35" s="23">
        <v>6</v>
      </c>
      <c r="AC35" s="96"/>
      <c r="AD35" s="48"/>
    </row>
    <row r="36" spans="1:30" ht="15.75" thickBot="1" x14ac:dyDescent="0.3">
      <c r="A36" s="93">
        <v>48519</v>
      </c>
      <c r="B36" s="18" t="s">
        <v>5</v>
      </c>
      <c r="C36" s="33">
        <f>+'Anexo 17'!C36*'Anexo 7'!$D$10</f>
        <v>0</v>
      </c>
      <c r="D36" s="33">
        <f>+'Anexo 17'!D36*'Anexo 7'!$D$10</f>
        <v>0</v>
      </c>
      <c r="E36" s="33">
        <f>+'Anexo 17'!E36*'Anexo 7'!$D$10</f>
        <v>0</v>
      </c>
      <c r="F36" s="33">
        <f>+'Anexo 17'!F36*'Anexo 7'!$D$10</f>
        <v>0</v>
      </c>
      <c r="G36" s="33">
        <f>+'Anexo 17'!G36*'Anexo 7'!$D$10</f>
        <v>0</v>
      </c>
      <c r="H36" s="33">
        <f>+'Anexo 17'!H36*'Anexo 7'!$D$10</f>
        <v>0</v>
      </c>
      <c r="I36" s="33">
        <f>+'Anexo 17'!I36*'Anexo 7'!$D$10</f>
        <v>0</v>
      </c>
      <c r="J36" s="33">
        <f>+'Anexo 17'!J36*'Anexo 7'!$D$10</f>
        <v>0</v>
      </c>
      <c r="K36" s="33">
        <f>+'Anexo 17'!K36*'Anexo 7'!$D$10</f>
        <v>0</v>
      </c>
      <c r="L36" s="33">
        <f>+'Anexo 17'!L36*'Anexo 7'!$D$10</f>
        <v>0</v>
      </c>
      <c r="M36" s="33">
        <f>+'Anexo 17'!M36*'Anexo 7'!$D$10</f>
        <v>0</v>
      </c>
      <c r="N36" s="33">
        <f>+'Anexo 17'!N36*'Anexo 7'!$D$10</f>
        <v>0</v>
      </c>
      <c r="O36" s="33">
        <f>+'Anexo 17'!O36*'Anexo 7'!$D$10</f>
        <v>0</v>
      </c>
      <c r="P36" s="33">
        <f>+'Anexo 17'!P36*'Anexo 7'!$D$10</f>
        <v>0</v>
      </c>
      <c r="Q36" s="33">
        <f>+'Anexo 17'!Q36*'Anexo 7'!$D$10</f>
        <v>0</v>
      </c>
      <c r="R36" s="33">
        <f>+'Anexo 17'!R36*'Anexo 7'!$D$10</f>
        <v>0</v>
      </c>
      <c r="S36" s="33">
        <f>+'Anexo 17'!S36*'Anexo 7'!$D$10</f>
        <v>0</v>
      </c>
      <c r="T36" s="33">
        <f>+'Anexo 17'!T36*'Anexo 7'!$D$10</f>
        <v>0</v>
      </c>
      <c r="U36" s="33">
        <f>+'Anexo 17'!U36*'Anexo 7'!$D$10</f>
        <v>0</v>
      </c>
      <c r="V36" s="33">
        <f>+'Anexo 17'!V36*'Anexo 7'!$D$10</f>
        <v>0</v>
      </c>
      <c r="W36" s="33">
        <f>+'Anexo 17'!W36*'Anexo 7'!$D$10</f>
        <v>0</v>
      </c>
      <c r="X36" s="33">
        <f>+'Anexo 17'!X36*'Anexo 7'!$D$10</f>
        <v>0</v>
      </c>
      <c r="Y36" s="33">
        <f>+'Anexo 17'!Y36*'Anexo 7'!$D$10</f>
        <v>0</v>
      </c>
      <c r="Z36" s="33">
        <f>+'Anexo 17'!Z36*'Anexo 7'!$D$10</f>
        <v>0</v>
      </c>
      <c r="AA36" s="35">
        <f t="shared" si="0"/>
        <v>0</v>
      </c>
      <c r="AB36" s="19">
        <v>20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+'Anexo 17'!C37*'Anexo 7'!$D$10</f>
        <v>0</v>
      </c>
      <c r="D37" s="33">
        <f>+'Anexo 17'!D37*'Anexo 7'!$D$10</f>
        <v>0</v>
      </c>
      <c r="E37" s="33">
        <f>+'Anexo 17'!E37*'Anexo 7'!$D$10</f>
        <v>0</v>
      </c>
      <c r="F37" s="33">
        <f>+'Anexo 17'!F37*'Anexo 7'!$D$10</f>
        <v>0</v>
      </c>
      <c r="G37" s="33">
        <f>+'Anexo 17'!G37*'Anexo 7'!$D$10</f>
        <v>0</v>
      </c>
      <c r="H37" s="33">
        <f>+'Anexo 17'!H37*'Anexo 7'!$D$10</f>
        <v>0</v>
      </c>
      <c r="I37" s="33">
        <f>+'Anexo 17'!I37*'Anexo 7'!$D$10</f>
        <v>0</v>
      </c>
      <c r="J37" s="33">
        <f>+'Anexo 17'!J37*'Anexo 7'!$D$10</f>
        <v>0</v>
      </c>
      <c r="K37" s="33">
        <f>+'Anexo 17'!K37*'Anexo 7'!$D$10</f>
        <v>0</v>
      </c>
      <c r="L37" s="33">
        <f>+'Anexo 17'!L37*'Anexo 7'!$D$10</f>
        <v>0</v>
      </c>
      <c r="M37" s="33">
        <f>+'Anexo 17'!M37*'Anexo 7'!$D$10</f>
        <v>0</v>
      </c>
      <c r="N37" s="33">
        <f>+'Anexo 17'!N37*'Anexo 7'!$D$10</f>
        <v>0</v>
      </c>
      <c r="O37" s="33">
        <f>+'Anexo 17'!O37*'Anexo 7'!$D$10</f>
        <v>0</v>
      </c>
      <c r="P37" s="33">
        <f>+'Anexo 17'!P37*'Anexo 7'!$D$10</f>
        <v>0</v>
      </c>
      <c r="Q37" s="33">
        <f>+'Anexo 17'!Q37*'Anexo 7'!$D$10</f>
        <v>0</v>
      </c>
      <c r="R37" s="33">
        <f>+'Anexo 17'!R37*'Anexo 7'!$D$10</f>
        <v>0</v>
      </c>
      <c r="S37" s="33">
        <f>+'Anexo 17'!S37*'Anexo 7'!$D$10</f>
        <v>0</v>
      </c>
      <c r="T37" s="33">
        <f>+'Anexo 17'!T37*'Anexo 7'!$D$10</f>
        <v>0</v>
      </c>
      <c r="U37" s="33">
        <f>+'Anexo 17'!U37*'Anexo 7'!$D$10</f>
        <v>0</v>
      </c>
      <c r="V37" s="33">
        <f>+'Anexo 17'!V37*'Anexo 7'!$D$10</f>
        <v>0</v>
      </c>
      <c r="W37" s="33">
        <f>+'Anexo 17'!W37*'Anexo 7'!$D$10</f>
        <v>0</v>
      </c>
      <c r="X37" s="33">
        <f>+'Anexo 17'!X37*'Anexo 7'!$D$10</f>
        <v>0</v>
      </c>
      <c r="Y37" s="33">
        <f>+'Anexo 17'!Y37*'Anexo 7'!$D$10</f>
        <v>0</v>
      </c>
      <c r="Z37" s="33">
        <f>+'Anexo 17'!Z37*'Anexo 7'!$D$10</f>
        <v>0</v>
      </c>
      <c r="AA37" s="38">
        <f t="shared" si="0"/>
        <v>0</v>
      </c>
      <c r="AB37" s="21">
        <v>4</v>
      </c>
      <c r="AC37" s="95"/>
      <c r="AD37" s="47"/>
    </row>
    <row r="38" spans="1:30" ht="15.75" thickBot="1" x14ac:dyDescent="0.3">
      <c r="A38" s="93"/>
      <c r="B38" s="22" t="s">
        <v>3</v>
      </c>
      <c r="C38" s="33">
        <f>+'Anexo 17'!C38*'Anexo 7'!$D$10</f>
        <v>0</v>
      </c>
      <c r="D38" s="33">
        <f>+'Anexo 17'!D38*'Anexo 7'!$D$10</f>
        <v>0</v>
      </c>
      <c r="E38" s="33">
        <f>+'Anexo 17'!E38*'Anexo 7'!$D$10</f>
        <v>0</v>
      </c>
      <c r="F38" s="33">
        <f>+'Anexo 17'!F38*'Anexo 7'!$D$10</f>
        <v>0</v>
      </c>
      <c r="G38" s="33">
        <f>+'Anexo 17'!G38*'Anexo 7'!$D$10</f>
        <v>0</v>
      </c>
      <c r="H38" s="33">
        <f>+'Anexo 17'!H38*'Anexo 7'!$D$10</f>
        <v>0</v>
      </c>
      <c r="I38" s="33">
        <f>+'Anexo 17'!I38*'Anexo 7'!$D$10</f>
        <v>0</v>
      </c>
      <c r="J38" s="33">
        <f>+'Anexo 17'!J38*'Anexo 7'!$D$10</f>
        <v>0</v>
      </c>
      <c r="K38" s="33">
        <f>+'Anexo 17'!K38*'Anexo 7'!$D$10</f>
        <v>0</v>
      </c>
      <c r="L38" s="33">
        <f>+'Anexo 17'!L38*'Anexo 7'!$D$10</f>
        <v>0</v>
      </c>
      <c r="M38" s="33">
        <f>+'Anexo 17'!M38*'Anexo 7'!$D$10</f>
        <v>0</v>
      </c>
      <c r="N38" s="33">
        <f>+'Anexo 17'!N38*'Anexo 7'!$D$10</f>
        <v>0</v>
      </c>
      <c r="O38" s="33">
        <f>+'Anexo 17'!O38*'Anexo 7'!$D$10</f>
        <v>0</v>
      </c>
      <c r="P38" s="33">
        <f>+'Anexo 17'!P38*'Anexo 7'!$D$10</f>
        <v>0</v>
      </c>
      <c r="Q38" s="33">
        <f>+'Anexo 17'!Q38*'Anexo 7'!$D$10</f>
        <v>0</v>
      </c>
      <c r="R38" s="33">
        <f>+'Anexo 17'!R38*'Anexo 7'!$D$10</f>
        <v>0</v>
      </c>
      <c r="S38" s="33">
        <f>+'Anexo 17'!S38*'Anexo 7'!$D$10</f>
        <v>0</v>
      </c>
      <c r="T38" s="33">
        <f>+'Anexo 17'!T38*'Anexo 7'!$D$10</f>
        <v>0</v>
      </c>
      <c r="U38" s="33">
        <f>+'Anexo 17'!U38*'Anexo 7'!$D$10</f>
        <v>0</v>
      </c>
      <c r="V38" s="33">
        <f>+'Anexo 17'!V38*'Anexo 7'!$D$10</f>
        <v>0</v>
      </c>
      <c r="W38" s="33">
        <f>+'Anexo 17'!W38*'Anexo 7'!$D$10</f>
        <v>0</v>
      </c>
      <c r="X38" s="33">
        <f>+'Anexo 17'!X38*'Anexo 7'!$D$10</f>
        <v>0</v>
      </c>
      <c r="Y38" s="33">
        <f>+'Anexo 17'!Y38*'Anexo 7'!$D$10</f>
        <v>0</v>
      </c>
      <c r="Z38" s="33">
        <f>+'Anexo 17'!Z38*'Anexo 7'!$D$10</f>
        <v>0</v>
      </c>
      <c r="AA38" s="41">
        <f t="shared" si="0"/>
        <v>0</v>
      </c>
      <c r="AB38" s="23">
        <v>6</v>
      </c>
      <c r="AC38" s="96"/>
      <c r="AD38" s="49"/>
    </row>
    <row r="39" spans="1:30" ht="15.75" thickBot="1" x14ac:dyDescent="0.3">
      <c r="A39" s="93">
        <v>48549</v>
      </c>
      <c r="B39" s="18" t="s">
        <v>5</v>
      </c>
      <c r="C39" s="33">
        <f>+'Anexo 17'!C39*'Anexo 7'!$D$10</f>
        <v>0</v>
      </c>
      <c r="D39" s="33">
        <f>+'Anexo 17'!D39*'Anexo 7'!$D$10</f>
        <v>0</v>
      </c>
      <c r="E39" s="33">
        <f>+'Anexo 17'!E39*'Anexo 7'!$D$10</f>
        <v>0</v>
      </c>
      <c r="F39" s="33">
        <f>+'Anexo 17'!F39*'Anexo 7'!$D$10</f>
        <v>0</v>
      </c>
      <c r="G39" s="33">
        <f>+'Anexo 17'!G39*'Anexo 7'!$D$10</f>
        <v>0</v>
      </c>
      <c r="H39" s="33">
        <f>+'Anexo 17'!H39*'Anexo 7'!$D$10</f>
        <v>0</v>
      </c>
      <c r="I39" s="33">
        <f>+'Anexo 17'!I39*'Anexo 7'!$D$10</f>
        <v>0</v>
      </c>
      <c r="J39" s="33">
        <f>+'Anexo 17'!J39*'Anexo 7'!$D$10</f>
        <v>0</v>
      </c>
      <c r="K39" s="33">
        <f>+'Anexo 17'!K39*'Anexo 7'!$D$10</f>
        <v>0</v>
      </c>
      <c r="L39" s="33">
        <f>+'Anexo 17'!L39*'Anexo 7'!$D$10</f>
        <v>0</v>
      </c>
      <c r="M39" s="33">
        <f>+'Anexo 17'!M39*'Anexo 7'!$D$10</f>
        <v>0</v>
      </c>
      <c r="N39" s="33">
        <f>+'Anexo 17'!N39*'Anexo 7'!$D$10</f>
        <v>0</v>
      </c>
      <c r="O39" s="33">
        <f>+'Anexo 17'!O39*'Anexo 7'!$D$10</f>
        <v>0</v>
      </c>
      <c r="P39" s="33">
        <f>+'Anexo 17'!P39*'Anexo 7'!$D$10</f>
        <v>0</v>
      </c>
      <c r="Q39" s="33">
        <f>+'Anexo 17'!Q39*'Anexo 7'!$D$10</f>
        <v>0</v>
      </c>
      <c r="R39" s="33">
        <f>+'Anexo 17'!R39*'Anexo 7'!$D$10</f>
        <v>0</v>
      </c>
      <c r="S39" s="33">
        <f>+'Anexo 17'!S39*'Anexo 7'!$D$10</f>
        <v>0</v>
      </c>
      <c r="T39" s="33">
        <f>+'Anexo 17'!T39*'Anexo 7'!$D$10</f>
        <v>0</v>
      </c>
      <c r="U39" s="33">
        <f>+'Anexo 17'!U39*'Anexo 7'!$D$10</f>
        <v>0</v>
      </c>
      <c r="V39" s="33">
        <f>+'Anexo 17'!V39*'Anexo 7'!$D$10</f>
        <v>0</v>
      </c>
      <c r="W39" s="33">
        <f>+'Anexo 17'!W39*'Anexo 7'!$D$10</f>
        <v>0</v>
      </c>
      <c r="X39" s="33">
        <f>+'Anexo 17'!X39*'Anexo 7'!$D$10</f>
        <v>0</v>
      </c>
      <c r="Y39" s="33">
        <f>+'Anexo 17'!Y39*'Anexo 7'!$D$10</f>
        <v>0</v>
      </c>
      <c r="Z39" s="33">
        <f>+'Anexo 17'!Z39*'Anexo 7'!$D$10</f>
        <v>0</v>
      </c>
      <c r="AA39" s="35">
        <f t="shared" si="0"/>
        <v>0</v>
      </c>
      <c r="AB39" s="19">
        <v>22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+'Anexo 17'!C40*'Anexo 7'!$D$10</f>
        <v>0</v>
      </c>
      <c r="D40" s="33">
        <f>+'Anexo 17'!D40*'Anexo 7'!$D$10</f>
        <v>0</v>
      </c>
      <c r="E40" s="33">
        <f>+'Anexo 17'!E40*'Anexo 7'!$D$10</f>
        <v>0</v>
      </c>
      <c r="F40" s="33">
        <f>+'Anexo 17'!F40*'Anexo 7'!$D$10</f>
        <v>0</v>
      </c>
      <c r="G40" s="33">
        <f>+'Anexo 17'!G40*'Anexo 7'!$D$10</f>
        <v>0</v>
      </c>
      <c r="H40" s="33">
        <f>+'Anexo 17'!H40*'Anexo 7'!$D$10</f>
        <v>0</v>
      </c>
      <c r="I40" s="33">
        <f>+'Anexo 17'!I40*'Anexo 7'!$D$10</f>
        <v>0</v>
      </c>
      <c r="J40" s="33">
        <f>+'Anexo 17'!J40*'Anexo 7'!$D$10</f>
        <v>0</v>
      </c>
      <c r="K40" s="33">
        <f>+'Anexo 17'!K40*'Anexo 7'!$D$10</f>
        <v>0</v>
      </c>
      <c r="L40" s="33">
        <f>+'Anexo 17'!L40*'Anexo 7'!$D$10</f>
        <v>0</v>
      </c>
      <c r="M40" s="33">
        <f>+'Anexo 17'!M40*'Anexo 7'!$D$10</f>
        <v>0</v>
      </c>
      <c r="N40" s="33">
        <f>+'Anexo 17'!N40*'Anexo 7'!$D$10</f>
        <v>0</v>
      </c>
      <c r="O40" s="33">
        <f>+'Anexo 17'!O40*'Anexo 7'!$D$10</f>
        <v>0</v>
      </c>
      <c r="P40" s="33">
        <f>+'Anexo 17'!P40*'Anexo 7'!$D$10</f>
        <v>0</v>
      </c>
      <c r="Q40" s="33">
        <f>+'Anexo 17'!Q40*'Anexo 7'!$D$10</f>
        <v>0</v>
      </c>
      <c r="R40" s="33">
        <f>+'Anexo 17'!R40*'Anexo 7'!$D$10</f>
        <v>0</v>
      </c>
      <c r="S40" s="33">
        <f>+'Anexo 17'!S40*'Anexo 7'!$D$10</f>
        <v>0</v>
      </c>
      <c r="T40" s="33">
        <f>+'Anexo 17'!T40*'Anexo 7'!$D$10</f>
        <v>0</v>
      </c>
      <c r="U40" s="33">
        <f>+'Anexo 17'!U40*'Anexo 7'!$D$10</f>
        <v>0</v>
      </c>
      <c r="V40" s="33">
        <f>+'Anexo 17'!V40*'Anexo 7'!$D$10</f>
        <v>0</v>
      </c>
      <c r="W40" s="33">
        <f>+'Anexo 17'!W40*'Anexo 7'!$D$10</f>
        <v>0</v>
      </c>
      <c r="X40" s="33">
        <f>+'Anexo 17'!X40*'Anexo 7'!$D$10</f>
        <v>0</v>
      </c>
      <c r="Y40" s="33">
        <f>+'Anexo 17'!Y40*'Anexo 7'!$D$10</f>
        <v>0</v>
      </c>
      <c r="Z40" s="33">
        <f>+'Anexo 17'!Z40*'Anexo 7'!$D$10</f>
        <v>0</v>
      </c>
      <c r="AA40" s="38">
        <f t="shared" si="0"/>
        <v>0</v>
      </c>
      <c r="AB40" s="21">
        <v>3</v>
      </c>
      <c r="AC40" s="95"/>
      <c r="AD40" s="47"/>
    </row>
    <row r="41" spans="1:30" ht="15.75" thickBot="1" x14ac:dyDescent="0.3">
      <c r="A41" s="93"/>
      <c r="B41" s="22" t="s">
        <v>3</v>
      </c>
      <c r="C41" s="33">
        <f>+'Anexo 17'!C41*'Anexo 7'!$D$10</f>
        <v>0</v>
      </c>
      <c r="D41" s="33">
        <f>+'Anexo 17'!D41*'Anexo 7'!$D$10</f>
        <v>0</v>
      </c>
      <c r="E41" s="33">
        <f>+'Anexo 17'!E41*'Anexo 7'!$D$10</f>
        <v>0</v>
      </c>
      <c r="F41" s="33">
        <f>+'Anexo 17'!F41*'Anexo 7'!$D$10</f>
        <v>0</v>
      </c>
      <c r="G41" s="33">
        <f>+'Anexo 17'!G41*'Anexo 7'!$D$10</f>
        <v>0</v>
      </c>
      <c r="H41" s="33">
        <f>+'Anexo 17'!H41*'Anexo 7'!$D$10</f>
        <v>0</v>
      </c>
      <c r="I41" s="33">
        <f>+'Anexo 17'!I41*'Anexo 7'!$D$10</f>
        <v>0</v>
      </c>
      <c r="J41" s="33">
        <f>+'Anexo 17'!J41*'Anexo 7'!$D$10</f>
        <v>0</v>
      </c>
      <c r="K41" s="33">
        <f>+'Anexo 17'!K41*'Anexo 7'!$D$10</f>
        <v>0</v>
      </c>
      <c r="L41" s="33">
        <f>+'Anexo 17'!L41*'Anexo 7'!$D$10</f>
        <v>0</v>
      </c>
      <c r="M41" s="33">
        <f>+'Anexo 17'!M41*'Anexo 7'!$D$10</f>
        <v>0</v>
      </c>
      <c r="N41" s="33">
        <f>+'Anexo 17'!N41*'Anexo 7'!$D$10</f>
        <v>0</v>
      </c>
      <c r="O41" s="33">
        <f>+'Anexo 17'!O41*'Anexo 7'!$D$10</f>
        <v>0</v>
      </c>
      <c r="P41" s="33">
        <f>+'Anexo 17'!P41*'Anexo 7'!$D$10</f>
        <v>0</v>
      </c>
      <c r="Q41" s="33">
        <f>+'Anexo 17'!Q41*'Anexo 7'!$D$10</f>
        <v>0</v>
      </c>
      <c r="R41" s="33">
        <f>+'Anexo 17'!R41*'Anexo 7'!$D$10</f>
        <v>0</v>
      </c>
      <c r="S41" s="33">
        <f>+'Anexo 17'!S41*'Anexo 7'!$D$10</f>
        <v>0</v>
      </c>
      <c r="T41" s="33">
        <f>+'Anexo 17'!T41*'Anexo 7'!$D$10</f>
        <v>0</v>
      </c>
      <c r="U41" s="33">
        <f>+'Anexo 17'!U41*'Anexo 7'!$D$10</f>
        <v>0</v>
      </c>
      <c r="V41" s="33">
        <f>+'Anexo 17'!V41*'Anexo 7'!$D$10</f>
        <v>0</v>
      </c>
      <c r="W41" s="33">
        <f>+'Anexo 17'!W41*'Anexo 7'!$D$10</f>
        <v>0</v>
      </c>
      <c r="X41" s="33">
        <f>+'Anexo 17'!X41*'Anexo 7'!$D$10</f>
        <v>0</v>
      </c>
      <c r="Y41" s="33">
        <f>+'Anexo 17'!Y41*'Anexo 7'!$D$10</f>
        <v>0</v>
      </c>
      <c r="Z41" s="33">
        <f>+'Anexo 17'!Z41*'Anexo 7'!$D$10</f>
        <v>0</v>
      </c>
      <c r="AA41" s="41">
        <f t="shared" si="0"/>
        <v>0</v>
      </c>
      <c r="AB41" s="23">
        <v>6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366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93CC-73E3-420C-828C-40CB14B41EC2}">
  <sheetPr>
    <tabColor rgb="FFFFC000"/>
  </sheetPr>
  <dimension ref="A1:XFC36"/>
  <sheetViews>
    <sheetView showGridLines="0" topLeftCell="A17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6" t="s">
        <v>94</v>
      </c>
      <c r="C3" s="76"/>
      <c r="D3" s="76"/>
      <c r="E3" s="76"/>
      <c r="F3" s="76"/>
      <c r="G3" s="29"/>
    </row>
    <row r="4" spans="1:8" x14ac:dyDescent="0.25">
      <c r="B4" s="76" t="s">
        <v>95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1:8" ht="23.25" customHeight="1" x14ac:dyDescent="0.25"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48580</v>
      </c>
      <c r="C10" s="43">
        <f>+'Anexo 18'!AC6</f>
        <v>3937046</v>
      </c>
      <c r="D10" s="73"/>
      <c r="E10" s="57">
        <f>+'Cantidades Ofertadas Prod 8'!AC6</f>
        <v>0</v>
      </c>
      <c r="F10" s="99"/>
      <c r="G10" s="32"/>
      <c r="H10" s="66"/>
    </row>
    <row r="11" spans="1:8" ht="15.75" thickBot="1" x14ac:dyDescent="0.3">
      <c r="A11" s="59">
        <v>29</v>
      </c>
      <c r="B11" s="8">
        <v>48611</v>
      </c>
      <c r="C11" s="43">
        <f>+'Anexo 18'!AC9</f>
        <v>3505356</v>
      </c>
      <c r="D11" s="74"/>
      <c r="E11" s="57">
        <f>+'Cantidades Ofertadas Prod 8'!AC9</f>
        <v>0</v>
      </c>
      <c r="F11" s="100"/>
      <c r="G11" s="32"/>
      <c r="H11" s="66"/>
    </row>
    <row r="12" spans="1:8" ht="15.75" thickBot="1" x14ac:dyDescent="0.3">
      <c r="A12" s="59">
        <v>31</v>
      </c>
      <c r="B12" s="8">
        <v>48639</v>
      </c>
      <c r="C12" s="43">
        <f>+'Anexo 18'!AC12</f>
        <v>4001728</v>
      </c>
      <c r="D12" s="74"/>
      <c r="E12" s="57">
        <f>+'Cantidades Ofertadas Prod 8'!AC12</f>
        <v>0</v>
      </c>
      <c r="F12" s="100"/>
      <c r="G12" s="32"/>
      <c r="H12" s="66"/>
    </row>
    <row r="13" spans="1:8" ht="15.75" thickBot="1" x14ac:dyDescent="0.3">
      <c r="A13" s="59">
        <v>30</v>
      </c>
      <c r="B13" s="8">
        <v>48670</v>
      </c>
      <c r="C13" s="43">
        <f>+'Anexo 18'!AC15</f>
        <v>3644850</v>
      </c>
      <c r="D13" s="74"/>
      <c r="E13" s="57">
        <f>+'Cantidades Ofertadas Prod 8'!AC15</f>
        <v>0</v>
      </c>
      <c r="F13" s="100"/>
      <c r="G13" s="32"/>
      <c r="H13" s="66"/>
    </row>
    <row r="14" spans="1:8" ht="15.75" thickBot="1" x14ac:dyDescent="0.3">
      <c r="A14" s="59">
        <v>31</v>
      </c>
      <c r="B14" s="8">
        <v>48700</v>
      </c>
      <c r="C14" s="43">
        <f>+'Anexo 18'!AC18</f>
        <v>3840608</v>
      </c>
      <c r="D14" s="74"/>
      <c r="E14" s="57">
        <f>+'Cantidades Ofertadas Prod 8'!AC18</f>
        <v>0</v>
      </c>
      <c r="F14" s="100"/>
      <c r="G14" s="32"/>
      <c r="H14" s="66"/>
    </row>
    <row r="15" spans="1:8" ht="15.75" thickBot="1" x14ac:dyDescent="0.3">
      <c r="A15" s="59">
        <v>30</v>
      </c>
      <c r="B15" s="8">
        <v>48731</v>
      </c>
      <c r="C15" s="43">
        <f>+'Anexo 18'!AC21</f>
        <v>3771910</v>
      </c>
      <c r="D15" s="74"/>
      <c r="E15" s="57">
        <f>+'Cantidades Ofertadas Prod 8'!AC21</f>
        <v>0</v>
      </c>
      <c r="F15" s="100"/>
      <c r="G15" s="32"/>
      <c r="H15" s="66"/>
    </row>
    <row r="16" spans="1:8" ht="15.75" thickBot="1" x14ac:dyDescent="0.3">
      <c r="A16" s="59">
        <v>31</v>
      </c>
      <c r="B16" s="8">
        <v>48761</v>
      </c>
      <c r="C16" s="43">
        <f>+'Anexo 18'!AC24</f>
        <v>3916469</v>
      </c>
      <c r="D16" s="74"/>
      <c r="E16" s="57">
        <f>+'Cantidades Ofertadas Prod 8'!AC24</f>
        <v>0</v>
      </c>
      <c r="F16" s="100"/>
      <c r="G16" s="32"/>
      <c r="H16" s="66"/>
    </row>
    <row r="17" spans="1:8" ht="15.75" thickBot="1" x14ac:dyDescent="0.3">
      <c r="A17" s="59">
        <v>31</v>
      </c>
      <c r="B17" s="8">
        <v>48792</v>
      </c>
      <c r="C17" s="43">
        <f>+'Anexo 18'!AC27</f>
        <v>4098146</v>
      </c>
      <c r="D17" s="74"/>
      <c r="E17" s="57">
        <f>+'Cantidades Ofertadas Prod 8'!AC27</f>
        <v>0</v>
      </c>
      <c r="F17" s="100"/>
      <c r="G17" s="32"/>
      <c r="H17" s="66"/>
    </row>
    <row r="18" spans="1:8" ht="15.75" thickBot="1" x14ac:dyDescent="0.3">
      <c r="A18" s="59">
        <v>30</v>
      </c>
      <c r="B18" s="8">
        <v>48823</v>
      </c>
      <c r="C18" s="43">
        <f>+'Anexo 18'!AC30</f>
        <v>4027342</v>
      </c>
      <c r="D18" s="74"/>
      <c r="E18" s="57">
        <f>+'Cantidades Ofertadas Prod 8'!AC30</f>
        <v>0</v>
      </c>
      <c r="F18" s="100"/>
      <c r="G18" s="32"/>
      <c r="H18" s="66"/>
    </row>
    <row r="19" spans="1:8" ht="15.75" thickBot="1" x14ac:dyDescent="0.3">
      <c r="A19" s="59">
        <v>31</v>
      </c>
      <c r="B19" s="8">
        <v>48853</v>
      </c>
      <c r="C19" s="43">
        <f>+'Anexo 18'!AC33</f>
        <v>3882345</v>
      </c>
      <c r="D19" s="74"/>
      <c r="E19" s="57">
        <f>+'Cantidades Ofertadas Prod 8'!AC33</f>
        <v>0</v>
      </c>
      <c r="F19" s="100"/>
      <c r="G19" s="32"/>
      <c r="H19" s="66"/>
    </row>
    <row r="20" spans="1:8" ht="15.75" thickBot="1" x14ac:dyDescent="0.3">
      <c r="A20" s="59">
        <v>30</v>
      </c>
      <c r="B20" s="8">
        <v>48884</v>
      </c>
      <c r="C20" s="43">
        <f>+'Anexo 18'!AC36</f>
        <v>3702822</v>
      </c>
      <c r="D20" s="74"/>
      <c r="E20" s="57">
        <f>+'Cantidades Ofertadas Prod 8'!AC36</f>
        <v>0</v>
      </c>
      <c r="F20" s="100"/>
      <c r="G20" s="32"/>
      <c r="H20" s="66"/>
    </row>
    <row r="21" spans="1:8" ht="15.75" thickBot="1" x14ac:dyDescent="0.3">
      <c r="A21" s="59">
        <v>31</v>
      </c>
      <c r="B21" s="8">
        <v>48914</v>
      </c>
      <c r="C21" s="43">
        <f>+'Anexo 18'!AC39</f>
        <v>4031407</v>
      </c>
      <c r="D21" s="75"/>
      <c r="E21" s="57">
        <f>+'Cantidades Ofertadas Prod 8'!AC39</f>
        <v>0</v>
      </c>
      <c r="F21" s="101"/>
      <c r="G21" s="32"/>
      <c r="H21" s="66"/>
    </row>
    <row r="22" spans="1:8" ht="28.5" customHeight="1" x14ac:dyDescent="0.25">
      <c r="B22" s="9" t="s">
        <v>0</v>
      </c>
      <c r="C22" s="10">
        <f>+SUM(C10:C21)</f>
        <v>46360029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69" t="s">
        <v>46</v>
      </c>
      <c r="C25" s="69"/>
      <c r="D25" s="69"/>
      <c r="E25" s="69"/>
      <c r="F25" s="69"/>
      <c r="G25" s="69"/>
      <c r="H25" s="42"/>
    </row>
    <row r="26" spans="1:8" x14ac:dyDescent="0.25">
      <c r="B26" s="7" t="s">
        <v>106</v>
      </c>
      <c r="C26" s="52"/>
      <c r="D26" s="52"/>
      <c r="E26" s="52"/>
      <c r="F26" s="52"/>
      <c r="G26" s="52"/>
      <c r="H26" s="42"/>
    </row>
    <row r="27" spans="1:8" x14ac:dyDescent="0.25">
      <c r="B27" s="7" t="s">
        <v>107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121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2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00B4EE97-8C8D-4978-9177-8498882DD199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A7D0-45F1-496E-B8EA-53914FB807C0}">
  <sheetPr>
    <tabColor rgb="FFFFC000"/>
  </sheetPr>
  <dimension ref="A1:H33"/>
  <sheetViews>
    <sheetView showGridLines="0" zoomScaleNormal="100" zoomScaleSheetLayoutView="140" workbookViewId="0">
      <selection activeCell="B8" sqref="B8:F22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6" t="s">
        <v>120</v>
      </c>
      <c r="C3" s="76"/>
      <c r="D3" s="76"/>
      <c r="E3" s="76"/>
      <c r="F3" s="76"/>
      <c r="G3" s="29"/>
    </row>
    <row r="4" spans="1:8" ht="15" x14ac:dyDescent="0.25">
      <c r="B4" s="76" t="s">
        <v>95</v>
      </c>
      <c r="C4" s="76"/>
      <c r="D4" s="76"/>
      <c r="E4" s="76"/>
      <c r="F4" s="76"/>
      <c r="G4" s="29"/>
    </row>
    <row r="5" spans="1:8" ht="15" x14ac:dyDescent="0.25">
      <c r="B5" s="76" t="s">
        <v>90</v>
      </c>
      <c r="C5" s="76"/>
      <c r="D5" s="76"/>
      <c r="E5" s="76"/>
      <c r="F5" s="76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77" t="s">
        <v>1</v>
      </c>
      <c r="C8" s="77" t="s">
        <v>56</v>
      </c>
      <c r="D8" s="77" t="s">
        <v>66</v>
      </c>
      <c r="E8" s="77" t="s">
        <v>37</v>
      </c>
      <c r="F8" s="77" t="s">
        <v>42</v>
      </c>
      <c r="G8" s="28"/>
    </row>
    <row r="9" spans="1:8" ht="23.25" customHeight="1" x14ac:dyDescent="0.25">
      <c r="A9" s="63">
        <v>500</v>
      </c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48580</v>
      </c>
      <c r="C10" s="43">
        <f>+$A$9*A10*24</f>
        <v>372000</v>
      </c>
      <c r="D10" s="79"/>
      <c r="E10" s="57">
        <f>+$D$10*A10*24</f>
        <v>0</v>
      </c>
      <c r="F10" s="70"/>
      <c r="G10" s="32"/>
      <c r="H10" s="51"/>
    </row>
    <row r="11" spans="1:8" ht="15.75" thickBot="1" x14ac:dyDescent="0.3">
      <c r="A11" s="59">
        <v>28</v>
      </c>
      <c r="B11" s="8">
        <v>48611</v>
      </c>
      <c r="C11" s="43">
        <f t="shared" ref="C11:C21" si="0">+$A$9*A11*24</f>
        <v>336000</v>
      </c>
      <c r="D11" s="80"/>
      <c r="E11" s="57">
        <f t="shared" ref="E11:E21" si="1">+$D$10*A11*24</f>
        <v>0</v>
      </c>
      <c r="F11" s="71"/>
      <c r="G11" s="32"/>
      <c r="H11" s="51"/>
    </row>
    <row r="12" spans="1:8" ht="15.75" thickBot="1" x14ac:dyDescent="0.3">
      <c r="A12" s="59">
        <v>31</v>
      </c>
      <c r="B12" s="8">
        <v>48639</v>
      </c>
      <c r="C12" s="43">
        <f t="shared" si="0"/>
        <v>372000</v>
      </c>
      <c r="D12" s="80"/>
      <c r="E12" s="57">
        <f t="shared" si="1"/>
        <v>0</v>
      </c>
      <c r="F12" s="71"/>
      <c r="G12" s="32"/>
      <c r="H12" s="51"/>
    </row>
    <row r="13" spans="1:8" ht="15.75" thickBot="1" x14ac:dyDescent="0.3">
      <c r="A13" s="59">
        <v>30</v>
      </c>
      <c r="B13" s="8">
        <v>48670</v>
      </c>
      <c r="C13" s="43">
        <f t="shared" si="0"/>
        <v>360000</v>
      </c>
      <c r="D13" s="80"/>
      <c r="E13" s="57">
        <f t="shared" si="1"/>
        <v>0</v>
      </c>
      <c r="F13" s="71"/>
      <c r="G13" s="32"/>
      <c r="H13" s="51"/>
    </row>
    <row r="14" spans="1:8" ht="15.75" thickBot="1" x14ac:dyDescent="0.3">
      <c r="A14" s="59">
        <v>31</v>
      </c>
      <c r="B14" s="8">
        <v>48700</v>
      </c>
      <c r="C14" s="43">
        <f t="shared" si="0"/>
        <v>372000</v>
      </c>
      <c r="D14" s="80"/>
      <c r="E14" s="57">
        <f t="shared" si="1"/>
        <v>0</v>
      </c>
      <c r="F14" s="71"/>
      <c r="G14" s="32"/>
      <c r="H14" s="51"/>
    </row>
    <row r="15" spans="1:8" ht="15.75" thickBot="1" x14ac:dyDescent="0.3">
      <c r="A15" s="59">
        <v>30</v>
      </c>
      <c r="B15" s="8">
        <v>48731</v>
      </c>
      <c r="C15" s="43">
        <f t="shared" si="0"/>
        <v>360000</v>
      </c>
      <c r="D15" s="80"/>
      <c r="E15" s="57">
        <f t="shared" si="1"/>
        <v>0</v>
      </c>
      <c r="F15" s="71"/>
      <c r="G15" s="32"/>
      <c r="H15" s="51"/>
    </row>
    <row r="16" spans="1:8" ht="15.75" thickBot="1" x14ac:dyDescent="0.3">
      <c r="A16" s="59">
        <v>31</v>
      </c>
      <c r="B16" s="8">
        <v>48761</v>
      </c>
      <c r="C16" s="43">
        <f t="shared" si="0"/>
        <v>372000</v>
      </c>
      <c r="D16" s="80"/>
      <c r="E16" s="57">
        <f t="shared" si="1"/>
        <v>0</v>
      </c>
      <c r="F16" s="71"/>
      <c r="G16" s="32"/>
      <c r="H16" s="51"/>
    </row>
    <row r="17" spans="1:8" ht="15.75" thickBot="1" x14ac:dyDescent="0.3">
      <c r="A17" s="59">
        <v>31</v>
      </c>
      <c r="B17" s="8">
        <v>48792</v>
      </c>
      <c r="C17" s="43">
        <f t="shared" si="0"/>
        <v>372000</v>
      </c>
      <c r="D17" s="80"/>
      <c r="E17" s="57">
        <f t="shared" si="1"/>
        <v>0</v>
      </c>
      <c r="F17" s="71"/>
      <c r="G17" s="32"/>
      <c r="H17" s="51"/>
    </row>
    <row r="18" spans="1:8" ht="15.75" thickBot="1" x14ac:dyDescent="0.3">
      <c r="A18" s="59">
        <v>30</v>
      </c>
      <c r="B18" s="8">
        <v>48823</v>
      </c>
      <c r="C18" s="43">
        <f t="shared" si="0"/>
        <v>360000</v>
      </c>
      <c r="D18" s="80"/>
      <c r="E18" s="57">
        <f t="shared" si="1"/>
        <v>0</v>
      </c>
      <c r="F18" s="71"/>
      <c r="G18" s="32"/>
      <c r="H18" s="51"/>
    </row>
    <row r="19" spans="1:8" ht="15.75" thickBot="1" x14ac:dyDescent="0.3">
      <c r="A19" s="59">
        <v>31</v>
      </c>
      <c r="B19" s="8">
        <v>48853</v>
      </c>
      <c r="C19" s="43">
        <f t="shared" si="0"/>
        <v>372000</v>
      </c>
      <c r="D19" s="80"/>
      <c r="E19" s="57">
        <f t="shared" si="1"/>
        <v>0</v>
      </c>
      <c r="F19" s="71"/>
      <c r="G19" s="32"/>
      <c r="H19" s="51"/>
    </row>
    <row r="20" spans="1:8" ht="15.75" thickBot="1" x14ac:dyDescent="0.3">
      <c r="A20" s="59">
        <v>30</v>
      </c>
      <c r="B20" s="8">
        <v>48884</v>
      </c>
      <c r="C20" s="43">
        <f t="shared" si="0"/>
        <v>360000</v>
      </c>
      <c r="D20" s="80"/>
      <c r="E20" s="57">
        <f t="shared" si="1"/>
        <v>0</v>
      </c>
      <c r="F20" s="71"/>
      <c r="G20" s="32"/>
      <c r="H20" s="51"/>
    </row>
    <row r="21" spans="1:8" ht="15.75" thickBot="1" x14ac:dyDescent="0.3">
      <c r="A21" s="59">
        <v>31</v>
      </c>
      <c r="B21" s="8">
        <v>48914</v>
      </c>
      <c r="C21" s="43">
        <f t="shared" si="0"/>
        <v>372000</v>
      </c>
      <c r="D21" s="81"/>
      <c r="E21" s="57">
        <f t="shared" si="1"/>
        <v>0</v>
      </c>
      <c r="F21" s="72"/>
      <c r="G21" s="32"/>
      <c r="H21" s="51"/>
    </row>
    <row r="22" spans="1:8" ht="28.5" customHeight="1" x14ac:dyDescent="0.25">
      <c r="B22" s="9" t="s">
        <v>0</v>
      </c>
      <c r="C22" s="10">
        <f>+SUM(C10:C21)</f>
        <v>4380000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113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69" t="s">
        <v>68</v>
      </c>
      <c r="C26" s="69"/>
      <c r="D26" s="69"/>
      <c r="E26" s="69"/>
      <c r="F26" s="69"/>
      <c r="G26" s="69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500 kWh" sqref="D10:D21" xr:uid="{0970544F-A66F-416F-96DA-363A71EB75B7}">
      <formula1>0</formula1>
      <formula2>500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7113-D35E-4FC2-8050-6A3D1B76498A}">
  <sheetPr>
    <tabColor rgb="FFFFC000"/>
  </sheetPr>
  <dimension ref="A1:AD45"/>
  <sheetViews>
    <sheetView showGridLines="0" zoomScale="115" zoomScaleNormal="115" zoomScaleSheetLayoutView="110" workbookViewId="0">
      <pane xSplit="2" ySplit="5" topLeftCell="M6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3" width="7.7109375" bestFit="1" customWidth="1"/>
    <col min="4" max="4" width="7.42578125" bestFit="1" customWidth="1"/>
    <col min="5" max="5" width="7.7109375" bestFit="1" customWidth="1"/>
    <col min="6" max="6" width="7.42578125" bestFit="1" customWidth="1"/>
    <col min="7" max="8" width="7.7109375" bestFit="1" customWidth="1"/>
    <col min="9" max="9" width="7.42578125" bestFit="1" customWidth="1"/>
    <col min="10" max="14" width="7.7109375" bestFit="1" customWidth="1"/>
    <col min="15" max="15" width="7.42578125" bestFit="1" customWidth="1"/>
    <col min="16" max="19" width="7.7109375" bestFit="1" customWidth="1"/>
    <col min="20" max="24" width="8" bestFit="1" customWidth="1"/>
    <col min="25" max="26" width="7.710937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4" t="s">
        <v>91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48580</v>
      </c>
      <c r="B6" s="18" t="s">
        <v>5</v>
      </c>
      <c r="C6" s="33">
        <v>3759</v>
      </c>
      <c r="D6" s="33">
        <v>3358</v>
      </c>
      <c r="E6" s="33">
        <v>3133</v>
      </c>
      <c r="F6" s="33">
        <v>3032</v>
      </c>
      <c r="G6" s="33">
        <v>3093</v>
      </c>
      <c r="H6" s="33">
        <v>3390</v>
      </c>
      <c r="I6" s="33">
        <v>3597</v>
      </c>
      <c r="J6" s="33">
        <v>3409</v>
      </c>
      <c r="K6" s="33">
        <v>4326</v>
      </c>
      <c r="L6" s="33">
        <v>5094</v>
      </c>
      <c r="M6" s="33">
        <v>5802</v>
      </c>
      <c r="N6" s="33">
        <v>6374</v>
      </c>
      <c r="O6" s="33">
        <v>5983</v>
      </c>
      <c r="P6" s="33">
        <v>5969</v>
      </c>
      <c r="Q6" s="33">
        <v>6523</v>
      </c>
      <c r="R6" s="33">
        <v>6663</v>
      </c>
      <c r="S6" s="33">
        <v>6550</v>
      </c>
      <c r="T6" s="33">
        <v>8541</v>
      </c>
      <c r="U6" s="33">
        <v>8655</v>
      </c>
      <c r="V6" s="33">
        <v>8968</v>
      </c>
      <c r="W6" s="33">
        <v>8564</v>
      </c>
      <c r="X6" s="33">
        <v>8133</v>
      </c>
      <c r="Y6" s="33">
        <v>7209</v>
      </c>
      <c r="Z6" s="34">
        <v>6119</v>
      </c>
      <c r="AA6" s="35">
        <f>SUM(C6:Z6)</f>
        <v>136244</v>
      </c>
      <c r="AB6" s="19">
        <v>20</v>
      </c>
      <c r="AC6" s="94">
        <f>+AA6*AB6+AA7*AB7+AA8*AB8</f>
        <v>3937046</v>
      </c>
    </row>
    <row r="7" spans="1:30" ht="15.75" thickBot="1" x14ac:dyDescent="0.3">
      <c r="A7" s="93"/>
      <c r="B7" s="20" t="s">
        <v>4</v>
      </c>
      <c r="C7" s="36">
        <v>3862</v>
      </c>
      <c r="D7" s="36">
        <v>3346</v>
      </c>
      <c r="E7" s="36">
        <v>3093</v>
      </c>
      <c r="F7" s="36">
        <v>2950</v>
      </c>
      <c r="G7" s="36">
        <v>2956</v>
      </c>
      <c r="H7" s="36">
        <v>3086</v>
      </c>
      <c r="I7" s="36">
        <v>3081</v>
      </c>
      <c r="J7" s="36">
        <v>2689</v>
      </c>
      <c r="K7" s="36">
        <v>3520</v>
      </c>
      <c r="L7" s="36">
        <v>4289</v>
      </c>
      <c r="M7" s="36">
        <v>4909</v>
      </c>
      <c r="N7" s="36">
        <v>5394</v>
      </c>
      <c r="O7" s="36">
        <v>5329</v>
      </c>
      <c r="P7" s="36">
        <v>5115</v>
      </c>
      <c r="Q7" s="36">
        <v>5080</v>
      </c>
      <c r="R7" s="36">
        <v>5084</v>
      </c>
      <c r="S7" s="36">
        <v>5049</v>
      </c>
      <c r="T7" s="36">
        <v>7239</v>
      </c>
      <c r="U7" s="36">
        <v>7799</v>
      </c>
      <c r="V7" s="36">
        <v>8255</v>
      </c>
      <c r="W7" s="36">
        <v>7875</v>
      </c>
      <c r="X7" s="36">
        <v>7467</v>
      </c>
      <c r="Y7" s="36">
        <v>6791</v>
      </c>
      <c r="Z7" s="37">
        <v>5996</v>
      </c>
      <c r="AA7" s="38">
        <f t="shared" ref="AA7:AA41" si="0">SUM(C7:Z7)</f>
        <v>120254</v>
      </c>
      <c r="AB7" s="21">
        <v>4</v>
      </c>
      <c r="AC7" s="95"/>
      <c r="AD7" s="47"/>
    </row>
    <row r="8" spans="1:30" x14ac:dyDescent="0.25">
      <c r="A8" s="93"/>
      <c r="B8" s="22" t="s">
        <v>3</v>
      </c>
      <c r="C8" s="39">
        <v>3734</v>
      </c>
      <c r="D8" s="39">
        <v>3324</v>
      </c>
      <c r="E8" s="39">
        <v>3022</v>
      </c>
      <c r="F8" s="39">
        <v>2837</v>
      </c>
      <c r="G8" s="39">
        <v>2784</v>
      </c>
      <c r="H8" s="39">
        <v>2842</v>
      </c>
      <c r="I8" s="39">
        <v>2671</v>
      </c>
      <c r="J8" s="39">
        <v>1988</v>
      </c>
      <c r="K8" s="39">
        <v>2497</v>
      </c>
      <c r="L8" s="39">
        <v>3167</v>
      </c>
      <c r="M8" s="39">
        <v>3639</v>
      </c>
      <c r="N8" s="39">
        <v>4145</v>
      </c>
      <c r="O8" s="39">
        <v>4395</v>
      </c>
      <c r="P8" s="39">
        <v>4201</v>
      </c>
      <c r="Q8" s="39">
        <v>3968</v>
      </c>
      <c r="R8" s="39">
        <v>3914</v>
      </c>
      <c r="S8" s="39">
        <v>3860</v>
      </c>
      <c r="T8" s="39">
        <v>6217</v>
      </c>
      <c r="U8" s="39">
        <v>6884</v>
      </c>
      <c r="V8" s="39">
        <v>7586</v>
      </c>
      <c r="W8" s="39">
        <v>7497</v>
      </c>
      <c r="X8" s="39">
        <v>7187</v>
      </c>
      <c r="Y8" s="39">
        <v>6465</v>
      </c>
      <c r="Z8" s="40">
        <v>5626</v>
      </c>
      <c r="AA8" s="41">
        <f t="shared" si="0"/>
        <v>104450</v>
      </c>
      <c r="AB8" s="23">
        <v>7</v>
      </c>
      <c r="AC8" s="96"/>
      <c r="AD8" s="48"/>
    </row>
    <row r="9" spans="1:30" ht="15.75" thickBot="1" x14ac:dyDescent="0.3">
      <c r="A9" s="93">
        <v>48611</v>
      </c>
      <c r="B9" s="18" t="s">
        <v>5</v>
      </c>
      <c r="C9" s="33">
        <v>3563</v>
      </c>
      <c r="D9" s="33">
        <v>3214</v>
      </c>
      <c r="E9" s="33">
        <v>3018</v>
      </c>
      <c r="F9" s="33">
        <v>2933</v>
      </c>
      <c r="G9" s="33">
        <v>3038</v>
      </c>
      <c r="H9" s="33">
        <v>3630</v>
      </c>
      <c r="I9" s="33">
        <v>3692</v>
      </c>
      <c r="J9" s="33">
        <v>3334</v>
      </c>
      <c r="K9" s="33">
        <v>4123</v>
      </c>
      <c r="L9" s="33">
        <v>4809</v>
      </c>
      <c r="M9" s="33">
        <v>5459</v>
      </c>
      <c r="N9" s="33">
        <v>5984</v>
      </c>
      <c r="O9" s="33">
        <v>5483</v>
      </c>
      <c r="P9" s="33">
        <v>5539</v>
      </c>
      <c r="Q9" s="33">
        <v>6135</v>
      </c>
      <c r="R9" s="33">
        <v>6277</v>
      </c>
      <c r="S9" s="33">
        <v>6166</v>
      </c>
      <c r="T9" s="33">
        <v>8131</v>
      </c>
      <c r="U9" s="33">
        <v>8193</v>
      </c>
      <c r="V9" s="33">
        <v>8669</v>
      </c>
      <c r="W9" s="33">
        <v>8303</v>
      </c>
      <c r="X9" s="33">
        <v>7852</v>
      </c>
      <c r="Y9" s="33">
        <v>6903</v>
      </c>
      <c r="Z9" s="34">
        <v>5816</v>
      </c>
      <c r="AA9" s="35">
        <f t="shared" si="0"/>
        <v>130264</v>
      </c>
      <c r="AB9" s="19">
        <v>20</v>
      </c>
      <c r="AC9" s="94">
        <f>+AA9*AB9+AA10*AB10+AA11*AB11</f>
        <v>3505356</v>
      </c>
    </row>
    <row r="10" spans="1:30" ht="15.75" thickBot="1" x14ac:dyDescent="0.3">
      <c r="A10" s="93"/>
      <c r="B10" s="20" t="s">
        <v>4</v>
      </c>
      <c r="C10" s="36">
        <v>3719</v>
      </c>
      <c r="D10" s="36">
        <v>3253</v>
      </c>
      <c r="E10" s="36">
        <v>3006</v>
      </c>
      <c r="F10" s="36">
        <v>2883</v>
      </c>
      <c r="G10" s="36">
        <v>2891</v>
      </c>
      <c r="H10" s="36">
        <v>3064</v>
      </c>
      <c r="I10" s="36">
        <v>3141</v>
      </c>
      <c r="J10" s="36">
        <v>2768</v>
      </c>
      <c r="K10" s="36">
        <v>3570</v>
      </c>
      <c r="L10" s="36">
        <v>4355</v>
      </c>
      <c r="M10" s="36">
        <v>4967</v>
      </c>
      <c r="N10" s="36">
        <v>5404</v>
      </c>
      <c r="O10" s="36">
        <v>5285</v>
      </c>
      <c r="P10" s="36">
        <v>5054</v>
      </c>
      <c r="Q10" s="36">
        <v>5027</v>
      </c>
      <c r="R10" s="36">
        <v>5025</v>
      </c>
      <c r="S10" s="36">
        <v>4922</v>
      </c>
      <c r="T10" s="36">
        <v>7084</v>
      </c>
      <c r="U10" s="36">
        <v>7595</v>
      </c>
      <c r="V10" s="36">
        <v>8135</v>
      </c>
      <c r="W10" s="36">
        <v>7741</v>
      </c>
      <c r="X10" s="36">
        <v>7360</v>
      </c>
      <c r="Y10" s="36">
        <v>6658</v>
      </c>
      <c r="Z10" s="37">
        <v>5879</v>
      </c>
      <c r="AA10" s="38">
        <f t="shared" si="0"/>
        <v>118786</v>
      </c>
      <c r="AB10" s="21">
        <v>4</v>
      </c>
      <c r="AC10" s="95"/>
      <c r="AD10" s="47"/>
    </row>
    <row r="11" spans="1:30" x14ac:dyDescent="0.25">
      <c r="A11" s="93"/>
      <c r="B11" s="22" t="s">
        <v>3</v>
      </c>
      <c r="C11" s="39">
        <v>3829</v>
      </c>
      <c r="D11" s="39">
        <v>3414</v>
      </c>
      <c r="E11" s="39">
        <v>3144</v>
      </c>
      <c r="F11" s="39">
        <v>2923</v>
      </c>
      <c r="G11" s="39">
        <v>2907</v>
      </c>
      <c r="H11" s="39">
        <v>2950</v>
      </c>
      <c r="I11" s="39">
        <v>2798</v>
      </c>
      <c r="J11" s="39">
        <v>2101</v>
      </c>
      <c r="K11" s="39">
        <v>2613</v>
      </c>
      <c r="L11" s="39">
        <v>3279</v>
      </c>
      <c r="M11" s="39">
        <v>3723</v>
      </c>
      <c r="N11" s="39">
        <v>4192</v>
      </c>
      <c r="O11" s="39">
        <v>4365</v>
      </c>
      <c r="P11" s="39">
        <v>4245</v>
      </c>
      <c r="Q11" s="39">
        <v>4014</v>
      </c>
      <c r="R11" s="39">
        <v>3966</v>
      </c>
      <c r="S11" s="39">
        <v>3928</v>
      </c>
      <c r="T11" s="39">
        <v>6251</v>
      </c>
      <c r="U11" s="39">
        <v>6877</v>
      </c>
      <c r="V11" s="39">
        <v>7704</v>
      </c>
      <c r="W11" s="39">
        <v>7621</v>
      </c>
      <c r="X11" s="39">
        <v>7328</v>
      </c>
      <c r="Y11" s="39">
        <v>6490</v>
      </c>
      <c r="Z11" s="40">
        <v>5571</v>
      </c>
      <c r="AA11" s="41">
        <f t="shared" si="0"/>
        <v>106233</v>
      </c>
      <c r="AB11" s="23">
        <v>4</v>
      </c>
      <c r="AC11" s="96"/>
      <c r="AD11" s="48"/>
    </row>
    <row r="12" spans="1:30" ht="15.75" thickBot="1" x14ac:dyDescent="0.3">
      <c r="A12" s="93">
        <v>48639</v>
      </c>
      <c r="B12" s="18" t="s">
        <v>5</v>
      </c>
      <c r="C12" s="33">
        <v>3793</v>
      </c>
      <c r="D12" s="33">
        <v>3428</v>
      </c>
      <c r="E12" s="33">
        <v>3219</v>
      </c>
      <c r="F12" s="33">
        <v>3131</v>
      </c>
      <c r="G12" s="33">
        <v>3223</v>
      </c>
      <c r="H12" s="33">
        <v>3773</v>
      </c>
      <c r="I12" s="33">
        <v>3805</v>
      </c>
      <c r="J12" s="33">
        <v>3534</v>
      </c>
      <c r="K12" s="33">
        <v>4338</v>
      </c>
      <c r="L12" s="33">
        <v>5056</v>
      </c>
      <c r="M12" s="33">
        <v>5725</v>
      </c>
      <c r="N12" s="33">
        <v>6269</v>
      </c>
      <c r="O12" s="33">
        <v>5798</v>
      </c>
      <c r="P12" s="33">
        <v>5815</v>
      </c>
      <c r="Q12" s="33">
        <v>6345</v>
      </c>
      <c r="R12" s="33">
        <v>6465</v>
      </c>
      <c r="S12" s="33">
        <v>6327</v>
      </c>
      <c r="T12" s="33">
        <v>8351</v>
      </c>
      <c r="U12" s="33">
        <v>8575</v>
      </c>
      <c r="V12" s="33">
        <v>9054</v>
      </c>
      <c r="W12" s="33">
        <v>8667</v>
      </c>
      <c r="X12" s="33">
        <v>8191</v>
      </c>
      <c r="Y12" s="33">
        <v>7205</v>
      </c>
      <c r="Z12" s="34">
        <v>6102</v>
      </c>
      <c r="AA12" s="35">
        <f t="shared" si="0"/>
        <v>136189</v>
      </c>
      <c r="AB12" s="19">
        <v>22</v>
      </c>
      <c r="AC12" s="94">
        <f>+AA12*AB12+AA13*AB13+AA14*AB14</f>
        <v>4001728</v>
      </c>
    </row>
    <row r="13" spans="1:30" ht="15.75" thickBot="1" x14ac:dyDescent="0.3">
      <c r="A13" s="93"/>
      <c r="B13" s="20" t="s">
        <v>4</v>
      </c>
      <c r="C13" s="36">
        <v>3795</v>
      </c>
      <c r="D13" s="36">
        <v>3285</v>
      </c>
      <c r="E13" s="36">
        <v>3034</v>
      </c>
      <c r="F13" s="36">
        <v>2921</v>
      </c>
      <c r="G13" s="36">
        <v>2925</v>
      </c>
      <c r="H13" s="36">
        <v>3073</v>
      </c>
      <c r="I13" s="36">
        <v>3098</v>
      </c>
      <c r="J13" s="36">
        <v>2802</v>
      </c>
      <c r="K13" s="36">
        <v>3609</v>
      </c>
      <c r="L13" s="36">
        <v>4330</v>
      </c>
      <c r="M13" s="36">
        <v>4919</v>
      </c>
      <c r="N13" s="36">
        <v>5339</v>
      </c>
      <c r="O13" s="36">
        <v>5248</v>
      </c>
      <c r="P13" s="36">
        <v>5057</v>
      </c>
      <c r="Q13" s="36">
        <v>4998</v>
      </c>
      <c r="R13" s="36">
        <v>4983</v>
      </c>
      <c r="S13" s="36">
        <v>4918</v>
      </c>
      <c r="T13" s="36">
        <v>7156</v>
      </c>
      <c r="U13" s="36">
        <v>7737</v>
      </c>
      <c r="V13" s="36">
        <v>8269</v>
      </c>
      <c r="W13" s="36">
        <v>7887</v>
      </c>
      <c r="X13" s="36">
        <v>7429</v>
      </c>
      <c r="Y13" s="36">
        <v>6744</v>
      </c>
      <c r="Z13" s="37">
        <v>5994</v>
      </c>
      <c r="AA13" s="38">
        <f t="shared" si="0"/>
        <v>119550</v>
      </c>
      <c r="AB13" s="21">
        <v>4</v>
      </c>
      <c r="AC13" s="95"/>
      <c r="AD13" s="47"/>
    </row>
    <row r="14" spans="1:30" x14ac:dyDescent="0.25">
      <c r="A14" s="93"/>
      <c r="B14" s="22" t="s">
        <v>3</v>
      </c>
      <c r="C14" s="39">
        <v>3798</v>
      </c>
      <c r="D14" s="39">
        <v>3373</v>
      </c>
      <c r="E14" s="39">
        <v>3090</v>
      </c>
      <c r="F14" s="39">
        <v>2924</v>
      </c>
      <c r="G14" s="39">
        <v>2888</v>
      </c>
      <c r="H14" s="39">
        <v>2944</v>
      </c>
      <c r="I14" s="39">
        <v>2709</v>
      </c>
      <c r="J14" s="39">
        <v>2068</v>
      </c>
      <c r="K14" s="39">
        <v>2579</v>
      </c>
      <c r="L14" s="39">
        <v>3212</v>
      </c>
      <c r="M14" s="39">
        <v>3665</v>
      </c>
      <c r="N14" s="39">
        <v>4096</v>
      </c>
      <c r="O14" s="39">
        <v>4305</v>
      </c>
      <c r="P14" s="39">
        <v>4174</v>
      </c>
      <c r="Q14" s="39">
        <v>3967</v>
      </c>
      <c r="R14" s="39">
        <v>3896</v>
      </c>
      <c r="S14" s="39">
        <v>3862</v>
      </c>
      <c r="T14" s="39">
        <v>6227</v>
      </c>
      <c r="U14" s="39">
        <v>6901</v>
      </c>
      <c r="V14" s="39">
        <v>7689</v>
      </c>
      <c r="W14" s="39">
        <v>7650</v>
      </c>
      <c r="X14" s="39">
        <v>7302</v>
      </c>
      <c r="Y14" s="39">
        <v>6533</v>
      </c>
      <c r="Z14" s="40">
        <v>5622</v>
      </c>
      <c r="AA14" s="41">
        <f t="shared" si="0"/>
        <v>105474</v>
      </c>
      <c r="AB14" s="23">
        <v>5</v>
      </c>
      <c r="AC14" s="96"/>
      <c r="AD14" s="45"/>
    </row>
    <row r="15" spans="1:30" ht="15.75" thickBot="1" x14ac:dyDescent="0.3">
      <c r="A15" s="93">
        <v>48670</v>
      </c>
      <c r="B15" s="18" t="s">
        <v>5</v>
      </c>
      <c r="C15" s="33">
        <v>3533</v>
      </c>
      <c r="D15" s="33">
        <v>3168</v>
      </c>
      <c r="E15" s="33">
        <v>2956</v>
      </c>
      <c r="F15" s="33">
        <v>2879</v>
      </c>
      <c r="G15" s="33">
        <v>2956</v>
      </c>
      <c r="H15" s="33">
        <v>3338</v>
      </c>
      <c r="I15" s="33">
        <v>3468</v>
      </c>
      <c r="J15" s="33">
        <v>3326</v>
      </c>
      <c r="K15" s="33">
        <v>4072</v>
      </c>
      <c r="L15" s="33">
        <v>4747</v>
      </c>
      <c r="M15" s="33">
        <v>5370</v>
      </c>
      <c r="N15" s="33">
        <v>5904</v>
      </c>
      <c r="O15" s="33">
        <v>5550</v>
      </c>
      <c r="P15" s="33">
        <v>5526</v>
      </c>
      <c r="Q15" s="33">
        <v>5905</v>
      </c>
      <c r="R15" s="33">
        <v>6011</v>
      </c>
      <c r="S15" s="33">
        <v>5876</v>
      </c>
      <c r="T15" s="33">
        <v>8004</v>
      </c>
      <c r="U15" s="33">
        <v>8345</v>
      </c>
      <c r="V15" s="33">
        <v>8666</v>
      </c>
      <c r="W15" s="33">
        <v>8327</v>
      </c>
      <c r="X15" s="33">
        <v>7821</v>
      </c>
      <c r="Y15" s="33">
        <v>6843</v>
      </c>
      <c r="Z15" s="34">
        <v>5784</v>
      </c>
      <c r="AA15" s="35">
        <f t="shared" si="0"/>
        <v>128375</v>
      </c>
      <c r="AB15" s="19">
        <v>19</v>
      </c>
      <c r="AC15" s="94">
        <f>+AA15*AB15+AA16*AB16+AA17*AB17</f>
        <v>3644850</v>
      </c>
    </row>
    <row r="16" spans="1:30" ht="15.75" thickBot="1" x14ac:dyDescent="0.3">
      <c r="A16" s="93"/>
      <c r="B16" s="20" t="s">
        <v>4</v>
      </c>
      <c r="C16" s="36">
        <v>3568</v>
      </c>
      <c r="D16" s="36">
        <v>3082</v>
      </c>
      <c r="E16" s="36">
        <v>2839</v>
      </c>
      <c r="F16" s="36">
        <v>2723</v>
      </c>
      <c r="G16" s="36">
        <v>2766</v>
      </c>
      <c r="H16" s="36">
        <v>2870</v>
      </c>
      <c r="I16" s="36">
        <v>2919</v>
      </c>
      <c r="J16" s="36">
        <v>2708</v>
      </c>
      <c r="K16" s="36">
        <v>3452</v>
      </c>
      <c r="L16" s="36">
        <v>4151</v>
      </c>
      <c r="M16" s="36">
        <v>4730</v>
      </c>
      <c r="N16" s="36">
        <v>5134</v>
      </c>
      <c r="O16" s="36">
        <v>5128</v>
      </c>
      <c r="P16" s="36">
        <v>4888</v>
      </c>
      <c r="Q16" s="36">
        <v>4845</v>
      </c>
      <c r="R16" s="36">
        <v>4868</v>
      </c>
      <c r="S16" s="36">
        <v>4825</v>
      </c>
      <c r="T16" s="36">
        <v>7148</v>
      </c>
      <c r="U16" s="36">
        <v>7786</v>
      </c>
      <c r="V16" s="36">
        <v>8138</v>
      </c>
      <c r="W16" s="36">
        <v>7746</v>
      </c>
      <c r="X16" s="36">
        <v>7288</v>
      </c>
      <c r="Y16" s="36">
        <v>6581</v>
      </c>
      <c r="Z16" s="37">
        <v>5790</v>
      </c>
      <c r="AA16" s="38">
        <f t="shared" si="0"/>
        <v>115973</v>
      </c>
      <c r="AB16" s="21">
        <v>5</v>
      </c>
      <c r="AC16" s="95"/>
      <c r="AD16" s="47"/>
    </row>
    <row r="17" spans="1:30" x14ac:dyDescent="0.25">
      <c r="A17" s="93"/>
      <c r="B17" s="22" t="s">
        <v>3</v>
      </c>
      <c r="C17" s="39">
        <v>3624</v>
      </c>
      <c r="D17" s="39">
        <v>3218</v>
      </c>
      <c r="E17" s="39">
        <v>2945</v>
      </c>
      <c r="F17" s="39">
        <v>2784</v>
      </c>
      <c r="G17" s="39">
        <v>2719</v>
      </c>
      <c r="H17" s="39">
        <v>2700</v>
      </c>
      <c r="I17" s="39">
        <v>2542</v>
      </c>
      <c r="J17" s="39">
        <v>2032</v>
      </c>
      <c r="K17" s="39">
        <v>2592</v>
      </c>
      <c r="L17" s="39">
        <v>3206</v>
      </c>
      <c r="M17" s="39">
        <v>3651</v>
      </c>
      <c r="N17" s="39">
        <v>4082</v>
      </c>
      <c r="O17" s="39">
        <v>4312</v>
      </c>
      <c r="P17" s="39">
        <v>4237</v>
      </c>
      <c r="Q17" s="39">
        <v>4050</v>
      </c>
      <c r="R17" s="39">
        <v>3998</v>
      </c>
      <c r="S17" s="39">
        <v>3961</v>
      </c>
      <c r="T17" s="39">
        <v>6337</v>
      </c>
      <c r="U17" s="39">
        <v>7128</v>
      </c>
      <c r="V17" s="39">
        <v>7727</v>
      </c>
      <c r="W17" s="39">
        <v>7550</v>
      </c>
      <c r="X17" s="39">
        <v>7141</v>
      </c>
      <c r="Y17" s="39">
        <v>6332</v>
      </c>
      <c r="Z17" s="40">
        <v>5442</v>
      </c>
      <c r="AA17" s="41">
        <f t="shared" si="0"/>
        <v>104310</v>
      </c>
      <c r="AB17" s="23">
        <v>6</v>
      </c>
      <c r="AC17" s="96"/>
      <c r="AD17" s="48"/>
    </row>
    <row r="18" spans="1:30" ht="15.75" thickBot="1" x14ac:dyDescent="0.3">
      <c r="A18" s="93">
        <v>48700</v>
      </c>
      <c r="B18" s="18" t="s">
        <v>5</v>
      </c>
      <c r="C18" s="33">
        <v>3568</v>
      </c>
      <c r="D18" s="33">
        <v>3200</v>
      </c>
      <c r="E18" s="33">
        <v>3012</v>
      </c>
      <c r="F18" s="33">
        <v>2911</v>
      </c>
      <c r="G18" s="33">
        <v>2990</v>
      </c>
      <c r="H18" s="33">
        <v>3305</v>
      </c>
      <c r="I18" s="33">
        <v>3512</v>
      </c>
      <c r="J18" s="33">
        <v>3388</v>
      </c>
      <c r="K18" s="33">
        <v>4212</v>
      </c>
      <c r="L18" s="33">
        <v>4911</v>
      </c>
      <c r="M18" s="33">
        <v>5523</v>
      </c>
      <c r="N18" s="33">
        <v>6023</v>
      </c>
      <c r="O18" s="33">
        <v>5620</v>
      </c>
      <c r="P18" s="33">
        <v>5548</v>
      </c>
      <c r="Q18" s="33">
        <v>5969</v>
      </c>
      <c r="R18" s="33">
        <v>6053</v>
      </c>
      <c r="S18" s="33">
        <v>5977</v>
      </c>
      <c r="T18" s="33">
        <v>8089</v>
      </c>
      <c r="U18" s="33">
        <v>8464</v>
      </c>
      <c r="V18" s="33">
        <v>8748</v>
      </c>
      <c r="W18" s="33">
        <v>8429</v>
      </c>
      <c r="X18" s="33">
        <v>7886</v>
      </c>
      <c r="Y18" s="33">
        <v>6893</v>
      </c>
      <c r="Z18" s="34">
        <v>5809</v>
      </c>
      <c r="AA18" s="35">
        <f t="shared" si="0"/>
        <v>130040</v>
      </c>
      <c r="AB18" s="19">
        <v>21</v>
      </c>
      <c r="AC18" s="94">
        <f>+AA18*AB18+AA19*AB19+AA20*AB20</f>
        <v>3840608</v>
      </c>
    </row>
    <row r="19" spans="1:30" ht="15.75" thickBot="1" x14ac:dyDescent="0.3">
      <c r="A19" s="93"/>
      <c r="B19" s="20" t="s">
        <v>4</v>
      </c>
      <c r="C19" s="36">
        <v>3699</v>
      </c>
      <c r="D19" s="36">
        <v>3187</v>
      </c>
      <c r="E19" s="36">
        <v>2985</v>
      </c>
      <c r="F19" s="36">
        <v>2840</v>
      </c>
      <c r="G19" s="36">
        <v>2866</v>
      </c>
      <c r="H19" s="36">
        <v>2862</v>
      </c>
      <c r="I19" s="36">
        <v>2938</v>
      </c>
      <c r="J19" s="36">
        <v>2803</v>
      </c>
      <c r="K19" s="36">
        <v>3633</v>
      </c>
      <c r="L19" s="36">
        <v>4413</v>
      </c>
      <c r="M19" s="36">
        <v>4986</v>
      </c>
      <c r="N19" s="36">
        <v>5409</v>
      </c>
      <c r="O19" s="36">
        <v>5287</v>
      </c>
      <c r="P19" s="36">
        <v>5002</v>
      </c>
      <c r="Q19" s="36">
        <v>4928</v>
      </c>
      <c r="R19" s="36">
        <v>4909</v>
      </c>
      <c r="S19" s="36">
        <v>4823</v>
      </c>
      <c r="T19" s="36">
        <v>7170</v>
      </c>
      <c r="U19" s="36">
        <v>7935</v>
      </c>
      <c r="V19" s="36">
        <v>8262</v>
      </c>
      <c r="W19" s="36">
        <v>7875</v>
      </c>
      <c r="X19" s="36">
        <v>7455</v>
      </c>
      <c r="Y19" s="36">
        <v>6679</v>
      </c>
      <c r="Z19" s="37">
        <v>5910</v>
      </c>
      <c r="AA19" s="38">
        <f t="shared" si="0"/>
        <v>118856</v>
      </c>
      <c r="AB19" s="21">
        <v>4</v>
      </c>
      <c r="AC19" s="95"/>
      <c r="AD19" s="47"/>
    </row>
    <row r="20" spans="1:30" x14ac:dyDescent="0.25">
      <c r="A20" s="93"/>
      <c r="B20" s="22" t="s">
        <v>3</v>
      </c>
      <c r="C20" s="39">
        <v>3705</v>
      </c>
      <c r="D20" s="39">
        <v>3281</v>
      </c>
      <c r="E20" s="39">
        <v>3027</v>
      </c>
      <c r="F20" s="39">
        <v>2839</v>
      </c>
      <c r="G20" s="39">
        <v>2844</v>
      </c>
      <c r="H20" s="39">
        <v>2729</v>
      </c>
      <c r="I20" s="39">
        <v>2557</v>
      </c>
      <c r="J20" s="39">
        <v>2129</v>
      </c>
      <c r="K20" s="39">
        <v>2689</v>
      </c>
      <c r="L20" s="39">
        <v>3361</v>
      </c>
      <c r="M20" s="39">
        <v>3748</v>
      </c>
      <c r="N20" s="39">
        <v>4163</v>
      </c>
      <c r="O20" s="39">
        <v>4342</v>
      </c>
      <c r="P20" s="39">
        <v>4214</v>
      </c>
      <c r="Q20" s="39">
        <v>4049</v>
      </c>
      <c r="R20" s="39">
        <v>3995</v>
      </c>
      <c r="S20" s="39">
        <v>3936</v>
      </c>
      <c r="T20" s="39">
        <v>6277</v>
      </c>
      <c r="U20" s="39">
        <v>7089</v>
      </c>
      <c r="V20" s="39">
        <v>7745</v>
      </c>
      <c r="W20" s="39">
        <v>7618</v>
      </c>
      <c r="X20" s="39">
        <v>7283</v>
      </c>
      <c r="Y20" s="39">
        <v>6487</v>
      </c>
      <c r="Z20" s="40">
        <v>5617</v>
      </c>
      <c r="AA20" s="41">
        <f t="shared" si="0"/>
        <v>105724</v>
      </c>
      <c r="AB20" s="23">
        <v>6</v>
      </c>
      <c r="AC20" s="96"/>
      <c r="AD20" s="48"/>
    </row>
    <row r="21" spans="1:30" ht="15.75" thickBot="1" x14ac:dyDescent="0.3">
      <c r="A21" s="93">
        <v>48731</v>
      </c>
      <c r="B21" s="18" t="s">
        <v>5</v>
      </c>
      <c r="C21" s="33">
        <v>3437</v>
      </c>
      <c r="D21" s="33">
        <v>3107</v>
      </c>
      <c r="E21" s="33">
        <v>2903</v>
      </c>
      <c r="F21" s="33">
        <v>2828</v>
      </c>
      <c r="G21" s="33">
        <v>2936</v>
      </c>
      <c r="H21" s="33">
        <v>3209</v>
      </c>
      <c r="I21" s="33">
        <v>3491</v>
      </c>
      <c r="J21" s="33">
        <v>3425</v>
      </c>
      <c r="K21" s="33">
        <v>4220</v>
      </c>
      <c r="L21" s="33">
        <v>4958</v>
      </c>
      <c r="M21" s="33">
        <v>5589</v>
      </c>
      <c r="N21" s="33">
        <v>6130</v>
      </c>
      <c r="O21" s="33">
        <v>5724</v>
      </c>
      <c r="P21" s="33">
        <v>5605</v>
      </c>
      <c r="Q21" s="33">
        <v>6058</v>
      </c>
      <c r="R21" s="33">
        <v>6179</v>
      </c>
      <c r="S21" s="33">
        <v>6036</v>
      </c>
      <c r="T21" s="33">
        <v>8165</v>
      </c>
      <c r="U21" s="33">
        <v>8362</v>
      </c>
      <c r="V21" s="33">
        <v>8818</v>
      </c>
      <c r="W21" s="33">
        <v>8470</v>
      </c>
      <c r="X21" s="33">
        <v>7888</v>
      </c>
      <c r="Y21" s="33">
        <v>6863</v>
      </c>
      <c r="Z21" s="34">
        <v>5747</v>
      </c>
      <c r="AA21" s="35">
        <f t="shared" si="0"/>
        <v>130148</v>
      </c>
      <c r="AB21" s="19">
        <v>20</v>
      </c>
      <c r="AC21" s="94">
        <f>+AA21*AB21+AA22*AB22+AA23*AB23</f>
        <v>3771910</v>
      </c>
    </row>
    <row r="22" spans="1:30" ht="15.75" thickBot="1" x14ac:dyDescent="0.3">
      <c r="A22" s="93"/>
      <c r="B22" s="20" t="s">
        <v>4</v>
      </c>
      <c r="C22" s="36">
        <v>3637</v>
      </c>
      <c r="D22" s="36">
        <v>3170</v>
      </c>
      <c r="E22" s="36">
        <v>2911</v>
      </c>
      <c r="F22" s="36">
        <v>2813</v>
      </c>
      <c r="G22" s="36">
        <v>2891</v>
      </c>
      <c r="H22" s="36">
        <v>2934</v>
      </c>
      <c r="I22" s="36">
        <v>3029</v>
      </c>
      <c r="J22" s="36">
        <v>2947</v>
      </c>
      <c r="K22" s="36">
        <v>3757</v>
      </c>
      <c r="L22" s="36">
        <v>4556</v>
      </c>
      <c r="M22" s="36">
        <v>5119</v>
      </c>
      <c r="N22" s="36">
        <v>5578</v>
      </c>
      <c r="O22" s="36">
        <v>5459</v>
      </c>
      <c r="P22" s="36">
        <v>5236</v>
      </c>
      <c r="Q22" s="36">
        <v>5159</v>
      </c>
      <c r="R22" s="36">
        <v>5177</v>
      </c>
      <c r="S22" s="36">
        <v>5105</v>
      </c>
      <c r="T22" s="36">
        <v>7359</v>
      </c>
      <c r="U22" s="36">
        <v>7935</v>
      </c>
      <c r="V22" s="36">
        <v>8403</v>
      </c>
      <c r="W22" s="36">
        <v>7958</v>
      </c>
      <c r="X22" s="36">
        <v>7507</v>
      </c>
      <c r="Y22" s="36">
        <v>6745</v>
      </c>
      <c r="Z22" s="37">
        <v>5917</v>
      </c>
      <c r="AA22" s="38">
        <f t="shared" si="0"/>
        <v>121302</v>
      </c>
      <c r="AB22" s="21">
        <v>4</v>
      </c>
      <c r="AC22" s="95"/>
      <c r="AD22" s="47"/>
    </row>
    <row r="23" spans="1:30" x14ac:dyDescent="0.25">
      <c r="A23" s="93"/>
      <c r="B23" s="22" t="s">
        <v>3</v>
      </c>
      <c r="C23" s="39">
        <v>3850</v>
      </c>
      <c r="D23" s="39">
        <v>3420</v>
      </c>
      <c r="E23" s="39">
        <v>3143</v>
      </c>
      <c r="F23" s="39">
        <v>2974</v>
      </c>
      <c r="G23" s="39">
        <v>2974</v>
      </c>
      <c r="H23" s="39">
        <v>2933</v>
      </c>
      <c r="I23" s="39">
        <v>2953</v>
      </c>
      <c r="J23" s="39">
        <v>2581</v>
      </c>
      <c r="K23" s="39">
        <v>3183</v>
      </c>
      <c r="L23" s="39">
        <v>3882</v>
      </c>
      <c r="M23" s="39">
        <v>4302</v>
      </c>
      <c r="N23" s="39">
        <v>4771</v>
      </c>
      <c r="O23" s="39">
        <v>4843</v>
      </c>
      <c r="P23" s="39">
        <v>4722</v>
      </c>
      <c r="Q23" s="39">
        <v>4602</v>
      </c>
      <c r="R23" s="39">
        <v>4533</v>
      </c>
      <c r="S23" s="39">
        <v>4469</v>
      </c>
      <c r="T23" s="39">
        <v>6810</v>
      </c>
      <c r="U23" s="39">
        <v>7266</v>
      </c>
      <c r="V23" s="39">
        <v>8022</v>
      </c>
      <c r="W23" s="39">
        <v>7886</v>
      </c>
      <c r="X23" s="39">
        <v>7465</v>
      </c>
      <c r="Y23" s="39">
        <v>6631</v>
      </c>
      <c r="Z23" s="40">
        <v>5742</v>
      </c>
      <c r="AA23" s="41">
        <f t="shared" si="0"/>
        <v>113957</v>
      </c>
      <c r="AB23" s="23">
        <v>6</v>
      </c>
      <c r="AC23" s="96"/>
      <c r="AD23" s="48"/>
    </row>
    <row r="24" spans="1:30" ht="15.75" thickBot="1" x14ac:dyDescent="0.3">
      <c r="A24" s="93">
        <v>48761</v>
      </c>
      <c r="B24" s="18" t="s">
        <v>5</v>
      </c>
      <c r="C24" s="33">
        <v>3635</v>
      </c>
      <c r="D24" s="33">
        <v>3297</v>
      </c>
      <c r="E24" s="33">
        <v>3081</v>
      </c>
      <c r="F24" s="33">
        <v>2982</v>
      </c>
      <c r="G24" s="33">
        <v>3053</v>
      </c>
      <c r="H24" s="33">
        <v>3344</v>
      </c>
      <c r="I24" s="33">
        <v>3525</v>
      </c>
      <c r="J24" s="33">
        <v>3512</v>
      </c>
      <c r="K24" s="33">
        <v>4363</v>
      </c>
      <c r="L24" s="33">
        <v>5148</v>
      </c>
      <c r="M24" s="33">
        <v>5813</v>
      </c>
      <c r="N24" s="33">
        <v>6350</v>
      </c>
      <c r="O24" s="33">
        <v>5890</v>
      </c>
      <c r="P24" s="33">
        <v>5815</v>
      </c>
      <c r="Q24" s="33">
        <v>6373</v>
      </c>
      <c r="R24" s="33">
        <v>6513</v>
      </c>
      <c r="S24" s="33">
        <v>6383</v>
      </c>
      <c r="T24" s="33">
        <v>8403</v>
      </c>
      <c r="U24" s="33">
        <v>8382</v>
      </c>
      <c r="V24" s="33">
        <v>8905</v>
      </c>
      <c r="W24" s="33">
        <v>8584</v>
      </c>
      <c r="X24" s="33">
        <v>8081</v>
      </c>
      <c r="Y24" s="33">
        <v>7060</v>
      </c>
      <c r="Z24" s="34">
        <v>5976</v>
      </c>
      <c r="AA24" s="35">
        <f t="shared" si="0"/>
        <v>134468</v>
      </c>
      <c r="AB24" s="19">
        <v>19</v>
      </c>
      <c r="AC24" s="94">
        <f>+AA24*AB24+AA25*AB25+AA26*AB26</f>
        <v>3916469</v>
      </c>
    </row>
    <row r="25" spans="1:30" ht="15.75" thickBot="1" x14ac:dyDescent="0.3">
      <c r="A25" s="93"/>
      <c r="B25" s="20" t="s">
        <v>4</v>
      </c>
      <c r="C25" s="36">
        <v>3665</v>
      </c>
      <c r="D25" s="36">
        <v>3191</v>
      </c>
      <c r="E25" s="36">
        <v>2929</v>
      </c>
      <c r="F25" s="36">
        <v>2795</v>
      </c>
      <c r="G25" s="36">
        <v>2869</v>
      </c>
      <c r="H25" s="36">
        <v>2954</v>
      </c>
      <c r="I25" s="36">
        <v>2979</v>
      </c>
      <c r="J25" s="36">
        <v>2869</v>
      </c>
      <c r="K25" s="36">
        <v>3702</v>
      </c>
      <c r="L25" s="36">
        <v>4528</v>
      </c>
      <c r="M25" s="36">
        <v>5065</v>
      </c>
      <c r="N25" s="36">
        <v>5499</v>
      </c>
      <c r="O25" s="36">
        <v>5354</v>
      </c>
      <c r="P25" s="36">
        <v>5082</v>
      </c>
      <c r="Q25" s="36">
        <v>5013</v>
      </c>
      <c r="R25" s="36">
        <v>5023</v>
      </c>
      <c r="S25" s="36">
        <v>4981</v>
      </c>
      <c r="T25" s="36">
        <v>7219</v>
      </c>
      <c r="U25" s="36">
        <v>7664</v>
      </c>
      <c r="V25" s="36">
        <v>8211</v>
      </c>
      <c r="W25" s="36">
        <v>7826</v>
      </c>
      <c r="X25" s="36">
        <v>7393</v>
      </c>
      <c r="Y25" s="36">
        <v>6671</v>
      </c>
      <c r="Z25" s="37">
        <v>5861</v>
      </c>
      <c r="AA25" s="38">
        <f t="shared" si="0"/>
        <v>119343</v>
      </c>
      <c r="AB25" s="21">
        <v>5</v>
      </c>
      <c r="AC25" s="95"/>
      <c r="AD25" s="47"/>
    </row>
    <row r="26" spans="1:30" x14ac:dyDescent="0.25">
      <c r="A26" s="93"/>
      <c r="B26" s="22" t="s">
        <v>3</v>
      </c>
      <c r="C26" s="39">
        <v>3787</v>
      </c>
      <c r="D26" s="39">
        <v>3407</v>
      </c>
      <c r="E26" s="39">
        <v>3128</v>
      </c>
      <c r="F26" s="39">
        <v>2919</v>
      </c>
      <c r="G26" s="39">
        <v>2897</v>
      </c>
      <c r="H26" s="39">
        <v>2847</v>
      </c>
      <c r="I26" s="39">
        <v>2713</v>
      </c>
      <c r="J26" s="39">
        <v>2290</v>
      </c>
      <c r="K26" s="39">
        <v>2870</v>
      </c>
      <c r="L26" s="39">
        <v>3579</v>
      </c>
      <c r="M26" s="39">
        <v>4038</v>
      </c>
      <c r="N26" s="39">
        <v>4472</v>
      </c>
      <c r="O26" s="39">
        <v>4650</v>
      </c>
      <c r="P26" s="39">
        <v>4477</v>
      </c>
      <c r="Q26" s="39">
        <v>4232</v>
      </c>
      <c r="R26" s="39">
        <v>4118</v>
      </c>
      <c r="S26" s="39">
        <v>4116</v>
      </c>
      <c r="T26" s="39">
        <v>6484</v>
      </c>
      <c r="U26" s="39">
        <v>6954</v>
      </c>
      <c r="V26" s="39">
        <v>7843</v>
      </c>
      <c r="W26" s="39">
        <v>7785</v>
      </c>
      <c r="X26" s="39">
        <v>7395</v>
      </c>
      <c r="Y26" s="39">
        <v>6594</v>
      </c>
      <c r="Z26" s="40">
        <v>5671</v>
      </c>
      <c r="AA26" s="41">
        <f t="shared" si="0"/>
        <v>109266</v>
      </c>
      <c r="AB26" s="23">
        <v>7</v>
      </c>
      <c r="AC26" s="96"/>
      <c r="AD26" s="48"/>
    </row>
    <row r="27" spans="1:30" ht="15.75" thickBot="1" x14ac:dyDescent="0.3">
      <c r="A27" s="93">
        <v>48792</v>
      </c>
      <c r="B27" s="18" t="s">
        <v>5</v>
      </c>
      <c r="C27" s="33">
        <v>3720</v>
      </c>
      <c r="D27" s="33">
        <v>3349</v>
      </c>
      <c r="E27" s="33">
        <v>3126</v>
      </c>
      <c r="F27" s="33">
        <v>3019</v>
      </c>
      <c r="G27" s="33">
        <v>3115</v>
      </c>
      <c r="H27" s="33">
        <v>3534</v>
      </c>
      <c r="I27" s="33">
        <v>3683</v>
      </c>
      <c r="J27" s="33">
        <v>3652</v>
      </c>
      <c r="K27" s="33">
        <v>4527</v>
      </c>
      <c r="L27" s="33">
        <v>5291</v>
      </c>
      <c r="M27" s="33">
        <v>5975</v>
      </c>
      <c r="N27" s="33">
        <v>6544</v>
      </c>
      <c r="O27" s="33">
        <v>6038</v>
      </c>
      <c r="P27" s="33">
        <v>6000</v>
      </c>
      <c r="Q27" s="33">
        <v>6622</v>
      </c>
      <c r="R27" s="33">
        <v>6791</v>
      </c>
      <c r="S27" s="33">
        <v>6687</v>
      </c>
      <c r="T27" s="33">
        <v>8643</v>
      </c>
      <c r="U27" s="33">
        <v>8731</v>
      </c>
      <c r="V27" s="33">
        <v>9068</v>
      </c>
      <c r="W27" s="33">
        <v>8718</v>
      </c>
      <c r="X27" s="33">
        <v>8210</v>
      </c>
      <c r="Y27" s="33">
        <v>7170</v>
      </c>
      <c r="Z27" s="34">
        <v>6041</v>
      </c>
      <c r="AA27" s="35">
        <f t="shared" si="0"/>
        <v>138254</v>
      </c>
      <c r="AB27" s="19">
        <v>22</v>
      </c>
      <c r="AC27" s="94">
        <f>+AA27*AB27+AA28*AB28+AA29*AB29</f>
        <v>4098146</v>
      </c>
    </row>
    <row r="28" spans="1:30" ht="15.75" thickBot="1" x14ac:dyDescent="0.3">
      <c r="A28" s="93"/>
      <c r="B28" s="20" t="s">
        <v>4</v>
      </c>
      <c r="C28" s="36">
        <v>3905</v>
      </c>
      <c r="D28" s="36">
        <v>3415</v>
      </c>
      <c r="E28" s="36">
        <v>3148</v>
      </c>
      <c r="F28" s="36">
        <v>2993</v>
      </c>
      <c r="G28" s="36">
        <v>3036</v>
      </c>
      <c r="H28" s="36">
        <v>3137</v>
      </c>
      <c r="I28" s="36">
        <v>3281</v>
      </c>
      <c r="J28" s="36">
        <v>3160</v>
      </c>
      <c r="K28" s="36">
        <v>4071</v>
      </c>
      <c r="L28" s="36">
        <v>4892</v>
      </c>
      <c r="M28" s="36">
        <v>5426</v>
      </c>
      <c r="N28" s="36">
        <v>5927</v>
      </c>
      <c r="O28" s="36">
        <v>5821</v>
      </c>
      <c r="P28" s="36">
        <v>5464</v>
      </c>
      <c r="Q28" s="36">
        <v>5513</v>
      </c>
      <c r="R28" s="36">
        <v>5464</v>
      </c>
      <c r="S28" s="36">
        <v>5364</v>
      </c>
      <c r="T28" s="36">
        <v>7631</v>
      </c>
      <c r="U28" s="36">
        <v>8039</v>
      </c>
      <c r="V28" s="36">
        <v>8509</v>
      </c>
      <c r="W28" s="36">
        <v>8059</v>
      </c>
      <c r="X28" s="36">
        <v>7589</v>
      </c>
      <c r="Y28" s="36">
        <v>6868</v>
      </c>
      <c r="Z28" s="37">
        <v>6020</v>
      </c>
      <c r="AA28" s="38">
        <f t="shared" si="0"/>
        <v>126732</v>
      </c>
      <c r="AB28" s="21">
        <v>4</v>
      </c>
      <c r="AC28" s="95"/>
      <c r="AD28" s="47"/>
    </row>
    <row r="29" spans="1:30" x14ac:dyDescent="0.25">
      <c r="A29" s="93"/>
      <c r="B29" s="22" t="s">
        <v>3</v>
      </c>
      <c r="C29" s="39">
        <v>3881</v>
      </c>
      <c r="D29" s="39">
        <v>3468</v>
      </c>
      <c r="E29" s="39">
        <v>3157</v>
      </c>
      <c r="F29" s="39">
        <v>2974</v>
      </c>
      <c r="G29" s="39">
        <v>2962</v>
      </c>
      <c r="H29" s="39">
        <v>2948</v>
      </c>
      <c r="I29" s="39">
        <v>2641</v>
      </c>
      <c r="J29" s="39">
        <v>2269</v>
      </c>
      <c r="K29" s="39">
        <v>2827</v>
      </c>
      <c r="L29" s="39">
        <v>3538</v>
      </c>
      <c r="M29" s="39">
        <v>4005</v>
      </c>
      <c r="N29" s="39">
        <v>4447</v>
      </c>
      <c r="O29" s="39">
        <v>4581</v>
      </c>
      <c r="P29" s="39">
        <v>4453</v>
      </c>
      <c r="Q29" s="39">
        <v>4213</v>
      </c>
      <c r="R29" s="39">
        <v>4164</v>
      </c>
      <c r="S29" s="39">
        <v>4129</v>
      </c>
      <c r="T29" s="39">
        <v>6456</v>
      </c>
      <c r="U29" s="39">
        <v>7128</v>
      </c>
      <c r="V29" s="39">
        <v>7952</v>
      </c>
      <c r="W29" s="39">
        <v>7855</v>
      </c>
      <c r="X29" s="39">
        <v>7504</v>
      </c>
      <c r="Y29" s="39">
        <v>6663</v>
      </c>
      <c r="Z29" s="40">
        <v>5711</v>
      </c>
      <c r="AA29" s="41">
        <f t="shared" si="0"/>
        <v>109926</v>
      </c>
      <c r="AB29" s="23">
        <v>5</v>
      </c>
      <c r="AC29" s="96"/>
      <c r="AD29" s="49"/>
    </row>
    <row r="30" spans="1:30" ht="15.75" thickBot="1" x14ac:dyDescent="0.3">
      <c r="A30" s="93">
        <v>48823</v>
      </c>
      <c r="B30" s="18" t="s">
        <v>5</v>
      </c>
      <c r="C30" s="33">
        <v>3785</v>
      </c>
      <c r="D30" s="33">
        <v>3406</v>
      </c>
      <c r="E30" s="33">
        <v>3209</v>
      </c>
      <c r="F30" s="33">
        <v>3118</v>
      </c>
      <c r="G30" s="33">
        <v>3205</v>
      </c>
      <c r="H30" s="33">
        <v>3561</v>
      </c>
      <c r="I30" s="33">
        <v>3761</v>
      </c>
      <c r="J30" s="33">
        <v>3712</v>
      </c>
      <c r="K30" s="33">
        <v>4593</v>
      </c>
      <c r="L30" s="33">
        <v>5370</v>
      </c>
      <c r="M30" s="33">
        <v>6043</v>
      </c>
      <c r="N30" s="33">
        <v>6616</v>
      </c>
      <c r="O30" s="33">
        <v>6110</v>
      </c>
      <c r="P30" s="33">
        <v>6095</v>
      </c>
      <c r="Q30" s="33">
        <v>6695</v>
      </c>
      <c r="R30" s="33">
        <v>6834</v>
      </c>
      <c r="S30" s="33">
        <v>6711</v>
      </c>
      <c r="T30" s="33">
        <v>8718</v>
      </c>
      <c r="U30" s="33">
        <v>9108</v>
      </c>
      <c r="V30" s="33">
        <v>9133</v>
      </c>
      <c r="W30" s="33">
        <v>8764</v>
      </c>
      <c r="X30" s="33">
        <v>8226</v>
      </c>
      <c r="Y30" s="33">
        <v>7171</v>
      </c>
      <c r="Z30" s="34">
        <v>6087</v>
      </c>
      <c r="AA30" s="35">
        <f t="shared" si="0"/>
        <v>140031</v>
      </c>
      <c r="AB30" s="19">
        <v>22</v>
      </c>
      <c r="AC30" s="94">
        <f>+AA30*AB30+AA31*AB31+AA32*AB32</f>
        <v>4027342</v>
      </c>
    </row>
    <row r="31" spans="1:30" ht="15.75" thickBot="1" x14ac:dyDescent="0.3">
      <c r="A31" s="93"/>
      <c r="B31" s="20" t="s">
        <v>4</v>
      </c>
      <c r="C31" s="36">
        <v>3859</v>
      </c>
      <c r="D31" s="36">
        <v>3356</v>
      </c>
      <c r="E31" s="36">
        <v>3115</v>
      </c>
      <c r="F31" s="36">
        <v>2973</v>
      </c>
      <c r="G31" s="36">
        <v>3005</v>
      </c>
      <c r="H31" s="36">
        <v>3007</v>
      </c>
      <c r="I31" s="36">
        <v>3161</v>
      </c>
      <c r="J31" s="36">
        <v>3069</v>
      </c>
      <c r="K31" s="36">
        <v>4039</v>
      </c>
      <c r="L31" s="36">
        <v>4879</v>
      </c>
      <c r="M31" s="36">
        <v>5468</v>
      </c>
      <c r="N31" s="36">
        <v>5869</v>
      </c>
      <c r="O31" s="36">
        <v>5756</v>
      </c>
      <c r="P31" s="36">
        <v>5439</v>
      </c>
      <c r="Q31" s="36">
        <v>5399</v>
      </c>
      <c r="R31" s="36">
        <v>5415</v>
      </c>
      <c r="S31" s="36">
        <v>5362</v>
      </c>
      <c r="T31" s="36">
        <v>7651</v>
      </c>
      <c r="U31" s="36">
        <v>8443</v>
      </c>
      <c r="V31" s="36">
        <v>8512</v>
      </c>
      <c r="W31" s="36">
        <v>8037</v>
      </c>
      <c r="X31" s="36">
        <v>7587</v>
      </c>
      <c r="Y31" s="36">
        <v>6828</v>
      </c>
      <c r="Z31" s="37">
        <v>6039</v>
      </c>
      <c r="AA31" s="38">
        <f t="shared" si="0"/>
        <v>126268</v>
      </c>
      <c r="AB31" s="21">
        <v>4</v>
      </c>
      <c r="AC31" s="95"/>
      <c r="AD31" s="47"/>
    </row>
    <row r="32" spans="1:30" x14ac:dyDescent="0.25">
      <c r="A32" s="93"/>
      <c r="B32" s="22" t="s">
        <v>3</v>
      </c>
      <c r="C32" s="39">
        <v>3913</v>
      </c>
      <c r="D32" s="39">
        <v>3514</v>
      </c>
      <c r="E32" s="39">
        <v>3208</v>
      </c>
      <c r="F32" s="39">
        <v>3029</v>
      </c>
      <c r="G32" s="39">
        <v>2999</v>
      </c>
      <c r="H32" s="39">
        <v>2887</v>
      </c>
      <c r="I32" s="39">
        <v>2785</v>
      </c>
      <c r="J32" s="39">
        <v>2351</v>
      </c>
      <c r="K32" s="39">
        <v>2919</v>
      </c>
      <c r="L32" s="39">
        <v>3611</v>
      </c>
      <c r="M32" s="39">
        <v>4053</v>
      </c>
      <c r="N32" s="39">
        <v>4468</v>
      </c>
      <c r="O32" s="39">
        <v>4639</v>
      </c>
      <c r="P32" s="39">
        <v>4485</v>
      </c>
      <c r="Q32" s="39">
        <v>4266</v>
      </c>
      <c r="R32" s="39">
        <v>4168</v>
      </c>
      <c r="S32" s="39">
        <v>4121</v>
      </c>
      <c r="T32" s="39">
        <v>6511</v>
      </c>
      <c r="U32" s="39">
        <v>7411</v>
      </c>
      <c r="V32" s="39">
        <v>7847</v>
      </c>
      <c r="W32" s="39">
        <v>7737</v>
      </c>
      <c r="X32" s="39">
        <v>7356</v>
      </c>
      <c r="Y32" s="39">
        <v>6500</v>
      </c>
      <c r="Z32" s="40">
        <v>5619</v>
      </c>
      <c r="AA32" s="41">
        <f t="shared" si="0"/>
        <v>110397</v>
      </c>
      <c r="AB32" s="23">
        <v>4</v>
      </c>
      <c r="AC32" s="96"/>
      <c r="AD32" s="48"/>
    </row>
    <row r="33" spans="1:30" ht="15.75" thickBot="1" x14ac:dyDescent="0.3">
      <c r="A33" s="93">
        <v>48853</v>
      </c>
      <c r="B33" s="18" t="s">
        <v>5</v>
      </c>
      <c r="C33" s="33">
        <v>3457</v>
      </c>
      <c r="D33" s="33">
        <v>3111</v>
      </c>
      <c r="E33" s="33">
        <v>2930</v>
      </c>
      <c r="F33" s="33">
        <v>2855</v>
      </c>
      <c r="G33" s="33">
        <v>2951</v>
      </c>
      <c r="H33" s="33">
        <v>3225</v>
      </c>
      <c r="I33" s="33">
        <v>3503</v>
      </c>
      <c r="J33" s="33">
        <v>3455</v>
      </c>
      <c r="K33" s="33">
        <v>4287</v>
      </c>
      <c r="L33" s="33">
        <v>5018</v>
      </c>
      <c r="M33" s="33">
        <v>5682</v>
      </c>
      <c r="N33" s="33">
        <v>6214</v>
      </c>
      <c r="O33" s="33">
        <v>5740</v>
      </c>
      <c r="P33" s="33">
        <v>5703</v>
      </c>
      <c r="Q33" s="33">
        <v>6237</v>
      </c>
      <c r="R33" s="33">
        <v>6335</v>
      </c>
      <c r="S33" s="33">
        <v>6201</v>
      </c>
      <c r="T33" s="33">
        <v>8383</v>
      </c>
      <c r="U33" s="33">
        <v>8978</v>
      </c>
      <c r="V33" s="33">
        <v>8716</v>
      </c>
      <c r="W33" s="33">
        <v>8319</v>
      </c>
      <c r="X33" s="33">
        <v>7762</v>
      </c>
      <c r="Y33" s="33">
        <v>6750</v>
      </c>
      <c r="Z33" s="34">
        <v>5701</v>
      </c>
      <c r="AA33" s="35">
        <f t="shared" si="0"/>
        <v>131513</v>
      </c>
      <c r="AB33" s="19">
        <v>20</v>
      </c>
      <c r="AC33" s="94">
        <f>+AA33*AB33+AA34*AB34+AA35*AB35</f>
        <v>3882345</v>
      </c>
    </row>
    <row r="34" spans="1:30" ht="15.75" thickBot="1" x14ac:dyDescent="0.3">
      <c r="A34" s="93"/>
      <c r="B34" s="20" t="s">
        <v>4</v>
      </c>
      <c r="C34" s="36">
        <v>3733</v>
      </c>
      <c r="D34" s="36">
        <v>3254</v>
      </c>
      <c r="E34" s="36">
        <v>3017</v>
      </c>
      <c r="F34" s="36">
        <v>2874</v>
      </c>
      <c r="G34" s="36">
        <v>2934</v>
      </c>
      <c r="H34" s="36">
        <v>2899</v>
      </c>
      <c r="I34" s="36">
        <v>3069</v>
      </c>
      <c r="J34" s="36">
        <v>2990</v>
      </c>
      <c r="K34" s="36">
        <v>3869</v>
      </c>
      <c r="L34" s="36">
        <v>4663</v>
      </c>
      <c r="M34" s="36">
        <v>5247</v>
      </c>
      <c r="N34" s="36">
        <v>5671</v>
      </c>
      <c r="O34" s="36">
        <v>5531</v>
      </c>
      <c r="P34" s="36">
        <v>5184</v>
      </c>
      <c r="Q34" s="36">
        <v>5141</v>
      </c>
      <c r="R34" s="36">
        <v>5105</v>
      </c>
      <c r="S34" s="36">
        <v>4983</v>
      </c>
      <c r="T34" s="36">
        <v>7482</v>
      </c>
      <c r="U34" s="36">
        <v>8470</v>
      </c>
      <c r="V34" s="36">
        <v>8333</v>
      </c>
      <c r="W34" s="36">
        <v>7883</v>
      </c>
      <c r="X34" s="36">
        <v>7410</v>
      </c>
      <c r="Y34" s="36">
        <v>6663</v>
      </c>
      <c r="Z34" s="37">
        <v>5870</v>
      </c>
      <c r="AA34" s="38">
        <f t="shared" si="0"/>
        <v>122275</v>
      </c>
      <c r="AB34" s="21">
        <v>5</v>
      </c>
      <c r="AC34" s="95"/>
      <c r="AD34" s="47"/>
    </row>
    <row r="35" spans="1:30" x14ac:dyDescent="0.25">
      <c r="A35" s="93"/>
      <c r="B35" s="22" t="s">
        <v>3</v>
      </c>
      <c r="C35" s="39">
        <v>3725</v>
      </c>
      <c r="D35" s="39">
        <v>3316</v>
      </c>
      <c r="E35" s="39">
        <v>3075</v>
      </c>
      <c r="F35" s="39">
        <v>2864</v>
      </c>
      <c r="G35" s="39">
        <v>2850</v>
      </c>
      <c r="H35" s="39">
        <v>2699</v>
      </c>
      <c r="I35" s="39">
        <v>2635</v>
      </c>
      <c r="J35" s="39">
        <v>2188</v>
      </c>
      <c r="K35" s="39">
        <v>2721</v>
      </c>
      <c r="L35" s="39">
        <v>3445</v>
      </c>
      <c r="M35" s="39">
        <v>3884</v>
      </c>
      <c r="N35" s="39">
        <v>4290</v>
      </c>
      <c r="O35" s="39">
        <v>4446</v>
      </c>
      <c r="P35" s="39">
        <v>4304</v>
      </c>
      <c r="Q35" s="39">
        <v>4071</v>
      </c>
      <c r="R35" s="39">
        <v>3954</v>
      </c>
      <c r="S35" s="39">
        <v>3938</v>
      </c>
      <c r="T35" s="39">
        <v>6461</v>
      </c>
      <c r="U35" s="39">
        <v>7523</v>
      </c>
      <c r="V35" s="39">
        <v>7709</v>
      </c>
      <c r="W35" s="39">
        <v>7563</v>
      </c>
      <c r="X35" s="39">
        <v>7197</v>
      </c>
      <c r="Y35" s="39">
        <v>6401</v>
      </c>
      <c r="Z35" s="40">
        <v>5526</v>
      </c>
      <c r="AA35" s="41">
        <f t="shared" si="0"/>
        <v>106785</v>
      </c>
      <c r="AB35" s="23">
        <v>6</v>
      </c>
      <c r="AC35" s="96"/>
      <c r="AD35" s="48"/>
    </row>
    <row r="36" spans="1:30" ht="15.75" thickBot="1" x14ac:dyDescent="0.3">
      <c r="A36" s="93">
        <v>48884</v>
      </c>
      <c r="B36" s="18" t="s">
        <v>5</v>
      </c>
      <c r="C36" s="33">
        <v>3334</v>
      </c>
      <c r="D36" s="33">
        <v>3016</v>
      </c>
      <c r="E36" s="33">
        <v>2835</v>
      </c>
      <c r="F36" s="33">
        <v>2748</v>
      </c>
      <c r="G36" s="33">
        <v>2850</v>
      </c>
      <c r="H36" s="33">
        <v>3162</v>
      </c>
      <c r="I36" s="33">
        <v>3535</v>
      </c>
      <c r="J36" s="33">
        <v>3474</v>
      </c>
      <c r="K36" s="33">
        <v>4279</v>
      </c>
      <c r="L36" s="33">
        <v>4983</v>
      </c>
      <c r="M36" s="33">
        <v>5611</v>
      </c>
      <c r="N36" s="33">
        <v>6133</v>
      </c>
      <c r="O36" s="33">
        <v>5665</v>
      </c>
      <c r="P36" s="33">
        <v>5611</v>
      </c>
      <c r="Q36" s="33">
        <v>6132</v>
      </c>
      <c r="R36" s="33">
        <v>6243</v>
      </c>
      <c r="S36" s="33">
        <v>6105</v>
      </c>
      <c r="T36" s="33">
        <v>8387</v>
      </c>
      <c r="U36" s="33">
        <v>8925</v>
      </c>
      <c r="V36" s="33">
        <v>8641</v>
      </c>
      <c r="W36" s="33">
        <v>8244</v>
      </c>
      <c r="X36" s="33">
        <v>7670</v>
      </c>
      <c r="Y36" s="33">
        <v>6652</v>
      </c>
      <c r="Z36" s="34">
        <v>5572</v>
      </c>
      <c r="AA36" s="35">
        <f t="shared" si="0"/>
        <v>129807</v>
      </c>
      <c r="AB36" s="19">
        <v>20</v>
      </c>
      <c r="AC36" s="94">
        <f>+AA36*AB36+AA37*AB37+AA38*AB38</f>
        <v>3702822</v>
      </c>
    </row>
    <row r="37" spans="1:30" ht="15.75" thickBot="1" x14ac:dyDescent="0.3">
      <c r="A37" s="93"/>
      <c r="B37" s="20" t="s">
        <v>4</v>
      </c>
      <c r="C37" s="36">
        <v>3386</v>
      </c>
      <c r="D37" s="36">
        <v>2922</v>
      </c>
      <c r="E37" s="36">
        <v>2695</v>
      </c>
      <c r="F37" s="36">
        <v>2582</v>
      </c>
      <c r="G37" s="36">
        <v>2628</v>
      </c>
      <c r="H37" s="36">
        <v>2653</v>
      </c>
      <c r="I37" s="36">
        <v>2990</v>
      </c>
      <c r="J37" s="36">
        <v>2868</v>
      </c>
      <c r="K37" s="36">
        <v>3711</v>
      </c>
      <c r="L37" s="36">
        <v>4454</v>
      </c>
      <c r="M37" s="36">
        <v>4983</v>
      </c>
      <c r="N37" s="36">
        <v>5408</v>
      </c>
      <c r="O37" s="36">
        <v>5294</v>
      </c>
      <c r="P37" s="36">
        <v>5046</v>
      </c>
      <c r="Q37" s="36">
        <v>4983</v>
      </c>
      <c r="R37" s="36">
        <v>5012</v>
      </c>
      <c r="S37" s="36">
        <v>4918</v>
      </c>
      <c r="T37" s="36">
        <v>7377</v>
      </c>
      <c r="U37" s="36">
        <v>8281</v>
      </c>
      <c r="V37" s="36">
        <v>8150</v>
      </c>
      <c r="W37" s="36">
        <v>7690</v>
      </c>
      <c r="X37" s="36">
        <v>7211</v>
      </c>
      <c r="Y37" s="36">
        <v>6484</v>
      </c>
      <c r="Z37" s="37">
        <v>5664</v>
      </c>
      <c r="AA37" s="38">
        <f t="shared" si="0"/>
        <v>117390</v>
      </c>
      <c r="AB37" s="21">
        <v>4</v>
      </c>
      <c r="AC37" s="95"/>
      <c r="AD37" s="47"/>
    </row>
    <row r="38" spans="1:30" x14ac:dyDescent="0.25">
      <c r="A38" s="93"/>
      <c r="B38" s="22" t="s">
        <v>3</v>
      </c>
      <c r="C38" s="39">
        <v>3537</v>
      </c>
      <c r="D38" s="39">
        <v>3182</v>
      </c>
      <c r="E38" s="39">
        <v>2890</v>
      </c>
      <c r="F38" s="39">
        <v>2694</v>
      </c>
      <c r="G38" s="39">
        <v>2682</v>
      </c>
      <c r="H38" s="39">
        <v>2581</v>
      </c>
      <c r="I38" s="39">
        <v>2591</v>
      </c>
      <c r="J38" s="39">
        <v>2190</v>
      </c>
      <c r="K38" s="39">
        <v>2778</v>
      </c>
      <c r="L38" s="39">
        <v>3505</v>
      </c>
      <c r="M38" s="39">
        <v>3966</v>
      </c>
      <c r="N38" s="39">
        <v>4366</v>
      </c>
      <c r="O38" s="39">
        <v>4550</v>
      </c>
      <c r="P38" s="39">
        <v>4426</v>
      </c>
      <c r="Q38" s="39">
        <v>4157</v>
      </c>
      <c r="R38" s="39">
        <v>4038</v>
      </c>
      <c r="S38" s="39">
        <v>3980</v>
      </c>
      <c r="T38" s="39">
        <v>6475</v>
      </c>
      <c r="U38" s="39">
        <v>7528</v>
      </c>
      <c r="V38" s="39">
        <v>7605</v>
      </c>
      <c r="W38" s="39">
        <v>7501</v>
      </c>
      <c r="X38" s="39">
        <v>7106</v>
      </c>
      <c r="Y38" s="39">
        <v>6353</v>
      </c>
      <c r="Z38" s="40">
        <v>5506</v>
      </c>
      <c r="AA38" s="41">
        <f t="shared" si="0"/>
        <v>106187</v>
      </c>
      <c r="AB38" s="23">
        <v>6</v>
      </c>
      <c r="AC38" s="96"/>
      <c r="AD38" s="49"/>
    </row>
    <row r="39" spans="1:30" ht="15.75" thickBot="1" x14ac:dyDescent="0.3">
      <c r="A39" s="93">
        <v>48914</v>
      </c>
      <c r="B39" s="18" t="s">
        <v>5</v>
      </c>
      <c r="C39" s="33">
        <v>3584</v>
      </c>
      <c r="D39" s="33">
        <v>3213</v>
      </c>
      <c r="E39" s="33">
        <v>2969</v>
      </c>
      <c r="F39" s="33">
        <v>2861</v>
      </c>
      <c r="G39" s="33">
        <v>2938</v>
      </c>
      <c r="H39" s="33">
        <v>3176</v>
      </c>
      <c r="I39" s="33">
        <v>3547</v>
      </c>
      <c r="J39" s="33">
        <v>3546</v>
      </c>
      <c r="K39" s="33">
        <v>4525</v>
      </c>
      <c r="L39" s="33">
        <v>5323</v>
      </c>
      <c r="M39" s="33">
        <v>6012</v>
      </c>
      <c r="N39" s="33">
        <v>6573</v>
      </c>
      <c r="O39" s="33">
        <v>6226</v>
      </c>
      <c r="P39" s="33">
        <v>6156</v>
      </c>
      <c r="Q39" s="33">
        <v>6614</v>
      </c>
      <c r="R39" s="33">
        <v>6671</v>
      </c>
      <c r="S39" s="33">
        <v>6499</v>
      </c>
      <c r="T39" s="33">
        <v>8589</v>
      </c>
      <c r="U39" s="33">
        <v>9070</v>
      </c>
      <c r="V39" s="33">
        <v>9095</v>
      </c>
      <c r="W39" s="33">
        <v>8617</v>
      </c>
      <c r="X39" s="33">
        <v>8024</v>
      </c>
      <c r="Y39" s="33">
        <v>7054</v>
      </c>
      <c r="Z39" s="34">
        <v>5995</v>
      </c>
      <c r="AA39" s="35">
        <f t="shared" si="0"/>
        <v>136877</v>
      </c>
      <c r="AB39" s="19">
        <v>21</v>
      </c>
      <c r="AC39" s="94">
        <f>+AA39*AB39+AA40*AB40+AA41*AB41</f>
        <v>4031407</v>
      </c>
    </row>
    <row r="40" spans="1:30" ht="15.75" thickBot="1" x14ac:dyDescent="0.3">
      <c r="A40" s="93"/>
      <c r="B40" s="20" t="s">
        <v>4</v>
      </c>
      <c r="C40" s="36">
        <v>3745</v>
      </c>
      <c r="D40" s="36">
        <v>3190</v>
      </c>
      <c r="E40" s="36">
        <v>2937</v>
      </c>
      <c r="F40" s="36">
        <v>2811</v>
      </c>
      <c r="G40" s="36">
        <v>2852</v>
      </c>
      <c r="H40" s="36">
        <v>2970</v>
      </c>
      <c r="I40" s="36">
        <v>3197</v>
      </c>
      <c r="J40" s="36">
        <v>3047</v>
      </c>
      <c r="K40" s="36">
        <v>3910</v>
      </c>
      <c r="L40" s="36">
        <v>4660</v>
      </c>
      <c r="M40" s="36">
        <v>5281</v>
      </c>
      <c r="N40" s="36">
        <v>5707</v>
      </c>
      <c r="O40" s="36">
        <v>5533</v>
      </c>
      <c r="P40" s="36">
        <v>5264</v>
      </c>
      <c r="Q40" s="36">
        <v>5232</v>
      </c>
      <c r="R40" s="36">
        <v>5149</v>
      </c>
      <c r="S40" s="36">
        <v>5068</v>
      </c>
      <c r="T40" s="36">
        <v>7482</v>
      </c>
      <c r="U40" s="36">
        <v>8312</v>
      </c>
      <c r="V40" s="36">
        <v>8412</v>
      </c>
      <c r="W40" s="36">
        <v>7976</v>
      </c>
      <c r="X40" s="36">
        <v>7410</v>
      </c>
      <c r="Y40" s="36">
        <v>6661</v>
      </c>
      <c r="Z40" s="37">
        <v>5851</v>
      </c>
      <c r="AA40" s="38">
        <f t="shared" si="0"/>
        <v>122657</v>
      </c>
      <c r="AB40" s="21">
        <v>5</v>
      </c>
      <c r="AC40" s="95"/>
      <c r="AD40" s="47"/>
    </row>
    <row r="41" spans="1:30" x14ac:dyDescent="0.25">
      <c r="A41" s="93"/>
      <c r="B41" s="22" t="s">
        <v>3</v>
      </c>
      <c r="C41" s="39">
        <v>3652</v>
      </c>
      <c r="D41" s="39">
        <v>3238</v>
      </c>
      <c r="E41" s="39">
        <v>2944</v>
      </c>
      <c r="F41" s="39">
        <v>2765</v>
      </c>
      <c r="G41" s="39">
        <v>2731</v>
      </c>
      <c r="H41" s="39">
        <v>2750</v>
      </c>
      <c r="I41" s="39">
        <v>2775</v>
      </c>
      <c r="J41" s="39">
        <v>2288</v>
      </c>
      <c r="K41" s="39">
        <v>2876</v>
      </c>
      <c r="L41" s="39">
        <v>3577</v>
      </c>
      <c r="M41" s="39">
        <v>4076</v>
      </c>
      <c r="N41" s="39">
        <v>4539</v>
      </c>
      <c r="O41" s="39">
        <v>4691</v>
      </c>
      <c r="P41" s="39">
        <v>4582</v>
      </c>
      <c r="Q41" s="39">
        <v>4383</v>
      </c>
      <c r="R41" s="39">
        <v>4303</v>
      </c>
      <c r="S41" s="39">
        <v>4224</v>
      </c>
      <c r="T41" s="39">
        <v>6618</v>
      </c>
      <c r="U41" s="39">
        <v>7454</v>
      </c>
      <c r="V41" s="39">
        <v>7709</v>
      </c>
      <c r="W41" s="39">
        <v>7524</v>
      </c>
      <c r="X41" s="39">
        <v>7136</v>
      </c>
      <c r="Y41" s="39">
        <v>6381</v>
      </c>
      <c r="Z41" s="40">
        <v>5525</v>
      </c>
      <c r="AA41" s="41">
        <f t="shared" si="0"/>
        <v>108741</v>
      </c>
      <c r="AB41" s="23">
        <v>5</v>
      </c>
      <c r="AC41" s="96"/>
      <c r="AD41" s="42"/>
    </row>
    <row r="42" spans="1:30" x14ac:dyDescent="0.25">
      <c r="A42" s="97" t="s">
        <v>2</v>
      </c>
      <c r="B42" s="98"/>
      <c r="C42" s="31">
        <f t="shared" ref="C42:AC42" si="1">+SUM(C6:C41)</f>
        <v>132776</v>
      </c>
      <c r="D42" s="31">
        <f t="shared" si="1"/>
        <v>117673</v>
      </c>
      <c r="E42" s="31">
        <f t="shared" si="1"/>
        <v>108873</v>
      </c>
      <c r="F42" s="31">
        <f t="shared" si="1"/>
        <v>103981</v>
      </c>
      <c r="G42" s="31">
        <f t="shared" si="1"/>
        <v>105204</v>
      </c>
      <c r="H42" s="31">
        <f t="shared" si="1"/>
        <v>109966</v>
      </c>
      <c r="I42" s="31">
        <f t="shared" si="1"/>
        <v>112372</v>
      </c>
      <c r="J42" s="31">
        <f t="shared" si="1"/>
        <v>102962</v>
      </c>
      <c r="K42" s="31">
        <f t="shared" si="1"/>
        <v>129852</v>
      </c>
      <c r="L42" s="31">
        <f t="shared" si="1"/>
        <v>156240</v>
      </c>
      <c r="M42" s="31">
        <f t="shared" si="1"/>
        <v>176454</v>
      </c>
      <c r="N42" s="31">
        <f t="shared" si="1"/>
        <v>193484</v>
      </c>
      <c r="O42" s="31">
        <f t="shared" si="1"/>
        <v>188971</v>
      </c>
      <c r="P42" s="31">
        <f t="shared" si="1"/>
        <v>183733</v>
      </c>
      <c r="Q42" s="31">
        <f t="shared" si="1"/>
        <v>186898</v>
      </c>
      <c r="R42" s="31">
        <f t="shared" si="1"/>
        <v>187296</v>
      </c>
      <c r="S42" s="31">
        <f t="shared" si="1"/>
        <v>184360</v>
      </c>
      <c r="T42" s="31">
        <f t="shared" si="1"/>
        <v>265526</v>
      </c>
      <c r="U42" s="31">
        <f t="shared" si="1"/>
        <v>285927</v>
      </c>
      <c r="V42" s="31">
        <f t="shared" si="1"/>
        <v>299208</v>
      </c>
      <c r="W42" s="31">
        <f t="shared" si="1"/>
        <v>288346</v>
      </c>
      <c r="X42" s="31">
        <f t="shared" si="1"/>
        <v>272250</v>
      </c>
      <c r="Y42" s="31">
        <f t="shared" si="1"/>
        <v>241976</v>
      </c>
      <c r="Z42" s="31">
        <f t="shared" si="1"/>
        <v>208718</v>
      </c>
      <c r="AA42" s="31">
        <f t="shared" si="1"/>
        <v>4343046</v>
      </c>
      <c r="AB42" s="31">
        <f t="shared" si="1"/>
        <v>365</v>
      </c>
      <c r="AC42" s="46">
        <f t="shared" si="1"/>
        <v>46360029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DFBB-E234-4288-9DA0-2616779E40E8}">
  <sheetPr>
    <tabColor rgb="FFFFC000"/>
  </sheetPr>
  <dimension ref="A1:AD46"/>
  <sheetViews>
    <sheetView showGridLines="0" zoomScale="115" zoomScaleNormal="115" zoomScaleSheetLayoutView="110" workbookViewId="0">
      <pane xSplit="2" ySplit="5" topLeftCell="N4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98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48580</v>
      </c>
      <c r="B6" s="18" t="s">
        <v>5</v>
      </c>
      <c r="C6" s="33">
        <f>+'Anexo 18'!C6*'Anexo 8'!$D$10</f>
        <v>0</v>
      </c>
      <c r="D6" s="33">
        <f>+'Anexo 18'!D6*'Anexo 8'!$D$10</f>
        <v>0</v>
      </c>
      <c r="E6" s="33">
        <f>+'Anexo 18'!E6*'Anexo 8'!$D$10</f>
        <v>0</v>
      </c>
      <c r="F6" s="33">
        <f>+'Anexo 18'!F6*'Anexo 8'!$D$10</f>
        <v>0</v>
      </c>
      <c r="G6" s="33">
        <f>+'Anexo 18'!G6*'Anexo 8'!$D$10</f>
        <v>0</v>
      </c>
      <c r="H6" s="33">
        <f>+'Anexo 18'!H6*'Anexo 8'!$D$10</f>
        <v>0</v>
      </c>
      <c r="I6" s="33">
        <f>+'Anexo 18'!I6*'Anexo 8'!$D$10</f>
        <v>0</v>
      </c>
      <c r="J6" s="33">
        <f>+'Anexo 18'!J6*'Anexo 8'!$D$10</f>
        <v>0</v>
      </c>
      <c r="K6" s="33">
        <f>+'Anexo 18'!K6*'Anexo 8'!$D$10</f>
        <v>0</v>
      </c>
      <c r="L6" s="33">
        <f>+'Anexo 18'!L6*'Anexo 8'!$D$10</f>
        <v>0</v>
      </c>
      <c r="M6" s="33">
        <f>+'Anexo 18'!M6*'Anexo 8'!$D$10</f>
        <v>0</v>
      </c>
      <c r="N6" s="33">
        <f>+'Anexo 18'!N6*'Anexo 8'!$D$10</f>
        <v>0</v>
      </c>
      <c r="O6" s="33">
        <f>+'Anexo 18'!O6*'Anexo 8'!$D$10</f>
        <v>0</v>
      </c>
      <c r="P6" s="33">
        <f>+'Anexo 18'!P6*'Anexo 8'!$D$10</f>
        <v>0</v>
      </c>
      <c r="Q6" s="33">
        <f>+'Anexo 18'!Q6*'Anexo 8'!$D$10</f>
        <v>0</v>
      </c>
      <c r="R6" s="33">
        <f>+'Anexo 18'!R6*'Anexo 8'!$D$10</f>
        <v>0</v>
      </c>
      <c r="S6" s="33">
        <f>+'Anexo 18'!S6*'Anexo 8'!$D$10</f>
        <v>0</v>
      </c>
      <c r="T6" s="33">
        <f>+'Anexo 18'!T6*'Anexo 8'!$D$10</f>
        <v>0</v>
      </c>
      <c r="U6" s="33">
        <f>+'Anexo 18'!U6*'Anexo 8'!$D$10</f>
        <v>0</v>
      </c>
      <c r="V6" s="33">
        <f>+'Anexo 18'!V6*'Anexo 8'!$D$10</f>
        <v>0</v>
      </c>
      <c r="W6" s="33">
        <f>+'Anexo 18'!W6*'Anexo 8'!$D$10</f>
        <v>0</v>
      </c>
      <c r="X6" s="33">
        <f>+'Anexo 18'!X6*'Anexo 8'!$D$10</f>
        <v>0</v>
      </c>
      <c r="Y6" s="33">
        <f>+'Anexo 18'!Y6*'Anexo 8'!$D$10</f>
        <v>0</v>
      </c>
      <c r="Z6" s="33">
        <f>+'Anexo 18'!Z6*'Anexo 8'!$D$10</f>
        <v>0</v>
      </c>
      <c r="AA6" s="35">
        <f>SUM(C6:Z6)</f>
        <v>0</v>
      </c>
      <c r="AB6" s="19">
        <v>20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3">
        <f>+'Anexo 18'!C7*'Anexo 8'!$D$10</f>
        <v>0</v>
      </c>
      <c r="D7" s="33">
        <f>+'Anexo 18'!D7*'Anexo 8'!$D$10</f>
        <v>0</v>
      </c>
      <c r="E7" s="33">
        <f>+'Anexo 18'!E7*'Anexo 8'!$D$10</f>
        <v>0</v>
      </c>
      <c r="F7" s="33">
        <f>+'Anexo 18'!F7*'Anexo 8'!$D$10</f>
        <v>0</v>
      </c>
      <c r="G7" s="33">
        <f>+'Anexo 18'!G7*'Anexo 8'!$D$10</f>
        <v>0</v>
      </c>
      <c r="H7" s="33">
        <f>+'Anexo 18'!H7*'Anexo 8'!$D$10</f>
        <v>0</v>
      </c>
      <c r="I7" s="33">
        <f>+'Anexo 18'!I7*'Anexo 8'!$D$10</f>
        <v>0</v>
      </c>
      <c r="J7" s="33">
        <f>+'Anexo 18'!J7*'Anexo 8'!$D$10</f>
        <v>0</v>
      </c>
      <c r="K7" s="33">
        <f>+'Anexo 18'!K7*'Anexo 8'!$D$10</f>
        <v>0</v>
      </c>
      <c r="L7" s="33">
        <f>+'Anexo 18'!L7*'Anexo 8'!$D$10</f>
        <v>0</v>
      </c>
      <c r="M7" s="33">
        <f>+'Anexo 18'!M7*'Anexo 8'!$D$10</f>
        <v>0</v>
      </c>
      <c r="N7" s="33">
        <f>+'Anexo 18'!N7*'Anexo 8'!$D$10</f>
        <v>0</v>
      </c>
      <c r="O7" s="33">
        <f>+'Anexo 18'!O7*'Anexo 8'!$D$10</f>
        <v>0</v>
      </c>
      <c r="P7" s="33">
        <f>+'Anexo 18'!P7*'Anexo 8'!$D$10</f>
        <v>0</v>
      </c>
      <c r="Q7" s="33">
        <f>+'Anexo 18'!Q7*'Anexo 8'!$D$10</f>
        <v>0</v>
      </c>
      <c r="R7" s="33">
        <f>+'Anexo 18'!R7*'Anexo 8'!$D$10</f>
        <v>0</v>
      </c>
      <c r="S7" s="33">
        <f>+'Anexo 18'!S7*'Anexo 8'!$D$10</f>
        <v>0</v>
      </c>
      <c r="T7" s="33">
        <f>+'Anexo 18'!T7*'Anexo 8'!$D$10</f>
        <v>0</v>
      </c>
      <c r="U7" s="33">
        <f>+'Anexo 18'!U7*'Anexo 8'!$D$10</f>
        <v>0</v>
      </c>
      <c r="V7" s="33">
        <f>+'Anexo 18'!V7*'Anexo 8'!$D$10</f>
        <v>0</v>
      </c>
      <c r="W7" s="33">
        <f>+'Anexo 18'!W7*'Anexo 8'!$D$10</f>
        <v>0</v>
      </c>
      <c r="X7" s="33">
        <f>+'Anexo 18'!X7*'Anexo 8'!$D$10</f>
        <v>0</v>
      </c>
      <c r="Y7" s="33">
        <f>+'Anexo 18'!Y7*'Anexo 8'!$D$10</f>
        <v>0</v>
      </c>
      <c r="Z7" s="33">
        <f>+'Anexo 18'!Z7*'Anexo 8'!$D$10</f>
        <v>0</v>
      </c>
      <c r="AA7" s="38">
        <f t="shared" ref="AA7:AA41" si="0">SUM(C7:Z7)</f>
        <v>0</v>
      </c>
      <c r="AB7" s="21">
        <v>4</v>
      </c>
      <c r="AC7" s="95"/>
      <c r="AD7" s="47"/>
    </row>
    <row r="8" spans="1:30" ht="15.75" thickBot="1" x14ac:dyDescent="0.3">
      <c r="A8" s="93"/>
      <c r="B8" s="22" t="s">
        <v>3</v>
      </c>
      <c r="C8" s="33">
        <f>+'Anexo 18'!C8*'Anexo 8'!$D$10</f>
        <v>0</v>
      </c>
      <c r="D8" s="33">
        <f>+'Anexo 18'!D8*'Anexo 8'!$D$10</f>
        <v>0</v>
      </c>
      <c r="E8" s="33">
        <f>+'Anexo 18'!E8*'Anexo 8'!$D$10</f>
        <v>0</v>
      </c>
      <c r="F8" s="33">
        <f>+'Anexo 18'!F8*'Anexo 8'!$D$10</f>
        <v>0</v>
      </c>
      <c r="G8" s="33">
        <f>+'Anexo 18'!G8*'Anexo 8'!$D$10</f>
        <v>0</v>
      </c>
      <c r="H8" s="33">
        <f>+'Anexo 18'!H8*'Anexo 8'!$D$10</f>
        <v>0</v>
      </c>
      <c r="I8" s="33">
        <f>+'Anexo 18'!I8*'Anexo 8'!$D$10</f>
        <v>0</v>
      </c>
      <c r="J8" s="33">
        <f>+'Anexo 18'!J8*'Anexo 8'!$D$10</f>
        <v>0</v>
      </c>
      <c r="K8" s="33">
        <f>+'Anexo 18'!K8*'Anexo 8'!$D$10</f>
        <v>0</v>
      </c>
      <c r="L8" s="33">
        <f>+'Anexo 18'!L8*'Anexo 8'!$D$10</f>
        <v>0</v>
      </c>
      <c r="M8" s="33">
        <f>+'Anexo 18'!M8*'Anexo 8'!$D$10</f>
        <v>0</v>
      </c>
      <c r="N8" s="33">
        <f>+'Anexo 18'!N8*'Anexo 8'!$D$10</f>
        <v>0</v>
      </c>
      <c r="O8" s="33">
        <f>+'Anexo 18'!O8*'Anexo 8'!$D$10</f>
        <v>0</v>
      </c>
      <c r="P8" s="33">
        <f>+'Anexo 18'!P8*'Anexo 8'!$D$10</f>
        <v>0</v>
      </c>
      <c r="Q8" s="33">
        <f>+'Anexo 18'!Q8*'Anexo 8'!$D$10</f>
        <v>0</v>
      </c>
      <c r="R8" s="33">
        <f>+'Anexo 18'!R8*'Anexo 8'!$D$10</f>
        <v>0</v>
      </c>
      <c r="S8" s="33">
        <f>+'Anexo 18'!S8*'Anexo 8'!$D$10</f>
        <v>0</v>
      </c>
      <c r="T8" s="33">
        <f>+'Anexo 18'!T8*'Anexo 8'!$D$10</f>
        <v>0</v>
      </c>
      <c r="U8" s="33">
        <f>+'Anexo 18'!U8*'Anexo 8'!$D$10</f>
        <v>0</v>
      </c>
      <c r="V8" s="33">
        <f>+'Anexo 18'!V8*'Anexo 8'!$D$10</f>
        <v>0</v>
      </c>
      <c r="W8" s="33">
        <f>+'Anexo 18'!W8*'Anexo 8'!$D$10</f>
        <v>0</v>
      </c>
      <c r="X8" s="33">
        <f>+'Anexo 18'!X8*'Anexo 8'!$D$10</f>
        <v>0</v>
      </c>
      <c r="Y8" s="33">
        <f>+'Anexo 18'!Y8*'Anexo 8'!$D$10</f>
        <v>0</v>
      </c>
      <c r="Z8" s="33">
        <f>+'Anexo 18'!Z8*'Anexo 8'!$D$10</f>
        <v>0</v>
      </c>
      <c r="AA8" s="41">
        <f t="shared" si="0"/>
        <v>0</v>
      </c>
      <c r="AB8" s="23">
        <v>7</v>
      </c>
      <c r="AC8" s="96"/>
      <c r="AD8" s="48"/>
    </row>
    <row r="9" spans="1:30" ht="15.75" thickBot="1" x14ac:dyDescent="0.3">
      <c r="A9" s="93">
        <v>48611</v>
      </c>
      <c r="B9" s="18" t="s">
        <v>5</v>
      </c>
      <c r="C9" s="33">
        <f>+'Anexo 18'!C9*'Anexo 8'!$D$10</f>
        <v>0</v>
      </c>
      <c r="D9" s="33">
        <f>+'Anexo 18'!D9*'Anexo 8'!$D$10</f>
        <v>0</v>
      </c>
      <c r="E9" s="33">
        <f>+'Anexo 18'!E9*'Anexo 8'!$D$10</f>
        <v>0</v>
      </c>
      <c r="F9" s="33">
        <f>+'Anexo 18'!F9*'Anexo 8'!$D$10</f>
        <v>0</v>
      </c>
      <c r="G9" s="33">
        <f>+'Anexo 18'!G9*'Anexo 8'!$D$10</f>
        <v>0</v>
      </c>
      <c r="H9" s="33">
        <f>+'Anexo 18'!H9*'Anexo 8'!$D$10</f>
        <v>0</v>
      </c>
      <c r="I9" s="33">
        <f>+'Anexo 18'!I9*'Anexo 8'!$D$10</f>
        <v>0</v>
      </c>
      <c r="J9" s="33">
        <f>+'Anexo 18'!J9*'Anexo 8'!$D$10</f>
        <v>0</v>
      </c>
      <c r="K9" s="33">
        <f>+'Anexo 18'!K9*'Anexo 8'!$D$10</f>
        <v>0</v>
      </c>
      <c r="L9" s="33">
        <f>+'Anexo 18'!L9*'Anexo 8'!$D$10</f>
        <v>0</v>
      </c>
      <c r="M9" s="33">
        <f>+'Anexo 18'!M9*'Anexo 8'!$D$10</f>
        <v>0</v>
      </c>
      <c r="N9" s="33">
        <f>+'Anexo 18'!N9*'Anexo 8'!$D$10</f>
        <v>0</v>
      </c>
      <c r="O9" s="33">
        <f>+'Anexo 18'!O9*'Anexo 8'!$D$10</f>
        <v>0</v>
      </c>
      <c r="P9" s="33">
        <f>+'Anexo 18'!P9*'Anexo 8'!$D$10</f>
        <v>0</v>
      </c>
      <c r="Q9" s="33">
        <f>+'Anexo 18'!Q9*'Anexo 8'!$D$10</f>
        <v>0</v>
      </c>
      <c r="R9" s="33">
        <f>+'Anexo 18'!R9*'Anexo 8'!$D$10</f>
        <v>0</v>
      </c>
      <c r="S9" s="33">
        <f>+'Anexo 18'!S9*'Anexo 8'!$D$10</f>
        <v>0</v>
      </c>
      <c r="T9" s="33">
        <f>+'Anexo 18'!T9*'Anexo 8'!$D$10</f>
        <v>0</v>
      </c>
      <c r="U9" s="33">
        <f>+'Anexo 18'!U9*'Anexo 8'!$D$10</f>
        <v>0</v>
      </c>
      <c r="V9" s="33">
        <f>+'Anexo 18'!V9*'Anexo 8'!$D$10</f>
        <v>0</v>
      </c>
      <c r="W9" s="33">
        <f>+'Anexo 18'!W9*'Anexo 8'!$D$10</f>
        <v>0</v>
      </c>
      <c r="X9" s="33">
        <f>+'Anexo 18'!X9*'Anexo 8'!$D$10</f>
        <v>0</v>
      </c>
      <c r="Y9" s="33">
        <f>+'Anexo 18'!Y9*'Anexo 8'!$D$10</f>
        <v>0</v>
      </c>
      <c r="Z9" s="33">
        <f>+'Anexo 18'!Z9*'Anexo 8'!$D$10</f>
        <v>0</v>
      </c>
      <c r="AA9" s="35">
        <f t="shared" si="0"/>
        <v>0</v>
      </c>
      <c r="AB9" s="19">
        <v>20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+'Anexo 18'!C10*'Anexo 8'!$D$10</f>
        <v>0</v>
      </c>
      <c r="D10" s="33">
        <f>+'Anexo 18'!D10*'Anexo 8'!$D$10</f>
        <v>0</v>
      </c>
      <c r="E10" s="33">
        <f>+'Anexo 18'!E10*'Anexo 8'!$D$10</f>
        <v>0</v>
      </c>
      <c r="F10" s="33">
        <f>+'Anexo 18'!F10*'Anexo 8'!$D$10</f>
        <v>0</v>
      </c>
      <c r="G10" s="33">
        <f>+'Anexo 18'!G10*'Anexo 8'!$D$10</f>
        <v>0</v>
      </c>
      <c r="H10" s="33">
        <f>+'Anexo 18'!H10*'Anexo 8'!$D$10</f>
        <v>0</v>
      </c>
      <c r="I10" s="33">
        <f>+'Anexo 18'!I10*'Anexo 8'!$D$10</f>
        <v>0</v>
      </c>
      <c r="J10" s="33">
        <f>+'Anexo 18'!J10*'Anexo 8'!$D$10</f>
        <v>0</v>
      </c>
      <c r="K10" s="33">
        <f>+'Anexo 18'!K10*'Anexo 8'!$D$10</f>
        <v>0</v>
      </c>
      <c r="L10" s="33">
        <f>+'Anexo 18'!L10*'Anexo 8'!$D$10</f>
        <v>0</v>
      </c>
      <c r="M10" s="33">
        <f>+'Anexo 18'!M10*'Anexo 8'!$D$10</f>
        <v>0</v>
      </c>
      <c r="N10" s="33">
        <f>+'Anexo 18'!N10*'Anexo 8'!$D$10</f>
        <v>0</v>
      </c>
      <c r="O10" s="33">
        <f>+'Anexo 18'!O10*'Anexo 8'!$D$10</f>
        <v>0</v>
      </c>
      <c r="P10" s="33">
        <f>+'Anexo 18'!P10*'Anexo 8'!$D$10</f>
        <v>0</v>
      </c>
      <c r="Q10" s="33">
        <f>+'Anexo 18'!Q10*'Anexo 8'!$D$10</f>
        <v>0</v>
      </c>
      <c r="R10" s="33">
        <f>+'Anexo 18'!R10*'Anexo 8'!$D$10</f>
        <v>0</v>
      </c>
      <c r="S10" s="33">
        <f>+'Anexo 18'!S10*'Anexo 8'!$D$10</f>
        <v>0</v>
      </c>
      <c r="T10" s="33">
        <f>+'Anexo 18'!T10*'Anexo 8'!$D$10</f>
        <v>0</v>
      </c>
      <c r="U10" s="33">
        <f>+'Anexo 18'!U10*'Anexo 8'!$D$10</f>
        <v>0</v>
      </c>
      <c r="V10" s="33">
        <f>+'Anexo 18'!V10*'Anexo 8'!$D$10</f>
        <v>0</v>
      </c>
      <c r="W10" s="33">
        <f>+'Anexo 18'!W10*'Anexo 8'!$D$10</f>
        <v>0</v>
      </c>
      <c r="X10" s="33">
        <f>+'Anexo 18'!X10*'Anexo 8'!$D$10</f>
        <v>0</v>
      </c>
      <c r="Y10" s="33">
        <f>+'Anexo 18'!Y10*'Anexo 8'!$D$10</f>
        <v>0</v>
      </c>
      <c r="Z10" s="33">
        <f>+'Anexo 18'!Z10*'Anexo 8'!$D$10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+'Anexo 18'!C11*'Anexo 8'!$D$10</f>
        <v>0</v>
      </c>
      <c r="D11" s="33">
        <f>+'Anexo 18'!D11*'Anexo 8'!$D$10</f>
        <v>0</v>
      </c>
      <c r="E11" s="33">
        <f>+'Anexo 18'!E11*'Anexo 8'!$D$10</f>
        <v>0</v>
      </c>
      <c r="F11" s="33">
        <f>+'Anexo 18'!F11*'Anexo 8'!$D$10</f>
        <v>0</v>
      </c>
      <c r="G11" s="33">
        <f>+'Anexo 18'!G11*'Anexo 8'!$D$10</f>
        <v>0</v>
      </c>
      <c r="H11" s="33">
        <f>+'Anexo 18'!H11*'Anexo 8'!$D$10</f>
        <v>0</v>
      </c>
      <c r="I11" s="33">
        <f>+'Anexo 18'!I11*'Anexo 8'!$D$10</f>
        <v>0</v>
      </c>
      <c r="J11" s="33">
        <f>+'Anexo 18'!J11*'Anexo 8'!$D$10</f>
        <v>0</v>
      </c>
      <c r="K11" s="33">
        <f>+'Anexo 18'!K11*'Anexo 8'!$D$10</f>
        <v>0</v>
      </c>
      <c r="L11" s="33">
        <f>+'Anexo 18'!L11*'Anexo 8'!$D$10</f>
        <v>0</v>
      </c>
      <c r="M11" s="33">
        <f>+'Anexo 18'!M11*'Anexo 8'!$D$10</f>
        <v>0</v>
      </c>
      <c r="N11" s="33">
        <f>+'Anexo 18'!N11*'Anexo 8'!$D$10</f>
        <v>0</v>
      </c>
      <c r="O11" s="33">
        <f>+'Anexo 18'!O11*'Anexo 8'!$D$10</f>
        <v>0</v>
      </c>
      <c r="P11" s="33">
        <f>+'Anexo 18'!P11*'Anexo 8'!$D$10</f>
        <v>0</v>
      </c>
      <c r="Q11" s="33">
        <f>+'Anexo 18'!Q11*'Anexo 8'!$D$10</f>
        <v>0</v>
      </c>
      <c r="R11" s="33">
        <f>+'Anexo 18'!R11*'Anexo 8'!$D$10</f>
        <v>0</v>
      </c>
      <c r="S11" s="33">
        <f>+'Anexo 18'!S11*'Anexo 8'!$D$10</f>
        <v>0</v>
      </c>
      <c r="T11" s="33">
        <f>+'Anexo 18'!T11*'Anexo 8'!$D$10</f>
        <v>0</v>
      </c>
      <c r="U11" s="33">
        <f>+'Anexo 18'!U11*'Anexo 8'!$D$10</f>
        <v>0</v>
      </c>
      <c r="V11" s="33">
        <f>+'Anexo 18'!V11*'Anexo 8'!$D$10</f>
        <v>0</v>
      </c>
      <c r="W11" s="33">
        <f>+'Anexo 18'!W11*'Anexo 8'!$D$10</f>
        <v>0</v>
      </c>
      <c r="X11" s="33">
        <f>+'Anexo 18'!X11*'Anexo 8'!$D$10</f>
        <v>0</v>
      </c>
      <c r="Y11" s="33">
        <f>+'Anexo 18'!Y11*'Anexo 8'!$D$10</f>
        <v>0</v>
      </c>
      <c r="Z11" s="33">
        <f>+'Anexo 18'!Z11*'Anexo 8'!$D$10</f>
        <v>0</v>
      </c>
      <c r="AA11" s="41">
        <f t="shared" si="0"/>
        <v>0</v>
      </c>
      <c r="AB11" s="23">
        <v>4</v>
      </c>
      <c r="AC11" s="96"/>
      <c r="AD11" s="48"/>
    </row>
    <row r="12" spans="1:30" ht="15.75" thickBot="1" x14ac:dyDescent="0.3">
      <c r="A12" s="93">
        <v>48639</v>
      </c>
      <c r="B12" s="18" t="s">
        <v>5</v>
      </c>
      <c r="C12" s="33">
        <f>+'Anexo 18'!C12*'Anexo 8'!$D$10</f>
        <v>0</v>
      </c>
      <c r="D12" s="33">
        <f>+'Anexo 18'!D12*'Anexo 8'!$D$10</f>
        <v>0</v>
      </c>
      <c r="E12" s="33">
        <f>+'Anexo 18'!E12*'Anexo 8'!$D$10</f>
        <v>0</v>
      </c>
      <c r="F12" s="33">
        <f>+'Anexo 18'!F12*'Anexo 8'!$D$10</f>
        <v>0</v>
      </c>
      <c r="G12" s="33">
        <f>+'Anexo 18'!G12*'Anexo 8'!$D$10</f>
        <v>0</v>
      </c>
      <c r="H12" s="33">
        <f>+'Anexo 18'!H12*'Anexo 8'!$D$10</f>
        <v>0</v>
      </c>
      <c r="I12" s="33">
        <f>+'Anexo 18'!I12*'Anexo 8'!$D$10</f>
        <v>0</v>
      </c>
      <c r="J12" s="33">
        <f>+'Anexo 18'!J12*'Anexo 8'!$D$10</f>
        <v>0</v>
      </c>
      <c r="K12" s="33">
        <f>+'Anexo 18'!K12*'Anexo 8'!$D$10</f>
        <v>0</v>
      </c>
      <c r="L12" s="33">
        <f>+'Anexo 18'!L12*'Anexo 8'!$D$10</f>
        <v>0</v>
      </c>
      <c r="M12" s="33">
        <f>+'Anexo 18'!M12*'Anexo 8'!$D$10</f>
        <v>0</v>
      </c>
      <c r="N12" s="33">
        <f>+'Anexo 18'!N12*'Anexo 8'!$D$10</f>
        <v>0</v>
      </c>
      <c r="O12" s="33">
        <f>+'Anexo 18'!O12*'Anexo 8'!$D$10</f>
        <v>0</v>
      </c>
      <c r="P12" s="33">
        <f>+'Anexo 18'!P12*'Anexo 8'!$D$10</f>
        <v>0</v>
      </c>
      <c r="Q12" s="33">
        <f>+'Anexo 18'!Q12*'Anexo 8'!$D$10</f>
        <v>0</v>
      </c>
      <c r="R12" s="33">
        <f>+'Anexo 18'!R12*'Anexo 8'!$D$10</f>
        <v>0</v>
      </c>
      <c r="S12" s="33">
        <f>+'Anexo 18'!S12*'Anexo 8'!$D$10</f>
        <v>0</v>
      </c>
      <c r="T12" s="33">
        <f>+'Anexo 18'!T12*'Anexo 8'!$D$10</f>
        <v>0</v>
      </c>
      <c r="U12" s="33">
        <f>+'Anexo 18'!U12*'Anexo 8'!$D$10</f>
        <v>0</v>
      </c>
      <c r="V12" s="33">
        <f>+'Anexo 18'!V12*'Anexo 8'!$D$10</f>
        <v>0</v>
      </c>
      <c r="W12" s="33">
        <f>+'Anexo 18'!W12*'Anexo 8'!$D$10</f>
        <v>0</v>
      </c>
      <c r="X12" s="33">
        <f>+'Anexo 18'!X12*'Anexo 8'!$D$10</f>
        <v>0</v>
      </c>
      <c r="Y12" s="33">
        <f>+'Anexo 18'!Y12*'Anexo 8'!$D$10</f>
        <v>0</v>
      </c>
      <c r="Z12" s="33">
        <f>+'Anexo 18'!Z12*'Anexo 8'!$D$10</f>
        <v>0</v>
      </c>
      <c r="AA12" s="35">
        <f t="shared" si="0"/>
        <v>0</v>
      </c>
      <c r="AB12" s="19">
        <v>22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+'Anexo 18'!C13*'Anexo 8'!$D$10</f>
        <v>0</v>
      </c>
      <c r="D13" s="33">
        <f>+'Anexo 18'!D13*'Anexo 8'!$D$10</f>
        <v>0</v>
      </c>
      <c r="E13" s="33">
        <f>+'Anexo 18'!E13*'Anexo 8'!$D$10</f>
        <v>0</v>
      </c>
      <c r="F13" s="33">
        <f>+'Anexo 18'!F13*'Anexo 8'!$D$10</f>
        <v>0</v>
      </c>
      <c r="G13" s="33">
        <f>+'Anexo 18'!G13*'Anexo 8'!$D$10</f>
        <v>0</v>
      </c>
      <c r="H13" s="33">
        <f>+'Anexo 18'!H13*'Anexo 8'!$D$10</f>
        <v>0</v>
      </c>
      <c r="I13" s="33">
        <f>+'Anexo 18'!I13*'Anexo 8'!$D$10</f>
        <v>0</v>
      </c>
      <c r="J13" s="33">
        <f>+'Anexo 18'!J13*'Anexo 8'!$D$10</f>
        <v>0</v>
      </c>
      <c r="K13" s="33">
        <f>+'Anexo 18'!K13*'Anexo 8'!$D$10</f>
        <v>0</v>
      </c>
      <c r="L13" s="33">
        <f>+'Anexo 18'!L13*'Anexo 8'!$D$10</f>
        <v>0</v>
      </c>
      <c r="M13" s="33">
        <f>+'Anexo 18'!M13*'Anexo 8'!$D$10</f>
        <v>0</v>
      </c>
      <c r="N13" s="33">
        <f>+'Anexo 18'!N13*'Anexo 8'!$D$10</f>
        <v>0</v>
      </c>
      <c r="O13" s="33">
        <f>+'Anexo 18'!O13*'Anexo 8'!$D$10</f>
        <v>0</v>
      </c>
      <c r="P13" s="33">
        <f>+'Anexo 18'!P13*'Anexo 8'!$D$10</f>
        <v>0</v>
      </c>
      <c r="Q13" s="33">
        <f>+'Anexo 18'!Q13*'Anexo 8'!$D$10</f>
        <v>0</v>
      </c>
      <c r="R13" s="33">
        <f>+'Anexo 18'!R13*'Anexo 8'!$D$10</f>
        <v>0</v>
      </c>
      <c r="S13" s="33">
        <f>+'Anexo 18'!S13*'Anexo 8'!$D$10</f>
        <v>0</v>
      </c>
      <c r="T13" s="33">
        <f>+'Anexo 18'!T13*'Anexo 8'!$D$10</f>
        <v>0</v>
      </c>
      <c r="U13" s="33">
        <f>+'Anexo 18'!U13*'Anexo 8'!$D$10</f>
        <v>0</v>
      </c>
      <c r="V13" s="33">
        <f>+'Anexo 18'!V13*'Anexo 8'!$D$10</f>
        <v>0</v>
      </c>
      <c r="W13" s="33">
        <f>+'Anexo 18'!W13*'Anexo 8'!$D$10</f>
        <v>0</v>
      </c>
      <c r="X13" s="33">
        <f>+'Anexo 18'!X13*'Anexo 8'!$D$10</f>
        <v>0</v>
      </c>
      <c r="Y13" s="33">
        <f>+'Anexo 18'!Y13*'Anexo 8'!$D$10</f>
        <v>0</v>
      </c>
      <c r="Z13" s="33">
        <f>+'Anexo 18'!Z13*'Anexo 8'!$D$10</f>
        <v>0</v>
      </c>
      <c r="AA13" s="38">
        <f t="shared" si="0"/>
        <v>0</v>
      </c>
      <c r="AB13" s="21">
        <v>4</v>
      </c>
      <c r="AC13" s="95"/>
      <c r="AD13" s="47"/>
    </row>
    <row r="14" spans="1:30" ht="15.75" thickBot="1" x14ac:dyDescent="0.3">
      <c r="A14" s="93"/>
      <c r="B14" s="22" t="s">
        <v>3</v>
      </c>
      <c r="C14" s="33">
        <f>+'Anexo 18'!C14*'Anexo 8'!$D$10</f>
        <v>0</v>
      </c>
      <c r="D14" s="33">
        <f>+'Anexo 18'!D14*'Anexo 8'!$D$10</f>
        <v>0</v>
      </c>
      <c r="E14" s="33">
        <f>+'Anexo 18'!E14*'Anexo 8'!$D$10</f>
        <v>0</v>
      </c>
      <c r="F14" s="33">
        <f>+'Anexo 18'!F14*'Anexo 8'!$D$10</f>
        <v>0</v>
      </c>
      <c r="G14" s="33">
        <f>+'Anexo 18'!G14*'Anexo 8'!$D$10</f>
        <v>0</v>
      </c>
      <c r="H14" s="33">
        <f>+'Anexo 18'!H14*'Anexo 8'!$D$10</f>
        <v>0</v>
      </c>
      <c r="I14" s="33">
        <f>+'Anexo 18'!I14*'Anexo 8'!$D$10</f>
        <v>0</v>
      </c>
      <c r="J14" s="33">
        <f>+'Anexo 18'!J14*'Anexo 8'!$D$10</f>
        <v>0</v>
      </c>
      <c r="K14" s="33">
        <f>+'Anexo 18'!K14*'Anexo 8'!$D$10</f>
        <v>0</v>
      </c>
      <c r="L14" s="33">
        <f>+'Anexo 18'!L14*'Anexo 8'!$D$10</f>
        <v>0</v>
      </c>
      <c r="M14" s="33">
        <f>+'Anexo 18'!M14*'Anexo 8'!$D$10</f>
        <v>0</v>
      </c>
      <c r="N14" s="33">
        <f>+'Anexo 18'!N14*'Anexo 8'!$D$10</f>
        <v>0</v>
      </c>
      <c r="O14" s="33">
        <f>+'Anexo 18'!O14*'Anexo 8'!$D$10</f>
        <v>0</v>
      </c>
      <c r="P14" s="33">
        <f>+'Anexo 18'!P14*'Anexo 8'!$D$10</f>
        <v>0</v>
      </c>
      <c r="Q14" s="33">
        <f>+'Anexo 18'!Q14*'Anexo 8'!$D$10</f>
        <v>0</v>
      </c>
      <c r="R14" s="33">
        <f>+'Anexo 18'!R14*'Anexo 8'!$D$10</f>
        <v>0</v>
      </c>
      <c r="S14" s="33">
        <f>+'Anexo 18'!S14*'Anexo 8'!$D$10</f>
        <v>0</v>
      </c>
      <c r="T14" s="33">
        <f>+'Anexo 18'!T14*'Anexo 8'!$D$10</f>
        <v>0</v>
      </c>
      <c r="U14" s="33">
        <f>+'Anexo 18'!U14*'Anexo 8'!$D$10</f>
        <v>0</v>
      </c>
      <c r="V14" s="33">
        <f>+'Anexo 18'!V14*'Anexo 8'!$D$10</f>
        <v>0</v>
      </c>
      <c r="W14" s="33">
        <f>+'Anexo 18'!W14*'Anexo 8'!$D$10</f>
        <v>0</v>
      </c>
      <c r="X14" s="33">
        <f>+'Anexo 18'!X14*'Anexo 8'!$D$10</f>
        <v>0</v>
      </c>
      <c r="Y14" s="33">
        <f>+'Anexo 18'!Y14*'Anexo 8'!$D$10</f>
        <v>0</v>
      </c>
      <c r="Z14" s="33">
        <f>+'Anexo 18'!Z14*'Anexo 8'!$D$10</f>
        <v>0</v>
      </c>
      <c r="AA14" s="41">
        <f t="shared" si="0"/>
        <v>0</v>
      </c>
      <c r="AB14" s="23">
        <v>5</v>
      </c>
      <c r="AC14" s="96"/>
      <c r="AD14" s="45"/>
    </row>
    <row r="15" spans="1:30" ht="15.75" thickBot="1" x14ac:dyDescent="0.3">
      <c r="A15" s="93">
        <v>48670</v>
      </c>
      <c r="B15" s="18" t="s">
        <v>5</v>
      </c>
      <c r="C15" s="33">
        <f>+'Anexo 18'!C15*'Anexo 8'!$D$10</f>
        <v>0</v>
      </c>
      <c r="D15" s="33">
        <f>+'Anexo 18'!D15*'Anexo 8'!$D$10</f>
        <v>0</v>
      </c>
      <c r="E15" s="33">
        <f>+'Anexo 18'!E15*'Anexo 8'!$D$10</f>
        <v>0</v>
      </c>
      <c r="F15" s="33">
        <f>+'Anexo 18'!F15*'Anexo 8'!$D$10</f>
        <v>0</v>
      </c>
      <c r="G15" s="33">
        <f>+'Anexo 18'!G15*'Anexo 8'!$D$10</f>
        <v>0</v>
      </c>
      <c r="H15" s="33">
        <f>+'Anexo 18'!H15*'Anexo 8'!$D$10</f>
        <v>0</v>
      </c>
      <c r="I15" s="33">
        <f>+'Anexo 18'!I15*'Anexo 8'!$D$10</f>
        <v>0</v>
      </c>
      <c r="J15" s="33">
        <f>+'Anexo 18'!J15*'Anexo 8'!$D$10</f>
        <v>0</v>
      </c>
      <c r="K15" s="33">
        <f>+'Anexo 18'!K15*'Anexo 8'!$D$10</f>
        <v>0</v>
      </c>
      <c r="L15" s="33">
        <f>+'Anexo 18'!L15*'Anexo 8'!$D$10</f>
        <v>0</v>
      </c>
      <c r="M15" s="33">
        <f>+'Anexo 18'!M15*'Anexo 8'!$D$10</f>
        <v>0</v>
      </c>
      <c r="N15" s="33">
        <f>+'Anexo 18'!N15*'Anexo 8'!$D$10</f>
        <v>0</v>
      </c>
      <c r="O15" s="33">
        <f>+'Anexo 18'!O15*'Anexo 8'!$D$10</f>
        <v>0</v>
      </c>
      <c r="P15" s="33">
        <f>+'Anexo 18'!P15*'Anexo 8'!$D$10</f>
        <v>0</v>
      </c>
      <c r="Q15" s="33">
        <f>+'Anexo 18'!Q15*'Anexo 8'!$D$10</f>
        <v>0</v>
      </c>
      <c r="R15" s="33">
        <f>+'Anexo 18'!R15*'Anexo 8'!$D$10</f>
        <v>0</v>
      </c>
      <c r="S15" s="33">
        <f>+'Anexo 18'!S15*'Anexo 8'!$D$10</f>
        <v>0</v>
      </c>
      <c r="T15" s="33">
        <f>+'Anexo 18'!T15*'Anexo 8'!$D$10</f>
        <v>0</v>
      </c>
      <c r="U15" s="33">
        <f>+'Anexo 18'!U15*'Anexo 8'!$D$10</f>
        <v>0</v>
      </c>
      <c r="V15" s="33">
        <f>+'Anexo 18'!V15*'Anexo 8'!$D$10</f>
        <v>0</v>
      </c>
      <c r="W15" s="33">
        <f>+'Anexo 18'!W15*'Anexo 8'!$D$10</f>
        <v>0</v>
      </c>
      <c r="X15" s="33">
        <f>+'Anexo 18'!X15*'Anexo 8'!$D$10</f>
        <v>0</v>
      </c>
      <c r="Y15" s="33">
        <f>+'Anexo 18'!Y15*'Anexo 8'!$D$10</f>
        <v>0</v>
      </c>
      <c r="Z15" s="33">
        <f>+'Anexo 18'!Z15*'Anexo 8'!$D$10</f>
        <v>0</v>
      </c>
      <c r="AA15" s="35">
        <f t="shared" si="0"/>
        <v>0</v>
      </c>
      <c r="AB15" s="19">
        <v>19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+'Anexo 18'!C16*'Anexo 8'!$D$10</f>
        <v>0</v>
      </c>
      <c r="D16" s="33">
        <f>+'Anexo 18'!D16*'Anexo 8'!$D$10</f>
        <v>0</v>
      </c>
      <c r="E16" s="33">
        <f>+'Anexo 18'!E16*'Anexo 8'!$D$10</f>
        <v>0</v>
      </c>
      <c r="F16" s="33">
        <f>+'Anexo 18'!F16*'Anexo 8'!$D$10</f>
        <v>0</v>
      </c>
      <c r="G16" s="33">
        <f>+'Anexo 18'!G16*'Anexo 8'!$D$10</f>
        <v>0</v>
      </c>
      <c r="H16" s="33">
        <f>+'Anexo 18'!H16*'Anexo 8'!$D$10</f>
        <v>0</v>
      </c>
      <c r="I16" s="33">
        <f>+'Anexo 18'!I16*'Anexo 8'!$D$10</f>
        <v>0</v>
      </c>
      <c r="J16" s="33">
        <f>+'Anexo 18'!J16*'Anexo 8'!$D$10</f>
        <v>0</v>
      </c>
      <c r="K16" s="33">
        <f>+'Anexo 18'!K16*'Anexo 8'!$D$10</f>
        <v>0</v>
      </c>
      <c r="L16" s="33">
        <f>+'Anexo 18'!L16*'Anexo 8'!$D$10</f>
        <v>0</v>
      </c>
      <c r="M16" s="33">
        <f>+'Anexo 18'!M16*'Anexo 8'!$D$10</f>
        <v>0</v>
      </c>
      <c r="N16" s="33">
        <f>+'Anexo 18'!N16*'Anexo 8'!$D$10</f>
        <v>0</v>
      </c>
      <c r="O16" s="33">
        <f>+'Anexo 18'!O16*'Anexo 8'!$D$10</f>
        <v>0</v>
      </c>
      <c r="P16" s="33">
        <f>+'Anexo 18'!P16*'Anexo 8'!$D$10</f>
        <v>0</v>
      </c>
      <c r="Q16" s="33">
        <f>+'Anexo 18'!Q16*'Anexo 8'!$D$10</f>
        <v>0</v>
      </c>
      <c r="R16" s="33">
        <f>+'Anexo 18'!R16*'Anexo 8'!$D$10</f>
        <v>0</v>
      </c>
      <c r="S16" s="33">
        <f>+'Anexo 18'!S16*'Anexo 8'!$D$10</f>
        <v>0</v>
      </c>
      <c r="T16" s="33">
        <f>+'Anexo 18'!T16*'Anexo 8'!$D$10</f>
        <v>0</v>
      </c>
      <c r="U16" s="33">
        <f>+'Anexo 18'!U16*'Anexo 8'!$D$10</f>
        <v>0</v>
      </c>
      <c r="V16" s="33">
        <f>+'Anexo 18'!V16*'Anexo 8'!$D$10</f>
        <v>0</v>
      </c>
      <c r="W16" s="33">
        <f>+'Anexo 18'!W16*'Anexo 8'!$D$10</f>
        <v>0</v>
      </c>
      <c r="X16" s="33">
        <f>+'Anexo 18'!X16*'Anexo 8'!$D$10</f>
        <v>0</v>
      </c>
      <c r="Y16" s="33">
        <f>+'Anexo 18'!Y16*'Anexo 8'!$D$10</f>
        <v>0</v>
      </c>
      <c r="Z16" s="33">
        <f>+'Anexo 18'!Z16*'Anexo 8'!$D$10</f>
        <v>0</v>
      </c>
      <c r="AA16" s="38">
        <f t="shared" si="0"/>
        <v>0</v>
      </c>
      <c r="AB16" s="21">
        <v>5</v>
      </c>
      <c r="AC16" s="95"/>
      <c r="AD16" s="47"/>
    </row>
    <row r="17" spans="1:30" ht="15.75" thickBot="1" x14ac:dyDescent="0.3">
      <c r="A17" s="93"/>
      <c r="B17" s="22" t="s">
        <v>3</v>
      </c>
      <c r="C17" s="33">
        <f>+'Anexo 18'!C17*'Anexo 8'!$D$10</f>
        <v>0</v>
      </c>
      <c r="D17" s="33">
        <f>+'Anexo 18'!D17*'Anexo 8'!$D$10</f>
        <v>0</v>
      </c>
      <c r="E17" s="33">
        <f>+'Anexo 18'!E17*'Anexo 8'!$D$10</f>
        <v>0</v>
      </c>
      <c r="F17" s="33">
        <f>+'Anexo 18'!F17*'Anexo 8'!$D$10</f>
        <v>0</v>
      </c>
      <c r="G17" s="33">
        <f>+'Anexo 18'!G17*'Anexo 8'!$D$10</f>
        <v>0</v>
      </c>
      <c r="H17" s="33">
        <f>+'Anexo 18'!H17*'Anexo 8'!$D$10</f>
        <v>0</v>
      </c>
      <c r="I17" s="33">
        <f>+'Anexo 18'!I17*'Anexo 8'!$D$10</f>
        <v>0</v>
      </c>
      <c r="J17" s="33">
        <f>+'Anexo 18'!J17*'Anexo 8'!$D$10</f>
        <v>0</v>
      </c>
      <c r="K17" s="33">
        <f>+'Anexo 18'!K17*'Anexo 8'!$D$10</f>
        <v>0</v>
      </c>
      <c r="L17" s="33">
        <f>+'Anexo 18'!L17*'Anexo 8'!$D$10</f>
        <v>0</v>
      </c>
      <c r="M17" s="33">
        <f>+'Anexo 18'!M17*'Anexo 8'!$D$10</f>
        <v>0</v>
      </c>
      <c r="N17" s="33">
        <f>+'Anexo 18'!N17*'Anexo 8'!$D$10</f>
        <v>0</v>
      </c>
      <c r="O17" s="33">
        <f>+'Anexo 18'!O17*'Anexo 8'!$D$10</f>
        <v>0</v>
      </c>
      <c r="P17" s="33">
        <f>+'Anexo 18'!P17*'Anexo 8'!$D$10</f>
        <v>0</v>
      </c>
      <c r="Q17" s="33">
        <f>+'Anexo 18'!Q17*'Anexo 8'!$D$10</f>
        <v>0</v>
      </c>
      <c r="R17" s="33">
        <f>+'Anexo 18'!R17*'Anexo 8'!$D$10</f>
        <v>0</v>
      </c>
      <c r="S17" s="33">
        <f>+'Anexo 18'!S17*'Anexo 8'!$D$10</f>
        <v>0</v>
      </c>
      <c r="T17" s="33">
        <f>+'Anexo 18'!T17*'Anexo 8'!$D$10</f>
        <v>0</v>
      </c>
      <c r="U17" s="33">
        <f>+'Anexo 18'!U17*'Anexo 8'!$D$10</f>
        <v>0</v>
      </c>
      <c r="V17" s="33">
        <f>+'Anexo 18'!V17*'Anexo 8'!$D$10</f>
        <v>0</v>
      </c>
      <c r="W17" s="33">
        <f>+'Anexo 18'!W17*'Anexo 8'!$D$10</f>
        <v>0</v>
      </c>
      <c r="X17" s="33">
        <f>+'Anexo 18'!X17*'Anexo 8'!$D$10</f>
        <v>0</v>
      </c>
      <c r="Y17" s="33">
        <f>+'Anexo 18'!Y17*'Anexo 8'!$D$10</f>
        <v>0</v>
      </c>
      <c r="Z17" s="33">
        <f>+'Anexo 18'!Z17*'Anexo 8'!$D$10</f>
        <v>0</v>
      </c>
      <c r="AA17" s="41">
        <f t="shared" si="0"/>
        <v>0</v>
      </c>
      <c r="AB17" s="23">
        <v>6</v>
      </c>
      <c r="AC17" s="96"/>
      <c r="AD17" s="48"/>
    </row>
    <row r="18" spans="1:30" ht="15.75" thickBot="1" x14ac:dyDescent="0.3">
      <c r="A18" s="93">
        <v>48700</v>
      </c>
      <c r="B18" s="18" t="s">
        <v>5</v>
      </c>
      <c r="C18" s="33">
        <f>+'Anexo 18'!C18*'Anexo 8'!$D$10</f>
        <v>0</v>
      </c>
      <c r="D18" s="33">
        <f>+'Anexo 18'!D18*'Anexo 8'!$D$10</f>
        <v>0</v>
      </c>
      <c r="E18" s="33">
        <f>+'Anexo 18'!E18*'Anexo 8'!$D$10</f>
        <v>0</v>
      </c>
      <c r="F18" s="33">
        <f>+'Anexo 18'!F18*'Anexo 8'!$D$10</f>
        <v>0</v>
      </c>
      <c r="G18" s="33">
        <f>+'Anexo 18'!G18*'Anexo 8'!$D$10</f>
        <v>0</v>
      </c>
      <c r="H18" s="33">
        <f>+'Anexo 18'!H18*'Anexo 8'!$D$10</f>
        <v>0</v>
      </c>
      <c r="I18" s="33">
        <f>+'Anexo 18'!I18*'Anexo 8'!$D$10</f>
        <v>0</v>
      </c>
      <c r="J18" s="33">
        <f>+'Anexo 18'!J18*'Anexo 8'!$D$10</f>
        <v>0</v>
      </c>
      <c r="K18" s="33">
        <f>+'Anexo 18'!K18*'Anexo 8'!$D$10</f>
        <v>0</v>
      </c>
      <c r="L18" s="33">
        <f>+'Anexo 18'!L18*'Anexo 8'!$D$10</f>
        <v>0</v>
      </c>
      <c r="M18" s="33">
        <f>+'Anexo 18'!M18*'Anexo 8'!$D$10</f>
        <v>0</v>
      </c>
      <c r="N18" s="33">
        <f>+'Anexo 18'!N18*'Anexo 8'!$D$10</f>
        <v>0</v>
      </c>
      <c r="O18" s="33">
        <f>+'Anexo 18'!O18*'Anexo 8'!$D$10</f>
        <v>0</v>
      </c>
      <c r="P18" s="33">
        <f>+'Anexo 18'!P18*'Anexo 8'!$D$10</f>
        <v>0</v>
      </c>
      <c r="Q18" s="33">
        <f>+'Anexo 18'!Q18*'Anexo 8'!$D$10</f>
        <v>0</v>
      </c>
      <c r="R18" s="33">
        <f>+'Anexo 18'!R18*'Anexo 8'!$D$10</f>
        <v>0</v>
      </c>
      <c r="S18" s="33">
        <f>+'Anexo 18'!S18*'Anexo 8'!$D$10</f>
        <v>0</v>
      </c>
      <c r="T18" s="33">
        <f>+'Anexo 18'!T18*'Anexo 8'!$D$10</f>
        <v>0</v>
      </c>
      <c r="U18" s="33">
        <f>+'Anexo 18'!U18*'Anexo 8'!$D$10</f>
        <v>0</v>
      </c>
      <c r="V18" s="33">
        <f>+'Anexo 18'!V18*'Anexo 8'!$D$10</f>
        <v>0</v>
      </c>
      <c r="W18" s="33">
        <f>+'Anexo 18'!W18*'Anexo 8'!$D$10</f>
        <v>0</v>
      </c>
      <c r="X18" s="33">
        <f>+'Anexo 18'!X18*'Anexo 8'!$D$10</f>
        <v>0</v>
      </c>
      <c r="Y18" s="33">
        <f>+'Anexo 18'!Y18*'Anexo 8'!$D$10</f>
        <v>0</v>
      </c>
      <c r="Z18" s="33">
        <f>+'Anexo 18'!Z18*'Anexo 8'!$D$10</f>
        <v>0</v>
      </c>
      <c r="AA18" s="35">
        <f t="shared" si="0"/>
        <v>0</v>
      </c>
      <c r="AB18" s="19">
        <v>21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+'Anexo 18'!C19*'Anexo 8'!$D$10</f>
        <v>0</v>
      </c>
      <c r="D19" s="33">
        <f>+'Anexo 18'!D19*'Anexo 8'!$D$10</f>
        <v>0</v>
      </c>
      <c r="E19" s="33">
        <f>+'Anexo 18'!E19*'Anexo 8'!$D$10</f>
        <v>0</v>
      </c>
      <c r="F19" s="33">
        <f>+'Anexo 18'!F19*'Anexo 8'!$D$10</f>
        <v>0</v>
      </c>
      <c r="G19" s="33">
        <f>+'Anexo 18'!G19*'Anexo 8'!$D$10</f>
        <v>0</v>
      </c>
      <c r="H19" s="33">
        <f>+'Anexo 18'!H19*'Anexo 8'!$D$10</f>
        <v>0</v>
      </c>
      <c r="I19" s="33">
        <f>+'Anexo 18'!I19*'Anexo 8'!$D$10</f>
        <v>0</v>
      </c>
      <c r="J19" s="33">
        <f>+'Anexo 18'!J19*'Anexo 8'!$D$10</f>
        <v>0</v>
      </c>
      <c r="K19" s="33">
        <f>+'Anexo 18'!K19*'Anexo 8'!$D$10</f>
        <v>0</v>
      </c>
      <c r="L19" s="33">
        <f>+'Anexo 18'!L19*'Anexo 8'!$D$10</f>
        <v>0</v>
      </c>
      <c r="M19" s="33">
        <f>+'Anexo 18'!M19*'Anexo 8'!$D$10</f>
        <v>0</v>
      </c>
      <c r="N19" s="33">
        <f>+'Anexo 18'!N19*'Anexo 8'!$D$10</f>
        <v>0</v>
      </c>
      <c r="O19" s="33">
        <f>+'Anexo 18'!O19*'Anexo 8'!$D$10</f>
        <v>0</v>
      </c>
      <c r="P19" s="33">
        <f>+'Anexo 18'!P19*'Anexo 8'!$D$10</f>
        <v>0</v>
      </c>
      <c r="Q19" s="33">
        <f>+'Anexo 18'!Q19*'Anexo 8'!$D$10</f>
        <v>0</v>
      </c>
      <c r="R19" s="33">
        <f>+'Anexo 18'!R19*'Anexo 8'!$D$10</f>
        <v>0</v>
      </c>
      <c r="S19" s="33">
        <f>+'Anexo 18'!S19*'Anexo 8'!$D$10</f>
        <v>0</v>
      </c>
      <c r="T19" s="33">
        <f>+'Anexo 18'!T19*'Anexo 8'!$D$10</f>
        <v>0</v>
      </c>
      <c r="U19" s="33">
        <f>+'Anexo 18'!U19*'Anexo 8'!$D$10</f>
        <v>0</v>
      </c>
      <c r="V19" s="33">
        <f>+'Anexo 18'!V19*'Anexo 8'!$D$10</f>
        <v>0</v>
      </c>
      <c r="W19" s="33">
        <f>+'Anexo 18'!W19*'Anexo 8'!$D$10</f>
        <v>0</v>
      </c>
      <c r="X19" s="33">
        <f>+'Anexo 18'!X19*'Anexo 8'!$D$10</f>
        <v>0</v>
      </c>
      <c r="Y19" s="33">
        <f>+'Anexo 18'!Y19*'Anexo 8'!$D$10</f>
        <v>0</v>
      </c>
      <c r="Z19" s="33">
        <f>+'Anexo 18'!Z19*'Anexo 8'!$D$10</f>
        <v>0</v>
      </c>
      <c r="AA19" s="38">
        <f t="shared" si="0"/>
        <v>0</v>
      </c>
      <c r="AB19" s="21">
        <v>4</v>
      </c>
      <c r="AC19" s="95"/>
      <c r="AD19" s="47"/>
    </row>
    <row r="20" spans="1:30" ht="15.75" thickBot="1" x14ac:dyDescent="0.3">
      <c r="A20" s="93"/>
      <c r="B20" s="22" t="s">
        <v>3</v>
      </c>
      <c r="C20" s="33">
        <f>+'Anexo 18'!C20*'Anexo 8'!$D$10</f>
        <v>0</v>
      </c>
      <c r="D20" s="33">
        <f>+'Anexo 18'!D20*'Anexo 8'!$D$10</f>
        <v>0</v>
      </c>
      <c r="E20" s="33">
        <f>+'Anexo 18'!E20*'Anexo 8'!$D$10</f>
        <v>0</v>
      </c>
      <c r="F20" s="33">
        <f>+'Anexo 18'!F20*'Anexo 8'!$D$10</f>
        <v>0</v>
      </c>
      <c r="G20" s="33">
        <f>+'Anexo 18'!G20*'Anexo 8'!$D$10</f>
        <v>0</v>
      </c>
      <c r="H20" s="33">
        <f>+'Anexo 18'!H20*'Anexo 8'!$D$10</f>
        <v>0</v>
      </c>
      <c r="I20" s="33">
        <f>+'Anexo 18'!I20*'Anexo 8'!$D$10</f>
        <v>0</v>
      </c>
      <c r="J20" s="33">
        <f>+'Anexo 18'!J20*'Anexo 8'!$D$10</f>
        <v>0</v>
      </c>
      <c r="K20" s="33">
        <f>+'Anexo 18'!K20*'Anexo 8'!$D$10</f>
        <v>0</v>
      </c>
      <c r="L20" s="33">
        <f>+'Anexo 18'!L20*'Anexo 8'!$D$10</f>
        <v>0</v>
      </c>
      <c r="M20" s="33">
        <f>+'Anexo 18'!M20*'Anexo 8'!$D$10</f>
        <v>0</v>
      </c>
      <c r="N20" s="33">
        <f>+'Anexo 18'!N20*'Anexo 8'!$D$10</f>
        <v>0</v>
      </c>
      <c r="O20" s="33">
        <f>+'Anexo 18'!O20*'Anexo 8'!$D$10</f>
        <v>0</v>
      </c>
      <c r="P20" s="33">
        <f>+'Anexo 18'!P20*'Anexo 8'!$D$10</f>
        <v>0</v>
      </c>
      <c r="Q20" s="33">
        <f>+'Anexo 18'!Q20*'Anexo 8'!$D$10</f>
        <v>0</v>
      </c>
      <c r="R20" s="33">
        <f>+'Anexo 18'!R20*'Anexo 8'!$D$10</f>
        <v>0</v>
      </c>
      <c r="S20" s="33">
        <f>+'Anexo 18'!S20*'Anexo 8'!$D$10</f>
        <v>0</v>
      </c>
      <c r="T20" s="33">
        <f>+'Anexo 18'!T20*'Anexo 8'!$D$10</f>
        <v>0</v>
      </c>
      <c r="U20" s="33">
        <f>+'Anexo 18'!U20*'Anexo 8'!$D$10</f>
        <v>0</v>
      </c>
      <c r="V20" s="33">
        <f>+'Anexo 18'!V20*'Anexo 8'!$D$10</f>
        <v>0</v>
      </c>
      <c r="W20" s="33">
        <f>+'Anexo 18'!W20*'Anexo 8'!$D$10</f>
        <v>0</v>
      </c>
      <c r="X20" s="33">
        <f>+'Anexo 18'!X20*'Anexo 8'!$D$10</f>
        <v>0</v>
      </c>
      <c r="Y20" s="33">
        <f>+'Anexo 18'!Y20*'Anexo 8'!$D$10</f>
        <v>0</v>
      </c>
      <c r="Z20" s="33">
        <f>+'Anexo 18'!Z20*'Anexo 8'!$D$10</f>
        <v>0</v>
      </c>
      <c r="AA20" s="41">
        <f t="shared" si="0"/>
        <v>0</v>
      </c>
      <c r="AB20" s="23">
        <v>6</v>
      </c>
      <c r="AC20" s="96"/>
      <c r="AD20" s="48"/>
    </row>
    <row r="21" spans="1:30" ht="15.75" thickBot="1" x14ac:dyDescent="0.3">
      <c r="A21" s="93">
        <v>48731</v>
      </c>
      <c r="B21" s="18" t="s">
        <v>5</v>
      </c>
      <c r="C21" s="33">
        <f>+'Anexo 18'!C21*'Anexo 8'!$D$10</f>
        <v>0</v>
      </c>
      <c r="D21" s="33">
        <f>+'Anexo 18'!D21*'Anexo 8'!$D$10</f>
        <v>0</v>
      </c>
      <c r="E21" s="33">
        <f>+'Anexo 18'!E21*'Anexo 8'!$D$10</f>
        <v>0</v>
      </c>
      <c r="F21" s="33">
        <f>+'Anexo 18'!F21*'Anexo 8'!$D$10</f>
        <v>0</v>
      </c>
      <c r="G21" s="33">
        <f>+'Anexo 18'!G21*'Anexo 8'!$D$10</f>
        <v>0</v>
      </c>
      <c r="H21" s="33">
        <f>+'Anexo 18'!H21*'Anexo 8'!$D$10</f>
        <v>0</v>
      </c>
      <c r="I21" s="33">
        <f>+'Anexo 18'!I21*'Anexo 8'!$D$10</f>
        <v>0</v>
      </c>
      <c r="J21" s="33">
        <f>+'Anexo 18'!J21*'Anexo 8'!$D$10</f>
        <v>0</v>
      </c>
      <c r="K21" s="33">
        <f>+'Anexo 18'!K21*'Anexo 8'!$D$10</f>
        <v>0</v>
      </c>
      <c r="L21" s="33">
        <f>+'Anexo 18'!L21*'Anexo 8'!$D$10</f>
        <v>0</v>
      </c>
      <c r="M21" s="33">
        <f>+'Anexo 18'!M21*'Anexo 8'!$D$10</f>
        <v>0</v>
      </c>
      <c r="N21" s="33">
        <f>+'Anexo 18'!N21*'Anexo 8'!$D$10</f>
        <v>0</v>
      </c>
      <c r="O21" s="33">
        <f>+'Anexo 18'!O21*'Anexo 8'!$D$10</f>
        <v>0</v>
      </c>
      <c r="P21" s="33">
        <f>+'Anexo 18'!P21*'Anexo 8'!$D$10</f>
        <v>0</v>
      </c>
      <c r="Q21" s="33">
        <f>+'Anexo 18'!Q21*'Anexo 8'!$D$10</f>
        <v>0</v>
      </c>
      <c r="R21" s="33">
        <f>+'Anexo 18'!R21*'Anexo 8'!$D$10</f>
        <v>0</v>
      </c>
      <c r="S21" s="33">
        <f>+'Anexo 18'!S21*'Anexo 8'!$D$10</f>
        <v>0</v>
      </c>
      <c r="T21" s="33">
        <f>+'Anexo 18'!T21*'Anexo 8'!$D$10</f>
        <v>0</v>
      </c>
      <c r="U21" s="33">
        <f>+'Anexo 18'!U21*'Anexo 8'!$D$10</f>
        <v>0</v>
      </c>
      <c r="V21" s="33">
        <f>+'Anexo 18'!V21*'Anexo 8'!$D$10</f>
        <v>0</v>
      </c>
      <c r="W21" s="33">
        <f>+'Anexo 18'!W21*'Anexo 8'!$D$10</f>
        <v>0</v>
      </c>
      <c r="X21" s="33">
        <f>+'Anexo 18'!X21*'Anexo 8'!$D$10</f>
        <v>0</v>
      </c>
      <c r="Y21" s="33">
        <f>+'Anexo 18'!Y21*'Anexo 8'!$D$10</f>
        <v>0</v>
      </c>
      <c r="Z21" s="33">
        <f>+'Anexo 18'!Z21*'Anexo 8'!$D$10</f>
        <v>0</v>
      </c>
      <c r="AA21" s="35">
        <f t="shared" si="0"/>
        <v>0</v>
      </c>
      <c r="AB21" s="19">
        <v>20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+'Anexo 18'!C22*'Anexo 8'!$D$10</f>
        <v>0</v>
      </c>
      <c r="D22" s="33">
        <f>+'Anexo 18'!D22*'Anexo 8'!$D$10</f>
        <v>0</v>
      </c>
      <c r="E22" s="33">
        <f>+'Anexo 18'!E22*'Anexo 8'!$D$10</f>
        <v>0</v>
      </c>
      <c r="F22" s="33">
        <f>+'Anexo 18'!F22*'Anexo 8'!$D$10</f>
        <v>0</v>
      </c>
      <c r="G22" s="33">
        <f>+'Anexo 18'!G22*'Anexo 8'!$D$10</f>
        <v>0</v>
      </c>
      <c r="H22" s="33">
        <f>+'Anexo 18'!H22*'Anexo 8'!$D$10</f>
        <v>0</v>
      </c>
      <c r="I22" s="33">
        <f>+'Anexo 18'!I22*'Anexo 8'!$D$10</f>
        <v>0</v>
      </c>
      <c r="J22" s="33">
        <f>+'Anexo 18'!J22*'Anexo 8'!$D$10</f>
        <v>0</v>
      </c>
      <c r="K22" s="33">
        <f>+'Anexo 18'!K22*'Anexo 8'!$D$10</f>
        <v>0</v>
      </c>
      <c r="L22" s="33">
        <f>+'Anexo 18'!L22*'Anexo 8'!$D$10</f>
        <v>0</v>
      </c>
      <c r="M22" s="33">
        <f>+'Anexo 18'!M22*'Anexo 8'!$D$10</f>
        <v>0</v>
      </c>
      <c r="N22" s="33">
        <f>+'Anexo 18'!N22*'Anexo 8'!$D$10</f>
        <v>0</v>
      </c>
      <c r="O22" s="33">
        <f>+'Anexo 18'!O22*'Anexo 8'!$D$10</f>
        <v>0</v>
      </c>
      <c r="P22" s="33">
        <f>+'Anexo 18'!P22*'Anexo 8'!$D$10</f>
        <v>0</v>
      </c>
      <c r="Q22" s="33">
        <f>+'Anexo 18'!Q22*'Anexo 8'!$D$10</f>
        <v>0</v>
      </c>
      <c r="R22" s="33">
        <f>+'Anexo 18'!R22*'Anexo 8'!$D$10</f>
        <v>0</v>
      </c>
      <c r="S22" s="33">
        <f>+'Anexo 18'!S22*'Anexo 8'!$D$10</f>
        <v>0</v>
      </c>
      <c r="T22" s="33">
        <f>+'Anexo 18'!T22*'Anexo 8'!$D$10</f>
        <v>0</v>
      </c>
      <c r="U22" s="33">
        <f>+'Anexo 18'!U22*'Anexo 8'!$D$10</f>
        <v>0</v>
      </c>
      <c r="V22" s="33">
        <f>+'Anexo 18'!V22*'Anexo 8'!$D$10</f>
        <v>0</v>
      </c>
      <c r="W22" s="33">
        <f>+'Anexo 18'!W22*'Anexo 8'!$D$10</f>
        <v>0</v>
      </c>
      <c r="X22" s="33">
        <f>+'Anexo 18'!X22*'Anexo 8'!$D$10</f>
        <v>0</v>
      </c>
      <c r="Y22" s="33">
        <f>+'Anexo 18'!Y22*'Anexo 8'!$D$10</f>
        <v>0</v>
      </c>
      <c r="Z22" s="33">
        <f>+'Anexo 18'!Z22*'Anexo 8'!$D$10</f>
        <v>0</v>
      </c>
      <c r="AA22" s="38">
        <f t="shared" si="0"/>
        <v>0</v>
      </c>
      <c r="AB22" s="21">
        <v>4</v>
      </c>
      <c r="AC22" s="95"/>
      <c r="AD22" s="47"/>
    </row>
    <row r="23" spans="1:30" ht="15.75" thickBot="1" x14ac:dyDescent="0.3">
      <c r="A23" s="93"/>
      <c r="B23" s="22" t="s">
        <v>3</v>
      </c>
      <c r="C23" s="33">
        <f>+'Anexo 18'!C23*'Anexo 8'!$D$10</f>
        <v>0</v>
      </c>
      <c r="D23" s="33">
        <f>+'Anexo 18'!D23*'Anexo 8'!$D$10</f>
        <v>0</v>
      </c>
      <c r="E23" s="33">
        <f>+'Anexo 18'!E23*'Anexo 8'!$D$10</f>
        <v>0</v>
      </c>
      <c r="F23" s="33">
        <f>+'Anexo 18'!F23*'Anexo 8'!$D$10</f>
        <v>0</v>
      </c>
      <c r="G23" s="33">
        <f>+'Anexo 18'!G23*'Anexo 8'!$D$10</f>
        <v>0</v>
      </c>
      <c r="H23" s="33">
        <f>+'Anexo 18'!H23*'Anexo 8'!$D$10</f>
        <v>0</v>
      </c>
      <c r="I23" s="33">
        <f>+'Anexo 18'!I23*'Anexo 8'!$D$10</f>
        <v>0</v>
      </c>
      <c r="J23" s="33">
        <f>+'Anexo 18'!J23*'Anexo 8'!$D$10</f>
        <v>0</v>
      </c>
      <c r="K23" s="33">
        <f>+'Anexo 18'!K23*'Anexo 8'!$D$10</f>
        <v>0</v>
      </c>
      <c r="L23" s="33">
        <f>+'Anexo 18'!L23*'Anexo 8'!$D$10</f>
        <v>0</v>
      </c>
      <c r="M23" s="33">
        <f>+'Anexo 18'!M23*'Anexo 8'!$D$10</f>
        <v>0</v>
      </c>
      <c r="N23" s="33">
        <f>+'Anexo 18'!N23*'Anexo 8'!$D$10</f>
        <v>0</v>
      </c>
      <c r="O23" s="33">
        <f>+'Anexo 18'!O23*'Anexo 8'!$D$10</f>
        <v>0</v>
      </c>
      <c r="P23" s="33">
        <f>+'Anexo 18'!P23*'Anexo 8'!$D$10</f>
        <v>0</v>
      </c>
      <c r="Q23" s="33">
        <f>+'Anexo 18'!Q23*'Anexo 8'!$D$10</f>
        <v>0</v>
      </c>
      <c r="R23" s="33">
        <f>+'Anexo 18'!R23*'Anexo 8'!$D$10</f>
        <v>0</v>
      </c>
      <c r="S23" s="33">
        <f>+'Anexo 18'!S23*'Anexo 8'!$D$10</f>
        <v>0</v>
      </c>
      <c r="T23" s="33">
        <f>+'Anexo 18'!T23*'Anexo 8'!$D$10</f>
        <v>0</v>
      </c>
      <c r="U23" s="33">
        <f>+'Anexo 18'!U23*'Anexo 8'!$D$10</f>
        <v>0</v>
      </c>
      <c r="V23" s="33">
        <f>+'Anexo 18'!V23*'Anexo 8'!$D$10</f>
        <v>0</v>
      </c>
      <c r="W23" s="33">
        <f>+'Anexo 18'!W23*'Anexo 8'!$D$10</f>
        <v>0</v>
      </c>
      <c r="X23" s="33">
        <f>+'Anexo 18'!X23*'Anexo 8'!$D$10</f>
        <v>0</v>
      </c>
      <c r="Y23" s="33">
        <f>+'Anexo 18'!Y23*'Anexo 8'!$D$10</f>
        <v>0</v>
      </c>
      <c r="Z23" s="33">
        <f>+'Anexo 18'!Z23*'Anexo 8'!$D$10</f>
        <v>0</v>
      </c>
      <c r="AA23" s="41">
        <f t="shared" si="0"/>
        <v>0</v>
      </c>
      <c r="AB23" s="23">
        <v>6</v>
      </c>
      <c r="AC23" s="96"/>
      <c r="AD23" s="48"/>
    </row>
    <row r="24" spans="1:30" ht="15.75" thickBot="1" x14ac:dyDescent="0.3">
      <c r="A24" s="93">
        <v>48761</v>
      </c>
      <c r="B24" s="18" t="s">
        <v>5</v>
      </c>
      <c r="C24" s="33">
        <f>+'Anexo 18'!C24*'Anexo 8'!$D$10</f>
        <v>0</v>
      </c>
      <c r="D24" s="33">
        <f>+'Anexo 18'!D24*'Anexo 8'!$D$10</f>
        <v>0</v>
      </c>
      <c r="E24" s="33">
        <f>+'Anexo 18'!E24*'Anexo 8'!$D$10</f>
        <v>0</v>
      </c>
      <c r="F24" s="33">
        <f>+'Anexo 18'!F24*'Anexo 8'!$D$10</f>
        <v>0</v>
      </c>
      <c r="G24" s="33">
        <f>+'Anexo 18'!G24*'Anexo 8'!$D$10</f>
        <v>0</v>
      </c>
      <c r="H24" s="33">
        <f>+'Anexo 18'!H24*'Anexo 8'!$D$10</f>
        <v>0</v>
      </c>
      <c r="I24" s="33">
        <f>+'Anexo 18'!I24*'Anexo 8'!$D$10</f>
        <v>0</v>
      </c>
      <c r="J24" s="33">
        <f>+'Anexo 18'!J24*'Anexo 8'!$D$10</f>
        <v>0</v>
      </c>
      <c r="K24" s="33">
        <f>+'Anexo 18'!K24*'Anexo 8'!$D$10</f>
        <v>0</v>
      </c>
      <c r="L24" s="33">
        <f>+'Anexo 18'!L24*'Anexo 8'!$D$10</f>
        <v>0</v>
      </c>
      <c r="M24" s="33">
        <f>+'Anexo 18'!M24*'Anexo 8'!$D$10</f>
        <v>0</v>
      </c>
      <c r="N24" s="33">
        <f>+'Anexo 18'!N24*'Anexo 8'!$D$10</f>
        <v>0</v>
      </c>
      <c r="O24" s="33">
        <f>+'Anexo 18'!O24*'Anexo 8'!$D$10</f>
        <v>0</v>
      </c>
      <c r="P24" s="33">
        <f>+'Anexo 18'!P24*'Anexo 8'!$D$10</f>
        <v>0</v>
      </c>
      <c r="Q24" s="33">
        <f>+'Anexo 18'!Q24*'Anexo 8'!$D$10</f>
        <v>0</v>
      </c>
      <c r="R24" s="33">
        <f>+'Anexo 18'!R24*'Anexo 8'!$D$10</f>
        <v>0</v>
      </c>
      <c r="S24" s="33">
        <f>+'Anexo 18'!S24*'Anexo 8'!$D$10</f>
        <v>0</v>
      </c>
      <c r="T24" s="33">
        <f>+'Anexo 18'!T24*'Anexo 8'!$D$10</f>
        <v>0</v>
      </c>
      <c r="U24" s="33">
        <f>+'Anexo 18'!U24*'Anexo 8'!$D$10</f>
        <v>0</v>
      </c>
      <c r="V24" s="33">
        <f>+'Anexo 18'!V24*'Anexo 8'!$D$10</f>
        <v>0</v>
      </c>
      <c r="W24" s="33">
        <f>+'Anexo 18'!W24*'Anexo 8'!$D$10</f>
        <v>0</v>
      </c>
      <c r="X24" s="33">
        <f>+'Anexo 18'!X24*'Anexo 8'!$D$10</f>
        <v>0</v>
      </c>
      <c r="Y24" s="33">
        <f>+'Anexo 18'!Y24*'Anexo 8'!$D$10</f>
        <v>0</v>
      </c>
      <c r="Z24" s="33">
        <f>+'Anexo 18'!Z24*'Anexo 8'!$D$10</f>
        <v>0</v>
      </c>
      <c r="AA24" s="35">
        <f t="shared" si="0"/>
        <v>0</v>
      </c>
      <c r="AB24" s="19">
        <v>19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+'Anexo 18'!C25*'Anexo 8'!$D$10</f>
        <v>0</v>
      </c>
      <c r="D25" s="33">
        <f>+'Anexo 18'!D25*'Anexo 8'!$D$10</f>
        <v>0</v>
      </c>
      <c r="E25" s="33">
        <f>+'Anexo 18'!E25*'Anexo 8'!$D$10</f>
        <v>0</v>
      </c>
      <c r="F25" s="33">
        <f>+'Anexo 18'!F25*'Anexo 8'!$D$10</f>
        <v>0</v>
      </c>
      <c r="G25" s="33">
        <f>+'Anexo 18'!G25*'Anexo 8'!$D$10</f>
        <v>0</v>
      </c>
      <c r="H25" s="33">
        <f>+'Anexo 18'!H25*'Anexo 8'!$D$10</f>
        <v>0</v>
      </c>
      <c r="I25" s="33">
        <f>+'Anexo 18'!I25*'Anexo 8'!$D$10</f>
        <v>0</v>
      </c>
      <c r="J25" s="33">
        <f>+'Anexo 18'!J25*'Anexo 8'!$D$10</f>
        <v>0</v>
      </c>
      <c r="K25" s="33">
        <f>+'Anexo 18'!K25*'Anexo 8'!$D$10</f>
        <v>0</v>
      </c>
      <c r="L25" s="33">
        <f>+'Anexo 18'!L25*'Anexo 8'!$D$10</f>
        <v>0</v>
      </c>
      <c r="M25" s="33">
        <f>+'Anexo 18'!M25*'Anexo 8'!$D$10</f>
        <v>0</v>
      </c>
      <c r="N25" s="33">
        <f>+'Anexo 18'!N25*'Anexo 8'!$D$10</f>
        <v>0</v>
      </c>
      <c r="O25" s="33">
        <f>+'Anexo 18'!O25*'Anexo 8'!$D$10</f>
        <v>0</v>
      </c>
      <c r="P25" s="33">
        <f>+'Anexo 18'!P25*'Anexo 8'!$D$10</f>
        <v>0</v>
      </c>
      <c r="Q25" s="33">
        <f>+'Anexo 18'!Q25*'Anexo 8'!$D$10</f>
        <v>0</v>
      </c>
      <c r="R25" s="33">
        <f>+'Anexo 18'!R25*'Anexo 8'!$D$10</f>
        <v>0</v>
      </c>
      <c r="S25" s="33">
        <f>+'Anexo 18'!S25*'Anexo 8'!$D$10</f>
        <v>0</v>
      </c>
      <c r="T25" s="33">
        <f>+'Anexo 18'!T25*'Anexo 8'!$D$10</f>
        <v>0</v>
      </c>
      <c r="U25" s="33">
        <f>+'Anexo 18'!U25*'Anexo 8'!$D$10</f>
        <v>0</v>
      </c>
      <c r="V25" s="33">
        <f>+'Anexo 18'!V25*'Anexo 8'!$D$10</f>
        <v>0</v>
      </c>
      <c r="W25" s="33">
        <f>+'Anexo 18'!W25*'Anexo 8'!$D$10</f>
        <v>0</v>
      </c>
      <c r="X25" s="33">
        <f>+'Anexo 18'!X25*'Anexo 8'!$D$10</f>
        <v>0</v>
      </c>
      <c r="Y25" s="33">
        <f>+'Anexo 18'!Y25*'Anexo 8'!$D$10</f>
        <v>0</v>
      </c>
      <c r="Z25" s="33">
        <f>+'Anexo 18'!Z25*'Anexo 8'!$D$10</f>
        <v>0</v>
      </c>
      <c r="AA25" s="38">
        <f t="shared" si="0"/>
        <v>0</v>
      </c>
      <c r="AB25" s="21">
        <v>5</v>
      </c>
      <c r="AC25" s="95"/>
      <c r="AD25" s="47"/>
    </row>
    <row r="26" spans="1:30" ht="15.75" thickBot="1" x14ac:dyDescent="0.3">
      <c r="A26" s="93"/>
      <c r="B26" s="22" t="s">
        <v>3</v>
      </c>
      <c r="C26" s="33">
        <f>+'Anexo 18'!C26*'Anexo 8'!$D$10</f>
        <v>0</v>
      </c>
      <c r="D26" s="33">
        <f>+'Anexo 18'!D26*'Anexo 8'!$D$10</f>
        <v>0</v>
      </c>
      <c r="E26" s="33">
        <f>+'Anexo 18'!E26*'Anexo 8'!$D$10</f>
        <v>0</v>
      </c>
      <c r="F26" s="33">
        <f>+'Anexo 18'!F26*'Anexo 8'!$D$10</f>
        <v>0</v>
      </c>
      <c r="G26" s="33">
        <f>+'Anexo 18'!G26*'Anexo 8'!$D$10</f>
        <v>0</v>
      </c>
      <c r="H26" s="33">
        <f>+'Anexo 18'!H26*'Anexo 8'!$D$10</f>
        <v>0</v>
      </c>
      <c r="I26" s="33">
        <f>+'Anexo 18'!I26*'Anexo 8'!$D$10</f>
        <v>0</v>
      </c>
      <c r="J26" s="33">
        <f>+'Anexo 18'!J26*'Anexo 8'!$D$10</f>
        <v>0</v>
      </c>
      <c r="K26" s="33">
        <f>+'Anexo 18'!K26*'Anexo 8'!$D$10</f>
        <v>0</v>
      </c>
      <c r="L26" s="33">
        <f>+'Anexo 18'!L26*'Anexo 8'!$D$10</f>
        <v>0</v>
      </c>
      <c r="M26" s="33">
        <f>+'Anexo 18'!M26*'Anexo 8'!$D$10</f>
        <v>0</v>
      </c>
      <c r="N26" s="33">
        <f>+'Anexo 18'!N26*'Anexo 8'!$D$10</f>
        <v>0</v>
      </c>
      <c r="O26" s="33">
        <f>+'Anexo 18'!O26*'Anexo 8'!$D$10</f>
        <v>0</v>
      </c>
      <c r="P26" s="33">
        <f>+'Anexo 18'!P26*'Anexo 8'!$D$10</f>
        <v>0</v>
      </c>
      <c r="Q26" s="33">
        <f>+'Anexo 18'!Q26*'Anexo 8'!$D$10</f>
        <v>0</v>
      </c>
      <c r="R26" s="33">
        <f>+'Anexo 18'!R26*'Anexo 8'!$D$10</f>
        <v>0</v>
      </c>
      <c r="S26" s="33">
        <f>+'Anexo 18'!S26*'Anexo 8'!$D$10</f>
        <v>0</v>
      </c>
      <c r="T26" s="33">
        <f>+'Anexo 18'!T26*'Anexo 8'!$D$10</f>
        <v>0</v>
      </c>
      <c r="U26" s="33">
        <f>+'Anexo 18'!U26*'Anexo 8'!$D$10</f>
        <v>0</v>
      </c>
      <c r="V26" s="33">
        <f>+'Anexo 18'!V26*'Anexo 8'!$D$10</f>
        <v>0</v>
      </c>
      <c r="W26" s="33">
        <f>+'Anexo 18'!W26*'Anexo 8'!$D$10</f>
        <v>0</v>
      </c>
      <c r="X26" s="33">
        <f>+'Anexo 18'!X26*'Anexo 8'!$D$10</f>
        <v>0</v>
      </c>
      <c r="Y26" s="33">
        <f>+'Anexo 18'!Y26*'Anexo 8'!$D$10</f>
        <v>0</v>
      </c>
      <c r="Z26" s="33">
        <f>+'Anexo 18'!Z26*'Anexo 8'!$D$10</f>
        <v>0</v>
      </c>
      <c r="AA26" s="41">
        <f t="shared" si="0"/>
        <v>0</v>
      </c>
      <c r="AB26" s="23">
        <v>7</v>
      </c>
      <c r="AC26" s="96"/>
      <c r="AD26" s="48"/>
    </row>
    <row r="27" spans="1:30" ht="15.75" thickBot="1" x14ac:dyDescent="0.3">
      <c r="A27" s="93">
        <v>48792</v>
      </c>
      <c r="B27" s="18" t="s">
        <v>5</v>
      </c>
      <c r="C27" s="33">
        <f>+'Anexo 18'!C27*'Anexo 8'!$D$10</f>
        <v>0</v>
      </c>
      <c r="D27" s="33">
        <f>+'Anexo 18'!D27*'Anexo 8'!$D$10</f>
        <v>0</v>
      </c>
      <c r="E27" s="33">
        <f>+'Anexo 18'!E27*'Anexo 8'!$D$10</f>
        <v>0</v>
      </c>
      <c r="F27" s="33">
        <f>+'Anexo 18'!F27*'Anexo 8'!$D$10</f>
        <v>0</v>
      </c>
      <c r="G27" s="33">
        <f>+'Anexo 18'!G27*'Anexo 8'!$D$10</f>
        <v>0</v>
      </c>
      <c r="H27" s="33">
        <f>+'Anexo 18'!H27*'Anexo 8'!$D$10</f>
        <v>0</v>
      </c>
      <c r="I27" s="33">
        <f>+'Anexo 18'!I27*'Anexo 8'!$D$10</f>
        <v>0</v>
      </c>
      <c r="J27" s="33">
        <f>+'Anexo 18'!J27*'Anexo 8'!$D$10</f>
        <v>0</v>
      </c>
      <c r="K27" s="33">
        <f>+'Anexo 18'!K27*'Anexo 8'!$D$10</f>
        <v>0</v>
      </c>
      <c r="L27" s="33">
        <f>+'Anexo 18'!L27*'Anexo 8'!$D$10</f>
        <v>0</v>
      </c>
      <c r="M27" s="33">
        <f>+'Anexo 18'!M27*'Anexo 8'!$D$10</f>
        <v>0</v>
      </c>
      <c r="N27" s="33">
        <f>+'Anexo 18'!N27*'Anexo 8'!$D$10</f>
        <v>0</v>
      </c>
      <c r="O27" s="33">
        <f>+'Anexo 18'!O27*'Anexo 8'!$D$10</f>
        <v>0</v>
      </c>
      <c r="P27" s="33">
        <f>+'Anexo 18'!P27*'Anexo 8'!$D$10</f>
        <v>0</v>
      </c>
      <c r="Q27" s="33">
        <f>+'Anexo 18'!Q27*'Anexo 8'!$D$10</f>
        <v>0</v>
      </c>
      <c r="R27" s="33">
        <f>+'Anexo 18'!R27*'Anexo 8'!$D$10</f>
        <v>0</v>
      </c>
      <c r="S27" s="33">
        <f>+'Anexo 18'!S27*'Anexo 8'!$D$10</f>
        <v>0</v>
      </c>
      <c r="T27" s="33">
        <f>+'Anexo 18'!T27*'Anexo 8'!$D$10</f>
        <v>0</v>
      </c>
      <c r="U27" s="33">
        <f>+'Anexo 18'!U27*'Anexo 8'!$D$10</f>
        <v>0</v>
      </c>
      <c r="V27" s="33">
        <f>+'Anexo 18'!V27*'Anexo 8'!$D$10</f>
        <v>0</v>
      </c>
      <c r="W27" s="33">
        <f>+'Anexo 18'!W27*'Anexo 8'!$D$10</f>
        <v>0</v>
      </c>
      <c r="X27" s="33">
        <f>+'Anexo 18'!X27*'Anexo 8'!$D$10</f>
        <v>0</v>
      </c>
      <c r="Y27" s="33">
        <f>+'Anexo 18'!Y27*'Anexo 8'!$D$10</f>
        <v>0</v>
      </c>
      <c r="Z27" s="33">
        <f>+'Anexo 18'!Z27*'Anexo 8'!$D$10</f>
        <v>0</v>
      </c>
      <c r="AA27" s="35">
        <f t="shared" si="0"/>
        <v>0</v>
      </c>
      <c r="AB27" s="19">
        <v>22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+'Anexo 18'!C28*'Anexo 8'!$D$10</f>
        <v>0</v>
      </c>
      <c r="D28" s="33">
        <f>+'Anexo 18'!D28*'Anexo 8'!$D$10</f>
        <v>0</v>
      </c>
      <c r="E28" s="33">
        <f>+'Anexo 18'!E28*'Anexo 8'!$D$10</f>
        <v>0</v>
      </c>
      <c r="F28" s="33">
        <f>+'Anexo 18'!F28*'Anexo 8'!$D$10</f>
        <v>0</v>
      </c>
      <c r="G28" s="33">
        <f>+'Anexo 18'!G28*'Anexo 8'!$D$10</f>
        <v>0</v>
      </c>
      <c r="H28" s="33">
        <f>+'Anexo 18'!H28*'Anexo 8'!$D$10</f>
        <v>0</v>
      </c>
      <c r="I28" s="33">
        <f>+'Anexo 18'!I28*'Anexo 8'!$D$10</f>
        <v>0</v>
      </c>
      <c r="J28" s="33">
        <f>+'Anexo 18'!J28*'Anexo 8'!$D$10</f>
        <v>0</v>
      </c>
      <c r="K28" s="33">
        <f>+'Anexo 18'!K28*'Anexo 8'!$D$10</f>
        <v>0</v>
      </c>
      <c r="L28" s="33">
        <f>+'Anexo 18'!L28*'Anexo 8'!$D$10</f>
        <v>0</v>
      </c>
      <c r="M28" s="33">
        <f>+'Anexo 18'!M28*'Anexo 8'!$D$10</f>
        <v>0</v>
      </c>
      <c r="N28" s="33">
        <f>+'Anexo 18'!N28*'Anexo 8'!$D$10</f>
        <v>0</v>
      </c>
      <c r="O28" s="33">
        <f>+'Anexo 18'!O28*'Anexo 8'!$D$10</f>
        <v>0</v>
      </c>
      <c r="P28" s="33">
        <f>+'Anexo 18'!P28*'Anexo 8'!$D$10</f>
        <v>0</v>
      </c>
      <c r="Q28" s="33">
        <f>+'Anexo 18'!Q28*'Anexo 8'!$D$10</f>
        <v>0</v>
      </c>
      <c r="R28" s="33">
        <f>+'Anexo 18'!R28*'Anexo 8'!$D$10</f>
        <v>0</v>
      </c>
      <c r="S28" s="33">
        <f>+'Anexo 18'!S28*'Anexo 8'!$D$10</f>
        <v>0</v>
      </c>
      <c r="T28" s="33">
        <f>+'Anexo 18'!T28*'Anexo 8'!$D$10</f>
        <v>0</v>
      </c>
      <c r="U28" s="33">
        <f>+'Anexo 18'!U28*'Anexo 8'!$D$10</f>
        <v>0</v>
      </c>
      <c r="V28" s="33">
        <f>+'Anexo 18'!V28*'Anexo 8'!$D$10</f>
        <v>0</v>
      </c>
      <c r="W28" s="33">
        <f>+'Anexo 18'!W28*'Anexo 8'!$D$10</f>
        <v>0</v>
      </c>
      <c r="X28" s="33">
        <f>+'Anexo 18'!X28*'Anexo 8'!$D$10</f>
        <v>0</v>
      </c>
      <c r="Y28" s="33">
        <f>+'Anexo 18'!Y28*'Anexo 8'!$D$10</f>
        <v>0</v>
      </c>
      <c r="Z28" s="33">
        <f>+'Anexo 18'!Z28*'Anexo 8'!$D$10</f>
        <v>0</v>
      </c>
      <c r="AA28" s="38">
        <f t="shared" si="0"/>
        <v>0</v>
      </c>
      <c r="AB28" s="21">
        <v>4</v>
      </c>
      <c r="AC28" s="95"/>
      <c r="AD28" s="47"/>
    </row>
    <row r="29" spans="1:30" ht="15.75" thickBot="1" x14ac:dyDescent="0.3">
      <c r="A29" s="93"/>
      <c r="B29" s="22" t="s">
        <v>3</v>
      </c>
      <c r="C29" s="33">
        <f>+'Anexo 18'!C29*'Anexo 8'!$D$10</f>
        <v>0</v>
      </c>
      <c r="D29" s="33">
        <f>+'Anexo 18'!D29*'Anexo 8'!$D$10</f>
        <v>0</v>
      </c>
      <c r="E29" s="33">
        <f>+'Anexo 18'!E29*'Anexo 8'!$D$10</f>
        <v>0</v>
      </c>
      <c r="F29" s="33">
        <f>+'Anexo 18'!F29*'Anexo 8'!$D$10</f>
        <v>0</v>
      </c>
      <c r="G29" s="33">
        <f>+'Anexo 18'!G29*'Anexo 8'!$D$10</f>
        <v>0</v>
      </c>
      <c r="H29" s="33">
        <f>+'Anexo 18'!H29*'Anexo 8'!$D$10</f>
        <v>0</v>
      </c>
      <c r="I29" s="33">
        <f>+'Anexo 18'!I29*'Anexo 8'!$D$10</f>
        <v>0</v>
      </c>
      <c r="J29" s="33">
        <f>+'Anexo 18'!J29*'Anexo 8'!$D$10</f>
        <v>0</v>
      </c>
      <c r="K29" s="33">
        <f>+'Anexo 18'!K29*'Anexo 8'!$D$10</f>
        <v>0</v>
      </c>
      <c r="L29" s="33">
        <f>+'Anexo 18'!L29*'Anexo 8'!$D$10</f>
        <v>0</v>
      </c>
      <c r="M29" s="33">
        <f>+'Anexo 18'!M29*'Anexo 8'!$D$10</f>
        <v>0</v>
      </c>
      <c r="N29" s="33">
        <f>+'Anexo 18'!N29*'Anexo 8'!$D$10</f>
        <v>0</v>
      </c>
      <c r="O29" s="33">
        <f>+'Anexo 18'!O29*'Anexo 8'!$D$10</f>
        <v>0</v>
      </c>
      <c r="P29" s="33">
        <f>+'Anexo 18'!P29*'Anexo 8'!$D$10</f>
        <v>0</v>
      </c>
      <c r="Q29" s="33">
        <f>+'Anexo 18'!Q29*'Anexo 8'!$D$10</f>
        <v>0</v>
      </c>
      <c r="R29" s="33">
        <f>+'Anexo 18'!R29*'Anexo 8'!$D$10</f>
        <v>0</v>
      </c>
      <c r="S29" s="33">
        <f>+'Anexo 18'!S29*'Anexo 8'!$D$10</f>
        <v>0</v>
      </c>
      <c r="T29" s="33">
        <f>+'Anexo 18'!T29*'Anexo 8'!$D$10</f>
        <v>0</v>
      </c>
      <c r="U29" s="33">
        <f>+'Anexo 18'!U29*'Anexo 8'!$D$10</f>
        <v>0</v>
      </c>
      <c r="V29" s="33">
        <f>+'Anexo 18'!V29*'Anexo 8'!$D$10</f>
        <v>0</v>
      </c>
      <c r="W29" s="33">
        <f>+'Anexo 18'!W29*'Anexo 8'!$D$10</f>
        <v>0</v>
      </c>
      <c r="X29" s="33">
        <f>+'Anexo 18'!X29*'Anexo 8'!$D$10</f>
        <v>0</v>
      </c>
      <c r="Y29" s="33">
        <f>+'Anexo 18'!Y29*'Anexo 8'!$D$10</f>
        <v>0</v>
      </c>
      <c r="Z29" s="33">
        <f>+'Anexo 18'!Z29*'Anexo 8'!$D$10</f>
        <v>0</v>
      </c>
      <c r="AA29" s="41">
        <f t="shared" si="0"/>
        <v>0</v>
      </c>
      <c r="AB29" s="23">
        <v>5</v>
      </c>
      <c r="AC29" s="96"/>
      <c r="AD29" s="49"/>
    </row>
    <row r="30" spans="1:30" ht="15.75" thickBot="1" x14ac:dyDescent="0.3">
      <c r="A30" s="93">
        <v>48823</v>
      </c>
      <c r="B30" s="18" t="s">
        <v>5</v>
      </c>
      <c r="C30" s="33">
        <f>+'Anexo 18'!C30*'Anexo 8'!$D$10</f>
        <v>0</v>
      </c>
      <c r="D30" s="33">
        <f>+'Anexo 18'!D30*'Anexo 8'!$D$10</f>
        <v>0</v>
      </c>
      <c r="E30" s="33">
        <f>+'Anexo 18'!E30*'Anexo 8'!$D$10</f>
        <v>0</v>
      </c>
      <c r="F30" s="33">
        <f>+'Anexo 18'!F30*'Anexo 8'!$D$10</f>
        <v>0</v>
      </c>
      <c r="G30" s="33">
        <f>+'Anexo 18'!G30*'Anexo 8'!$D$10</f>
        <v>0</v>
      </c>
      <c r="H30" s="33">
        <f>+'Anexo 18'!H30*'Anexo 8'!$D$10</f>
        <v>0</v>
      </c>
      <c r="I30" s="33">
        <f>+'Anexo 18'!I30*'Anexo 8'!$D$10</f>
        <v>0</v>
      </c>
      <c r="J30" s="33">
        <f>+'Anexo 18'!J30*'Anexo 8'!$D$10</f>
        <v>0</v>
      </c>
      <c r="K30" s="33">
        <f>+'Anexo 18'!K30*'Anexo 8'!$D$10</f>
        <v>0</v>
      </c>
      <c r="L30" s="33">
        <f>+'Anexo 18'!L30*'Anexo 8'!$D$10</f>
        <v>0</v>
      </c>
      <c r="M30" s="33">
        <f>+'Anexo 18'!M30*'Anexo 8'!$D$10</f>
        <v>0</v>
      </c>
      <c r="N30" s="33">
        <f>+'Anexo 18'!N30*'Anexo 8'!$D$10</f>
        <v>0</v>
      </c>
      <c r="O30" s="33">
        <f>+'Anexo 18'!O30*'Anexo 8'!$D$10</f>
        <v>0</v>
      </c>
      <c r="P30" s="33">
        <f>+'Anexo 18'!P30*'Anexo 8'!$D$10</f>
        <v>0</v>
      </c>
      <c r="Q30" s="33">
        <f>+'Anexo 18'!Q30*'Anexo 8'!$D$10</f>
        <v>0</v>
      </c>
      <c r="R30" s="33">
        <f>+'Anexo 18'!R30*'Anexo 8'!$D$10</f>
        <v>0</v>
      </c>
      <c r="S30" s="33">
        <f>+'Anexo 18'!S30*'Anexo 8'!$D$10</f>
        <v>0</v>
      </c>
      <c r="T30" s="33">
        <f>+'Anexo 18'!T30*'Anexo 8'!$D$10</f>
        <v>0</v>
      </c>
      <c r="U30" s="33">
        <f>+'Anexo 18'!U30*'Anexo 8'!$D$10</f>
        <v>0</v>
      </c>
      <c r="V30" s="33">
        <f>+'Anexo 18'!V30*'Anexo 8'!$D$10</f>
        <v>0</v>
      </c>
      <c r="W30" s="33">
        <f>+'Anexo 18'!W30*'Anexo 8'!$D$10</f>
        <v>0</v>
      </c>
      <c r="X30" s="33">
        <f>+'Anexo 18'!X30*'Anexo 8'!$D$10</f>
        <v>0</v>
      </c>
      <c r="Y30" s="33">
        <f>+'Anexo 18'!Y30*'Anexo 8'!$D$10</f>
        <v>0</v>
      </c>
      <c r="Z30" s="33">
        <f>+'Anexo 18'!Z30*'Anexo 8'!$D$10</f>
        <v>0</v>
      </c>
      <c r="AA30" s="35">
        <f t="shared" si="0"/>
        <v>0</v>
      </c>
      <c r="AB30" s="19">
        <v>22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+'Anexo 18'!C31*'Anexo 8'!$D$10</f>
        <v>0</v>
      </c>
      <c r="D31" s="33">
        <f>+'Anexo 18'!D31*'Anexo 8'!$D$10</f>
        <v>0</v>
      </c>
      <c r="E31" s="33">
        <f>+'Anexo 18'!E31*'Anexo 8'!$D$10</f>
        <v>0</v>
      </c>
      <c r="F31" s="33">
        <f>+'Anexo 18'!F31*'Anexo 8'!$D$10</f>
        <v>0</v>
      </c>
      <c r="G31" s="33">
        <f>+'Anexo 18'!G31*'Anexo 8'!$D$10</f>
        <v>0</v>
      </c>
      <c r="H31" s="33">
        <f>+'Anexo 18'!H31*'Anexo 8'!$D$10</f>
        <v>0</v>
      </c>
      <c r="I31" s="33">
        <f>+'Anexo 18'!I31*'Anexo 8'!$D$10</f>
        <v>0</v>
      </c>
      <c r="J31" s="33">
        <f>+'Anexo 18'!J31*'Anexo 8'!$D$10</f>
        <v>0</v>
      </c>
      <c r="K31" s="33">
        <f>+'Anexo 18'!K31*'Anexo 8'!$D$10</f>
        <v>0</v>
      </c>
      <c r="L31" s="33">
        <f>+'Anexo 18'!L31*'Anexo 8'!$D$10</f>
        <v>0</v>
      </c>
      <c r="M31" s="33">
        <f>+'Anexo 18'!M31*'Anexo 8'!$D$10</f>
        <v>0</v>
      </c>
      <c r="N31" s="33">
        <f>+'Anexo 18'!N31*'Anexo 8'!$D$10</f>
        <v>0</v>
      </c>
      <c r="O31" s="33">
        <f>+'Anexo 18'!O31*'Anexo 8'!$D$10</f>
        <v>0</v>
      </c>
      <c r="P31" s="33">
        <f>+'Anexo 18'!P31*'Anexo 8'!$D$10</f>
        <v>0</v>
      </c>
      <c r="Q31" s="33">
        <f>+'Anexo 18'!Q31*'Anexo 8'!$D$10</f>
        <v>0</v>
      </c>
      <c r="R31" s="33">
        <f>+'Anexo 18'!R31*'Anexo 8'!$D$10</f>
        <v>0</v>
      </c>
      <c r="S31" s="33">
        <f>+'Anexo 18'!S31*'Anexo 8'!$D$10</f>
        <v>0</v>
      </c>
      <c r="T31" s="33">
        <f>+'Anexo 18'!T31*'Anexo 8'!$D$10</f>
        <v>0</v>
      </c>
      <c r="U31" s="33">
        <f>+'Anexo 18'!U31*'Anexo 8'!$D$10</f>
        <v>0</v>
      </c>
      <c r="V31" s="33">
        <f>+'Anexo 18'!V31*'Anexo 8'!$D$10</f>
        <v>0</v>
      </c>
      <c r="W31" s="33">
        <f>+'Anexo 18'!W31*'Anexo 8'!$D$10</f>
        <v>0</v>
      </c>
      <c r="X31" s="33">
        <f>+'Anexo 18'!X31*'Anexo 8'!$D$10</f>
        <v>0</v>
      </c>
      <c r="Y31" s="33">
        <f>+'Anexo 18'!Y31*'Anexo 8'!$D$10</f>
        <v>0</v>
      </c>
      <c r="Z31" s="33">
        <f>+'Anexo 18'!Z31*'Anexo 8'!$D$10</f>
        <v>0</v>
      </c>
      <c r="AA31" s="38">
        <f t="shared" si="0"/>
        <v>0</v>
      </c>
      <c r="AB31" s="21">
        <v>4</v>
      </c>
      <c r="AC31" s="95"/>
      <c r="AD31" s="47"/>
    </row>
    <row r="32" spans="1:30" ht="15.75" thickBot="1" x14ac:dyDescent="0.3">
      <c r="A32" s="93"/>
      <c r="B32" s="22" t="s">
        <v>3</v>
      </c>
      <c r="C32" s="33">
        <f>+'Anexo 18'!C32*'Anexo 8'!$D$10</f>
        <v>0</v>
      </c>
      <c r="D32" s="33">
        <f>+'Anexo 18'!D32*'Anexo 8'!$D$10</f>
        <v>0</v>
      </c>
      <c r="E32" s="33">
        <f>+'Anexo 18'!E32*'Anexo 8'!$D$10</f>
        <v>0</v>
      </c>
      <c r="F32" s="33">
        <f>+'Anexo 18'!F32*'Anexo 8'!$D$10</f>
        <v>0</v>
      </c>
      <c r="G32" s="33">
        <f>+'Anexo 18'!G32*'Anexo 8'!$D$10</f>
        <v>0</v>
      </c>
      <c r="H32" s="33">
        <f>+'Anexo 18'!H32*'Anexo 8'!$D$10</f>
        <v>0</v>
      </c>
      <c r="I32" s="33">
        <f>+'Anexo 18'!I32*'Anexo 8'!$D$10</f>
        <v>0</v>
      </c>
      <c r="J32" s="33">
        <f>+'Anexo 18'!J32*'Anexo 8'!$D$10</f>
        <v>0</v>
      </c>
      <c r="K32" s="33">
        <f>+'Anexo 18'!K32*'Anexo 8'!$D$10</f>
        <v>0</v>
      </c>
      <c r="L32" s="33">
        <f>+'Anexo 18'!L32*'Anexo 8'!$D$10</f>
        <v>0</v>
      </c>
      <c r="M32" s="33">
        <f>+'Anexo 18'!M32*'Anexo 8'!$D$10</f>
        <v>0</v>
      </c>
      <c r="N32" s="33">
        <f>+'Anexo 18'!N32*'Anexo 8'!$D$10</f>
        <v>0</v>
      </c>
      <c r="O32" s="33">
        <f>+'Anexo 18'!O32*'Anexo 8'!$D$10</f>
        <v>0</v>
      </c>
      <c r="P32" s="33">
        <f>+'Anexo 18'!P32*'Anexo 8'!$D$10</f>
        <v>0</v>
      </c>
      <c r="Q32" s="33">
        <f>+'Anexo 18'!Q32*'Anexo 8'!$D$10</f>
        <v>0</v>
      </c>
      <c r="R32" s="33">
        <f>+'Anexo 18'!R32*'Anexo 8'!$D$10</f>
        <v>0</v>
      </c>
      <c r="S32" s="33">
        <f>+'Anexo 18'!S32*'Anexo 8'!$D$10</f>
        <v>0</v>
      </c>
      <c r="T32" s="33">
        <f>+'Anexo 18'!T32*'Anexo 8'!$D$10</f>
        <v>0</v>
      </c>
      <c r="U32" s="33">
        <f>+'Anexo 18'!U32*'Anexo 8'!$D$10</f>
        <v>0</v>
      </c>
      <c r="V32" s="33">
        <f>+'Anexo 18'!V32*'Anexo 8'!$D$10</f>
        <v>0</v>
      </c>
      <c r="W32" s="33">
        <f>+'Anexo 18'!W32*'Anexo 8'!$D$10</f>
        <v>0</v>
      </c>
      <c r="X32" s="33">
        <f>+'Anexo 18'!X32*'Anexo 8'!$D$10</f>
        <v>0</v>
      </c>
      <c r="Y32" s="33">
        <f>+'Anexo 18'!Y32*'Anexo 8'!$D$10</f>
        <v>0</v>
      </c>
      <c r="Z32" s="33">
        <f>+'Anexo 18'!Z32*'Anexo 8'!$D$10</f>
        <v>0</v>
      </c>
      <c r="AA32" s="41">
        <f t="shared" si="0"/>
        <v>0</v>
      </c>
      <c r="AB32" s="23">
        <v>4</v>
      </c>
      <c r="AC32" s="96"/>
      <c r="AD32" s="48"/>
    </row>
    <row r="33" spans="1:30" ht="15.75" thickBot="1" x14ac:dyDescent="0.3">
      <c r="A33" s="93">
        <v>48853</v>
      </c>
      <c r="B33" s="18" t="s">
        <v>5</v>
      </c>
      <c r="C33" s="33">
        <f>+'Anexo 18'!C33*'Anexo 8'!$D$10</f>
        <v>0</v>
      </c>
      <c r="D33" s="33">
        <f>+'Anexo 18'!D33*'Anexo 8'!$D$10</f>
        <v>0</v>
      </c>
      <c r="E33" s="33">
        <f>+'Anexo 18'!E33*'Anexo 8'!$D$10</f>
        <v>0</v>
      </c>
      <c r="F33" s="33">
        <f>+'Anexo 18'!F33*'Anexo 8'!$D$10</f>
        <v>0</v>
      </c>
      <c r="G33" s="33">
        <f>+'Anexo 18'!G33*'Anexo 8'!$D$10</f>
        <v>0</v>
      </c>
      <c r="H33" s="33">
        <f>+'Anexo 18'!H33*'Anexo 8'!$D$10</f>
        <v>0</v>
      </c>
      <c r="I33" s="33">
        <f>+'Anexo 18'!I33*'Anexo 8'!$D$10</f>
        <v>0</v>
      </c>
      <c r="J33" s="33">
        <f>+'Anexo 18'!J33*'Anexo 8'!$D$10</f>
        <v>0</v>
      </c>
      <c r="K33" s="33">
        <f>+'Anexo 18'!K33*'Anexo 8'!$D$10</f>
        <v>0</v>
      </c>
      <c r="L33" s="33">
        <f>+'Anexo 18'!L33*'Anexo 8'!$D$10</f>
        <v>0</v>
      </c>
      <c r="M33" s="33">
        <f>+'Anexo 18'!M33*'Anexo 8'!$D$10</f>
        <v>0</v>
      </c>
      <c r="N33" s="33">
        <f>+'Anexo 18'!N33*'Anexo 8'!$D$10</f>
        <v>0</v>
      </c>
      <c r="O33" s="33">
        <f>+'Anexo 18'!O33*'Anexo 8'!$D$10</f>
        <v>0</v>
      </c>
      <c r="P33" s="33">
        <f>+'Anexo 18'!P33*'Anexo 8'!$D$10</f>
        <v>0</v>
      </c>
      <c r="Q33" s="33">
        <f>+'Anexo 18'!Q33*'Anexo 8'!$D$10</f>
        <v>0</v>
      </c>
      <c r="R33" s="33">
        <f>+'Anexo 18'!R33*'Anexo 8'!$D$10</f>
        <v>0</v>
      </c>
      <c r="S33" s="33">
        <f>+'Anexo 18'!S33*'Anexo 8'!$D$10</f>
        <v>0</v>
      </c>
      <c r="T33" s="33">
        <f>+'Anexo 18'!T33*'Anexo 8'!$D$10</f>
        <v>0</v>
      </c>
      <c r="U33" s="33">
        <f>+'Anexo 18'!U33*'Anexo 8'!$D$10</f>
        <v>0</v>
      </c>
      <c r="V33" s="33">
        <f>+'Anexo 18'!V33*'Anexo 8'!$D$10</f>
        <v>0</v>
      </c>
      <c r="W33" s="33">
        <f>+'Anexo 18'!W33*'Anexo 8'!$D$10</f>
        <v>0</v>
      </c>
      <c r="X33" s="33">
        <f>+'Anexo 18'!X33*'Anexo 8'!$D$10</f>
        <v>0</v>
      </c>
      <c r="Y33" s="33">
        <f>+'Anexo 18'!Y33*'Anexo 8'!$D$10</f>
        <v>0</v>
      </c>
      <c r="Z33" s="33">
        <f>+'Anexo 18'!Z33*'Anexo 8'!$D$10</f>
        <v>0</v>
      </c>
      <c r="AA33" s="35">
        <f t="shared" si="0"/>
        <v>0</v>
      </c>
      <c r="AB33" s="19">
        <v>20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+'Anexo 18'!C34*'Anexo 8'!$D$10</f>
        <v>0</v>
      </c>
      <c r="D34" s="33">
        <f>+'Anexo 18'!D34*'Anexo 8'!$D$10</f>
        <v>0</v>
      </c>
      <c r="E34" s="33">
        <f>+'Anexo 18'!E34*'Anexo 8'!$D$10</f>
        <v>0</v>
      </c>
      <c r="F34" s="33">
        <f>+'Anexo 18'!F34*'Anexo 8'!$D$10</f>
        <v>0</v>
      </c>
      <c r="G34" s="33">
        <f>+'Anexo 18'!G34*'Anexo 8'!$D$10</f>
        <v>0</v>
      </c>
      <c r="H34" s="33">
        <f>+'Anexo 18'!H34*'Anexo 8'!$D$10</f>
        <v>0</v>
      </c>
      <c r="I34" s="33">
        <f>+'Anexo 18'!I34*'Anexo 8'!$D$10</f>
        <v>0</v>
      </c>
      <c r="J34" s="33">
        <f>+'Anexo 18'!J34*'Anexo 8'!$D$10</f>
        <v>0</v>
      </c>
      <c r="K34" s="33">
        <f>+'Anexo 18'!K34*'Anexo 8'!$D$10</f>
        <v>0</v>
      </c>
      <c r="L34" s="33">
        <f>+'Anexo 18'!L34*'Anexo 8'!$D$10</f>
        <v>0</v>
      </c>
      <c r="M34" s="33">
        <f>+'Anexo 18'!M34*'Anexo 8'!$D$10</f>
        <v>0</v>
      </c>
      <c r="N34" s="33">
        <f>+'Anexo 18'!N34*'Anexo 8'!$D$10</f>
        <v>0</v>
      </c>
      <c r="O34" s="33">
        <f>+'Anexo 18'!O34*'Anexo 8'!$D$10</f>
        <v>0</v>
      </c>
      <c r="P34" s="33">
        <f>+'Anexo 18'!P34*'Anexo 8'!$D$10</f>
        <v>0</v>
      </c>
      <c r="Q34" s="33">
        <f>+'Anexo 18'!Q34*'Anexo 8'!$D$10</f>
        <v>0</v>
      </c>
      <c r="R34" s="33">
        <f>+'Anexo 18'!R34*'Anexo 8'!$D$10</f>
        <v>0</v>
      </c>
      <c r="S34" s="33">
        <f>+'Anexo 18'!S34*'Anexo 8'!$D$10</f>
        <v>0</v>
      </c>
      <c r="T34" s="33">
        <f>+'Anexo 18'!T34*'Anexo 8'!$D$10</f>
        <v>0</v>
      </c>
      <c r="U34" s="33">
        <f>+'Anexo 18'!U34*'Anexo 8'!$D$10</f>
        <v>0</v>
      </c>
      <c r="V34" s="33">
        <f>+'Anexo 18'!V34*'Anexo 8'!$D$10</f>
        <v>0</v>
      </c>
      <c r="W34" s="33">
        <f>+'Anexo 18'!W34*'Anexo 8'!$D$10</f>
        <v>0</v>
      </c>
      <c r="X34" s="33">
        <f>+'Anexo 18'!X34*'Anexo 8'!$D$10</f>
        <v>0</v>
      </c>
      <c r="Y34" s="33">
        <f>+'Anexo 18'!Y34*'Anexo 8'!$D$10</f>
        <v>0</v>
      </c>
      <c r="Z34" s="33">
        <f>+'Anexo 18'!Z34*'Anexo 8'!$D$10</f>
        <v>0</v>
      </c>
      <c r="AA34" s="38">
        <f t="shared" si="0"/>
        <v>0</v>
      </c>
      <c r="AB34" s="21">
        <v>5</v>
      </c>
      <c r="AC34" s="95"/>
      <c r="AD34" s="47"/>
    </row>
    <row r="35" spans="1:30" ht="15.75" thickBot="1" x14ac:dyDescent="0.3">
      <c r="A35" s="93"/>
      <c r="B35" s="22" t="s">
        <v>3</v>
      </c>
      <c r="C35" s="33">
        <f>+'Anexo 18'!C35*'Anexo 8'!$D$10</f>
        <v>0</v>
      </c>
      <c r="D35" s="33">
        <f>+'Anexo 18'!D35*'Anexo 8'!$D$10</f>
        <v>0</v>
      </c>
      <c r="E35" s="33">
        <f>+'Anexo 18'!E35*'Anexo 8'!$D$10</f>
        <v>0</v>
      </c>
      <c r="F35" s="33">
        <f>+'Anexo 18'!F35*'Anexo 8'!$D$10</f>
        <v>0</v>
      </c>
      <c r="G35" s="33">
        <f>+'Anexo 18'!G35*'Anexo 8'!$D$10</f>
        <v>0</v>
      </c>
      <c r="H35" s="33">
        <f>+'Anexo 18'!H35*'Anexo 8'!$D$10</f>
        <v>0</v>
      </c>
      <c r="I35" s="33">
        <f>+'Anexo 18'!I35*'Anexo 8'!$D$10</f>
        <v>0</v>
      </c>
      <c r="J35" s="33">
        <f>+'Anexo 18'!J35*'Anexo 8'!$D$10</f>
        <v>0</v>
      </c>
      <c r="K35" s="33">
        <f>+'Anexo 18'!K35*'Anexo 8'!$D$10</f>
        <v>0</v>
      </c>
      <c r="L35" s="33">
        <f>+'Anexo 18'!L35*'Anexo 8'!$D$10</f>
        <v>0</v>
      </c>
      <c r="M35" s="33">
        <f>+'Anexo 18'!M35*'Anexo 8'!$D$10</f>
        <v>0</v>
      </c>
      <c r="N35" s="33">
        <f>+'Anexo 18'!N35*'Anexo 8'!$D$10</f>
        <v>0</v>
      </c>
      <c r="O35" s="33">
        <f>+'Anexo 18'!O35*'Anexo 8'!$D$10</f>
        <v>0</v>
      </c>
      <c r="P35" s="33">
        <f>+'Anexo 18'!P35*'Anexo 8'!$D$10</f>
        <v>0</v>
      </c>
      <c r="Q35" s="33">
        <f>+'Anexo 18'!Q35*'Anexo 8'!$D$10</f>
        <v>0</v>
      </c>
      <c r="R35" s="33">
        <f>+'Anexo 18'!R35*'Anexo 8'!$D$10</f>
        <v>0</v>
      </c>
      <c r="S35" s="33">
        <f>+'Anexo 18'!S35*'Anexo 8'!$D$10</f>
        <v>0</v>
      </c>
      <c r="T35" s="33">
        <f>+'Anexo 18'!T35*'Anexo 8'!$D$10</f>
        <v>0</v>
      </c>
      <c r="U35" s="33">
        <f>+'Anexo 18'!U35*'Anexo 8'!$D$10</f>
        <v>0</v>
      </c>
      <c r="V35" s="33">
        <f>+'Anexo 18'!V35*'Anexo 8'!$D$10</f>
        <v>0</v>
      </c>
      <c r="W35" s="33">
        <f>+'Anexo 18'!W35*'Anexo 8'!$D$10</f>
        <v>0</v>
      </c>
      <c r="X35" s="33">
        <f>+'Anexo 18'!X35*'Anexo 8'!$D$10</f>
        <v>0</v>
      </c>
      <c r="Y35" s="33">
        <f>+'Anexo 18'!Y35*'Anexo 8'!$D$10</f>
        <v>0</v>
      </c>
      <c r="Z35" s="33">
        <f>+'Anexo 18'!Z35*'Anexo 8'!$D$10</f>
        <v>0</v>
      </c>
      <c r="AA35" s="41">
        <f t="shared" si="0"/>
        <v>0</v>
      </c>
      <c r="AB35" s="23">
        <v>6</v>
      </c>
      <c r="AC35" s="96"/>
      <c r="AD35" s="48"/>
    </row>
    <row r="36" spans="1:30" ht="15.75" thickBot="1" x14ac:dyDescent="0.3">
      <c r="A36" s="93">
        <v>48884</v>
      </c>
      <c r="B36" s="18" t="s">
        <v>5</v>
      </c>
      <c r="C36" s="33">
        <f>+'Anexo 18'!C36*'Anexo 8'!$D$10</f>
        <v>0</v>
      </c>
      <c r="D36" s="33">
        <f>+'Anexo 18'!D36*'Anexo 8'!$D$10</f>
        <v>0</v>
      </c>
      <c r="E36" s="33">
        <f>+'Anexo 18'!E36*'Anexo 8'!$D$10</f>
        <v>0</v>
      </c>
      <c r="F36" s="33">
        <f>+'Anexo 18'!F36*'Anexo 8'!$D$10</f>
        <v>0</v>
      </c>
      <c r="G36" s="33">
        <f>+'Anexo 18'!G36*'Anexo 8'!$D$10</f>
        <v>0</v>
      </c>
      <c r="H36" s="33">
        <f>+'Anexo 18'!H36*'Anexo 8'!$D$10</f>
        <v>0</v>
      </c>
      <c r="I36" s="33">
        <f>+'Anexo 18'!I36*'Anexo 8'!$D$10</f>
        <v>0</v>
      </c>
      <c r="J36" s="33">
        <f>+'Anexo 18'!J36*'Anexo 8'!$D$10</f>
        <v>0</v>
      </c>
      <c r="K36" s="33">
        <f>+'Anexo 18'!K36*'Anexo 8'!$D$10</f>
        <v>0</v>
      </c>
      <c r="L36" s="33">
        <f>+'Anexo 18'!L36*'Anexo 8'!$D$10</f>
        <v>0</v>
      </c>
      <c r="M36" s="33">
        <f>+'Anexo 18'!M36*'Anexo 8'!$D$10</f>
        <v>0</v>
      </c>
      <c r="N36" s="33">
        <f>+'Anexo 18'!N36*'Anexo 8'!$D$10</f>
        <v>0</v>
      </c>
      <c r="O36" s="33">
        <f>+'Anexo 18'!O36*'Anexo 8'!$D$10</f>
        <v>0</v>
      </c>
      <c r="P36" s="33">
        <f>+'Anexo 18'!P36*'Anexo 8'!$D$10</f>
        <v>0</v>
      </c>
      <c r="Q36" s="33">
        <f>+'Anexo 18'!Q36*'Anexo 8'!$D$10</f>
        <v>0</v>
      </c>
      <c r="R36" s="33">
        <f>+'Anexo 18'!R36*'Anexo 8'!$D$10</f>
        <v>0</v>
      </c>
      <c r="S36" s="33">
        <f>+'Anexo 18'!S36*'Anexo 8'!$D$10</f>
        <v>0</v>
      </c>
      <c r="T36" s="33">
        <f>+'Anexo 18'!T36*'Anexo 8'!$D$10</f>
        <v>0</v>
      </c>
      <c r="U36" s="33">
        <f>+'Anexo 18'!U36*'Anexo 8'!$D$10</f>
        <v>0</v>
      </c>
      <c r="V36" s="33">
        <f>+'Anexo 18'!V36*'Anexo 8'!$D$10</f>
        <v>0</v>
      </c>
      <c r="W36" s="33">
        <f>+'Anexo 18'!W36*'Anexo 8'!$D$10</f>
        <v>0</v>
      </c>
      <c r="X36" s="33">
        <f>+'Anexo 18'!X36*'Anexo 8'!$D$10</f>
        <v>0</v>
      </c>
      <c r="Y36" s="33">
        <f>+'Anexo 18'!Y36*'Anexo 8'!$D$10</f>
        <v>0</v>
      </c>
      <c r="Z36" s="33">
        <f>+'Anexo 18'!Z36*'Anexo 8'!$D$10</f>
        <v>0</v>
      </c>
      <c r="AA36" s="35">
        <f t="shared" si="0"/>
        <v>0</v>
      </c>
      <c r="AB36" s="19">
        <v>20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+'Anexo 18'!C37*'Anexo 8'!$D$10</f>
        <v>0</v>
      </c>
      <c r="D37" s="33">
        <f>+'Anexo 18'!D37*'Anexo 8'!$D$10</f>
        <v>0</v>
      </c>
      <c r="E37" s="33">
        <f>+'Anexo 18'!E37*'Anexo 8'!$D$10</f>
        <v>0</v>
      </c>
      <c r="F37" s="33">
        <f>+'Anexo 18'!F37*'Anexo 8'!$D$10</f>
        <v>0</v>
      </c>
      <c r="G37" s="33">
        <f>+'Anexo 18'!G37*'Anexo 8'!$D$10</f>
        <v>0</v>
      </c>
      <c r="H37" s="33">
        <f>+'Anexo 18'!H37*'Anexo 8'!$D$10</f>
        <v>0</v>
      </c>
      <c r="I37" s="33">
        <f>+'Anexo 18'!I37*'Anexo 8'!$D$10</f>
        <v>0</v>
      </c>
      <c r="J37" s="33">
        <f>+'Anexo 18'!J37*'Anexo 8'!$D$10</f>
        <v>0</v>
      </c>
      <c r="K37" s="33">
        <f>+'Anexo 18'!K37*'Anexo 8'!$D$10</f>
        <v>0</v>
      </c>
      <c r="L37" s="33">
        <f>+'Anexo 18'!L37*'Anexo 8'!$D$10</f>
        <v>0</v>
      </c>
      <c r="M37" s="33">
        <f>+'Anexo 18'!M37*'Anexo 8'!$D$10</f>
        <v>0</v>
      </c>
      <c r="N37" s="33">
        <f>+'Anexo 18'!N37*'Anexo 8'!$D$10</f>
        <v>0</v>
      </c>
      <c r="O37" s="33">
        <f>+'Anexo 18'!O37*'Anexo 8'!$D$10</f>
        <v>0</v>
      </c>
      <c r="P37" s="33">
        <f>+'Anexo 18'!P37*'Anexo 8'!$D$10</f>
        <v>0</v>
      </c>
      <c r="Q37" s="33">
        <f>+'Anexo 18'!Q37*'Anexo 8'!$D$10</f>
        <v>0</v>
      </c>
      <c r="R37" s="33">
        <f>+'Anexo 18'!R37*'Anexo 8'!$D$10</f>
        <v>0</v>
      </c>
      <c r="S37" s="33">
        <f>+'Anexo 18'!S37*'Anexo 8'!$D$10</f>
        <v>0</v>
      </c>
      <c r="T37" s="33">
        <f>+'Anexo 18'!T37*'Anexo 8'!$D$10</f>
        <v>0</v>
      </c>
      <c r="U37" s="33">
        <f>+'Anexo 18'!U37*'Anexo 8'!$D$10</f>
        <v>0</v>
      </c>
      <c r="V37" s="33">
        <f>+'Anexo 18'!V37*'Anexo 8'!$D$10</f>
        <v>0</v>
      </c>
      <c r="W37" s="33">
        <f>+'Anexo 18'!W37*'Anexo 8'!$D$10</f>
        <v>0</v>
      </c>
      <c r="X37" s="33">
        <f>+'Anexo 18'!X37*'Anexo 8'!$D$10</f>
        <v>0</v>
      </c>
      <c r="Y37" s="33">
        <f>+'Anexo 18'!Y37*'Anexo 8'!$D$10</f>
        <v>0</v>
      </c>
      <c r="Z37" s="33">
        <f>+'Anexo 18'!Z37*'Anexo 8'!$D$10</f>
        <v>0</v>
      </c>
      <c r="AA37" s="38">
        <f t="shared" si="0"/>
        <v>0</v>
      </c>
      <c r="AB37" s="21">
        <v>4</v>
      </c>
      <c r="AC37" s="95"/>
      <c r="AD37" s="47"/>
    </row>
    <row r="38" spans="1:30" ht="15.75" thickBot="1" x14ac:dyDescent="0.3">
      <c r="A38" s="93"/>
      <c r="B38" s="22" t="s">
        <v>3</v>
      </c>
      <c r="C38" s="33">
        <f>+'Anexo 18'!C38*'Anexo 8'!$D$10</f>
        <v>0</v>
      </c>
      <c r="D38" s="33">
        <f>+'Anexo 18'!D38*'Anexo 8'!$D$10</f>
        <v>0</v>
      </c>
      <c r="E38" s="33">
        <f>+'Anexo 18'!E38*'Anexo 8'!$D$10</f>
        <v>0</v>
      </c>
      <c r="F38" s="33">
        <f>+'Anexo 18'!F38*'Anexo 8'!$D$10</f>
        <v>0</v>
      </c>
      <c r="G38" s="33">
        <f>+'Anexo 18'!G38*'Anexo 8'!$D$10</f>
        <v>0</v>
      </c>
      <c r="H38" s="33">
        <f>+'Anexo 18'!H38*'Anexo 8'!$D$10</f>
        <v>0</v>
      </c>
      <c r="I38" s="33">
        <f>+'Anexo 18'!I38*'Anexo 8'!$D$10</f>
        <v>0</v>
      </c>
      <c r="J38" s="33">
        <f>+'Anexo 18'!J38*'Anexo 8'!$D$10</f>
        <v>0</v>
      </c>
      <c r="K38" s="33">
        <f>+'Anexo 18'!K38*'Anexo 8'!$D$10</f>
        <v>0</v>
      </c>
      <c r="L38" s="33">
        <f>+'Anexo 18'!L38*'Anexo 8'!$D$10</f>
        <v>0</v>
      </c>
      <c r="M38" s="33">
        <f>+'Anexo 18'!M38*'Anexo 8'!$D$10</f>
        <v>0</v>
      </c>
      <c r="N38" s="33">
        <f>+'Anexo 18'!N38*'Anexo 8'!$D$10</f>
        <v>0</v>
      </c>
      <c r="O38" s="33">
        <f>+'Anexo 18'!O38*'Anexo 8'!$D$10</f>
        <v>0</v>
      </c>
      <c r="P38" s="33">
        <f>+'Anexo 18'!P38*'Anexo 8'!$D$10</f>
        <v>0</v>
      </c>
      <c r="Q38" s="33">
        <f>+'Anexo 18'!Q38*'Anexo 8'!$D$10</f>
        <v>0</v>
      </c>
      <c r="R38" s="33">
        <f>+'Anexo 18'!R38*'Anexo 8'!$D$10</f>
        <v>0</v>
      </c>
      <c r="S38" s="33">
        <f>+'Anexo 18'!S38*'Anexo 8'!$D$10</f>
        <v>0</v>
      </c>
      <c r="T38" s="33">
        <f>+'Anexo 18'!T38*'Anexo 8'!$D$10</f>
        <v>0</v>
      </c>
      <c r="U38" s="33">
        <f>+'Anexo 18'!U38*'Anexo 8'!$D$10</f>
        <v>0</v>
      </c>
      <c r="V38" s="33">
        <f>+'Anexo 18'!V38*'Anexo 8'!$D$10</f>
        <v>0</v>
      </c>
      <c r="W38" s="33">
        <f>+'Anexo 18'!W38*'Anexo 8'!$D$10</f>
        <v>0</v>
      </c>
      <c r="X38" s="33">
        <f>+'Anexo 18'!X38*'Anexo 8'!$D$10</f>
        <v>0</v>
      </c>
      <c r="Y38" s="33">
        <f>+'Anexo 18'!Y38*'Anexo 8'!$D$10</f>
        <v>0</v>
      </c>
      <c r="Z38" s="33">
        <f>+'Anexo 18'!Z38*'Anexo 8'!$D$10</f>
        <v>0</v>
      </c>
      <c r="AA38" s="41">
        <f t="shared" si="0"/>
        <v>0</v>
      </c>
      <c r="AB38" s="23">
        <v>6</v>
      </c>
      <c r="AC38" s="96"/>
      <c r="AD38" s="49"/>
    </row>
    <row r="39" spans="1:30" ht="15.75" thickBot="1" x14ac:dyDescent="0.3">
      <c r="A39" s="93">
        <v>48914</v>
      </c>
      <c r="B39" s="18" t="s">
        <v>5</v>
      </c>
      <c r="C39" s="33">
        <f>+'Anexo 18'!C39*'Anexo 8'!$D$10</f>
        <v>0</v>
      </c>
      <c r="D39" s="33">
        <f>+'Anexo 18'!D39*'Anexo 8'!$D$10</f>
        <v>0</v>
      </c>
      <c r="E39" s="33">
        <f>+'Anexo 18'!E39*'Anexo 8'!$D$10</f>
        <v>0</v>
      </c>
      <c r="F39" s="33">
        <f>+'Anexo 18'!F39*'Anexo 8'!$D$10</f>
        <v>0</v>
      </c>
      <c r="G39" s="33">
        <f>+'Anexo 18'!G39*'Anexo 8'!$D$10</f>
        <v>0</v>
      </c>
      <c r="H39" s="33">
        <f>+'Anexo 18'!H39*'Anexo 8'!$D$10</f>
        <v>0</v>
      </c>
      <c r="I39" s="33">
        <f>+'Anexo 18'!I39*'Anexo 8'!$D$10</f>
        <v>0</v>
      </c>
      <c r="J39" s="33">
        <f>+'Anexo 18'!J39*'Anexo 8'!$D$10</f>
        <v>0</v>
      </c>
      <c r="K39" s="33">
        <f>+'Anexo 18'!K39*'Anexo 8'!$D$10</f>
        <v>0</v>
      </c>
      <c r="L39" s="33">
        <f>+'Anexo 18'!L39*'Anexo 8'!$D$10</f>
        <v>0</v>
      </c>
      <c r="M39" s="33">
        <f>+'Anexo 18'!M39*'Anexo 8'!$D$10</f>
        <v>0</v>
      </c>
      <c r="N39" s="33">
        <f>+'Anexo 18'!N39*'Anexo 8'!$D$10</f>
        <v>0</v>
      </c>
      <c r="O39" s="33">
        <f>+'Anexo 18'!O39*'Anexo 8'!$D$10</f>
        <v>0</v>
      </c>
      <c r="P39" s="33">
        <f>+'Anexo 18'!P39*'Anexo 8'!$D$10</f>
        <v>0</v>
      </c>
      <c r="Q39" s="33">
        <f>+'Anexo 18'!Q39*'Anexo 8'!$D$10</f>
        <v>0</v>
      </c>
      <c r="R39" s="33">
        <f>+'Anexo 18'!R39*'Anexo 8'!$D$10</f>
        <v>0</v>
      </c>
      <c r="S39" s="33">
        <f>+'Anexo 18'!S39*'Anexo 8'!$D$10</f>
        <v>0</v>
      </c>
      <c r="T39" s="33">
        <f>+'Anexo 18'!T39*'Anexo 8'!$D$10</f>
        <v>0</v>
      </c>
      <c r="U39" s="33">
        <f>+'Anexo 18'!U39*'Anexo 8'!$D$10</f>
        <v>0</v>
      </c>
      <c r="V39" s="33">
        <f>+'Anexo 18'!V39*'Anexo 8'!$D$10</f>
        <v>0</v>
      </c>
      <c r="W39" s="33">
        <f>+'Anexo 18'!W39*'Anexo 8'!$D$10</f>
        <v>0</v>
      </c>
      <c r="X39" s="33">
        <f>+'Anexo 18'!X39*'Anexo 8'!$D$10</f>
        <v>0</v>
      </c>
      <c r="Y39" s="33">
        <f>+'Anexo 18'!Y39*'Anexo 8'!$D$10</f>
        <v>0</v>
      </c>
      <c r="Z39" s="33">
        <f>+'Anexo 18'!Z39*'Anexo 8'!$D$10</f>
        <v>0</v>
      </c>
      <c r="AA39" s="35">
        <f t="shared" si="0"/>
        <v>0</v>
      </c>
      <c r="AB39" s="19">
        <v>21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+'Anexo 18'!C40*'Anexo 8'!$D$10</f>
        <v>0</v>
      </c>
      <c r="D40" s="33">
        <f>+'Anexo 18'!D40*'Anexo 8'!$D$10</f>
        <v>0</v>
      </c>
      <c r="E40" s="33">
        <f>+'Anexo 18'!E40*'Anexo 8'!$D$10</f>
        <v>0</v>
      </c>
      <c r="F40" s="33">
        <f>+'Anexo 18'!F40*'Anexo 8'!$D$10</f>
        <v>0</v>
      </c>
      <c r="G40" s="33">
        <f>+'Anexo 18'!G40*'Anexo 8'!$D$10</f>
        <v>0</v>
      </c>
      <c r="H40" s="33">
        <f>+'Anexo 18'!H40*'Anexo 8'!$D$10</f>
        <v>0</v>
      </c>
      <c r="I40" s="33">
        <f>+'Anexo 18'!I40*'Anexo 8'!$D$10</f>
        <v>0</v>
      </c>
      <c r="J40" s="33">
        <f>+'Anexo 18'!J40*'Anexo 8'!$D$10</f>
        <v>0</v>
      </c>
      <c r="K40" s="33">
        <f>+'Anexo 18'!K40*'Anexo 8'!$D$10</f>
        <v>0</v>
      </c>
      <c r="L40" s="33">
        <f>+'Anexo 18'!L40*'Anexo 8'!$D$10</f>
        <v>0</v>
      </c>
      <c r="M40" s="33">
        <f>+'Anexo 18'!M40*'Anexo 8'!$D$10</f>
        <v>0</v>
      </c>
      <c r="N40" s="33">
        <f>+'Anexo 18'!N40*'Anexo 8'!$D$10</f>
        <v>0</v>
      </c>
      <c r="O40" s="33">
        <f>+'Anexo 18'!O40*'Anexo 8'!$D$10</f>
        <v>0</v>
      </c>
      <c r="P40" s="33">
        <f>+'Anexo 18'!P40*'Anexo 8'!$D$10</f>
        <v>0</v>
      </c>
      <c r="Q40" s="33">
        <f>+'Anexo 18'!Q40*'Anexo 8'!$D$10</f>
        <v>0</v>
      </c>
      <c r="R40" s="33">
        <f>+'Anexo 18'!R40*'Anexo 8'!$D$10</f>
        <v>0</v>
      </c>
      <c r="S40" s="33">
        <f>+'Anexo 18'!S40*'Anexo 8'!$D$10</f>
        <v>0</v>
      </c>
      <c r="T40" s="33">
        <f>+'Anexo 18'!T40*'Anexo 8'!$D$10</f>
        <v>0</v>
      </c>
      <c r="U40" s="33">
        <f>+'Anexo 18'!U40*'Anexo 8'!$D$10</f>
        <v>0</v>
      </c>
      <c r="V40" s="33">
        <f>+'Anexo 18'!V40*'Anexo 8'!$D$10</f>
        <v>0</v>
      </c>
      <c r="W40" s="33">
        <f>+'Anexo 18'!W40*'Anexo 8'!$D$10</f>
        <v>0</v>
      </c>
      <c r="X40" s="33">
        <f>+'Anexo 18'!X40*'Anexo 8'!$D$10</f>
        <v>0</v>
      </c>
      <c r="Y40" s="33">
        <f>+'Anexo 18'!Y40*'Anexo 8'!$D$10</f>
        <v>0</v>
      </c>
      <c r="Z40" s="33">
        <f>+'Anexo 18'!Z40*'Anexo 8'!$D$10</f>
        <v>0</v>
      </c>
      <c r="AA40" s="38">
        <f t="shared" si="0"/>
        <v>0</v>
      </c>
      <c r="AB40" s="21">
        <v>5</v>
      </c>
      <c r="AC40" s="95"/>
      <c r="AD40" s="47"/>
    </row>
    <row r="41" spans="1:30" ht="15.75" thickBot="1" x14ac:dyDescent="0.3">
      <c r="A41" s="93"/>
      <c r="B41" s="22" t="s">
        <v>3</v>
      </c>
      <c r="C41" s="33">
        <f>+'Anexo 18'!C41*'Anexo 8'!$D$10</f>
        <v>0</v>
      </c>
      <c r="D41" s="33">
        <f>+'Anexo 18'!D41*'Anexo 8'!$D$10</f>
        <v>0</v>
      </c>
      <c r="E41" s="33">
        <f>+'Anexo 18'!E41*'Anexo 8'!$D$10</f>
        <v>0</v>
      </c>
      <c r="F41" s="33">
        <f>+'Anexo 18'!F41*'Anexo 8'!$D$10</f>
        <v>0</v>
      </c>
      <c r="G41" s="33">
        <f>+'Anexo 18'!G41*'Anexo 8'!$D$10</f>
        <v>0</v>
      </c>
      <c r="H41" s="33">
        <f>+'Anexo 18'!H41*'Anexo 8'!$D$10</f>
        <v>0</v>
      </c>
      <c r="I41" s="33">
        <f>+'Anexo 18'!I41*'Anexo 8'!$D$10</f>
        <v>0</v>
      </c>
      <c r="J41" s="33">
        <f>+'Anexo 18'!J41*'Anexo 8'!$D$10</f>
        <v>0</v>
      </c>
      <c r="K41" s="33">
        <f>+'Anexo 18'!K41*'Anexo 8'!$D$10</f>
        <v>0</v>
      </c>
      <c r="L41" s="33">
        <f>+'Anexo 18'!L41*'Anexo 8'!$D$10</f>
        <v>0</v>
      </c>
      <c r="M41" s="33">
        <f>+'Anexo 18'!M41*'Anexo 8'!$D$10</f>
        <v>0</v>
      </c>
      <c r="N41" s="33">
        <f>+'Anexo 18'!N41*'Anexo 8'!$D$10</f>
        <v>0</v>
      </c>
      <c r="O41" s="33">
        <f>+'Anexo 18'!O41*'Anexo 8'!$D$10</f>
        <v>0</v>
      </c>
      <c r="P41" s="33">
        <f>+'Anexo 18'!P41*'Anexo 8'!$D$10</f>
        <v>0</v>
      </c>
      <c r="Q41" s="33">
        <f>+'Anexo 18'!Q41*'Anexo 8'!$D$10</f>
        <v>0</v>
      </c>
      <c r="R41" s="33">
        <f>+'Anexo 18'!R41*'Anexo 8'!$D$10</f>
        <v>0</v>
      </c>
      <c r="S41" s="33">
        <f>+'Anexo 18'!S41*'Anexo 8'!$D$10</f>
        <v>0</v>
      </c>
      <c r="T41" s="33">
        <f>+'Anexo 18'!T41*'Anexo 8'!$D$10</f>
        <v>0</v>
      </c>
      <c r="U41" s="33">
        <f>+'Anexo 18'!U41*'Anexo 8'!$D$10</f>
        <v>0</v>
      </c>
      <c r="V41" s="33">
        <f>+'Anexo 18'!V41*'Anexo 8'!$D$10</f>
        <v>0</v>
      </c>
      <c r="W41" s="33">
        <f>+'Anexo 18'!W41*'Anexo 8'!$D$10</f>
        <v>0</v>
      </c>
      <c r="X41" s="33">
        <f>+'Anexo 18'!X41*'Anexo 8'!$D$10</f>
        <v>0</v>
      </c>
      <c r="Y41" s="33">
        <f>+'Anexo 18'!Y41*'Anexo 8'!$D$10</f>
        <v>0</v>
      </c>
      <c r="Z41" s="33">
        <f>+'Anexo 18'!Z41*'Anexo 8'!$D$10</f>
        <v>0</v>
      </c>
      <c r="AA41" s="41">
        <f t="shared" si="0"/>
        <v>0</v>
      </c>
      <c r="AB41" s="23">
        <v>5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9D99-C6D0-41E6-BFD4-B5FBC053E452}">
  <sheetPr>
    <tabColor rgb="FFFF0000"/>
  </sheetPr>
  <dimension ref="A1:XFC36"/>
  <sheetViews>
    <sheetView showGridLines="0" topLeftCell="A19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6" t="s">
        <v>96</v>
      </c>
      <c r="C3" s="76"/>
      <c r="D3" s="76"/>
      <c r="E3" s="76"/>
      <c r="F3" s="76"/>
      <c r="G3" s="29"/>
    </row>
    <row r="4" spans="1:8" x14ac:dyDescent="0.25">
      <c r="B4" s="76" t="s">
        <v>97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1:8" ht="23.25" customHeight="1" x14ac:dyDescent="0.25"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48945</v>
      </c>
      <c r="C10" s="43">
        <f>+'Anexo 19'!AC6</f>
        <v>3171788</v>
      </c>
      <c r="D10" s="73"/>
      <c r="E10" s="57">
        <f>+'Cantidades Ofertadas Prod 9'!AC6</f>
        <v>0</v>
      </c>
      <c r="F10" s="99"/>
      <c r="G10" s="32"/>
      <c r="H10" s="66"/>
    </row>
    <row r="11" spans="1:8" ht="15.75" thickBot="1" x14ac:dyDescent="0.3">
      <c r="A11" s="59">
        <v>29</v>
      </c>
      <c r="B11" s="8">
        <v>48976</v>
      </c>
      <c r="C11" s="43">
        <f>+'Anexo 19'!AC9</f>
        <v>2797376</v>
      </c>
      <c r="D11" s="74"/>
      <c r="E11" s="57">
        <f>+'Cantidades Ofertadas Prod 9'!AC9</f>
        <v>0</v>
      </c>
      <c r="F11" s="100"/>
      <c r="G11" s="32"/>
      <c r="H11" s="66"/>
    </row>
    <row r="12" spans="1:8" ht="15.75" thickBot="1" x14ac:dyDescent="0.3">
      <c r="A12" s="59">
        <v>31</v>
      </c>
      <c r="B12" s="8">
        <v>49004</v>
      </c>
      <c r="C12" s="43">
        <f>+'Anexo 19'!AC12</f>
        <v>3199723</v>
      </c>
      <c r="D12" s="74"/>
      <c r="E12" s="57">
        <f>+'Cantidades Ofertadas Prod 9'!AC12</f>
        <v>0</v>
      </c>
      <c r="F12" s="100"/>
      <c r="G12" s="32"/>
      <c r="H12" s="66"/>
    </row>
    <row r="13" spans="1:8" ht="15.75" thickBot="1" x14ac:dyDescent="0.3">
      <c r="A13" s="59">
        <v>30</v>
      </c>
      <c r="B13" s="8">
        <v>49035</v>
      </c>
      <c r="C13" s="43">
        <f>+'Anexo 19'!AC15</f>
        <v>2882585</v>
      </c>
      <c r="D13" s="74"/>
      <c r="E13" s="57">
        <f>+'Cantidades Ofertadas Prod 9'!AC15</f>
        <v>0</v>
      </c>
      <c r="F13" s="100"/>
      <c r="G13" s="32"/>
      <c r="H13" s="66"/>
    </row>
    <row r="14" spans="1:8" ht="15.75" thickBot="1" x14ac:dyDescent="0.3">
      <c r="A14" s="59">
        <v>31</v>
      </c>
      <c r="B14" s="8">
        <v>49065</v>
      </c>
      <c r="C14" s="43">
        <f>+'Anexo 19'!AC18</f>
        <v>3062856</v>
      </c>
      <c r="D14" s="74"/>
      <c r="E14" s="57">
        <f>+'Cantidades Ofertadas Prod 9'!AC18</f>
        <v>0</v>
      </c>
      <c r="F14" s="100"/>
      <c r="G14" s="32"/>
      <c r="H14" s="66"/>
    </row>
    <row r="15" spans="1:8" ht="15.75" thickBot="1" x14ac:dyDescent="0.3">
      <c r="A15" s="59">
        <v>30</v>
      </c>
      <c r="B15" s="8">
        <v>49096</v>
      </c>
      <c r="C15" s="43">
        <f>+'Anexo 19'!AC21</f>
        <v>3010964</v>
      </c>
      <c r="D15" s="74"/>
      <c r="E15" s="57">
        <f>+'Cantidades Ofertadas Prod 9'!AC21</f>
        <v>0</v>
      </c>
      <c r="F15" s="100"/>
      <c r="G15" s="32"/>
      <c r="H15" s="66"/>
    </row>
    <row r="16" spans="1:8" ht="15.75" thickBot="1" x14ac:dyDescent="0.3">
      <c r="A16" s="59">
        <v>31</v>
      </c>
      <c r="B16" s="8">
        <v>49126</v>
      </c>
      <c r="C16" s="43">
        <f>+'Anexo 19'!AC24</f>
        <v>3127363</v>
      </c>
      <c r="D16" s="74"/>
      <c r="E16" s="57">
        <f>+'Cantidades Ofertadas Prod 9'!AC24</f>
        <v>0</v>
      </c>
      <c r="F16" s="100"/>
      <c r="G16" s="32"/>
      <c r="H16" s="66"/>
    </row>
    <row r="17" spans="1:8" ht="15.75" thickBot="1" x14ac:dyDescent="0.3">
      <c r="A17" s="59">
        <v>31</v>
      </c>
      <c r="B17" s="8">
        <v>49157</v>
      </c>
      <c r="C17" s="43">
        <f>+'Anexo 19'!AC27</f>
        <v>3257603</v>
      </c>
      <c r="D17" s="74"/>
      <c r="E17" s="57">
        <f>+'Cantidades Ofertadas Prod 9'!AC27</f>
        <v>0</v>
      </c>
      <c r="F17" s="100"/>
      <c r="G17" s="32"/>
      <c r="H17" s="66"/>
    </row>
    <row r="18" spans="1:8" ht="15.75" thickBot="1" x14ac:dyDescent="0.3">
      <c r="A18" s="59">
        <v>30</v>
      </c>
      <c r="B18" s="8">
        <v>49188</v>
      </c>
      <c r="C18" s="43">
        <f>+'Anexo 19'!AC30</f>
        <v>3216377</v>
      </c>
      <c r="D18" s="74"/>
      <c r="E18" s="57">
        <f>+'Cantidades Ofertadas Prod 9'!AC30</f>
        <v>0</v>
      </c>
      <c r="F18" s="100"/>
      <c r="G18" s="32"/>
      <c r="H18" s="66"/>
    </row>
    <row r="19" spans="1:8" ht="15.75" thickBot="1" x14ac:dyDescent="0.3">
      <c r="A19" s="59">
        <v>31</v>
      </c>
      <c r="B19" s="8">
        <v>49218</v>
      </c>
      <c r="C19" s="43">
        <f>+'Anexo 19'!AC33</f>
        <v>3106194</v>
      </c>
      <c r="D19" s="74"/>
      <c r="E19" s="57">
        <f>+'Cantidades Ofertadas Prod 9'!AC33</f>
        <v>0</v>
      </c>
      <c r="F19" s="100"/>
      <c r="G19" s="32"/>
      <c r="H19" s="66"/>
    </row>
    <row r="20" spans="1:8" ht="15.75" thickBot="1" x14ac:dyDescent="0.3">
      <c r="A20" s="59">
        <v>30</v>
      </c>
      <c r="B20" s="8">
        <v>49249</v>
      </c>
      <c r="C20" s="43">
        <f>+'Anexo 19'!AC36</f>
        <v>2952304</v>
      </c>
      <c r="D20" s="74"/>
      <c r="E20" s="57">
        <f>+'Cantidades Ofertadas Prod 9'!AC36</f>
        <v>0</v>
      </c>
      <c r="F20" s="100"/>
      <c r="G20" s="32"/>
      <c r="H20" s="66"/>
    </row>
    <row r="21" spans="1:8" ht="15.75" thickBot="1" x14ac:dyDescent="0.3">
      <c r="A21" s="59">
        <v>31</v>
      </c>
      <c r="B21" s="8">
        <v>49279</v>
      </c>
      <c r="C21" s="43">
        <f>+'Anexo 19'!AC39</f>
        <v>3177162</v>
      </c>
      <c r="D21" s="75"/>
      <c r="E21" s="57">
        <f>+'Cantidades Ofertadas Prod 9'!AC39</f>
        <v>0</v>
      </c>
      <c r="F21" s="101"/>
      <c r="G21" s="32"/>
      <c r="H21" s="66"/>
    </row>
    <row r="22" spans="1:8" ht="28.5" customHeight="1" x14ac:dyDescent="0.25">
      <c r="B22" s="9" t="s">
        <v>0</v>
      </c>
      <c r="C22" s="10">
        <f>+SUM(C10:C21)</f>
        <v>36962295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69" t="s">
        <v>46</v>
      </c>
      <c r="C25" s="69"/>
      <c r="D25" s="69"/>
      <c r="E25" s="69"/>
      <c r="F25" s="69"/>
      <c r="G25" s="69"/>
      <c r="H25" s="42"/>
    </row>
    <row r="26" spans="1:8" x14ac:dyDescent="0.25">
      <c r="B26" s="7" t="s">
        <v>108</v>
      </c>
      <c r="C26" s="52"/>
      <c r="D26" s="52"/>
      <c r="E26" s="52"/>
      <c r="F26" s="52"/>
      <c r="G26" s="52"/>
      <c r="H26" s="42"/>
    </row>
    <row r="27" spans="1:8" x14ac:dyDescent="0.25">
      <c r="B27" s="7" t="s">
        <v>109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122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1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2620857E-C02F-4839-9BF1-F72D4555919B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073C-FA79-4C0F-861A-0A86754EEA1F}">
  <sheetPr>
    <tabColor rgb="FFFF0000"/>
  </sheetPr>
  <dimension ref="A1:H33"/>
  <sheetViews>
    <sheetView showGridLines="0" topLeftCell="A6" zoomScaleNormal="100" zoomScaleSheetLayoutView="140" workbookViewId="0">
      <selection activeCell="B8" sqref="B8:F22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hidden="1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6" t="s">
        <v>125</v>
      </c>
      <c r="C3" s="76"/>
      <c r="D3" s="76"/>
      <c r="E3" s="76"/>
      <c r="F3" s="76"/>
      <c r="G3" s="29"/>
    </row>
    <row r="4" spans="1:8" ht="15" x14ac:dyDescent="0.25">
      <c r="B4" s="76" t="s">
        <v>97</v>
      </c>
      <c r="C4" s="76"/>
      <c r="D4" s="76"/>
      <c r="E4" s="76"/>
      <c r="F4" s="76"/>
      <c r="G4" s="29"/>
    </row>
    <row r="5" spans="1:8" ht="15" x14ac:dyDescent="0.25">
      <c r="B5" s="76" t="s">
        <v>90</v>
      </c>
      <c r="C5" s="76"/>
      <c r="D5" s="76"/>
      <c r="E5" s="76"/>
      <c r="F5" s="76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77" t="s">
        <v>1</v>
      </c>
      <c r="C8" s="77" t="s">
        <v>56</v>
      </c>
      <c r="D8" s="77" t="s">
        <v>66</v>
      </c>
      <c r="E8" s="77" t="s">
        <v>37</v>
      </c>
      <c r="F8" s="77" t="s">
        <v>42</v>
      </c>
      <c r="G8" s="28"/>
    </row>
    <row r="9" spans="1:8" ht="23.25" customHeight="1" x14ac:dyDescent="0.25">
      <c r="A9" s="63">
        <v>500</v>
      </c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48945</v>
      </c>
      <c r="C10" s="43">
        <f>+$A$9*A10*24</f>
        <v>372000</v>
      </c>
      <c r="D10" s="79"/>
      <c r="E10" s="57">
        <f>+$D$10*A10*24</f>
        <v>0</v>
      </c>
      <c r="F10" s="70"/>
      <c r="G10" s="32"/>
      <c r="H10" s="51"/>
    </row>
    <row r="11" spans="1:8" ht="15.75" thickBot="1" x14ac:dyDescent="0.3">
      <c r="A11" s="59">
        <v>28</v>
      </c>
      <c r="B11" s="8">
        <v>48976</v>
      </c>
      <c r="C11" s="43">
        <f t="shared" ref="C11:C21" si="0">+$A$9*A11*24</f>
        <v>336000</v>
      </c>
      <c r="D11" s="80"/>
      <c r="E11" s="57">
        <f t="shared" ref="E11:E21" si="1">+$D$10*A11*24</f>
        <v>0</v>
      </c>
      <c r="F11" s="71"/>
      <c r="G11" s="32"/>
      <c r="H11" s="51"/>
    </row>
    <row r="12" spans="1:8" ht="15.75" thickBot="1" x14ac:dyDescent="0.3">
      <c r="A12" s="59">
        <v>31</v>
      </c>
      <c r="B12" s="8">
        <v>49004</v>
      </c>
      <c r="C12" s="43">
        <f t="shared" si="0"/>
        <v>372000</v>
      </c>
      <c r="D12" s="80"/>
      <c r="E12" s="57">
        <f t="shared" si="1"/>
        <v>0</v>
      </c>
      <c r="F12" s="71"/>
      <c r="G12" s="32"/>
      <c r="H12" s="51"/>
    </row>
    <row r="13" spans="1:8" ht="15.75" thickBot="1" x14ac:dyDescent="0.3">
      <c r="A13" s="59">
        <v>30</v>
      </c>
      <c r="B13" s="8">
        <v>49035</v>
      </c>
      <c r="C13" s="43">
        <f t="shared" si="0"/>
        <v>360000</v>
      </c>
      <c r="D13" s="80"/>
      <c r="E13" s="57">
        <f t="shared" si="1"/>
        <v>0</v>
      </c>
      <c r="F13" s="71"/>
      <c r="G13" s="32"/>
      <c r="H13" s="51"/>
    </row>
    <row r="14" spans="1:8" ht="15.75" thickBot="1" x14ac:dyDescent="0.3">
      <c r="A14" s="59">
        <v>31</v>
      </c>
      <c r="B14" s="8">
        <v>49065</v>
      </c>
      <c r="C14" s="43">
        <f t="shared" si="0"/>
        <v>372000</v>
      </c>
      <c r="D14" s="80"/>
      <c r="E14" s="57">
        <f t="shared" si="1"/>
        <v>0</v>
      </c>
      <c r="F14" s="71"/>
      <c r="G14" s="32"/>
      <c r="H14" s="51"/>
    </row>
    <row r="15" spans="1:8" ht="15.75" thickBot="1" x14ac:dyDescent="0.3">
      <c r="A15" s="59">
        <v>30</v>
      </c>
      <c r="B15" s="8">
        <v>49096</v>
      </c>
      <c r="C15" s="43">
        <f t="shared" si="0"/>
        <v>360000</v>
      </c>
      <c r="D15" s="80"/>
      <c r="E15" s="57">
        <f t="shared" si="1"/>
        <v>0</v>
      </c>
      <c r="F15" s="71"/>
      <c r="G15" s="32"/>
      <c r="H15" s="51"/>
    </row>
    <row r="16" spans="1:8" ht="15.75" thickBot="1" x14ac:dyDescent="0.3">
      <c r="A16" s="59">
        <v>31</v>
      </c>
      <c r="B16" s="8">
        <v>49126</v>
      </c>
      <c r="C16" s="43">
        <f t="shared" si="0"/>
        <v>372000</v>
      </c>
      <c r="D16" s="80"/>
      <c r="E16" s="57">
        <f t="shared" si="1"/>
        <v>0</v>
      </c>
      <c r="F16" s="71"/>
      <c r="G16" s="32"/>
      <c r="H16" s="51"/>
    </row>
    <row r="17" spans="1:8" ht="15.75" thickBot="1" x14ac:dyDescent="0.3">
      <c r="A17" s="59">
        <v>31</v>
      </c>
      <c r="B17" s="8">
        <v>49157</v>
      </c>
      <c r="C17" s="43">
        <f t="shared" si="0"/>
        <v>372000</v>
      </c>
      <c r="D17" s="80"/>
      <c r="E17" s="57">
        <f t="shared" si="1"/>
        <v>0</v>
      </c>
      <c r="F17" s="71"/>
      <c r="G17" s="32"/>
      <c r="H17" s="51"/>
    </row>
    <row r="18" spans="1:8" ht="15.75" thickBot="1" x14ac:dyDescent="0.3">
      <c r="A18" s="59">
        <v>30</v>
      </c>
      <c r="B18" s="8">
        <v>49188</v>
      </c>
      <c r="C18" s="43">
        <f t="shared" si="0"/>
        <v>360000</v>
      </c>
      <c r="D18" s="80"/>
      <c r="E18" s="57">
        <f t="shared" si="1"/>
        <v>0</v>
      </c>
      <c r="F18" s="71"/>
      <c r="G18" s="32"/>
      <c r="H18" s="51"/>
    </row>
    <row r="19" spans="1:8" ht="15.75" thickBot="1" x14ac:dyDescent="0.3">
      <c r="A19" s="59">
        <v>31</v>
      </c>
      <c r="B19" s="8">
        <v>49218</v>
      </c>
      <c r="C19" s="43">
        <f t="shared" si="0"/>
        <v>372000</v>
      </c>
      <c r="D19" s="80"/>
      <c r="E19" s="57">
        <f t="shared" si="1"/>
        <v>0</v>
      </c>
      <c r="F19" s="71"/>
      <c r="G19" s="32"/>
      <c r="H19" s="51"/>
    </row>
    <row r="20" spans="1:8" ht="15.75" thickBot="1" x14ac:dyDescent="0.3">
      <c r="A20" s="59">
        <v>30</v>
      </c>
      <c r="B20" s="8">
        <v>49249</v>
      </c>
      <c r="C20" s="43">
        <f t="shared" si="0"/>
        <v>360000</v>
      </c>
      <c r="D20" s="80"/>
      <c r="E20" s="57">
        <f t="shared" si="1"/>
        <v>0</v>
      </c>
      <c r="F20" s="71"/>
      <c r="G20" s="32"/>
      <c r="H20" s="51"/>
    </row>
    <row r="21" spans="1:8" ht="15.75" thickBot="1" x14ac:dyDescent="0.3">
      <c r="A21" s="59">
        <v>31</v>
      </c>
      <c r="B21" s="8">
        <v>49279</v>
      </c>
      <c r="C21" s="43">
        <f t="shared" si="0"/>
        <v>372000</v>
      </c>
      <c r="D21" s="81"/>
      <c r="E21" s="57">
        <f t="shared" si="1"/>
        <v>0</v>
      </c>
      <c r="F21" s="72"/>
      <c r="G21" s="32"/>
      <c r="H21" s="51"/>
    </row>
    <row r="22" spans="1:8" ht="28.5" customHeight="1" x14ac:dyDescent="0.25">
      <c r="B22" s="9" t="s">
        <v>0</v>
      </c>
      <c r="C22" s="10">
        <f>+SUM(C10:C21)</f>
        <v>4380000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113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69" t="s">
        <v>68</v>
      </c>
      <c r="C26" s="69"/>
      <c r="D26" s="69"/>
      <c r="E26" s="69"/>
      <c r="F26" s="69"/>
      <c r="G26" s="69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500 kWh" sqref="D10:D21" xr:uid="{D64F6567-59F9-4712-8C13-10BA76C1A612}">
      <formula1>0</formula1>
      <formula2>500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C969-B867-4E69-8FD5-ADE9AA7F63F0}">
  <sheetPr>
    <tabColor rgb="FFFF0000"/>
  </sheetPr>
  <dimension ref="A1:AD45"/>
  <sheetViews>
    <sheetView showGridLines="0" zoomScale="115" zoomScaleNormal="115" zoomScaleSheetLayoutView="110" workbookViewId="0">
      <pane xSplit="2" ySplit="5" topLeftCell="K23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3" width="7.7109375" bestFit="1" customWidth="1"/>
    <col min="4" max="7" width="7.140625" bestFit="1" customWidth="1"/>
    <col min="8" max="8" width="6.85546875" bestFit="1" customWidth="1"/>
    <col min="9" max="11" width="7.140625" bestFit="1" customWidth="1"/>
    <col min="12" max="12" width="7.42578125" bestFit="1" customWidth="1"/>
    <col min="13" max="15" width="7.7109375" bestFit="1" customWidth="1"/>
    <col min="16" max="17" width="7.42578125" bestFit="1" customWidth="1"/>
    <col min="18" max="18" width="7.7109375" bestFit="1" customWidth="1"/>
    <col min="19" max="19" width="7.42578125" bestFit="1" customWidth="1"/>
    <col min="20" max="22" width="8" bestFit="1" customWidth="1"/>
    <col min="23" max="24" width="7.7109375" bestFit="1" customWidth="1"/>
    <col min="25" max="25" width="8" bestFit="1" customWidth="1"/>
    <col min="26" max="26" width="7.4257812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4" t="s">
        <v>92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48945</v>
      </c>
      <c r="B6" s="18" t="s">
        <v>5</v>
      </c>
      <c r="C6" s="33">
        <v>2913</v>
      </c>
      <c r="D6" s="33">
        <v>2572</v>
      </c>
      <c r="E6" s="33">
        <v>2381</v>
      </c>
      <c r="F6" s="33">
        <v>2295</v>
      </c>
      <c r="G6" s="33">
        <v>2347</v>
      </c>
      <c r="H6" s="33">
        <v>2599</v>
      </c>
      <c r="I6" s="33">
        <v>2775</v>
      </c>
      <c r="J6" s="33">
        <v>2489</v>
      </c>
      <c r="K6" s="33">
        <v>3268</v>
      </c>
      <c r="L6" s="33">
        <v>3921</v>
      </c>
      <c r="M6" s="33">
        <v>4523</v>
      </c>
      <c r="N6" s="33">
        <v>5008</v>
      </c>
      <c r="O6" s="33">
        <v>4676</v>
      </c>
      <c r="P6" s="33">
        <v>4664</v>
      </c>
      <c r="Q6" s="33">
        <v>5135</v>
      </c>
      <c r="R6" s="33">
        <v>5254</v>
      </c>
      <c r="S6" s="33">
        <v>5158</v>
      </c>
      <c r="T6" s="33">
        <v>7197</v>
      </c>
      <c r="U6" s="33">
        <v>7293</v>
      </c>
      <c r="V6" s="33">
        <v>7559</v>
      </c>
      <c r="W6" s="33">
        <v>7216</v>
      </c>
      <c r="X6" s="33">
        <v>6850</v>
      </c>
      <c r="Y6" s="33">
        <v>6064</v>
      </c>
      <c r="Z6" s="34">
        <v>5139</v>
      </c>
      <c r="AA6" s="35">
        <f>SUM(C6:Z6)</f>
        <v>109296</v>
      </c>
      <c r="AB6" s="19">
        <v>21</v>
      </c>
      <c r="AC6" s="94">
        <f>+AA6*AB6+AA7*AB7+AA8*AB8</f>
        <v>3171788</v>
      </c>
    </row>
    <row r="7" spans="1:30" ht="15.75" thickBot="1" x14ac:dyDescent="0.3">
      <c r="A7" s="93"/>
      <c r="B7" s="20" t="s">
        <v>4</v>
      </c>
      <c r="C7" s="36">
        <v>3000</v>
      </c>
      <c r="D7" s="36">
        <v>2562</v>
      </c>
      <c r="E7" s="36">
        <v>2347</v>
      </c>
      <c r="F7" s="36">
        <v>2225</v>
      </c>
      <c r="G7" s="36">
        <v>2230</v>
      </c>
      <c r="H7" s="36">
        <v>2341</v>
      </c>
      <c r="I7" s="36">
        <v>2337</v>
      </c>
      <c r="J7" s="36">
        <v>1878</v>
      </c>
      <c r="K7" s="36">
        <v>2584</v>
      </c>
      <c r="L7" s="36">
        <v>3237</v>
      </c>
      <c r="M7" s="36">
        <v>3764</v>
      </c>
      <c r="N7" s="36">
        <v>4176</v>
      </c>
      <c r="O7" s="36">
        <v>4121</v>
      </c>
      <c r="P7" s="36">
        <v>3938</v>
      </c>
      <c r="Q7" s="36">
        <v>3909</v>
      </c>
      <c r="R7" s="36">
        <v>3912</v>
      </c>
      <c r="S7" s="36">
        <v>3882</v>
      </c>
      <c r="T7" s="36">
        <v>6090</v>
      </c>
      <c r="U7" s="36">
        <v>6566</v>
      </c>
      <c r="V7" s="36">
        <v>6953</v>
      </c>
      <c r="W7" s="36">
        <v>6631</v>
      </c>
      <c r="X7" s="36">
        <v>6284</v>
      </c>
      <c r="Y7" s="36">
        <v>5710</v>
      </c>
      <c r="Z7" s="37">
        <v>5034</v>
      </c>
      <c r="AA7" s="38">
        <f t="shared" ref="AA7:AA41" si="0">SUM(C7:Z7)</f>
        <v>95711</v>
      </c>
      <c r="AB7" s="21">
        <v>4</v>
      </c>
      <c r="AC7" s="95"/>
      <c r="AD7" s="47"/>
    </row>
    <row r="8" spans="1:30" x14ac:dyDescent="0.25">
      <c r="A8" s="93"/>
      <c r="B8" s="22" t="s">
        <v>3</v>
      </c>
      <c r="C8" s="39">
        <v>2892</v>
      </c>
      <c r="D8" s="39">
        <v>2543</v>
      </c>
      <c r="E8" s="39">
        <v>2287</v>
      </c>
      <c r="F8" s="39">
        <v>2129</v>
      </c>
      <c r="G8" s="39">
        <v>2084</v>
      </c>
      <c r="H8" s="39">
        <v>2134</v>
      </c>
      <c r="I8" s="39">
        <v>1989</v>
      </c>
      <c r="J8" s="39">
        <v>1282</v>
      </c>
      <c r="K8" s="39">
        <v>1715</v>
      </c>
      <c r="L8" s="39">
        <v>2284</v>
      </c>
      <c r="M8" s="39">
        <v>2685</v>
      </c>
      <c r="N8" s="39">
        <v>3115</v>
      </c>
      <c r="O8" s="39">
        <v>3327</v>
      </c>
      <c r="P8" s="39">
        <v>3163</v>
      </c>
      <c r="Q8" s="39">
        <v>2964</v>
      </c>
      <c r="R8" s="39">
        <v>2919</v>
      </c>
      <c r="S8" s="39">
        <v>2872</v>
      </c>
      <c r="T8" s="39">
        <v>5222</v>
      </c>
      <c r="U8" s="39">
        <v>5789</v>
      </c>
      <c r="V8" s="39">
        <v>6385</v>
      </c>
      <c r="W8" s="39">
        <v>6309</v>
      </c>
      <c r="X8" s="39">
        <v>6046</v>
      </c>
      <c r="Y8" s="39">
        <v>5433</v>
      </c>
      <c r="Z8" s="40">
        <v>4720</v>
      </c>
      <c r="AA8" s="41">
        <f t="shared" si="0"/>
        <v>82288</v>
      </c>
      <c r="AB8" s="23">
        <v>6</v>
      </c>
      <c r="AC8" s="96"/>
      <c r="AD8" s="48"/>
    </row>
    <row r="9" spans="1:30" ht="15.75" thickBot="1" x14ac:dyDescent="0.3">
      <c r="A9" s="93">
        <v>48976</v>
      </c>
      <c r="B9" s="18" t="s">
        <v>5</v>
      </c>
      <c r="C9" s="33">
        <v>2746</v>
      </c>
      <c r="D9" s="33">
        <v>2449</v>
      </c>
      <c r="E9" s="33">
        <v>2283</v>
      </c>
      <c r="F9" s="33">
        <v>2211</v>
      </c>
      <c r="G9" s="33">
        <v>2300</v>
      </c>
      <c r="H9" s="33">
        <v>2803</v>
      </c>
      <c r="I9" s="33">
        <v>2855</v>
      </c>
      <c r="J9" s="33">
        <v>2426</v>
      </c>
      <c r="K9" s="33">
        <v>3096</v>
      </c>
      <c r="L9" s="33">
        <v>3679</v>
      </c>
      <c r="M9" s="33">
        <v>4231</v>
      </c>
      <c r="N9" s="33">
        <v>4677</v>
      </c>
      <c r="O9" s="33">
        <v>4251</v>
      </c>
      <c r="P9" s="33">
        <v>4299</v>
      </c>
      <c r="Q9" s="33">
        <v>4805</v>
      </c>
      <c r="R9" s="33">
        <v>4926</v>
      </c>
      <c r="S9" s="33">
        <v>4832</v>
      </c>
      <c r="T9" s="33">
        <v>6848</v>
      </c>
      <c r="U9" s="33">
        <v>6901</v>
      </c>
      <c r="V9" s="33">
        <v>7305</v>
      </c>
      <c r="W9" s="33">
        <v>6994</v>
      </c>
      <c r="X9" s="33">
        <v>6611</v>
      </c>
      <c r="Y9" s="33">
        <v>5805</v>
      </c>
      <c r="Z9" s="34">
        <v>4882</v>
      </c>
      <c r="AA9" s="35">
        <f t="shared" si="0"/>
        <v>104215</v>
      </c>
      <c r="AB9" s="19">
        <v>20</v>
      </c>
      <c r="AC9" s="94">
        <f>+AA9*AB9+AA10*AB10+AA11*AB11</f>
        <v>2797376</v>
      </c>
    </row>
    <row r="10" spans="1:30" ht="15.75" thickBot="1" x14ac:dyDescent="0.3">
      <c r="A10" s="93"/>
      <c r="B10" s="20" t="s">
        <v>4</v>
      </c>
      <c r="C10" s="36">
        <v>2879</v>
      </c>
      <c r="D10" s="36">
        <v>2483</v>
      </c>
      <c r="E10" s="36">
        <v>2273</v>
      </c>
      <c r="F10" s="36">
        <v>2168</v>
      </c>
      <c r="G10" s="36">
        <v>2175</v>
      </c>
      <c r="H10" s="36">
        <v>2322</v>
      </c>
      <c r="I10" s="36">
        <v>2388</v>
      </c>
      <c r="J10" s="36">
        <v>1945</v>
      </c>
      <c r="K10" s="36">
        <v>2626</v>
      </c>
      <c r="L10" s="36">
        <v>3293</v>
      </c>
      <c r="M10" s="36">
        <v>3814</v>
      </c>
      <c r="N10" s="36">
        <v>4185</v>
      </c>
      <c r="O10" s="36">
        <v>4083</v>
      </c>
      <c r="P10" s="36">
        <v>3887</v>
      </c>
      <c r="Q10" s="36">
        <v>3864</v>
      </c>
      <c r="R10" s="36">
        <v>3862</v>
      </c>
      <c r="S10" s="36">
        <v>3775</v>
      </c>
      <c r="T10" s="36">
        <v>5959</v>
      </c>
      <c r="U10" s="36">
        <v>6392</v>
      </c>
      <c r="V10" s="36">
        <v>6851</v>
      </c>
      <c r="W10" s="36">
        <v>6517</v>
      </c>
      <c r="X10" s="36">
        <v>6193</v>
      </c>
      <c r="Y10" s="36">
        <v>5596</v>
      </c>
      <c r="Z10" s="37">
        <v>4935</v>
      </c>
      <c r="AA10" s="38">
        <f t="shared" si="0"/>
        <v>94465</v>
      </c>
      <c r="AB10" s="21">
        <v>4</v>
      </c>
      <c r="AC10" s="95"/>
      <c r="AD10" s="47"/>
    </row>
    <row r="11" spans="1:30" x14ac:dyDescent="0.25">
      <c r="A11" s="93"/>
      <c r="B11" s="22" t="s">
        <v>3</v>
      </c>
      <c r="C11" s="39">
        <v>2973</v>
      </c>
      <c r="D11" s="39">
        <v>2619</v>
      </c>
      <c r="E11" s="39">
        <v>2390</v>
      </c>
      <c r="F11" s="39">
        <v>2202</v>
      </c>
      <c r="G11" s="39">
        <v>2189</v>
      </c>
      <c r="H11" s="39">
        <v>2226</v>
      </c>
      <c r="I11" s="39">
        <v>2097</v>
      </c>
      <c r="J11" s="39">
        <v>1379</v>
      </c>
      <c r="K11" s="39">
        <v>1813</v>
      </c>
      <c r="L11" s="39">
        <v>2379</v>
      </c>
      <c r="M11" s="39">
        <v>2756</v>
      </c>
      <c r="N11" s="39">
        <v>3155</v>
      </c>
      <c r="O11" s="39">
        <v>3302</v>
      </c>
      <c r="P11" s="39">
        <v>3200</v>
      </c>
      <c r="Q11" s="39">
        <v>3003</v>
      </c>
      <c r="R11" s="39">
        <v>2963</v>
      </c>
      <c r="S11" s="39">
        <v>2930</v>
      </c>
      <c r="T11" s="39">
        <v>5251</v>
      </c>
      <c r="U11" s="39">
        <v>5783</v>
      </c>
      <c r="V11" s="39">
        <v>6486</v>
      </c>
      <c r="W11" s="39">
        <v>6415</v>
      </c>
      <c r="X11" s="39">
        <v>6166</v>
      </c>
      <c r="Y11" s="39">
        <v>5454</v>
      </c>
      <c r="Z11" s="40">
        <v>4673</v>
      </c>
      <c r="AA11" s="41">
        <f t="shared" si="0"/>
        <v>83804</v>
      </c>
      <c r="AB11" s="23">
        <v>4</v>
      </c>
      <c r="AC11" s="96"/>
      <c r="AD11" s="48"/>
    </row>
    <row r="12" spans="1:30" ht="15.75" thickBot="1" x14ac:dyDescent="0.3">
      <c r="A12" s="93">
        <v>49004</v>
      </c>
      <c r="B12" s="18" t="s">
        <v>5</v>
      </c>
      <c r="C12" s="33">
        <v>2942</v>
      </c>
      <c r="D12" s="33">
        <v>2631</v>
      </c>
      <c r="E12" s="33">
        <v>2454</v>
      </c>
      <c r="F12" s="33">
        <v>2379</v>
      </c>
      <c r="G12" s="33">
        <v>2457</v>
      </c>
      <c r="H12" s="33">
        <v>2924</v>
      </c>
      <c r="I12" s="33">
        <v>2951</v>
      </c>
      <c r="J12" s="33">
        <v>2596</v>
      </c>
      <c r="K12" s="33">
        <v>3279</v>
      </c>
      <c r="L12" s="33">
        <v>3889</v>
      </c>
      <c r="M12" s="33">
        <v>4457</v>
      </c>
      <c r="N12" s="33">
        <v>4919</v>
      </c>
      <c r="O12" s="33">
        <v>4519</v>
      </c>
      <c r="P12" s="33">
        <v>4533</v>
      </c>
      <c r="Q12" s="33">
        <v>4984</v>
      </c>
      <c r="R12" s="33">
        <v>5086</v>
      </c>
      <c r="S12" s="33">
        <v>4968</v>
      </c>
      <c r="T12" s="33">
        <v>7035</v>
      </c>
      <c r="U12" s="33">
        <v>7225</v>
      </c>
      <c r="V12" s="33">
        <v>7633</v>
      </c>
      <c r="W12" s="33">
        <v>7303</v>
      </c>
      <c r="X12" s="33">
        <v>6899</v>
      </c>
      <c r="Y12" s="33">
        <v>6061</v>
      </c>
      <c r="Z12" s="34">
        <v>5125</v>
      </c>
      <c r="AA12" s="35">
        <f t="shared" si="0"/>
        <v>109249</v>
      </c>
      <c r="AB12" s="19">
        <v>22</v>
      </c>
      <c r="AC12" s="94">
        <f>+AA12*AB12+AA13*AB13+AA14*AB14</f>
        <v>3199723</v>
      </c>
    </row>
    <row r="13" spans="1:30" ht="15.75" thickBot="1" x14ac:dyDescent="0.3">
      <c r="A13" s="93"/>
      <c r="B13" s="20" t="s">
        <v>4</v>
      </c>
      <c r="C13" s="36">
        <v>2943</v>
      </c>
      <c r="D13" s="36">
        <v>2510</v>
      </c>
      <c r="E13" s="36">
        <v>2297</v>
      </c>
      <c r="F13" s="36">
        <v>2201</v>
      </c>
      <c r="G13" s="36">
        <v>2204</v>
      </c>
      <c r="H13" s="36">
        <v>2330</v>
      </c>
      <c r="I13" s="36">
        <v>2351</v>
      </c>
      <c r="J13" s="36">
        <v>1974</v>
      </c>
      <c r="K13" s="36">
        <v>2660</v>
      </c>
      <c r="L13" s="36">
        <v>3272</v>
      </c>
      <c r="M13" s="36">
        <v>3772</v>
      </c>
      <c r="N13" s="36">
        <v>4129</v>
      </c>
      <c r="O13" s="36">
        <v>4052</v>
      </c>
      <c r="P13" s="36">
        <v>3890</v>
      </c>
      <c r="Q13" s="36">
        <v>3840</v>
      </c>
      <c r="R13" s="36">
        <v>3827</v>
      </c>
      <c r="S13" s="36">
        <v>3771</v>
      </c>
      <c r="T13" s="36">
        <v>6019</v>
      </c>
      <c r="U13" s="36">
        <v>6513</v>
      </c>
      <c r="V13" s="36">
        <v>6965</v>
      </c>
      <c r="W13" s="36">
        <v>6641</v>
      </c>
      <c r="X13" s="36">
        <v>6251</v>
      </c>
      <c r="Y13" s="36">
        <v>5670</v>
      </c>
      <c r="Z13" s="37">
        <v>5033</v>
      </c>
      <c r="AA13" s="38">
        <f t="shared" si="0"/>
        <v>95115</v>
      </c>
      <c r="AB13" s="21">
        <v>4</v>
      </c>
      <c r="AC13" s="95"/>
      <c r="AD13" s="47"/>
    </row>
    <row r="14" spans="1:30" x14ac:dyDescent="0.25">
      <c r="A14" s="93"/>
      <c r="B14" s="22" t="s">
        <v>3</v>
      </c>
      <c r="C14" s="39">
        <v>2946</v>
      </c>
      <c r="D14" s="39">
        <v>2585</v>
      </c>
      <c r="E14" s="39">
        <v>2344</v>
      </c>
      <c r="F14" s="39">
        <v>2204</v>
      </c>
      <c r="G14" s="39">
        <v>2172</v>
      </c>
      <c r="H14" s="39">
        <v>2220</v>
      </c>
      <c r="I14" s="39">
        <v>2021</v>
      </c>
      <c r="J14" s="39">
        <v>1350</v>
      </c>
      <c r="K14" s="39">
        <v>1785</v>
      </c>
      <c r="L14" s="39">
        <v>2322</v>
      </c>
      <c r="M14" s="39">
        <v>2707</v>
      </c>
      <c r="N14" s="39">
        <v>3073</v>
      </c>
      <c r="O14" s="39">
        <v>3251</v>
      </c>
      <c r="P14" s="39">
        <v>3139</v>
      </c>
      <c r="Q14" s="39">
        <v>2963</v>
      </c>
      <c r="R14" s="39">
        <v>2904</v>
      </c>
      <c r="S14" s="39">
        <v>2874</v>
      </c>
      <c r="T14" s="39">
        <v>5231</v>
      </c>
      <c r="U14" s="39">
        <v>5803</v>
      </c>
      <c r="V14" s="39">
        <v>6473</v>
      </c>
      <c r="W14" s="39">
        <v>6439</v>
      </c>
      <c r="X14" s="39">
        <v>6144</v>
      </c>
      <c r="Y14" s="39">
        <v>5490</v>
      </c>
      <c r="Z14" s="40">
        <v>4717</v>
      </c>
      <c r="AA14" s="41">
        <f t="shared" si="0"/>
        <v>83157</v>
      </c>
      <c r="AB14" s="23">
        <v>5</v>
      </c>
      <c r="AC14" s="96"/>
      <c r="AD14" s="45"/>
    </row>
    <row r="15" spans="1:30" ht="15.75" thickBot="1" x14ac:dyDescent="0.3">
      <c r="A15" s="93">
        <v>49035</v>
      </c>
      <c r="B15" s="18" t="s">
        <v>5</v>
      </c>
      <c r="C15" s="33">
        <v>2721</v>
      </c>
      <c r="D15" s="33">
        <v>2410</v>
      </c>
      <c r="E15" s="33">
        <v>2230</v>
      </c>
      <c r="F15" s="33">
        <v>2165</v>
      </c>
      <c r="G15" s="33">
        <v>2231</v>
      </c>
      <c r="H15" s="33">
        <v>2555</v>
      </c>
      <c r="I15" s="33">
        <v>2665</v>
      </c>
      <c r="J15" s="33">
        <v>2419</v>
      </c>
      <c r="K15" s="33">
        <v>3053</v>
      </c>
      <c r="L15" s="33">
        <v>3626</v>
      </c>
      <c r="M15" s="33">
        <v>4155</v>
      </c>
      <c r="N15" s="33">
        <v>4609</v>
      </c>
      <c r="O15" s="33">
        <v>4309</v>
      </c>
      <c r="P15" s="33">
        <v>4288</v>
      </c>
      <c r="Q15" s="33">
        <v>4610</v>
      </c>
      <c r="R15" s="33">
        <v>4700</v>
      </c>
      <c r="S15" s="33">
        <v>4585</v>
      </c>
      <c r="T15" s="33">
        <v>6741</v>
      </c>
      <c r="U15" s="33">
        <v>7030</v>
      </c>
      <c r="V15" s="33">
        <v>7303</v>
      </c>
      <c r="W15" s="33">
        <v>7015</v>
      </c>
      <c r="X15" s="33">
        <v>6585</v>
      </c>
      <c r="Y15" s="33">
        <v>5754</v>
      </c>
      <c r="Z15" s="34">
        <v>4854</v>
      </c>
      <c r="AA15" s="35">
        <f t="shared" si="0"/>
        <v>102613</v>
      </c>
      <c r="AB15" s="19">
        <v>18</v>
      </c>
      <c r="AC15" s="94">
        <f>+AA15*AB15+AA16*AB16+AA17*AB17</f>
        <v>2882585</v>
      </c>
    </row>
    <row r="16" spans="1:30" ht="15.75" thickBot="1" x14ac:dyDescent="0.3">
      <c r="A16" s="93"/>
      <c r="B16" s="20" t="s">
        <v>4</v>
      </c>
      <c r="C16" s="36">
        <v>2751</v>
      </c>
      <c r="D16" s="36">
        <v>2337</v>
      </c>
      <c r="E16" s="36">
        <v>2131</v>
      </c>
      <c r="F16" s="36">
        <v>2032</v>
      </c>
      <c r="G16" s="36">
        <v>2069</v>
      </c>
      <c r="H16" s="36">
        <v>2157</v>
      </c>
      <c r="I16" s="36">
        <v>2199</v>
      </c>
      <c r="J16" s="36">
        <v>1894</v>
      </c>
      <c r="K16" s="36">
        <v>2526</v>
      </c>
      <c r="L16" s="36">
        <v>3120</v>
      </c>
      <c r="M16" s="36">
        <v>3612</v>
      </c>
      <c r="N16" s="36">
        <v>3955</v>
      </c>
      <c r="O16" s="36">
        <v>3950</v>
      </c>
      <c r="P16" s="36">
        <v>3746</v>
      </c>
      <c r="Q16" s="36">
        <v>3709</v>
      </c>
      <c r="R16" s="36">
        <v>3729</v>
      </c>
      <c r="S16" s="36">
        <v>3693</v>
      </c>
      <c r="T16" s="36">
        <v>6013</v>
      </c>
      <c r="U16" s="36">
        <v>6555</v>
      </c>
      <c r="V16" s="36">
        <v>6854</v>
      </c>
      <c r="W16" s="36">
        <v>6521</v>
      </c>
      <c r="X16" s="36">
        <v>6132</v>
      </c>
      <c r="Y16" s="36">
        <v>5531</v>
      </c>
      <c r="Z16" s="37">
        <v>4859</v>
      </c>
      <c r="AA16" s="38">
        <f t="shared" si="0"/>
        <v>92075</v>
      </c>
      <c r="AB16" s="21">
        <v>5</v>
      </c>
      <c r="AC16" s="95"/>
      <c r="AD16" s="47"/>
    </row>
    <row r="17" spans="1:30" x14ac:dyDescent="0.25">
      <c r="A17" s="93"/>
      <c r="B17" s="22" t="s">
        <v>3</v>
      </c>
      <c r="C17" s="39">
        <v>2798</v>
      </c>
      <c r="D17" s="39">
        <v>2453</v>
      </c>
      <c r="E17" s="39">
        <v>2221</v>
      </c>
      <c r="F17" s="39">
        <v>2084</v>
      </c>
      <c r="G17" s="39">
        <v>2029</v>
      </c>
      <c r="H17" s="39">
        <v>2013</v>
      </c>
      <c r="I17" s="39">
        <v>1879</v>
      </c>
      <c r="J17" s="39">
        <v>1320</v>
      </c>
      <c r="K17" s="39">
        <v>1795</v>
      </c>
      <c r="L17" s="39">
        <v>2317</v>
      </c>
      <c r="M17" s="39">
        <v>2695</v>
      </c>
      <c r="N17" s="39">
        <v>3061</v>
      </c>
      <c r="O17" s="39">
        <v>3256</v>
      </c>
      <c r="P17" s="39">
        <v>3193</v>
      </c>
      <c r="Q17" s="39">
        <v>3034</v>
      </c>
      <c r="R17" s="39">
        <v>2990</v>
      </c>
      <c r="S17" s="39">
        <v>2959</v>
      </c>
      <c r="T17" s="39">
        <v>5324</v>
      </c>
      <c r="U17" s="39">
        <v>5996</v>
      </c>
      <c r="V17" s="39">
        <v>6505</v>
      </c>
      <c r="W17" s="39">
        <v>6355</v>
      </c>
      <c r="X17" s="39">
        <v>6007</v>
      </c>
      <c r="Y17" s="39">
        <v>5320</v>
      </c>
      <c r="Z17" s="40">
        <v>4564</v>
      </c>
      <c r="AA17" s="41">
        <f t="shared" si="0"/>
        <v>82168</v>
      </c>
      <c r="AB17" s="23">
        <v>7</v>
      </c>
      <c r="AC17" s="96"/>
      <c r="AD17" s="48"/>
    </row>
    <row r="18" spans="1:30" ht="15.75" thickBot="1" x14ac:dyDescent="0.3">
      <c r="A18" s="93">
        <v>49065</v>
      </c>
      <c r="B18" s="18" t="s">
        <v>5</v>
      </c>
      <c r="C18" s="33">
        <v>2751</v>
      </c>
      <c r="D18" s="33">
        <v>2438</v>
      </c>
      <c r="E18" s="33">
        <v>2278</v>
      </c>
      <c r="F18" s="33">
        <v>2192</v>
      </c>
      <c r="G18" s="33">
        <v>2259</v>
      </c>
      <c r="H18" s="33">
        <v>2527</v>
      </c>
      <c r="I18" s="33">
        <v>2703</v>
      </c>
      <c r="J18" s="33">
        <v>2472</v>
      </c>
      <c r="K18" s="33">
        <v>3172</v>
      </c>
      <c r="L18" s="33">
        <v>3765</v>
      </c>
      <c r="M18" s="33">
        <v>4285</v>
      </c>
      <c r="N18" s="33">
        <v>4710</v>
      </c>
      <c r="O18" s="33">
        <v>4368</v>
      </c>
      <c r="P18" s="33">
        <v>4307</v>
      </c>
      <c r="Q18" s="33">
        <v>4664</v>
      </c>
      <c r="R18" s="33">
        <v>4736</v>
      </c>
      <c r="S18" s="33">
        <v>4671</v>
      </c>
      <c r="T18" s="33">
        <v>6812</v>
      </c>
      <c r="U18" s="33">
        <v>7131</v>
      </c>
      <c r="V18" s="33">
        <v>7372</v>
      </c>
      <c r="W18" s="33">
        <v>7101</v>
      </c>
      <c r="X18" s="33">
        <v>6640</v>
      </c>
      <c r="Y18" s="33">
        <v>5796</v>
      </c>
      <c r="Z18" s="34">
        <v>4876</v>
      </c>
      <c r="AA18" s="35">
        <f t="shared" si="0"/>
        <v>104026</v>
      </c>
      <c r="AB18" s="19">
        <v>21</v>
      </c>
      <c r="AC18" s="94">
        <f>+AA18*AB18+AA19*AB19+AA20*AB20</f>
        <v>3062856</v>
      </c>
    </row>
    <row r="19" spans="1:30" ht="15.75" thickBot="1" x14ac:dyDescent="0.3">
      <c r="A19" s="93"/>
      <c r="B19" s="20" t="s">
        <v>4</v>
      </c>
      <c r="C19" s="36">
        <v>2861</v>
      </c>
      <c r="D19" s="36">
        <v>2427</v>
      </c>
      <c r="E19" s="36">
        <v>2255</v>
      </c>
      <c r="F19" s="36">
        <v>2132</v>
      </c>
      <c r="G19" s="36">
        <v>2154</v>
      </c>
      <c r="H19" s="36">
        <v>2151</v>
      </c>
      <c r="I19" s="36">
        <v>2215</v>
      </c>
      <c r="J19" s="36">
        <v>1975</v>
      </c>
      <c r="K19" s="36">
        <v>2680</v>
      </c>
      <c r="L19" s="36">
        <v>3342</v>
      </c>
      <c r="M19" s="36">
        <v>3829</v>
      </c>
      <c r="N19" s="36">
        <v>4189</v>
      </c>
      <c r="O19" s="36">
        <v>4085</v>
      </c>
      <c r="P19" s="36">
        <v>3843</v>
      </c>
      <c r="Q19" s="36">
        <v>3780</v>
      </c>
      <c r="R19" s="36">
        <v>3764</v>
      </c>
      <c r="S19" s="36">
        <v>3691</v>
      </c>
      <c r="T19" s="36">
        <v>6032</v>
      </c>
      <c r="U19" s="36">
        <v>6681</v>
      </c>
      <c r="V19" s="36">
        <v>6959</v>
      </c>
      <c r="W19" s="36">
        <v>6631</v>
      </c>
      <c r="X19" s="36">
        <v>6273</v>
      </c>
      <c r="Y19" s="36">
        <v>5614</v>
      </c>
      <c r="Z19" s="37">
        <v>4961</v>
      </c>
      <c r="AA19" s="38">
        <f t="shared" si="0"/>
        <v>94524</v>
      </c>
      <c r="AB19" s="21">
        <v>4</v>
      </c>
      <c r="AC19" s="95"/>
      <c r="AD19" s="47"/>
    </row>
    <row r="20" spans="1:30" x14ac:dyDescent="0.25">
      <c r="A20" s="93"/>
      <c r="B20" s="22" t="s">
        <v>3</v>
      </c>
      <c r="C20" s="39">
        <v>2867</v>
      </c>
      <c r="D20" s="39">
        <v>2507</v>
      </c>
      <c r="E20" s="39">
        <v>2291</v>
      </c>
      <c r="F20" s="39">
        <v>2131</v>
      </c>
      <c r="G20" s="39">
        <v>2135</v>
      </c>
      <c r="H20" s="39">
        <v>2038</v>
      </c>
      <c r="I20" s="39">
        <v>1892</v>
      </c>
      <c r="J20" s="39">
        <v>1402</v>
      </c>
      <c r="K20" s="39">
        <v>1878</v>
      </c>
      <c r="L20" s="39">
        <v>2448</v>
      </c>
      <c r="M20" s="39">
        <v>2777</v>
      </c>
      <c r="N20" s="39">
        <v>3130</v>
      </c>
      <c r="O20" s="39">
        <v>3282</v>
      </c>
      <c r="P20" s="39">
        <v>3173</v>
      </c>
      <c r="Q20" s="39">
        <v>3033</v>
      </c>
      <c r="R20" s="39">
        <v>2988</v>
      </c>
      <c r="S20" s="39">
        <v>2937</v>
      </c>
      <c r="T20" s="39">
        <v>5273</v>
      </c>
      <c r="U20" s="39">
        <v>5963</v>
      </c>
      <c r="V20" s="39">
        <v>6520</v>
      </c>
      <c r="W20" s="39">
        <v>6412</v>
      </c>
      <c r="X20" s="39">
        <v>6128</v>
      </c>
      <c r="Y20" s="39">
        <v>5451</v>
      </c>
      <c r="Z20" s="40">
        <v>4713</v>
      </c>
      <c r="AA20" s="41">
        <f t="shared" si="0"/>
        <v>83369</v>
      </c>
      <c r="AB20" s="23">
        <v>6</v>
      </c>
      <c r="AC20" s="96"/>
      <c r="AD20" s="48"/>
    </row>
    <row r="21" spans="1:30" ht="15.75" thickBot="1" x14ac:dyDescent="0.3">
      <c r="A21" s="93">
        <v>49096</v>
      </c>
      <c r="B21" s="18" t="s">
        <v>5</v>
      </c>
      <c r="C21" s="33">
        <v>2639</v>
      </c>
      <c r="D21" s="33">
        <v>2359</v>
      </c>
      <c r="E21" s="33">
        <v>2185</v>
      </c>
      <c r="F21" s="33">
        <v>2122</v>
      </c>
      <c r="G21" s="33">
        <v>2214</v>
      </c>
      <c r="H21" s="33">
        <v>2446</v>
      </c>
      <c r="I21" s="33">
        <v>2685</v>
      </c>
      <c r="J21" s="33">
        <v>2503</v>
      </c>
      <c r="K21" s="33">
        <v>3178</v>
      </c>
      <c r="L21" s="33">
        <v>3805</v>
      </c>
      <c r="M21" s="33">
        <v>4341</v>
      </c>
      <c r="N21" s="33">
        <v>4801</v>
      </c>
      <c r="O21" s="33">
        <v>4456</v>
      </c>
      <c r="P21" s="33">
        <v>4355</v>
      </c>
      <c r="Q21" s="33">
        <v>4740</v>
      </c>
      <c r="R21" s="33">
        <v>4843</v>
      </c>
      <c r="S21" s="33">
        <v>4721</v>
      </c>
      <c r="T21" s="33">
        <v>6877</v>
      </c>
      <c r="U21" s="33">
        <v>7044</v>
      </c>
      <c r="V21" s="33">
        <v>7432</v>
      </c>
      <c r="W21" s="33">
        <v>7136</v>
      </c>
      <c r="X21" s="33">
        <v>6642</v>
      </c>
      <c r="Y21" s="33">
        <v>5771</v>
      </c>
      <c r="Z21" s="34">
        <v>4823</v>
      </c>
      <c r="AA21" s="35">
        <f t="shared" si="0"/>
        <v>104118</v>
      </c>
      <c r="AB21" s="19">
        <v>20</v>
      </c>
      <c r="AC21" s="94">
        <f>+AA21*AB21+AA22*AB22+AA23*AB23</f>
        <v>3010964</v>
      </c>
    </row>
    <row r="22" spans="1:30" ht="15.75" thickBot="1" x14ac:dyDescent="0.3">
      <c r="A22" s="93"/>
      <c r="B22" s="20" t="s">
        <v>4</v>
      </c>
      <c r="C22" s="36">
        <v>2809</v>
      </c>
      <c r="D22" s="36">
        <v>2412</v>
      </c>
      <c r="E22" s="36">
        <v>2192</v>
      </c>
      <c r="F22" s="36">
        <v>2109</v>
      </c>
      <c r="G22" s="36">
        <v>2175</v>
      </c>
      <c r="H22" s="36">
        <v>2212</v>
      </c>
      <c r="I22" s="36">
        <v>2292</v>
      </c>
      <c r="J22" s="36">
        <v>2097</v>
      </c>
      <c r="K22" s="36">
        <v>2785</v>
      </c>
      <c r="L22" s="36">
        <v>3464</v>
      </c>
      <c r="M22" s="36">
        <v>3943</v>
      </c>
      <c r="N22" s="36">
        <v>4333</v>
      </c>
      <c r="O22" s="36">
        <v>4231</v>
      </c>
      <c r="P22" s="36">
        <v>4042</v>
      </c>
      <c r="Q22" s="36">
        <v>3977</v>
      </c>
      <c r="R22" s="36">
        <v>3992</v>
      </c>
      <c r="S22" s="36">
        <v>3931</v>
      </c>
      <c r="T22" s="36">
        <v>6192</v>
      </c>
      <c r="U22" s="36">
        <v>6682</v>
      </c>
      <c r="V22" s="36">
        <v>7079</v>
      </c>
      <c r="W22" s="36">
        <v>6701</v>
      </c>
      <c r="X22" s="36">
        <v>6318</v>
      </c>
      <c r="Y22" s="36">
        <v>5670</v>
      </c>
      <c r="Z22" s="37">
        <v>4967</v>
      </c>
      <c r="AA22" s="38">
        <f t="shared" si="0"/>
        <v>96605</v>
      </c>
      <c r="AB22" s="21">
        <v>4</v>
      </c>
      <c r="AC22" s="95"/>
      <c r="AD22" s="47"/>
    </row>
    <row r="23" spans="1:30" x14ac:dyDescent="0.25">
      <c r="A23" s="93"/>
      <c r="B23" s="22" t="s">
        <v>3</v>
      </c>
      <c r="C23" s="39">
        <v>2990</v>
      </c>
      <c r="D23" s="39">
        <v>2625</v>
      </c>
      <c r="E23" s="39">
        <v>2390</v>
      </c>
      <c r="F23" s="39">
        <v>2246</v>
      </c>
      <c r="G23" s="39">
        <v>2245</v>
      </c>
      <c r="H23" s="39">
        <v>2211</v>
      </c>
      <c r="I23" s="39">
        <v>2228</v>
      </c>
      <c r="J23" s="39">
        <v>1786</v>
      </c>
      <c r="K23" s="39">
        <v>2297</v>
      </c>
      <c r="L23" s="39">
        <v>2891</v>
      </c>
      <c r="M23" s="39">
        <v>3248</v>
      </c>
      <c r="N23" s="39">
        <v>3647</v>
      </c>
      <c r="O23" s="39">
        <v>3708</v>
      </c>
      <c r="P23" s="39">
        <v>3605</v>
      </c>
      <c r="Q23" s="39">
        <v>3503</v>
      </c>
      <c r="R23" s="39">
        <v>3445</v>
      </c>
      <c r="S23" s="39">
        <v>3390</v>
      </c>
      <c r="T23" s="39">
        <v>5726</v>
      </c>
      <c r="U23" s="39">
        <v>6114</v>
      </c>
      <c r="V23" s="39">
        <v>6756</v>
      </c>
      <c r="W23" s="39">
        <v>6640</v>
      </c>
      <c r="X23" s="39">
        <v>6282</v>
      </c>
      <c r="Y23" s="39">
        <v>5573</v>
      </c>
      <c r="Z23" s="40">
        <v>4818</v>
      </c>
      <c r="AA23" s="41">
        <f t="shared" si="0"/>
        <v>90364</v>
      </c>
      <c r="AB23" s="23">
        <v>6</v>
      </c>
      <c r="AC23" s="96"/>
      <c r="AD23" s="48"/>
    </row>
    <row r="24" spans="1:30" ht="15.75" thickBot="1" x14ac:dyDescent="0.3">
      <c r="A24" s="93">
        <v>49126</v>
      </c>
      <c r="B24" s="18" t="s">
        <v>5</v>
      </c>
      <c r="C24" s="33">
        <v>2807</v>
      </c>
      <c r="D24" s="33">
        <v>2520</v>
      </c>
      <c r="E24" s="33">
        <v>2336</v>
      </c>
      <c r="F24" s="33">
        <v>2253</v>
      </c>
      <c r="G24" s="33">
        <v>2313</v>
      </c>
      <c r="H24" s="33">
        <v>2560</v>
      </c>
      <c r="I24" s="33">
        <v>2714</v>
      </c>
      <c r="J24" s="33">
        <v>2577</v>
      </c>
      <c r="K24" s="33">
        <v>3300</v>
      </c>
      <c r="L24" s="33">
        <v>3967</v>
      </c>
      <c r="M24" s="33">
        <v>4532</v>
      </c>
      <c r="N24" s="33">
        <v>4988</v>
      </c>
      <c r="O24" s="33">
        <v>4597</v>
      </c>
      <c r="P24" s="33">
        <v>4534</v>
      </c>
      <c r="Q24" s="33">
        <v>5008</v>
      </c>
      <c r="R24" s="33">
        <v>5127</v>
      </c>
      <c r="S24" s="33">
        <v>5016</v>
      </c>
      <c r="T24" s="33">
        <v>7079</v>
      </c>
      <c r="U24" s="33">
        <v>7061</v>
      </c>
      <c r="V24" s="33">
        <v>7506</v>
      </c>
      <c r="W24" s="33">
        <v>7233</v>
      </c>
      <c r="X24" s="33">
        <v>6806</v>
      </c>
      <c r="Y24" s="33">
        <v>5938</v>
      </c>
      <c r="Z24" s="34">
        <v>5018</v>
      </c>
      <c r="AA24" s="35">
        <f t="shared" si="0"/>
        <v>107790</v>
      </c>
      <c r="AB24" s="19">
        <v>19</v>
      </c>
      <c r="AC24" s="94">
        <f>+AA24*AB24+AA25*AB25+AA26*AB26</f>
        <v>3127363</v>
      </c>
    </row>
    <row r="25" spans="1:30" ht="15.75" thickBot="1" x14ac:dyDescent="0.3">
      <c r="A25" s="93"/>
      <c r="B25" s="20" t="s">
        <v>4</v>
      </c>
      <c r="C25" s="36">
        <v>2833</v>
      </c>
      <c r="D25" s="36">
        <v>2430</v>
      </c>
      <c r="E25" s="36">
        <v>2208</v>
      </c>
      <c r="F25" s="36">
        <v>2093</v>
      </c>
      <c r="G25" s="36">
        <v>2157</v>
      </c>
      <c r="H25" s="36">
        <v>2229</v>
      </c>
      <c r="I25" s="36">
        <v>2250</v>
      </c>
      <c r="J25" s="36">
        <v>2031</v>
      </c>
      <c r="K25" s="36">
        <v>2739</v>
      </c>
      <c r="L25" s="36">
        <v>3441</v>
      </c>
      <c r="M25" s="36">
        <v>3897</v>
      </c>
      <c r="N25" s="36">
        <v>4265</v>
      </c>
      <c r="O25" s="36">
        <v>4142</v>
      </c>
      <c r="P25" s="36">
        <v>3911</v>
      </c>
      <c r="Q25" s="36">
        <v>3852</v>
      </c>
      <c r="R25" s="36">
        <v>3860</v>
      </c>
      <c r="S25" s="36">
        <v>3825</v>
      </c>
      <c r="T25" s="36">
        <v>6073</v>
      </c>
      <c r="U25" s="36">
        <v>6451</v>
      </c>
      <c r="V25" s="36">
        <v>6916</v>
      </c>
      <c r="W25" s="36">
        <v>6589</v>
      </c>
      <c r="X25" s="36">
        <v>6221</v>
      </c>
      <c r="Y25" s="36">
        <v>5608</v>
      </c>
      <c r="Z25" s="37">
        <v>4919</v>
      </c>
      <c r="AA25" s="38">
        <f t="shared" si="0"/>
        <v>94940</v>
      </c>
      <c r="AB25" s="21">
        <v>5</v>
      </c>
      <c r="AC25" s="95"/>
      <c r="AD25" s="47"/>
    </row>
    <row r="26" spans="1:30" x14ac:dyDescent="0.25">
      <c r="A26" s="93"/>
      <c r="B26" s="22" t="s">
        <v>3</v>
      </c>
      <c r="C26" s="39">
        <v>2937</v>
      </c>
      <c r="D26" s="39">
        <v>2614</v>
      </c>
      <c r="E26" s="39">
        <v>2377</v>
      </c>
      <c r="F26" s="39">
        <v>2199</v>
      </c>
      <c r="G26" s="39">
        <v>2180</v>
      </c>
      <c r="H26" s="39">
        <v>2138</v>
      </c>
      <c r="I26" s="39">
        <v>2024</v>
      </c>
      <c r="J26" s="39">
        <v>1539</v>
      </c>
      <c r="K26" s="39">
        <v>2032</v>
      </c>
      <c r="L26" s="39">
        <v>2634</v>
      </c>
      <c r="M26" s="39">
        <v>3024</v>
      </c>
      <c r="N26" s="39">
        <v>3393</v>
      </c>
      <c r="O26" s="39">
        <v>3544</v>
      </c>
      <c r="P26" s="39">
        <v>3397</v>
      </c>
      <c r="Q26" s="39">
        <v>3188</v>
      </c>
      <c r="R26" s="39">
        <v>3092</v>
      </c>
      <c r="S26" s="39">
        <v>3090</v>
      </c>
      <c r="T26" s="39">
        <v>5449</v>
      </c>
      <c r="U26" s="39">
        <v>5848</v>
      </c>
      <c r="V26" s="39">
        <v>6603</v>
      </c>
      <c r="W26" s="39">
        <v>6554</v>
      </c>
      <c r="X26" s="39">
        <v>6223</v>
      </c>
      <c r="Y26" s="39">
        <v>5542</v>
      </c>
      <c r="Z26" s="40">
        <v>4758</v>
      </c>
      <c r="AA26" s="41">
        <f t="shared" si="0"/>
        <v>86379</v>
      </c>
      <c r="AB26" s="23">
        <v>7</v>
      </c>
      <c r="AC26" s="96"/>
      <c r="AD26" s="48"/>
    </row>
    <row r="27" spans="1:30" ht="15.75" thickBot="1" x14ac:dyDescent="0.3">
      <c r="A27" s="93">
        <v>49157</v>
      </c>
      <c r="B27" s="18" t="s">
        <v>5</v>
      </c>
      <c r="C27" s="33">
        <v>2880</v>
      </c>
      <c r="D27" s="33">
        <v>2564</v>
      </c>
      <c r="E27" s="33">
        <v>2375</v>
      </c>
      <c r="F27" s="33">
        <v>2284</v>
      </c>
      <c r="G27" s="33">
        <v>2366</v>
      </c>
      <c r="H27" s="33">
        <v>2721</v>
      </c>
      <c r="I27" s="33">
        <v>2848</v>
      </c>
      <c r="J27" s="33">
        <v>2696</v>
      </c>
      <c r="K27" s="33">
        <v>3439</v>
      </c>
      <c r="L27" s="33">
        <v>4088</v>
      </c>
      <c r="M27" s="33">
        <v>4670</v>
      </c>
      <c r="N27" s="33">
        <v>5153</v>
      </c>
      <c r="O27" s="33">
        <v>4723</v>
      </c>
      <c r="P27" s="33">
        <v>4690</v>
      </c>
      <c r="Q27" s="33">
        <v>5219</v>
      </c>
      <c r="R27" s="33">
        <v>5363</v>
      </c>
      <c r="S27" s="33">
        <v>5274</v>
      </c>
      <c r="T27" s="33">
        <v>7283</v>
      </c>
      <c r="U27" s="33">
        <v>7358</v>
      </c>
      <c r="V27" s="33">
        <v>7644</v>
      </c>
      <c r="W27" s="33">
        <v>7347</v>
      </c>
      <c r="X27" s="33">
        <v>6915</v>
      </c>
      <c r="Y27" s="33">
        <v>6032</v>
      </c>
      <c r="Z27" s="34">
        <v>5073</v>
      </c>
      <c r="AA27" s="35">
        <f t="shared" si="0"/>
        <v>111005</v>
      </c>
      <c r="AB27" s="19">
        <v>21</v>
      </c>
      <c r="AC27" s="94">
        <f>+AA27*AB27+AA28*AB28+AA29*AB29</f>
        <v>3257603</v>
      </c>
    </row>
    <row r="28" spans="1:30" ht="15.75" thickBot="1" x14ac:dyDescent="0.3">
      <c r="A28" s="93"/>
      <c r="B28" s="20" t="s">
        <v>4</v>
      </c>
      <c r="C28" s="36">
        <v>3037</v>
      </c>
      <c r="D28" s="36">
        <v>2620</v>
      </c>
      <c r="E28" s="36">
        <v>2394</v>
      </c>
      <c r="F28" s="36">
        <v>2262</v>
      </c>
      <c r="G28" s="36">
        <v>2298</v>
      </c>
      <c r="H28" s="36">
        <v>2385</v>
      </c>
      <c r="I28" s="36">
        <v>2506</v>
      </c>
      <c r="J28" s="36">
        <v>2278</v>
      </c>
      <c r="K28" s="36">
        <v>3052</v>
      </c>
      <c r="L28" s="36">
        <v>3750</v>
      </c>
      <c r="M28" s="36">
        <v>4203</v>
      </c>
      <c r="N28" s="36">
        <v>4629</v>
      </c>
      <c r="O28" s="36">
        <v>4538</v>
      </c>
      <c r="P28" s="36">
        <v>4235</v>
      </c>
      <c r="Q28" s="36">
        <v>4277</v>
      </c>
      <c r="R28" s="36">
        <v>4235</v>
      </c>
      <c r="S28" s="36">
        <v>4150</v>
      </c>
      <c r="T28" s="36">
        <v>6423</v>
      </c>
      <c r="U28" s="36">
        <v>6770</v>
      </c>
      <c r="V28" s="36">
        <v>7169</v>
      </c>
      <c r="W28" s="36">
        <v>6787</v>
      </c>
      <c r="X28" s="36">
        <v>6388</v>
      </c>
      <c r="Y28" s="36">
        <v>5775</v>
      </c>
      <c r="Z28" s="37">
        <v>5055</v>
      </c>
      <c r="AA28" s="38">
        <f t="shared" si="0"/>
        <v>101216</v>
      </c>
      <c r="AB28" s="21">
        <v>4</v>
      </c>
      <c r="AC28" s="95"/>
      <c r="AD28" s="47"/>
    </row>
    <row r="29" spans="1:30" x14ac:dyDescent="0.25">
      <c r="A29" s="93"/>
      <c r="B29" s="22" t="s">
        <v>3</v>
      </c>
      <c r="C29" s="39">
        <v>3017</v>
      </c>
      <c r="D29" s="39">
        <v>2666</v>
      </c>
      <c r="E29" s="39">
        <v>2401</v>
      </c>
      <c r="F29" s="39">
        <v>2246</v>
      </c>
      <c r="G29" s="39">
        <v>2236</v>
      </c>
      <c r="H29" s="39">
        <v>2223</v>
      </c>
      <c r="I29" s="39">
        <v>1963</v>
      </c>
      <c r="J29" s="39">
        <v>1521</v>
      </c>
      <c r="K29" s="39">
        <v>1995</v>
      </c>
      <c r="L29" s="39">
        <v>2599</v>
      </c>
      <c r="M29" s="39">
        <v>2996</v>
      </c>
      <c r="N29" s="39">
        <v>3371</v>
      </c>
      <c r="O29" s="39">
        <v>3485</v>
      </c>
      <c r="P29" s="39">
        <v>3377</v>
      </c>
      <c r="Q29" s="39">
        <v>3172</v>
      </c>
      <c r="R29" s="39">
        <v>3131</v>
      </c>
      <c r="S29" s="39">
        <v>3101</v>
      </c>
      <c r="T29" s="39">
        <v>5425</v>
      </c>
      <c r="U29" s="39">
        <v>5996</v>
      </c>
      <c r="V29" s="39">
        <v>6696</v>
      </c>
      <c r="W29" s="39">
        <v>6613</v>
      </c>
      <c r="X29" s="39">
        <v>6316</v>
      </c>
      <c r="Y29" s="39">
        <v>5601</v>
      </c>
      <c r="Z29" s="40">
        <v>4792</v>
      </c>
      <c r="AA29" s="41">
        <f t="shared" si="0"/>
        <v>86939</v>
      </c>
      <c r="AB29" s="23">
        <v>6</v>
      </c>
      <c r="AC29" s="96"/>
      <c r="AD29" s="49"/>
    </row>
    <row r="30" spans="1:30" ht="15.75" thickBot="1" x14ac:dyDescent="0.3">
      <c r="A30" s="93">
        <v>49188</v>
      </c>
      <c r="B30" s="18" t="s">
        <v>5</v>
      </c>
      <c r="C30" s="33">
        <v>2935</v>
      </c>
      <c r="D30" s="33">
        <v>2613</v>
      </c>
      <c r="E30" s="33">
        <v>2446</v>
      </c>
      <c r="F30" s="33">
        <v>2368</v>
      </c>
      <c r="G30" s="33">
        <v>2442</v>
      </c>
      <c r="H30" s="33">
        <v>2744</v>
      </c>
      <c r="I30" s="33">
        <v>2915</v>
      </c>
      <c r="J30" s="33">
        <v>2747</v>
      </c>
      <c r="K30" s="33">
        <v>3495</v>
      </c>
      <c r="L30" s="33">
        <v>4156</v>
      </c>
      <c r="M30" s="33">
        <v>4728</v>
      </c>
      <c r="N30" s="33">
        <v>5214</v>
      </c>
      <c r="O30" s="33">
        <v>4784</v>
      </c>
      <c r="P30" s="33">
        <v>4772</v>
      </c>
      <c r="Q30" s="33">
        <v>5281</v>
      </c>
      <c r="R30" s="33">
        <v>5400</v>
      </c>
      <c r="S30" s="33">
        <v>5295</v>
      </c>
      <c r="T30" s="33">
        <v>7347</v>
      </c>
      <c r="U30" s="33">
        <v>7678</v>
      </c>
      <c r="V30" s="33">
        <v>7699</v>
      </c>
      <c r="W30" s="33">
        <v>7386</v>
      </c>
      <c r="X30" s="33">
        <v>6929</v>
      </c>
      <c r="Y30" s="33">
        <v>6033</v>
      </c>
      <c r="Z30" s="34">
        <v>5112</v>
      </c>
      <c r="AA30" s="35">
        <f t="shared" si="0"/>
        <v>112519</v>
      </c>
      <c r="AB30" s="19">
        <v>21</v>
      </c>
      <c r="AC30" s="94">
        <f>+AA30*AB30+AA31*AB31+AA32*AB32</f>
        <v>3216377</v>
      </c>
    </row>
    <row r="31" spans="1:30" ht="15.75" thickBot="1" x14ac:dyDescent="0.3">
      <c r="A31" s="93"/>
      <c r="B31" s="20" t="s">
        <v>4</v>
      </c>
      <c r="C31" s="36">
        <v>2997</v>
      </c>
      <c r="D31" s="36">
        <v>2571</v>
      </c>
      <c r="E31" s="36">
        <v>2366</v>
      </c>
      <c r="F31" s="36">
        <v>2245</v>
      </c>
      <c r="G31" s="36">
        <v>2272</v>
      </c>
      <c r="H31" s="36">
        <v>2274</v>
      </c>
      <c r="I31" s="36">
        <v>2405</v>
      </c>
      <c r="J31" s="36">
        <v>2201</v>
      </c>
      <c r="K31" s="36">
        <v>3025</v>
      </c>
      <c r="L31" s="36">
        <v>3738</v>
      </c>
      <c r="M31" s="36">
        <v>4239</v>
      </c>
      <c r="N31" s="36">
        <v>4579</v>
      </c>
      <c r="O31" s="36">
        <v>4484</v>
      </c>
      <c r="P31" s="36">
        <v>4214</v>
      </c>
      <c r="Q31" s="36">
        <v>4181</v>
      </c>
      <c r="R31" s="36">
        <v>4194</v>
      </c>
      <c r="S31" s="36">
        <v>4149</v>
      </c>
      <c r="T31" s="36">
        <v>6441</v>
      </c>
      <c r="U31" s="36">
        <v>7113</v>
      </c>
      <c r="V31" s="36">
        <v>7172</v>
      </c>
      <c r="W31" s="36">
        <v>6768</v>
      </c>
      <c r="X31" s="36">
        <v>6386</v>
      </c>
      <c r="Y31" s="36">
        <v>5741</v>
      </c>
      <c r="Z31" s="37">
        <v>5071</v>
      </c>
      <c r="AA31" s="38">
        <f t="shared" si="0"/>
        <v>100826</v>
      </c>
      <c r="AB31" s="21">
        <v>5</v>
      </c>
      <c r="AC31" s="95"/>
      <c r="AD31" s="47"/>
    </row>
    <row r="32" spans="1:30" x14ac:dyDescent="0.25">
      <c r="A32" s="93"/>
      <c r="B32" s="22" t="s">
        <v>3</v>
      </c>
      <c r="C32" s="39">
        <v>3043</v>
      </c>
      <c r="D32" s="39">
        <v>2705</v>
      </c>
      <c r="E32" s="39">
        <v>2445</v>
      </c>
      <c r="F32" s="39">
        <v>2293</v>
      </c>
      <c r="G32" s="39">
        <v>2267</v>
      </c>
      <c r="H32" s="39">
        <v>2172</v>
      </c>
      <c r="I32" s="39">
        <v>2085</v>
      </c>
      <c r="J32" s="39">
        <v>1590</v>
      </c>
      <c r="K32" s="39">
        <v>2073</v>
      </c>
      <c r="L32" s="39">
        <v>2661</v>
      </c>
      <c r="M32" s="39">
        <v>3037</v>
      </c>
      <c r="N32" s="39">
        <v>3389</v>
      </c>
      <c r="O32" s="39">
        <v>3535</v>
      </c>
      <c r="P32" s="39">
        <v>3403</v>
      </c>
      <c r="Q32" s="39">
        <v>3218</v>
      </c>
      <c r="R32" s="39">
        <v>3134</v>
      </c>
      <c r="S32" s="39">
        <v>3094</v>
      </c>
      <c r="T32" s="39">
        <v>5471</v>
      </c>
      <c r="U32" s="39">
        <v>6236</v>
      </c>
      <c r="V32" s="39">
        <v>6607</v>
      </c>
      <c r="W32" s="39">
        <v>6513</v>
      </c>
      <c r="X32" s="39">
        <v>6190</v>
      </c>
      <c r="Y32" s="39">
        <v>5462</v>
      </c>
      <c r="Z32" s="40">
        <v>4714</v>
      </c>
      <c r="AA32" s="41">
        <f t="shared" si="0"/>
        <v>87337</v>
      </c>
      <c r="AB32" s="23">
        <v>4</v>
      </c>
      <c r="AC32" s="96"/>
      <c r="AD32" s="48"/>
    </row>
    <row r="33" spans="1:30" ht="15.75" thickBot="1" x14ac:dyDescent="0.3">
      <c r="A33" s="93">
        <v>49218</v>
      </c>
      <c r="B33" s="18" t="s">
        <v>5</v>
      </c>
      <c r="C33" s="33">
        <v>2656</v>
      </c>
      <c r="D33" s="33">
        <v>2362</v>
      </c>
      <c r="E33" s="33">
        <v>2209</v>
      </c>
      <c r="F33" s="33">
        <v>2144</v>
      </c>
      <c r="G33" s="33">
        <v>2226</v>
      </c>
      <c r="H33" s="33">
        <v>2459</v>
      </c>
      <c r="I33" s="33">
        <v>2695</v>
      </c>
      <c r="J33" s="33">
        <v>2529</v>
      </c>
      <c r="K33" s="33">
        <v>3235</v>
      </c>
      <c r="L33" s="33">
        <v>3856</v>
      </c>
      <c r="M33" s="33">
        <v>4421</v>
      </c>
      <c r="N33" s="33">
        <v>4872</v>
      </c>
      <c r="O33" s="33">
        <v>4470</v>
      </c>
      <c r="P33" s="33">
        <v>4439</v>
      </c>
      <c r="Q33" s="33">
        <v>4892</v>
      </c>
      <c r="R33" s="33">
        <v>4976</v>
      </c>
      <c r="S33" s="33">
        <v>4861</v>
      </c>
      <c r="T33" s="33">
        <v>7062</v>
      </c>
      <c r="U33" s="33">
        <v>7567</v>
      </c>
      <c r="V33" s="33">
        <v>7346</v>
      </c>
      <c r="W33" s="33">
        <v>7007</v>
      </c>
      <c r="X33" s="33">
        <v>6535</v>
      </c>
      <c r="Y33" s="33">
        <v>5675</v>
      </c>
      <c r="Z33" s="34">
        <v>4784</v>
      </c>
      <c r="AA33" s="35">
        <f t="shared" si="0"/>
        <v>105278</v>
      </c>
      <c r="AB33" s="19">
        <v>21</v>
      </c>
      <c r="AC33" s="94">
        <f>+AA33*AB33+AA34*AB34+AA35*AB35</f>
        <v>3106194</v>
      </c>
    </row>
    <row r="34" spans="1:30" ht="15.75" thickBot="1" x14ac:dyDescent="0.3">
      <c r="A34" s="93"/>
      <c r="B34" s="20" t="s">
        <v>4</v>
      </c>
      <c r="C34" s="36">
        <v>2891</v>
      </c>
      <c r="D34" s="36">
        <v>2484</v>
      </c>
      <c r="E34" s="36">
        <v>2282</v>
      </c>
      <c r="F34" s="36">
        <v>2160</v>
      </c>
      <c r="G34" s="36">
        <v>2212</v>
      </c>
      <c r="H34" s="36">
        <v>2182</v>
      </c>
      <c r="I34" s="36">
        <v>2327</v>
      </c>
      <c r="J34" s="36">
        <v>2133</v>
      </c>
      <c r="K34" s="36">
        <v>2880</v>
      </c>
      <c r="L34" s="36">
        <v>3555</v>
      </c>
      <c r="M34" s="36">
        <v>4051</v>
      </c>
      <c r="N34" s="36">
        <v>4411</v>
      </c>
      <c r="O34" s="36">
        <v>4293</v>
      </c>
      <c r="P34" s="36">
        <v>3998</v>
      </c>
      <c r="Q34" s="36">
        <v>3961</v>
      </c>
      <c r="R34" s="36">
        <v>3931</v>
      </c>
      <c r="S34" s="36">
        <v>3826</v>
      </c>
      <c r="T34" s="36">
        <v>6297</v>
      </c>
      <c r="U34" s="36">
        <v>7136</v>
      </c>
      <c r="V34" s="36">
        <v>7020</v>
      </c>
      <c r="W34" s="36">
        <v>6637</v>
      </c>
      <c r="X34" s="36">
        <v>6236</v>
      </c>
      <c r="Y34" s="36">
        <v>5601</v>
      </c>
      <c r="Z34" s="37">
        <v>4927</v>
      </c>
      <c r="AA34" s="38">
        <f t="shared" si="0"/>
        <v>97431</v>
      </c>
      <c r="AB34" s="21">
        <v>4</v>
      </c>
      <c r="AC34" s="95"/>
      <c r="AD34" s="47"/>
    </row>
    <row r="35" spans="1:30" x14ac:dyDescent="0.25">
      <c r="A35" s="93"/>
      <c r="B35" s="22" t="s">
        <v>3</v>
      </c>
      <c r="C35" s="39">
        <v>2884</v>
      </c>
      <c r="D35" s="39">
        <v>2536</v>
      </c>
      <c r="E35" s="39">
        <v>2332</v>
      </c>
      <c r="F35" s="39">
        <v>2152</v>
      </c>
      <c r="G35" s="39">
        <v>2140</v>
      </c>
      <c r="H35" s="39">
        <v>2012</v>
      </c>
      <c r="I35" s="39">
        <v>1957</v>
      </c>
      <c r="J35" s="39">
        <v>1452</v>
      </c>
      <c r="K35" s="39">
        <v>1905</v>
      </c>
      <c r="L35" s="39">
        <v>2520</v>
      </c>
      <c r="M35" s="39">
        <v>2893</v>
      </c>
      <c r="N35" s="39">
        <v>3238</v>
      </c>
      <c r="O35" s="39">
        <v>3371</v>
      </c>
      <c r="P35" s="39">
        <v>3250</v>
      </c>
      <c r="Q35" s="39">
        <v>3052</v>
      </c>
      <c r="R35" s="39">
        <v>2953</v>
      </c>
      <c r="S35" s="39">
        <v>2939</v>
      </c>
      <c r="T35" s="39">
        <v>5430</v>
      </c>
      <c r="U35" s="39">
        <v>6332</v>
      </c>
      <c r="V35" s="39">
        <v>6490</v>
      </c>
      <c r="W35" s="39">
        <v>6365</v>
      </c>
      <c r="X35" s="39">
        <v>6055</v>
      </c>
      <c r="Y35" s="39">
        <v>5379</v>
      </c>
      <c r="Z35" s="40">
        <v>4635</v>
      </c>
      <c r="AA35" s="41">
        <f t="shared" si="0"/>
        <v>84272</v>
      </c>
      <c r="AB35" s="23">
        <v>6</v>
      </c>
      <c r="AC35" s="96"/>
      <c r="AD35" s="48"/>
    </row>
    <row r="36" spans="1:30" ht="15.75" thickBot="1" x14ac:dyDescent="0.3">
      <c r="A36" s="93">
        <v>49249</v>
      </c>
      <c r="B36" s="18" t="s">
        <v>5</v>
      </c>
      <c r="C36" s="33">
        <v>2552</v>
      </c>
      <c r="D36" s="33">
        <v>2282</v>
      </c>
      <c r="E36" s="33">
        <v>2128</v>
      </c>
      <c r="F36" s="33">
        <v>2054</v>
      </c>
      <c r="G36" s="33">
        <v>2141</v>
      </c>
      <c r="H36" s="33">
        <v>2405</v>
      </c>
      <c r="I36" s="33">
        <v>2722</v>
      </c>
      <c r="J36" s="33">
        <v>2545</v>
      </c>
      <c r="K36" s="33">
        <v>3229</v>
      </c>
      <c r="L36" s="33">
        <v>3827</v>
      </c>
      <c r="M36" s="33">
        <v>4360</v>
      </c>
      <c r="N36" s="33">
        <v>4804</v>
      </c>
      <c r="O36" s="33">
        <v>4406</v>
      </c>
      <c r="P36" s="33">
        <v>4361</v>
      </c>
      <c r="Q36" s="33">
        <v>4803</v>
      </c>
      <c r="R36" s="33">
        <v>4897</v>
      </c>
      <c r="S36" s="33">
        <v>4780</v>
      </c>
      <c r="T36" s="33">
        <v>7065</v>
      </c>
      <c r="U36" s="33">
        <v>7523</v>
      </c>
      <c r="V36" s="33">
        <v>7281</v>
      </c>
      <c r="W36" s="33">
        <v>6944</v>
      </c>
      <c r="X36" s="33">
        <v>6456</v>
      </c>
      <c r="Y36" s="33">
        <v>5591</v>
      </c>
      <c r="Z36" s="34">
        <v>4674</v>
      </c>
      <c r="AA36" s="35">
        <f t="shared" si="0"/>
        <v>103830</v>
      </c>
      <c r="AB36" s="19">
        <v>20</v>
      </c>
      <c r="AC36" s="94">
        <f>+AA36*AB36+AA37*AB37+AA38*AB38</f>
        <v>2952304</v>
      </c>
    </row>
    <row r="37" spans="1:30" ht="15.75" thickBot="1" x14ac:dyDescent="0.3">
      <c r="A37" s="93"/>
      <c r="B37" s="20" t="s">
        <v>4</v>
      </c>
      <c r="C37" s="36">
        <v>2596</v>
      </c>
      <c r="D37" s="36">
        <v>2202</v>
      </c>
      <c r="E37" s="36">
        <v>2008</v>
      </c>
      <c r="F37" s="36">
        <v>1913</v>
      </c>
      <c r="G37" s="36">
        <v>1952</v>
      </c>
      <c r="H37" s="36">
        <v>1973</v>
      </c>
      <c r="I37" s="36">
        <v>2259</v>
      </c>
      <c r="J37" s="36">
        <v>2030</v>
      </c>
      <c r="K37" s="36">
        <v>2746</v>
      </c>
      <c r="L37" s="36">
        <v>3377</v>
      </c>
      <c r="M37" s="36">
        <v>3827</v>
      </c>
      <c r="N37" s="36">
        <v>4188</v>
      </c>
      <c r="O37" s="36">
        <v>4091</v>
      </c>
      <c r="P37" s="36">
        <v>3880</v>
      </c>
      <c r="Q37" s="36">
        <v>3827</v>
      </c>
      <c r="R37" s="36">
        <v>3852</v>
      </c>
      <c r="S37" s="36">
        <v>3772</v>
      </c>
      <c r="T37" s="36">
        <v>6208</v>
      </c>
      <c r="U37" s="36">
        <v>6975</v>
      </c>
      <c r="V37" s="36">
        <v>6864</v>
      </c>
      <c r="W37" s="36">
        <v>6473</v>
      </c>
      <c r="X37" s="36">
        <v>6066</v>
      </c>
      <c r="Y37" s="36">
        <v>5449</v>
      </c>
      <c r="Z37" s="37">
        <v>4752</v>
      </c>
      <c r="AA37" s="38">
        <f t="shared" si="0"/>
        <v>93280</v>
      </c>
      <c r="AB37" s="21">
        <v>4</v>
      </c>
      <c r="AC37" s="95"/>
      <c r="AD37" s="47"/>
    </row>
    <row r="38" spans="1:30" x14ac:dyDescent="0.25">
      <c r="A38" s="93"/>
      <c r="B38" s="22" t="s">
        <v>3</v>
      </c>
      <c r="C38" s="39">
        <v>2724</v>
      </c>
      <c r="D38" s="39">
        <v>2423</v>
      </c>
      <c r="E38" s="39">
        <v>2175</v>
      </c>
      <c r="F38" s="39">
        <v>2008</v>
      </c>
      <c r="G38" s="39">
        <v>1998</v>
      </c>
      <c r="H38" s="39">
        <v>1912</v>
      </c>
      <c r="I38" s="39">
        <v>1920</v>
      </c>
      <c r="J38" s="39">
        <v>1454</v>
      </c>
      <c r="K38" s="39">
        <v>1953</v>
      </c>
      <c r="L38" s="39">
        <v>2571</v>
      </c>
      <c r="M38" s="39">
        <v>2963</v>
      </c>
      <c r="N38" s="39">
        <v>3302</v>
      </c>
      <c r="O38" s="39">
        <v>3459</v>
      </c>
      <c r="P38" s="39">
        <v>3353</v>
      </c>
      <c r="Q38" s="39">
        <v>3125</v>
      </c>
      <c r="R38" s="39">
        <v>3024</v>
      </c>
      <c r="S38" s="39">
        <v>2975</v>
      </c>
      <c r="T38" s="39">
        <v>5441</v>
      </c>
      <c r="U38" s="39">
        <v>6336</v>
      </c>
      <c r="V38" s="39">
        <v>6402</v>
      </c>
      <c r="W38" s="39">
        <v>6313</v>
      </c>
      <c r="X38" s="39">
        <v>5977</v>
      </c>
      <c r="Y38" s="39">
        <v>5338</v>
      </c>
      <c r="Z38" s="40">
        <v>4618</v>
      </c>
      <c r="AA38" s="41">
        <f t="shared" si="0"/>
        <v>83764</v>
      </c>
      <c r="AB38" s="23">
        <v>6</v>
      </c>
      <c r="AC38" s="96"/>
      <c r="AD38" s="49"/>
    </row>
    <row r="39" spans="1:30" ht="15.75" thickBot="1" x14ac:dyDescent="0.3">
      <c r="A39" s="93">
        <v>49279</v>
      </c>
      <c r="B39" s="18" t="s">
        <v>5</v>
      </c>
      <c r="C39" s="33">
        <v>2764</v>
      </c>
      <c r="D39" s="33">
        <v>2449</v>
      </c>
      <c r="E39" s="33">
        <v>2241</v>
      </c>
      <c r="F39" s="33">
        <v>2150</v>
      </c>
      <c r="G39" s="33">
        <v>2215</v>
      </c>
      <c r="H39" s="33">
        <v>2417</v>
      </c>
      <c r="I39" s="33">
        <v>2732</v>
      </c>
      <c r="J39" s="33">
        <v>2606</v>
      </c>
      <c r="K39" s="33">
        <v>3438</v>
      </c>
      <c r="L39" s="33">
        <v>4115</v>
      </c>
      <c r="M39" s="33">
        <v>4701</v>
      </c>
      <c r="N39" s="33">
        <v>5178</v>
      </c>
      <c r="O39" s="33">
        <v>4883</v>
      </c>
      <c r="P39" s="33">
        <v>4823</v>
      </c>
      <c r="Q39" s="33">
        <v>5212</v>
      </c>
      <c r="R39" s="33">
        <v>5261</v>
      </c>
      <c r="S39" s="33">
        <v>5115</v>
      </c>
      <c r="T39" s="33">
        <v>7237</v>
      </c>
      <c r="U39" s="33">
        <v>7646</v>
      </c>
      <c r="V39" s="33">
        <v>7667</v>
      </c>
      <c r="W39" s="33">
        <v>7261</v>
      </c>
      <c r="X39" s="33">
        <v>6758</v>
      </c>
      <c r="Y39" s="33">
        <v>5933</v>
      </c>
      <c r="Z39" s="34">
        <v>5033</v>
      </c>
      <c r="AA39" s="35">
        <f t="shared" si="0"/>
        <v>109835</v>
      </c>
      <c r="AB39" s="19">
        <v>19</v>
      </c>
      <c r="AC39" s="94">
        <f>+AA39*AB39+AA40*AB40+AA41*AB41</f>
        <v>3177162</v>
      </c>
    </row>
    <row r="40" spans="1:30" ht="15.75" thickBot="1" x14ac:dyDescent="0.3">
      <c r="A40" s="93"/>
      <c r="B40" s="20" t="s">
        <v>4</v>
      </c>
      <c r="C40" s="36">
        <v>2901</v>
      </c>
      <c r="D40" s="36">
        <v>2429</v>
      </c>
      <c r="E40" s="36">
        <v>2215</v>
      </c>
      <c r="F40" s="36">
        <v>2107</v>
      </c>
      <c r="G40" s="36">
        <v>2142</v>
      </c>
      <c r="H40" s="36">
        <v>2242</v>
      </c>
      <c r="I40" s="36">
        <v>2435</v>
      </c>
      <c r="J40" s="36">
        <v>2182</v>
      </c>
      <c r="K40" s="36">
        <v>2915</v>
      </c>
      <c r="L40" s="36">
        <v>3553</v>
      </c>
      <c r="M40" s="36">
        <v>4080</v>
      </c>
      <c r="N40" s="36">
        <v>4441</v>
      </c>
      <c r="O40" s="36">
        <v>4294</v>
      </c>
      <c r="P40" s="36">
        <v>4065</v>
      </c>
      <c r="Q40" s="36">
        <v>4038</v>
      </c>
      <c r="R40" s="36">
        <v>3968</v>
      </c>
      <c r="S40" s="36">
        <v>3899</v>
      </c>
      <c r="T40" s="36">
        <v>6297</v>
      </c>
      <c r="U40" s="36">
        <v>7002</v>
      </c>
      <c r="V40" s="36">
        <v>7087</v>
      </c>
      <c r="W40" s="36">
        <v>6717</v>
      </c>
      <c r="X40" s="36">
        <v>6236</v>
      </c>
      <c r="Y40" s="36">
        <v>5600</v>
      </c>
      <c r="Z40" s="37">
        <v>4911</v>
      </c>
      <c r="AA40" s="38">
        <f t="shared" si="0"/>
        <v>97756</v>
      </c>
      <c r="AB40" s="21">
        <v>5</v>
      </c>
      <c r="AC40" s="95"/>
      <c r="AD40" s="47"/>
    </row>
    <row r="41" spans="1:30" x14ac:dyDescent="0.25">
      <c r="A41" s="93"/>
      <c r="B41" s="22" t="s">
        <v>3</v>
      </c>
      <c r="C41" s="39">
        <v>2822</v>
      </c>
      <c r="D41" s="39">
        <v>2470</v>
      </c>
      <c r="E41" s="39">
        <v>2220</v>
      </c>
      <c r="F41" s="39">
        <v>2069</v>
      </c>
      <c r="G41" s="39">
        <v>2039</v>
      </c>
      <c r="H41" s="39">
        <v>2055</v>
      </c>
      <c r="I41" s="39">
        <v>2077</v>
      </c>
      <c r="J41" s="39">
        <v>1537</v>
      </c>
      <c r="K41" s="39">
        <v>2037</v>
      </c>
      <c r="L41" s="39">
        <v>2632</v>
      </c>
      <c r="M41" s="39">
        <v>3056</v>
      </c>
      <c r="N41" s="39">
        <v>3450</v>
      </c>
      <c r="O41" s="39">
        <v>3579</v>
      </c>
      <c r="P41" s="39">
        <v>3486</v>
      </c>
      <c r="Q41" s="39">
        <v>3317</v>
      </c>
      <c r="R41" s="39">
        <v>3249</v>
      </c>
      <c r="S41" s="39">
        <v>3182</v>
      </c>
      <c r="T41" s="39">
        <v>5562</v>
      </c>
      <c r="U41" s="39">
        <v>6273</v>
      </c>
      <c r="V41" s="39">
        <v>6489</v>
      </c>
      <c r="W41" s="39">
        <v>6332</v>
      </c>
      <c r="X41" s="39">
        <v>6003</v>
      </c>
      <c r="Y41" s="39">
        <v>5361</v>
      </c>
      <c r="Z41" s="40">
        <v>4634</v>
      </c>
      <c r="AA41" s="41">
        <f t="shared" si="0"/>
        <v>85931</v>
      </c>
      <c r="AB41" s="23">
        <v>7</v>
      </c>
      <c r="AC41" s="96"/>
      <c r="AD41" s="42"/>
    </row>
    <row r="42" spans="1:30" x14ac:dyDescent="0.25">
      <c r="A42" s="97" t="s">
        <v>2</v>
      </c>
      <c r="B42" s="98"/>
      <c r="C42" s="31">
        <f t="shared" ref="C42:AC42" si="1">+SUM(C6:C41)</f>
        <v>102697</v>
      </c>
      <c r="D42" s="31">
        <f t="shared" si="1"/>
        <v>89862</v>
      </c>
      <c r="E42" s="31">
        <f t="shared" si="1"/>
        <v>82387</v>
      </c>
      <c r="F42" s="31">
        <f t="shared" si="1"/>
        <v>78227</v>
      </c>
      <c r="G42" s="31">
        <f t="shared" si="1"/>
        <v>79265</v>
      </c>
      <c r="H42" s="31">
        <f t="shared" si="1"/>
        <v>83312</v>
      </c>
      <c r="I42" s="31">
        <f t="shared" si="1"/>
        <v>85356</v>
      </c>
      <c r="J42" s="31">
        <f t="shared" si="1"/>
        <v>72835</v>
      </c>
      <c r="K42" s="31">
        <f t="shared" si="1"/>
        <v>95678</v>
      </c>
      <c r="L42" s="31">
        <f t="shared" si="1"/>
        <v>118094</v>
      </c>
      <c r="M42" s="31">
        <f t="shared" si="1"/>
        <v>135272</v>
      </c>
      <c r="N42" s="31">
        <f t="shared" si="1"/>
        <v>149737</v>
      </c>
      <c r="O42" s="31">
        <f t="shared" si="1"/>
        <v>145905</v>
      </c>
      <c r="P42" s="31">
        <f t="shared" si="1"/>
        <v>141453</v>
      </c>
      <c r="Q42" s="31">
        <f t="shared" si="1"/>
        <v>144140</v>
      </c>
      <c r="R42" s="31">
        <f t="shared" si="1"/>
        <v>144487</v>
      </c>
      <c r="S42" s="31">
        <f t="shared" si="1"/>
        <v>141983</v>
      </c>
      <c r="T42" s="31">
        <f t="shared" si="1"/>
        <v>223432</v>
      </c>
      <c r="U42" s="31">
        <f t="shared" si="1"/>
        <v>240762</v>
      </c>
      <c r="V42" s="31">
        <f t="shared" si="1"/>
        <v>252048</v>
      </c>
      <c r="W42" s="31">
        <f t="shared" si="1"/>
        <v>242816</v>
      </c>
      <c r="X42" s="31">
        <f t="shared" si="1"/>
        <v>229147</v>
      </c>
      <c r="Y42" s="31">
        <f t="shared" si="1"/>
        <v>203422</v>
      </c>
      <c r="Z42" s="31">
        <f t="shared" si="1"/>
        <v>175173</v>
      </c>
      <c r="AA42" s="31">
        <f t="shared" si="1"/>
        <v>3457490</v>
      </c>
      <c r="AB42" s="31">
        <f t="shared" si="1"/>
        <v>365</v>
      </c>
      <c r="AC42" s="46">
        <f t="shared" si="1"/>
        <v>36962295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8CB6-A035-48DB-A964-9E643B666D60}">
  <sheetPr>
    <tabColor rgb="FFFF0000"/>
  </sheetPr>
  <dimension ref="A1:AD46"/>
  <sheetViews>
    <sheetView showGridLines="0" zoomScale="115" zoomScaleNormal="115" zoomScaleSheetLayoutView="110" workbookViewId="0">
      <pane xSplit="2" ySplit="5" topLeftCell="N36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99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48945</v>
      </c>
      <c r="B6" s="18" t="s">
        <v>5</v>
      </c>
      <c r="C6" s="33">
        <f>+'Anexo 19'!C6*'Anexo 9'!$D$10</f>
        <v>0</v>
      </c>
      <c r="D6" s="33">
        <f>+'Anexo 19'!D6*'Anexo 9'!$D$10</f>
        <v>0</v>
      </c>
      <c r="E6" s="33">
        <f>+'Anexo 19'!E6*'Anexo 9'!$D$10</f>
        <v>0</v>
      </c>
      <c r="F6" s="33">
        <f>+'Anexo 19'!F6*'Anexo 9'!$D$10</f>
        <v>0</v>
      </c>
      <c r="G6" s="33">
        <f>+'Anexo 19'!G6*'Anexo 9'!$D$10</f>
        <v>0</v>
      </c>
      <c r="H6" s="33">
        <f>+'Anexo 19'!H6*'Anexo 9'!$D$10</f>
        <v>0</v>
      </c>
      <c r="I6" s="33">
        <f>+'Anexo 19'!I6*'Anexo 9'!$D$10</f>
        <v>0</v>
      </c>
      <c r="J6" s="33">
        <f>+'Anexo 19'!J6*'Anexo 9'!$D$10</f>
        <v>0</v>
      </c>
      <c r="K6" s="33">
        <f>+'Anexo 19'!K6*'Anexo 9'!$D$10</f>
        <v>0</v>
      </c>
      <c r="L6" s="33">
        <f>+'Anexo 19'!L6*'Anexo 9'!$D$10</f>
        <v>0</v>
      </c>
      <c r="M6" s="33">
        <f>+'Anexo 19'!M6*'Anexo 9'!$D$10</f>
        <v>0</v>
      </c>
      <c r="N6" s="33">
        <f>+'Anexo 19'!N6*'Anexo 9'!$D$10</f>
        <v>0</v>
      </c>
      <c r="O6" s="33">
        <f>+'Anexo 19'!O6*'Anexo 9'!$D$10</f>
        <v>0</v>
      </c>
      <c r="P6" s="33">
        <f>+'Anexo 19'!P6*'Anexo 9'!$D$10</f>
        <v>0</v>
      </c>
      <c r="Q6" s="33">
        <f>+'Anexo 19'!Q6*'Anexo 9'!$D$10</f>
        <v>0</v>
      </c>
      <c r="R6" s="33">
        <f>+'Anexo 19'!R6*'Anexo 9'!$D$10</f>
        <v>0</v>
      </c>
      <c r="S6" s="33">
        <f>+'Anexo 19'!S6*'Anexo 9'!$D$10</f>
        <v>0</v>
      </c>
      <c r="T6" s="33">
        <f>+'Anexo 19'!T6*'Anexo 9'!$D$10</f>
        <v>0</v>
      </c>
      <c r="U6" s="33">
        <f>+'Anexo 19'!U6*'Anexo 9'!$D$10</f>
        <v>0</v>
      </c>
      <c r="V6" s="33">
        <f>+'Anexo 19'!V6*'Anexo 9'!$D$10</f>
        <v>0</v>
      </c>
      <c r="W6" s="33">
        <f>+'Anexo 19'!W6*'Anexo 9'!$D$10</f>
        <v>0</v>
      </c>
      <c r="X6" s="33">
        <f>+'Anexo 19'!X6*'Anexo 9'!$D$10</f>
        <v>0</v>
      </c>
      <c r="Y6" s="33">
        <f>+'Anexo 19'!Y6*'Anexo 9'!$D$10</f>
        <v>0</v>
      </c>
      <c r="Z6" s="33">
        <f>+'Anexo 19'!Z6*'Anexo 9'!$D$10</f>
        <v>0</v>
      </c>
      <c r="AA6" s="35">
        <f>SUM(C6:Z6)</f>
        <v>0</v>
      </c>
      <c r="AB6" s="19">
        <v>21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3">
        <f>+'Anexo 19'!C7*'Anexo 9'!$D$10</f>
        <v>0</v>
      </c>
      <c r="D7" s="33">
        <f>+'Anexo 19'!D7*'Anexo 9'!$D$10</f>
        <v>0</v>
      </c>
      <c r="E7" s="33">
        <f>+'Anexo 19'!E7*'Anexo 9'!$D$10</f>
        <v>0</v>
      </c>
      <c r="F7" s="33">
        <f>+'Anexo 19'!F7*'Anexo 9'!$D$10</f>
        <v>0</v>
      </c>
      <c r="G7" s="33">
        <f>+'Anexo 19'!G7*'Anexo 9'!$D$10</f>
        <v>0</v>
      </c>
      <c r="H7" s="33">
        <f>+'Anexo 19'!H7*'Anexo 9'!$D$10</f>
        <v>0</v>
      </c>
      <c r="I7" s="33">
        <f>+'Anexo 19'!I7*'Anexo 9'!$D$10</f>
        <v>0</v>
      </c>
      <c r="J7" s="33">
        <f>+'Anexo 19'!J7*'Anexo 9'!$D$10</f>
        <v>0</v>
      </c>
      <c r="K7" s="33">
        <f>+'Anexo 19'!K7*'Anexo 9'!$D$10</f>
        <v>0</v>
      </c>
      <c r="L7" s="33">
        <f>+'Anexo 19'!L7*'Anexo 9'!$D$10</f>
        <v>0</v>
      </c>
      <c r="M7" s="33">
        <f>+'Anexo 19'!M7*'Anexo 9'!$D$10</f>
        <v>0</v>
      </c>
      <c r="N7" s="33">
        <f>+'Anexo 19'!N7*'Anexo 9'!$D$10</f>
        <v>0</v>
      </c>
      <c r="O7" s="33">
        <f>+'Anexo 19'!O7*'Anexo 9'!$D$10</f>
        <v>0</v>
      </c>
      <c r="P7" s="33">
        <f>+'Anexo 19'!P7*'Anexo 9'!$D$10</f>
        <v>0</v>
      </c>
      <c r="Q7" s="33">
        <f>+'Anexo 19'!Q7*'Anexo 9'!$D$10</f>
        <v>0</v>
      </c>
      <c r="R7" s="33">
        <f>+'Anexo 19'!R7*'Anexo 9'!$D$10</f>
        <v>0</v>
      </c>
      <c r="S7" s="33">
        <f>+'Anexo 19'!S7*'Anexo 9'!$D$10</f>
        <v>0</v>
      </c>
      <c r="T7" s="33">
        <f>+'Anexo 19'!T7*'Anexo 9'!$D$10</f>
        <v>0</v>
      </c>
      <c r="U7" s="33">
        <f>+'Anexo 19'!U7*'Anexo 9'!$D$10</f>
        <v>0</v>
      </c>
      <c r="V7" s="33">
        <f>+'Anexo 19'!V7*'Anexo 9'!$D$10</f>
        <v>0</v>
      </c>
      <c r="W7" s="33">
        <f>+'Anexo 19'!W7*'Anexo 9'!$D$10</f>
        <v>0</v>
      </c>
      <c r="X7" s="33">
        <f>+'Anexo 19'!X7*'Anexo 9'!$D$10</f>
        <v>0</v>
      </c>
      <c r="Y7" s="33">
        <f>+'Anexo 19'!Y7*'Anexo 9'!$D$10</f>
        <v>0</v>
      </c>
      <c r="Z7" s="33">
        <f>+'Anexo 19'!Z7*'Anexo 9'!$D$10</f>
        <v>0</v>
      </c>
      <c r="AA7" s="38">
        <f t="shared" ref="AA7:AA41" si="0">SUM(C7:Z7)</f>
        <v>0</v>
      </c>
      <c r="AB7" s="21">
        <v>4</v>
      </c>
      <c r="AC7" s="95"/>
      <c r="AD7" s="47"/>
    </row>
    <row r="8" spans="1:30" ht="15.75" thickBot="1" x14ac:dyDescent="0.3">
      <c r="A8" s="93"/>
      <c r="B8" s="22" t="s">
        <v>3</v>
      </c>
      <c r="C8" s="33">
        <f>+'Anexo 19'!C8*'Anexo 9'!$D$10</f>
        <v>0</v>
      </c>
      <c r="D8" s="33">
        <f>+'Anexo 19'!D8*'Anexo 9'!$D$10</f>
        <v>0</v>
      </c>
      <c r="E8" s="33">
        <f>+'Anexo 19'!E8*'Anexo 9'!$D$10</f>
        <v>0</v>
      </c>
      <c r="F8" s="33">
        <f>+'Anexo 19'!F8*'Anexo 9'!$D$10</f>
        <v>0</v>
      </c>
      <c r="G8" s="33">
        <f>+'Anexo 19'!G8*'Anexo 9'!$D$10</f>
        <v>0</v>
      </c>
      <c r="H8" s="33">
        <f>+'Anexo 19'!H8*'Anexo 9'!$D$10</f>
        <v>0</v>
      </c>
      <c r="I8" s="33">
        <f>+'Anexo 19'!I8*'Anexo 9'!$D$10</f>
        <v>0</v>
      </c>
      <c r="J8" s="33">
        <f>+'Anexo 19'!J8*'Anexo 9'!$D$10</f>
        <v>0</v>
      </c>
      <c r="K8" s="33">
        <f>+'Anexo 19'!K8*'Anexo 9'!$D$10</f>
        <v>0</v>
      </c>
      <c r="L8" s="33">
        <f>+'Anexo 19'!L8*'Anexo 9'!$D$10</f>
        <v>0</v>
      </c>
      <c r="M8" s="33">
        <f>+'Anexo 19'!M8*'Anexo 9'!$D$10</f>
        <v>0</v>
      </c>
      <c r="N8" s="33">
        <f>+'Anexo 19'!N8*'Anexo 9'!$D$10</f>
        <v>0</v>
      </c>
      <c r="O8" s="33">
        <f>+'Anexo 19'!O8*'Anexo 9'!$D$10</f>
        <v>0</v>
      </c>
      <c r="P8" s="33">
        <f>+'Anexo 19'!P8*'Anexo 9'!$D$10</f>
        <v>0</v>
      </c>
      <c r="Q8" s="33">
        <f>+'Anexo 19'!Q8*'Anexo 9'!$D$10</f>
        <v>0</v>
      </c>
      <c r="R8" s="33">
        <f>+'Anexo 19'!R8*'Anexo 9'!$D$10</f>
        <v>0</v>
      </c>
      <c r="S8" s="33">
        <f>+'Anexo 19'!S8*'Anexo 9'!$D$10</f>
        <v>0</v>
      </c>
      <c r="T8" s="33">
        <f>+'Anexo 19'!T8*'Anexo 9'!$D$10</f>
        <v>0</v>
      </c>
      <c r="U8" s="33">
        <f>+'Anexo 19'!U8*'Anexo 9'!$D$10</f>
        <v>0</v>
      </c>
      <c r="V8" s="33">
        <f>+'Anexo 19'!V8*'Anexo 9'!$D$10</f>
        <v>0</v>
      </c>
      <c r="W8" s="33">
        <f>+'Anexo 19'!W8*'Anexo 9'!$D$10</f>
        <v>0</v>
      </c>
      <c r="X8" s="33">
        <f>+'Anexo 19'!X8*'Anexo 9'!$D$10</f>
        <v>0</v>
      </c>
      <c r="Y8" s="33">
        <f>+'Anexo 19'!Y8*'Anexo 9'!$D$10</f>
        <v>0</v>
      </c>
      <c r="Z8" s="33">
        <f>+'Anexo 19'!Z8*'Anexo 9'!$D$10</f>
        <v>0</v>
      </c>
      <c r="AA8" s="41">
        <f t="shared" si="0"/>
        <v>0</v>
      </c>
      <c r="AB8" s="23">
        <v>6</v>
      </c>
      <c r="AC8" s="96"/>
      <c r="AD8" s="48"/>
    </row>
    <row r="9" spans="1:30" ht="15.75" thickBot="1" x14ac:dyDescent="0.3">
      <c r="A9" s="93">
        <v>48976</v>
      </c>
      <c r="B9" s="18" t="s">
        <v>5</v>
      </c>
      <c r="C9" s="33">
        <f>+'Anexo 19'!C9*'Anexo 9'!$D$10</f>
        <v>0</v>
      </c>
      <c r="D9" s="33">
        <f>+'Anexo 19'!D9*'Anexo 9'!$D$10</f>
        <v>0</v>
      </c>
      <c r="E9" s="33">
        <f>+'Anexo 19'!E9*'Anexo 9'!$D$10</f>
        <v>0</v>
      </c>
      <c r="F9" s="33">
        <f>+'Anexo 19'!F9*'Anexo 9'!$D$10</f>
        <v>0</v>
      </c>
      <c r="G9" s="33">
        <f>+'Anexo 19'!G9*'Anexo 9'!$D$10</f>
        <v>0</v>
      </c>
      <c r="H9" s="33">
        <f>+'Anexo 19'!H9*'Anexo 9'!$D$10</f>
        <v>0</v>
      </c>
      <c r="I9" s="33">
        <f>+'Anexo 19'!I9*'Anexo 9'!$D$10</f>
        <v>0</v>
      </c>
      <c r="J9" s="33">
        <f>+'Anexo 19'!J9*'Anexo 9'!$D$10</f>
        <v>0</v>
      </c>
      <c r="K9" s="33">
        <f>+'Anexo 19'!K9*'Anexo 9'!$D$10</f>
        <v>0</v>
      </c>
      <c r="L9" s="33">
        <f>+'Anexo 19'!L9*'Anexo 9'!$D$10</f>
        <v>0</v>
      </c>
      <c r="M9" s="33">
        <f>+'Anexo 19'!M9*'Anexo 9'!$D$10</f>
        <v>0</v>
      </c>
      <c r="N9" s="33">
        <f>+'Anexo 19'!N9*'Anexo 9'!$D$10</f>
        <v>0</v>
      </c>
      <c r="O9" s="33">
        <f>+'Anexo 19'!O9*'Anexo 9'!$D$10</f>
        <v>0</v>
      </c>
      <c r="P9" s="33">
        <f>+'Anexo 19'!P9*'Anexo 9'!$D$10</f>
        <v>0</v>
      </c>
      <c r="Q9" s="33">
        <f>+'Anexo 19'!Q9*'Anexo 9'!$D$10</f>
        <v>0</v>
      </c>
      <c r="R9" s="33">
        <f>+'Anexo 19'!R9*'Anexo 9'!$D$10</f>
        <v>0</v>
      </c>
      <c r="S9" s="33">
        <f>+'Anexo 19'!S9*'Anexo 9'!$D$10</f>
        <v>0</v>
      </c>
      <c r="T9" s="33">
        <f>+'Anexo 19'!T9*'Anexo 9'!$D$10</f>
        <v>0</v>
      </c>
      <c r="U9" s="33">
        <f>+'Anexo 19'!U9*'Anexo 9'!$D$10</f>
        <v>0</v>
      </c>
      <c r="V9" s="33">
        <f>+'Anexo 19'!V9*'Anexo 9'!$D$10</f>
        <v>0</v>
      </c>
      <c r="W9" s="33">
        <f>+'Anexo 19'!W9*'Anexo 9'!$D$10</f>
        <v>0</v>
      </c>
      <c r="X9" s="33">
        <f>+'Anexo 19'!X9*'Anexo 9'!$D$10</f>
        <v>0</v>
      </c>
      <c r="Y9" s="33">
        <f>+'Anexo 19'!Y9*'Anexo 9'!$D$10</f>
        <v>0</v>
      </c>
      <c r="Z9" s="33">
        <f>+'Anexo 19'!Z9*'Anexo 9'!$D$10</f>
        <v>0</v>
      </c>
      <c r="AA9" s="35">
        <f t="shared" si="0"/>
        <v>0</v>
      </c>
      <c r="AB9" s="19">
        <v>20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+'Anexo 19'!C10*'Anexo 9'!$D$10</f>
        <v>0</v>
      </c>
      <c r="D10" s="33">
        <f>+'Anexo 19'!D10*'Anexo 9'!$D$10</f>
        <v>0</v>
      </c>
      <c r="E10" s="33">
        <f>+'Anexo 19'!E10*'Anexo 9'!$D$10</f>
        <v>0</v>
      </c>
      <c r="F10" s="33">
        <f>+'Anexo 19'!F10*'Anexo 9'!$D$10</f>
        <v>0</v>
      </c>
      <c r="G10" s="33">
        <f>+'Anexo 19'!G10*'Anexo 9'!$D$10</f>
        <v>0</v>
      </c>
      <c r="H10" s="33">
        <f>+'Anexo 19'!H10*'Anexo 9'!$D$10</f>
        <v>0</v>
      </c>
      <c r="I10" s="33">
        <f>+'Anexo 19'!I10*'Anexo 9'!$D$10</f>
        <v>0</v>
      </c>
      <c r="J10" s="33">
        <f>+'Anexo 19'!J10*'Anexo 9'!$D$10</f>
        <v>0</v>
      </c>
      <c r="K10" s="33">
        <f>+'Anexo 19'!K10*'Anexo 9'!$D$10</f>
        <v>0</v>
      </c>
      <c r="L10" s="33">
        <f>+'Anexo 19'!L10*'Anexo 9'!$D$10</f>
        <v>0</v>
      </c>
      <c r="M10" s="33">
        <f>+'Anexo 19'!M10*'Anexo 9'!$D$10</f>
        <v>0</v>
      </c>
      <c r="N10" s="33">
        <f>+'Anexo 19'!N10*'Anexo 9'!$D$10</f>
        <v>0</v>
      </c>
      <c r="O10" s="33">
        <f>+'Anexo 19'!O10*'Anexo 9'!$D$10</f>
        <v>0</v>
      </c>
      <c r="P10" s="33">
        <f>+'Anexo 19'!P10*'Anexo 9'!$D$10</f>
        <v>0</v>
      </c>
      <c r="Q10" s="33">
        <f>+'Anexo 19'!Q10*'Anexo 9'!$D$10</f>
        <v>0</v>
      </c>
      <c r="R10" s="33">
        <f>+'Anexo 19'!R10*'Anexo 9'!$D$10</f>
        <v>0</v>
      </c>
      <c r="S10" s="33">
        <f>+'Anexo 19'!S10*'Anexo 9'!$D$10</f>
        <v>0</v>
      </c>
      <c r="T10" s="33">
        <f>+'Anexo 19'!T10*'Anexo 9'!$D$10</f>
        <v>0</v>
      </c>
      <c r="U10" s="33">
        <f>+'Anexo 19'!U10*'Anexo 9'!$D$10</f>
        <v>0</v>
      </c>
      <c r="V10" s="33">
        <f>+'Anexo 19'!V10*'Anexo 9'!$D$10</f>
        <v>0</v>
      </c>
      <c r="W10" s="33">
        <f>+'Anexo 19'!W10*'Anexo 9'!$D$10</f>
        <v>0</v>
      </c>
      <c r="X10" s="33">
        <f>+'Anexo 19'!X10*'Anexo 9'!$D$10</f>
        <v>0</v>
      </c>
      <c r="Y10" s="33">
        <f>+'Anexo 19'!Y10*'Anexo 9'!$D$10</f>
        <v>0</v>
      </c>
      <c r="Z10" s="33">
        <f>+'Anexo 19'!Z10*'Anexo 9'!$D$10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+'Anexo 19'!C11*'Anexo 9'!$D$10</f>
        <v>0</v>
      </c>
      <c r="D11" s="33">
        <f>+'Anexo 19'!D11*'Anexo 9'!$D$10</f>
        <v>0</v>
      </c>
      <c r="E11" s="33">
        <f>+'Anexo 19'!E11*'Anexo 9'!$D$10</f>
        <v>0</v>
      </c>
      <c r="F11" s="33">
        <f>+'Anexo 19'!F11*'Anexo 9'!$D$10</f>
        <v>0</v>
      </c>
      <c r="G11" s="33">
        <f>+'Anexo 19'!G11*'Anexo 9'!$D$10</f>
        <v>0</v>
      </c>
      <c r="H11" s="33">
        <f>+'Anexo 19'!H11*'Anexo 9'!$D$10</f>
        <v>0</v>
      </c>
      <c r="I11" s="33">
        <f>+'Anexo 19'!I11*'Anexo 9'!$D$10</f>
        <v>0</v>
      </c>
      <c r="J11" s="33">
        <f>+'Anexo 19'!J11*'Anexo 9'!$D$10</f>
        <v>0</v>
      </c>
      <c r="K11" s="33">
        <f>+'Anexo 19'!K11*'Anexo 9'!$D$10</f>
        <v>0</v>
      </c>
      <c r="L11" s="33">
        <f>+'Anexo 19'!L11*'Anexo 9'!$D$10</f>
        <v>0</v>
      </c>
      <c r="M11" s="33">
        <f>+'Anexo 19'!M11*'Anexo 9'!$D$10</f>
        <v>0</v>
      </c>
      <c r="N11" s="33">
        <f>+'Anexo 19'!N11*'Anexo 9'!$D$10</f>
        <v>0</v>
      </c>
      <c r="O11" s="33">
        <f>+'Anexo 19'!O11*'Anexo 9'!$D$10</f>
        <v>0</v>
      </c>
      <c r="P11" s="33">
        <f>+'Anexo 19'!P11*'Anexo 9'!$D$10</f>
        <v>0</v>
      </c>
      <c r="Q11" s="33">
        <f>+'Anexo 19'!Q11*'Anexo 9'!$D$10</f>
        <v>0</v>
      </c>
      <c r="R11" s="33">
        <f>+'Anexo 19'!R11*'Anexo 9'!$D$10</f>
        <v>0</v>
      </c>
      <c r="S11" s="33">
        <f>+'Anexo 19'!S11*'Anexo 9'!$D$10</f>
        <v>0</v>
      </c>
      <c r="T11" s="33">
        <f>+'Anexo 19'!T11*'Anexo 9'!$D$10</f>
        <v>0</v>
      </c>
      <c r="U11" s="33">
        <f>+'Anexo 19'!U11*'Anexo 9'!$D$10</f>
        <v>0</v>
      </c>
      <c r="V11" s="33">
        <f>+'Anexo 19'!V11*'Anexo 9'!$D$10</f>
        <v>0</v>
      </c>
      <c r="W11" s="33">
        <f>+'Anexo 19'!W11*'Anexo 9'!$D$10</f>
        <v>0</v>
      </c>
      <c r="X11" s="33">
        <f>+'Anexo 19'!X11*'Anexo 9'!$D$10</f>
        <v>0</v>
      </c>
      <c r="Y11" s="33">
        <f>+'Anexo 19'!Y11*'Anexo 9'!$D$10</f>
        <v>0</v>
      </c>
      <c r="Z11" s="33">
        <f>+'Anexo 19'!Z11*'Anexo 9'!$D$10</f>
        <v>0</v>
      </c>
      <c r="AA11" s="41">
        <f t="shared" si="0"/>
        <v>0</v>
      </c>
      <c r="AB11" s="23">
        <v>4</v>
      </c>
      <c r="AC11" s="96"/>
      <c r="AD11" s="48"/>
    </row>
    <row r="12" spans="1:30" ht="15.75" thickBot="1" x14ac:dyDescent="0.3">
      <c r="A12" s="93">
        <v>49004</v>
      </c>
      <c r="B12" s="18" t="s">
        <v>5</v>
      </c>
      <c r="C12" s="33">
        <f>+'Anexo 19'!C12*'Anexo 9'!$D$10</f>
        <v>0</v>
      </c>
      <c r="D12" s="33">
        <f>+'Anexo 19'!D12*'Anexo 9'!$D$10</f>
        <v>0</v>
      </c>
      <c r="E12" s="33">
        <f>+'Anexo 19'!E12*'Anexo 9'!$D$10</f>
        <v>0</v>
      </c>
      <c r="F12" s="33">
        <f>+'Anexo 19'!F12*'Anexo 9'!$D$10</f>
        <v>0</v>
      </c>
      <c r="G12" s="33">
        <f>+'Anexo 19'!G12*'Anexo 9'!$D$10</f>
        <v>0</v>
      </c>
      <c r="H12" s="33">
        <f>+'Anexo 19'!H12*'Anexo 9'!$D$10</f>
        <v>0</v>
      </c>
      <c r="I12" s="33">
        <f>+'Anexo 19'!I12*'Anexo 9'!$D$10</f>
        <v>0</v>
      </c>
      <c r="J12" s="33">
        <f>+'Anexo 19'!J12*'Anexo 9'!$D$10</f>
        <v>0</v>
      </c>
      <c r="K12" s="33">
        <f>+'Anexo 19'!K12*'Anexo 9'!$D$10</f>
        <v>0</v>
      </c>
      <c r="L12" s="33">
        <f>+'Anexo 19'!L12*'Anexo 9'!$D$10</f>
        <v>0</v>
      </c>
      <c r="M12" s="33">
        <f>+'Anexo 19'!M12*'Anexo 9'!$D$10</f>
        <v>0</v>
      </c>
      <c r="N12" s="33">
        <f>+'Anexo 19'!N12*'Anexo 9'!$D$10</f>
        <v>0</v>
      </c>
      <c r="O12" s="33">
        <f>+'Anexo 19'!O12*'Anexo 9'!$D$10</f>
        <v>0</v>
      </c>
      <c r="P12" s="33">
        <f>+'Anexo 19'!P12*'Anexo 9'!$D$10</f>
        <v>0</v>
      </c>
      <c r="Q12" s="33">
        <f>+'Anexo 19'!Q12*'Anexo 9'!$D$10</f>
        <v>0</v>
      </c>
      <c r="R12" s="33">
        <f>+'Anexo 19'!R12*'Anexo 9'!$D$10</f>
        <v>0</v>
      </c>
      <c r="S12" s="33">
        <f>+'Anexo 19'!S12*'Anexo 9'!$D$10</f>
        <v>0</v>
      </c>
      <c r="T12" s="33">
        <f>+'Anexo 19'!T12*'Anexo 9'!$D$10</f>
        <v>0</v>
      </c>
      <c r="U12" s="33">
        <f>+'Anexo 19'!U12*'Anexo 9'!$D$10</f>
        <v>0</v>
      </c>
      <c r="V12" s="33">
        <f>+'Anexo 19'!V12*'Anexo 9'!$D$10</f>
        <v>0</v>
      </c>
      <c r="W12" s="33">
        <f>+'Anexo 19'!W12*'Anexo 9'!$D$10</f>
        <v>0</v>
      </c>
      <c r="X12" s="33">
        <f>+'Anexo 19'!X12*'Anexo 9'!$D$10</f>
        <v>0</v>
      </c>
      <c r="Y12" s="33">
        <f>+'Anexo 19'!Y12*'Anexo 9'!$D$10</f>
        <v>0</v>
      </c>
      <c r="Z12" s="33">
        <f>+'Anexo 19'!Z12*'Anexo 9'!$D$10</f>
        <v>0</v>
      </c>
      <c r="AA12" s="35">
        <f t="shared" si="0"/>
        <v>0</v>
      </c>
      <c r="AB12" s="19">
        <v>22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+'Anexo 19'!C13*'Anexo 9'!$D$10</f>
        <v>0</v>
      </c>
      <c r="D13" s="33">
        <f>+'Anexo 19'!D13*'Anexo 9'!$D$10</f>
        <v>0</v>
      </c>
      <c r="E13" s="33">
        <f>+'Anexo 19'!E13*'Anexo 9'!$D$10</f>
        <v>0</v>
      </c>
      <c r="F13" s="33">
        <f>+'Anexo 19'!F13*'Anexo 9'!$D$10</f>
        <v>0</v>
      </c>
      <c r="G13" s="33">
        <f>+'Anexo 19'!G13*'Anexo 9'!$D$10</f>
        <v>0</v>
      </c>
      <c r="H13" s="33">
        <f>+'Anexo 19'!H13*'Anexo 9'!$D$10</f>
        <v>0</v>
      </c>
      <c r="I13" s="33">
        <f>+'Anexo 19'!I13*'Anexo 9'!$D$10</f>
        <v>0</v>
      </c>
      <c r="J13" s="33">
        <f>+'Anexo 19'!J13*'Anexo 9'!$D$10</f>
        <v>0</v>
      </c>
      <c r="K13" s="33">
        <f>+'Anexo 19'!K13*'Anexo 9'!$D$10</f>
        <v>0</v>
      </c>
      <c r="L13" s="33">
        <f>+'Anexo 19'!L13*'Anexo 9'!$D$10</f>
        <v>0</v>
      </c>
      <c r="M13" s="33">
        <f>+'Anexo 19'!M13*'Anexo 9'!$D$10</f>
        <v>0</v>
      </c>
      <c r="N13" s="33">
        <f>+'Anexo 19'!N13*'Anexo 9'!$D$10</f>
        <v>0</v>
      </c>
      <c r="O13" s="33">
        <f>+'Anexo 19'!O13*'Anexo 9'!$D$10</f>
        <v>0</v>
      </c>
      <c r="P13" s="33">
        <f>+'Anexo 19'!P13*'Anexo 9'!$D$10</f>
        <v>0</v>
      </c>
      <c r="Q13" s="33">
        <f>+'Anexo 19'!Q13*'Anexo 9'!$D$10</f>
        <v>0</v>
      </c>
      <c r="R13" s="33">
        <f>+'Anexo 19'!R13*'Anexo 9'!$D$10</f>
        <v>0</v>
      </c>
      <c r="S13" s="33">
        <f>+'Anexo 19'!S13*'Anexo 9'!$D$10</f>
        <v>0</v>
      </c>
      <c r="T13" s="33">
        <f>+'Anexo 19'!T13*'Anexo 9'!$D$10</f>
        <v>0</v>
      </c>
      <c r="U13" s="33">
        <f>+'Anexo 19'!U13*'Anexo 9'!$D$10</f>
        <v>0</v>
      </c>
      <c r="V13" s="33">
        <f>+'Anexo 19'!V13*'Anexo 9'!$D$10</f>
        <v>0</v>
      </c>
      <c r="W13" s="33">
        <f>+'Anexo 19'!W13*'Anexo 9'!$D$10</f>
        <v>0</v>
      </c>
      <c r="X13" s="33">
        <f>+'Anexo 19'!X13*'Anexo 9'!$D$10</f>
        <v>0</v>
      </c>
      <c r="Y13" s="33">
        <f>+'Anexo 19'!Y13*'Anexo 9'!$D$10</f>
        <v>0</v>
      </c>
      <c r="Z13" s="33">
        <f>+'Anexo 19'!Z13*'Anexo 9'!$D$10</f>
        <v>0</v>
      </c>
      <c r="AA13" s="38">
        <f t="shared" si="0"/>
        <v>0</v>
      </c>
      <c r="AB13" s="21">
        <v>4</v>
      </c>
      <c r="AC13" s="95"/>
      <c r="AD13" s="47"/>
    </row>
    <row r="14" spans="1:30" ht="15.75" thickBot="1" x14ac:dyDescent="0.3">
      <c r="A14" s="93"/>
      <c r="B14" s="22" t="s">
        <v>3</v>
      </c>
      <c r="C14" s="33">
        <f>+'Anexo 19'!C14*'Anexo 9'!$D$10</f>
        <v>0</v>
      </c>
      <c r="D14" s="33">
        <f>+'Anexo 19'!D14*'Anexo 9'!$D$10</f>
        <v>0</v>
      </c>
      <c r="E14" s="33">
        <f>+'Anexo 19'!E14*'Anexo 9'!$D$10</f>
        <v>0</v>
      </c>
      <c r="F14" s="33">
        <f>+'Anexo 19'!F14*'Anexo 9'!$D$10</f>
        <v>0</v>
      </c>
      <c r="G14" s="33">
        <f>+'Anexo 19'!G14*'Anexo 9'!$D$10</f>
        <v>0</v>
      </c>
      <c r="H14" s="33">
        <f>+'Anexo 19'!H14*'Anexo 9'!$D$10</f>
        <v>0</v>
      </c>
      <c r="I14" s="33">
        <f>+'Anexo 19'!I14*'Anexo 9'!$D$10</f>
        <v>0</v>
      </c>
      <c r="J14" s="33">
        <f>+'Anexo 19'!J14*'Anexo 9'!$D$10</f>
        <v>0</v>
      </c>
      <c r="K14" s="33">
        <f>+'Anexo 19'!K14*'Anexo 9'!$D$10</f>
        <v>0</v>
      </c>
      <c r="L14" s="33">
        <f>+'Anexo 19'!L14*'Anexo 9'!$D$10</f>
        <v>0</v>
      </c>
      <c r="M14" s="33">
        <f>+'Anexo 19'!M14*'Anexo 9'!$D$10</f>
        <v>0</v>
      </c>
      <c r="N14" s="33">
        <f>+'Anexo 19'!N14*'Anexo 9'!$D$10</f>
        <v>0</v>
      </c>
      <c r="O14" s="33">
        <f>+'Anexo 19'!O14*'Anexo 9'!$D$10</f>
        <v>0</v>
      </c>
      <c r="P14" s="33">
        <f>+'Anexo 19'!P14*'Anexo 9'!$D$10</f>
        <v>0</v>
      </c>
      <c r="Q14" s="33">
        <f>+'Anexo 19'!Q14*'Anexo 9'!$D$10</f>
        <v>0</v>
      </c>
      <c r="R14" s="33">
        <f>+'Anexo 19'!R14*'Anexo 9'!$D$10</f>
        <v>0</v>
      </c>
      <c r="S14" s="33">
        <f>+'Anexo 19'!S14*'Anexo 9'!$D$10</f>
        <v>0</v>
      </c>
      <c r="T14" s="33">
        <f>+'Anexo 19'!T14*'Anexo 9'!$D$10</f>
        <v>0</v>
      </c>
      <c r="U14" s="33">
        <f>+'Anexo 19'!U14*'Anexo 9'!$D$10</f>
        <v>0</v>
      </c>
      <c r="V14" s="33">
        <f>+'Anexo 19'!V14*'Anexo 9'!$D$10</f>
        <v>0</v>
      </c>
      <c r="W14" s="33">
        <f>+'Anexo 19'!W14*'Anexo 9'!$D$10</f>
        <v>0</v>
      </c>
      <c r="X14" s="33">
        <f>+'Anexo 19'!X14*'Anexo 9'!$D$10</f>
        <v>0</v>
      </c>
      <c r="Y14" s="33">
        <f>+'Anexo 19'!Y14*'Anexo 9'!$D$10</f>
        <v>0</v>
      </c>
      <c r="Z14" s="33">
        <f>+'Anexo 19'!Z14*'Anexo 9'!$D$10</f>
        <v>0</v>
      </c>
      <c r="AA14" s="41">
        <f t="shared" si="0"/>
        <v>0</v>
      </c>
      <c r="AB14" s="23">
        <v>5</v>
      </c>
      <c r="AC14" s="96"/>
      <c r="AD14" s="45"/>
    </row>
    <row r="15" spans="1:30" ht="15.75" thickBot="1" x14ac:dyDescent="0.3">
      <c r="A15" s="93">
        <v>49035</v>
      </c>
      <c r="B15" s="18" t="s">
        <v>5</v>
      </c>
      <c r="C15" s="33">
        <f>+'Anexo 19'!C15*'Anexo 9'!$D$10</f>
        <v>0</v>
      </c>
      <c r="D15" s="33">
        <f>+'Anexo 19'!D15*'Anexo 9'!$D$10</f>
        <v>0</v>
      </c>
      <c r="E15" s="33">
        <f>+'Anexo 19'!E15*'Anexo 9'!$D$10</f>
        <v>0</v>
      </c>
      <c r="F15" s="33">
        <f>+'Anexo 19'!F15*'Anexo 9'!$D$10</f>
        <v>0</v>
      </c>
      <c r="G15" s="33">
        <f>+'Anexo 19'!G15*'Anexo 9'!$D$10</f>
        <v>0</v>
      </c>
      <c r="H15" s="33">
        <f>+'Anexo 19'!H15*'Anexo 9'!$D$10</f>
        <v>0</v>
      </c>
      <c r="I15" s="33">
        <f>+'Anexo 19'!I15*'Anexo 9'!$D$10</f>
        <v>0</v>
      </c>
      <c r="J15" s="33">
        <f>+'Anexo 19'!J15*'Anexo 9'!$D$10</f>
        <v>0</v>
      </c>
      <c r="K15" s="33">
        <f>+'Anexo 19'!K15*'Anexo 9'!$D$10</f>
        <v>0</v>
      </c>
      <c r="L15" s="33">
        <f>+'Anexo 19'!L15*'Anexo 9'!$D$10</f>
        <v>0</v>
      </c>
      <c r="M15" s="33">
        <f>+'Anexo 19'!M15*'Anexo 9'!$D$10</f>
        <v>0</v>
      </c>
      <c r="N15" s="33">
        <f>+'Anexo 19'!N15*'Anexo 9'!$D$10</f>
        <v>0</v>
      </c>
      <c r="O15" s="33">
        <f>+'Anexo 19'!O15*'Anexo 9'!$D$10</f>
        <v>0</v>
      </c>
      <c r="P15" s="33">
        <f>+'Anexo 19'!P15*'Anexo 9'!$D$10</f>
        <v>0</v>
      </c>
      <c r="Q15" s="33">
        <f>+'Anexo 19'!Q15*'Anexo 9'!$D$10</f>
        <v>0</v>
      </c>
      <c r="R15" s="33">
        <f>+'Anexo 19'!R15*'Anexo 9'!$D$10</f>
        <v>0</v>
      </c>
      <c r="S15" s="33">
        <f>+'Anexo 19'!S15*'Anexo 9'!$D$10</f>
        <v>0</v>
      </c>
      <c r="T15" s="33">
        <f>+'Anexo 19'!T15*'Anexo 9'!$D$10</f>
        <v>0</v>
      </c>
      <c r="U15" s="33">
        <f>+'Anexo 19'!U15*'Anexo 9'!$D$10</f>
        <v>0</v>
      </c>
      <c r="V15" s="33">
        <f>+'Anexo 19'!V15*'Anexo 9'!$D$10</f>
        <v>0</v>
      </c>
      <c r="W15" s="33">
        <f>+'Anexo 19'!W15*'Anexo 9'!$D$10</f>
        <v>0</v>
      </c>
      <c r="X15" s="33">
        <f>+'Anexo 19'!X15*'Anexo 9'!$D$10</f>
        <v>0</v>
      </c>
      <c r="Y15" s="33">
        <f>+'Anexo 19'!Y15*'Anexo 9'!$D$10</f>
        <v>0</v>
      </c>
      <c r="Z15" s="33">
        <f>+'Anexo 19'!Z15*'Anexo 9'!$D$10</f>
        <v>0</v>
      </c>
      <c r="AA15" s="35">
        <f t="shared" si="0"/>
        <v>0</v>
      </c>
      <c r="AB15" s="19">
        <v>18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+'Anexo 19'!C16*'Anexo 9'!$D$10</f>
        <v>0</v>
      </c>
      <c r="D16" s="33">
        <f>+'Anexo 19'!D16*'Anexo 9'!$D$10</f>
        <v>0</v>
      </c>
      <c r="E16" s="33">
        <f>+'Anexo 19'!E16*'Anexo 9'!$D$10</f>
        <v>0</v>
      </c>
      <c r="F16" s="33">
        <f>+'Anexo 19'!F16*'Anexo 9'!$D$10</f>
        <v>0</v>
      </c>
      <c r="G16" s="33">
        <f>+'Anexo 19'!G16*'Anexo 9'!$D$10</f>
        <v>0</v>
      </c>
      <c r="H16" s="33">
        <f>+'Anexo 19'!H16*'Anexo 9'!$D$10</f>
        <v>0</v>
      </c>
      <c r="I16" s="33">
        <f>+'Anexo 19'!I16*'Anexo 9'!$D$10</f>
        <v>0</v>
      </c>
      <c r="J16" s="33">
        <f>+'Anexo 19'!J16*'Anexo 9'!$D$10</f>
        <v>0</v>
      </c>
      <c r="K16" s="33">
        <f>+'Anexo 19'!K16*'Anexo 9'!$D$10</f>
        <v>0</v>
      </c>
      <c r="L16" s="33">
        <f>+'Anexo 19'!L16*'Anexo 9'!$D$10</f>
        <v>0</v>
      </c>
      <c r="M16" s="33">
        <f>+'Anexo 19'!M16*'Anexo 9'!$D$10</f>
        <v>0</v>
      </c>
      <c r="N16" s="33">
        <f>+'Anexo 19'!N16*'Anexo 9'!$D$10</f>
        <v>0</v>
      </c>
      <c r="O16" s="33">
        <f>+'Anexo 19'!O16*'Anexo 9'!$D$10</f>
        <v>0</v>
      </c>
      <c r="P16" s="33">
        <f>+'Anexo 19'!P16*'Anexo 9'!$D$10</f>
        <v>0</v>
      </c>
      <c r="Q16" s="33">
        <f>+'Anexo 19'!Q16*'Anexo 9'!$D$10</f>
        <v>0</v>
      </c>
      <c r="R16" s="33">
        <f>+'Anexo 19'!R16*'Anexo 9'!$D$10</f>
        <v>0</v>
      </c>
      <c r="S16" s="33">
        <f>+'Anexo 19'!S16*'Anexo 9'!$D$10</f>
        <v>0</v>
      </c>
      <c r="T16" s="33">
        <f>+'Anexo 19'!T16*'Anexo 9'!$D$10</f>
        <v>0</v>
      </c>
      <c r="U16" s="33">
        <f>+'Anexo 19'!U16*'Anexo 9'!$D$10</f>
        <v>0</v>
      </c>
      <c r="V16" s="33">
        <f>+'Anexo 19'!V16*'Anexo 9'!$D$10</f>
        <v>0</v>
      </c>
      <c r="W16" s="33">
        <f>+'Anexo 19'!W16*'Anexo 9'!$D$10</f>
        <v>0</v>
      </c>
      <c r="X16" s="33">
        <f>+'Anexo 19'!X16*'Anexo 9'!$D$10</f>
        <v>0</v>
      </c>
      <c r="Y16" s="33">
        <f>+'Anexo 19'!Y16*'Anexo 9'!$D$10</f>
        <v>0</v>
      </c>
      <c r="Z16" s="33">
        <f>+'Anexo 19'!Z16*'Anexo 9'!$D$10</f>
        <v>0</v>
      </c>
      <c r="AA16" s="38">
        <f t="shared" si="0"/>
        <v>0</v>
      </c>
      <c r="AB16" s="21">
        <v>5</v>
      </c>
      <c r="AC16" s="95"/>
      <c r="AD16" s="47"/>
    </row>
    <row r="17" spans="1:30" ht="15.75" thickBot="1" x14ac:dyDescent="0.3">
      <c r="A17" s="93"/>
      <c r="B17" s="22" t="s">
        <v>3</v>
      </c>
      <c r="C17" s="33">
        <f>+'Anexo 19'!C17*'Anexo 9'!$D$10</f>
        <v>0</v>
      </c>
      <c r="D17" s="33">
        <f>+'Anexo 19'!D17*'Anexo 9'!$D$10</f>
        <v>0</v>
      </c>
      <c r="E17" s="33">
        <f>+'Anexo 19'!E17*'Anexo 9'!$D$10</f>
        <v>0</v>
      </c>
      <c r="F17" s="33">
        <f>+'Anexo 19'!F17*'Anexo 9'!$D$10</f>
        <v>0</v>
      </c>
      <c r="G17" s="33">
        <f>+'Anexo 19'!G17*'Anexo 9'!$D$10</f>
        <v>0</v>
      </c>
      <c r="H17" s="33">
        <f>+'Anexo 19'!H17*'Anexo 9'!$D$10</f>
        <v>0</v>
      </c>
      <c r="I17" s="33">
        <f>+'Anexo 19'!I17*'Anexo 9'!$D$10</f>
        <v>0</v>
      </c>
      <c r="J17" s="33">
        <f>+'Anexo 19'!J17*'Anexo 9'!$D$10</f>
        <v>0</v>
      </c>
      <c r="K17" s="33">
        <f>+'Anexo 19'!K17*'Anexo 9'!$D$10</f>
        <v>0</v>
      </c>
      <c r="L17" s="33">
        <f>+'Anexo 19'!L17*'Anexo 9'!$D$10</f>
        <v>0</v>
      </c>
      <c r="M17" s="33">
        <f>+'Anexo 19'!M17*'Anexo 9'!$D$10</f>
        <v>0</v>
      </c>
      <c r="N17" s="33">
        <f>+'Anexo 19'!N17*'Anexo 9'!$D$10</f>
        <v>0</v>
      </c>
      <c r="O17" s="33">
        <f>+'Anexo 19'!O17*'Anexo 9'!$D$10</f>
        <v>0</v>
      </c>
      <c r="P17" s="33">
        <f>+'Anexo 19'!P17*'Anexo 9'!$D$10</f>
        <v>0</v>
      </c>
      <c r="Q17" s="33">
        <f>+'Anexo 19'!Q17*'Anexo 9'!$D$10</f>
        <v>0</v>
      </c>
      <c r="R17" s="33">
        <f>+'Anexo 19'!R17*'Anexo 9'!$D$10</f>
        <v>0</v>
      </c>
      <c r="S17" s="33">
        <f>+'Anexo 19'!S17*'Anexo 9'!$D$10</f>
        <v>0</v>
      </c>
      <c r="T17" s="33">
        <f>+'Anexo 19'!T17*'Anexo 9'!$D$10</f>
        <v>0</v>
      </c>
      <c r="U17" s="33">
        <f>+'Anexo 19'!U17*'Anexo 9'!$D$10</f>
        <v>0</v>
      </c>
      <c r="V17" s="33">
        <f>+'Anexo 19'!V17*'Anexo 9'!$D$10</f>
        <v>0</v>
      </c>
      <c r="W17" s="33">
        <f>+'Anexo 19'!W17*'Anexo 9'!$D$10</f>
        <v>0</v>
      </c>
      <c r="X17" s="33">
        <f>+'Anexo 19'!X17*'Anexo 9'!$D$10</f>
        <v>0</v>
      </c>
      <c r="Y17" s="33">
        <f>+'Anexo 19'!Y17*'Anexo 9'!$D$10</f>
        <v>0</v>
      </c>
      <c r="Z17" s="33">
        <f>+'Anexo 19'!Z17*'Anexo 9'!$D$10</f>
        <v>0</v>
      </c>
      <c r="AA17" s="41">
        <f t="shared" si="0"/>
        <v>0</v>
      </c>
      <c r="AB17" s="23">
        <v>7</v>
      </c>
      <c r="AC17" s="96"/>
      <c r="AD17" s="48"/>
    </row>
    <row r="18" spans="1:30" ht="15.75" thickBot="1" x14ac:dyDescent="0.3">
      <c r="A18" s="93">
        <v>49065</v>
      </c>
      <c r="B18" s="18" t="s">
        <v>5</v>
      </c>
      <c r="C18" s="33">
        <f>+'Anexo 19'!C18*'Anexo 9'!$D$10</f>
        <v>0</v>
      </c>
      <c r="D18" s="33">
        <f>+'Anexo 19'!D18*'Anexo 9'!$D$10</f>
        <v>0</v>
      </c>
      <c r="E18" s="33">
        <f>+'Anexo 19'!E18*'Anexo 9'!$D$10</f>
        <v>0</v>
      </c>
      <c r="F18" s="33">
        <f>+'Anexo 19'!F18*'Anexo 9'!$D$10</f>
        <v>0</v>
      </c>
      <c r="G18" s="33">
        <f>+'Anexo 19'!G18*'Anexo 9'!$D$10</f>
        <v>0</v>
      </c>
      <c r="H18" s="33">
        <f>+'Anexo 19'!H18*'Anexo 9'!$D$10</f>
        <v>0</v>
      </c>
      <c r="I18" s="33">
        <f>+'Anexo 19'!I18*'Anexo 9'!$D$10</f>
        <v>0</v>
      </c>
      <c r="J18" s="33">
        <f>+'Anexo 19'!J18*'Anexo 9'!$D$10</f>
        <v>0</v>
      </c>
      <c r="K18" s="33">
        <f>+'Anexo 19'!K18*'Anexo 9'!$D$10</f>
        <v>0</v>
      </c>
      <c r="L18" s="33">
        <f>+'Anexo 19'!L18*'Anexo 9'!$D$10</f>
        <v>0</v>
      </c>
      <c r="M18" s="33">
        <f>+'Anexo 19'!M18*'Anexo 9'!$D$10</f>
        <v>0</v>
      </c>
      <c r="N18" s="33">
        <f>+'Anexo 19'!N18*'Anexo 9'!$D$10</f>
        <v>0</v>
      </c>
      <c r="O18" s="33">
        <f>+'Anexo 19'!O18*'Anexo 9'!$D$10</f>
        <v>0</v>
      </c>
      <c r="P18" s="33">
        <f>+'Anexo 19'!P18*'Anexo 9'!$D$10</f>
        <v>0</v>
      </c>
      <c r="Q18" s="33">
        <f>+'Anexo 19'!Q18*'Anexo 9'!$D$10</f>
        <v>0</v>
      </c>
      <c r="R18" s="33">
        <f>+'Anexo 19'!R18*'Anexo 9'!$D$10</f>
        <v>0</v>
      </c>
      <c r="S18" s="33">
        <f>+'Anexo 19'!S18*'Anexo 9'!$D$10</f>
        <v>0</v>
      </c>
      <c r="T18" s="33">
        <f>+'Anexo 19'!T18*'Anexo 9'!$D$10</f>
        <v>0</v>
      </c>
      <c r="U18" s="33">
        <f>+'Anexo 19'!U18*'Anexo 9'!$D$10</f>
        <v>0</v>
      </c>
      <c r="V18" s="33">
        <f>+'Anexo 19'!V18*'Anexo 9'!$D$10</f>
        <v>0</v>
      </c>
      <c r="W18" s="33">
        <f>+'Anexo 19'!W18*'Anexo 9'!$D$10</f>
        <v>0</v>
      </c>
      <c r="X18" s="33">
        <f>+'Anexo 19'!X18*'Anexo 9'!$D$10</f>
        <v>0</v>
      </c>
      <c r="Y18" s="33">
        <f>+'Anexo 19'!Y18*'Anexo 9'!$D$10</f>
        <v>0</v>
      </c>
      <c r="Z18" s="33">
        <f>+'Anexo 19'!Z18*'Anexo 9'!$D$10</f>
        <v>0</v>
      </c>
      <c r="AA18" s="35">
        <f t="shared" si="0"/>
        <v>0</v>
      </c>
      <c r="AB18" s="19">
        <v>21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+'Anexo 19'!C19*'Anexo 9'!$D$10</f>
        <v>0</v>
      </c>
      <c r="D19" s="33">
        <f>+'Anexo 19'!D19*'Anexo 9'!$D$10</f>
        <v>0</v>
      </c>
      <c r="E19" s="33">
        <f>+'Anexo 19'!E19*'Anexo 9'!$D$10</f>
        <v>0</v>
      </c>
      <c r="F19" s="33">
        <f>+'Anexo 19'!F19*'Anexo 9'!$D$10</f>
        <v>0</v>
      </c>
      <c r="G19" s="33">
        <f>+'Anexo 19'!G19*'Anexo 9'!$D$10</f>
        <v>0</v>
      </c>
      <c r="H19" s="33">
        <f>+'Anexo 19'!H19*'Anexo 9'!$D$10</f>
        <v>0</v>
      </c>
      <c r="I19" s="33">
        <f>+'Anexo 19'!I19*'Anexo 9'!$D$10</f>
        <v>0</v>
      </c>
      <c r="J19" s="33">
        <f>+'Anexo 19'!J19*'Anexo 9'!$D$10</f>
        <v>0</v>
      </c>
      <c r="K19" s="33">
        <f>+'Anexo 19'!K19*'Anexo 9'!$D$10</f>
        <v>0</v>
      </c>
      <c r="L19" s="33">
        <f>+'Anexo 19'!L19*'Anexo 9'!$D$10</f>
        <v>0</v>
      </c>
      <c r="M19" s="33">
        <f>+'Anexo 19'!M19*'Anexo 9'!$D$10</f>
        <v>0</v>
      </c>
      <c r="N19" s="33">
        <f>+'Anexo 19'!N19*'Anexo 9'!$D$10</f>
        <v>0</v>
      </c>
      <c r="O19" s="33">
        <f>+'Anexo 19'!O19*'Anexo 9'!$D$10</f>
        <v>0</v>
      </c>
      <c r="P19" s="33">
        <f>+'Anexo 19'!P19*'Anexo 9'!$D$10</f>
        <v>0</v>
      </c>
      <c r="Q19" s="33">
        <f>+'Anexo 19'!Q19*'Anexo 9'!$D$10</f>
        <v>0</v>
      </c>
      <c r="R19" s="33">
        <f>+'Anexo 19'!R19*'Anexo 9'!$D$10</f>
        <v>0</v>
      </c>
      <c r="S19" s="33">
        <f>+'Anexo 19'!S19*'Anexo 9'!$D$10</f>
        <v>0</v>
      </c>
      <c r="T19" s="33">
        <f>+'Anexo 19'!T19*'Anexo 9'!$D$10</f>
        <v>0</v>
      </c>
      <c r="U19" s="33">
        <f>+'Anexo 19'!U19*'Anexo 9'!$D$10</f>
        <v>0</v>
      </c>
      <c r="V19" s="33">
        <f>+'Anexo 19'!V19*'Anexo 9'!$D$10</f>
        <v>0</v>
      </c>
      <c r="W19" s="33">
        <f>+'Anexo 19'!W19*'Anexo 9'!$D$10</f>
        <v>0</v>
      </c>
      <c r="X19" s="33">
        <f>+'Anexo 19'!X19*'Anexo 9'!$D$10</f>
        <v>0</v>
      </c>
      <c r="Y19" s="33">
        <f>+'Anexo 19'!Y19*'Anexo 9'!$D$10</f>
        <v>0</v>
      </c>
      <c r="Z19" s="33">
        <f>+'Anexo 19'!Z19*'Anexo 9'!$D$10</f>
        <v>0</v>
      </c>
      <c r="AA19" s="38">
        <f t="shared" si="0"/>
        <v>0</v>
      </c>
      <c r="AB19" s="21">
        <v>4</v>
      </c>
      <c r="AC19" s="95"/>
      <c r="AD19" s="47"/>
    </row>
    <row r="20" spans="1:30" ht="15.75" thickBot="1" x14ac:dyDescent="0.3">
      <c r="A20" s="93"/>
      <c r="B20" s="22" t="s">
        <v>3</v>
      </c>
      <c r="C20" s="33">
        <f>+'Anexo 19'!C20*'Anexo 9'!$D$10</f>
        <v>0</v>
      </c>
      <c r="D20" s="33">
        <f>+'Anexo 19'!D20*'Anexo 9'!$D$10</f>
        <v>0</v>
      </c>
      <c r="E20" s="33">
        <f>+'Anexo 19'!E20*'Anexo 9'!$D$10</f>
        <v>0</v>
      </c>
      <c r="F20" s="33">
        <f>+'Anexo 19'!F20*'Anexo 9'!$D$10</f>
        <v>0</v>
      </c>
      <c r="G20" s="33">
        <f>+'Anexo 19'!G20*'Anexo 9'!$D$10</f>
        <v>0</v>
      </c>
      <c r="H20" s="33">
        <f>+'Anexo 19'!H20*'Anexo 9'!$D$10</f>
        <v>0</v>
      </c>
      <c r="I20" s="33">
        <f>+'Anexo 19'!I20*'Anexo 9'!$D$10</f>
        <v>0</v>
      </c>
      <c r="J20" s="33">
        <f>+'Anexo 19'!J20*'Anexo 9'!$D$10</f>
        <v>0</v>
      </c>
      <c r="K20" s="33">
        <f>+'Anexo 19'!K20*'Anexo 9'!$D$10</f>
        <v>0</v>
      </c>
      <c r="L20" s="33">
        <f>+'Anexo 19'!L20*'Anexo 9'!$D$10</f>
        <v>0</v>
      </c>
      <c r="M20" s="33">
        <f>+'Anexo 19'!M20*'Anexo 9'!$D$10</f>
        <v>0</v>
      </c>
      <c r="N20" s="33">
        <f>+'Anexo 19'!N20*'Anexo 9'!$D$10</f>
        <v>0</v>
      </c>
      <c r="O20" s="33">
        <f>+'Anexo 19'!O20*'Anexo 9'!$D$10</f>
        <v>0</v>
      </c>
      <c r="P20" s="33">
        <f>+'Anexo 19'!P20*'Anexo 9'!$D$10</f>
        <v>0</v>
      </c>
      <c r="Q20" s="33">
        <f>+'Anexo 19'!Q20*'Anexo 9'!$D$10</f>
        <v>0</v>
      </c>
      <c r="R20" s="33">
        <f>+'Anexo 19'!R20*'Anexo 9'!$D$10</f>
        <v>0</v>
      </c>
      <c r="S20" s="33">
        <f>+'Anexo 19'!S20*'Anexo 9'!$D$10</f>
        <v>0</v>
      </c>
      <c r="T20" s="33">
        <f>+'Anexo 19'!T20*'Anexo 9'!$D$10</f>
        <v>0</v>
      </c>
      <c r="U20" s="33">
        <f>+'Anexo 19'!U20*'Anexo 9'!$D$10</f>
        <v>0</v>
      </c>
      <c r="V20" s="33">
        <f>+'Anexo 19'!V20*'Anexo 9'!$D$10</f>
        <v>0</v>
      </c>
      <c r="W20" s="33">
        <f>+'Anexo 19'!W20*'Anexo 9'!$D$10</f>
        <v>0</v>
      </c>
      <c r="X20" s="33">
        <f>+'Anexo 19'!X20*'Anexo 9'!$D$10</f>
        <v>0</v>
      </c>
      <c r="Y20" s="33">
        <f>+'Anexo 19'!Y20*'Anexo 9'!$D$10</f>
        <v>0</v>
      </c>
      <c r="Z20" s="33">
        <f>+'Anexo 19'!Z20*'Anexo 9'!$D$10</f>
        <v>0</v>
      </c>
      <c r="AA20" s="41">
        <f t="shared" si="0"/>
        <v>0</v>
      </c>
      <c r="AB20" s="23">
        <v>6</v>
      </c>
      <c r="AC20" s="96"/>
      <c r="AD20" s="48"/>
    </row>
    <row r="21" spans="1:30" ht="15.75" thickBot="1" x14ac:dyDescent="0.3">
      <c r="A21" s="93">
        <v>49096</v>
      </c>
      <c r="B21" s="18" t="s">
        <v>5</v>
      </c>
      <c r="C21" s="33">
        <f>+'Anexo 19'!C21*'Anexo 9'!$D$10</f>
        <v>0</v>
      </c>
      <c r="D21" s="33">
        <f>+'Anexo 19'!D21*'Anexo 9'!$D$10</f>
        <v>0</v>
      </c>
      <c r="E21" s="33">
        <f>+'Anexo 19'!E21*'Anexo 9'!$D$10</f>
        <v>0</v>
      </c>
      <c r="F21" s="33">
        <f>+'Anexo 19'!F21*'Anexo 9'!$D$10</f>
        <v>0</v>
      </c>
      <c r="G21" s="33">
        <f>+'Anexo 19'!G21*'Anexo 9'!$D$10</f>
        <v>0</v>
      </c>
      <c r="H21" s="33">
        <f>+'Anexo 19'!H21*'Anexo 9'!$D$10</f>
        <v>0</v>
      </c>
      <c r="I21" s="33">
        <f>+'Anexo 19'!I21*'Anexo 9'!$D$10</f>
        <v>0</v>
      </c>
      <c r="J21" s="33">
        <f>+'Anexo 19'!J21*'Anexo 9'!$D$10</f>
        <v>0</v>
      </c>
      <c r="K21" s="33">
        <f>+'Anexo 19'!K21*'Anexo 9'!$D$10</f>
        <v>0</v>
      </c>
      <c r="L21" s="33">
        <f>+'Anexo 19'!L21*'Anexo 9'!$D$10</f>
        <v>0</v>
      </c>
      <c r="M21" s="33">
        <f>+'Anexo 19'!M21*'Anexo 9'!$D$10</f>
        <v>0</v>
      </c>
      <c r="N21" s="33">
        <f>+'Anexo 19'!N21*'Anexo 9'!$D$10</f>
        <v>0</v>
      </c>
      <c r="O21" s="33">
        <f>+'Anexo 19'!O21*'Anexo 9'!$D$10</f>
        <v>0</v>
      </c>
      <c r="P21" s="33">
        <f>+'Anexo 19'!P21*'Anexo 9'!$D$10</f>
        <v>0</v>
      </c>
      <c r="Q21" s="33">
        <f>+'Anexo 19'!Q21*'Anexo 9'!$D$10</f>
        <v>0</v>
      </c>
      <c r="R21" s="33">
        <f>+'Anexo 19'!R21*'Anexo 9'!$D$10</f>
        <v>0</v>
      </c>
      <c r="S21" s="33">
        <f>+'Anexo 19'!S21*'Anexo 9'!$D$10</f>
        <v>0</v>
      </c>
      <c r="T21" s="33">
        <f>+'Anexo 19'!T21*'Anexo 9'!$D$10</f>
        <v>0</v>
      </c>
      <c r="U21" s="33">
        <f>+'Anexo 19'!U21*'Anexo 9'!$D$10</f>
        <v>0</v>
      </c>
      <c r="V21" s="33">
        <f>+'Anexo 19'!V21*'Anexo 9'!$D$10</f>
        <v>0</v>
      </c>
      <c r="W21" s="33">
        <f>+'Anexo 19'!W21*'Anexo 9'!$D$10</f>
        <v>0</v>
      </c>
      <c r="X21" s="33">
        <f>+'Anexo 19'!X21*'Anexo 9'!$D$10</f>
        <v>0</v>
      </c>
      <c r="Y21" s="33">
        <f>+'Anexo 19'!Y21*'Anexo 9'!$D$10</f>
        <v>0</v>
      </c>
      <c r="Z21" s="33">
        <f>+'Anexo 19'!Z21*'Anexo 9'!$D$10</f>
        <v>0</v>
      </c>
      <c r="AA21" s="35">
        <f t="shared" si="0"/>
        <v>0</v>
      </c>
      <c r="AB21" s="19">
        <v>20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+'Anexo 19'!C22*'Anexo 9'!$D$10</f>
        <v>0</v>
      </c>
      <c r="D22" s="33">
        <f>+'Anexo 19'!D22*'Anexo 9'!$D$10</f>
        <v>0</v>
      </c>
      <c r="E22" s="33">
        <f>+'Anexo 19'!E22*'Anexo 9'!$D$10</f>
        <v>0</v>
      </c>
      <c r="F22" s="33">
        <f>+'Anexo 19'!F22*'Anexo 9'!$D$10</f>
        <v>0</v>
      </c>
      <c r="G22" s="33">
        <f>+'Anexo 19'!G22*'Anexo 9'!$D$10</f>
        <v>0</v>
      </c>
      <c r="H22" s="33">
        <f>+'Anexo 19'!H22*'Anexo 9'!$D$10</f>
        <v>0</v>
      </c>
      <c r="I22" s="33">
        <f>+'Anexo 19'!I22*'Anexo 9'!$D$10</f>
        <v>0</v>
      </c>
      <c r="J22" s="33">
        <f>+'Anexo 19'!J22*'Anexo 9'!$D$10</f>
        <v>0</v>
      </c>
      <c r="K22" s="33">
        <f>+'Anexo 19'!K22*'Anexo 9'!$D$10</f>
        <v>0</v>
      </c>
      <c r="L22" s="33">
        <f>+'Anexo 19'!L22*'Anexo 9'!$D$10</f>
        <v>0</v>
      </c>
      <c r="M22" s="33">
        <f>+'Anexo 19'!M22*'Anexo 9'!$D$10</f>
        <v>0</v>
      </c>
      <c r="N22" s="33">
        <f>+'Anexo 19'!N22*'Anexo 9'!$D$10</f>
        <v>0</v>
      </c>
      <c r="O22" s="33">
        <f>+'Anexo 19'!O22*'Anexo 9'!$D$10</f>
        <v>0</v>
      </c>
      <c r="P22" s="33">
        <f>+'Anexo 19'!P22*'Anexo 9'!$D$10</f>
        <v>0</v>
      </c>
      <c r="Q22" s="33">
        <f>+'Anexo 19'!Q22*'Anexo 9'!$D$10</f>
        <v>0</v>
      </c>
      <c r="R22" s="33">
        <f>+'Anexo 19'!R22*'Anexo 9'!$D$10</f>
        <v>0</v>
      </c>
      <c r="S22" s="33">
        <f>+'Anexo 19'!S22*'Anexo 9'!$D$10</f>
        <v>0</v>
      </c>
      <c r="T22" s="33">
        <f>+'Anexo 19'!T22*'Anexo 9'!$D$10</f>
        <v>0</v>
      </c>
      <c r="U22" s="33">
        <f>+'Anexo 19'!U22*'Anexo 9'!$D$10</f>
        <v>0</v>
      </c>
      <c r="V22" s="33">
        <f>+'Anexo 19'!V22*'Anexo 9'!$D$10</f>
        <v>0</v>
      </c>
      <c r="W22" s="33">
        <f>+'Anexo 19'!W22*'Anexo 9'!$D$10</f>
        <v>0</v>
      </c>
      <c r="X22" s="33">
        <f>+'Anexo 19'!X22*'Anexo 9'!$D$10</f>
        <v>0</v>
      </c>
      <c r="Y22" s="33">
        <f>+'Anexo 19'!Y22*'Anexo 9'!$D$10</f>
        <v>0</v>
      </c>
      <c r="Z22" s="33">
        <f>+'Anexo 19'!Z22*'Anexo 9'!$D$10</f>
        <v>0</v>
      </c>
      <c r="AA22" s="38">
        <f t="shared" si="0"/>
        <v>0</v>
      </c>
      <c r="AB22" s="21">
        <v>4</v>
      </c>
      <c r="AC22" s="95"/>
      <c r="AD22" s="47"/>
    </row>
    <row r="23" spans="1:30" ht="15.75" thickBot="1" x14ac:dyDescent="0.3">
      <c r="A23" s="93"/>
      <c r="B23" s="22" t="s">
        <v>3</v>
      </c>
      <c r="C23" s="33">
        <f>+'Anexo 19'!C23*'Anexo 9'!$D$10</f>
        <v>0</v>
      </c>
      <c r="D23" s="33">
        <f>+'Anexo 19'!D23*'Anexo 9'!$D$10</f>
        <v>0</v>
      </c>
      <c r="E23" s="33">
        <f>+'Anexo 19'!E23*'Anexo 9'!$D$10</f>
        <v>0</v>
      </c>
      <c r="F23" s="33">
        <f>+'Anexo 19'!F23*'Anexo 9'!$D$10</f>
        <v>0</v>
      </c>
      <c r="G23" s="33">
        <f>+'Anexo 19'!G23*'Anexo 9'!$D$10</f>
        <v>0</v>
      </c>
      <c r="H23" s="33">
        <f>+'Anexo 19'!H23*'Anexo 9'!$D$10</f>
        <v>0</v>
      </c>
      <c r="I23" s="33">
        <f>+'Anexo 19'!I23*'Anexo 9'!$D$10</f>
        <v>0</v>
      </c>
      <c r="J23" s="33">
        <f>+'Anexo 19'!J23*'Anexo 9'!$D$10</f>
        <v>0</v>
      </c>
      <c r="K23" s="33">
        <f>+'Anexo 19'!K23*'Anexo 9'!$D$10</f>
        <v>0</v>
      </c>
      <c r="L23" s="33">
        <f>+'Anexo 19'!L23*'Anexo 9'!$D$10</f>
        <v>0</v>
      </c>
      <c r="M23" s="33">
        <f>+'Anexo 19'!M23*'Anexo 9'!$D$10</f>
        <v>0</v>
      </c>
      <c r="N23" s="33">
        <f>+'Anexo 19'!N23*'Anexo 9'!$D$10</f>
        <v>0</v>
      </c>
      <c r="O23" s="33">
        <f>+'Anexo 19'!O23*'Anexo 9'!$D$10</f>
        <v>0</v>
      </c>
      <c r="P23" s="33">
        <f>+'Anexo 19'!P23*'Anexo 9'!$D$10</f>
        <v>0</v>
      </c>
      <c r="Q23" s="33">
        <f>+'Anexo 19'!Q23*'Anexo 9'!$D$10</f>
        <v>0</v>
      </c>
      <c r="R23" s="33">
        <f>+'Anexo 19'!R23*'Anexo 9'!$D$10</f>
        <v>0</v>
      </c>
      <c r="S23" s="33">
        <f>+'Anexo 19'!S23*'Anexo 9'!$D$10</f>
        <v>0</v>
      </c>
      <c r="T23" s="33">
        <f>+'Anexo 19'!T23*'Anexo 9'!$D$10</f>
        <v>0</v>
      </c>
      <c r="U23" s="33">
        <f>+'Anexo 19'!U23*'Anexo 9'!$D$10</f>
        <v>0</v>
      </c>
      <c r="V23" s="33">
        <f>+'Anexo 19'!V23*'Anexo 9'!$D$10</f>
        <v>0</v>
      </c>
      <c r="W23" s="33">
        <f>+'Anexo 19'!W23*'Anexo 9'!$D$10</f>
        <v>0</v>
      </c>
      <c r="X23" s="33">
        <f>+'Anexo 19'!X23*'Anexo 9'!$D$10</f>
        <v>0</v>
      </c>
      <c r="Y23" s="33">
        <f>+'Anexo 19'!Y23*'Anexo 9'!$D$10</f>
        <v>0</v>
      </c>
      <c r="Z23" s="33">
        <f>+'Anexo 19'!Z23*'Anexo 9'!$D$10</f>
        <v>0</v>
      </c>
      <c r="AA23" s="41">
        <f t="shared" si="0"/>
        <v>0</v>
      </c>
      <c r="AB23" s="23">
        <v>6</v>
      </c>
      <c r="AC23" s="96"/>
      <c r="AD23" s="48"/>
    </row>
    <row r="24" spans="1:30" ht="15.75" thickBot="1" x14ac:dyDescent="0.3">
      <c r="A24" s="93">
        <v>49126</v>
      </c>
      <c r="B24" s="18" t="s">
        <v>5</v>
      </c>
      <c r="C24" s="33">
        <f>+'Anexo 19'!C24*'Anexo 9'!$D$10</f>
        <v>0</v>
      </c>
      <c r="D24" s="33">
        <f>+'Anexo 19'!D24*'Anexo 9'!$D$10</f>
        <v>0</v>
      </c>
      <c r="E24" s="33">
        <f>+'Anexo 19'!E24*'Anexo 9'!$D$10</f>
        <v>0</v>
      </c>
      <c r="F24" s="33">
        <f>+'Anexo 19'!F24*'Anexo 9'!$D$10</f>
        <v>0</v>
      </c>
      <c r="G24" s="33">
        <f>+'Anexo 19'!G24*'Anexo 9'!$D$10</f>
        <v>0</v>
      </c>
      <c r="H24" s="33">
        <f>+'Anexo 19'!H24*'Anexo 9'!$D$10</f>
        <v>0</v>
      </c>
      <c r="I24" s="33">
        <f>+'Anexo 19'!I24*'Anexo 9'!$D$10</f>
        <v>0</v>
      </c>
      <c r="J24" s="33">
        <f>+'Anexo 19'!J24*'Anexo 9'!$D$10</f>
        <v>0</v>
      </c>
      <c r="K24" s="33">
        <f>+'Anexo 19'!K24*'Anexo 9'!$D$10</f>
        <v>0</v>
      </c>
      <c r="L24" s="33">
        <f>+'Anexo 19'!L24*'Anexo 9'!$D$10</f>
        <v>0</v>
      </c>
      <c r="M24" s="33">
        <f>+'Anexo 19'!M24*'Anexo 9'!$D$10</f>
        <v>0</v>
      </c>
      <c r="N24" s="33">
        <f>+'Anexo 19'!N24*'Anexo 9'!$D$10</f>
        <v>0</v>
      </c>
      <c r="O24" s="33">
        <f>+'Anexo 19'!O24*'Anexo 9'!$D$10</f>
        <v>0</v>
      </c>
      <c r="P24" s="33">
        <f>+'Anexo 19'!P24*'Anexo 9'!$D$10</f>
        <v>0</v>
      </c>
      <c r="Q24" s="33">
        <f>+'Anexo 19'!Q24*'Anexo 9'!$D$10</f>
        <v>0</v>
      </c>
      <c r="R24" s="33">
        <f>+'Anexo 19'!R24*'Anexo 9'!$D$10</f>
        <v>0</v>
      </c>
      <c r="S24" s="33">
        <f>+'Anexo 19'!S24*'Anexo 9'!$D$10</f>
        <v>0</v>
      </c>
      <c r="T24" s="33">
        <f>+'Anexo 19'!T24*'Anexo 9'!$D$10</f>
        <v>0</v>
      </c>
      <c r="U24" s="33">
        <f>+'Anexo 19'!U24*'Anexo 9'!$D$10</f>
        <v>0</v>
      </c>
      <c r="V24" s="33">
        <f>+'Anexo 19'!V24*'Anexo 9'!$D$10</f>
        <v>0</v>
      </c>
      <c r="W24" s="33">
        <f>+'Anexo 19'!W24*'Anexo 9'!$D$10</f>
        <v>0</v>
      </c>
      <c r="X24" s="33">
        <f>+'Anexo 19'!X24*'Anexo 9'!$D$10</f>
        <v>0</v>
      </c>
      <c r="Y24" s="33">
        <f>+'Anexo 19'!Y24*'Anexo 9'!$D$10</f>
        <v>0</v>
      </c>
      <c r="Z24" s="33">
        <f>+'Anexo 19'!Z24*'Anexo 9'!$D$10</f>
        <v>0</v>
      </c>
      <c r="AA24" s="35">
        <f t="shared" si="0"/>
        <v>0</v>
      </c>
      <c r="AB24" s="19">
        <v>19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+'Anexo 19'!C25*'Anexo 9'!$D$10</f>
        <v>0</v>
      </c>
      <c r="D25" s="33">
        <f>+'Anexo 19'!D25*'Anexo 9'!$D$10</f>
        <v>0</v>
      </c>
      <c r="E25" s="33">
        <f>+'Anexo 19'!E25*'Anexo 9'!$D$10</f>
        <v>0</v>
      </c>
      <c r="F25" s="33">
        <f>+'Anexo 19'!F25*'Anexo 9'!$D$10</f>
        <v>0</v>
      </c>
      <c r="G25" s="33">
        <f>+'Anexo 19'!G25*'Anexo 9'!$D$10</f>
        <v>0</v>
      </c>
      <c r="H25" s="33">
        <f>+'Anexo 19'!H25*'Anexo 9'!$D$10</f>
        <v>0</v>
      </c>
      <c r="I25" s="33">
        <f>+'Anexo 19'!I25*'Anexo 9'!$D$10</f>
        <v>0</v>
      </c>
      <c r="J25" s="33">
        <f>+'Anexo 19'!J25*'Anexo 9'!$D$10</f>
        <v>0</v>
      </c>
      <c r="K25" s="33">
        <f>+'Anexo 19'!K25*'Anexo 9'!$D$10</f>
        <v>0</v>
      </c>
      <c r="L25" s="33">
        <f>+'Anexo 19'!L25*'Anexo 9'!$D$10</f>
        <v>0</v>
      </c>
      <c r="M25" s="33">
        <f>+'Anexo 19'!M25*'Anexo 9'!$D$10</f>
        <v>0</v>
      </c>
      <c r="N25" s="33">
        <f>+'Anexo 19'!N25*'Anexo 9'!$D$10</f>
        <v>0</v>
      </c>
      <c r="O25" s="33">
        <f>+'Anexo 19'!O25*'Anexo 9'!$D$10</f>
        <v>0</v>
      </c>
      <c r="P25" s="33">
        <f>+'Anexo 19'!P25*'Anexo 9'!$D$10</f>
        <v>0</v>
      </c>
      <c r="Q25" s="33">
        <f>+'Anexo 19'!Q25*'Anexo 9'!$D$10</f>
        <v>0</v>
      </c>
      <c r="R25" s="33">
        <f>+'Anexo 19'!R25*'Anexo 9'!$D$10</f>
        <v>0</v>
      </c>
      <c r="S25" s="33">
        <f>+'Anexo 19'!S25*'Anexo 9'!$D$10</f>
        <v>0</v>
      </c>
      <c r="T25" s="33">
        <f>+'Anexo 19'!T25*'Anexo 9'!$D$10</f>
        <v>0</v>
      </c>
      <c r="U25" s="33">
        <f>+'Anexo 19'!U25*'Anexo 9'!$D$10</f>
        <v>0</v>
      </c>
      <c r="V25" s="33">
        <f>+'Anexo 19'!V25*'Anexo 9'!$D$10</f>
        <v>0</v>
      </c>
      <c r="W25" s="33">
        <f>+'Anexo 19'!W25*'Anexo 9'!$D$10</f>
        <v>0</v>
      </c>
      <c r="X25" s="33">
        <f>+'Anexo 19'!X25*'Anexo 9'!$D$10</f>
        <v>0</v>
      </c>
      <c r="Y25" s="33">
        <f>+'Anexo 19'!Y25*'Anexo 9'!$D$10</f>
        <v>0</v>
      </c>
      <c r="Z25" s="33">
        <f>+'Anexo 19'!Z25*'Anexo 9'!$D$10</f>
        <v>0</v>
      </c>
      <c r="AA25" s="38">
        <f t="shared" si="0"/>
        <v>0</v>
      </c>
      <c r="AB25" s="21">
        <v>5</v>
      </c>
      <c r="AC25" s="95"/>
      <c r="AD25" s="47"/>
    </row>
    <row r="26" spans="1:30" ht="15.75" thickBot="1" x14ac:dyDescent="0.3">
      <c r="A26" s="93"/>
      <c r="B26" s="22" t="s">
        <v>3</v>
      </c>
      <c r="C26" s="33">
        <f>+'Anexo 19'!C26*'Anexo 9'!$D$10</f>
        <v>0</v>
      </c>
      <c r="D26" s="33">
        <f>+'Anexo 19'!D26*'Anexo 9'!$D$10</f>
        <v>0</v>
      </c>
      <c r="E26" s="33">
        <f>+'Anexo 19'!E26*'Anexo 9'!$D$10</f>
        <v>0</v>
      </c>
      <c r="F26" s="33">
        <f>+'Anexo 19'!F26*'Anexo 9'!$D$10</f>
        <v>0</v>
      </c>
      <c r="G26" s="33">
        <f>+'Anexo 19'!G26*'Anexo 9'!$D$10</f>
        <v>0</v>
      </c>
      <c r="H26" s="33">
        <f>+'Anexo 19'!H26*'Anexo 9'!$D$10</f>
        <v>0</v>
      </c>
      <c r="I26" s="33">
        <f>+'Anexo 19'!I26*'Anexo 9'!$D$10</f>
        <v>0</v>
      </c>
      <c r="J26" s="33">
        <f>+'Anexo 19'!J26*'Anexo 9'!$D$10</f>
        <v>0</v>
      </c>
      <c r="K26" s="33">
        <f>+'Anexo 19'!K26*'Anexo 9'!$D$10</f>
        <v>0</v>
      </c>
      <c r="L26" s="33">
        <f>+'Anexo 19'!L26*'Anexo 9'!$D$10</f>
        <v>0</v>
      </c>
      <c r="M26" s="33">
        <f>+'Anexo 19'!M26*'Anexo 9'!$D$10</f>
        <v>0</v>
      </c>
      <c r="N26" s="33">
        <f>+'Anexo 19'!N26*'Anexo 9'!$D$10</f>
        <v>0</v>
      </c>
      <c r="O26" s="33">
        <f>+'Anexo 19'!O26*'Anexo 9'!$D$10</f>
        <v>0</v>
      </c>
      <c r="P26" s="33">
        <f>+'Anexo 19'!P26*'Anexo 9'!$D$10</f>
        <v>0</v>
      </c>
      <c r="Q26" s="33">
        <f>+'Anexo 19'!Q26*'Anexo 9'!$D$10</f>
        <v>0</v>
      </c>
      <c r="R26" s="33">
        <f>+'Anexo 19'!R26*'Anexo 9'!$D$10</f>
        <v>0</v>
      </c>
      <c r="S26" s="33">
        <f>+'Anexo 19'!S26*'Anexo 9'!$D$10</f>
        <v>0</v>
      </c>
      <c r="T26" s="33">
        <f>+'Anexo 19'!T26*'Anexo 9'!$D$10</f>
        <v>0</v>
      </c>
      <c r="U26" s="33">
        <f>+'Anexo 19'!U26*'Anexo 9'!$D$10</f>
        <v>0</v>
      </c>
      <c r="V26" s="33">
        <f>+'Anexo 19'!V26*'Anexo 9'!$D$10</f>
        <v>0</v>
      </c>
      <c r="W26" s="33">
        <f>+'Anexo 19'!W26*'Anexo 9'!$D$10</f>
        <v>0</v>
      </c>
      <c r="X26" s="33">
        <f>+'Anexo 19'!X26*'Anexo 9'!$D$10</f>
        <v>0</v>
      </c>
      <c r="Y26" s="33">
        <f>+'Anexo 19'!Y26*'Anexo 9'!$D$10</f>
        <v>0</v>
      </c>
      <c r="Z26" s="33">
        <f>+'Anexo 19'!Z26*'Anexo 9'!$D$10</f>
        <v>0</v>
      </c>
      <c r="AA26" s="41">
        <f t="shared" si="0"/>
        <v>0</v>
      </c>
      <c r="AB26" s="23">
        <v>7</v>
      </c>
      <c r="AC26" s="96"/>
      <c r="AD26" s="48"/>
    </row>
    <row r="27" spans="1:30" ht="15.75" thickBot="1" x14ac:dyDescent="0.3">
      <c r="A27" s="93">
        <v>49157</v>
      </c>
      <c r="B27" s="18" t="s">
        <v>5</v>
      </c>
      <c r="C27" s="33">
        <f>+'Anexo 19'!C27*'Anexo 9'!$D$10</f>
        <v>0</v>
      </c>
      <c r="D27" s="33">
        <f>+'Anexo 19'!D27*'Anexo 9'!$D$10</f>
        <v>0</v>
      </c>
      <c r="E27" s="33">
        <f>+'Anexo 19'!E27*'Anexo 9'!$D$10</f>
        <v>0</v>
      </c>
      <c r="F27" s="33">
        <f>+'Anexo 19'!F27*'Anexo 9'!$D$10</f>
        <v>0</v>
      </c>
      <c r="G27" s="33">
        <f>+'Anexo 19'!G27*'Anexo 9'!$D$10</f>
        <v>0</v>
      </c>
      <c r="H27" s="33">
        <f>+'Anexo 19'!H27*'Anexo 9'!$D$10</f>
        <v>0</v>
      </c>
      <c r="I27" s="33">
        <f>+'Anexo 19'!I27*'Anexo 9'!$D$10</f>
        <v>0</v>
      </c>
      <c r="J27" s="33">
        <f>+'Anexo 19'!J27*'Anexo 9'!$D$10</f>
        <v>0</v>
      </c>
      <c r="K27" s="33">
        <f>+'Anexo 19'!K27*'Anexo 9'!$D$10</f>
        <v>0</v>
      </c>
      <c r="L27" s="33">
        <f>+'Anexo 19'!L27*'Anexo 9'!$D$10</f>
        <v>0</v>
      </c>
      <c r="M27" s="33">
        <f>+'Anexo 19'!M27*'Anexo 9'!$D$10</f>
        <v>0</v>
      </c>
      <c r="N27" s="33">
        <f>+'Anexo 19'!N27*'Anexo 9'!$D$10</f>
        <v>0</v>
      </c>
      <c r="O27" s="33">
        <f>+'Anexo 19'!O27*'Anexo 9'!$D$10</f>
        <v>0</v>
      </c>
      <c r="P27" s="33">
        <f>+'Anexo 19'!P27*'Anexo 9'!$D$10</f>
        <v>0</v>
      </c>
      <c r="Q27" s="33">
        <f>+'Anexo 19'!Q27*'Anexo 9'!$D$10</f>
        <v>0</v>
      </c>
      <c r="R27" s="33">
        <f>+'Anexo 19'!R27*'Anexo 9'!$D$10</f>
        <v>0</v>
      </c>
      <c r="S27" s="33">
        <f>+'Anexo 19'!S27*'Anexo 9'!$D$10</f>
        <v>0</v>
      </c>
      <c r="T27" s="33">
        <f>+'Anexo 19'!T27*'Anexo 9'!$D$10</f>
        <v>0</v>
      </c>
      <c r="U27" s="33">
        <f>+'Anexo 19'!U27*'Anexo 9'!$D$10</f>
        <v>0</v>
      </c>
      <c r="V27" s="33">
        <f>+'Anexo 19'!V27*'Anexo 9'!$D$10</f>
        <v>0</v>
      </c>
      <c r="W27" s="33">
        <f>+'Anexo 19'!W27*'Anexo 9'!$D$10</f>
        <v>0</v>
      </c>
      <c r="X27" s="33">
        <f>+'Anexo 19'!X27*'Anexo 9'!$D$10</f>
        <v>0</v>
      </c>
      <c r="Y27" s="33">
        <f>+'Anexo 19'!Y27*'Anexo 9'!$D$10</f>
        <v>0</v>
      </c>
      <c r="Z27" s="33">
        <f>+'Anexo 19'!Z27*'Anexo 9'!$D$10</f>
        <v>0</v>
      </c>
      <c r="AA27" s="35">
        <f t="shared" si="0"/>
        <v>0</v>
      </c>
      <c r="AB27" s="19">
        <v>21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+'Anexo 19'!C28*'Anexo 9'!$D$10</f>
        <v>0</v>
      </c>
      <c r="D28" s="33">
        <f>+'Anexo 19'!D28*'Anexo 9'!$D$10</f>
        <v>0</v>
      </c>
      <c r="E28" s="33">
        <f>+'Anexo 19'!E28*'Anexo 9'!$D$10</f>
        <v>0</v>
      </c>
      <c r="F28" s="33">
        <f>+'Anexo 19'!F28*'Anexo 9'!$D$10</f>
        <v>0</v>
      </c>
      <c r="G28" s="33">
        <f>+'Anexo 19'!G28*'Anexo 9'!$D$10</f>
        <v>0</v>
      </c>
      <c r="H28" s="33">
        <f>+'Anexo 19'!H28*'Anexo 9'!$D$10</f>
        <v>0</v>
      </c>
      <c r="I28" s="33">
        <f>+'Anexo 19'!I28*'Anexo 9'!$D$10</f>
        <v>0</v>
      </c>
      <c r="J28" s="33">
        <f>+'Anexo 19'!J28*'Anexo 9'!$D$10</f>
        <v>0</v>
      </c>
      <c r="K28" s="33">
        <f>+'Anexo 19'!K28*'Anexo 9'!$D$10</f>
        <v>0</v>
      </c>
      <c r="L28" s="33">
        <f>+'Anexo 19'!L28*'Anexo 9'!$D$10</f>
        <v>0</v>
      </c>
      <c r="M28" s="33">
        <f>+'Anexo 19'!M28*'Anexo 9'!$D$10</f>
        <v>0</v>
      </c>
      <c r="N28" s="33">
        <f>+'Anexo 19'!N28*'Anexo 9'!$D$10</f>
        <v>0</v>
      </c>
      <c r="O28" s="33">
        <f>+'Anexo 19'!O28*'Anexo 9'!$D$10</f>
        <v>0</v>
      </c>
      <c r="P28" s="33">
        <f>+'Anexo 19'!P28*'Anexo 9'!$D$10</f>
        <v>0</v>
      </c>
      <c r="Q28" s="33">
        <f>+'Anexo 19'!Q28*'Anexo 9'!$D$10</f>
        <v>0</v>
      </c>
      <c r="R28" s="33">
        <f>+'Anexo 19'!R28*'Anexo 9'!$D$10</f>
        <v>0</v>
      </c>
      <c r="S28" s="33">
        <f>+'Anexo 19'!S28*'Anexo 9'!$D$10</f>
        <v>0</v>
      </c>
      <c r="T28" s="33">
        <f>+'Anexo 19'!T28*'Anexo 9'!$D$10</f>
        <v>0</v>
      </c>
      <c r="U28" s="33">
        <f>+'Anexo 19'!U28*'Anexo 9'!$D$10</f>
        <v>0</v>
      </c>
      <c r="V28" s="33">
        <f>+'Anexo 19'!V28*'Anexo 9'!$D$10</f>
        <v>0</v>
      </c>
      <c r="W28" s="33">
        <f>+'Anexo 19'!W28*'Anexo 9'!$D$10</f>
        <v>0</v>
      </c>
      <c r="X28" s="33">
        <f>+'Anexo 19'!X28*'Anexo 9'!$D$10</f>
        <v>0</v>
      </c>
      <c r="Y28" s="33">
        <f>+'Anexo 19'!Y28*'Anexo 9'!$D$10</f>
        <v>0</v>
      </c>
      <c r="Z28" s="33">
        <f>+'Anexo 19'!Z28*'Anexo 9'!$D$10</f>
        <v>0</v>
      </c>
      <c r="AA28" s="38">
        <f t="shared" si="0"/>
        <v>0</v>
      </c>
      <c r="AB28" s="21">
        <v>4</v>
      </c>
      <c r="AC28" s="95"/>
      <c r="AD28" s="47"/>
    </row>
    <row r="29" spans="1:30" ht="15.75" thickBot="1" x14ac:dyDescent="0.3">
      <c r="A29" s="93"/>
      <c r="B29" s="22" t="s">
        <v>3</v>
      </c>
      <c r="C29" s="33">
        <f>+'Anexo 19'!C29*'Anexo 9'!$D$10</f>
        <v>0</v>
      </c>
      <c r="D29" s="33">
        <f>+'Anexo 19'!D29*'Anexo 9'!$D$10</f>
        <v>0</v>
      </c>
      <c r="E29" s="33">
        <f>+'Anexo 19'!E29*'Anexo 9'!$D$10</f>
        <v>0</v>
      </c>
      <c r="F29" s="33">
        <f>+'Anexo 19'!F29*'Anexo 9'!$D$10</f>
        <v>0</v>
      </c>
      <c r="G29" s="33">
        <f>+'Anexo 19'!G29*'Anexo 9'!$D$10</f>
        <v>0</v>
      </c>
      <c r="H29" s="33">
        <f>+'Anexo 19'!H29*'Anexo 9'!$D$10</f>
        <v>0</v>
      </c>
      <c r="I29" s="33">
        <f>+'Anexo 19'!I29*'Anexo 9'!$D$10</f>
        <v>0</v>
      </c>
      <c r="J29" s="33">
        <f>+'Anexo 19'!J29*'Anexo 9'!$D$10</f>
        <v>0</v>
      </c>
      <c r="K29" s="33">
        <f>+'Anexo 19'!K29*'Anexo 9'!$D$10</f>
        <v>0</v>
      </c>
      <c r="L29" s="33">
        <f>+'Anexo 19'!L29*'Anexo 9'!$D$10</f>
        <v>0</v>
      </c>
      <c r="M29" s="33">
        <f>+'Anexo 19'!M29*'Anexo 9'!$D$10</f>
        <v>0</v>
      </c>
      <c r="N29" s="33">
        <f>+'Anexo 19'!N29*'Anexo 9'!$D$10</f>
        <v>0</v>
      </c>
      <c r="O29" s="33">
        <f>+'Anexo 19'!O29*'Anexo 9'!$D$10</f>
        <v>0</v>
      </c>
      <c r="P29" s="33">
        <f>+'Anexo 19'!P29*'Anexo 9'!$D$10</f>
        <v>0</v>
      </c>
      <c r="Q29" s="33">
        <f>+'Anexo 19'!Q29*'Anexo 9'!$D$10</f>
        <v>0</v>
      </c>
      <c r="R29" s="33">
        <f>+'Anexo 19'!R29*'Anexo 9'!$D$10</f>
        <v>0</v>
      </c>
      <c r="S29" s="33">
        <f>+'Anexo 19'!S29*'Anexo 9'!$D$10</f>
        <v>0</v>
      </c>
      <c r="T29" s="33">
        <f>+'Anexo 19'!T29*'Anexo 9'!$D$10</f>
        <v>0</v>
      </c>
      <c r="U29" s="33">
        <f>+'Anexo 19'!U29*'Anexo 9'!$D$10</f>
        <v>0</v>
      </c>
      <c r="V29" s="33">
        <f>+'Anexo 19'!V29*'Anexo 9'!$D$10</f>
        <v>0</v>
      </c>
      <c r="W29" s="33">
        <f>+'Anexo 19'!W29*'Anexo 9'!$D$10</f>
        <v>0</v>
      </c>
      <c r="X29" s="33">
        <f>+'Anexo 19'!X29*'Anexo 9'!$D$10</f>
        <v>0</v>
      </c>
      <c r="Y29" s="33">
        <f>+'Anexo 19'!Y29*'Anexo 9'!$D$10</f>
        <v>0</v>
      </c>
      <c r="Z29" s="33">
        <f>+'Anexo 19'!Z29*'Anexo 9'!$D$10</f>
        <v>0</v>
      </c>
      <c r="AA29" s="41">
        <f t="shared" si="0"/>
        <v>0</v>
      </c>
      <c r="AB29" s="23">
        <v>6</v>
      </c>
      <c r="AC29" s="96"/>
      <c r="AD29" s="49"/>
    </row>
    <row r="30" spans="1:30" ht="15.75" thickBot="1" x14ac:dyDescent="0.3">
      <c r="A30" s="93">
        <v>49188</v>
      </c>
      <c r="B30" s="18" t="s">
        <v>5</v>
      </c>
      <c r="C30" s="33">
        <f>+'Anexo 19'!C30*'Anexo 9'!$D$10</f>
        <v>0</v>
      </c>
      <c r="D30" s="33">
        <f>+'Anexo 19'!D30*'Anexo 9'!$D$10</f>
        <v>0</v>
      </c>
      <c r="E30" s="33">
        <f>+'Anexo 19'!E30*'Anexo 9'!$D$10</f>
        <v>0</v>
      </c>
      <c r="F30" s="33">
        <f>+'Anexo 19'!F30*'Anexo 9'!$D$10</f>
        <v>0</v>
      </c>
      <c r="G30" s="33">
        <f>+'Anexo 19'!G30*'Anexo 9'!$D$10</f>
        <v>0</v>
      </c>
      <c r="H30" s="33">
        <f>+'Anexo 19'!H30*'Anexo 9'!$D$10</f>
        <v>0</v>
      </c>
      <c r="I30" s="33">
        <f>+'Anexo 19'!I30*'Anexo 9'!$D$10</f>
        <v>0</v>
      </c>
      <c r="J30" s="33">
        <f>+'Anexo 19'!J30*'Anexo 9'!$D$10</f>
        <v>0</v>
      </c>
      <c r="K30" s="33">
        <f>+'Anexo 19'!K30*'Anexo 9'!$D$10</f>
        <v>0</v>
      </c>
      <c r="L30" s="33">
        <f>+'Anexo 19'!L30*'Anexo 9'!$D$10</f>
        <v>0</v>
      </c>
      <c r="M30" s="33">
        <f>+'Anexo 19'!M30*'Anexo 9'!$D$10</f>
        <v>0</v>
      </c>
      <c r="N30" s="33">
        <f>+'Anexo 19'!N30*'Anexo 9'!$D$10</f>
        <v>0</v>
      </c>
      <c r="O30" s="33">
        <f>+'Anexo 19'!O30*'Anexo 9'!$D$10</f>
        <v>0</v>
      </c>
      <c r="P30" s="33">
        <f>+'Anexo 19'!P30*'Anexo 9'!$D$10</f>
        <v>0</v>
      </c>
      <c r="Q30" s="33">
        <f>+'Anexo 19'!Q30*'Anexo 9'!$D$10</f>
        <v>0</v>
      </c>
      <c r="R30" s="33">
        <f>+'Anexo 19'!R30*'Anexo 9'!$D$10</f>
        <v>0</v>
      </c>
      <c r="S30" s="33">
        <f>+'Anexo 19'!S30*'Anexo 9'!$D$10</f>
        <v>0</v>
      </c>
      <c r="T30" s="33">
        <f>+'Anexo 19'!T30*'Anexo 9'!$D$10</f>
        <v>0</v>
      </c>
      <c r="U30" s="33">
        <f>+'Anexo 19'!U30*'Anexo 9'!$D$10</f>
        <v>0</v>
      </c>
      <c r="V30" s="33">
        <f>+'Anexo 19'!V30*'Anexo 9'!$D$10</f>
        <v>0</v>
      </c>
      <c r="W30" s="33">
        <f>+'Anexo 19'!W30*'Anexo 9'!$D$10</f>
        <v>0</v>
      </c>
      <c r="X30" s="33">
        <f>+'Anexo 19'!X30*'Anexo 9'!$D$10</f>
        <v>0</v>
      </c>
      <c r="Y30" s="33">
        <f>+'Anexo 19'!Y30*'Anexo 9'!$D$10</f>
        <v>0</v>
      </c>
      <c r="Z30" s="33">
        <f>+'Anexo 19'!Z30*'Anexo 9'!$D$10</f>
        <v>0</v>
      </c>
      <c r="AA30" s="35">
        <f t="shared" si="0"/>
        <v>0</v>
      </c>
      <c r="AB30" s="19">
        <v>21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+'Anexo 19'!C31*'Anexo 9'!$D$10</f>
        <v>0</v>
      </c>
      <c r="D31" s="33">
        <f>+'Anexo 19'!D31*'Anexo 9'!$D$10</f>
        <v>0</v>
      </c>
      <c r="E31" s="33">
        <f>+'Anexo 19'!E31*'Anexo 9'!$D$10</f>
        <v>0</v>
      </c>
      <c r="F31" s="33">
        <f>+'Anexo 19'!F31*'Anexo 9'!$D$10</f>
        <v>0</v>
      </c>
      <c r="G31" s="33">
        <f>+'Anexo 19'!G31*'Anexo 9'!$D$10</f>
        <v>0</v>
      </c>
      <c r="H31" s="33">
        <f>+'Anexo 19'!H31*'Anexo 9'!$D$10</f>
        <v>0</v>
      </c>
      <c r="I31" s="33">
        <f>+'Anexo 19'!I31*'Anexo 9'!$D$10</f>
        <v>0</v>
      </c>
      <c r="J31" s="33">
        <f>+'Anexo 19'!J31*'Anexo 9'!$D$10</f>
        <v>0</v>
      </c>
      <c r="K31" s="33">
        <f>+'Anexo 19'!K31*'Anexo 9'!$D$10</f>
        <v>0</v>
      </c>
      <c r="L31" s="33">
        <f>+'Anexo 19'!L31*'Anexo 9'!$D$10</f>
        <v>0</v>
      </c>
      <c r="M31" s="33">
        <f>+'Anexo 19'!M31*'Anexo 9'!$D$10</f>
        <v>0</v>
      </c>
      <c r="N31" s="33">
        <f>+'Anexo 19'!N31*'Anexo 9'!$D$10</f>
        <v>0</v>
      </c>
      <c r="O31" s="33">
        <f>+'Anexo 19'!O31*'Anexo 9'!$D$10</f>
        <v>0</v>
      </c>
      <c r="P31" s="33">
        <f>+'Anexo 19'!P31*'Anexo 9'!$D$10</f>
        <v>0</v>
      </c>
      <c r="Q31" s="33">
        <f>+'Anexo 19'!Q31*'Anexo 9'!$D$10</f>
        <v>0</v>
      </c>
      <c r="R31" s="33">
        <f>+'Anexo 19'!R31*'Anexo 9'!$D$10</f>
        <v>0</v>
      </c>
      <c r="S31" s="33">
        <f>+'Anexo 19'!S31*'Anexo 9'!$D$10</f>
        <v>0</v>
      </c>
      <c r="T31" s="33">
        <f>+'Anexo 19'!T31*'Anexo 9'!$D$10</f>
        <v>0</v>
      </c>
      <c r="U31" s="33">
        <f>+'Anexo 19'!U31*'Anexo 9'!$D$10</f>
        <v>0</v>
      </c>
      <c r="V31" s="33">
        <f>+'Anexo 19'!V31*'Anexo 9'!$D$10</f>
        <v>0</v>
      </c>
      <c r="W31" s="33">
        <f>+'Anexo 19'!W31*'Anexo 9'!$D$10</f>
        <v>0</v>
      </c>
      <c r="X31" s="33">
        <f>+'Anexo 19'!X31*'Anexo 9'!$D$10</f>
        <v>0</v>
      </c>
      <c r="Y31" s="33">
        <f>+'Anexo 19'!Y31*'Anexo 9'!$D$10</f>
        <v>0</v>
      </c>
      <c r="Z31" s="33">
        <f>+'Anexo 19'!Z31*'Anexo 9'!$D$10</f>
        <v>0</v>
      </c>
      <c r="AA31" s="38">
        <f t="shared" si="0"/>
        <v>0</v>
      </c>
      <c r="AB31" s="21">
        <v>5</v>
      </c>
      <c r="AC31" s="95"/>
      <c r="AD31" s="47"/>
    </row>
    <row r="32" spans="1:30" ht="15.75" thickBot="1" x14ac:dyDescent="0.3">
      <c r="A32" s="93"/>
      <c r="B32" s="22" t="s">
        <v>3</v>
      </c>
      <c r="C32" s="33">
        <f>+'Anexo 19'!C32*'Anexo 9'!$D$10</f>
        <v>0</v>
      </c>
      <c r="D32" s="33">
        <f>+'Anexo 19'!D32*'Anexo 9'!$D$10</f>
        <v>0</v>
      </c>
      <c r="E32" s="33">
        <f>+'Anexo 19'!E32*'Anexo 9'!$D$10</f>
        <v>0</v>
      </c>
      <c r="F32" s="33">
        <f>+'Anexo 19'!F32*'Anexo 9'!$D$10</f>
        <v>0</v>
      </c>
      <c r="G32" s="33">
        <f>+'Anexo 19'!G32*'Anexo 9'!$D$10</f>
        <v>0</v>
      </c>
      <c r="H32" s="33">
        <f>+'Anexo 19'!H32*'Anexo 9'!$D$10</f>
        <v>0</v>
      </c>
      <c r="I32" s="33">
        <f>+'Anexo 19'!I32*'Anexo 9'!$D$10</f>
        <v>0</v>
      </c>
      <c r="J32" s="33">
        <f>+'Anexo 19'!J32*'Anexo 9'!$D$10</f>
        <v>0</v>
      </c>
      <c r="K32" s="33">
        <f>+'Anexo 19'!K32*'Anexo 9'!$D$10</f>
        <v>0</v>
      </c>
      <c r="L32" s="33">
        <f>+'Anexo 19'!L32*'Anexo 9'!$D$10</f>
        <v>0</v>
      </c>
      <c r="M32" s="33">
        <f>+'Anexo 19'!M32*'Anexo 9'!$D$10</f>
        <v>0</v>
      </c>
      <c r="N32" s="33">
        <f>+'Anexo 19'!N32*'Anexo 9'!$D$10</f>
        <v>0</v>
      </c>
      <c r="O32" s="33">
        <f>+'Anexo 19'!O32*'Anexo 9'!$D$10</f>
        <v>0</v>
      </c>
      <c r="P32" s="33">
        <f>+'Anexo 19'!P32*'Anexo 9'!$D$10</f>
        <v>0</v>
      </c>
      <c r="Q32" s="33">
        <f>+'Anexo 19'!Q32*'Anexo 9'!$D$10</f>
        <v>0</v>
      </c>
      <c r="R32" s="33">
        <f>+'Anexo 19'!R32*'Anexo 9'!$D$10</f>
        <v>0</v>
      </c>
      <c r="S32" s="33">
        <f>+'Anexo 19'!S32*'Anexo 9'!$D$10</f>
        <v>0</v>
      </c>
      <c r="T32" s="33">
        <f>+'Anexo 19'!T32*'Anexo 9'!$D$10</f>
        <v>0</v>
      </c>
      <c r="U32" s="33">
        <f>+'Anexo 19'!U32*'Anexo 9'!$D$10</f>
        <v>0</v>
      </c>
      <c r="V32" s="33">
        <f>+'Anexo 19'!V32*'Anexo 9'!$D$10</f>
        <v>0</v>
      </c>
      <c r="W32" s="33">
        <f>+'Anexo 19'!W32*'Anexo 9'!$D$10</f>
        <v>0</v>
      </c>
      <c r="X32" s="33">
        <f>+'Anexo 19'!X32*'Anexo 9'!$D$10</f>
        <v>0</v>
      </c>
      <c r="Y32" s="33">
        <f>+'Anexo 19'!Y32*'Anexo 9'!$D$10</f>
        <v>0</v>
      </c>
      <c r="Z32" s="33">
        <f>+'Anexo 19'!Z32*'Anexo 9'!$D$10</f>
        <v>0</v>
      </c>
      <c r="AA32" s="41">
        <f t="shared" si="0"/>
        <v>0</v>
      </c>
      <c r="AB32" s="23">
        <v>4</v>
      </c>
      <c r="AC32" s="96"/>
      <c r="AD32" s="48"/>
    </row>
    <row r="33" spans="1:30" ht="15.75" thickBot="1" x14ac:dyDescent="0.3">
      <c r="A33" s="93">
        <v>49218</v>
      </c>
      <c r="B33" s="18" t="s">
        <v>5</v>
      </c>
      <c r="C33" s="33">
        <f>+'Anexo 19'!C33*'Anexo 9'!$D$10</f>
        <v>0</v>
      </c>
      <c r="D33" s="33">
        <f>+'Anexo 19'!D33*'Anexo 9'!$D$10</f>
        <v>0</v>
      </c>
      <c r="E33" s="33">
        <f>+'Anexo 19'!E33*'Anexo 9'!$D$10</f>
        <v>0</v>
      </c>
      <c r="F33" s="33">
        <f>+'Anexo 19'!F33*'Anexo 9'!$D$10</f>
        <v>0</v>
      </c>
      <c r="G33" s="33">
        <f>+'Anexo 19'!G33*'Anexo 9'!$D$10</f>
        <v>0</v>
      </c>
      <c r="H33" s="33">
        <f>+'Anexo 19'!H33*'Anexo 9'!$D$10</f>
        <v>0</v>
      </c>
      <c r="I33" s="33">
        <f>+'Anexo 19'!I33*'Anexo 9'!$D$10</f>
        <v>0</v>
      </c>
      <c r="J33" s="33">
        <f>+'Anexo 19'!J33*'Anexo 9'!$D$10</f>
        <v>0</v>
      </c>
      <c r="K33" s="33">
        <f>+'Anexo 19'!K33*'Anexo 9'!$D$10</f>
        <v>0</v>
      </c>
      <c r="L33" s="33">
        <f>+'Anexo 19'!L33*'Anexo 9'!$D$10</f>
        <v>0</v>
      </c>
      <c r="M33" s="33">
        <f>+'Anexo 19'!M33*'Anexo 9'!$D$10</f>
        <v>0</v>
      </c>
      <c r="N33" s="33">
        <f>+'Anexo 19'!N33*'Anexo 9'!$D$10</f>
        <v>0</v>
      </c>
      <c r="O33" s="33">
        <f>+'Anexo 19'!O33*'Anexo 9'!$D$10</f>
        <v>0</v>
      </c>
      <c r="P33" s="33">
        <f>+'Anexo 19'!P33*'Anexo 9'!$D$10</f>
        <v>0</v>
      </c>
      <c r="Q33" s="33">
        <f>+'Anexo 19'!Q33*'Anexo 9'!$D$10</f>
        <v>0</v>
      </c>
      <c r="R33" s="33">
        <f>+'Anexo 19'!R33*'Anexo 9'!$D$10</f>
        <v>0</v>
      </c>
      <c r="S33" s="33">
        <f>+'Anexo 19'!S33*'Anexo 9'!$D$10</f>
        <v>0</v>
      </c>
      <c r="T33" s="33">
        <f>+'Anexo 19'!T33*'Anexo 9'!$D$10</f>
        <v>0</v>
      </c>
      <c r="U33" s="33">
        <f>+'Anexo 19'!U33*'Anexo 9'!$D$10</f>
        <v>0</v>
      </c>
      <c r="V33" s="33">
        <f>+'Anexo 19'!V33*'Anexo 9'!$D$10</f>
        <v>0</v>
      </c>
      <c r="W33" s="33">
        <f>+'Anexo 19'!W33*'Anexo 9'!$D$10</f>
        <v>0</v>
      </c>
      <c r="X33" s="33">
        <f>+'Anexo 19'!X33*'Anexo 9'!$D$10</f>
        <v>0</v>
      </c>
      <c r="Y33" s="33">
        <f>+'Anexo 19'!Y33*'Anexo 9'!$D$10</f>
        <v>0</v>
      </c>
      <c r="Z33" s="33">
        <f>+'Anexo 19'!Z33*'Anexo 9'!$D$10</f>
        <v>0</v>
      </c>
      <c r="AA33" s="35">
        <f t="shared" si="0"/>
        <v>0</v>
      </c>
      <c r="AB33" s="19">
        <v>21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+'Anexo 19'!C34*'Anexo 9'!$D$10</f>
        <v>0</v>
      </c>
      <c r="D34" s="33">
        <f>+'Anexo 19'!D34*'Anexo 9'!$D$10</f>
        <v>0</v>
      </c>
      <c r="E34" s="33">
        <f>+'Anexo 19'!E34*'Anexo 9'!$D$10</f>
        <v>0</v>
      </c>
      <c r="F34" s="33">
        <f>+'Anexo 19'!F34*'Anexo 9'!$D$10</f>
        <v>0</v>
      </c>
      <c r="G34" s="33">
        <f>+'Anexo 19'!G34*'Anexo 9'!$D$10</f>
        <v>0</v>
      </c>
      <c r="H34" s="33">
        <f>+'Anexo 19'!H34*'Anexo 9'!$D$10</f>
        <v>0</v>
      </c>
      <c r="I34" s="33">
        <f>+'Anexo 19'!I34*'Anexo 9'!$D$10</f>
        <v>0</v>
      </c>
      <c r="J34" s="33">
        <f>+'Anexo 19'!J34*'Anexo 9'!$D$10</f>
        <v>0</v>
      </c>
      <c r="K34" s="33">
        <f>+'Anexo 19'!K34*'Anexo 9'!$D$10</f>
        <v>0</v>
      </c>
      <c r="L34" s="33">
        <f>+'Anexo 19'!L34*'Anexo 9'!$D$10</f>
        <v>0</v>
      </c>
      <c r="M34" s="33">
        <f>+'Anexo 19'!M34*'Anexo 9'!$D$10</f>
        <v>0</v>
      </c>
      <c r="N34" s="33">
        <f>+'Anexo 19'!N34*'Anexo 9'!$D$10</f>
        <v>0</v>
      </c>
      <c r="O34" s="33">
        <f>+'Anexo 19'!O34*'Anexo 9'!$D$10</f>
        <v>0</v>
      </c>
      <c r="P34" s="33">
        <f>+'Anexo 19'!P34*'Anexo 9'!$D$10</f>
        <v>0</v>
      </c>
      <c r="Q34" s="33">
        <f>+'Anexo 19'!Q34*'Anexo 9'!$D$10</f>
        <v>0</v>
      </c>
      <c r="R34" s="33">
        <f>+'Anexo 19'!R34*'Anexo 9'!$D$10</f>
        <v>0</v>
      </c>
      <c r="S34" s="33">
        <f>+'Anexo 19'!S34*'Anexo 9'!$D$10</f>
        <v>0</v>
      </c>
      <c r="T34" s="33">
        <f>+'Anexo 19'!T34*'Anexo 9'!$D$10</f>
        <v>0</v>
      </c>
      <c r="U34" s="33">
        <f>+'Anexo 19'!U34*'Anexo 9'!$D$10</f>
        <v>0</v>
      </c>
      <c r="V34" s="33">
        <f>+'Anexo 19'!V34*'Anexo 9'!$D$10</f>
        <v>0</v>
      </c>
      <c r="W34" s="33">
        <f>+'Anexo 19'!W34*'Anexo 9'!$D$10</f>
        <v>0</v>
      </c>
      <c r="X34" s="33">
        <f>+'Anexo 19'!X34*'Anexo 9'!$D$10</f>
        <v>0</v>
      </c>
      <c r="Y34" s="33">
        <f>+'Anexo 19'!Y34*'Anexo 9'!$D$10</f>
        <v>0</v>
      </c>
      <c r="Z34" s="33">
        <f>+'Anexo 19'!Z34*'Anexo 9'!$D$10</f>
        <v>0</v>
      </c>
      <c r="AA34" s="38">
        <f t="shared" si="0"/>
        <v>0</v>
      </c>
      <c r="AB34" s="21">
        <v>4</v>
      </c>
      <c r="AC34" s="95"/>
      <c r="AD34" s="47"/>
    </row>
    <row r="35" spans="1:30" ht="15.75" thickBot="1" x14ac:dyDescent="0.3">
      <c r="A35" s="93"/>
      <c r="B35" s="22" t="s">
        <v>3</v>
      </c>
      <c r="C35" s="33">
        <f>+'Anexo 19'!C35*'Anexo 9'!$D$10</f>
        <v>0</v>
      </c>
      <c r="D35" s="33">
        <f>+'Anexo 19'!D35*'Anexo 9'!$D$10</f>
        <v>0</v>
      </c>
      <c r="E35" s="33">
        <f>+'Anexo 19'!E35*'Anexo 9'!$D$10</f>
        <v>0</v>
      </c>
      <c r="F35" s="33">
        <f>+'Anexo 19'!F35*'Anexo 9'!$D$10</f>
        <v>0</v>
      </c>
      <c r="G35" s="33">
        <f>+'Anexo 19'!G35*'Anexo 9'!$D$10</f>
        <v>0</v>
      </c>
      <c r="H35" s="33">
        <f>+'Anexo 19'!H35*'Anexo 9'!$D$10</f>
        <v>0</v>
      </c>
      <c r="I35" s="33">
        <f>+'Anexo 19'!I35*'Anexo 9'!$D$10</f>
        <v>0</v>
      </c>
      <c r="J35" s="33">
        <f>+'Anexo 19'!J35*'Anexo 9'!$D$10</f>
        <v>0</v>
      </c>
      <c r="K35" s="33">
        <f>+'Anexo 19'!K35*'Anexo 9'!$D$10</f>
        <v>0</v>
      </c>
      <c r="L35" s="33">
        <f>+'Anexo 19'!L35*'Anexo 9'!$D$10</f>
        <v>0</v>
      </c>
      <c r="M35" s="33">
        <f>+'Anexo 19'!M35*'Anexo 9'!$D$10</f>
        <v>0</v>
      </c>
      <c r="N35" s="33">
        <f>+'Anexo 19'!N35*'Anexo 9'!$D$10</f>
        <v>0</v>
      </c>
      <c r="O35" s="33">
        <f>+'Anexo 19'!O35*'Anexo 9'!$D$10</f>
        <v>0</v>
      </c>
      <c r="P35" s="33">
        <f>+'Anexo 19'!P35*'Anexo 9'!$D$10</f>
        <v>0</v>
      </c>
      <c r="Q35" s="33">
        <f>+'Anexo 19'!Q35*'Anexo 9'!$D$10</f>
        <v>0</v>
      </c>
      <c r="R35" s="33">
        <f>+'Anexo 19'!R35*'Anexo 9'!$D$10</f>
        <v>0</v>
      </c>
      <c r="S35" s="33">
        <f>+'Anexo 19'!S35*'Anexo 9'!$D$10</f>
        <v>0</v>
      </c>
      <c r="T35" s="33">
        <f>+'Anexo 19'!T35*'Anexo 9'!$D$10</f>
        <v>0</v>
      </c>
      <c r="U35" s="33">
        <f>+'Anexo 19'!U35*'Anexo 9'!$D$10</f>
        <v>0</v>
      </c>
      <c r="V35" s="33">
        <f>+'Anexo 19'!V35*'Anexo 9'!$D$10</f>
        <v>0</v>
      </c>
      <c r="W35" s="33">
        <f>+'Anexo 19'!W35*'Anexo 9'!$D$10</f>
        <v>0</v>
      </c>
      <c r="X35" s="33">
        <f>+'Anexo 19'!X35*'Anexo 9'!$D$10</f>
        <v>0</v>
      </c>
      <c r="Y35" s="33">
        <f>+'Anexo 19'!Y35*'Anexo 9'!$D$10</f>
        <v>0</v>
      </c>
      <c r="Z35" s="33">
        <f>+'Anexo 19'!Z35*'Anexo 9'!$D$10</f>
        <v>0</v>
      </c>
      <c r="AA35" s="41">
        <f t="shared" si="0"/>
        <v>0</v>
      </c>
      <c r="AB35" s="23">
        <v>6</v>
      </c>
      <c r="AC35" s="96"/>
      <c r="AD35" s="48"/>
    </row>
    <row r="36" spans="1:30" ht="15.75" thickBot="1" x14ac:dyDescent="0.3">
      <c r="A36" s="93">
        <v>49249</v>
      </c>
      <c r="B36" s="18" t="s">
        <v>5</v>
      </c>
      <c r="C36" s="33">
        <f>+'Anexo 19'!C36*'Anexo 9'!$D$10</f>
        <v>0</v>
      </c>
      <c r="D36" s="33">
        <f>+'Anexo 19'!D36*'Anexo 9'!$D$10</f>
        <v>0</v>
      </c>
      <c r="E36" s="33">
        <f>+'Anexo 19'!E36*'Anexo 9'!$D$10</f>
        <v>0</v>
      </c>
      <c r="F36" s="33">
        <f>+'Anexo 19'!F36*'Anexo 9'!$D$10</f>
        <v>0</v>
      </c>
      <c r="G36" s="33">
        <f>+'Anexo 19'!G36*'Anexo 9'!$D$10</f>
        <v>0</v>
      </c>
      <c r="H36" s="33">
        <f>+'Anexo 19'!H36*'Anexo 9'!$D$10</f>
        <v>0</v>
      </c>
      <c r="I36" s="33">
        <f>+'Anexo 19'!I36*'Anexo 9'!$D$10</f>
        <v>0</v>
      </c>
      <c r="J36" s="33">
        <f>+'Anexo 19'!J36*'Anexo 9'!$D$10</f>
        <v>0</v>
      </c>
      <c r="K36" s="33">
        <f>+'Anexo 19'!K36*'Anexo 9'!$D$10</f>
        <v>0</v>
      </c>
      <c r="L36" s="33">
        <f>+'Anexo 19'!L36*'Anexo 9'!$D$10</f>
        <v>0</v>
      </c>
      <c r="M36" s="33">
        <f>+'Anexo 19'!M36*'Anexo 9'!$D$10</f>
        <v>0</v>
      </c>
      <c r="N36" s="33">
        <f>+'Anexo 19'!N36*'Anexo 9'!$D$10</f>
        <v>0</v>
      </c>
      <c r="O36" s="33">
        <f>+'Anexo 19'!O36*'Anexo 9'!$D$10</f>
        <v>0</v>
      </c>
      <c r="P36" s="33">
        <f>+'Anexo 19'!P36*'Anexo 9'!$D$10</f>
        <v>0</v>
      </c>
      <c r="Q36" s="33">
        <f>+'Anexo 19'!Q36*'Anexo 9'!$D$10</f>
        <v>0</v>
      </c>
      <c r="R36" s="33">
        <f>+'Anexo 19'!R36*'Anexo 9'!$D$10</f>
        <v>0</v>
      </c>
      <c r="S36" s="33">
        <f>+'Anexo 19'!S36*'Anexo 9'!$D$10</f>
        <v>0</v>
      </c>
      <c r="T36" s="33">
        <f>+'Anexo 19'!T36*'Anexo 9'!$D$10</f>
        <v>0</v>
      </c>
      <c r="U36" s="33">
        <f>+'Anexo 19'!U36*'Anexo 9'!$D$10</f>
        <v>0</v>
      </c>
      <c r="V36" s="33">
        <f>+'Anexo 19'!V36*'Anexo 9'!$D$10</f>
        <v>0</v>
      </c>
      <c r="W36" s="33">
        <f>+'Anexo 19'!W36*'Anexo 9'!$D$10</f>
        <v>0</v>
      </c>
      <c r="X36" s="33">
        <f>+'Anexo 19'!X36*'Anexo 9'!$D$10</f>
        <v>0</v>
      </c>
      <c r="Y36" s="33">
        <f>+'Anexo 19'!Y36*'Anexo 9'!$D$10</f>
        <v>0</v>
      </c>
      <c r="Z36" s="33">
        <f>+'Anexo 19'!Z36*'Anexo 9'!$D$10</f>
        <v>0</v>
      </c>
      <c r="AA36" s="35">
        <f t="shared" si="0"/>
        <v>0</v>
      </c>
      <c r="AB36" s="19">
        <v>20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+'Anexo 19'!C37*'Anexo 9'!$D$10</f>
        <v>0</v>
      </c>
      <c r="D37" s="33">
        <f>+'Anexo 19'!D37*'Anexo 9'!$D$10</f>
        <v>0</v>
      </c>
      <c r="E37" s="33">
        <f>+'Anexo 19'!E37*'Anexo 9'!$D$10</f>
        <v>0</v>
      </c>
      <c r="F37" s="33">
        <f>+'Anexo 19'!F37*'Anexo 9'!$D$10</f>
        <v>0</v>
      </c>
      <c r="G37" s="33">
        <f>+'Anexo 19'!G37*'Anexo 9'!$D$10</f>
        <v>0</v>
      </c>
      <c r="H37" s="33">
        <f>+'Anexo 19'!H37*'Anexo 9'!$D$10</f>
        <v>0</v>
      </c>
      <c r="I37" s="33">
        <f>+'Anexo 19'!I37*'Anexo 9'!$D$10</f>
        <v>0</v>
      </c>
      <c r="J37" s="33">
        <f>+'Anexo 19'!J37*'Anexo 9'!$D$10</f>
        <v>0</v>
      </c>
      <c r="K37" s="33">
        <f>+'Anexo 19'!K37*'Anexo 9'!$D$10</f>
        <v>0</v>
      </c>
      <c r="L37" s="33">
        <f>+'Anexo 19'!L37*'Anexo 9'!$D$10</f>
        <v>0</v>
      </c>
      <c r="M37" s="33">
        <f>+'Anexo 19'!M37*'Anexo 9'!$D$10</f>
        <v>0</v>
      </c>
      <c r="N37" s="33">
        <f>+'Anexo 19'!N37*'Anexo 9'!$D$10</f>
        <v>0</v>
      </c>
      <c r="O37" s="33">
        <f>+'Anexo 19'!O37*'Anexo 9'!$D$10</f>
        <v>0</v>
      </c>
      <c r="P37" s="33">
        <f>+'Anexo 19'!P37*'Anexo 9'!$D$10</f>
        <v>0</v>
      </c>
      <c r="Q37" s="33">
        <f>+'Anexo 19'!Q37*'Anexo 9'!$D$10</f>
        <v>0</v>
      </c>
      <c r="R37" s="33">
        <f>+'Anexo 19'!R37*'Anexo 9'!$D$10</f>
        <v>0</v>
      </c>
      <c r="S37" s="33">
        <f>+'Anexo 19'!S37*'Anexo 9'!$D$10</f>
        <v>0</v>
      </c>
      <c r="T37" s="33">
        <f>+'Anexo 19'!T37*'Anexo 9'!$D$10</f>
        <v>0</v>
      </c>
      <c r="U37" s="33">
        <f>+'Anexo 19'!U37*'Anexo 9'!$D$10</f>
        <v>0</v>
      </c>
      <c r="V37" s="33">
        <f>+'Anexo 19'!V37*'Anexo 9'!$D$10</f>
        <v>0</v>
      </c>
      <c r="W37" s="33">
        <f>+'Anexo 19'!W37*'Anexo 9'!$D$10</f>
        <v>0</v>
      </c>
      <c r="X37" s="33">
        <f>+'Anexo 19'!X37*'Anexo 9'!$D$10</f>
        <v>0</v>
      </c>
      <c r="Y37" s="33">
        <f>+'Anexo 19'!Y37*'Anexo 9'!$D$10</f>
        <v>0</v>
      </c>
      <c r="Z37" s="33">
        <f>+'Anexo 19'!Z37*'Anexo 9'!$D$10</f>
        <v>0</v>
      </c>
      <c r="AA37" s="38">
        <f t="shared" si="0"/>
        <v>0</v>
      </c>
      <c r="AB37" s="21">
        <v>4</v>
      </c>
      <c r="AC37" s="95"/>
      <c r="AD37" s="47"/>
    </row>
    <row r="38" spans="1:30" ht="15.75" thickBot="1" x14ac:dyDescent="0.3">
      <c r="A38" s="93"/>
      <c r="B38" s="22" t="s">
        <v>3</v>
      </c>
      <c r="C38" s="33">
        <f>+'Anexo 19'!C38*'Anexo 9'!$D$10</f>
        <v>0</v>
      </c>
      <c r="D38" s="33">
        <f>+'Anexo 19'!D38*'Anexo 9'!$D$10</f>
        <v>0</v>
      </c>
      <c r="E38" s="33">
        <f>+'Anexo 19'!E38*'Anexo 9'!$D$10</f>
        <v>0</v>
      </c>
      <c r="F38" s="33">
        <f>+'Anexo 19'!F38*'Anexo 9'!$D$10</f>
        <v>0</v>
      </c>
      <c r="G38" s="33">
        <f>+'Anexo 19'!G38*'Anexo 9'!$D$10</f>
        <v>0</v>
      </c>
      <c r="H38" s="33">
        <f>+'Anexo 19'!H38*'Anexo 9'!$D$10</f>
        <v>0</v>
      </c>
      <c r="I38" s="33">
        <f>+'Anexo 19'!I38*'Anexo 9'!$D$10</f>
        <v>0</v>
      </c>
      <c r="J38" s="33">
        <f>+'Anexo 19'!J38*'Anexo 9'!$D$10</f>
        <v>0</v>
      </c>
      <c r="K38" s="33">
        <f>+'Anexo 19'!K38*'Anexo 9'!$D$10</f>
        <v>0</v>
      </c>
      <c r="L38" s="33">
        <f>+'Anexo 19'!L38*'Anexo 9'!$D$10</f>
        <v>0</v>
      </c>
      <c r="M38" s="33">
        <f>+'Anexo 19'!M38*'Anexo 9'!$D$10</f>
        <v>0</v>
      </c>
      <c r="N38" s="33">
        <f>+'Anexo 19'!N38*'Anexo 9'!$D$10</f>
        <v>0</v>
      </c>
      <c r="O38" s="33">
        <f>+'Anexo 19'!O38*'Anexo 9'!$D$10</f>
        <v>0</v>
      </c>
      <c r="P38" s="33">
        <f>+'Anexo 19'!P38*'Anexo 9'!$D$10</f>
        <v>0</v>
      </c>
      <c r="Q38" s="33">
        <f>+'Anexo 19'!Q38*'Anexo 9'!$D$10</f>
        <v>0</v>
      </c>
      <c r="R38" s="33">
        <f>+'Anexo 19'!R38*'Anexo 9'!$D$10</f>
        <v>0</v>
      </c>
      <c r="S38" s="33">
        <f>+'Anexo 19'!S38*'Anexo 9'!$D$10</f>
        <v>0</v>
      </c>
      <c r="T38" s="33">
        <f>+'Anexo 19'!T38*'Anexo 9'!$D$10</f>
        <v>0</v>
      </c>
      <c r="U38" s="33">
        <f>+'Anexo 19'!U38*'Anexo 9'!$D$10</f>
        <v>0</v>
      </c>
      <c r="V38" s="33">
        <f>+'Anexo 19'!V38*'Anexo 9'!$D$10</f>
        <v>0</v>
      </c>
      <c r="W38" s="33">
        <f>+'Anexo 19'!W38*'Anexo 9'!$D$10</f>
        <v>0</v>
      </c>
      <c r="X38" s="33">
        <f>+'Anexo 19'!X38*'Anexo 9'!$D$10</f>
        <v>0</v>
      </c>
      <c r="Y38" s="33">
        <f>+'Anexo 19'!Y38*'Anexo 9'!$D$10</f>
        <v>0</v>
      </c>
      <c r="Z38" s="33">
        <f>+'Anexo 19'!Z38*'Anexo 9'!$D$10</f>
        <v>0</v>
      </c>
      <c r="AA38" s="41">
        <f t="shared" si="0"/>
        <v>0</v>
      </c>
      <c r="AB38" s="23">
        <v>6</v>
      </c>
      <c r="AC38" s="96"/>
      <c r="AD38" s="49"/>
    </row>
    <row r="39" spans="1:30" ht="15.75" thickBot="1" x14ac:dyDescent="0.3">
      <c r="A39" s="93">
        <v>49279</v>
      </c>
      <c r="B39" s="18" t="s">
        <v>5</v>
      </c>
      <c r="C39" s="33">
        <f>+'Anexo 19'!C39*'Anexo 9'!$D$10</f>
        <v>0</v>
      </c>
      <c r="D39" s="33">
        <f>+'Anexo 19'!D39*'Anexo 9'!$D$10</f>
        <v>0</v>
      </c>
      <c r="E39" s="33">
        <f>+'Anexo 19'!E39*'Anexo 9'!$D$10</f>
        <v>0</v>
      </c>
      <c r="F39" s="33">
        <f>+'Anexo 19'!F39*'Anexo 9'!$D$10</f>
        <v>0</v>
      </c>
      <c r="G39" s="33">
        <f>+'Anexo 19'!G39*'Anexo 9'!$D$10</f>
        <v>0</v>
      </c>
      <c r="H39" s="33">
        <f>+'Anexo 19'!H39*'Anexo 9'!$D$10</f>
        <v>0</v>
      </c>
      <c r="I39" s="33">
        <f>+'Anexo 19'!I39*'Anexo 9'!$D$10</f>
        <v>0</v>
      </c>
      <c r="J39" s="33">
        <f>+'Anexo 19'!J39*'Anexo 9'!$D$10</f>
        <v>0</v>
      </c>
      <c r="K39" s="33">
        <f>+'Anexo 19'!K39*'Anexo 9'!$D$10</f>
        <v>0</v>
      </c>
      <c r="L39" s="33">
        <f>+'Anexo 19'!L39*'Anexo 9'!$D$10</f>
        <v>0</v>
      </c>
      <c r="M39" s="33">
        <f>+'Anexo 19'!M39*'Anexo 9'!$D$10</f>
        <v>0</v>
      </c>
      <c r="N39" s="33">
        <f>+'Anexo 19'!N39*'Anexo 9'!$D$10</f>
        <v>0</v>
      </c>
      <c r="O39" s="33">
        <f>+'Anexo 19'!O39*'Anexo 9'!$D$10</f>
        <v>0</v>
      </c>
      <c r="P39" s="33">
        <f>+'Anexo 19'!P39*'Anexo 9'!$D$10</f>
        <v>0</v>
      </c>
      <c r="Q39" s="33">
        <f>+'Anexo 19'!Q39*'Anexo 9'!$D$10</f>
        <v>0</v>
      </c>
      <c r="R39" s="33">
        <f>+'Anexo 19'!R39*'Anexo 9'!$D$10</f>
        <v>0</v>
      </c>
      <c r="S39" s="33">
        <f>+'Anexo 19'!S39*'Anexo 9'!$D$10</f>
        <v>0</v>
      </c>
      <c r="T39" s="33">
        <f>+'Anexo 19'!T39*'Anexo 9'!$D$10</f>
        <v>0</v>
      </c>
      <c r="U39" s="33">
        <f>+'Anexo 19'!U39*'Anexo 9'!$D$10</f>
        <v>0</v>
      </c>
      <c r="V39" s="33">
        <f>+'Anexo 19'!V39*'Anexo 9'!$D$10</f>
        <v>0</v>
      </c>
      <c r="W39" s="33">
        <f>+'Anexo 19'!W39*'Anexo 9'!$D$10</f>
        <v>0</v>
      </c>
      <c r="X39" s="33">
        <f>+'Anexo 19'!X39*'Anexo 9'!$D$10</f>
        <v>0</v>
      </c>
      <c r="Y39" s="33">
        <f>+'Anexo 19'!Y39*'Anexo 9'!$D$10</f>
        <v>0</v>
      </c>
      <c r="Z39" s="33">
        <f>+'Anexo 19'!Z39*'Anexo 9'!$D$10</f>
        <v>0</v>
      </c>
      <c r="AA39" s="35">
        <f t="shared" si="0"/>
        <v>0</v>
      </c>
      <c r="AB39" s="19">
        <v>19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+'Anexo 19'!C40*'Anexo 9'!$D$10</f>
        <v>0</v>
      </c>
      <c r="D40" s="33">
        <f>+'Anexo 19'!D40*'Anexo 9'!$D$10</f>
        <v>0</v>
      </c>
      <c r="E40" s="33">
        <f>+'Anexo 19'!E40*'Anexo 9'!$D$10</f>
        <v>0</v>
      </c>
      <c r="F40" s="33">
        <f>+'Anexo 19'!F40*'Anexo 9'!$D$10</f>
        <v>0</v>
      </c>
      <c r="G40" s="33">
        <f>+'Anexo 19'!G40*'Anexo 9'!$D$10</f>
        <v>0</v>
      </c>
      <c r="H40" s="33">
        <f>+'Anexo 19'!H40*'Anexo 9'!$D$10</f>
        <v>0</v>
      </c>
      <c r="I40" s="33">
        <f>+'Anexo 19'!I40*'Anexo 9'!$D$10</f>
        <v>0</v>
      </c>
      <c r="J40" s="33">
        <f>+'Anexo 19'!J40*'Anexo 9'!$D$10</f>
        <v>0</v>
      </c>
      <c r="K40" s="33">
        <f>+'Anexo 19'!K40*'Anexo 9'!$D$10</f>
        <v>0</v>
      </c>
      <c r="L40" s="33">
        <f>+'Anexo 19'!L40*'Anexo 9'!$D$10</f>
        <v>0</v>
      </c>
      <c r="M40" s="33">
        <f>+'Anexo 19'!M40*'Anexo 9'!$D$10</f>
        <v>0</v>
      </c>
      <c r="N40" s="33">
        <f>+'Anexo 19'!N40*'Anexo 9'!$D$10</f>
        <v>0</v>
      </c>
      <c r="O40" s="33">
        <f>+'Anexo 19'!O40*'Anexo 9'!$D$10</f>
        <v>0</v>
      </c>
      <c r="P40" s="33">
        <f>+'Anexo 19'!P40*'Anexo 9'!$D$10</f>
        <v>0</v>
      </c>
      <c r="Q40" s="33">
        <f>+'Anexo 19'!Q40*'Anexo 9'!$D$10</f>
        <v>0</v>
      </c>
      <c r="R40" s="33">
        <f>+'Anexo 19'!R40*'Anexo 9'!$D$10</f>
        <v>0</v>
      </c>
      <c r="S40" s="33">
        <f>+'Anexo 19'!S40*'Anexo 9'!$D$10</f>
        <v>0</v>
      </c>
      <c r="T40" s="33">
        <f>+'Anexo 19'!T40*'Anexo 9'!$D$10</f>
        <v>0</v>
      </c>
      <c r="U40" s="33">
        <f>+'Anexo 19'!U40*'Anexo 9'!$D$10</f>
        <v>0</v>
      </c>
      <c r="V40" s="33">
        <f>+'Anexo 19'!V40*'Anexo 9'!$D$10</f>
        <v>0</v>
      </c>
      <c r="W40" s="33">
        <f>+'Anexo 19'!W40*'Anexo 9'!$D$10</f>
        <v>0</v>
      </c>
      <c r="X40" s="33">
        <f>+'Anexo 19'!X40*'Anexo 9'!$D$10</f>
        <v>0</v>
      </c>
      <c r="Y40" s="33">
        <f>+'Anexo 19'!Y40*'Anexo 9'!$D$10</f>
        <v>0</v>
      </c>
      <c r="Z40" s="33">
        <f>+'Anexo 19'!Z40*'Anexo 9'!$D$10</f>
        <v>0</v>
      </c>
      <c r="AA40" s="38">
        <f t="shared" si="0"/>
        <v>0</v>
      </c>
      <c r="AB40" s="21">
        <v>5</v>
      </c>
      <c r="AC40" s="95"/>
      <c r="AD40" s="47"/>
    </row>
    <row r="41" spans="1:30" ht="15.75" thickBot="1" x14ac:dyDescent="0.3">
      <c r="A41" s="93"/>
      <c r="B41" s="22" t="s">
        <v>3</v>
      </c>
      <c r="C41" s="33">
        <f>+'Anexo 19'!C41*'Anexo 9'!$D$10</f>
        <v>0</v>
      </c>
      <c r="D41" s="33">
        <f>+'Anexo 19'!D41*'Anexo 9'!$D$10</f>
        <v>0</v>
      </c>
      <c r="E41" s="33">
        <f>+'Anexo 19'!E41*'Anexo 9'!$D$10</f>
        <v>0</v>
      </c>
      <c r="F41" s="33">
        <f>+'Anexo 19'!F41*'Anexo 9'!$D$10</f>
        <v>0</v>
      </c>
      <c r="G41" s="33">
        <f>+'Anexo 19'!G41*'Anexo 9'!$D$10</f>
        <v>0</v>
      </c>
      <c r="H41" s="33">
        <f>+'Anexo 19'!H41*'Anexo 9'!$D$10</f>
        <v>0</v>
      </c>
      <c r="I41" s="33">
        <f>+'Anexo 19'!I41*'Anexo 9'!$D$10</f>
        <v>0</v>
      </c>
      <c r="J41" s="33">
        <f>+'Anexo 19'!J41*'Anexo 9'!$D$10</f>
        <v>0</v>
      </c>
      <c r="K41" s="33">
        <f>+'Anexo 19'!K41*'Anexo 9'!$D$10</f>
        <v>0</v>
      </c>
      <c r="L41" s="33">
        <f>+'Anexo 19'!L41*'Anexo 9'!$D$10</f>
        <v>0</v>
      </c>
      <c r="M41" s="33">
        <f>+'Anexo 19'!M41*'Anexo 9'!$D$10</f>
        <v>0</v>
      </c>
      <c r="N41" s="33">
        <f>+'Anexo 19'!N41*'Anexo 9'!$D$10</f>
        <v>0</v>
      </c>
      <c r="O41" s="33">
        <f>+'Anexo 19'!O41*'Anexo 9'!$D$10</f>
        <v>0</v>
      </c>
      <c r="P41" s="33">
        <f>+'Anexo 19'!P41*'Anexo 9'!$D$10</f>
        <v>0</v>
      </c>
      <c r="Q41" s="33">
        <f>+'Anexo 19'!Q41*'Anexo 9'!$D$10</f>
        <v>0</v>
      </c>
      <c r="R41" s="33">
        <f>+'Anexo 19'!R41*'Anexo 9'!$D$10</f>
        <v>0</v>
      </c>
      <c r="S41" s="33">
        <f>+'Anexo 19'!S41*'Anexo 9'!$D$10</f>
        <v>0</v>
      </c>
      <c r="T41" s="33">
        <f>+'Anexo 19'!T41*'Anexo 9'!$D$10</f>
        <v>0</v>
      </c>
      <c r="U41" s="33">
        <f>+'Anexo 19'!U41*'Anexo 9'!$D$10</f>
        <v>0</v>
      </c>
      <c r="V41" s="33">
        <f>+'Anexo 19'!V41*'Anexo 9'!$D$10</f>
        <v>0</v>
      </c>
      <c r="W41" s="33">
        <f>+'Anexo 19'!W41*'Anexo 9'!$D$10</f>
        <v>0</v>
      </c>
      <c r="X41" s="33">
        <f>+'Anexo 19'!X41*'Anexo 9'!$D$10</f>
        <v>0</v>
      </c>
      <c r="Y41" s="33">
        <f>+'Anexo 19'!Y41*'Anexo 9'!$D$10</f>
        <v>0</v>
      </c>
      <c r="Z41" s="33">
        <f>+'Anexo 19'!Z41*'Anexo 9'!$D$10</f>
        <v>0</v>
      </c>
      <c r="AA41" s="41">
        <f t="shared" si="0"/>
        <v>0</v>
      </c>
      <c r="AB41" s="23">
        <v>7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68E0-25FC-45C5-A81E-6DEBA23547B7}">
  <sheetPr>
    <tabColor rgb="FF0070C0"/>
  </sheetPr>
  <dimension ref="A1:XFC36"/>
  <sheetViews>
    <sheetView showGridLines="0" topLeftCell="A7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16383" width="11.42578125" hidden="1"/>
    <col min="16384" max="16384" width="23.42578125" hidden="1"/>
  </cols>
  <sheetData>
    <row r="1" spans="1:8" x14ac:dyDescent="0.25"/>
    <row r="2" spans="1:8" x14ac:dyDescent="0.25"/>
    <row r="3" spans="1:8" x14ac:dyDescent="0.25">
      <c r="B3" s="76" t="s">
        <v>100</v>
      </c>
      <c r="C3" s="76"/>
      <c r="D3" s="76"/>
      <c r="E3" s="76"/>
      <c r="F3" s="76"/>
      <c r="G3" s="29"/>
    </row>
    <row r="4" spans="1:8" x14ac:dyDescent="0.25">
      <c r="B4" s="76" t="s">
        <v>101</v>
      </c>
      <c r="C4" s="76"/>
      <c r="D4" s="76"/>
      <c r="E4" s="76"/>
      <c r="F4" s="76"/>
      <c r="G4" s="29"/>
    </row>
    <row r="5" spans="1:8" x14ac:dyDescent="0.25">
      <c r="B5" s="76" t="s">
        <v>90</v>
      </c>
      <c r="C5" s="76"/>
      <c r="D5" s="76"/>
      <c r="E5" s="76"/>
      <c r="F5" s="76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7" t="s">
        <v>1</v>
      </c>
      <c r="C8" s="77" t="s">
        <v>36</v>
      </c>
      <c r="D8" s="77" t="s">
        <v>40</v>
      </c>
      <c r="E8" s="77" t="s">
        <v>37</v>
      </c>
      <c r="F8" s="77" t="s">
        <v>42</v>
      </c>
      <c r="G8" s="28"/>
    </row>
    <row r="9" spans="1:8" ht="23.25" customHeight="1" x14ac:dyDescent="0.25"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49310</v>
      </c>
      <c r="C10" s="43">
        <f>+'Anexo 20'!AC6</f>
        <v>3334300</v>
      </c>
      <c r="D10" s="73"/>
      <c r="E10" s="57">
        <f>+'Cantidades Ofertadas Prod 10'!AC6</f>
        <v>0</v>
      </c>
      <c r="F10" s="99"/>
      <c r="G10" s="32"/>
      <c r="H10" s="66"/>
    </row>
    <row r="11" spans="1:8" ht="15.75" thickBot="1" x14ac:dyDescent="0.3">
      <c r="A11" s="59">
        <v>29</v>
      </c>
      <c r="B11" s="8">
        <v>49341</v>
      </c>
      <c r="C11" s="43">
        <f>+'Anexo 20'!AC9</f>
        <v>2884716</v>
      </c>
      <c r="D11" s="74"/>
      <c r="E11" s="57">
        <f>+'Cantidades Ofertadas Prod 10'!AC9</f>
        <v>0</v>
      </c>
      <c r="F11" s="100"/>
      <c r="G11" s="32"/>
      <c r="H11" s="66"/>
    </row>
    <row r="12" spans="1:8" ht="15.75" thickBot="1" x14ac:dyDescent="0.3">
      <c r="A12" s="59">
        <v>31</v>
      </c>
      <c r="B12" s="8">
        <v>49369</v>
      </c>
      <c r="C12" s="43">
        <f>+'Anexo 20'!AC12</f>
        <v>3339640</v>
      </c>
      <c r="D12" s="74"/>
      <c r="E12" s="57">
        <f>+'Cantidades Ofertadas Prod 10'!AC12</f>
        <v>0</v>
      </c>
      <c r="F12" s="100"/>
      <c r="G12" s="32"/>
      <c r="H12" s="66"/>
    </row>
    <row r="13" spans="1:8" ht="15.75" thickBot="1" x14ac:dyDescent="0.3">
      <c r="A13" s="59">
        <v>30</v>
      </c>
      <c r="B13" s="8">
        <v>49400</v>
      </c>
      <c r="C13" s="43">
        <f>+'Anexo 20'!AC15</f>
        <v>3059522</v>
      </c>
      <c r="D13" s="74"/>
      <c r="E13" s="57">
        <f>+'Cantidades Ofertadas Prod 10'!AC15</f>
        <v>0</v>
      </c>
      <c r="F13" s="100"/>
      <c r="G13" s="32"/>
      <c r="H13" s="66"/>
    </row>
    <row r="14" spans="1:8" ht="15.75" thickBot="1" x14ac:dyDescent="0.3">
      <c r="A14" s="59">
        <v>31</v>
      </c>
      <c r="B14" s="8">
        <v>49430</v>
      </c>
      <c r="C14" s="43">
        <f>+'Anexo 20'!AC18</f>
        <v>3250316</v>
      </c>
      <c r="D14" s="74"/>
      <c r="E14" s="57">
        <f>+'Cantidades Ofertadas Prod 10'!AC18</f>
        <v>0</v>
      </c>
      <c r="F14" s="100"/>
      <c r="G14" s="32"/>
      <c r="H14" s="66"/>
    </row>
    <row r="15" spans="1:8" ht="15.75" thickBot="1" x14ac:dyDescent="0.3">
      <c r="A15" s="59">
        <v>30</v>
      </c>
      <c r="B15" s="8">
        <v>49461</v>
      </c>
      <c r="C15" s="43">
        <f>+'Anexo 20'!AC21</f>
        <v>3140920</v>
      </c>
      <c r="D15" s="74"/>
      <c r="E15" s="57">
        <f>+'Cantidades Ofertadas Prod 10'!AC21</f>
        <v>0</v>
      </c>
      <c r="F15" s="100"/>
      <c r="G15" s="32"/>
      <c r="H15" s="66"/>
    </row>
    <row r="16" spans="1:8" ht="15.75" thickBot="1" x14ac:dyDescent="0.3">
      <c r="A16" s="59">
        <v>31</v>
      </c>
      <c r="B16" s="8">
        <v>49491</v>
      </c>
      <c r="C16" s="43">
        <f>+'Anexo 20'!AC24</f>
        <v>3346253</v>
      </c>
      <c r="D16" s="74"/>
      <c r="E16" s="57">
        <f>+'Cantidades Ofertadas Prod 10'!AC24</f>
        <v>0</v>
      </c>
      <c r="F16" s="100"/>
      <c r="G16" s="32"/>
      <c r="H16" s="66"/>
    </row>
    <row r="17" spans="1:8" ht="15.75" thickBot="1" x14ac:dyDescent="0.3">
      <c r="A17" s="59">
        <v>31</v>
      </c>
      <c r="B17" s="8">
        <v>49522</v>
      </c>
      <c r="C17" s="43">
        <f>+'Anexo 20'!AC27</f>
        <v>3418357</v>
      </c>
      <c r="D17" s="74"/>
      <c r="E17" s="57">
        <f>+'Cantidades Ofertadas Prod 10'!AC27</f>
        <v>0</v>
      </c>
      <c r="F17" s="100"/>
      <c r="G17" s="32"/>
      <c r="H17" s="66"/>
    </row>
    <row r="18" spans="1:8" ht="15.75" thickBot="1" x14ac:dyDescent="0.3">
      <c r="A18" s="59">
        <v>30</v>
      </c>
      <c r="B18" s="8">
        <v>49553</v>
      </c>
      <c r="C18" s="43">
        <f>+'Anexo 20'!AC30</f>
        <v>3311200</v>
      </c>
      <c r="D18" s="74"/>
      <c r="E18" s="57">
        <f>+'Cantidades Ofertadas Prod 10'!AC30</f>
        <v>0</v>
      </c>
      <c r="F18" s="100"/>
      <c r="G18" s="32"/>
      <c r="H18" s="66"/>
    </row>
    <row r="19" spans="1:8" ht="15.75" thickBot="1" x14ac:dyDescent="0.3">
      <c r="A19" s="59">
        <v>31</v>
      </c>
      <c r="B19" s="8">
        <v>49583</v>
      </c>
      <c r="C19" s="43">
        <f>+'Anexo 20'!AC33</f>
        <v>3247763</v>
      </c>
      <c r="D19" s="74"/>
      <c r="E19" s="57">
        <f>+'Cantidades Ofertadas Prod 10'!AC33</f>
        <v>0</v>
      </c>
      <c r="F19" s="100"/>
      <c r="G19" s="32"/>
      <c r="H19" s="66"/>
    </row>
    <row r="20" spans="1:8" ht="15.75" thickBot="1" x14ac:dyDescent="0.3">
      <c r="A20" s="59">
        <v>30</v>
      </c>
      <c r="B20" s="8">
        <v>49614</v>
      </c>
      <c r="C20" s="43">
        <f>+'Anexo 20'!AC36</f>
        <v>3120260</v>
      </c>
      <c r="D20" s="74"/>
      <c r="E20" s="57">
        <f>+'Cantidades Ofertadas Prod 10'!AC36</f>
        <v>0</v>
      </c>
      <c r="F20" s="100"/>
      <c r="G20" s="32"/>
      <c r="H20" s="66"/>
    </row>
    <row r="21" spans="1:8" ht="15.75" thickBot="1" x14ac:dyDescent="0.3">
      <c r="A21" s="59">
        <v>31</v>
      </c>
      <c r="B21" s="8">
        <v>49644</v>
      </c>
      <c r="C21" s="43">
        <f>+'Anexo 20'!AC39</f>
        <v>3394285</v>
      </c>
      <c r="D21" s="75"/>
      <c r="E21" s="57">
        <f>+'Cantidades Ofertadas Prod 10'!AC39</f>
        <v>0</v>
      </c>
      <c r="F21" s="101"/>
      <c r="G21" s="32"/>
      <c r="H21" s="66"/>
    </row>
    <row r="22" spans="1:8" ht="28.5" customHeight="1" x14ac:dyDescent="0.25">
      <c r="B22" s="9" t="s">
        <v>0</v>
      </c>
      <c r="C22" s="10">
        <f>+SUM(C10:C21)</f>
        <v>38847532</v>
      </c>
      <c r="D22" s="62"/>
      <c r="E22" s="56">
        <f>SUM(E10:E21)</f>
        <v>0</v>
      </c>
      <c r="F22" s="55">
        <f>+F10</f>
        <v>0</v>
      </c>
      <c r="G22" s="50"/>
      <c r="H22" s="50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58</v>
      </c>
      <c r="C24" s="25"/>
      <c r="D24" s="30"/>
      <c r="E24" s="25"/>
      <c r="F24" s="26"/>
      <c r="G24" s="26"/>
      <c r="H24" s="42"/>
    </row>
    <row r="25" spans="1:8" x14ac:dyDescent="0.25">
      <c r="B25" s="69" t="s">
        <v>46</v>
      </c>
      <c r="C25" s="69"/>
      <c r="D25" s="69"/>
      <c r="E25" s="69"/>
      <c r="F25" s="69"/>
      <c r="G25" s="69"/>
      <c r="H25" s="42"/>
    </row>
    <row r="26" spans="1:8" x14ac:dyDescent="0.25">
      <c r="B26" s="7" t="s">
        <v>110</v>
      </c>
      <c r="C26" s="52"/>
      <c r="D26" s="52"/>
      <c r="E26" s="52"/>
      <c r="F26" s="52"/>
      <c r="G26" s="52"/>
      <c r="H26" s="42"/>
    </row>
    <row r="27" spans="1:8" x14ac:dyDescent="0.25">
      <c r="B27" s="7" t="s">
        <v>111</v>
      </c>
      <c r="C27" s="52"/>
      <c r="D27" s="52"/>
      <c r="E27" s="52"/>
      <c r="F27" s="52"/>
      <c r="G27" s="52"/>
      <c r="H27" s="42"/>
    </row>
    <row r="28" spans="1:8" x14ac:dyDescent="0.25">
      <c r="B28" s="7" t="s">
        <v>43</v>
      </c>
      <c r="H28" s="42"/>
    </row>
    <row r="29" spans="1:8" x14ac:dyDescent="0.25">
      <c r="B29" s="7" t="s">
        <v>123</v>
      </c>
      <c r="C29" s="45"/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53</v>
      </c>
      <c r="H33" s="42"/>
    </row>
    <row r="34" spans="1:8" ht="15" customHeight="1" x14ac:dyDescent="0.25">
      <c r="A34" s="1"/>
      <c r="B34" s="61" t="s">
        <v>54</v>
      </c>
      <c r="H34" s="42"/>
    </row>
    <row r="35" spans="1:8" x14ac:dyDescent="0.25">
      <c r="B35" s="61" t="s">
        <v>55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conditionalFormatting sqref="H10:H21">
    <cfRule type="cellIs" dxfId="0" priority="1" operator="lessThan">
      <formula>0</formula>
    </cfRule>
  </conditionalFormatting>
  <dataValidations count="1">
    <dataValidation type="decimal" allowBlank="1" showInputMessage="1" showErrorMessage="1" errorTitle="Dato No valido" error="Debe ingresar un valor entre 0 y 100_x000a_" sqref="D10:D21" xr:uid="{8E3B6D6F-8BD6-4ACD-98EE-73A677749F3E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15D0-D070-46A4-BE8C-BB84DA548FA2}">
  <sheetPr>
    <tabColor rgb="FF0070C0"/>
  </sheetPr>
  <dimension ref="A1:H33"/>
  <sheetViews>
    <sheetView showGridLines="0" topLeftCell="A6" zoomScaleNormal="100" zoomScaleSheetLayoutView="140" workbookViewId="0">
      <selection activeCell="B8" sqref="B8:F22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76" t="s">
        <v>124</v>
      </c>
      <c r="C3" s="76"/>
      <c r="D3" s="76"/>
      <c r="E3" s="76"/>
      <c r="F3" s="76"/>
      <c r="G3" s="29"/>
    </row>
    <row r="4" spans="1:8" ht="15" x14ac:dyDescent="0.25">
      <c r="B4" s="76" t="s">
        <v>101</v>
      </c>
      <c r="C4" s="76"/>
      <c r="D4" s="76"/>
      <c r="E4" s="76"/>
      <c r="F4" s="76"/>
      <c r="G4" s="29"/>
    </row>
    <row r="5" spans="1:8" ht="15" x14ac:dyDescent="0.25">
      <c r="B5" s="76" t="s">
        <v>90</v>
      </c>
      <c r="C5" s="76"/>
      <c r="D5" s="76"/>
      <c r="E5" s="76"/>
      <c r="F5" s="76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77" t="s">
        <v>1</v>
      </c>
      <c r="C8" s="77" t="s">
        <v>56</v>
      </c>
      <c r="D8" s="77" t="s">
        <v>66</v>
      </c>
      <c r="E8" s="77" t="s">
        <v>37</v>
      </c>
      <c r="F8" s="77" t="s">
        <v>42</v>
      </c>
      <c r="G8" s="28"/>
    </row>
    <row r="9" spans="1:8" ht="23.25" customHeight="1" x14ac:dyDescent="0.25">
      <c r="A9" s="63">
        <v>500</v>
      </c>
      <c r="B9" s="78"/>
      <c r="C9" s="78"/>
      <c r="D9" s="78"/>
      <c r="E9" s="78"/>
      <c r="F9" s="78"/>
      <c r="G9" s="28"/>
    </row>
    <row r="10" spans="1:8" ht="15.75" thickBot="1" x14ac:dyDescent="0.3">
      <c r="A10" s="59">
        <v>31</v>
      </c>
      <c r="B10" s="8">
        <v>49310</v>
      </c>
      <c r="C10" s="43">
        <f>+$A$9*A10*24</f>
        <v>372000</v>
      </c>
      <c r="D10" s="79"/>
      <c r="E10" s="57">
        <f>+$D$10*A10*24</f>
        <v>0</v>
      </c>
      <c r="F10" s="70"/>
      <c r="G10" s="32"/>
      <c r="H10" s="51"/>
    </row>
    <row r="11" spans="1:8" ht="15.75" thickBot="1" x14ac:dyDescent="0.3">
      <c r="A11" s="59">
        <v>28</v>
      </c>
      <c r="B11" s="8">
        <v>49341</v>
      </c>
      <c r="C11" s="43">
        <f t="shared" ref="C11:C21" si="0">+$A$9*A11*24</f>
        <v>336000</v>
      </c>
      <c r="D11" s="80"/>
      <c r="E11" s="57">
        <f t="shared" ref="E11:E21" si="1">+$D$10*A11*24</f>
        <v>0</v>
      </c>
      <c r="F11" s="71"/>
      <c r="G11" s="32"/>
      <c r="H11" s="51"/>
    </row>
    <row r="12" spans="1:8" ht="15.75" thickBot="1" x14ac:dyDescent="0.3">
      <c r="A12" s="59">
        <v>31</v>
      </c>
      <c r="B12" s="8">
        <v>49369</v>
      </c>
      <c r="C12" s="43">
        <f t="shared" si="0"/>
        <v>372000</v>
      </c>
      <c r="D12" s="80"/>
      <c r="E12" s="57">
        <f t="shared" si="1"/>
        <v>0</v>
      </c>
      <c r="F12" s="71"/>
      <c r="G12" s="32"/>
      <c r="H12" s="51"/>
    </row>
    <row r="13" spans="1:8" ht="15.75" thickBot="1" x14ac:dyDescent="0.3">
      <c r="A13" s="59">
        <v>30</v>
      </c>
      <c r="B13" s="8">
        <v>49400</v>
      </c>
      <c r="C13" s="43">
        <f t="shared" si="0"/>
        <v>360000</v>
      </c>
      <c r="D13" s="80"/>
      <c r="E13" s="57">
        <f t="shared" si="1"/>
        <v>0</v>
      </c>
      <c r="F13" s="71"/>
      <c r="G13" s="32"/>
      <c r="H13" s="51"/>
    </row>
    <row r="14" spans="1:8" ht="15.75" thickBot="1" x14ac:dyDescent="0.3">
      <c r="A14" s="59">
        <v>31</v>
      </c>
      <c r="B14" s="8">
        <v>49430</v>
      </c>
      <c r="C14" s="43">
        <f t="shared" si="0"/>
        <v>372000</v>
      </c>
      <c r="D14" s="80"/>
      <c r="E14" s="57">
        <f t="shared" si="1"/>
        <v>0</v>
      </c>
      <c r="F14" s="71"/>
      <c r="G14" s="32"/>
      <c r="H14" s="51"/>
    </row>
    <row r="15" spans="1:8" ht="15.75" thickBot="1" x14ac:dyDescent="0.3">
      <c r="A15" s="59">
        <v>30</v>
      </c>
      <c r="B15" s="8">
        <v>49461</v>
      </c>
      <c r="C15" s="43">
        <f t="shared" si="0"/>
        <v>360000</v>
      </c>
      <c r="D15" s="80"/>
      <c r="E15" s="57">
        <f t="shared" si="1"/>
        <v>0</v>
      </c>
      <c r="F15" s="71"/>
      <c r="G15" s="32"/>
      <c r="H15" s="51"/>
    </row>
    <row r="16" spans="1:8" ht="15.75" thickBot="1" x14ac:dyDescent="0.3">
      <c r="A16" s="59">
        <v>31</v>
      </c>
      <c r="B16" s="8">
        <v>49491</v>
      </c>
      <c r="C16" s="43">
        <f t="shared" si="0"/>
        <v>372000</v>
      </c>
      <c r="D16" s="80"/>
      <c r="E16" s="57">
        <f t="shared" si="1"/>
        <v>0</v>
      </c>
      <c r="F16" s="71"/>
      <c r="G16" s="32"/>
      <c r="H16" s="51"/>
    </row>
    <row r="17" spans="1:8" ht="15.75" thickBot="1" x14ac:dyDescent="0.3">
      <c r="A17" s="59">
        <v>31</v>
      </c>
      <c r="B17" s="8">
        <v>49522</v>
      </c>
      <c r="C17" s="43">
        <f t="shared" si="0"/>
        <v>372000</v>
      </c>
      <c r="D17" s="80"/>
      <c r="E17" s="57">
        <f t="shared" si="1"/>
        <v>0</v>
      </c>
      <c r="F17" s="71"/>
      <c r="G17" s="32"/>
      <c r="H17" s="51"/>
    </row>
    <row r="18" spans="1:8" ht="15.75" thickBot="1" x14ac:dyDescent="0.3">
      <c r="A18" s="59">
        <v>30</v>
      </c>
      <c r="B18" s="8">
        <v>49553</v>
      </c>
      <c r="C18" s="43">
        <f t="shared" si="0"/>
        <v>360000</v>
      </c>
      <c r="D18" s="80"/>
      <c r="E18" s="57">
        <f t="shared" si="1"/>
        <v>0</v>
      </c>
      <c r="F18" s="71"/>
      <c r="G18" s="32"/>
      <c r="H18" s="51"/>
    </row>
    <row r="19" spans="1:8" ht="15.75" thickBot="1" x14ac:dyDescent="0.3">
      <c r="A19" s="59">
        <v>31</v>
      </c>
      <c r="B19" s="8">
        <v>49583</v>
      </c>
      <c r="C19" s="43">
        <f t="shared" si="0"/>
        <v>372000</v>
      </c>
      <c r="D19" s="80"/>
      <c r="E19" s="57">
        <f t="shared" si="1"/>
        <v>0</v>
      </c>
      <c r="F19" s="71"/>
      <c r="G19" s="32"/>
      <c r="H19" s="51"/>
    </row>
    <row r="20" spans="1:8" ht="15.75" thickBot="1" x14ac:dyDescent="0.3">
      <c r="A20" s="59">
        <v>30</v>
      </c>
      <c r="B20" s="8">
        <v>49614</v>
      </c>
      <c r="C20" s="43">
        <f t="shared" si="0"/>
        <v>360000</v>
      </c>
      <c r="D20" s="80"/>
      <c r="E20" s="57">
        <f t="shared" si="1"/>
        <v>0</v>
      </c>
      <c r="F20" s="71"/>
      <c r="G20" s="32"/>
      <c r="H20" s="51"/>
    </row>
    <row r="21" spans="1:8" ht="15.75" thickBot="1" x14ac:dyDescent="0.3">
      <c r="A21" s="59">
        <v>31</v>
      </c>
      <c r="B21" s="8">
        <v>49644</v>
      </c>
      <c r="C21" s="43">
        <f t="shared" si="0"/>
        <v>372000</v>
      </c>
      <c r="D21" s="81"/>
      <c r="E21" s="57">
        <f t="shared" si="1"/>
        <v>0</v>
      </c>
      <c r="F21" s="72"/>
      <c r="G21" s="32"/>
      <c r="H21" s="51"/>
    </row>
    <row r="22" spans="1:8" ht="28.5" customHeight="1" x14ac:dyDescent="0.25">
      <c r="B22" s="9" t="s">
        <v>0</v>
      </c>
      <c r="C22" s="10">
        <f>+SUM(C10:C21)</f>
        <v>4380000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58</v>
      </c>
      <c r="C23" s="25"/>
      <c r="D23" s="30"/>
      <c r="E23" s="25"/>
      <c r="F23" s="26"/>
      <c r="G23" s="26"/>
      <c r="H23" s="42"/>
    </row>
    <row r="24" spans="1:8" ht="15" x14ac:dyDescent="0.25">
      <c r="B24" s="7" t="s">
        <v>113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43</v>
      </c>
      <c r="H25" s="42"/>
    </row>
    <row r="26" spans="1:8" ht="27.75" customHeight="1" x14ac:dyDescent="0.25">
      <c r="A26" s="1"/>
      <c r="B26" s="69" t="s">
        <v>68</v>
      </c>
      <c r="C26" s="69"/>
      <c r="D26" s="69"/>
      <c r="E26" s="69"/>
      <c r="F26" s="69"/>
      <c r="G26" s="69"/>
      <c r="H26" s="42"/>
    </row>
    <row r="27" spans="1:8" ht="15" customHeight="1" x14ac:dyDescent="0.25">
      <c r="A27" s="1"/>
      <c r="H27" s="42"/>
    </row>
    <row r="28" spans="1:8" ht="15" x14ac:dyDescent="0.25"/>
    <row r="29" spans="1:8" ht="15" x14ac:dyDescent="0.25">
      <c r="B29" s="60" t="s">
        <v>53</v>
      </c>
      <c r="C29" s="60"/>
      <c r="D29" s="60"/>
      <c r="E29" s="60"/>
    </row>
    <row r="30" spans="1:8" ht="15" x14ac:dyDescent="0.25">
      <c r="B30" s="61" t="s">
        <v>54</v>
      </c>
      <c r="C30" s="61"/>
      <c r="D30" s="61"/>
      <c r="E30" s="61"/>
    </row>
    <row r="31" spans="1:8" ht="15" x14ac:dyDescent="0.25">
      <c r="B31" s="61" t="s">
        <v>55</v>
      </c>
    </row>
    <row r="32" spans="1:8" ht="15" x14ac:dyDescent="0.25"/>
    <row r="33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500 kWh" sqref="D10:D21" xr:uid="{75A4E227-509B-4666-BF6C-AC6FB6615D77}">
      <formula1>0</formula1>
      <formula2>500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1297-D504-44BC-AF1F-6B900F89873F}">
  <sheetPr>
    <tabColor rgb="FF0070C0"/>
  </sheetPr>
  <dimension ref="A1:AD45"/>
  <sheetViews>
    <sheetView showGridLines="0" zoomScale="115" zoomScaleNormal="115" zoomScaleSheetLayoutView="110" workbookViewId="0">
      <pane xSplit="2" ySplit="5" topLeftCell="L34" activePane="bottomRight" state="frozen"/>
      <selection pane="topRight" activeCell="C1" sqref="C1"/>
      <selection pane="bottomLeft" activeCell="A6" sqref="A6"/>
      <selection pane="bottomRight" activeCell="AB6" sqref="AB6:AB41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3" width="7.42578125" bestFit="1" customWidth="1"/>
    <col min="4" max="4" width="7.7109375" bestFit="1" customWidth="1"/>
    <col min="5" max="5" width="7.42578125" bestFit="1" customWidth="1"/>
    <col min="6" max="7" width="7.140625" bestFit="1" customWidth="1"/>
    <col min="8" max="9" width="7.7109375" bestFit="1" customWidth="1"/>
    <col min="10" max="10" width="7.140625" bestFit="1" customWidth="1"/>
    <col min="11" max="14" width="7.7109375" bestFit="1" customWidth="1"/>
    <col min="15" max="15" width="7.42578125" bestFit="1" customWidth="1"/>
    <col min="16" max="16" width="7.7109375" bestFit="1" customWidth="1"/>
    <col min="17" max="17" width="7.42578125" bestFit="1" customWidth="1"/>
    <col min="18" max="18" width="7.140625" bestFit="1" customWidth="1"/>
    <col min="19" max="19" width="7.7109375" bestFit="1" customWidth="1"/>
    <col min="20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5" width="8" bestFit="1" customWidth="1"/>
    <col min="26" max="26" width="7.710937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4" t="s">
        <v>93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49310</v>
      </c>
      <c r="B6" s="18" t="s">
        <v>5</v>
      </c>
      <c r="C6" s="33">
        <v>2812</v>
      </c>
      <c r="D6" s="33">
        <v>2479</v>
      </c>
      <c r="E6" s="33">
        <v>2291</v>
      </c>
      <c r="F6" s="33">
        <v>2208</v>
      </c>
      <c r="G6" s="33">
        <v>2258</v>
      </c>
      <c r="H6" s="33">
        <v>2505</v>
      </c>
      <c r="I6" s="33">
        <v>2677</v>
      </c>
      <c r="J6" s="33">
        <v>2380</v>
      </c>
      <c r="K6" s="33">
        <v>3143</v>
      </c>
      <c r="L6" s="33">
        <v>3782</v>
      </c>
      <c r="M6" s="33">
        <v>4370</v>
      </c>
      <c r="N6" s="33">
        <v>4846</v>
      </c>
      <c r="O6" s="33">
        <v>4521</v>
      </c>
      <c r="P6" s="33">
        <v>4509</v>
      </c>
      <c r="Q6" s="33">
        <v>4970</v>
      </c>
      <c r="R6" s="33">
        <v>5087</v>
      </c>
      <c r="S6" s="33">
        <v>4993</v>
      </c>
      <c r="T6" s="33">
        <v>7037</v>
      </c>
      <c r="U6" s="33">
        <v>7131</v>
      </c>
      <c r="V6" s="33">
        <v>7391</v>
      </c>
      <c r="W6" s="33">
        <v>7056</v>
      </c>
      <c r="X6" s="33">
        <v>6698</v>
      </c>
      <c r="Y6" s="33">
        <v>5928</v>
      </c>
      <c r="Z6" s="34">
        <v>5022</v>
      </c>
      <c r="AA6" s="35">
        <f>SUM(C6:Z6)</f>
        <v>106094</v>
      </c>
      <c r="AB6" s="19">
        <v>21</v>
      </c>
      <c r="AC6" s="94">
        <f>+AA6*AB6+AA7*AB7+AA8*AB8</f>
        <v>3334300</v>
      </c>
    </row>
    <row r="7" spans="1:30" ht="15.75" thickBot="1" x14ac:dyDescent="0.3">
      <c r="A7" s="93"/>
      <c r="B7" s="20" t="s">
        <v>4</v>
      </c>
      <c r="C7" s="36">
        <v>2898</v>
      </c>
      <c r="D7" s="36">
        <v>2468</v>
      </c>
      <c r="E7" s="36">
        <v>2257</v>
      </c>
      <c r="F7" s="36">
        <v>2138</v>
      </c>
      <c r="G7" s="36">
        <v>2143</v>
      </c>
      <c r="H7" s="36">
        <v>2252</v>
      </c>
      <c r="I7" s="36">
        <v>2248</v>
      </c>
      <c r="J7" s="36">
        <v>1780</v>
      </c>
      <c r="K7" s="36">
        <v>2471</v>
      </c>
      <c r="L7" s="36">
        <v>3110</v>
      </c>
      <c r="M7" s="36">
        <v>3626</v>
      </c>
      <c r="N7" s="36">
        <v>4029</v>
      </c>
      <c r="O7" s="36">
        <v>3975</v>
      </c>
      <c r="P7" s="36">
        <v>3797</v>
      </c>
      <c r="Q7" s="36">
        <v>3768</v>
      </c>
      <c r="R7" s="36">
        <v>3772</v>
      </c>
      <c r="S7" s="36">
        <v>3742</v>
      </c>
      <c r="T7" s="36">
        <v>5952</v>
      </c>
      <c r="U7" s="36">
        <v>6417</v>
      </c>
      <c r="V7" s="36">
        <v>6797</v>
      </c>
      <c r="W7" s="36">
        <v>6481</v>
      </c>
      <c r="X7" s="36">
        <v>6141</v>
      </c>
      <c r="Y7" s="36">
        <v>5580</v>
      </c>
      <c r="Z7" s="37">
        <v>4919</v>
      </c>
      <c r="AA7" s="38">
        <f t="shared" ref="AA7:AA41" si="0">SUM(C7:Z7)</f>
        <v>92761</v>
      </c>
      <c r="AB7" s="21">
        <v>4</v>
      </c>
      <c r="AC7" s="95"/>
      <c r="AD7" s="47"/>
    </row>
    <row r="8" spans="1:30" x14ac:dyDescent="0.25">
      <c r="A8" s="93"/>
      <c r="B8" s="22" t="s">
        <v>3</v>
      </c>
      <c r="C8" s="39">
        <v>4659</v>
      </c>
      <c r="D8" s="39">
        <v>4317</v>
      </c>
      <c r="E8" s="39">
        <v>4067</v>
      </c>
      <c r="F8" s="39">
        <v>3912</v>
      </c>
      <c r="G8" s="39">
        <v>3868</v>
      </c>
      <c r="H8" s="39">
        <v>3917</v>
      </c>
      <c r="I8" s="39">
        <v>3775</v>
      </c>
      <c r="J8" s="39">
        <v>3902</v>
      </c>
      <c r="K8" s="39">
        <v>4326</v>
      </c>
      <c r="L8" s="39">
        <v>4883</v>
      </c>
      <c r="M8" s="39">
        <v>5276</v>
      </c>
      <c r="N8" s="39">
        <v>5697</v>
      </c>
      <c r="O8" s="39">
        <v>5904</v>
      </c>
      <c r="P8" s="39">
        <v>5743</v>
      </c>
      <c r="Q8" s="39">
        <v>5549</v>
      </c>
      <c r="R8" s="39">
        <v>5504</v>
      </c>
      <c r="S8" s="39">
        <v>5459</v>
      </c>
      <c r="T8" s="39">
        <v>5501</v>
      </c>
      <c r="U8" s="39">
        <v>6056</v>
      </c>
      <c r="V8" s="39">
        <v>6640</v>
      </c>
      <c r="W8" s="39">
        <v>6566</v>
      </c>
      <c r="X8" s="39">
        <v>6308</v>
      </c>
      <c r="Y8" s="39">
        <v>5708</v>
      </c>
      <c r="Z8" s="40">
        <v>5010</v>
      </c>
      <c r="AA8" s="41">
        <f t="shared" si="0"/>
        <v>122547</v>
      </c>
      <c r="AB8" s="23">
        <v>6</v>
      </c>
      <c r="AC8" s="96"/>
      <c r="AD8" s="48"/>
    </row>
    <row r="9" spans="1:30" ht="15.75" thickBot="1" x14ac:dyDescent="0.3">
      <c r="A9" s="93">
        <v>49341</v>
      </c>
      <c r="B9" s="18" t="s">
        <v>5</v>
      </c>
      <c r="C9" s="33">
        <v>2649</v>
      </c>
      <c r="D9" s="33">
        <v>2358</v>
      </c>
      <c r="E9" s="33">
        <v>2195</v>
      </c>
      <c r="F9" s="33">
        <v>2125</v>
      </c>
      <c r="G9" s="33">
        <v>2213</v>
      </c>
      <c r="H9" s="33">
        <v>2705</v>
      </c>
      <c r="I9" s="33">
        <v>2756</v>
      </c>
      <c r="J9" s="33">
        <v>2318</v>
      </c>
      <c r="K9" s="33">
        <v>2974</v>
      </c>
      <c r="L9" s="33">
        <v>3545</v>
      </c>
      <c r="M9" s="33">
        <v>4086</v>
      </c>
      <c r="N9" s="33">
        <v>4522</v>
      </c>
      <c r="O9" s="33">
        <v>4105</v>
      </c>
      <c r="P9" s="33">
        <v>4152</v>
      </c>
      <c r="Q9" s="33">
        <v>4647</v>
      </c>
      <c r="R9" s="33">
        <v>4765</v>
      </c>
      <c r="S9" s="33">
        <v>4673</v>
      </c>
      <c r="T9" s="33">
        <v>6696</v>
      </c>
      <c r="U9" s="33">
        <v>6748</v>
      </c>
      <c r="V9" s="33">
        <v>7143</v>
      </c>
      <c r="W9" s="33">
        <v>6839</v>
      </c>
      <c r="X9" s="33">
        <v>6464</v>
      </c>
      <c r="Y9" s="33">
        <v>5674</v>
      </c>
      <c r="Z9" s="34">
        <v>4770</v>
      </c>
      <c r="AA9" s="35">
        <f t="shared" si="0"/>
        <v>101122</v>
      </c>
      <c r="AB9" s="19">
        <v>20</v>
      </c>
      <c r="AC9" s="94">
        <f>+AA9*AB9+AA10*AB10+AA11*AB11</f>
        <v>2884716</v>
      </c>
    </row>
    <row r="10" spans="1:30" ht="15.75" thickBot="1" x14ac:dyDescent="0.3">
      <c r="A10" s="93"/>
      <c r="B10" s="20" t="s">
        <v>4</v>
      </c>
      <c r="C10" s="36">
        <v>2779</v>
      </c>
      <c r="D10" s="36">
        <v>2390</v>
      </c>
      <c r="E10" s="36">
        <v>2185</v>
      </c>
      <c r="F10" s="36">
        <v>2082</v>
      </c>
      <c r="G10" s="36">
        <v>2089</v>
      </c>
      <c r="H10" s="36">
        <v>2233</v>
      </c>
      <c r="I10" s="36">
        <v>2297</v>
      </c>
      <c r="J10" s="36">
        <v>1846</v>
      </c>
      <c r="K10" s="36">
        <v>2513</v>
      </c>
      <c r="L10" s="36">
        <v>3165</v>
      </c>
      <c r="M10" s="36">
        <v>3675</v>
      </c>
      <c r="N10" s="36">
        <v>4038</v>
      </c>
      <c r="O10" s="36">
        <v>3938</v>
      </c>
      <c r="P10" s="36">
        <v>3746</v>
      </c>
      <c r="Q10" s="36">
        <v>3724</v>
      </c>
      <c r="R10" s="36">
        <v>3722</v>
      </c>
      <c r="S10" s="36">
        <v>3637</v>
      </c>
      <c r="T10" s="36">
        <v>5824</v>
      </c>
      <c r="U10" s="36">
        <v>6248</v>
      </c>
      <c r="V10" s="36">
        <v>6697</v>
      </c>
      <c r="W10" s="36">
        <v>6370</v>
      </c>
      <c r="X10" s="36">
        <v>6053</v>
      </c>
      <c r="Y10" s="36">
        <v>5469</v>
      </c>
      <c r="Z10" s="37">
        <v>4822</v>
      </c>
      <c r="AA10" s="38">
        <f t="shared" si="0"/>
        <v>91542</v>
      </c>
      <c r="AB10" s="21">
        <v>4</v>
      </c>
      <c r="AC10" s="95"/>
      <c r="AD10" s="47"/>
    </row>
    <row r="11" spans="1:30" x14ac:dyDescent="0.25">
      <c r="A11" s="93"/>
      <c r="B11" s="22" t="s">
        <v>3</v>
      </c>
      <c r="C11" s="39">
        <v>4738</v>
      </c>
      <c r="D11" s="39">
        <v>4392</v>
      </c>
      <c r="E11" s="39">
        <v>4168</v>
      </c>
      <c r="F11" s="39">
        <v>3984</v>
      </c>
      <c r="G11" s="39">
        <v>3970</v>
      </c>
      <c r="H11" s="39">
        <v>4007</v>
      </c>
      <c r="I11" s="39">
        <v>3880</v>
      </c>
      <c r="J11" s="39">
        <v>3997</v>
      </c>
      <c r="K11" s="39">
        <v>4422</v>
      </c>
      <c r="L11" s="39">
        <v>4976</v>
      </c>
      <c r="M11" s="39">
        <v>5345</v>
      </c>
      <c r="N11" s="39">
        <v>5735</v>
      </c>
      <c r="O11" s="39">
        <v>5879</v>
      </c>
      <c r="P11" s="39">
        <v>5779</v>
      </c>
      <c r="Q11" s="39">
        <v>5587</v>
      </c>
      <c r="R11" s="39">
        <v>5547</v>
      </c>
      <c r="S11" s="39">
        <v>5516</v>
      </c>
      <c r="T11" s="39">
        <v>5530</v>
      </c>
      <c r="U11" s="39">
        <v>6050</v>
      </c>
      <c r="V11" s="39">
        <v>6738</v>
      </c>
      <c r="W11" s="39">
        <v>6669</v>
      </c>
      <c r="X11" s="39">
        <v>6425</v>
      </c>
      <c r="Y11" s="39">
        <v>5729</v>
      </c>
      <c r="Z11" s="40">
        <v>4964</v>
      </c>
      <c r="AA11" s="41">
        <f t="shared" si="0"/>
        <v>124027</v>
      </c>
      <c r="AB11" s="23">
        <v>4</v>
      </c>
      <c r="AC11" s="96"/>
      <c r="AD11" s="48"/>
    </row>
    <row r="12" spans="1:30" ht="15.75" thickBot="1" x14ac:dyDescent="0.3">
      <c r="A12" s="93">
        <v>49369</v>
      </c>
      <c r="B12" s="18" t="s">
        <v>5</v>
      </c>
      <c r="C12" s="33">
        <v>2841</v>
      </c>
      <c r="D12" s="33">
        <v>2537</v>
      </c>
      <c r="E12" s="33">
        <v>2363</v>
      </c>
      <c r="F12" s="33">
        <v>2290</v>
      </c>
      <c r="G12" s="33">
        <v>2366</v>
      </c>
      <c r="H12" s="33">
        <v>2824</v>
      </c>
      <c r="I12" s="33">
        <v>2850</v>
      </c>
      <c r="J12" s="33">
        <v>2484</v>
      </c>
      <c r="K12" s="33">
        <v>3153</v>
      </c>
      <c r="L12" s="33">
        <v>3750</v>
      </c>
      <c r="M12" s="33">
        <v>4306</v>
      </c>
      <c r="N12" s="33">
        <v>4759</v>
      </c>
      <c r="O12" s="33">
        <v>4367</v>
      </c>
      <c r="P12" s="33">
        <v>4381</v>
      </c>
      <c r="Q12" s="33">
        <v>4822</v>
      </c>
      <c r="R12" s="33">
        <v>4922</v>
      </c>
      <c r="S12" s="33">
        <v>4807</v>
      </c>
      <c r="T12" s="33">
        <v>6879</v>
      </c>
      <c r="U12" s="33">
        <v>7065</v>
      </c>
      <c r="V12" s="33">
        <v>7464</v>
      </c>
      <c r="W12" s="33">
        <v>7141</v>
      </c>
      <c r="X12" s="33">
        <v>6746</v>
      </c>
      <c r="Y12" s="33">
        <v>5925</v>
      </c>
      <c r="Z12" s="34">
        <v>5008</v>
      </c>
      <c r="AA12" s="35">
        <f t="shared" si="0"/>
        <v>106050</v>
      </c>
      <c r="AB12" s="19">
        <v>19</v>
      </c>
      <c r="AC12" s="94">
        <f>+AA12*AB12+AA13*AB13+AA14*AB14</f>
        <v>3339640</v>
      </c>
    </row>
    <row r="13" spans="1:30" ht="15.75" thickBot="1" x14ac:dyDescent="0.3">
      <c r="A13" s="93"/>
      <c r="B13" s="20" t="s">
        <v>4</v>
      </c>
      <c r="C13" s="36">
        <v>2842</v>
      </c>
      <c r="D13" s="36">
        <v>2417</v>
      </c>
      <c r="E13" s="36">
        <v>2208</v>
      </c>
      <c r="F13" s="36">
        <v>2114</v>
      </c>
      <c r="G13" s="36">
        <v>2117</v>
      </c>
      <c r="H13" s="36">
        <v>2240</v>
      </c>
      <c r="I13" s="36">
        <v>2262</v>
      </c>
      <c r="J13" s="36">
        <v>1874</v>
      </c>
      <c r="K13" s="36">
        <v>2546</v>
      </c>
      <c r="L13" s="36">
        <v>3145</v>
      </c>
      <c r="M13" s="36">
        <v>3634</v>
      </c>
      <c r="N13" s="36">
        <v>3984</v>
      </c>
      <c r="O13" s="36">
        <v>3908</v>
      </c>
      <c r="P13" s="36">
        <v>3750</v>
      </c>
      <c r="Q13" s="36">
        <v>3700</v>
      </c>
      <c r="R13" s="36">
        <v>3688</v>
      </c>
      <c r="S13" s="36">
        <v>3633</v>
      </c>
      <c r="T13" s="36">
        <v>5883</v>
      </c>
      <c r="U13" s="36">
        <v>6366</v>
      </c>
      <c r="V13" s="36">
        <v>6808</v>
      </c>
      <c r="W13" s="36">
        <v>6491</v>
      </c>
      <c r="X13" s="36">
        <v>6110</v>
      </c>
      <c r="Y13" s="36">
        <v>5541</v>
      </c>
      <c r="Z13" s="37">
        <v>4917</v>
      </c>
      <c r="AA13" s="38">
        <f t="shared" si="0"/>
        <v>92178</v>
      </c>
      <c r="AB13" s="21">
        <v>5</v>
      </c>
      <c r="AC13" s="95"/>
      <c r="AD13" s="47"/>
    </row>
    <row r="14" spans="1:30" x14ac:dyDescent="0.25">
      <c r="A14" s="93"/>
      <c r="B14" s="22" t="s">
        <v>3</v>
      </c>
      <c r="C14" s="39">
        <v>4712</v>
      </c>
      <c r="D14" s="39">
        <v>4359</v>
      </c>
      <c r="E14" s="39">
        <v>4123</v>
      </c>
      <c r="F14" s="39">
        <v>3985</v>
      </c>
      <c r="G14" s="39">
        <v>3955</v>
      </c>
      <c r="H14" s="39">
        <v>4001</v>
      </c>
      <c r="I14" s="39">
        <v>3806</v>
      </c>
      <c r="J14" s="39">
        <v>3969</v>
      </c>
      <c r="K14" s="39">
        <v>4394</v>
      </c>
      <c r="L14" s="39">
        <v>4920</v>
      </c>
      <c r="M14" s="39">
        <v>5297</v>
      </c>
      <c r="N14" s="39">
        <v>5656</v>
      </c>
      <c r="O14" s="39">
        <v>5830</v>
      </c>
      <c r="P14" s="39">
        <v>5720</v>
      </c>
      <c r="Q14" s="39">
        <v>5548</v>
      </c>
      <c r="R14" s="39">
        <v>5490</v>
      </c>
      <c r="S14" s="39">
        <v>5461</v>
      </c>
      <c r="T14" s="39">
        <v>5510</v>
      </c>
      <c r="U14" s="39">
        <v>6070</v>
      </c>
      <c r="V14" s="39">
        <v>6726</v>
      </c>
      <c r="W14" s="39">
        <v>6693</v>
      </c>
      <c r="X14" s="39">
        <v>6404</v>
      </c>
      <c r="Y14" s="39">
        <v>5764</v>
      </c>
      <c r="Z14" s="40">
        <v>5007</v>
      </c>
      <c r="AA14" s="41">
        <f t="shared" si="0"/>
        <v>123400</v>
      </c>
      <c r="AB14" s="23">
        <v>7</v>
      </c>
      <c r="AC14" s="96"/>
      <c r="AD14" s="45"/>
    </row>
    <row r="15" spans="1:30" ht="15.75" thickBot="1" x14ac:dyDescent="0.3">
      <c r="A15" s="93">
        <v>49400</v>
      </c>
      <c r="B15" s="18" t="s">
        <v>5</v>
      </c>
      <c r="C15" s="33">
        <v>2624</v>
      </c>
      <c r="D15" s="33">
        <v>2320</v>
      </c>
      <c r="E15" s="33">
        <v>2144</v>
      </c>
      <c r="F15" s="33">
        <v>2080</v>
      </c>
      <c r="G15" s="33">
        <v>2145</v>
      </c>
      <c r="H15" s="33">
        <v>2462</v>
      </c>
      <c r="I15" s="33">
        <v>2570</v>
      </c>
      <c r="J15" s="33">
        <v>2311</v>
      </c>
      <c r="K15" s="33">
        <v>2932</v>
      </c>
      <c r="L15" s="33">
        <v>3493</v>
      </c>
      <c r="M15" s="33">
        <v>4011</v>
      </c>
      <c r="N15" s="33">
        <v>4455</v>
      </c>
      <c r="O15" s="33">
        <v>4161</v>
      </c>
      <c r="P15" s="33">
        <v>4141</v>
      </c>
      <c r="Q15" s="33">
        <v>4456</v>
      </c>
      <c r="R15" s="33">
        <v>4544</v>
      </c>
      <c r="S15" s="33">
        <v>4432</v>
      </c>
      <c r="T15" s="33">
        <v>6590</v>
      </c>
      <c r="U15" s="33">
        <v>6873</v>
      </c>
      <c r="V15" s="33">
        <v>7141</v>
      </c>
      <c r="W15" s="33">
        <v>6859</v>
      </c>
      <c r="X15" s="33">
        <v>6438</v>
      </c>
      <c r="Y15" s="33">
        <v>5625</v>
      </c>
      <c r="Z15" s="34">
        <v>4744</v>
      </c>
      <c r="AA15" s="35">
        <f t="shared" si="0"/>
        <v>99551</v>
      </c>
      <c r="AB15" s="19">
        <v>21</v>
      </c>
      <c r="AC15" s="94">
        <f>+AA15*AB15+AA16*AB16+AA17*AB17</f>
        <v>3059522</v>
      </c>
    </row>
    <row r="16" spans="1:30" ht="15.75" thickBot="1" x14ac:dyDescent="0.3">
      <c r="A16" s="93"/>
      <c r="B16" s="20" t="s">
        <v>4</v>
      </c>
      <c r="C16" s="36">
        <v>2654</v>
      </c>
      <c r="D16" s="36">
        <v>2248</v>
      </c>
      <c r="E16" s="36">
        <v>2046</v>
      </c>
      <c r="F16" s="36">
        <v>1949</v>
      </c>
      <c r="G16" s="36">
        <v>1985</v>
      </c>
      <c r="H16" s="36">
        <v>2071</v>
      </c>
      <c r="I16" s="36">
        <v>2113</v>
      </c>
      <c r="J16" s="36">
        <v>1796</v>
      </c>
      <c r="K16" s="36">
        <v>2415</v>
      </c>
      <c r="L16" s="36">
        <v>2996</v>
      </c>
      <c r="M16" s="36">
        <v>3478</v>
      </c>
      <c r="N16" s="36">
        <v>3813</v>
      </c>
      <c r="O16" s="36">
        <v>3808</v>
      </c>
      <c r="P16" s="36">
        <v>3608</v>
      </c>
      <c r="Q16" s="36">
        <v>3573</v>
      </c>
      <c r="R16" s="36">
        <v>3592</v>
      </c>
      <c r="S16" s="36">
        <v>3557</v>
      </c>
      <c r="T16" s="36">
        <v>5876</v>
      </c>
      <c r="U16" s="36">
        <v>6407</v>
      </c>
      <c r="V16" s="36">
        <v>6700</v>
      </c>
      <c r="W16" s="36">
        <v>6374</v>
      </c>
      <c r="X16" s="36">
        <v>5993</v>
      </c>
      <c r="Y16" s="36">
        <v>5405</v>
      </c>
      <c r="Z16" s="37">
        <v>4747</v>
      </c>
      <c r="AA16" s="38">
        <f t="shared" si="0"/>
        <v>89204</v>
      </c>
      <c r="AB16" s="21">
        <v>4</v>
      </c>
      <c r="AC16" s="95"/>
      <c r="AD16" s="47"/>
    </row>
    <row r="17" spans="1:30" x14ac:dyDescent="0.25">
      <c r="A17" s="93"/>
      <c r="B17" s="22" t="s">
        <v>3</v>
      </c>
      <c r="C17" s="39">
        <v>4567</v>
      </c>
      <c r="D17" s="39">
        <v>4229</v>
      </c>
      <c r="E17" s="39">
        <v>4002</v>
      </c>
      <c r="F17" s="39">
        <v>3868</v>
      </c>
      <c r="G17" s="39">
        <v>3814</v>
      </c>
      <c r="H17" s="39">
        <v>3799</v>
      </c>
      <c r="I17" s="39">
        <v>3667</v>
      </c>
      <c r="J17" s="39">
        <v>3939</v>
      </c>
      <c r="K17" s="39">
        <v>4404</v>
      </c>
      <c r="L17" s="39">
        <v>4915</v>
      </c>
      <c r="M17" s="39">
        <v>5286</v>
      </c>
      <c r="N17" s="39">
        <v>5644</v>
      </c>
      <c r="O17" s="39">
        <v>5835</v>
      </c>
      <c r="P17" s="39">
        <v>5773</v>
      </c>
      <c r="Q17" s="39">
        <v>5617</v>
      </c>
      <c r="R17" s="39">
        <v>5574</v>
      </c>
      <c r="S17" s="39">
        <v>5543</v>
      </c>
      <c r="T17" s="39">
        <v>5601</v>
      </c>
      <c r="U17" s="39">
        <v>6259</v>
      </c>
      <c r="V17" s="39">
        <v>6757</v>
      </c>
      <c r="W17" s="39">
        <v>6610</v>
      </c>
      <c r="X17" s="39">
        <v>6270</v>
      </c>
      <c r="Y17" s="39">
        <v>5597</v>
      </c>
      <c r="Z17" s="40">
        <v>4857</v>
      </c>
      <c r="AA17" s="41">
        <f t="shared" si="0"/>
        <v>122427</v>
      </c>
      <c r="AB17" s="23">
        <v>5</v>
      </c>
      <c r="AC17" s="96"/>
      <c r="AD17" s="48"/>
    </row>
    <row r="18" spans="1:30" ht="15.75" thickBot="1" x14ac:dyDescent="0.3">
      <c r="A18" s="93">
        <v>49430</v>
      </c>
      <c r="B18" s="18" t="s">
        <v>5</v>
      </c>
      <c r="C18" s="33">
        <v>2653</v>
      </c>
      <c r="D18" s="33">
        <v>2347</v>
      </c>
      <c r="E18" s="33">
        <v>2191</v>
      </c>
      <c r="F18" s="33">
        <v>2107</v>
      </c>
      <c r="G18" s="33">
        <v>2172</v>
      </c>
      <c r="H18" s="33">
        <v>2435</v>
      </c>
      <c r="I18" s="33">
        <v>2607</v>
      </c>
      <c r="J18" s="33">
        <v>2363</v>
      </c>
      <c r="K18" s="33">
        <v>3048</v>
      </c>
      <c r="L18" s="33">
        <v>3629</v>
      </c>
      <c r="M18" s="33">
        <v>4138</v>
      </c>
      <c r="N18" s="33">
        <v>4554</v>
      </c>
      <c r="O18" s="33">
        <v>4219</v>
      </c>
      <c r="P18" s="33">
        <v>4160</v>
      </c>
      <c r="Q18" s="33">
        <v>4509</v>
      </c>
      <c r="R18" s="33">
        <v>4579</v>
      </c>
      <c r="S18" s="33">
        <v>4516</v>
      </c>
      <c r="T18" s="33">
        <v>6660</v>
      </c>
      <c r="U18" s="33">
        <v>6972</v>
      </c>
      <c r="V18" s="33">
        <v>7209</v>
      </c>
      <c r="W18" s="33">
        <v>6943</v>
      </c>
      <c r="X18" s="33">
        <v>6492</v>
      </c>
      <c r="Y18" s="33">
        <v>5666</v>
      </c>
      <c r="Z18" s="34">
        <v>4765</v>
      </c>
      <c r="AA18" s="35">
        <f t="shared" si="0"/>
        <v>100934</v>
      </c>
      <c r="AB18" s="19">
        <v>20</v>
      </c>
      <c r="AC18" s="94">
        <f>+AA18*AB18+AA19*AB19+AA20*AB20</f>
        <v>3250316</v>
      </c>
    </row>
    <row r="19" spans="1:30" ht="15.75" thickBot="1" x14ac:dyDescent="0.3">
      <c r="A19" s="93"/>
      <c r="B19" s="20" t="s">
        <v>4</v>
      </c>
      <c r="C19" s="36">
        <v>2762</v>
      </c>
      <c r="D19" s="36">
        <v>2336</v>
      </c>
      <c r="E19" s="36">
        <v>2167</v>
      </c>
      <c r="F19" s="36">
        <v>2047</v>
      </c>
      <c r="G19" s="36">
        <v>2068</v>
      </c>
      <c r="H19" s="36">
        <v>2065</v>
      </c>
      <c r="I19" s="36">
        <v>2128</v>
      </c>
      <c r="J19" s="36">
        <v>1875</v>
      </c>
      <c r="K19" s="36">
        <v>2565</v>
      </c>
      <c r="L19" s="36">
        <v>3214</v>
      </c>
      <c r="M19" s="36">
        <v>3690</v>
      </c>
      <c r="N19" s="36">
        <v>4042</v>
      </c>
      <c r="O19" s="36">
        <v>3941</v>
      </c>
      <c r="P19" s="36">
        <v>3704</v>
      </c>
      <c r="Q19" s="36">
        <v>3642</v>
      </c>
      <c r="R19" s="36">
        <v>3626</v>
      </c>
      <c r="S19" s="36">
        <v>3555</v>
      </c>
      <c r="T19" s="36">
        <v>5895</v>
      </c>
      <c r="U19" s="36">
        <v>6531</v>
      </c>
      <c r="V19" s="36">
        <v>6803</v>
      </c>
      <c r="W19" s="36">
        <v>6481</v>
      </c>
      <c r="X19" s="36">
        <v>6132</v>
      </c>
      <c r="Y19" s="36">
        <v>5486</v>
      </c>
      <c r="Z19" s="37">
        <v>4847</v>
      </c>
      <c r="AA19" s="38">
        <f t="shared" si="0"/>
        <v>91602</v>
      </c>
      <c r="AB19" s="21">
        <v>4</v>
      </c>
      <c r="AC19" s="95"/>
      <c r="AD19" s="47"/>
    </row>
    <row r="20" spans="1:30" x14ac:dyDescent="0.25">
      <c r="A20" s="93"/>
      <c r="B20" s="22" t="s">
        <v>3</v>
      </c>
      <c r="C20" s="39">
        <v>4634</v>
      </c>
      <c r="D20" s="39">
        <v>4282</v>
      </c>
      <c r="E20" s="39">
        <v>4070</v>
      </c>
      <c r="F20" s="39">
        <v>3914</v>
      </c>
      <c r="G20" s="39">
        <v>3918</v>
      </c>
      <c r="H20" s="39">
        <v>3823</v>
      </c>
      <c r="I20" s="39">
        <v>3680</v>
      </c>
      <c r="J20" s="39">
        <v>4019</v>
      </c>
      <c r="K20" s="39">
        <v>4486</v>
      </c>
      <c r="L20" s="39">
        <v>5044</v>
      </c>
      <c r="M20" s="39">
        <v>5366</v>
      </c>
      <c r="N20" s="39">
        <v>5711</v>
      </c>
      <c r="O20" s="39">
        <v>5860</v>
      </c>
      <c r="P20" s="39">
        <v>5753</v>
      </c>
      <c r="Q20" s="39">
        <v>5616</v>
      </c>
      <c r="R20" s="39">
        <v>5572</v>
      </c>
      <c r="S20" s="39">
        <v>5522</v>
      </c>
      <c r="T20" s="39">
        <v>5551</v>
      </c>
      <c r="U20" s="39">
        <v>6227</v>
      </c>
      <c r="V20" s="39">
        <v>6772</v>
      </c>
      <c r="W20" s="39">
        <v>6667</v>
      </c>
      <c r="X20" s="39">
        <v>6388</v>
      </c>
      <c r="Y20" s="39">
        <v>5726</v>
      </c>
      <c r="Z20" s="40">
        <v>5003</v>
      </c>
      <c r="AA20" s="41">
        <f t="shared" si="0"/>
        <v>123604</v>
      </c>
      <c r="AB20" s="23">
        <v>7</v>
      </c>
      <c r="AC20" s="96"/>
      <c r="AD20" s="48"/>
    </row>
    <row r="21" spans="1:30" ht="15.75" thickBot="1" x14ac:dyDescent="0.3">
      <c r="A21" s="93">
        <v>49461</v>
      </c>
      <c r="B21" s="18" t="s">
        <v>5</v>
      </c>
      <c r="C21" s="33">
        <v>2544</v>
      </c>
      <c r="D21" s="33">
        <v>2270</v>
      </c>
      <c r="E21" s="33">
        <v>2100</v>
      </c>
      <c r="F21" s="33">
        <v>2038</v>
      </c>
      <c r="G21" s="33">
        <v>2128</v>
      </c>
      <c r="H21" s="33">
        <v>2355</v>
      </c>
      <c r="I21" s="33">
        <v>2589</v>
      </c>
      <c r="J21" s="33">
        <v>2394</v>
      </c>
      <c r="K21" s="33">
        <v>3054</v>
      </c>
      <c r="L21" s="33">
        <v>3668</v>
      </c>
      <c r="M21" s="33">
        <v>4193</v>
      </c>
      <c r="N21" s="33">
        <v>4643</v>
      </c>
      <c r="O21" s="33">
        <v>4306</v>
      </c>
      <c r="P21" s="33">
        <v>4207</v>
      </c>
      <c r="Q21" s="33">
        <v>4583</v>
      </c>
      <c r="R21" s="33">
        <v>4684</v>
      </c>
      <c r="S21" s="33">
        <v>4565</v>
      </c>
      <c r="T21" s="33">
        <v>6724</v>
      </c>
      <c r="U21" s="33">
        <v>6887</v>
      </c>
      <c r="V21" s="33">
        <v>7267</v>
      </c>
      <c r="W21" s="33">
        <v>6977</v>
      </c>
      <c r="X21" s="33">
        <v>6494</v>
      </c>
      <c r="Y21" s="33">
        <v>5641</v>
      </c>
      <c r="Z21" s="34">
        <v>4713</v>
      </c>
      <c r="AA21" s="35">
        <f t="shared" si="0"/>
        <v>101024</v>
      </c>
      <c r="AB21" s="19">
        <v>20</v>
      </c>
      <c r="AC21" s="94">
        <f>+AA21*AB21+AA22*AB22+AA23*AB23</f>
        <v>3140920</v>
      </c>
    </row>
    <row r="22" spans="1:30" ht="15.75" thickBot="1" x14ac:dyDescent="0.3">
      <c r="A22" s="93"/>
      <c r="B22" s="20" t="s">
        <v>4</v>
      </c>
      <c r="C22" s="36">
        <v>2711</v>
      </c>
      <c r="D22" s="36">
        <v>2321</v>
      </c>
      <c r="E22" s="36">
        <v>2106</v>
      </c>
      <c r="F22" s="36">
        <v>2025</v>
      </c>
      <c r="G22" s="36">
        <v>2089</v>
      </c>
      <c r="H22" s="36">
        <v>2125</v>
      </c>
      <c r="I22" s="36">
        <v>2204</v>
      </c>
      <c r="J22" s="36">
        <v>1994</v>
      </c>
      <c r="K22" s="36">
        <v>2668</v>
      </c>
      <c r="L22" s="36">
        <v>3333</v>
      </c>
      <c r="M22" s="36">
        <v>3801</v>
      </c>
      <c r="N22" s="36">
        <v>4183</v>
      </c>
      <c r="O22" s="36">
        <v>4084</v>
      </c>
      <c r="P22" s="36">
        <v>3898</v>
      </c>
      <c r="Q22" s="36">
        <v>3834</v>
      </c>
      <c r="R22" s="36">
        <v>3849</v>
      </c>
      <c r="S22" s="36">
        <v>3789</v>
      </c>
      <c r="T22" s="36">
        <v>6052</v>
      </c>
      <c r="U22" s="36">
        <v>6531</v>
      </c>
      <c r="V22" s="36">
        <v>6920</v>
      </c>
      <c r="W22" s="36">
        <v>6550</v>
      </c>
      <c r="X22" s="36">
        <v>6175</v>
      </c>
      <c r="Y22" s="36">
        <v>5541</v>
      </c>
      <c r="Z22" s="37">
        <v>4853</v>
      </c>
      <c r="AA22" s="38">
        <f t="shared" si="0"/>
        <v>93636</v>
      </c>
      <c r="AB22" s="21">
        <v>5</v>
      </c>
      <c r="AC22" s="95"/>
      <c r="AD22" s="47"/>
    </row>
    <row r="23" spans="1:30" x14ac:dyDescent="0.25">
      <c r="A23" s="93"/>
      <c r="B23" s="22" t="s">
        <v>3</v>
      </c>
      <c r="C23" s="39">
        <v>4755</v>
      </c>
      <c r="D23" s="39">
        <v>4398</v>
      </c>
      <c r="E23" s="39">
        <v>4167</v>
      </c>
      <c r="F23" s="39">
        <v>4027</v>
      </c>
      <c r="G23" s="39">
        <v>4026</v>
      </c>
      <c r="H23" s="39">
        <v>3993</v>
      </c>
      <c r="I23" s="39">
        <v>4009</v>
      </c>
      <c r="J23" s="39">
        <v>4396</v>
      </c>
      <c r="K23" s="39">
        <v>4896</v>
      </c>
      <c r="L23" s="39">
        <v>5477</v>
      </c>
      <c r="M23" s="39">
        <v>5827</v>
      </c>
      <c r="N23" s="39">
        <v>6217</v>
      </c>
      <c r="O23" s="39">
        <v>6277</v>
      </c>
      <c r="P23" s="39">
        <v>6176</v>
      </c>
      <c r="Q23" s="39">
        <v>6076</v>
      </c>
      <c r="R23" s="39">
        <v>6019</v>
      </c>
      <c r="S23" s="39">
        <v>5966</v>
      </c>
      <c r="T23" s="39">
        <v>5994</v>
      </c>
      <c r="U23" s="39">
        <v>6374</v>
      </c>
      <c r="V23" s="39">
        <v>7003</v>
      </c>
      <c r="W23" s="39">
        <v>6889</v>
      </c>
      <c r="X23" s="39">
        <v>6539</v>
      </c>
      <c r="Y23" s="39">
        <v>5845</v>
      </c>
      <c r="Z23" s="40">
        <v>5106</v>
      </c>
      <c r="AA23" s="41">
        <f t="shared" si="0"/>
        <v>130452</v>
      </c>
      <c r="AB23" s="23">
        <v>5</v>
      </c>
      <c r="AC23" s="96"/>
      <c r="AD23" s="48"/>
    </row>
    <row r="24" spans="1:30" ht="15.75" thickBot="1" x14ac:dyDescent="0.3">
      <c r="A24" s="93">
        <v>49491</v>
      </c>
      <c r="B24" s="18" t="s">
        <v>5</v>
      </c>
      <c r="C24" s="33">
        <v>2709</v>
      </c>
      <c r="D24" s="33">
        <v>2428</v>
      </c>
      <c r="E24" s="33">
        <v>2248</v>
      </c>
      <c r="F24" s="33">
        <v>2166</v>
      </c>
      <c r="G24" s="33">
        <v>2225</v>
      </c>
      <c r="H24" s="33">
        <v>2467</v>
      </c>
      <c r="I24" s="33">
        <v>2617</v>
      </c>
      <c r="J24" s="33">
        <v>2465</v>
      </c>
      <c r="K24" s="33">
        <v>3174</v>
      </c>
      <c r="L24" s="33">
        <v>3827</v>
      </c>
      <c r="M24" s="33">
        <v>4379</v>
      </c>
      <c r="N24" s="33">
        <v>4826</v>
      </c>
      <c r="O24" s="33">
        <v>4444</v>
      </c>
      <c r="P24" s="33">
        <v>4382</v>
      </c>
      <c r="Q24" s="33">
        <v>4845</v>
      </c>
      <c r="R24" s="33">
        <v>4962</v>
      </c>
      <c r="S24" s="33">
        <v>4853</v>
      </c>
      <c r="T24" s="33">
        <v>6922</v>
      </c>
      <c r="U24" s="33">
        <v>6904</v>
      </c>
      <c r="V24" s="33">
        <v>7339</v>
      </c>
      <c r="W24" s="33">
        <v>7073</v>
      </c>
      <c r="X24" s="33">
        <v>6654</v>
      </c>
      <c r="Y24" s="33">
        <v>5805</v>
      </c>
      <c r="Z24" s="34">
        <v>4904</v>
      </c>
      <c r="AA24" s="35">
        <f t="shared" si="0"/>
        <v>104618</v>
      </c>
      <c r="AB24" s="19">
        <v>20</v>
      </c>
      <c r="AC24" s="94">
        <f>+AA24*AB24+AA25*AB25+AA26*AB26</f>
        <v>3346253</v>
      </c>
    </row>
    <row r="25" spans="1:30" ht="15.75" thickBot="1" x14ac:dyDescent="0.3">
      <c r="A25" s="93"/>
      <c r="B25" s="20" t="s">
        <v>4</v>
      </c>
      <c r="C25" s="36">
        <v>2734</v>
      </c>
      <c r="D25" s="36">
        <v>2339</v>
      </c>
      <c r="E25" s="36">
        <v>2121</v>
      </c>
      <c r="F25" s="36">
        <v>2009</v>
      </c>
      <c r="G25" s="36">
        <v>2071</v>
      </c>
      <c r="H25" s="36">
        <v>2142</v>
      </c>
      <c r="I25" s="36">
        <v>2162</v>
      </c>
      <c r="J25" s="36">
        <v>1930</v>
      </c>
      <c r="K25" s="36">
        <v>2623</v>
      </c>
      <c r="L25" s="36">
        <v>3310</v>
      </c>
      <c r="M25" s="36">
        <v>3756</v>
      </c>
      <c r="N25" s="36">
        <v>4117</v>
      </c>
      <c r="O25" s="36">
        <v>3996</v>
      </c>
      <c r="P25" s="36">
        <v>3770</v>
      </c>
      <c r="Q25" s="36">
        <v>3713</v>
      </c>
      <c r="R25" s="36">
        <v>3721</v>
      </c>
      <c r="S25" s="36">
        <v>3686</v>
      </c>
      <c r="T25" s="36">
        <v>5936</v>
      </c>
      <c r="U25" s="36">
        <v>6305</v>
      </c>
      <c r="V25" s="36">
        <v>6761</v>
      </c>
      <c r="W25" s="36">
        <v>6440</v>
      </c>
      <c r="X25" s="36">
        <v>6081</v>
      </c>
      <c r="Y25" s="36">
        <v>5480</v>
      </c>
      <c r="Z25" s="37">
        <v>4806</v>
      </c>
      <c r="AA25" s="38">
        <f t="shared" si="0"/>
        <v>92009</v>
      </c>
      <c r="AB25" s="21">
        <v>4</v>
      </c>
      <c r="AC25" s="95"/>
      <c r="AD25" s="47"/>
    </row>
    <row r="26" spans="1:30" x14ac:dyDescent="0.25">
      <c r="A26" s="93"/>
      <c r="B26" s="22" t="s">
        <v>3</v>
      </c>
      <c r="C26" s="39">
        <v>4703</v>
      </c>
      <c r="D26" s="39">
        <v>4387</v>
      </c>
      <c r="E26" s="39">
        <v>4155</v>
      </c>
      <c r="F26" s="39">
        <v>3981</v>
      </c>
      <c r="G26" s="39">
        <v>3962</v>
      </c>
      <c r="H26" s="39">
        <v>3921</v>
      </c>
      <c r="I26" s="39">
        <v>3810</v>
      </c>
      <c r="J26" s="39">
        <v>4153</v>
      </c>
      <c r="K26" s="39">
        <v>4636</v>
      </c>
      <c r="L26" s="39">
        <v>5226</v>
      </c>
      <c r="M26" s="39">
        <v>5607</v>
      </c>
      <c r="N26" s="39">
        <v>5968</v>
      </c>
      <c r="O26" s="39">
        <v>6116</v>
      </c>
      <c r="P26" s="39">
        <v>5972</v>
      </c>
      <c r="Q26" s="39">
        <v>5768</v>
      </c>
      <c r="R26" s="39">
        <v>5674</v>
      </c>
      <c r="S26" s="39">
        <v>5673</v>
      </c>
      <c r="T26" s="39">
        <v>5724</v>
      </c>
      <c r="U26" s="39">
        <v>6114</v>
      </c>
      <c r="V26" s="39">
        <v>6853</v>
      </c>
      <c r="W26" s="39">
        <v>6805</v>
      </c>
      <c r="X26" s="39">
        <v>6481</v>
      </c>
      <c r="Y26" s="39">
        <v>5815</v>
      </c>
      <c r="Z26" s="40">
        <v>5047</v>
      </c>
      <c r="AA26" s="41">
        <f t="shared" si="0"/>
        <v>126551</v>
      </c>
      <c r="AB26" s="23">
        <v>7</v>
      </c>
      <c r="AC26" s="96"/>
      <c r="AD26" s="48"/>
    </row>
    <row r="27" spans="1:30" ht="15.75" thickBot="1" x14ac:dyDescent="0.3">
      <c r="A27" s="93">
        <v>49522</v>
      </c>
      <c r="B27" s="18" t="s">
        <v>5</v>
      </c>
      <c r="C27" s="33">
        <v>2780</v>
      </c>
      <c r="D27" s="33">
        <v>2471</v>
      </c>
      <c r="E27" s="33">
        <v>2286</v>
      </c>
      <c r="F27" s="33">
        <v>2197</v>
      </c>
      <c r="G27" s="33">
        <v>2277</v>
      </c>
      <c r="H27" s="33">
        <v>2625</v>
      </c>
      <c r="I27" s="33">
        <v>2749</v>
      </c>
      <c r="J27" s="33">
        <v>2582</v>
      </c>
      <c r="K27" s="33">
        <v>3310</v>
      </c>
      <c r="L27" s="33">
        <v>3945</v>
      </c>
      <c r="M27" s="33">
        <v>4514</v>
      </c>
      <c r="N27" s="33">
        <v>4987</v>
      </c>
      <c r="O27" s="33">
        <v>4567</v>
      </c>
      <c r="P27" s="33">
        <v>4535</v>
      </c>
      <c r="Q27" s="33">
        <v>5053</v>
      </c>
      <c r="R27" s="33">
        <v>5193</v>
      </c>
      <c r="S27" s="33">
        <v>5107</v>
      </c>
      <c r="T27" s="33">
        <v>7121</v>
      </c>
      <c r="U27" s="33">
        <v>7195</v>
      </c>
      <c r="V27" s="33">
        <v>7475</v>
      </c>
      <c r="W27" s="33">
        <v>7184</v>
      </c>
      <c r="X27" s="33">
        <v>6761</v>
      </c>
      <c r="Y27" s="33">
        <v>5897</v>
      </c>
      <c r="Z27" s="34">
        <v>4958</v>
      </c>
      <c r="AA27" s="35">
        <f t="shared" si="0"/>
        <v>107769</v>
      </c>
      <c r="AB27" s="19">
        <v>21</v>
      </c>
      <c r="AC27" s="94">
        <f>+AA27*AB27+AA28*AB28+AA29*AB29</f>
        <v>3418357</v>
      </c>
    </row>
    <row r="28" spans="1:30" ht="15.75" thickBot="1" x14ac:dyDescent="0.3">
      <c r="A28" s="93"/>
      <c r="B28" s="20" t="s">
        <v>4</v>
      </c>
      <c r="C28" s="36">
        <v>2933</v>
      </c>
      <c r="D28" s="36">
        <v>2525</v>
      </c>
      <c r="E28" s="36">
        <v>2303</v>
      </c>
      <c r="F28" s="36">
        <v>2174</v>
      </c>
      <c r="G28" s="36">
        <v>2210</v>
      </c>
      <c r="H28" s="36">
        <v>2294</v>
      </c>
      <c r="I28" s="36">
        <v>2413</v>
      </c>
      <c r="J28" s="36">
        <v>2172</v>
      </c>
      <c r="K28" s="36">
        <v>2929</v>
      </c>
      <c r="L28" s="36">
        <v>3612</v>
      </c>
      <c r="M28" s="36">
        <v>4056</v>
      </c>
      <c r="N28" s="36">
        <v>4473</v>
      </c>
      <c r="O28" s="36">
        <v>4384</v>
      </c>
      <c r="P28" s="36">
        <v>4087</v>
      </c>
      <c r="Q28" s="36">
        <v>4129</v>
      </c>
      <c r="R28" s="36">
        <v>4088</v>
      </c>
      <c r="S28" s="36">
        <v>4005</v>
      </c>
      <c r="T28" s="36">
        <v>6278</v>
      </c>
      <c r="U28" s="36">
        <v>6618</v>
      </c>
      <c r="V28" s="36">
        <v>7008</v>
      </c>
      <c r="W28" s="36">
        <v>6634</v>
      </c>
      <c r="X28" s="36">
        <v>6244</v>
      </c>
      <c r="Y28" s="36">
        <v>5644</v>
      </c>
      <c r="Z28" s="37">
        <v>4939</v>
      </c>
      <c r="AA28" s="38">
        <f t="shared" si="0"/>
        <v>98152</v>
      </c>
      <c r="AB28" s="21">
        <v>4</v>
      </c>
      <c r="AC28" s="95"/>
      <c r="AD28" s="47"/>
    </row>
    <row r="29" spans="1:30" x14ac:dyDescent="0.25">
      <c r="A29" s="93"/>
      <c r="B29" s="22" t="s">
        <v>3</v>
      </c>
      <c r="C29" s="39">
        <v>4781</v>
      </c>
      <c r="D29" s="39">
        <v>4438</v>
      </c>
      <c r="E29" s="39">
        <v>4178</v>
      </c>
      <c r="F29" s="39">
        <v>4027</v>
      </c>
      <c r="G29" s="39">
        <v>4017</v>
      </c>
      <c r="H29" s="39">
        <v>4005</v>
      </c>
      <c r="I29" s="39">
        <v>3749</v>
      </c>
      <c r="J29" s="39">
        <v>4136</v>
      </c>
      <c r="K29" s="39">
        <v>4600</v>
      </c>
      <c r="L29" s="39">
        <v>5192</v>
      </c>
      <c r="M29" s="39">
        <v>5580</v>
      </c>
      <c r="N29" s="39">
        <v>5947</v>
      </c>
      <c r="O29" s="39">
        <v>6059</v>
      </c>
      <c r="P29" s="39">
        <v>5953</v>
      </c>
      <c r="Q29" s="39">
        <v>5753</v>
      </c>
      <c r="R29" s="39">
        <v>5712</v>
      </c>
      <c r="S29" s="39">
        <v>5683</v>
      </c>
      <c r="T29" s="39">
        <v>5700</v>
      </c>
      <c r="U29" s="39">
        <v>6259</v>
      </c>
      <c r="V29" s="39">
        <v>6944</v>
      </c>
      <c r="W29" s="39">
        <v>6863</v>
      </c>
      <c r="X29" s="39">
        <v>6572</v>
      </c>
      <c r="Y29" s="39">
        <v>5872</v>
      </c>
      <c r="Z29" s="40">
        <v>5080</v>
      </c>
      <c r="AA29" s="41">
        <f t="shared" si="0"/>
        <v>127100</v>
      </c>
      <c r="AB29" s="23">
        <v>6</v>
      </c>
      <c r="AC29" s="96"/>
      <c r="AD29" s="49"/>
    </row>
    <row r="30" spans="1:30" ht="15.75" thickBot="1" x14ac:dyDescent="0.3">
      <c r="A30" s="93">
        <v>49553</v>
      </c>
      <c r="B30" s="18" t="s">
        <v>5</v>
      </c>
      <c r="C30" s="33">
        <v>2834</v>
      </c>
      <c r="D30" s="33">
        <v>2519</v>
      </c>
      <c r="E30" s="33">
        <v>2355</v>
      </c>
      <c r="F30" s="33">
        <v>2279</v>
      </c>
      <c r="G30" s="33">
        <v>2351</v>
      </c>
      <c r="H30" s="33">
        <v>2647</v>
      </c>
      <c r="I30" s="33">
        <v>2814</v>
      </c>
      <c r="J30" s="33">
        <v>2632</v>
      </c>
      <c r="K30" s="33">
        <v>3365</v>
      </c>
      <c r="L30" s="33">
        <v>4012</v>
      </c>
      <c r="M30" s="33">
        <v>4571</v>
      </c>
      <c r="N30" s="33">
        <v>5047</v>
      </c>
      <c r="O30" s="33">
        <v>4626</v>
      </c>
      <c r="P30" s="33">
        <v>4614</v>
      </c>
      <c r="Q30" s="33">
        <v>5113</v>
      </c>
      <c r="R30" s="33">
        <v>5229</v>
      </c>
      <c r="S30" s="33">
        <v>5127</v>
      </c>
      <c r="T30" s="33">
        <v>7184</v>
      </c>
      <c r="U30" s="33">
        <v>7508</v>
      </c>
      <c r="V30" s="33">
        <v>7529</v>
      </c>
      <c r="W30" s="33">
        <v>7222</v>
      </c>
      <c r="X30" s="33">
        <v>6775</v>
      </c>
      <c r="Y30" s="33">
        <v>5897</v>
      </c>
      <c r="Z30" s="34">
        <v>4996</v>
      </c>
      <c r="AA30" s="35">
        <f t="shared" si="0"/>
        <v>109246</v>
      </c>
      <c r="AB30" s="19">
        <v>20</v>
      </c>
      <c r="AC30" s="94">
        <f>+AA30*AB30+AA31*AB31+AA32*AB32</f>
        <v>3311200</v>
      </c>
    </row>
    <row r="31" spans="1:30" ht="15.75" thickBot="1" x14ac:dyDescent="0.3">
      <c r="A31" s="93"/>
      <c r="B31" s="20" t="s">
        <v>4</v>
      </c>
      <c r="C31" s="36">
        <v>2895</v>
      </c>
      <c r="D31" s="36">
        <v>2476</v>
      </c>
      <c r="E31" s="36">
        <v>2276</v>
      </c>
      <c r="F31" s="36">
        <v>2157</v>
      </c>
      <c r="G31" s="36">
        <v>2184</v>
      </c>
      <c r="H31" s="36">
        <v>2186</v>
      </c>
      <c r="I31" s="36">
        <v>2314</v>
      </c>
      <c r="J31" s="36">
        <v>2096</v>
      </c>
      <c r="K31" s="36">
        <v>2903</v>
      </c>
      <c r="L31" s="36">
        <v>3601</v>
      </c>
      <c r="M31" s="36">
        <v>4091</v>
      </c>
      <c r="N31" s="36">
        <v>4424</v>
      </c>
      <c r="O31" s="36">
        <v>4331</v>
      </c>
      <c r="P31" s="36">
        <v>4067</v>
      </c>
      <c r="Q31" s="36">
        <v>4034</v>
      </c>
      <c r="R31" s="36">
        <v>4047</v>
      </c>
      <c r="S31" s="36">
        <v>4003</v>
      </c>
      <c r="T31" s="36">
        <v>6295</v>
      </c>
      <c r="U31" s="36">
        <v>6953</v>
      </c>
      <c r="V31" s="36">
        <v>7011</v>
      </c>
      <c r="W31" s="36">
        <v>6615</v>
      </c>
      <c r="X31" s="36">
        <v>6242</v>
      </c>
      <c r="Y31" s="36">
        <v>5610</v>
      </c>
      <c r="Z31" s="37">
        <v>4955</v>
      </c>
      <c r="AA31" s="38">
        <f t="shared" si="0"/>
        <v>97766</v>
      </c>
      <c r="AB31" s="21">
        <v>5</v>
      </c>
      <c r="AC31" s="95"/>
      <c r="AD31" s="47"/>
    </row>
    <row r="32" spans="1:30" x14ac:dyDescent="0.25">
      <c r="A32" s="93"/>
      <c r="B32" s="22" t="s">
        <v>3</v>
      </c>
      <c r="C32" s="39">
        <v>4807</v>
      </c>
      <c r="D32" s="39">
        <v>4476</v>
      </c>
      <c r="E32" s="39">
        <v>4221</v>
      </c>
      <c r="F32" s="39">
        <v>4072</v>
      </c>
      <c r="G32" s="39">
        <v>4047</v>
      </c>
      <c r="H32" s="39">
        <v>3954</v>
      </c>
      <c r="I32" s="39">
        <v>3869</v>
      </c>
      <c r="J32" s="39">
        <v>4204</v>
      </c>
      <c r="K32" s="39">
        <v>4677</v>
      </c>
      <c r="L32" s="39">
        <v>5252</v>
      </c>
      <c r="M32" s="39">
        <v>5620</v>
      </c>
      <c r="N32" s="39">
        <v>5965</v>
      </c>
      <c r="O32" s="39">
        <v>6107</v>
      </c>
      <c r="P32" s="39">
        <v>5979</v>
      </c>
      <c r="Q32" s="39">
        <v>5797</v>
      </c>
      <c r="R32" s="39">
        <v>5715</v>
      </c>
      <c r="S32" s="39">
        <v>5676</v>
      </c>
      <c r="T32" s="39">
        <v>5745</v>
      </c>
      <c r="U32" s="39">
        <v>6494</v>
      </c>
      <c r="V32" s="39">
        <v>6857</v>
      </c>
      <c r="W32" s="39">
        <v>6766</v>
      </c>
      <c r="X32" s="39">
        <v>6449</v>
      </c>
      <c r="Y32" s="39">
        <v>5737</v>
      </c>
      <c r="Z32" s="40">
        <v>5004</v>
      </c>
      <c r="AA32" s="41">
        <f t="shared" si="0"/>
        <v>127490</v>
      </c>
      <c r="AB32" s="23">
        <v>5</v>
      </c>
      <c r="AC32" s="96"/>
      <c r="AD32" s="48"/>
    </row>
    <row r="33" spans="1:30" ht="15.75" thickBot="1" x14ac:dyDescent="0.3">
      <c r="A33" s="93">
        <v>49583</v>
      </c>
      <c r="B33" s="18" t="s">
        <v>5</v>
      </c>
      <c r="C33" s="33">
        <v>2561</v>
      </c>
      <c r="D33" s="33">
        <v>2273</v>
      </c>
      <c r="E33" s="33">
        <v>2123</v>
      </c>
      <c r="F33" s="33">
        <v>2060</v>
      </c>
      <c r="G33" s="33">
        <v>2140</v>
      </c>
      <c r="H33" s="33">
        <v>2368</v>
      </c>
      <c r="I33" s="33">
        <v>2599</v>
      </c>
      <c r="J33" s="33">
        <v>2418</v>
      </c>
      <c r="K33" s="33">
        <v>3110</v>
      </c>
      <c r="L33" s="33">
        <v>3718</v>
      </c>
      <c r="M33" s="33">
        <v>4271</v>
      </c>
      <c r="N33" s="33">
        <v>4713</v>
      </c>
      <c r="O33" s="33">
        <v>4319</v>
      </c>
      <c r="P33" s="33">
        <v>4288</v>
      </c>
      <c r="Q33" s="33">
        <v>4732</v>
      </c>
      <c r="R33" s="33">
        <v>4814</v>
      </c>
      <c r="S33" s="33">
        <v>4702</v>
      </c>
      <c r="T33" s="33">
        <v>6905</v>
      </c>
      <c r="U33" s="33">
        <v>7400</v>
      </c>
      <c r="V33" s="33">
        <v>7183</v>
      </c>
      <c r="W33" s="33">
        <v>6852</v>
      </c>
      <c r="X33" s="33">
        <v>6389</v>
      </c>
      <c r="Y33" s="33">
        <v>5547</v>
      </c>
      <c r="Z33" s="34">
        <v>4675</v>
      </c>
      <c r="AA33" s="35">
        <f t="shared" si="0"/>
        <v>102160</v>
      </c>
      <c r="AB33" s="19">
        <v>22</v>
      </c>
      <c r="AC33" s="94">
        <f>+AA33*AB33+AA34*AB34+AA35*AB35</f>
        <v>3247763</v>
      </c>
    </row>
    <row r="34" spans="1:30" ht="15.75" thickBot="1" x14ac:dyDescent="0.3">
      <c r="A34" s="93"/>
      <c r="B34" s="20" t="s">
        <v>4</v>
      </c>
      <c r="C34" s="36">
        <v>2790</v>
      </c>
      <c r="D34" s="36">
        <v>2391</v>
      </c>
      <c r="E34" s="36">
        <v>2194</v>
      </c>
      <c r="F34" s="36">
        <v>2075</v>
      </c>
      <c r="G34" s="36">
        <v>2125</v>
      </c>
      <c r="H34" s="36">
        <v>2096</v>
      </c>
      <c r="I34" s="36">
        <v>2238</v>
      </c>
      <c r="J34" s="36">
        <v>2030</v>
      </c>
      <c r="K34" s="36">
        <v>2761</v>
      </c>
      <c r="L34" s="36">
        <v>3422</v>
      </c>
      <c r="M34" s="36">
        <v>3907</v>
      </c>
      <c r="N34" s="36">
        <v>4260</v>
      </c>
      <c r="O34" s="36">
        <v>4144</v>
      </c>
      <c r="P34" s="36">
        <v>3855</v>
      </c>
      <c r="Q34" s="36">
        <v>3820</v>
      </c>
      <c r="R34" s="36">
        <v>3790</v>
      </c>
      <c r="S34" s="36">
        <v>3687</v>
      </c>
      <c r="T34" s="36">
        <v>6154</v>
      </c>
      <c r="U34" s="36">
        <v>6976</v>
      </c>
      <c r="V34" s="36">
        <v>6862</v>
      </c>
      <c r="W34" s="36">
        <v>6488</v>
      </c>
      <c r="X34" s="36">
        <v>6095</v>
      </c>
      <c r="Y34" s="36">
        <v>5473</v>
      </c>
      <c r="Z34" s="37">
        <v>4814</v>
      </c>
      <c r="AA34" s="38">
        <f t="shared" si="0"/>
        <v>94447</v>
      </c>
      <c r="AB34" s="21">
        <v>4</v>
      </c>
      <c r="AC34" s="95"/>
      <c r="AD34" s="47"/>
    </row>
    <row r="35" spans="1:30" x14ac:dyDescent="0.25">
      <c r="A35" s="93"/>
      <c r="B35" s="22" t="s">
        <v>3</v>
      </c>
      <c r="C35" s="39">
        <v>4651</v>
      </c>
      <c r="D35" s="39">
        <v>4311</v>
      </c>
      <c r="E35" s="39">
        <v>4111</v>
      </c>
      <c r="F35" s="39">
        <v>3935</v>
      </c>
      <c r="G35" s="39">
        <v>3923</v>
      </c>
      <c r="H35" s="39">
        <v>3798</v>
      </c>
      <c r="I35" s="39">
        <v>3744</v>
      </c>
      <c r="J35" s="39">
        <v>4069</v>
      </c>
      <c r="K35" s="39">
        <v>4512</v>
      </c>
      <c r="L35" s="39">
        <v>5114</v>
      </c>
      <c r="M35" s="39">
        <v>5480</v>
      </c>
      <c r="N35" s="39">
        <v>5817</v>
      </c>
      <c r="O35" s="39">
        <v>5947</v>
      </c>
      <c r="P35" s="39">
        <v>5829</v>
      </c>
      <c r="Q35" s="39">
        <v>5635</v>
      </c>
      <c r="R35" s="39">
        <v>5538</v>
      </c>
      <c r="S35" s="39">
        <v>5524</v>
      </c>
      <c r="T35" s="39">
        <v>5705</v>
      </c>
      <c r="U35" s="39">
        <v>6588</v>
      </c>
      <c r="V35" s="39">
        <v>6742</v>
      </c>
      <c r="W35" s="39">
        <v>6621</v>
      </c>
      <c r="X35" s="39">
        <v>6316</v>
      </c>
      <c r="Y35" s="39">
        <v>5655</v>
      </c>
      <c r="Z35" s="40">
        <v>4926</v>
      </c>
      <c r="AA35" s="41">
        <f t="shared" si="0"/>
        <v>124491</v>
      </c>
      <c r="AB35" s="23">
        <v>5</v>
      </c>
      <c r="AC35" s="96"/>
      <c r="AD35" s="48"/>
    </row>
    <row r="36" spans="1:30" ht="15.75" thickBot="1" x14ac:dyDescent="0.3">
      <c r="A36" s="93">
        <v>49614</v>
      </c>
      <c r="B36" s="18" t="s">
        <v>5</v>
      </c>
      <c r="C36" s="33">
        <v>2459</v>
      </c>
      <c r="D36" s="33">
        <v>2194</v>
      </c>
      <c r="E36" s="33">
        <v>2044</v>
      </c>
      <c r="F36" s="33">
        <v>1971</v>
      </c>
      <c r="G36" s="33">
        <v>2056</v>
      </c>
      <c r="H36" s="33">
        <v>2316</v>
      </c>
      <c r="I36" s="33">
        <v>2626</v>
      </c>
      <c r="J36" s="33">
        <v>2434</v>
      </c>
      <c r="K36" s="33">
        <v>3104</v>
      </c>
      <c r="L36" s="33">
        <v>3689</v>
      </c>
      <c r="M36" s="33">
        <v>4211</v>
      </c>
      <c r="N36" s="33">
        <v>4646</v>
      </c>
      <c r="O36" s="33">
        <v>4256</v>
      </c>
      <c r="P36" s="33">
        <v>4212</v>
      </c>
      <c r="Q36" s="33">
        <v>4645</v>
      </c>
      <c r="R36" s="33">
        <v>4737</v>
      </c>
      <c r="S36" s="33">
        <v>4622</v>
      </c>
      <c r="T36" s="33">
        <v>6908</v>
      </c>
      <c r="U36" s="33">
        <v>7356</v>
      </c>
      <c r="V36" s="33">
        <v>7120</v>
      </c>
      <c r="W36" s="33">
        <v>6790</v>
      </c>
      <c r="X36" s="33">
        <v>6312</v>
      </c>
      <c r="Y36" s="33">
        <v>5465</v>
      </c>
      <c r="Z36" s="34">
        <v>4567</v>
      </c>
      <c r="AA36" s="35">
        <f t="shared" si="0"/>
        <v>100740</v>
      </c>
      <c r="AB36" s="19">
        <v>20</v>
      </c>
      <c r="AC36" s="94">
        <f>+AA36*AB36+AA37*AB37+AA38*AB38</f>
        <v>3120260</v>
      </c>
    </row>
    <row r="37" spans="1:30" ht="15.75" thickBot="1" x14ac:dyDescent="0.3">
      <c r="A37" s="93"/>
      <c r="B37" s="20" t="s">
        <v>4</v>
      </c>
      <c r="C37" s="36">
        <v>2502</v>
      </c>
      <c r="D37" s="36">
        <v>2115</v>
      </c>
      <c r="E37" s="36">
        <v>1926</v>
      </c>
      <c r="F37" s="36">
        <v>1832</v>
      </c>
      <c r="G37" s="36">
        <v>1870</v>
      </c>
      <c r="H37" s="36">
        <v>1891</v>
      </c>
      <c r="I37" s="36">
        <v>2171</v>
      </c>
      <c r="J37" s="36">
        <v>1929</v>
      </c>
      <c r="K37" s="36">
        <v>2630</v>
      </c>
      <c r="L37" s="36">
        <v>3248</v>
      </c>
      <c r="M37" s="36">
        <v>3688</v>
      </c>
      <c r="N37" s="36">
        <v>4041</v>
      </c>
      <c r="O37" s="36">
        <v>3946</v>
      </c>
      <c r="P37" s="36">
        <v>3740</v>
      </c>
      <c r="Q37" s="36">
        <v>3688</v>
      </c>
      <c r="R37" s="36">
        <v>3712</v>
      </c>
      <c r="S37" s="36">
        <v>3634</v>
      </c>
      <c r="T37" s="36">
        <v>6067</v>
      </c>
      <c r="U37" s="36">
        <v>6818</v>
      </c>
      <c r="V37" s="36">
        <v>6710</v>
      </c>
      <c r="W37" s="36">
        <v>6327</v>
      </c>
      <c r="X37" s="36">
        <v>5929</v>
      </c>
      <c r="Y37" s="36">
        <v>5324</v>
      </c>
      <c r="Z37" s="37">
        <v>4642</v>
      </c>
      <c r="AA37" s="38">
        <f t="shared" si="0"/>
        <v>90380</v>
      </c>
      <c r="AB37" s="21">
        <v>4</v>
      </c>
      <c r="AC37" s="95"/>
      <c r="AD37" s="47"/>
    </row>
    <row r="38" spans="1:30" x14ac:dyDescent="0.25">
      <c r="A38" s="93"/>
      <c r="B38" s="22" t="s">
        <v>3</v>
      </c>
      <c r="C38" s="39">
        <v>4494</v>
      </c>
      <c r="D38" s="39">
        <v>4200</v>
      </c>
      <c r="E38" s="39">
        <v>3957</v>
      </c>
      <c r="F38" s="39">
        <v>3793</v>
      </c>
      <c r="G38" s="39">
        <v>3783</v>
      </c>
      <c r="H38" s="39">
        <v>3700</v>
      </c>
      <c r="I38" s="39">
        <v>3708</v>
      </c>
      <c r="J38" s="39">
        <v>4070</v>
      </c>
      <c r="K38" s="39">
        <v>4559</v>
      </c>
      <c r="L38" s="39">
        <v>5164</v>
      </c>
      <c r="M38" s="39">
        <v>5548</v>
      </c>
      <c r="N38" s="39">
        <v>5880</v>
      </c>
      <c r="O38" s="39">
        <v>6034</v>
      </c>
      <c r="P38" s="39">
        <v>5930</v>
      </c>
      <c r="Q38" s="39">
        <v>5706</v>
      </c>
      <c r="R38" s="39">
        <v>5607</v>
      </c>
      <c r="S38" s="39">
        <v>5559</v>
      </c>
      <c r="T38" s="39">
        <v>5716</v>
      </c>
      <c r="U38" s="39">
        <v>6592</v>
      </c>
      <c r="V38" s="39">
        <v>6656</v>
      </c>
      <c r="W38" s="39">
        <v>6569</v>
      </c>
      <c r="X38" s="39">
        <v>6240</v>
      </c>
      <c r="Y38" s="39">
        <v>5615</v>
      </c>
      <c r="Z38" s="40">
        <v>4910</v>
      </c>
      <c r="AA38" s="41">
        <f t="shared" si="0"/>
        <v>123990</v>
      </c>
      <c r="AB38" s="23">
        <v>6</v>
      </c>
      <c r="AC38" s="96"/>
      <c r="AD38" s="49"/>
    </row>
    <row r="39" spans="1:30" ht="15.75" thickBot="1" x14ac:dyDescent="0.3">
      <c r="A39" s="93">
        <v>49644</v>
      </c>
      <c r="B39" s="18" t="s">
        <v>5</v>
      </c>
      <c r="C39" s="33">
        <v>2667</v>
      </c>
      <c r="D39" s="33">
        <v>2358</v>
      </c>
      <c r="E39" s="33">
        <v>2155</v>
      </c>
      <c r="F39" s="33">
        <v>2066</v>
      </c>
      <c r="G39" s="33">
        <v>2129</v>
      </c>
      <c r="H39" s="33">
        <v>2327</v>
      </c>
      <c r="I39" s="33">
        <v>2635</v>
      </c>
      <c r="J39" s="33">
        <v>2494</v>
      </c>
      <c r="K39" s="33">
        <v>3309</v>
      </c>
      <c r="L39" s="33">
        <v>3972</v>
      </c>
      <c r="M39" s="33">
        <v>4545</v>
      </c>
      <c r="N39" s="33">
        <v>5012</v>
      </c>
      <c r="O39" s="33">
        <v>4723</v>
      </c>
      <c r="P39" s="33">
        <v>4665</v>
      </c>
      <c r="Q39" s="33">
        <v>5045</v>
      </c>
      <c r="R39" s="33">
        <v>5093</v>
      </c>
      <c r="S39" s="33">
        <v>4950</v>
      </c>
      <c r="T39" s="33">
        <v>7077</v>
      </c>
      <c r="U39" s="33">
        <v>7476</v>
      </c>
      <c r="V39" s="33">
        <v>7497</v>
      </c>
      <c r="W39" s="33">
        <v>7100</v>
      </c>
      <c r="X39" s="33">
        <v>6607</v>
      </c>
      <c r="Y39" s="33">
        <v>5800</v>
      </c>
      <c r="Z39" s="34">
        <v>4919</v>
      </c>
      <c r="AA39" s="35">
        <f t="shared" si="0"/>
        <v>106621</v>
      </c>
      <c r="AB39" s="19">
        <v>20</v>
      </c>
      <c r="AC39" s="94">
        <f>+AA39*AB39+AA40*AB40+AA41*AB41</f>
        <v>3394285</v>
      </c>
    </row>
    <row r="40" spans="1:30" ht="15.75" thickBot="1" x14ac:dyDescent="0.3">
      <c r="A40" s="93"/>
      <c r="B40" s="20" t="s">
        <v>4</v>
      </c>
      <c r="C40" s="36">
        <v>2801</v>
      </c>
      <c r="D40" s="36">
        <v>2338</v>
      </c>
      <c r="E40" s="36">
        <v>2128</v>
      </c>
      <c r="F40" s="36">
        <v>2023</v>
      </c>
      <c r="G40" s="36">
        <v>2057</v>
      </c>
      <c r="H40" s="36">
        <v>2155</v>
      </c>
      <c r="I40" s="36">
        <v>2343</v>
      </c>
      <c r="J40" s="36">
        <v>2078</v>
      </c>
      <c r="K40" s="36">
        <v>2796</v>
      </c>
      <c r="L40" s="36">
        <v>3420</v>
      </c>
      <c r="M40" s="36">
        <v>3935</v>
      </c>
      <c r="N40" s="36">
        <v>4289</v>
      </c>
      <c r="O40" s="36">
        <v>4145</v>
      </c>
      <c r="P40" s="36">
        <v>3921</v>
      </c>
      <c r="Q40" s="36">
        <v>3895</v>
      </c>
      <c r="R40" s="36">
        <v>3826</v>
      </c>
      <c r="S40" s="36">
        <v>3759</v>
      </c>
      <c r="T40" s="36">
        <v>6154</v>
      </c>
      <c r="U40" s="36">
        <v>6845</v>
      </c>
      <c r="V40" s="36">
        <v>6927</v>
      </c>
      <c r="W40" s="36">
        <v>6565</v>
      </c>
      <c r="X40" s="36">
        <v>6095</v>
      </c>
      <c r="Y40" s="36">
        <v>5472</v>
      </c>
      <c r="Z40" s="37">
        <v>4798</v>
      </c>
      <c r="AA40" s="38">
        <f t="shared" si="0"/>
        <v>94765</v>
      </c>
      <c r="AB40" s="21">
        <v>4</v>
      </c>
      <c r="AC40" s="95"/>
      <c r="AD40" s="47"/>
    </row>
    <row r="41" spans="1:30" x14ac:dyDescent="0.25">
      <c r="A41" s="93"/>
      <c r="B41" s="22" t="s">
        <v>3</v>
      </c>
      <c r="C41" s="39">
        <v>4590</v>
      </c>
      <c r="D41" s="39">
        <v>4246</v>
      </c>
      <c r="E41" s="39">
        <v>4002</v>
      </c>
      <c r="F41" s="39">
        <v>3853</v>
      </c>
      <c r="G41" s="39">
        <v>3824</v>
      </c>
      <c r="H41" s="39">
        <v>3840</v>
      </c>
      <c r="I41" s="39">
        <v>3861</v>
      </c>
      <c r="J41" s="39">
        <v>4152</v>
      </c>
      <c r="K41" s="39">
        <v>4641</v>
      </c>
      <c r="L41" s="39">
        <v>5224</v>
      </c>
      <c r="M41" s="39">
        <v>5639</v>
      </c>
      <c r="N41" s="39">
        <v>6024</v>
      </c>
      <c r="O41" s="39">
        <v>6151</v>
      </c>
      <c r="P41" s="39">
        <v>6060</v>
      </c>
      <c r="Q41" s="39">
        <v>5894</v>
      </c>
      <c r="R41" s="39">
        <v>5827</v>
      </c>
      <c r="S41" s="39">
        <v>5762</v>
      </c>
      <c r="T41" s="39">
        <v>5835</v>
      </c>
      <c r="U41" s="39">
        <v>6530</v>
      </c>
      <c r="V41" s="39">
        <v>6742</v>
      </c>
      <c r="W41" s="39">
        <v>6588</v>
      </c>
      <c r="X41" s="39">
        <v>6266</v>
      </c>
      <c r="Y41" s="39">
        <v>5638</v>
      </c>
      <c r="Z41" s="40">
        <v>4926</v>
      </c>
      <c r="AA41" s="41">
        <f t="shared" si="0"/>
        <v>126115</v>
      </c>
      <c r="AB41" s="23">
        <v>7</v>
      </c>
      <c r="AC41" s="96"/>
      <c r="AD41" s="42"/>
    </row>
    <row r="42" spans="1:30" x14ac:dyDescent="0.25">
      <c r="A42" s="97" t="s">
        <v>2</v>
      </c>
      <c r="B42" s="98"/>
      <c r="C42" s="31">
        <f t="shared" ref="C42:AC42" si="1">+SUM(C6:C41)</f>
        <v>121525</v>
      </c>
      <c r="D42" s="31">
        <f t="shared" si="1"/>
        <v>108953</v>
      </c>
      <c r="E42" s="31">
        <f t="shared" si="1"/>
        <v>101633</v>
      </c>
      <c r="F42" s="31">
        <f t="shared" si="1"/>
        <v>97563</v>
      </c>
      <c r="G42" s="31">
        <f t="shared" si="1"/>
        <v>98575</v>
      </c>
      <c r="H42" s="31">
        <f t="shared" si="1"/>
        <v>102544</v>
      </c>
      <c r="I42" s="31">
        <f t="shared" si="1"/>
        <v>104540</v>
      </c>
      <c r="J42" s="31">
        <f t="shared" si="1"/>
        <v>101681</v>
      </c>
      <c r="K42" s="31">
        <f t="shared" si="1"/>
        <v>124049</v>
      </c>
      <c r="L42" s="31">
        <f t="shared" si="1"/>
        <v>145993</v>
      </c>
      <c r="M42" s="31">
        <f t="shared" si="1"/>
        <v>162803</v>
      </c>
      <c r="N42" s="31">
        <f t="shared" si="1"/>
        <v>176964</v>
      </c>
      <c r="O42" s="31">
        <f t="shared" si="1"/>
        <v>173213</v>
      </c>
      <c r="P42" s="31">
        <f t="shared" si="1"/>
        <v>168856</v>
      </c>
      <c r="Q42" s="31">
        <f t="shared" si="1"/>
        <v>171486</v>
      </c>
      <c r="R42" s="31">
        <f t="shared" si="1"/>
        <v>171821</v>
      </c>
      <c r="S42" s="31">
        <f t="shared" si="1"/>
        <v>169378</v>
      </c>
      <c r="T42" s="31">
        <f t="shared" si="1"/>
        <v>223181</v>
      </c>
      <c r="U42" s="31">
        <f t="shared" si="1"/>
        <v>240143</v>
      </c>
      <c r="V42" s="31">
        <f t="shared" si="1"/>
        <v>251192</v>
      </c>
      <c r="W42" s="31">
        <f t="shared" si="1"/>
        <v>242158</v>
      </c>
      <c r="X42" s="31">
        <f t="shared" si="1"/>
        <v>228778</v>
      </c>
      <c r="Y42" s="31">
        <f t="shared" si="1"/>
        <v>203596</v>
      </c>
      <c r="Z42" s="31">
        <f t="shared" si="1"/>
        <v>175940</v>
      </c>
      <c r="AA42" s="31">
        <f t="shared" si="1"/>
        <v>3866565</v>
      </c>
      <c r="AB42" s="31">
        <f t="shared" si="1"/>
        <v>365</v>
      </c>
      <c r="AC42" s="46">
        <f t="shared" si="1"/>
        <v>38847532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1335-1EDD-4585-9C5B-CFEC095259DE}">
  <sheetPr>
    <tabColor rgb="FF0070C0"/>
  </sheetPr>
  <dimension ref="A1:AD46"/>
  <sheetViews>
    <sheetView showGridLines="0" tabSelected="1" zoomScale="115" zoomScaleNormal="115" zoomScaleSheetLayoutView="110" workbookViewId="0">
      <pane xSplit="2" ySplit="5" topLeftCell="N33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4" t="s">
        <v>102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0" ht="15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0" t="s">
        <v>35</v>
      </c>
      <c r="B4" s="90" t="s">
        <v>34</v>
      </c>
      <c r="C4" s="82" t="s">
        <v>33</v>
      </c>
      <c r="D4" s="82" t="s">
        <v>32</v>
      </c>
      <c r="E4" s="82" t="s">
        <v>31</v>
      </c>
      <c r="F4" s="82" t="s">
        <v>30</v>
      </c>
      <c r="G4" s="82" t="s">
        <v>29</v>
      </c>
      <c r="H4" s="82" t="s">
        <v>28</v>
      </c>
      <c r="I4" s="82" t="s">
        <v>27</v>
      </c>
      <c r="J4" s="82" t="s">
        <v>26</v>
      </c>
      <c r="K4" s="82" t="s">
        <v>25</v>
      </c>
      <c r="L4" s="82" t="s">
        <v>24</v>
      </c>
      <c r="M4" s="82" t="s">
        <v>23</v>
      </c>
      <c r="N4" s="82" t="s">
        <v>22</v>
      </c>
      <c r="O4" s="82" t="s">
        <v>21</v>
      </c>
      <c r="P4" s="82" t="s">
        <v>20</v>
      </c>
      <c r="Q4" s="82" t="s">
        <v>19</v>
      </c>
      <c r="R4" s="82" t="s">
        <v>18</v>
      </c>
      <c r="S4" s="82" t="s">
        <v>17</v>
      </c>
      <c r="T4" s="82" t="s">
        <v>16</v>
      </c>
      <c r="U4" s="82" t="s">
        <v>15</v>
      </c>
      <c r="V4" s="82" t="s">
        <v>14</v>
      </c>
      <c r="W4" s="82" t="s">
        <v>13</v>
      </c>
      <c r="X4" s="82" t="s">
        <v>12</v>
      </c>
      <c r="Y4" s="82" t="s">
        <v>11</v>
      </c>
      <c r="Z4" s="82" t="s">
        <v>10</v>
      </c>
      <c r="AA4" s="14" t="s">
        <v>9</v>
      </c>
      <c r="AB4" s="15" t="s">
        <v>8</v>
      </c>
      <c r="AC4" s="91" t="s">
        <v>7</v>
      </c>
    </row>
    <row r="5" spans="1:30" ht="15" x14ac:dyDescent="0.25">
      <c r="A5" s="90"/>
      <c r="B5" s="90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16"/>
      <c r="AB5" s="17" t="s">
        <v>6</v>
      </c>
      <c r="AC5" s="92"/>
    </row>
    <row r="6" spans="1:30" ht="15.75" thickBot="1" x14ac:dyDescent="0.3">
      <c r="A6" s="93">
        <v>49310</v>
      </c>
      <c r="B6" s="18" t="s">
        <v>5</v>
      </c>
      <c r="C6" s="33">
        <f>+'Anexo 20'!C6*'Anexo 10'!$D$10</f>
        <v>0</v>
      </c>
      <c r="D6" s="33">
        <f>+'Anexo 20'!D6*'Anexo 10'!$D$10</f>
        <v>0</v>
      </c>
      <c r="E6" s="33">
        <f>+'Anexo 20'!E6*'Anexo 10'!$D$10</f>
        <v>0</v>
      </c>
      <c r="F6" s="33">
        <f>+'Anexo 20'!F6*'Anexo 10'!$D$10</f>
        <v>0</v>
      </c>
      <c r="G6" s="33">
        <f>+'Anexo 20'!G6*'Anexo 10'!$D$10</f>
        <v>0</v>
      </c>
      <c r="H6" s="33">
        <f>+'Anexo 20'!H6*'Anexo 10'!$D$10</f>
        <v>0</v>
      </c>
      <c r="I6" s="33">
        <f>+'Anexo 20'!I6*'Anexo 10'!$D$10</f>
        <v>0</v>
      </c>
      <c r="J6" s="33">
        <f>+'Anexo 20'!J6*'Anexo 10'!$D$10</f>
        <v>0</v>
      </c>
      <c r="K6" s="33">
        <f>+'Anexo 20'!K6*'Anexo 10'!$D$10</f>
        <v>0</v>
      </c>
      <c r="L6" s="33">
        <f>+'Anexo 20'!L6*'Anexo 10'!$D$10</f>
        <v>0</v>
      </c>
      <c r="M6" s="33">
        <f>+'Anexo 20'!M6*'Anexo 10'!$D$10</f>
        <v>0</v>
      </c>
      <c r="N6" s="33">
        <f>+'Anexo 20'!N6*'Anexo 10'!$D$10</f>
        <v>0</v>
      </c>
      <c r="O6" s="33">
        <f>+'Anexo 20'!O6*'Anexo 10'!$D$10</f>
        <v>0</v>
      </c>
      <c r="P6" s="33">
        <f>+'Anexo 20'!P6*'Anexo 10'!$D$10</f>
        <v>0</v>
      </c>
      <c r="Q6" s="33">
        <f>+'Anexo 20'!Q6*'Anexo 10'!$D$10</f>
        <v>0</v>
      </c>
      <c r="R6" s="33">
        <f>+'Anexo 20'!R6*'Anexo 10'!$D$10</f>
        <v>0</v>
      </c>
      <c r="S6" s="33">
        <f>+'Anexo 20'!S6*'Anexo 10'!$D$10</f>
        <v>0</v>
      </c>
      <c r="T6" s="33">
        <f>+'Anexo 20'!T6*'Anexo 10'!$D$10</f>
        <v>0</v>
      </c>
      <c r="U6" s="33">
        <f>+'Anexo 20'!U6*'Anexo 10'!$D$10</f>
        <v>0</v>
      </c>
      <c r="V6" s="33">
        <f>+'Anexo 20'!V6*'Anexo 10'!$D$10</f>
        <v>0</v>
      </c>
      <c r="W6" s="33">
        <f>+'Anexo 20'!W6*'Anexo 10'!$D$10</f>
        <v>0</v>
      </c>
      <c r="X6" s="33">
        <f>+'Anexo 20'!X6*'Anexo 10'!$D$10</f>
        <v>0</v>
      </c>
      <c r="Y6" s="33">
        <f>+'Anexo 20'!Y6*'Anexo 10'!$D$10</f>
        <v>0</v>
      </c>
      <c r="Z6" s="33">
        <f>+'Anexo 20'!Z6*'Anexo 10'!$D$10</f>
        <v>0</v>
      </c>
      <c r="AA6" s="35">
        <f>SUM(C6:Z6)</f>
        <v>0</v>
      </c>
      <c r="AB6" s="19">
        <v>21</v>
      </c>
      <c r="AC6" s="94">
        <f>+AA6*AB6+AA7*AB7+AA8*AB8</f>
        <v>0</v>
      </c>
    </row>
    <row r="7" spans="1:30" ht="15.75" thickBot="1" x14ac:dyDescent="0.3">
      <c r="A7" s="93"/>
      <c r="B7" s="20" t="s">
        <v>4</v>
      </c>
      <c r="C7" s="33">
        <f>+'Anexo 20'!C7*'Anexo 10'!$D$10</f>
        <v>0</v>
      </c>
      <c r="D7" s="33">
        <f>+'Anexo 20'!D7*'Anexo 10'!$D$10</f>
        <v>0</v>
      </c>
      <c r="E7" s="33">
        <f>+'Anexo 20'!E7*'Anexo 10'!$D$10</f>
        <v>0</v>
      </c>
      <c r="F7" s="33">
        <f>+'Anexo 20'!F7*'Anexo 10'!$D$10</f>
        <v>0</v>
      </c>
      <c r="G7" s="33">
        <f>+'Anexo 20'!G7*'Anexo 10'!$D$10</f>
        <v>0</v>
      </c>
      <c r="H7" s="33">
        <f>+'Anexo 20'!H7*'Anexo 10'!$D$10</f>
        <v>0</v>
      </c>
      <c r="I7" s="33">
        <f>+'Anexo 20'!I7*'Anexo 10'!$D$10</f>
        <v>0</v>
      </c>
      <c r="J7" s="33">
        <f>+'Anexo 20'!J7*'Anexo 10'!$D$10</f>
        <v>0</v>
      </c>
      <c r="K7" s="33">
        <f>+'Anexo 20'!K7*'Anexo 10'!$D$10</f>
        <v>0</v>
      </c>
      <c r="L7" s="33">
        <f>+'Anexo 20'!L7*'Anexo 10'!$D$10</f>
        <v>0</v>
      </c>
      <c r="M7" s="33">
        <f>+'Anexo 20'!M7*'Anexo 10'!$D$10</f>
        <v>0</v>
      </c>
      <c r="N7" s="33">
        <f>+'Anexo 20'!N7*'Anexo 10'!$D$10</f>
        <v>0</v>
      </c>
      <c r="O7" s="33">
        <f>+'Anexo 20'!O7*'Anexo 10'!$D$10</f>
        <v>0</v>
      </c>
      <c r="P7" s="33">
        <f>+'Anexo 20'!P7*'Anexo 10'!$D$10</f>
        <v>0</v>
      </c>
      <c r="Q7" s="33">
        <f>+'Anexo 20'!Q7*'Anexo 10'!$D$10</f>
        <v>0</v>
      </c>
      <c r="R7" s="33">
        <f>+'Anexo 20'!R7*'Anexo 10'!$D$10</f>
        <v>0</v>
      </c>
      <c r="S7" s="33">
        <f>+'Anexo 20'!S7*'Anexo 10'!$D$10</f>
        <v>0</v>
      </c>
      <c r="T7" s="33">
        <f>+'Anexo 20'!T7*'Anexo 10'!$D$10</f>
        <v>0</v>
      </c>
      <c r="U7" s="33">
        <f>+'Anexo 20'!U7*'Anexo 10'!$D$10</f>
        <v>0</v>
      </c>
      <c r="V7" s="33">
        <f>+'Anexo 20'!V7*'Anexo 10'!$D$10</f>
        <v>0</v>
      </c>
      <c r="W7" s="33">
        <f>+'Anexo 20'!W7*'Anexo 10'!$D$10</f>
        <v>0</v>
      </c>
      <c r="X7" s="33">
        <f>+'Anexo 20'!X7*'Anexo 10'!$D$10</f>
        <v>0</v>
      </c>
      <c r="Y7" s="33">
        <f>+'Anexo 20'!Y7*'Anexo 10'!$D$10</f>
        <v>0</v>
      </c>
      <c r="Z7" s="33">
        <f>+'Anexo 20'!Z7*'Anexo 10'!$D$10</f>
        <v>0</v>
      </c>
      <c r="AA7" s="38">
        <f t="shared" ref="AA7:AA41" si="0">SUM(C7:Z7)</f>
        <v>0</v>
      </c>
      <c r="AB7" s="21">
        <v>4</v>
      </c>
      <c r="AC7" s="95"/>
      <c r="AD7" s="47"/>
    </row>
    <row r="8" spans="1:30" ht="15.75" thickBot="1" x14ac:dyDescent="0.3">
      <c r="A8" s="93"/>
      <c r="B8" s="22" t="s">
        <v>3</v>
      </c>
      <c r="C8" s="33">
        <f>+'Anexo 20'!C8*'Anexo 10'!$D$10</f>
        <v>0</v>
      </c>
      <c r="D8" s="33">
        <f>+'Anexo 20'!D8*'Anexo 10'!$D$10</f>
        <v>0</v>
      </c>
      <c r="E8" s="33">
        <f>+'Anexo 20'!E8*'Anexo 10'!$D$10</f>
        <v>0</v>
      </c>
      <c r="F8" s="33">
        <f>+'Anexo 20'!F8*'Anexo 10'!$D$10</f>
        <v>0</v>
      </c>
      <c r="G8" s="33">
        <f>+'Anexo 20'!G8*'Anexo 10'!$D$10</f>
        <v>0</v>
      </c>
      <c r="H8" s="33">
        <f>+'Anexo 20'!H8*'Anexo 10'!$D$10</f>
        <v>0</v>
      </c>
      <c r="I8" s="33">
        <f>+'Anexo 20'!I8*'Anexo 10'!$D$10</f>
        <v>0</v>
      </c>
      <c r="J8" s="33">
        <f>+'Anexo 20'!J8*'Anexo 10'!$D$10</f>
        <v>0</v>
      </c>
      <c r="K8" s="33">
        <f>+'Anexo 20'!K8*'Anexo 10'!$D$10</f>
        <v>0</v>
      </c>
      <c r="L8" s="33">
        <f>+'Anexo 20'!L8*'Anexo 10'!$D$10</f>
        <v>0</v>
      </c>
      <c r="M8" s="33">
        <f>+'Anexo 20'!M8*'Anexo 10'!$D$10</f>
        <v>0</v>
      </c>
      <c r="N8" s="33">
        <f>+'Anexo 20'!N8*'Anexo 10'!$D$10</f>
        <v>0</v>
      </c>
      <c r="O8" s="33">
        <f>+'Anexo 20'!O8*'Anexo 10'!$D$10</f>
        <v>0</v>
      </c>
      <c r="P8" s="33">
        <f>+'Anexo 20'!P8*'Anexo 10'!$D$10</f>
        <v>0</v>
      </c>
      <c r="Q8" s="33">
        <f>+'Anexo 20'!Q8*'Anexo 10'!$D$10</f>
        <v>0</v>
      </c>
      <c r="R8" s="33">
        <f>+'Anexo 20'!R8*'Anexo 10'!$D$10</f>
        <v>0</v>
      </c>
      <c r="S8" s="33">
        <f>+'Anexo 20'!S8*'Anexo 10'!$D$10</f>
        <v>0</v>
      </c>
      <c r="T8" s="33">
        <f>+'Anexo 20'!T8*'Anexo 10'!$D$10</f>
        <v>0</v>
      </c>
      <c r="U8" s="33">
        <f>+'Anexo 20'!U8*'Anexo 10'!$D$10</f>
        <v>0</v>
      </c>
      <c r="V8" s="33">
        <f>+'Anexo 20'!V8*'Anexo 10'!$D$10</f>
        <v>0</v>
      </c>
      <c r="W8" s="33">
        <f>+'Anexo 20'!W8*'Anexo 10'!$D$10</f>
        <v>0</v>
      </c>
      <c r="X8" s="33">
        <f>+'Anexo 20'!X8*'Anexo 10'!$D$10</f>
        <v>0</v>
      </c>
      <c r="Y8" s="33">
        <f>+'Anexo 20'!Y8*'Anexo 10'!$D$10</f>
        <v>0</v>
      </c>
      <c r="Z8" s="33">
        <f>+'Anexo 20'!Z8*'Anexo 10'!$D$10</f>
        <v>0</v>
      </c>
      <c r="AA8" s="41">
        <f t="shared" si="0"/>
        <v>0</v>
      </c>
      <c r="AB8" s="23">
        <v>6</v>
      </c>
      <c r="AC8" s="96"/>
      <c r="AD8" s="48"/>
    </row>
    <row r="9" spans="1:30" ht="15.75" thickBot="1" x14ac:dyDescent="0.3">
      <c r="A9" s="93">
        <v>49341</v>
      </c>
      <c r="B9" s="18" t="s">
        <v>5</v>
      </c>
      <c r="C9" s="33">
        <f>+'Anexo 20'!C9*'Anexo 10'!$D$10</f>
        <v>0</v>
      </c>
      <c r="D9" s="33">
        <f>+'Anexo 20'!D9*'Anexo 10'!$D$10</f>
        <v>0</v>
      </c>
      <c r="E9" s="33">
        <f>+'Anexo 20'!E9*'Anexo 10'!$D$10</f>
        <v>0</v>
      </c>
      <c r="F9" s="33">
        <f>+'Anexo 20'!F9*'Anexo 10'!$D$10</f>
        <v>0</v>
      </c>
      <c r="G9" s="33">
        <f>+'Anexo 20'!G9*'Anexo 10'!$D$10</f>
        <v>0</v>
      </c>
      <c r="H9" s="33">
        <f>+'Anexo 20'!H9*'Anexo 10'!$D$10</f>
        <v>0</v>
      </c>
      <c r="I9" s="33">
        <f>+'Anexo 20'!I9*'Anexo 10'!$D$10</f>
        <v>0</v>
      </c>
      <c r="J9" s="33">
        <f>+'Anexo 20'!J9*'Anexo 10'!$D$10</f>
        <v>0</v>
      </c>
      <c r="K9" s="33">
        <f>+'Anexo 20'!K9*'Anexo 10'!$D$10</f>
        <v>0</v>
      </c>
      <c r="L9" s="33">
        <f>+'Anexo 20'!L9*'Anexo 10'!$D$10</f>
        <v>0</v>
      </c>
      <c r="M9" s="33">
        <f>+'Anexo 20'!M9*'Anexo 10'!$D$10</f>
        <v>0</v>
      </c>
      <c r="N9" s="33">
        <f>+'Anexo 20'!N9*'Anexo 10'!$D$10</f>
        <v>0</v>
      </c>
      <c r="O9" s="33">
        <f>+'Anexo 20'!O9*'Anexo 10'!$D$10</f>
        <v>0</v>
      </c>
      <c r="P9" s="33">
        <f>+'Anexo 20'!P9*'Anexo 10'!$D$10</f>
        <v>0</v>
      </c>
      <c r="Q9" s="33">
        <f>+'Anexo 20'!Q9*'Anexo 10'!$D$10</f>
        <v>0</v>
      </c>
      <c r="R9" s="33">
        <f>+'Anexo 20'!R9*'Anexo 10'!$D$10</f>
        <v>0</v>
      </c>
      <c r="S9" s="33">
        <f>+'Anexo 20'!S9*'Anexo 10'!$D$10</f>
        <v>0</v>
      </c>
      <c r="T9" s="33">
        <f>+'Anexo 20'!T9*'Anexo 10'!$D$10</f>
        <v>0</v>
      </c>
      <c r="U9" s="33">
        <f>+'Anexo 20'!U9*'Anexo 10'!$D$10</f>
        <v>0</v>
      </c>
      <c r="V9" s="33">
        <f>+'Anexo 20'!V9*'Anexo 10'!$D$10</f>
        <v>0</v>
      </c>
      <c r="W9" s="33">
        <f>+'Anexo 20'!W9*'Anexo 10'!$D$10</f>
        <v>0</v>
      </c>
      <c r="X9" s="33">
        <f>+'Anexo 20'!X9*'Anexo 10'!$D$10</f>
        <v>0</v>
      </c>
      <c r="Y9" s="33">
        <f>+'Anexo 20'!Y9*'Anexo 10'!$D$10</f>
        <v>0</v>
      </c>
      <c r="Z9" s="33">
        <f>+'Anexo 20'!Z9*'Anexo 10'!$D$10</f>
        <v>0</v>
      </c>
      <c r="AA9" s="35">
        <f t="shared" si="0"/>
        <v>0</v>
      </c>
      <c r="AB9" s="19">
        <v>20</v>
      </c>
      <c r="AC9" s="94">
        <f>+AA9*AB9+AA10*AB10+AA11*AB11</f>
        <v>0</v>
      </c>
    </row>
    <row r="10" spans="1:30" ht="15.75" thickBot="1" x14ac:dyDescent="0.3">
      <c r="A10" s="93"/>
      <c r="B10" s="20" t="s">
        <v>4</v>
      </c>
      <c r="C10" s="33">
        <f>+'Anexo 20'!C10*'Anexo 10'!$D$10</f>
        <v>0</v>
      </c>
      <c r="D10" s="33">
        <f>+'Anexo 20'!D10*'Anexo 10'!$D$10</f>
        <v>0</v>
      </c>
      <c r="E10" s="33">
        <f>+'Anexo 20'!E10*'Anexo 10'!$D$10</f>
        <v>0</v>
      </c>
      <c r="F10" s="33">
        <f>+'Anexo 20'!F10*'Anexo 10'!$D$10</f>
        <v>0</v>
      </c>
      <c r="G10" s="33">
        <f>+'Anexo 20'!G10*'Anexo 10'!$D$10</f>
        <v>0</v>
      </c>
      <c r="H10" s="33">
        <f>+'Anexo 20'!H10*'Anexo 10'!$D$10</f>
        <v>0</v>
      </c>
      <c r="I10" s="33">
        <f>+'Anexo 20'!I10*'Anexo 10'!$D$10</f>
        <v>0</v>
      </c>
      <c r="J10" s="33">
        <f>+'Anexo 20'!J10*'Anexo 10'!$D$10</f>
        <v>0</v>
      </c>
      <c r="K10" s="33">
        <f>+'Anexo 20'!K10*'Anexo 10'!$D$10</f>
        <v>0</v>
      </c>
      <c r="L10" s="33">
        <f>+'Anexo 20'!L10*'Anexo 10'!$D$10</f>
        <v>0</v>
      </c>
      <c r="M10" s="33">
        <f>+'Anexo 20'!M10*'Anexo 10'!$D$10</f>
        <v>0</v>
      </c>
      <c r="N10" s="33">
        <f>+'Anexo 20'!N10*'Anexo 10'!$D$10</f>
        <v>0</v>
      </c>
      <c r="O10" s="33">
        <f>+'Anexo 20'!O10*'Anexo 10'!$D$10</f>
        <v>0</v>
      </c>
      <c r="P10" s="33">
        <f>+'Anexo 20'!P10*'Anexo 10'!$D$10</f>
        <v>0</v>
      </c>
      <c r="Q10" s="33">
        <f>+'Anexo 20'!Q10*'Anexo 10'!$D$10</f>
        <v>0</v>
      </c>
      <c r="R10" s="33">
        <f>+'Anexo 20'!R10*'Anexo 10'!$D$10</f>
        <v>0</v>
      </c>
      <c r="S10" s="33">
        <f>+'Anexo 20'!S10*'Anexo 10'!$D$10</f>
        <v>0</v>
      </c>
      <c r="T10" s="33">
        <f>+'Anexo 20'!T10*'Anexo 10'!$D$10</f>
        <v>0</v>
      </c>
      <c r="U10" s="33">
        <f>+'Anexo 20'!U10*'Anexo 10'!$D$10</f>
        <v>0</v>
      </c>
      <c r="V10" s="33">
        <f>+'Anexo 20'!V10*'Anexo 10'!$D$10</f>
        <v>0</v>
      </c>
      <c r="W10" s="33">
        <f>+'Anexo 20'!W10*'Anexo 10'!$D$10</f>
        <v>0</v>
      </c>
      <c r="X10" s="33">
        <f>+'Anexo 20'!X10*'Anexo 10'!$D$10</f>
        <v>0</v>
      </c>
      <c r="Y10" s="33">
        <f>+'Anexo 20'!Y10*'Anexo 10'!$D$10</f>
        <v>0</v>
      </c>
      <c r="Z10" s="33">
        <f>+'Anexo 20'!Z10*'Anexo 10'!$D$10</f>
        <v>0</v>
      </c>
      <c r="AA10" s="38">
        <f t="shared" si="0"/>
        <v>0</v>
      </c>
      <c r="AB10" s="21">
        <v>4</v>
      </c>
      <c r="AC10" s="95"/>
      <c r="AD10" s="47"/>
    </row>
    <row r="11" spans="1:30" ht="15.75" thickBot="1" x14ac:dyDescent="0.3">
      <c r="A11" s="93"/>
      <c r="B11" s="22" t="s">
        <v>3</v>
      </c>
      <c r="C11" s="33">
        <f>+'Anexo 20'!C11*'Anexo 10'!$D$10</f>
        <v>0</v>
      </c>
      <c r="D11" s="33">
        <f>+'Anexo 20'!D11*'Anexo 10'!$D$10</f>
        <v>0</v>
      </c>
      <c r="E11" s="33">
        <f>+'Anexo 20'!E11*'Anexo 10'!$D$10</f>
        <v>0</v>
      </c>
      <c r="F11" s="33">
        <f>+'Anexo 20'!F11*'Anexo 10'!$D$10</f>
        <v>0</v>
      </c>
      <c r="G11" s="33">
        <f>+'Anexo 20'!G11*'Anexo 10'!$D$10</f>
        <v>0</v>
      </c>
      <c r="H11" s="33">
        <f>+'Anexo 20'!H11*'Anexo 10'!$D$10</f>
        <v>0</v>
      </c>
      <c r="I11" s="33">
        <f>+'Anexo 20'!I11*'Anexo 10'!$D$10</f>
        <v>0</v>
      </c>
      <c r="J11" s="33">
        <f>+'Anexo 20'!J11*'Anexo 10'!$D$10</f>
        <v>0</v>
      </c>
      <c r="K11" s="33">
        <f>+'Anexo 20'!K11*'Anexo 10'!$D$10</f>
        <v>0</v>
      </c>
      <c r="L11" s="33">
        <f>+'Anexo 20'!L11*'Anexo 10'!$D$10</f>
        <v>0</v>
      </c>
      <c r="M11" s="33">
        <f>+'Anexo 20'!M11*'Anexo 10'!$D$10</f>
        <v>0</v>
      </c>
      <c r="N11" s="33">
        <f>+'Anexo 20'!N11*'Anexo 10'!$D$10</f>
        <v>0</v>
      </c>
      <c r="O11" s="33">
        <f>+'Anexo 20'!O11*'Anexo 10'!$D$10</f>
        <v>0</v>
      </c>
      <c r="P11" s="33">
        <f>+'Anexo 20'!P11*'Anexo 10'!$D$10</f>
        <v>0</v>
      </c>
      <c r="Q11" s="33">
        <f>+'Anexo 20'!Q11*'Anexo 10'!$D$10</f>
        <v>0</v>
      </c>
      <c r="R11" s="33">
        <f>+'Anexo 20'!R11*'Anexo 10'!$D$10</f>
        <v>0</v>
      </c>
      <c r="S11" s="33">
        <f>+'Anexo 20'!S11*'Anexo 10'!$D$10</f>
        <v>0</v>
      </c>
      <c r="T11" s="33">
        <f>+'Anexo 20'!T11*'Anexo 10'!$D$10</f>
        <v>0</v>
      </c>
      <c r="U11" s="33">
        <f>+'Anexo 20'!U11*'Anexo 10'!$D$10</f>
        <v>0</v>
      </c>
      <c r="V11" s="33">
        <f>+'Anexo 20'!V11*'Anexo 10'!$D$10</f>
        <v>0</v>
      </c>
      <c r="W11" s="33">
        <f>+'Anexo 20'!W11*'Anexo 10'!$D$10</f>
        <v>0</v>
      </c>
      <c r="X11" s="33">
        <f>+'Anexo 20'!X11*'Anexo 10'!$D$10</f>
        <v>0</v>
      </c>
      <c r="Y11" s="33">
        <f>+'Anexo 20'!Y11*'Anexo 10'!$D$10</f>
        <v>0</v>
      </c>
      <c r="Z11" s="33">
        <f>+'Anexo 20'!Z11*'Anexo 10'!$D$10</f>
        <v>0</v>
      </c>
      <c r="AA11" s="41">
        <f t="shared" si="0"/>
        <v>0</v>
      </c>
      <c r="AB11" s="23">
        <v>4</v>
      </c>
      <c r="AC11" s="96"/>
      <c r="AD11" s="48"/>
    </row>
    <row r="12" spans="1:30" ht="15.75" thickBot="1" x14ac:dyDescent="0.3">
      <c r="A12" s="93">
        <v>49369</v>
      </c>
      <c r="B12" s="18" t="s">
        <v>5</v>
      </c>
      <c r="C12" s="33">
        <f>+'Anexo 20'!C12*'Anexo 10'!$D$10</f>
        <v>0</v>
      </c>
      <c r="D12" s="33">
        <f>+'Anexo 20'!D12*'Anexo 10'!$D$10</f>
        <v>0</v>
      </c>
      <c r="E12" s="33">
        <f>+'Anexo 20'!E12*'Anexo 10'!$D$10</f>
        <v>0</v>
      </c>
      <c r="F12" s="33">
        <f>+'Anexo 20'!F12*'Anexo 10'!$D$10</f>
        <v>0</v>
      </c>
      <c r="G12" s="33">
        <f>+'Anexo 20'!G12*'Anexo 10'!$D$10</f>
        <v>0</v>
      </c>
      <c r="H12" s="33">
        <f>+'Anexo 20'!H12*'Anexo 10'!$D$10</f>
        <v>0</v>
      </c>
      <c r="I12" s="33">
        <f>+'Anexo 20'!I12*'Anexo 10'!$D$10</f>
        <v>0</v>
      </c>
      <c r="J12" s="33">
        <f>+'Anexo 20'!J12*'Anexo 10'!$D$10</f>
        <v>0</v>
      </c>
      <c r="K12" s="33">
        <f>+'Anexo 20'!K12*'Anexo 10'!$D$10</f>
        <v>0</v>
      </c>
      <c r="L12" s="33">
        <f>+'Anexo 20'!L12*'Anexo 10'!$D$10</f>
        <v>0</v>
      </c>
      <c r="M12" s="33">
        <f>+'Anexo 20'!M12*'Anexo 10'!$D$10</f>
        <v>0</v>
      </c>
      <c r="N12" s="33">
        <f>+'Anexo 20'!N12*'Anexo 10'!$D$10</f>
        <v>0</v>
      </c>
      <c r="O12" s="33">
        <f>+'Anexo 20'!O12*'Anexo 10'!$D$10</f>
        <v>0</v>
      </c>
      <c r="P12" s="33">
        <f>+'Anexo 20'!P12*'Anexo 10'!$D$10</f>
        <v>0</v>
      </c>
      <c r="Q12" s="33">
        <f>+'Anexo 20'!Q12*'Anexo 10'!$D$10</f>
        <v>0</v>
      </c>
      <c r="R12" s="33">
        <f>+'Anexo 20'!R12*'Anexo 10'!$D$10</f>
        <v>0</v>
      </c>
      <c r="S12" s="33">
        <f>+'Anexo 20'!S12*'Anexo 10'!$D$10</f>
        <v>0</v>
      </c>
      <c r="T12" s="33">
        <f>+'Anexo 20'!T12*'Anexo 10'!$D$10</f>
        <v>0</v>
      </c>
      <c r="U12" s="33">
        <f>+'Anexo 20'!U12*'Anexo 10'!$D$10</f>
        <v>0</v>
      </c>
      <c r="V12" s="33">
        <f>+'Anexo 20'!V12*'Anexo 10'!$D$10</f>
        <v>0</v>
      </c>
      <c r="W12" s="33">
        <f>+'Anexo 20'!W12*'Anexo 10'!$D$10</f>
        <v>0</v>
      </c>
      <c r="X12" s="33">
        <f>+'Anexo 20'!X12*'Anexo 10'!$D$10</f>
        <v>0</v>
      </c>
      <c r="Y12" s="33">
        <f>+'Anexo 20'!Y12*'Anexo 10'!$D$10</f>
        <v>0</v>
      </c>
      <c r="Z12" s="33">
        <f>+'Anexo 20'!Z12*'Anexo 10'!$D$10</f>
        <v>0</v>
      </c>
      <c r="AA12" s="35">
        <f t="shared" si="0"/>
        <v>0</v>
      </c>
      <c r="AB12" s="19">
        <v>19</v>
      </c>
      <c r="AC12" s="94">
        <f>+AA12*AB12+AA13*AB13+AA14*AB14</f>
        <v>0</v>
      </c>
    </row>
    <row r="13" spans="1:30" ht="15.75" thickBot="1" x14ac:dyDescent="0.3">
      <c r="A13" s="93"/>
      <c r="B13" s="20" t="s">
        <v>4</v>
      </c>
      <c r="C13" s="33">
        <f>+'Anexo 20'!C13*'Anexo 10'!$D$10</f>
        <v>0</v>
      </c>
      <c r="D13" s="33">
        <f>+'Anexo 20'!D13*'Anexo 10'!$D$10</f>
        <v>0</v>
      </c>
      <c r="E13" s="33">
        <f>+'Anexo 20'!E13*'Anexo 10'!$D$10</f>
        <v>0</v>
      </c>
      <c r="F13" s="33">
        <f>+'Anexo 20'!F13*'Anexo 10'!$D$10</f>
        <v>0</v>
      </c>
      <c r="G13" s="33">
        <f>+'Anexo 20'!G13*'Anexo 10'!$D$10</f>
        <v>0</v>
      </c>
      <c r="H13" s="33">
        <f>+'Anexo 20'!H13*'Anexo 10'!$D$10</f>
        <v>0</v>
      </c>
      <c r="I13" s="33">
        <f>+'Anexo 20'!I13*'Anexo 10'!$D$10</f>
        <v>0</v>
      </c>
      <c r="J13" s="33">
        <f>+'Anexo 20'!J13*'Anexo 10'!$D$10</f>
        <v>0</v>
      </c>
      <c r="K13" s="33">
        <f>+'Anexo 20'!K13*'Anexo 10'!$D$10</f>
        <v>0</v>
      </c>
      <c r="L13" s="33">
        <f>+'Anexo 20'!L13*'Anexo 10'!$D$10</f>
        <v>0</v>
      </c>
      <c r="M13" s="33">
        <f>+'Anexo 20'!M13*'Anexo 10'!$D$10</f>
        <v>0</v>
      </c>
      <c r="N13" s="33">
        <f>+'Anexo 20'!N13*'Anexo 10'!$D$10</f>
        <v>0</v>
      </c>
      <c r="O13" s="33">
        <f>+'Anexo 20'!O13*'Anexo 10'!$D$10</f>
        <v>0</v>
      </c>
      <c r="P13" s="33">
        <f>+'Anexo 20'!P13*'Anexo 10'!$D$10</f>
        <v>0</v>
      </c>
      <c r="Q13" s="33">
        <f>+'Anexo 20'!Q13*'Anexo 10'!$D$10</f>
        <v>0</v>
      </c>
      <c r="R13" s="33">
        <f>+'Anexo 20'!R13*'Anexo 10'!$D$10</f>
        <v>0</v>
      </c>
      <c r="S13" s="33">
        <f>+'Anexo 20'!S13*'Anexo 10'!$D$10</f>
        <v>0</v>
      </c>
      <c r="T13" s="33">
        <f>+'Anexo 20'!T13*'Anexo 10'!$D$10</f>
        <v>0</v>
      </c>
      <c r="U13" s="33">
        <f>+'Anexo 20'!U13*'Anexo 10'!$D$10</f>
        <v>0</v>
      </c>
      <c r="V13" s="33">
        <f>+'Anexo 20'!V13*'Anexo 10'!$D$10</f>
        <v>0</v>
      </c>
      <c r="W13" s="33">
        <f>+'Anexo 20'!W13*'Anexo 10'!$D$10</f>
        <v>0</v>
      </c>
      <c r="X13" s="33">
        <f>+'Anexo 20'!X13*'Anexo 10'!$D$10</f>
        <v>0</v>
      </c>
      <c r="Y13" s="33">
        <f>+'Anexo 20'!Y13*'Anexo 10'!$D$10</f>
        <v>0</v>
      </c>
      <c r="Z13" s="33">
        <f>+'Anexo 20'!Z13*'Anexo 10'!$D$10</f>
        <v>0</v>
      </c>
      <c r="AA13" s="38">
        <f t="shared" si="0"/>
        <v>0</v>
      </c>
      <c r="AB13" s="21">
        <v>5</v>
      </c>
      <c r="AC13" s="95"/>
      <c r="AD13" s="47"/>
    </row>
    <row r="14" spans="1:30" ht="15.75" thickBot="1" x14ac:dyDescent="0.3">
      <c r="A14" s="93"/>
      <c r="B14" s="22" t="s">
        <v>3</v>
      </c>
      <c r="C14" s="33">
        <f>+'Anexo 20'!C14*'Anexo 10'!$D$10</f>
        <v>0</v>
      </c>
      <c r="D14" s="33">
        <f>+'Anexo 20'!D14*'Anexo 10'!$D$10</f>
        <v>0</v>
      </c>
      <c r="E14" s="33">
        <f>+'Anexo 20'!E14*'Anexo 10'!$D$10</f>
        <v>0</v>
      </c>
      <c r="F14" s="33">
        <f>+'Anexo 20'!F14*'Anexo 10'!$D$10</f>
        <v>0</v>
      </c>
      <c r="G14" s="33">
        <f>+'Anexo 20'!G14*'Anexo 10'!$D$10</f>
        <v>0</v>
      </c>
      <c r="H14" s="33">
        <f>+'Anexo 20'!H14*'Anexo 10'!$D$10</f>
        <v>0</v>
      </c>
      <c r="I14" s="33">
        <f>+'Anexo 20'!I14*'Anexo 10'!$D$10</f>
        <v>0</v>
      </c>
      <c r="J14" s="33">
        <f>+'Anexo 20'!J14*'Anexo 10'!$D$10</f>
        <v>0</v>
      </c>
      <c r="K14" s="33">
        <f>+'Anexo 20'!K14*'Anexo 10'!$D$10</f>
        <v>0</v>
      </c>
      <c r="L14" s="33">
        <f>+'Anexo 20'!L14*'Anexo 10'!$D$10</f>
        <v>0</v>
      </c>
      <c r="M14" s="33">
        <f>+'Anexo 20'!M14*'Anexo 10'!$D$10</f>
        <v>0</v>
      </c>
      <c r="N14" s="33">
        <f>+'Anexo 20'!N14*'Anexo 10'!$D$10</f>
        <v>0</v>
      </c>
      <c r="O14" s="33">
        <f>+'Anexo 20'!O14*'Anexo 10'!$D$10</f>
        <v>0</v>
      </c>
      <c r="P14" s="33">
        <f>+'Anexo 20'!P14*'Anexo 10'!$D$10</f>
        <v>0</v>
      </c>
      <c r="Q14" s="33">
        <f>+'Anexo 20'!Q14*'Anexo 10'!$D$10</f>
        <v>0</v>
      </c>
      <c r="R14" s="33">
        <f>+'Anexo 20'!R14*'Anexo 10'!$D$10</f>
        <v>0</v>
      </c>
      <c r="S14" s="33">
        <f>+'Anexo 20'!S14*'Anexo 10'!$D$10</f>
        <v>0</v>
      </c>
      <c r="T14" s="33">
        <f>+'Anexo 20'!T14*'Anexo 10'!$D$10</f>
        <v>0</v>
      </c>
      <c r="U14" s="33">
        <f>+'Anexo 20'!U14*'Anexo 10'!$D$10</f>
        <v>0</v>
      </c>
      <c r="V14" s="33">
        <f>+'Anexo 20'!V14*'Anexo 10'!$D$10</f>
        <v>0</v>
      </c>
      <c r="W14" s="33">
        <f>+'Anexo 20'!W14*'Anexo 10'!$D$10</f>
        <v>0</v>
      </c>
      <c r="X14" s="33">
        <f>+'Anexo 20'!X14*'Anexo 10'!$D$10</f>
        <v>0</v>
      </c>
      <c r="Y14" s="33">
        <f>+'Anexo 20'!Y14*'Anexo 10'!$D$10</f>
        <v>0</v>
      </c>
      <c r="Z14" s="33">
        <f>+'Anexo 20'!Z14*'Anexo 10'!$D$10</f>
        <v>0</v>
      </c>
      <c r="AA14" s="41">
        <f t="shared" si="0"/>
        <v>0</v>
      </c>
      <c r="AB14" s="23">
        <v>7</v>
      </c>
      <c r="AC14" s="96"/>
      <c r="AD14" s="45"/>
    </row>
    <row r="15" spans="1:30" ht="15.75" thickBot="1" x14ac:dyDescent="0.3">
      <c r="A15" s="93">
        <v>49400</v>
      </c>
      <c r="B15" s="18" t="s">
        <v>5</v>
      </c>
      <c r="C15" s="33">
        <f>+'Anexo 20'!C15*'Anexo 10'!$D$10</f>
        <v>0</v>
      </c>
      <c r="D15" s="33">
        <f>+'Anexo 20'!D15*'Anexo 10'!$D$10</f>
        <v>0</v>
      </c>
      <c r="E15" s="33">
        <f>+'Anexo 20'!E15*'Anexo 10'!$D$10</f>
        <v>0</v>
      </c>
      <c r="F15" s="33">
        <f>+'Anexo 20'!F15*'Anexo 10'!$D$10</f>
        <v>0</v>
      </c>
      <c r="G15" s="33">
        <f>+'Anexo 20'!G15*'Anexo 10'!$D$10</f>
        <v>0</v>
      </c>
      <c r="H15" s="33">
        <f>+'Anexo 20'!H15*'Anexo 10'!$D$10</f>
        <v>0</v>
      </c>
      <c r="I15" s="33">
        <f>+'Anexo 20'!I15*'Anexo 10'!$D$10</f>
        <v>0</v>
      </c>
      <c r="J15" s="33">
        <f>+'Anexo 20'!J15*'Anexo 10'!$D$10</f>
        <v>0</v>
      </c>
      <c r="K15" s="33">
        <f>+'Anexo 20'!K15*'Anexo 10'!$D$10</f>
        <v>0</v>
      </c>
      <c r="L15" s="33">
        <f>+'Anexo 20'!L15*'Anexo 10'!$D$10</f>
        <v>0</v>
      </c>
      <c r="M15" s="33">
        <f>+'Anexo 20'!M15*'Anexo 10'!$D$10</f>
        <v>0</v>
      </c>
      <c r="N15" s="33">
        <f>+'Anexo 20'!N15*'Anexo 10'!$D$10</f>
        <v>0</v>
      </c>
      <c r="O15" s="33">
        <f>+'Anexo 20'!O15*'Anexo 10'!$D$10</f>
        <v>0</v>
      </c>
      <c r="P15" s="33">
        <f>+'Anexo 20'!P15*'Anexo 10'!$D$10</f>
        <v>0</v>
      </c>
      <c r="Q15" s="33">
        <f>+'Anexo 20'!Q15*'Anexo 10'!$D$10</f>
        <v>0</v>
      </c>
      <c r="R15" s="33">
        <f>+'Anexo 20'!R15*'Anexo 10'!$D$10</f>
        <v>0</v>
      </c>
      <c r="S15" s="33">
        <f>+'Anexo 20'!S15*'Anexo 10'!$D$10</f>
        <v>0</v>
      </c>
      <c r="T15" s="33">
        <f>+'Anexo 20'!T15*'Anexo 10'!$D$10</f>
        <v>0</v>
      </c>
      <c r="U15" s="33">
        <f>+'Anexo 20'!U15*'Anexo 10'!$D$10</f>
        <v>0</v>
      </c>
      <c r="V15" s="33">
        <f>+'Anexo 20'!V15*'Anexo 10'!$D$10</f>
        <v>0</v>
      </c>
      <c r="W15" s="33">
        <f>+'Anexo 20'!W15*'Anexo 10'!$D$10</f>
        <v>0</v>
      </c>
      <c r="X15" s="33">
        <f>+'Anexo 20'!X15*'Anexo 10'!$D$10</f>
        <v>0</v>
      </c>
      <c r="Y15" s="33">
        <f>+'Anexo 20'!Y15*'Anexo 10'!$D$10</f>
        <v>0</v>
      </c>
      <c r="Z15" s="33">
        <f>+'Anexo 20'!Z15*'Anexo 10'!$D$10</f>
        <v>0</v>
      </c>
      <c r="AA15" s="35">
        <f t="shared" si="0"/>
        <v>0</v>
      </c>
      <c r="AB15" s="19">
        <v>21</v>
      </c>
      <c r="AC15" s="94">
        <f>+AA15*AB15+AA16*AB16+AA17*AB17</f>
        <v>0</v>
      </c>
    </row>
    <row r="16" spans="1:30" ht="15.75" thickBot="1" x14ac:dyDescent="0.3">
      <c r="A16" s="93"/>
      <c r="B16" s="20" t="s">
        <v>4</v>
      </c>
      <c r="C16" s="33">
        <f>+'Anexo 20'!C16*'Anexo 10'!$D$10</f>
        <v>0</v>
      </c>
      <c r="D16" s="33">
        <f>+'Anexo 20'!D16*'Anexo 10'!$D$10</f>
        <v>0</v>
      </c>
      <c r="E16" s="33">
        <f>+'Anexo 20'!E16*'Anexo 10'!$D$10</f>
        <v>0</v>
      </c>
      <c r="F16" s="33">
        <f>+'Anexo 20'!F16*'Anexo 10'!$D$10</f>
        <v>0</v>
      </c>
      <c r="G16" s="33">
        <f>+'Anexo 20'!G16*'Anexo 10'!$D$10</f>
        <v>0</v>
      </c>
      <c r="H16" s="33">
        <f>+'Anexo 20'!H16*'Anexo 10'!$D$10</f>
        <v>0</v>
      </c>
      <c r="I16" s="33">
        <f>+'Anexo 20'!I16*'Anexo 10'!$D$10</f>
        <v>0</v>
      </c>
      <c r="J16" s="33">
        <f>+'Anexo 20'!J16*'Anexo 10'!$D$10</f>
        <v>0</v>
      </c>
      <c r="K16" s="33">
        <f>+'Anexo 20'!K16*'Anexo 10'!$D$10</f>
        <v>0</v>
      </c>
      <c r="L16" s="33">
        <f>+'Anexo 20'!L16*'Anexo 10'!$D$10</f>
        <v>0</v>
      </c>
      <c r="M16" s="33">
        <f>+'Anexo 20'!M16*'Anexo 10'!$D$10</f>
        <v>0</v>
      </c>
      <c r="N16" s="33">
        <f>+'Anexo 20'!N16*'Anexo 10'!$D$10</f>
        <v>0</v>
      </c>
      <c r="O16" s="33">
        <f>+'Anexo 20'!O16*'Anexo 10'!$D$10</f>
        <v>0</v>
      </c>
      <c r="P16" s="33">
        <f>+'Anexo 20'!P16*'Anexo 10'!$D$10</f>
        <v>0</v>
      </c>
      <c r="Q16" s="33">
        <f>+'Anexo 20'!Q16*'Anexo 10'!$D$10</f>
        <v>0</v>
      </c>
      <c r="R16" s="33">
        <f>+'Anexo 20'!R16*'Anexo 10'!$D$10</f>
        <v>0</v>
      </c>
      <c r="S16" s="33">
        <f>+'Anexo 20'!S16*'Anexo 10'!$D$10</f>
        <v>0</v>
      </c>
      <c r="T16" s="33">
        <f>+'Anexo 20'!T16*'Anexo 10'!$D$10</f>
        <v>0</v>
      </c>
      <c r="U16" s="33">
        <f>+'Anexo 20'!U16*'Anexo 10'!$D$10</f>
        <v>0</v>
      </c>
      <c r="V16" s="33">
        <f>+'Anexo 20'!V16*'Anexo 10'!$D$10</f>
        <v>0</v>
      </c>
      <c r="W16" s="33">
        <f>+'Anexo 20'!W16*'Anexo 10'!$D$10</f>
        <v>0</v>
      </c>
      <c r="X16" s="33">
        <f>+'Anexo 20'!X16*'Anexo 10'!$D$10</f>
        <v>0</v>
      </c>
      <c r="Y16" s="33">
        <f>+'Anexo 20'!Y16*'Anexo 10'!$D$10</f>
        <v>0</v>
      </c>
      <c r="Z16" s="33">
        <f>+'Anexo 20'!Z16*'Anexo 10'!$D$10</f>
        <v>0</v>
      </c>
      <c r="AA16" s="38">
        <f t="shared" si="0"/>
        <v>0</v>
      </c>
      <c r="AB16" s="21">
        <v>4</v>
      </c>
      <c r="AC16" s="95"/>
      <c r="AD16" s="47"/>
    </row>
    <row r="17" spans="1:30" ht="15.75" thickBot="1" x14ac:dyDescent="0.3">
      <c r="A17" s="93"/>
      <c r="B17" s="22" t="s">
        <v>3</v>
      </c>
      <c r="C17" s="33">
        <f>+'Anexo 20'!C17*'Anexo 10'!$D$10</f>
        <v>0</v>
      </c>
      <c r="D17" s="33">
        <f>+'Anexo 20'!D17*'Anexo 10'!$D$10</f>
        <v>0</v>
      </c>
      <c r="E17" s="33">
        <f>+'Anexo 20'!E17*'Anexo 10'!$D$10</f>
        <v>0</v>
      </c>
      <c r="F17" s="33">
        <f>+'Anexo 20'!F17*'Anexo 10'!$D$10</f>
        <v>0</v>
      </c>
      <c r="G17" s="33">
        <f>+'Anexo 20'!G17*'Anexo 10'!$D$10</f>
        <v>0</v>
      </c>
      <c r="H17" s="33">
        <f>+'Anexo 20'!H17*'Anexo 10'!$D$10</f>
        <v>0</v>
      </c>
      <c r="I17" s="33">
        <f>+'Anexo 20'!I17*'Anexo 10'!$D$10</f>
        <v>0</v>
      </c>
      <c r="J17" s="33">
        <f>+'Anexo 20'!J17*'Anexo 10'!$D$10</f>
        <v>0</v>
      </c>
      <c r="K17" s="33">
        <f>+'Anexo 20'!K17*'Anexo 10'!$D$10</f>
        <v>0</v>
      </c>
      <c r="L17" s="33">
        <f>+'Anexo 20'!L17*'Anexo 10'!$D$10</f>
        <v>0</v>
      </c>
      <c r="M17" s="33">
        <f>+'Anexo 20'!M17*'Anexo 10'!$D$10</f>
        <v>0</v>
      </c>
      <c r="N17" s="33">
        <f>+'Anexo 20'!N17*'Anexo 10'!$D$10</f>
        <v>0</v>
      </c>
      <c r="O17" s="33">
        <f>+'Anexo 20'!O17*'Anexo 10'!$D$10</f>
        <v>0</v>
      </c>
      <c r="P17" s="33">
        <f>+'Anexo 20'!P17*'Anexo 10'!$D$10</f>
        <v>0</v>
      </c>
      <c r="Q17" s="33">
        <f>+'Anexo 20'!Q17*'Anexo 10'!$D$10</f>
        <v>0</v>
      </c>
      <c r="R17" s="33">
        <f>+'Anexo 20'!R17*'Anexo 10'!$D$10</f>
        <v>0</v>
      </c>
      <c r="S17" s="33">
        <f>+'Anexo 20'!S17*'Anexo 10'!$D$10</f>
        <v>0</v>
      </c>
      <c r="T17" s="33">
        <f>+'Anexo 20'!T17*'Anexo 10'!$D$10</f>
        <v>0</v>
      </c>
      <c r="U17" s="33">
        <f>+'Anexo 20'!U17*'Anexo 10'!$D$10</f>
        <v>0</v>
      </c>
      <c r="V17" s="33">
        <f>+'Anexo 20'!V17*'Anexo 10'!$D$10</f>
        <v>0</v>
      </c>
      <c r="W17" s="33">
        <f>+'Anexo 20'!W17*'Anexo 10'!$D$10</f>
        <v>0</v>
      </c>
      <c r="X17" s="33">
        <f>+'Anexo 20'!X17*'Anexo 10'!$D$10</f>
        <v>0</v>
      </c>
      <c r="Y17" s="33">
        <f>+'Anexo 20'!Y17*'Anexo 10'!$D$10</f>
        <v>0</v>
      </c>
      <c r="Z17" s="33">
        <f>+'Anexo 20'!Z17*'Anexo 10'!$D$10</f>
        <v>0</v>
      </c>
      <c r="AA17" s="41">
        <f t="shared" si="0"/>
        <v>0</v>
      </c>
      <c r="AB17" s="23">
        <v>5</v>
      </c>
      <c r="AC17" s="96"/>
      <c r="AD17" s="48"/>
    </row>
    <row r="18" spans="1:30" ht="15.75" thickBot="1" x14ac:dyDescent="0.3">
      <c r="A18" s="93">
        <v>49430</v>
      </c>
      <c r="B18" s="18" t="s">
        <v>5</v>
      </c>
      <c r="C18" s="33">
        <f>+'Anexo 20'!C18*'Anexo 10'!$D$10</f>
        <v>0</v>
      </c>
      <c r="D18" s="33">
        <f>+'Anexo 20'!D18*'Anexo 10'!$D$10</f>
        <v>0</v>
      </c>
      <c r="E18" s="33">
        <f>+'Anexo 20'!E18*'Anexo 10'!$D$10</f>
        <v>0</v>
      </c>
      <c r="F18" s="33">
        <f>+'Anexo 20'!F18*'Anexo 10'!$D$10</f>
        <v>0</v>
      </c>
      <c r="G18" s="33">
        <f>+'Anexo 20'!G18*'Anexo 10'!$D$10</f>
        <v>0</v>
      </c>
      <c r="H18" s="33">
        <f>+'Anexo 20'!H18*'Anexo 10'!$D$10</f>
        <v>0</v>
      </c>
      <c r="I18" s="33">
        <f>+'Anexo 20'!I18*'Anexo 10'!$D$10</f>
        <v>0</v>
      </c>
      <c r="J18" s="33">
        <f>+'Anexo 20'!J18*'Anexo 10'!$D$10</f>
        <v>0</v>
      </c>
      <c r="K18" s="33">
        <f>+'Anexo 20'!K18*'Anexo 10'!$D$10</f>
        <v>0</v>
      </c>
      <c r="L18" s="33">
        <f>+'Anexo 20'!L18*'Anexo 10'!$D$10</f>
        <v>0</v>
      </c>
      <c r="M18" s="33">
        <f>+'Anexo 20'!M18*'Anexo 10'!$D$10</f>
        <v>0</v>
      </c>
      <c r="N18" s="33">
        <f>+'Anexo 20'!N18*'Anexo 10'!$D$10</f>
        <v>0</v>
      </c>
      <c r="O18" s="33">
        <f>+'Anexo 20'!O18*'Anexo 10'!$D$10</f>
        <v>0</v>
      </c>
      <c r="P18" s="33">
        <f>+'Anexo 20'!P18*'Anexo 10'!$D$10</f>
        <v>0</v>
      </c>
      <c r="Q18" s="33">
        <f>+'Anexo 20'!Q18*'Anexo 10'!$D$10</f>
        <v>0</v>
      </c>
      <c r="R18" s="33">
        <f>+'Anexo 20'!R18*'Anexo 10'!$D$10</f>
        <v>0</v>
      </c>
      <c r="S18" s="33">
        <f>+'Anexo 20'!S18*'Anexo 10'!$D$10</f>
        <v>0</v>
      </c>
      <c r="T18" s="33">
        <f>+'Anexo 20'!T18*'Anexo 10'!$D$10</f>
        <v>0</v>
      </c>
      <c r="U18" s="33">
        <f>+'Anexo 20'!U18*'Anexo 10'!$D$10</f>
        <v>0</v>
      </c>
      <c r="V18" s="33">
        <f>+'Anexo 20'!V18*'Anexo 10'!$D$10</f>
        <v>0</v>
      </c>
      <c r="W18" s="33">
        <f>+'Anexo 20'!W18*'Anexo 10'!$D$10</f>
        <v>0</v>
      </c>
      <c r="X18" s="33">
        <f>+'Anexo 20'!X18*'Anexo 10'!$D$10</f>
        <v>0</v>
      </c>
      <c r="Y18" s="33">
        <f>+'Anexo 20'!Y18*'Anexo 10'!$D$10</f>
        <v>0</v>
      </c>
      <c r="Z18" s="33">
        <f>+'Anexo 20'!Z18*'Anexo 10'!$D$10</f>
        <v>0</v>
      </c>
      <c r="AA18" s="35">
        <f t="shared" si="0"/>
        <v>0</v>
      </c>
      <c r="AB18" s="19">
        <v>20</v>
      </c>
      <c r="AC18" s="94">
        <f>+AA18*AB18+AA19*AB19+AA20*AB20</f>
        <v>0</v>
      </c>
    </row>
    <row r="19" spans="1:30" ht="15.75" thickBot="1" x14ac:dyDescent="0.3">
      <c r="A19" s="93"/>
      <c r="B19" s="20" t="s">
        <v>4</v>
      </c>
      <c r="C19" s="33">
        <f>+'Anexo 20'!C19*'Anexo 10'!$D$10</f>
        <v>0</v>
      </c>
      <c r="D19" s="33">
        <f>+'Anexo 20'!D19*'Anexo 10'!$D$10</f>
        <v>0</v>
      </c>
      <c r="E19" s="33">
        <f>+'Anexo 20'!E19*'Anexo 10'!$D$10</f>
        <v>0</v>
      </c>
      <c r="F19" s="33">
        <f>+'Anexo 20'!F19*'Anexo 10'!$D$10</f>
        <v>0</v>
      </c>
      <c r="G19" s="33">
        <f>+'Anexo 20'!G19*'Anexo 10'!$D$10</f>
        <v>0</v>
      </c>
      <c r="H19" s="33">
        <f>+'Anexo 20'!H19*'Anexo 10'!$D$10</f>
        <v>0</v>
      </c>
      <c r="I19" s="33">
        <f>+'Anexo 20'!I19*'Anexo 10'!$D$10</f>
        <v>0</v>
      </c>
      <c r="J19" s="33">
        <f>+'Anexo 20'!J19*'Anexo 10'!$D$10</f>
        <v>0</v>
      </c>
      <c r="K19" s="33">
        <f>+'Anexo 20'!K19*'Anexo 10'!$D$10</f>
        <v>0</v>
      </c>
      <c r="L19" s="33">
        <f>+'Anexo 20'!L19*'Anexo 10'!$D$10</f>
        <v>0</v>
      </c>
      <c r="M19" s="33">
        <f>+'Anexo 20'!M19*'Anexo 10'!$D$10</f>
        <v>0</v>
      </c>
      <c r="N19" s="33">
        <f>+'Anexo 20'!N19*'Anexo 10'!$D$10</f>
        <v>0</v>
      </c>
      <c r="O19" s="33">
        <f>+'Anexo 20'!O19*'Anexo 10'!$D$10</f>
        <v>0</v>
      </c>
      <c r="P19" s="33">
        <f>+'Anexo 20'!P19*'Anexo 10'!$D$10</f>
        <v>0</v>
      </c>
      <c r="Q19" s="33">
        <f>+'Anexo 20'!Q19*'Anexo 10'!$D$10</f>
        <v>0</v>
      </c>
      <c r="R19" s="33">
        <f>+'Anexo 20'!R19*'Anexo 10'!$D$10</f>
        <v>0</v>
      </c>
      <c r="S19" s="33">
        <f>+'Anexo 20'!S19*'Anexo 10'!$D$10</f>
        <v>0</v>
      </c>
      <c r="T19" s="33">
        <f>+'Anexo 20'!T19*'Anexo 10'!$D$10</f>
        <v>0</v>
      </c>
      <c r="U19" s="33">
        <f>+'Anexo 20'!U19*'Anexo 10'!$D$10</f>
        <v>0</v>
      </c>
      <c r="V19" s="33">
        <f>+'Anexo 20'!V19*'Anexo 10'!$D$10</f>
        <v>0</v>
      </c>
      <c r="W19" s="33">
        <f>+'Anexo 20'!W19*'Anexo 10'!$D$10</f>
        <v>0</v>
      </c>
      <c r="X19" s="33">
        <f>+'Anexo 20'!X19*'Anexo 10'!$D$10</f>
        <v>0</v>
      </c>
      <c r="Y19" s="33">
        <f>+'Anexo 20'!Y19*'Anexo 10'!$D$10</f>
        <v>0</v>
      </c>
      <c r="Z19" s="33">
        <f>+'Anexo 20'!Z19*'Anexo 10'!$D$10</f>
        <v>0</v>
      </c>
      <c r="AA19" s="38">
        <f t="shared" si="0"/>
        <v>0</v>
      </c>
      <c r="AB19" s="21">
        <v>4</v>
      </c>
      <c r="AC19" s="95"/>
      <c r="AD19" s="47"/>
    </row>
    <row r="20" spans="1:30" ht="15.75" thickBot="1" x14ac:dyDescent="0.3">
      <c r="A20" s="93"/>
      <c r="B20" s="22" t="s">
        <v>3</v>
      </c>
      <c r="C20" s="33">
        <f>+'Anexo 20'!C20*'Anexo 10'!$D$10</f>
        <v>0</v>
      </c>
      <c r="D20" s="33">
        <f>+'Anexo 20'!D20*'Anexo 10'!$D$10</f>
        <v>0</v>
      </c>
      <c r="E20" s="33">
        <f>+'Anexo 20'!E20*'Anexo 10'!$D$10</f>
        <v>0</v>
      </c>
      <c r="F20" s="33">
        <f>+'Anexo 20'!F20*'Anexo 10'!$D$10</f>
        <v>0</v>
      </c>
      <c r="G20" s="33">
        <f>+'Anexo 20'!G20*'Anexo 10'!$D$10</f>
        <v>0</v>
      </c>
      <c r="H20" s="33">
        <f>+'Anexo 20'!H20*'Anexo 10'!$D$10</f>
        <v>0</v>
      </c>
      <c r="I20" s="33">
        <f>+'Anexo 20'!I20*'Anexo 10'!$D$10</f>
        <v>0</v>
      </c>
      <c r="J20" s="33">
        <f>+'Anexo 20'!J20*'Anexo 10'!$D$10</f>
        <v>0</v>
      </c>
      <c r="K20" s="33">
        <f>+'Anexo 20'!K20*'Anexo 10'!$D$10</f>
        <v>0</v>
      </c>
      <c r="L20" s="33">
        <f>+'Anexo 20'!L20*'Anexo 10'!$D$10</f>
        <v>0</v>
      </c>
      <c r="M20" s="33">
        <f>+'Anexo 20'!M20*'Anexo 10'!$D$10</f>
        <v>0</v>
      </c>
      <c r="N20" s="33">
        <f>+'Anexo 20'!N20*'Anexo 10'!$D$10</f>
        <v>0</v>
      </c>
      <c r="O20" s="33">
        <f>+'Anexo 20'!O20*'Anexo 10'!$D$10</f>
        <v>0</v>
      </c>
      <c r="P20" s="33">
        <f>+'Anexo 20'!P20*'Anexo 10'!$D$10</f>
        <v>0</v>
      </c>
      <c r="Q20" s="33">
        <f>+'Anexo 20'!Q20*'Anexo 10'!$D$10</f>
        <v>0</v>
      </c>
      <c r="R20" s="33">
        <f>+'Anexo 20'!R20*'Anexo 10'!$D$10</f>
        <v>0</v>
      </c>
      <c r="S20" s="33">
        <f>+'Anexo 20'!S20*'Anexo 10'!$D$10</f>
        <v>0</v>
      </c>
      <c r="T20" s="33">
        <f>+'Anexo 20'!T20*'Anexo 10'!$D$10</f>
        <v>0</v>
      </c>
      <c r="U20" s="33">
        <f>+'Anexo 20'!U20*'Anexo 10'!$D$10</f>
        <v>0</v>
      </c>
      <c r="V20" s="33">
        <f>+'Anexo 20'!V20*'Anexo 10'!$D$10</f>
        <v>0</v>
      </c>
      <c r="W20" s="33">
        <f>+'Anexo 20'!W20*'Anexo 10'!$D$10</f>
        <v>0</v>
      </c>
      <c r="X20" s="33">
        <f>+'Anexo 20'!X20*'Anexo 10'!$D$10</f>
        <v>0</v>
      </c>
      <c r="Y20" s="33">
        <f>+'Anexo 20'!Y20*'Anexo 10'!$D$10</f>
        <v>0</v>
      </c>
      <c r="Z20" s="33">
        <f>+'Anexo 20'!Z20*'Anexo 10'!$D$10</f>
        <v>0</v>
      </c>
      <c r="AA20" s="41">
        <f t="shared" si="0"/>
        <v>0</v>
      </c>
      <c r="AB20" s="23">
        <v>7</v>
      </c>
      <c r="AC20" s="96"/>
      <c r="AD20" s="48"/>
    </row>
    <row r="21" spans="1:30" ht="15.75" thickBot="1" x14ac:dyDescent="0.3">
      <c r="A21" s="93">
        <v>49461</v>
      </c>
      <c r="B21" s="18" t="s">
        <v>5</v>
      </c>
      <c r="C21" s="33">
        <f>+'Anexo 20'!C21*'Anexo 10'!$D$10</f>
        <v>0</v>
      </c>
      <c r="D21" s="33">
        <f>+'Anexo 20'!D21*'Anexo 10'!$D$10</f>
        <v>0</v>
      </c>
      <c r="E21" s="33">
        <f>+'Anexo 20'!E21*'Anexo 10'!$D$10</f>
        <v>0</v>
      </c>
      <c r="F21" s="33">
        <f>+'Anexo 20'!F21*'Anexo 10'!$D$10</f>
        <v>0</v>
      </c>
      <c r="G21" s="33">
        <f>+'Anexo 20'!G21*'Anexo 10'!$D$10</f>
        <v>0</v>
      </c>
      <c r="H21" s="33">
        <f>+'Anexo 20'!H21*'Anexo 10'!$D$10</f>
        <v>0</v>
      </c>
      <c r="I21" s="33">
        <f>+'Anexo 20'!I21*'Anexo 10'!$D$10</f>
        <v>0</v>
      </c>
      <c r="J21" s="33">
        <f>+'Anexo 20'!J21*'Anexo 10'!$D$10</f>
        <v>0</v>
      </c>
      <c r="K21" s="33">
        <f>+'Anexo 20'!K21*'Anexo 10'!$D$10</f>
        <v>0</v>
      </c>
      <c r="L21" s="33">
        <f>+'Anexo 20'!L21*'Anexo 10'!$D$10</f>
        <v>0</v>
      </c>
      <c r="M21" s="33">
        <f>+'Anexo 20'!M21*'Anexo 10'!$D$10</f>
        <v>0</v>
      </c>
      <c r="N21" s="33">
        <f>+'Anexo 20'!N21*'Anexo 10'!$D$10</f>
        <v>0</v>
      </c>
      <c r="O21" s="33">
        <f>+'Anexo 20'!O21*'Anexo 10'!$D$10</f>
        <v>0</v>
      </c>
      <c r="P21" s="33">
        <f>+'Anexo 20'!P21*'Anexo 10'!$D$10</f>
        <v>0</v>
      </c>
      <c r="Q21" s="33">
        <f>+'Anexo 20'!Q21*'Anexo 10'!$D$10</f>
        <v>0</v>
      </c>
      <c r="R21" s="33">
        <f>+'Anexo 20'!R21*'Anexo 10'!$D$10</f>
        <v>0</v>
      </c>
      <c r="S21" s="33">
        <f>+'Anexo 20'!S21*'Anexo 10'!$D$10</f>
        <v>0</v>
      </c>
      <c r="T21" s="33">
        <f>+'Anexo 20'!T21*'Anexo 10'!$D$10</f>
        <v>0</v>
      </c>
      <c r="U21" s="33">
        <f>+'Anexo 20'!U21*'Anexo 10'!$D$10</f>
        <v>0</v>
      </c>
      <c r="V21" s="33">
        <f>+'Anexo 20'!V21*'Anexo 10'!$D$10</f>
        <v>0</v>
      </c>
      <c r="W21" s="33">
        <f>+'Anexo 20'!W21*'Anexo 10'!$D$10</f>
        <v>0</v>
      </c>
      <c r="X21" s="33">
        <f>+'Anexo 20'!X21*'Anexo 10'!$D$10</f>
        <v>0</v>
      </c>
      <c r="Y21" s="33">
        <f>+'Anexo 20'!Y21*'Anexo 10'!$D$10</f>
        <v>0</v>
      </c>
      <c r="Z21" s="33">
        <f>+'Anexo 20'!Z21*'Anexo 10'!$D$10</f>
        <v>0</v>
      </c>
      <c r="AA21" s="35">
        <f t="shared" si="0"/>
        <v>0</v>
      </c>
      <c r="AB21" s="19">
        <v>20</v>
      </c>
      <c r="AC21" s="94">
        <f>+AA21*AB21+AA22*AB22+AA23*AB23</f>
        <v>0</v>
      </c>
    </row>
    <row r="22" spans="1:30" ht="15.75" thickBot="1" x14ac:dyDescent="0.3">
      <c r="A22" s="93"/>
      <c r="B22" s="20" t="s">
        <v>4</v>
      </c>
      <c r="C22" s="33">
        <f>+'Anexo 20'!C22*'Anexo 10'!$D$10</f>
        <v>0</v>
      </c>
      <c r="D22" s="33">
        <f>+'Anexo 20'!D22*'Anexo 10'!$D$10</f>
        <v>0</v>
      </c>
      <c r="E22" s="33">
        <f>+'Anexo 20'!E22*'Anexo 10'!$D$10</f>
        <v>0</v>
      </c>
      <c r="F22" s="33">
        <f>+'Anexo 20'!F22*'Anexo 10'!$D$10</f>
        <v>0</v>
      </c>
      <c r="G22" s="33">
        <f>+'Anexo 20'!G22*'Anexo 10'!$D$10</f>
        <v>0</v>
      </c>
      <c r="H22" s="33">
        <f>+'Anexo 20'!H22*'Anexo 10'!$D$10</f>
        <v>0</v>
      </c>
      <c r="I22" s="33">
        <f>+'Anexo 20'!I22*'Anexo 10'!$D$10</f>
        <v>0</v>
      </c>
      <c r="J22" s="33">
        <f>+'Anexo 20'!J22*'Anexo 10'!$D$10</f>
        <v>0</v>
      </c>
      <c r="K22" s="33">
        <f>+'Anexo 20'!K22*'Anexo 10'!$D$10</f>
        <v>0</v>
      </c>
      <c r="L22" s="33">
        <f>+'Anexo 20'!L22*'Anexo 10'!$D$10</f>
        <v>0</v>
      </c>
      <c r="M22" s="33">
        <f>+'Anexo 20'!M22*'Anexo 10'!$D$10</f>
        <v>0</v>
      </c>
      <c r="N22" s="33">
        <f>+'Anexo 20'!N22*'Anexo 10'!$D$10</f>
        <v>0</v>
      </c>
      <c r="O22" s="33">
        <f>+'Anexo 20'!O22*'Anexo 10'!$D$10</f>
        <v>0</v>
      </c>
      <c r="P22" s="33">
        <f>+'Anexo 20'!P22*'Anexo 10'!$D$10</f>
        <v>0</v>
      </c>
      <c r="Q22" s="33">
        <f>+'Anexo 20'!Q22*'Anexo 10'!$D$10</f>
        <v>0</v>
      </c>
      <c r="R22" s="33">
        <f>+'Anexo 20'!R22*'Anexo 10'!$D$10</f>
        <v>0</v>
      </c>
      <c r="S22" s="33">
        <f>+'Anexo 20'!S22*'Anexo 10'!$D$10</f>
        <v>0</v>
      </c>
      <c r="T22" s="33">
        <f>+'Anexo 20'!T22*'Anexo 10'!$D$10</f>
        <v>0</v>
      </c>
      <c r="U22" s="33">
        <f>+'Anexo 20'!U22*'Anexo 10'!$D$10</f>
        <v>0</v>
      </c>
      <c r="V22" s="33">
        <f>+'Anexo 20'!V22*'Anexo 10'!$D$10</f>
        <v>0</v>
      </c>
      <c r="W22" s="33">
        <f>+'Anexo 20'!W22*'Anexo 10'!$D$10</f>
        <v>0</v>
      </c>
      <c r="X22" s="33">
        <f>+'Anexo 20'!X22*'Anexo 10'!$D$10</f>
        <v>0</v>
      </c>
      <c r="Y22" s="33">
        <f>+'Anexo 20'!Y22*'Anexo 10'!$D$10</f>
        <v>0</v>
      </c>
      <c r="Z22" s="33">
        <f>+'Anexo 20'!Z22*'Anexo 10'!$D$10</f>
        <v>0</v>
      </c>
      <c r="AA22" s="38">
        <f t="shared" si="0"/>
        <v>0</v>
      </c>
      <c r="AB22" s="21">
        <v>5</v>
      </c>
      <c r="AC22" s="95"/>
      <c r="AD22" s="47"/>
    </row>
    <row r="23" spans="1:30" ht="15.75" thickBot="1" x14ac:dyDescent="0.3">
      <c r="A23" s="93"/>
      <c r="B23" s="22" t="s">
        <v>3</v>
      </c>
      <c r="C23" s="33">
        <f>+'Anexo 20'!C23*'Anexo 10'!$D$10</f>
        <v>0</v>
      </c>
      <c r="D23" s="33">
        <f>+'Anexo 20'!D23*'Anexo 10'!$D$10</f>
        <v>0</v>
      </c>
      <c r="E23" s="33">
        <f>+'Anexo 20'!E23*'Anexo 10'!$D$10</f>
        <v>0</v>
      </c>
      <c r="F23" s="33">
        <f>+'Anexo 20'!F23*'Anexo 10'!$D$10</f>
        <v>0</v>
      </c>
      <c r="G23" s="33">
        <f>+'Anexo 20'!G23*'Anexo 10'!$D$10</f>
        <v>0</v>
      </c>
      <c r="H23" s="33">
        <f>+'Anexo 20'!H23*'Anexo 10'!$D$10</f>
        <v>0</v>
      </c>
      <c r="I23" s="33">
        <f>+'Anexo 20'!I23*'Anexo 10'!$D$10</f>
        <v>0</v>
      </c>
      <c r="J23" s="33">
        <f>+'Anexo 20'!J23*'Anexo 10'!$D$10</f>
        <v>0</v>
      </c>
      <c r="K23" s="33">
        <f>+'Anexo 20'!K23*'Anexo 10'!$D$10</f>
        <v>0</v>
      </c>
      <c r="L23" s="33">
        <f>+'Anexo 20'!L23*'Anexo 10'!$D$10</f>
        <v>0</v>
      </c>
      <c r="M23" s="33">
        <f>+'Anexo 20'!M23*'Anexo 10'!$D$10</f>
        <v>0</v>
      </c>
      <c r="N23" s="33">
        <f>+'Anexo 20'!N23*'Anexo 10'!$D$10</f>
        <v>0</v>
      </c>
      <c r="O23" s="33">
        <f>+'Anexo 20'!O23*'Anexo 10'!$D$10</f>
        <v>0</v>
      </c>
      <c r="P23" s="33">
        <f>+'Anexo 20'!P23*'Anexo 10'!$D$10</f>
        <v>0</v>
      </c>
      <c r="Q23" s="33">
        <f>+'Anexo 20'!Q23*'Anexo 10'!$D$10</f>
        <v>0</v>
      </c>
      <c r="R23" s="33">
        <f>+'Anexo 20'!R23*'Anexo 10'!$D$10</f>
        <v>0</v>
      </c>
      <c r="S23" s="33">
        <f>+'Anexo 20'!S23*'Anexo 10'!$D$10</f>
        <v>0</v>
      </c>
      <c r="T23" s="33">
        <f>+'Anexo 20'!T23*'Anexo 10'!$D$10</f>
        <v>0</v>
      </c>
      <c r="U23" s="33">
        <f>+'Anexo 20'!U23*'Anexo 10'!$D$10</f>
        <v>0</v>
      </c>
      <c r="V23" s="33">
        <f>+'Anexo 20'!V23*'Anexo 10'!$D$10</f>
        <v>0</v>
      </c>
      <c r="W23" s="33">
        <f>+'Anexo 20'!W23*'Anexo 10'!$D$10</f>
        <v>0</v>
      </c>
      <c r="X23" s="33">
        <f>+'Anexo 20'!X23*'Anexo 10'!$D$10</f>
        <v>0</v>
      </c>
      <c r="Y23" s="33">
        <f>+'Anexo 20'!Y23*'Anexo 10'!$D$10</f>
        <v>0</v>
      </c>
      <c r="Z23" s="33">
        <f>+'Anexo 20'!Z23*'Anexo 10'!$D$10</f>
        <v>0</v>
      </c>
      <c r="AA23" s="41">
        <f t="shared" si="0"/>
        <v>0</v>
      </c>
      <c r="AB23" s="23">
        <v>5</v>
      </c>
      <c r="AC23" s="96"/>
      <c r="AD23" s="48"/>
    </row>
    <row r="24" spans="1:30" ht="15.75" thickBot="1" x14ac:dyDescent="0.3">
      <c r="A24" s="93">
        <v>49491</v>
      </c>
      <c r="B24" s="18" t="s">
        <v>5</v>
      </c>
      <c r="C24" s="33">
        <f>+'Anexo 20'!C24*'Anexo 10'!$D$10</f>
        <v>0</v>
      </c>
      <c r="D24" s="33">
        <f>+'Anexo 20'!D24*'Anexo 10'!$D$10</f>
        <v>0</v>
      </c>
      <c r="E24" s="33">
        <f>+'Anexo 20'!E24*'Anexo 10'!$D$10</f>
        <v>0</v>
      </c>
      <c r="F24" s="33">
        <f>+'Anexo 20'!F24*'Anexo 10'!$D$10</f>
        <v>0</v>
      </c>
      <c r="G24" s="33">
        <f>+'Anexo 20'!G24*'Anexo 10'!$D$10</f>
        <v>0</v>
      </c>
      <c r="H24" s="33">
        <f>+'Anexo 20'!H24*'Anexo 10'!$D$10</f>
        <v>0</v>
      </c>
      <c r="I24" s="33">
        <f>+'Anexo 20'!I24*'Anexo 10'!$D$10</f>
        <v>0</v>
      </c>
      <c r="J24" s="33">
        <f>+'Anexo 20'!J24*'Anexo 10'!$D$10</f>
        <v>0</v>
      </c>
      <c r="K24" s="33">
        <f>+'Anexo 20'!K24*'Anexo 10'!$D$10</f>
        <v>0</v>
      </c>
      <c r="L24" s="33">
        <f>+'Anexo 20'!L24*'Anexo 10'!$D$10</f>
        <v>0</v>
      </c>
      <c r="M24" s="33">
        <f>+'Anexo 20'!M24*'Anexo 10'!$D$10</f>
        <v>0</v>
      </c>
      <c r="N24" s="33">
        <f>+'Anexo 20'!N24*'Anexo 10'!$D$10</f>
        <v>0</v>
      </c>
      <c r="O24" s="33">
        <f>+'Anexo 20'!O24*'Anexo 10'!$D$10</f>
        <v>0</v>
      </c>
      <c r="P24" s="33">
        <f>+'Anexo 20'!P24*'Anexo 10'!$D$10</f>
        <v>0</v>
      </c>
      <c r="Q24" s="33">
        <f>+'Anexo 20'!Q24*'Anexo 10'!$D$10</f>
        <v>0</v>
      </c>
      <c r="R24" s="33">
        <f>+'Anexo 20'!R24*'Anexo 10'!$D$10</f>
        <v>0</v>
      </c>
      <c r="S24" s="33">
        <f>+'Anexo 20'!S24*'Anexo 10'!$D$10</f>
        <v>0</v>
      </c>
      <c r="T24" s="33">
        <f>+'Anexo 20'!T24*'Anexo 10'!$D$10</f>
        <v>0</v>
      </c>
      <c r="U24" s="33">
        <f>+'Anexo 20'!U24*'Anexo 10'!$D$10</f>
        <v>0</v>
      </c>
      <c r="V24" s="33">
        <f>+'Anexo 20'!V24*'Anexo 10'!$D$10</f>
        <v>0</v>
      </c>
      <c r="W24" s="33">
        <f>+'Anexo 20'!W24*'Anexo 10'!$D$10</f>
        <v>0</v>
      </c>
      <c r="X24" s="33">
        <f>+'Anexo 20'!X24*'Anexo 10'!$D$10</f>
        <v>0</v>
      </c>
      <c r="Y24" s="33">
        <f>+'Anexo 20'!Y24*'Anexo 10'!$D$10</f>
        <v>0</v>
      </c>
      <c r="Z24" s="33">
        <f>+'Anexo 20'!Z24*'Anexo 10'!$D$10</f>
        <v>0</v>
      </c>
      <c r="AA24" s="35">
        <f t="shared" si="0"/>
        <v>0</v>
      </c>
      <c r="AB24" s="19">
        <v>20</v>
      </c>
      <c r="AC24" s="94">
        <f>+AA24*AB24+AA25*AB25+AA26*AB26</f>
        <v>0</v>
      </c>
    </row>
    <row r="25" spans="1:30" ht="15.75" thickBot="1" x14ac:dyDescent="0.3">
      <c r="A25" s="93"/>
      <c r="B25" s="20" t="s">
        <v>4</v>
      </c>
      <c r="C25" s="33">
        <f>+'Anexo 20'!C25*'Anexo 10'!$D$10</f>
        <v>0</v>
      </c>
      <c r="D25" s="33">
        <f>+'Anexo 20'!D25*'Anexo 10'!$D$10</f>
        <v>0</v>
      </c>
      <c r="E25" s="33">
        <f>+'Anexo 20'!E25*'Anexo 10'!$D$10</f>
        <v>0</v>
      </c>
      <c r="F25" s="33">
        <f>+'Anexo 20'!F25*'Anexo 10'!$D$10</f>
        <v>0</v>
      </c>
      <c r="G25" s="33">
        <f>+'Anexo 20'!G25*'Anexo 10'!$D$10</f>
        <v>0</v>
      </c>
      <c r="H25" s="33">
        <f>+'Anexo 20'!H25*'Anexo 10'!$D$10</f>
        <v>0</v>
      </c>
      <c r="I25" s="33">
        <f>+'Anexo 20'!I25*'Anexo 10'!$D$10</f>
        <v>0</v>
      </c>
      <c r="J25" s="33">
        <f>+'Anexo 20'!J25*'Anexo 10'!$D$10</f>
        <v>0</v>
      </c>
      <c r="K25" s="33">
        <f>+'Anexo 20'!K25*'Anexo 10'!$D$10</f>
        <v>0</v>
      </c>
      <c r="L25" s="33">
        <f>+'Anexo 20'!L25*'Anexo 10'!$D$10</f>
        <v>0</v>
      </c>
      <c r="M25" s="33">
        <f>+'Anexo 20'!M25*'Anexo 10'!$D$10</f>
        <v>0</v>
      </c>
      <c r="N25" s="33">
        <f>+'Anexo 20'!N25*'Anexo 10'!$D$10</f>
        <v>0</v>
      </c>
      <c r="O25" s="33">
        <f>+'Anexo 20'!O25*'Anexo 10'!$D$10</f>
        <v>0</v>
      </c>
      <c r="P25" s="33">
        <f>+'Anexo 20'!P25*'Anexo 10'!$D$10</f>
        <v>0</v>
      </c>
      <c r="Q25" s="33">
        <f>+'Anexo 20'!Q25*'Anexo 10'!$D$10</f>
        <v>0</v>
      </c>
      <c r="R25" s="33">
        <f>+'Anexo 20'!R25*'Anexo 10'!$D$10</f>
        <v>0</v>
      </c>
      <c r="S25" s="33">
        <f>+'Anexo 20'!S25*'Anexo 10'!$D$10</f>
        <v>0</v>
      </c>
      <c r="T25" s="33">
        <f>+'Anexo 20'!T25*'Anexo 10'!$D$10</f>
        <v>0</v>
      </c>
      <c r="U25" s="33">
        <f>+'Anexo 20'!U25*'Anexo 10'!$D$10</f>
        <v>0</v>
      </c>
      <c r="V25" s="33">
        <f>+'Anexo 20'!V25*'Anexo 10'!$D$10</f>
        <v>0</v>
      </c>
      <c r="W25" s="33">
        <f>+'Anexo 20'!W25*'Anexo 10'!$D$10</f>
        <v>0</v>
      </c>
      <c r="X25" s="33">
        <f>+'Anexo 20'!X25*'Anexo 10'!$D$10</f>
        <v>0</v>
      </c>
      <c r="Y25" s="33">
        <f>+'Anexo 20'!Y25*'Anexo 10'!$D$10</f>
        <v>0</v>
      </c>
      <c r="Z25" s="33">
        <f>+'Anexo 20'!Z25*'Anexo 10'!$D$10</f>
        <v>0</v>
      </c>
      <c r="AA25" s="38">
        <f t="shared" si="0"/>
        <v>0</v>
      </c>
      <c r="AB25" s="21">
        <v>4</v>
      </c>
      <c r="AC25" s="95"/>
      <c r="AD25" s="47"/>
    </row>
    <row r="26" spans="1:30" ht="15.75" thickBot="1" x14ac:dyDescent="0.3">
      <c r="A26" s="93"/>
      <c r="B26" s="22" t="s">
        <v>3</v>
      </c>
      <c r="C26" s="33">
        <f>+'Anexo 20'!C26*'Anexo 10'!$D$10</f>
        <v>0</v>
      </c>
      <c r="D26" s="33">
        <f>+'Anexo 20'!D26*'Anexo 10'!$D$10</f>
        <v>0</v>
      </c>
      <c r="E26" s="33">
        <f>+'Anexo 20'!E26*'Anexo 10'!$D$10</f>
        <v>0</v>
      </c>
      <c r="F26" s="33">
        <f>+'Anexo 20'!F26*'Anexo 10'!$D$10</f>
        <v>0</v>
      </c>
      <c r="G26" s="33">
        <f>+'Anexo 20'!G26*'Anexo 10'!$D$10</f>
        <v>0</v>
      </c>
      <c r="H26" s="33">
        <f>+'Anexo 20'!H26*'Anexo 10'!$D$10</f>
        <v>0</v>
      </c>
      <c r="I26" s="33">
        <f>+'Anexo 20'!I26*'Anexo 10'!$D$10</f>
        <v>0</v>
      </c>
      <c r="J26" s="33">
        <f>+'Anexo 20'!J26*'Anexo 10'!$D$10</f>
        <v>0</v>
      </c>
      <c r="K26" s="33">
        <f>+'Anexo 20'!K26*'Anexo 10'!$D$10</f>
        <v>0</v>
      </c>
      <c r="L26" s="33">
        <f>+'Anexo 20'!L26*'Anexo 10'!$D$10</f>
        <v>0</v>
      </c>
      <c r="M26" s="33">
        <f>+'Anexo 20'!M26*'Anexo 10'!$D$10</f>
        <v>0</v>
      </c>
      <c r="N26" s="33">
        <f>+'Anexo 20'!N26*'Anexo 10'!$D$10</f>
        <v>0</v>
      </c>
      <c r="O26" s="33">
        <f>+'Anexo 20'!O26*'Anexo 10'!$D$10</f>
        <v>0</v>
      </c>
      <c r="P26" s="33">
        <f>+'Anexo 20'!P26*'Anexo 10'!$D$10</f>
        <v>0</v>
      </c>
      <c r="Q26" s="33">
        <f>+'Anexo 20'!Q26*'Anexo 10'!$D$10</f>
        <v>0</v>
      </c>
      <c r="R26" s="33">
        <f>+'Anexo 20'!R26*'Anexo 10'!$D$10</f>
        <v>0</v>
      </c>
      <c r="S26" s="33">
        <f>+'Anexo 20'!S26*'Anexo 10'!$D$10</f>
        <v>0</v>
      </c>
      <c r="T26" s="33">
        <f>+'Anexo 20'!T26*'Anexo 10'!$D$10</f>
        <v>0</v>
      </c>
      <c r="U26" s="33">
        <f>+'Anexo 20'!U26*'Anexo 10'!$D$10</f>
        <v>0</v>
      </c>
      <c r="V26" s="33">
        <f>+'Anexo 20'!V26*'Anexo 10'!$D$10</f>
        <v>0</v>
      </c>
      <c r="W26" s="33">
        <f>+'Anexo 20'!W26*'Anexo 10'!$D$10</f>
        <v>0</v>
      </c>
      <c r="X26" s="33">
        <f>+'Anexo 20'!X26*'Anexo 10'!$D$10</f>
        <v>0</v>
      </c>
      <c r="Y26" s="33">
        <f>+'Anexo 20'!Y26*'Anexo 10'!$D$10</f>
        <v>0</v>
      </c>
      <c r="Z26" s="33">
        <f>+'Anexo 20'!Z26*'Anexo 10'!$D$10</f>
        <v>0</v>
      </c>
      <c r="AA26" s="41">
        <f t="shared" si="0"/>
        <v>0</v>
      </c>
      <c r="AB26" s="23">
        <v>7</v>
      </c>
      <c r="AC26" s="96"/>
      <c r="AD26" s="48"/>
    </row>
    <row r="27" spans="1:30" ht="15.75" thickBot="1" x14ac:dyDescent="0.3">
      <c r="A27" s="93">
        <v>49522</v>
      </c>
      <c r="B27" s="18" t="s">
        <v>5</v>
      </c>
      <c r="C27" s="33">
        <f>+'Anexo 20'!C27*'Anexo 10'!$D$10</f>
        <v>0</v>
      </c>
      <c r="D27" s="33">
        <f>+'Anexo 20'!D27*'Anexo 10'!$D$10</f>
        <v>0</v>
      </c>
      <c r="E27" s="33">
        <f>+'Anexo 20'!E27*'Anexo 10'!$D$10</f>
        <v>0</v>
      </c>
      <c r="F27" s="33">
        <f>+'Anexo 20'!F27*'Anexo 10'!$D$10</f>
        <v>0</v>
      </c>
      <c r="G27" s="33">
        <f>+'Anexo 20'!G27*'Anexo 10'!$D$10</f>
        <v>0</v>
      </c>
      <c r="H27" s="33">
        <f>+'Anexo 20'!H27*'Anexo 10'!$D$10</f>
        <v>0</v>
      </c>
      <c r="I27" s="33">
        <f>+'Anexo 20'!I27*'Anexo 10'!$D$10</f>
        <v>0</v>
      </c>
      <c r="J27" s="33">
        <f>+'Anexo 20'!J27*'Anexo 10'!$D$10</f>
        <v>0</v>
      </c>
      <c r="K27" s="33">
        <f>+'Anexo 20'!K27*'Anexo 10'!$D$10</f>
        <v>0</v>
      </c>
      <c r="L27" s="33">
        <f>+'Anexo 20'!L27*'Anexo 10'!$D$10</f>
        <v>0</v>
      </c>
      <c r="M27" s="33">
        <f>+'Anexo 20'!M27*'Anexo 10'!$D$10</f>
        <v>0</v>
      </c>
      <c r="N27" s="33">
        <f>+'Anexo 20'!N27*'Anexo 10'!$D$10</f>
        <v>0</v>
      </c>
      <c r="O27" s="33">
        <f>+'Anexo 20'!O27*'Anexo 10'!$D$10</f>
        <v>0</v>
      </c>
      <c r="P27" s="33">
        <f>+'Anexo 20'!P27*'Anexo 10'!$D$10</f>
        <v>0</v>
      </c>
      <c r="Q27" s="33">
        <f>+'Anexo 20'!Q27*'Anexo 10'!$D$10</f>
        <v>0</v>
      </c>
      <c r="R27" s="33">
        <f>+'Anexo 20'!R27*'Anexo 10'!$D$10</f>
        <v>0</v>
      </c>
      <c r="S27" s="33">
        <f>+'Anexo 20'!S27*'Anexo 10'!$D$10</f>
        <v>0</v>
      </c>
      <c r="T27" s="33">
        <f>+'Anexo 20'!T27*'Anexo 10'!$D$10</f>
        <v>0</v>
      </c>
      <c r="U27" s="33">
        <f>+'Anexo 20'!U27*'Anexo 10'!$D$10</f>
        <v>0</v>
      </c>
      <c r="V27" s="33">
        <f>+'Anexo 20'!V27*'Anexo 10'!$D$10</f>
        <v>0</v>
      </c>
      <c r="W27" s="33">
        <f>+'Anexo 20'!W27*'Anexo 10'!$D$10</f>
        <v>0</v>
      </c>
      <c r="X27" s="33">
        <f>+'Anexo 20'!X27*'Anexo 10'!$D$10</f>
        <v>0</v>
      </c>
      <c r="Y27" s="33">
        <f>+'Anexo 20'!Y27*'Anexo 10'!$D$10</f>
        <v>0</v>
      </c>
      <c r="Z27" s="33">
        <f>+'Anexo 20'!Z27*'Anexo 10'!$D$10</f>
        <v>0</v>
      </c>
      <c r="AA27" s="35">
        <f t="shared" si="0"/>
        <v>0</v>
      </c>
      <c r="AB27" s="19">
        <v>21</v>
      </c>
      <c r="AC27" s="94">
        <f>+AA27*AB27+AA28*AB28+AA29*AB29</f>
        <v>0</v>
      </c>
    </row>
    <row r="28" spans="1:30" ht="15.75" thickBot="1" x14ac:dyDescent="0.3">
      <c r="A28" s="93"/>
      <c r="B28" s="20" t="s">
        <v>4</v>
      </c>
      <c r="C28" s="33">
        <f>+'Anexo 20'!C28*'Anexo 10'!$D$10</f>
        <v>0</v>
      </c>
      <c r="D28" s="33">
        <f>+'Anexo 20'!D28*'Anexo 10'!$D$10</f>
        <v>0</v>
      </c>
      <c r="E28" s="33">
        <f>+'Anexo 20'!E28*'Anexo 10'!$D$10</f>
        <v>0</v>
      </c>
      <c r="F28" s="33">
        <f>+'Anexo 20'!F28*'Anexo 10'!$D$10</f>
        <v>0</v>
      </c>
      <c r="G28" s="33">
        <f>+'Anexo 20'!G28*'Anexo 10'!$D$10</f>
        <v>0</v>
      </c>
      <c r="H28" s="33">
        <f>+'Anexo 20'!H28*'Anexo 10'!$D$10</f>
        <v>0</v>
      </c>
      <c r="I28" s="33">
        <f>+'Anexo 20'!I28*'Anexo 10'!$D$10</f>
        <v>0</v>
      </c>
      <c r="J28" s="33">
        <f>+'Anexo 20'!J28*'Anexo 10'!$D$10</f>
        <v>0</v>
      </c>
      <c r="K28" s="33">
        <f>+'Anexo 20'!K28*'Anexo 10'!$D$10</f>
        <v>0</v>
      </c>
      <c r="L28" s="33">
        <f>+'Anexo 20'!L28*'Anexo 10'!$D$10</f>
        <v>0</v>
      </c>
      <c r="M28" s="33">
        <f>+'Anexo 20'!M28*'Anexo 10'!$D$10</f>
        <v>0</v>
      </c>
      <c r="N28" s="33">
        <f>+'Anexo 20'!N28*'Anexo 10'!$D$10</f>
        <v>0</v>
      </c>
      <c r="O28" s="33">
        <f>+'Anexo 20'!O28*'Anexo 10'!$D$10</f>
        <v>0</v>
      </c>
      <c r="P28" s="33">
        <f>+'Anexo 20'!P28*'Anexo 10'!$D$10</f>
        <v>0</v>
      </c>
      <c r="Q28" s="33">
        <f>+'Anexo 20'!Q28*'Anexo 10'!$D$10</f>
        <v>0</v>
      </c>
      <c r="R28" s="33">
        <f>+'Anexo 20'!R28*'Anexo 10'!$D$10</f>
        <v>0</v>
      </c>
      <c r="S28" s="33">
        <f>+'Anexo 20'!S28*'Anexo 10'!$D$10</f>
        <v>0</v>
      </c>
      <c r="T28" s="33">
        <f>+'Anexo 20'!T28*'Anexo 10'!$D$10</f>
        <v>0</v>
      </c>
      <c r="U28" s="33">
        <f>+'Anexo 20'!U28*'Anexo 10'!$D$10</f>
        <v>0</v>
      </c>
      <c r="V28" s="33">
        <f>+'Anexo 20'!V28*'Anexo 10'!$D$10</f>
        <v>0</v>
      </c>
      <c r="W28" s="33">
        <f>+'Anexo 20'!W28*'Anexo 10'!$D$10</f>
        <v>0</v>
      </c>
      <c r="X28" s="33">
        <f>+'Anexo 20'!X28*'Anexo 10'!$D$10</f>
        <v>0</v>
      </c>
      <c r="Y28" s="33">
        <f>+'Anexo 20'!Y28*'Anexo 10'!$D$10</f>
        <v>0</v>
      </c>
      <c r="Z28" s="33">
        <f>+'Anexo 20'!Z28*'Anexo 10'!$D$10</f>
        <v>0</v>
      </c>
      <c r="AA28" s="38">
        <f t="shared" si="0"/>
        <v>0</v>
      </c>
      <c r="AB28" s="21">
        <v>4</v>
      </c>
      <c r="AC28" s="95"/>
      <c r="AD28" s="47"/>
    </row>
    <row r="29" spans="1:30" ht="15.75" thickBot="1" x14ac:dyDescent="0.3">
      <c r="A29" s="93"/>
      <c r="B29" s="22" t="s">
        <v>3</v>
      </c>
      <c r="C29" s="33">
        <f>+'Anexo 20'!C29*'Anexo 10'!$D$10</f>
        <v>0</v>
      </c>
      <c r="D29" s="33">
        <f>+'Anexo 20'!D29*'Anexo 10'!$D$10</f>
        <v>0</v>
      </c>
      <c r="E29" s="33">
        <f>+'Anexo 20'!E29*'Anexo 10'!$D$10</f>
        <v>0</v>
      </c>
      <c r="F29" s="33">
        <f>+'Anexo 20'!F29*'Anexo 10'!$D$10</f>
        <v>0</v>
      </c>
      <c r="G29" s="33">
        <f>+'Anexo 20'!G29*'Anexo 10'!$D$10</f>
        <v>0</v>
      </c>
      <c r="H29" s="33">
        <f>+'Anexo 20'!H29*'Anexo 10'!$D$10</f>
        <v>0</v>
      </c>
      <c r="I29" s="33">
        <f>+'Anexo 20'!I29*'Anexo 10'!$D$10</f>
        <v>0</v>
      </c>
      <c r="J29" s="33">
        <f>+'Anexo 20'!J29*'Anexo 10'!$D$10</f>
        <v>0</v>
      </c>
      <c r="K29" s="33">
        <f>+'Anexo 20'!K29*'Anexo 10'!$D$10</f>
        <v>0</v>
      </c>
      <c r="L29" s="33">
        <f>+'Anexo 20'!L29*'Anexo 10'!$D$10</f>
        <v>0</v>
      </c>
      <c r="M29" s="33">
        <f>+'Anexo 20'!M29*'Anexo 10'!$D$10</f>
        <v>0</v>
      </c>
      <c r="N29" s="33">
        <f>+'Anexo 20'!N29*'Anexo 10'!$D$10</f>
        <v>0</v>
      </c>
      <c r="O29" s="33">
        <f>+'Anexo 20'!O29*'Anexo 10'!$D$10</f>
        <v>0</v>
      </c>
      <c r="P29" s="33">
        <f>+'Anexo 20'!P29*'Anexo 10'!$D$10</f>
        <v>0</v>
      </c>
      <c r="Q29" s="33">
        <f>+'Anexo 20'!Q29*'Anexo 10'!$D$10</f>
        <v>0</v>
      </c>
      <c r="R29" s="33">
        <f>+'Anexo 20'!R29*'Anexo 10'!$D$10</f>
        <v>0</v>
      </c>
      <c r="S29" s="33">
        <f>+'Anexo 20'!S29*'Anexo 10'!$D$10</f>
        <v>0</v>
      </c>
      <c r="T29" s="33">
        <f>+'Anexo 20'!T29*'Anexo 10'!$D$10</f>
        <v>0</v>
      </c>
      <c r="U29" s="33">
        <f>+'Anexo 20'!U29*'Anexo 10'!$D$10</f>
        <v>0</v>
      </c>
      <c r="V29" s="33">
        <f>+'Anexo 20'!V29*'Anexo 10'!$D$10</f>
        <v>0</v>
      </c>
      <c r="W29" s="33">
        <f>+'Anexo 20'!W29*'Anexo 10'!$D$10</f>
        <v>0</v>
      </c>
      <c r="X29" s="33">
        <f>+'Anexo 20'!X29*'Anexo 10'!$D$10</f>
        <v>0</v>
      </c>
      <c r="Y29" s="33">
        <f>+'Anexo 20'!Y29*'Anexo 10'!$D$10</f>
        <v>0</v>
      </c>
      <c r="Z29" s="33">
        <f>+'Anexo 20'!Z29*'Anexo 10'!$D$10</f>
        <v>0</v>
      </c>
      <c r="AA29" s="41">
        <f t="shared" si="0"/>
        <v>0</v>
      </c>
      <c r="AB29" s="23">
        <v>6</v>
      </c>
      <c r="AC29" s="96"/>
      <c r="AD29" s="49"/>
    </row>
    <row r="30" spans="1:30" ht="15.75" thickBot="1" x14ac:dyDescent="0.3">
      <c r="A30" s="93">
        <v>49553</v>
      </c>
      <c r="B30" s="18" t="s">
        <v>5</v>
      </c>
      <c r="C30" s="33">
        <f>+'Anexo 20'!C30*'Anexo 10'!$D$10</f>
        <v>0</v>
      </c>
      <c r="D30" s="33">
        <f>+'Anexo 20'!D30*'Anexo 10'!$D$10</f>
        <v>0</v>
      </c>
      <c r="E30" s="33">
        <f>+'Anexo 20'!E30*'Anexo 10'!$D$10</f>
        <v>0</v>
      </c>
      <c r="F30" s="33">
        <f>+'Anexo 20'!F30*'Anexo 10'!$D$10</f>
        <v>0</v>
      </c>
      <c r="G30" s="33">
        <f>+'Anexo 20'!G30*'Anexo 10'!$D$10</f>
        <v>0</v>
      </c>
      <c r="H30" s="33">
        <f>+'Anexo 20'!H30*'Anexo 10'!$D$10</f>
        <v>0</v>
      </c>
      <c r="I30" s="33">
        <f>+'Anexo 20'!I30*'Anexo 10'!$D$10</f>
        <v>0</v>
      </c>
      <c r="J30" s="33">
        <f>+'Anexo 20'!J30*'Anexo 10'!$D$10</f>
        <v>0</v>
      </c>
      <c r="K30" s="33">
        <f>+'Anexo 20'!K30*'Anexo 10'!$D$10</f>
        <v>0</v>
      </c>
      <c r="L30" s="33">
        <f>+'Anexo 20'!L30*'Anexo 10'!$D$10</f>
        <v>0</v>
      </c>
      <c r="M30" s="33">
        <f>+'Anexo 20'!M30*'Anexo 10'!$D$10</f>
        <v>0</v>
      </c>
      <c r="N30" s="33">
        <f>+'Anexo 20'!N30*'Anexo 10'!$D$10</f>
        <v>0</v>
      </c>
      <c r="O30" s="33">
        <f>+'Anexo 20'!O30*'Anexo 10'!$D$10</f>
        <v>0</v>
      </c>
      <c r="P30" s="33">
        <f>+'Anexo 20'!P30*'Anexo 10'!$D$10</f>
        <v>0</v>
      </c>
      <c r="Q30" s="33">
        <f>+'Anexo 20'!Q30*'Anexo 10'!$D$10</f>
        <v>0</v>
      </c>
      <c r="R30" s="33">
        <f>+'Anexo 20'!R30*'Anexo 10'!$D$10</f>
        <v>0</v>
      </c>
      <c r="S30" s="33">
        <f>+'Anexo 20'!S30*'Anexo 10'!$D$10</f>
        <v>0</v>
      </c>
      <c r="T30" s="33">
        <f>+'Anexo 20'!T30*'Anexo 10'!$D$10</f>
        <v>0</v>
      </c>
      <c r="U30" s="33">
        <f>+'Anexo 20'!U30*'Anexo 10'!$D$10</f>
        <v>0</v>
      </c>
      <c r="V30" s="33">
        <f>+'Anexo 20'!V30*'Anexo 10'!$D$10</f>
        <v>0</v>
      </c>
      <c r="W30" s="33">
        <f>+'Anexo 20'!W30*'Anexo 10'!$D$10</f>
        <v>0</v>
      </c>
      <c r="X30" s="33">
        <f>+'Anexo 20'!X30*'Anexo 10'!$D$10</f>
        <v>0</v>
      </c>
      <c r="Y30" s="33">
        <f>+'Anexo 20'!Y30*'Anexo 10'!$D$10</f>
        <v>0</v>
      </c>
      <c r="Z30" s="33">
        <f>+'Anexo 20'!Z30*'Anexo 10'!$D$10</f>
        <v>0</v>
      </c>
      <c r="AA30" s="35">
        <f t="shared" si="0"/>
        <v>0</v>
      </c>
      <c r="AB30" s="19">
        <v>20</v>
      </c>
      <c r="AC30" s="94">
        <f>+AA30*AB30+AA31*AB31+AA32*AB32</f>
        <v>0</v>
      </c>
    </row>
    <row r="31" spans="1:30" ht="15.75" thickBot="1" x14ac:dyDescent="0.3">
      <c r="A31" s="93"/>
      <c r="B31" s="20" t="s">
        <v>4</v>
      </c>
      <c r="C31" s="33">
        <f>+'Anexo 20'!C31*'Anexo 10'!$D$10</f>
        <v>0</v>
      </c>
      <c r="D31" s="33">
        <f>+'Anexo 20'!D31*'Anexo 10'!$D$10</f>
        <v>0</v>
      </c>
      <c r="E31" s="33">
        <f>+'Anexo 20'!E31*'Anexo 10'!$D$10</f>
        <v>0</v>
      </c>
      <c r="F31" s="33">
        <f>+'Anexo 20'!F31*'Anexo 10'!$D$10</f>
        <v>0</v>
      </c>
      <c r="G31" s="33">
        <f>+'Anexo 20'!G31*'Anexo 10'!$D$10</f>
        <v>0</v>
      </c>
      <c r="H31" s="33">
        <f>+'Anexo 20'!H31*'Anexo 10'!$D$10</f>
        <v>0</v>
      </c>
      <c r="I31" s="33">
        <f>+'Anexo 20'!I31*'Anexo 10'!$D$10</f>
        <v>0</v>
      </c>
      <c r="J31" s="33">
        <f>+'Anexo 20'!J31*'Anexo 10'!$D$10</f>
        <v>0</v>
      </c>
      <c r="K31" s="33">
        <f>+'Anexo 20'!K31*'Anexo 10'!$D$10</f>
        <v>0</v>
      </c>
      <c r="L31" s="33">
        <f>+'Anexo 20'!L31*'Anexo 10'!$D$10</f>
        <v>0</v>
      </c>
      <c r="M31" s="33">
        <f>+'Anexo 20'!M31*'Anexo 10'!$D$10</f>
        <v>0</v>
      </c>
      <c r="N31" s="33">
        <f>+'Anexo 20'!N31*'Anexo 10'!$D$10</f>
        <v>0</v>
      </c>
      <c r="O31" s="33">
        <f>+'Anexo 20'!O31*'Anexo 10'!$D$10</f>
        <v>0</v>
      </c>
      <c r="P31" s="33">
        <f>+'Anexo 20'!P31*'Anexo 10'!$D$10</f>
        <v>0</v>
      </c>
      <c r="Q31" s="33">
        <f>+'Anexo 20'!Q31*'Anexo 10'!$D$10</f>
        <v>0</v>
      </c>
      <c r="R31" s="33">
        <f>+'Anexo 20'!R31*'Anexo 10'!$D$10</f>
        <v>0</v>
      </c>
      <c r="S31" s="33">
        <f>+'Anexo 20'!S31*'Anexo 10'!$D$10</f>
        <v>0</v>
      </c>
      <c r="T31" s="33">
        <f>+'Anexo 20'!T31*'Anexo 10'!$D$10</f>
        <v>0</v>
      </c>
      <c r="U31" s="33">
        <f>+'Anexo 20'!U31*'Anexo 10'!$D$10</f>
        <v>0</v>
      </c>
      <c r="V31" s="33">
        <f>+'Anexo 20'!V31*'Anexo 10'!$D$10</f>
        <v>0</v>
      </c>
      <c r="W31" s="33">
        <f>+'Anexo 20'!W31*'Anexo 10'!$D$10</f>
        <v>0</v>
      </c>
      <c r="X31" s="33">
        <f>+'Anexo 20'!X31*'Anexo 10'!$D$10</f>
        <v>0</v>
      </c>
      <c r="Y31" s="33">
        <f>+'Anexo 20'!Y31*'Anexo 10'!$D$10</f>
        <v>0</v>
      </c>
      <c r="Z31" s="33">
        <f>+'Anexo 20'!Z31*'Anexo 10'!$D$10</f>
        <v>0</v>
      </c>
      <c r="AA31" s="38">
        <f t="shared" si="0"/>
        <v>0</v>
      </c>
      <c r="AB31" s="21">
        <v>5</v>
      </c>
      <c r="AC31" s="95"/>
      <c r="AD31" s="47"/>
    </row>
    <row r="32" spans="1:30" ht="15.75" thickBot="1" x14ac:dyDescent="0.3">
      <c r="A32" s="93"/>
      <c r="B32" s="22" t="s">
        <v>3</v>
      </c>
      <c r="C32" s="33">
        <f>+'Anexo 20'!C32*'Anexo 10'!$D$10</f>
        <v>0</v>
      </c>
      <c r="D32" s="33">
        <f>+'Anexo 20'!D32*'Anexo 10'!$D$10</f>
        <v>0</v>
      </c>
      <c r="E32" s="33">
        <f>+'Anexo 20'!E32*'Anexo 10'!$D$10</f>
        <v>0</v>
      </c>
      <c r="F32" s="33">
        <f>+'Anexo 20'!F32*'Anexo 10'!$D$10</f>
        <v>0</v>
      </c>
      <c r="G32" s="33">
        <f>+'Anexo 20'!G32*'Anexo 10'!$D$10</f>
        <v>0</v>
      </c>
      <c r="H32" s="33">
        <f>+'Anexo 20'!H32*'Anexo 10'!$D$10</f>
        <v>0</v>
      </c>
      <c r="I32" s="33">
        <f>+'Anexo 20'!I32*'Anexo 10'!$D$10</f>
        <v>0</v>
      </c>
      <c r="J32" s="33">
        <f>+'Anexo 20'!J32*'Anexo 10'!$D$10</f>
        <v>0</v>
      </c>
      <c r="K32" s="33">
        <f>+'Anexo 20'!K32*'Anexo 10'!$D$10</f>
        <v>0</v>
      </c>
      <c r="L32" s="33">
        <f>+'Anexo 20'!L32*'Anexo 10'!$D$10</f>
        <v>0</v>
      </c>
      <c r="M32" s="33">
        <f>+'Anexo 20'!M32*'Anexo 10'!$D$10</f>
        <v>0</v>
      </c>
      <c r="N32" s="33">
        <f>+'Anexo 20'!N32*'Anexo 10'!$D$10</f>
        <v>0</v>
      </c>
      <c r="O32" s="33">
        <f>+'Anexo 20'!O32*'Anexo 10'!$D$10</f>
        <v>0</v>
      </c>
      <c r="P32" s="33">
        <f>+'Anexo 20'!P32*'Anexo 10'!$D$10</f>
        <v>0</v>
      </c>
      <c r="Q32" s="33">
        <f>+'Anexo 20'!Q32*'Anexo 10'!$D$10</f>
        <v>0</v>
      </c>
      <c r="R32" s="33">
        <f>+'Anexo 20'!R32*'Anexo 10'!$D$10</f>
        <v>0</v>
      </c>
      <c r="S32" s="33">
        <f>+'Anexo 20'!S32*'Anexo 10'!$D$10</f>
        <v>0</v>
      </c>
      <c r="T32" s="33">
        <f>+'Anexo 20'!T32*'Anexo 10'!$D$10</f>
        <v>0</v>
      </c>
      <c r="U32" s="33">
        <f>+'Anexo 20'!U32*'Anexo 10'!$D$10</f>
        <v>0</v>
      </c>
      <c r="V32" s="33">
        <f>+'Anexo 20'!V32*'Anexo 10'!$D$10</f>
        <v>0</v>
      </c>
      <c r="W32" s="33">
        <f>+'Anexo 20'!W32*'Anexo 10'!$D$10</f>
        <v>0</v>
      </c>
      <c r="X32" s="33">
        <f>+'Anexo 20'!X32*'Anexo 10'!$D$10</f>
        <v>0</v>
      </c>
      <c r="Y32" s="33">
        <f>+'Anexo 20'!Y32*'Anexo 10'!$D$10</f>
        <v>0</v>
      </c>
      <c r="Z32" s="33">
        <f>+'Anexo 20'!Z32*'Anexo 10'!$D$10</f>
        <v>0</v>
      </c>
      <c r="AA32" s="41">
        <f t="shared" si="0"/>
        <v>0</v>
      </c>
      <c r="AB32" s="23">
        <v>5</v>
      </c>
      <c r="AC32" s="96"/>
      <c r="AD32" s="48"/>
    </row>
    <row r="33" spans="1:30" ht="15.75" thickBot="1" x14ac:dyDescent="0.3">
      <c r="A33" s="93">
        <v>49583</v>
      </c>
      <c r="B33" s="18" t="s">
        <v>5</v>
      </c>
      <c r="C33" s="33">
        <f>+'Anexo 20'!C33*'Anexo 10'!$D$10</f>
        <v>0</v>
      </c>
      <c r="D33" s="33">
        <f>+'Anexo 20'!D33*'Anexo 10'!$D$10</f>
        <v>0</v>
      </c>
      <c r="E33" s="33">
        <f>+'Anexo 20'!E33*'Anexo 10'!$D$10</f>
        <v>0</v>
      </c>
      <c r="F33" s="33">
        <f>+'Anexo 20'!F33*'Anexo 10'!$D$10</f>
        <v>0</v>
      </c>
      <c r="G33" s="33">
        <f>+'Anexo 20'!G33*'Anexo 10'!$D$10</f>
        <v>0</v>
      </c>
      <c r="H33" s="33">
        <f>+'Anexo 20'!H33*'Anexo 10'!$D$10</f>
        <v>0</v>
      </c>
      <c r="I33" s="33">
        <f>+'Anexo 20'!I33*'Anexo 10'!$D$10</f>
        <v>0</v>
      </c>
      <c r="J33" s="33">
        <f>+'Anexo 20'!J33*'Anexo 10'!$D$10</f>
        <v>0</v>
      </c>
      <c r="K33" s="33">
        <f>+'Anexo 20'!K33*'Anexo 10'!$D$10</f>
        <v>0</v>
      </c>
      <c r="L33" s="33">
        <f>+'Anexo 20'!L33*'Anexo 10'!$D$10</f>
        <v>0</v>
      </c>
      <c r="M33" s="33">
        <f>+'Anexo 20'!M33*'Anexo 10'!$D$10</f>
        <v>0</v>
      </c>
      <c r="N33" s="33">
        <f>+'Anexo 20'!N33*'Anexo 10'!$D$10</f>
        <v>0</v>
      </c>
      <c r="O33" s="33">
        <f>+'Anexo 20'!O33*'Anexo 10'!$D$10</f>
        <v>0</v>
      </c>
      <c r="P33" s="33">
        <f>+'Anexo 20'!P33*'Anexo 10'!$D$10</f>
        <v>0</v>
      </c>
      <c r="Q33" s="33">
        <f>+'Anexo 20'!Q33*'Anexo 10'!$D$10</f>
        <v>0</v>
      </c>
      <c r="R33" s="33">
        <f>+'Anexo 20'!R33*'Anexo 10'!$D$10</f>
        <v>0</v>
      </c>
      <c r="S33" s="33">
        <f>+'Anexo 20'!S33*'Anexo 10'!$D$10</f>
        <v>0</v>
      </c>
      <c r="T33" s="33">
        <f>+'Anexo 20'!T33*'Anexo 10'!$D$10</f>
        <v>0</v>
      </c>
      <c r="U33" s="33">
        <f>+'Anexo 20'!U33*'Anexo 10'!$D$10</f>
        <v>0</v>
      </c>
      <c r="V33" s="33">
        <f>+'Anexo 20'!V33*'Anexo 10'!$D$10</f>
        <v>0</v>
      </c>
      <c r="W33" s="33">
        <f>+'Anexo 20'!W33*'Anexo 10'!$D$10</f>
        <v>0</v>
      </c>
      <c r="X33" s="33">
        <f>+'Anexo 20'!X33*'Anexo 10'!$D$10</f>
        <v>0</v>
      </c>
      <c r="Y33" s="33">
        <f>+'Anexo 20'!Y33*'Anexo 10'!$D$10</f>
        <v>0</v>
      </c>
      <c r="Z33" s="33">
        <f>+'Anexo 20'!Z33*'Anexo 10'!$D$10</f>
        <v>0</v>
      </c>
      <c r="AA33" s="35">
        <f t="shared" si="0"/>
        <v>0</v>
      </c>
      <c r="AB33" s="19">
        <v>22</v>
      </c>
      <c r="AC33" s="94">
        <f>+AA33*AB33+AA34*AB34+AA35*AB35</f>
        <v>0</v>
      </c>
    </row>
    <row r="34" spans="1:30" ht="15.75" thickBot="1" x14ac:dyDescent="0.3">
      <c r="A34" s="93"/>
      <c r="B34" s="20" t="s">
        <v>4</v>
      </c>
      <c r="C34" s="33">
        <f>+'Anexo 20'!C34*'Anexo 10'!$D$10</f>
        <v>0</v>
      </c>
      <c r="D34" s="33">
        <f>+'Anexo 20'!D34*'Anexo 10'!$D$10</f>
        <v>0</v>
      </c>
      <c r="E34" s="33">
        <f>+'Anexo 20'!E34*'Anexo 10'!$D$10</f>
        <v>0</v>
      </c>
      <c r="F34" s="33">
        <f>+'Anexo 20'!F34*'Anexo 10'!$D$10</f>
        <v>0</v>
      </c>
      <c r="G34" s="33">
        <f>+'Anexo 20'!G34*'Anexo 10'!$D$10</f>
        <v>0</v>
      </c>
      <c r="H34" s="33">
        <f>+'Anexo 20'!H34*'Anexo 10'!$D$10</f>
        <v>0</v>
      </c>
      <c r="I34" s="33">
        <f>+'Anexo 20'!I34*'Anexo 10'!$D$10</f>
        <v>0</v>
      </c>
      <c r="J34" s="33">
        <f>+'Anexo 20'!J34*'Anexo 10'!$D$10</f>
        <v>0</v>
      </c>
      <c r="K34" s="33">
        <f>+'Anexo 20'!K34*'Anexo 10'!$D$10</f>
        <v>0</v>
      </c>
      <c r="L34" s="33">
        <f>+'Anexo 20'!L34*'Anexo 10'!$D$10</f>
        <v>0</v>
      </c>
      <c r="M34" s="33">
        <f>+'Anexo 20'!M34*'Anexo 10'!$D$10</f>
        <v>0</v>
      </c>
      <c r="N34" s="33">
        <f>+'Anexo 20'!N34*'Anexo 10'!$D$10</f>
        <v>0</v>
      </c>
      <c r="O34" s="33">
        <f>+'Anexo 20'!O34*'Anexo 10'!$D$10</f>
        <v>0</v>
      </c>
      <c r="P34" s="33">
        <f>+'Anexo 20'!P34*'Anexo 10'!$D$10</f>
        <v>0</v>
      </c>
      <c r="Q34" s="33">
        <f>+'Anexo 20'!Q34*'Anexo 10'!$D$10</f>
        <v>0</v>
      </c>
      <c r="R34" s="33">
        <f>+'Anexo 20'!R34*'Anexo 10'!$D$10</f>
        <v>0</v>
      </c>
      <c r="S34" s="33">
        <f>+'Anexo 20'!S34*'Anexo 10'!$D$10</f>
        <v>0</v>
      </c>
      <c r="T34" s="33">
        <f>+'Anexo 20'!T34*'Anexo 10'!$D$10</f>
        <v>0</v>
      </c>
      <c r="U34" s="33">
        <f>+'Anexo 20'!U34*'Anexo 10'!$D$10</f>
        <v>0</v>
      </c>
      <c r="V34" s="33">
        <f>+'Anexo 20'!V34*'Anexo 10'!$D$10</f>
        <v>0</v>
      </c>
      <c r="W34" s="33">
        <f>+'Anexo 20'!W34*'Anexo 10'!$D$10</f>
        <v>0</v>
      </c>
      <c r="X34" s="33">
        <f>+'Anexo 20'!X34*'Anexo 10'!$D$10</f>
        <v>0</v>
      </c>
      <c r="Y34" s="33">
        <f>+'Anexo 20'!Y34*'Anexo 10'!$D$10</f>
        <v>0</v>
      </c>
      <c r="Z34" s="33">
        <f>+'Anexo 20'!Z34*'Anexo 10'!$D$10</f>
        <v>0</v>
      </c>
      <c r="AA34" s="38">
        <f t="shared" si="0"/>
        <v>0</v>
      </c>
      <c r="AB34" s="21">
        <v>4</v>
      </c>
      <c r="AC34" s="95"/>
      <c r="AD34" s="47"/>
    </row>
    <row r="35" spans="1:30" ht="15.75" thickBot="1" x14ac:dyDescent="0.3">
      <c r="A35" s="93"/>
      <c r="B35" s="22" t="s">
        <v>3</v>
      </c>
      <c r="C35" s="33">
        <f>+'Anexo 20'!C35*'Anexo 10'!$D$10</f>
        <v>0</v>
      </c>
      <c r="D35" s="33">
        <f>+'Anexo 20'!D35*'Anexo 10'!$D$10</f>
        <v>0</v>
      </c>
      <c r="E35" s="33">
        <f>+'Anexo 20'!E35*'Anexo 10'!$D$10</f>
        <v>0</v>
      </c>
      <c r="F35" s="33">
        <f>+'Anexo 20'!F35*'Anexo 10'!$D$10</f>
        <v>0</v>
      </c>
      <c r="G35" s="33">
        <f>+'Anexo 20'!G35*'Anexo 10'!$D$10</f>
        <v>0</v>
      </c>
      <c r="H35" s="33">
        <f>+'Anexo 20'!H35*'Anexo 10'!$D$10</f>
        <v>0</v>
      </c>
      <c r="I35" s="33">
        <f>+'Anexo 20'!I35*'Anexo 10'!$D$10</f>
        <v>0</v>
      </c>
      <c r="J35" s="33">
        <f>+'Anexo 20'!J35*'Anexo 10'!$D$10</f>
        <v>0</v>
      </c>
      <c r="K35" s="33">
        <f>+'Anexo 20'!K35*'Anexo 10'!$D$10</f>
        <v>0</v>
      </c>
      <c r="L35" s="33">
        <f>+'Anexo 20'!L35*'Anexo 10'!$D$10</f>
        <v>0</v>
      </c>
      <c r="M35" s="33">
        <f>+'Anexo 20'!M35*'Anexo 10'!$D$10</f>
        <v>0</v>
      </c>
      <c r="N35" s="33">
        <f>+'Anexo 20'!N35*'Anexo 10'!$D$10</f>
        <v>0</v>
      </c>
      <c r="O35" s="33">
        <f>+'Anexo 20'!O35*'Anexo 10'!$D$10</f>
        <v>0</v>
      </c>
      <c r="P35" s="33">
        <f>+'Anexo 20'!P35*'Anexo 10'!$D$10</f>
        <v>0</v>
      </c>
      <c r="Q35" s="33">
        <f>+'Anexo 20'!Q35*'Anexo 10'!$D$10</f>
        <v>0</v>
      </c>
      <c r="R35" s="33">
        <f>+'Anexo 20'!R35*'Anexo 10'!$D$10</f>
        <v>0</v>
      </c>
      <c r="S35" s="33">
        <f>+'Anexo 20'!S35*'Anexo 10'!$D$10</f>
        <v>0</v>
      </c>
      <c r="T35" s="33">
        <f>+'Anexo 20'!T35*'Anexo 10'!$D$10</f>
        <v>0</v>
      </c>
      <c r="U35" s="33">
        <f>+'Anexo 20'!U35*'Anexo 10'!$D$10</f>
        <v>0</v>
      </c>
      <c r="V35" s="33">
        <f>+'Anexo 20'!V35*'Anexo 10'!$D$10</f>
        <v>0</v>
      </c>
      <c r="W35" s="33">
        <f>+'Anexo 20'!W35*'Anexo 10'!$D$10</f>
        <v>0</v>
      </c>
      <c r="X35" s="33">
        <f>+'Anexo 20'!X35*'Anexo 10'!$D$10</f>
        <v>0</v>
      </c>
      <c r="Y35" s="33">
        <f>+'Anexo 20'!Y35*'Anexo 10'!$D$10</f>
        <v>0</v>
      </c>
      <c r="Z35" s="33">
        <f>+'Anexo 20'!Z35*'Anexo 10'!$D$10</f>
        <v>0</v>
      </c>
      <c r="AA35" s="41">
        <f t="shared" si="0"/>
        <v>0</v>
      </c>
      <c r="AB35" s="23">
        <v>5</v>
      </c>
      <c r="AC35" s="96"/>
      <c r="AD35" s="48"/>
    </row>
    <row r="36" spans="1:30" ht="15.75" thickBot="1" x14ac:dyDescent="0.3">
      <c r="A36" s="93">
        <v>49614</v>
      </c>
      <c r="B36" s="18" t="s">
        <v>5</v>
      </c>
      <c r="C36" s="33">
        <f>+'Anexo 20'!C36*'Anexo 10'!$D$10</f>
        <v>0</v>
      </c>
      <c r="D36" s="33">
        <f>+'Anexo 20'!D36*'Anexo 10'!$D$10</f>
        <v>0</v>
      </c>
      <c r="E36" s="33">
        <f>+'Anexo 20'!E36*'Anexo 10'!$D$10</f>
        <v>0</v>
      </c>
      <c r="F36" s="33">
        <f>+'Anexo 20'!F36*'Anexo 10'!$D$10</f>
        <v>0</v>
      </c>
      <c r="G36" s="33">
        <f>+'Anexo 20'!G36*'Anexo 10'!$D$10</f>
        <v>0</v>
      </c>
      <c r="H36" s="33">
        <f>+'Anexo 20'!H36*'Anexo 10'!$D$10</f>
        <v>0</v>
      </c>
      <c r="I36" s="33">
        <f>+'Anexo 20'!I36*'Anexo 10'!$D$10</f>
        <v>0</v>
      </c>
      <c r="J36" s="33">
        <f>+'Anexo 20'!J36*'Anexo 10'!$D$10</f>
        <v>0</v>
      </c>
      <c r="K36" s="33">
        <f>+'Anexo 20'!K36*'Anexo 10'!$D$10</f>
        <v>0</v>
      </c>
      <c r="L36" s="33">
        <f>+'Anexo 20'!L36*'Anexo 10'!$D$10</f>
        <v>0</v>
      </c>
      <c r="M36" s="33">
        <f>+'Anexo 20'!M36*'Anexo 10'!$D$10</f>
        <v>0</v>
      </c>
      <c r="N36" s="33">
        <f>+'Anexo 20'!N36*'Anexo 10'!$D$10</f>
        <v>0</v>
      </c>
      <c r="O36" s="33">
        <f>+'Anexo 20'!O36*'Anexo 10'!$D$10</f>
        <v>0</v>
      </c>
      <c r="P36" s="33">
        <f>+'Anexo 20'!P36*'Anexo 10'!$D$10</f>
        <v>0</v>
      </c>
      <c r="Q36" s="33">
        <f>+'Anexo 20'!Q36*'Anexo 10'!$D$10</f>
        <v>0</v>
      </c>
      <c r="R36" s="33">
        <f>+'Anexo 20'!R36*'Anexo 10'!$D$10</f>
        <v>0</v>
      </c>
      <c r="S36" s="33">
        <f>+'Anexo 20'!S36*'Anexo 10'!$D$10</f>
        <v>0</v>
      </c>
      <c r="T36" s="33">
        <f>+'Anexo 20'!T36*'Anexo 10'!$D$10</f>
        <v>0</v>
      </c>
      <c r="U36" s="33">
        <f>+'Anexo 20'!U36*'Anexo 10'!$D$10</f>
        <v>0</v>
      </c>
      <c r="V36" s="33">
        <f>+'Anexo 20'!V36*'Anexo 10'!$D$10</f>
        <v>0</v>
      </c>
      <c r="W36" s="33">
        <f>+'Anexo 20'!W36*'Anexo 10'!$D$10</f>
        <v>0</v>
      </c>
      <c r="X36" s="33">
        <f>+'Anexo 20'!X36*'Anexo 10'!$D$10</f>
        <v>0</v>
      </c>
      <c r="Y36" s="33">
        <f>+'Anexo 20'!Y36*'Anexo 10'!$D$10</f>
        <v>0</v>
      </c>
      <c r="Z36" s="33">
        <f>+'Anexo 20'!Z36*'Anexo 10'!$D$10</f>
        <v>0</v>
      </c>
      <c r="AA36" s="35">
        <f t="shared" si="0"/>
        <v>0</v>
      </c>
      <c r="AB36" s="19">
        <v>20</v>
      </c>
      <c r="AC36" s="94">
        <f>+AA36*AB36+AA37*AB37+AA38*AB38</f>
        <v>0</v>
      </c>
    </row>
    <row r="37" spans="1:30" ht="15.75" thickBot="1" x14ac:dyDescent="0.3">
      <c r="A37" s="93"/>
      <c r="B37" s="20" t="s">
        <v>4</v>
      </c>
      <c r="C37" s="33">
        <f>+'Anexo 20'!C37*'Anexo 10'!$D$10</f>
        <v>0</v>
      </c>
      <c r="D37" s="33">
        <f>+'Anexo 20'!D37*'Anexo 10'!$D$10</f>
        <v>0</v>
      </c>
      <c r="E37" s="33">
        <f>+'Anexo 20'!E37*'Anexo 10'!$D$10</f>
        <v>0</v>
      </c>
      <c r="F37" s="33">
        <f>+'Anexo 20'!F37*'Anexo 10'!$D$10</f>
        <v>0</v>
      </c>
      <c r="G37" s="33">
        <f>+'Anexo 20'!G37*'Anexo 10'!$D$10</f>
        <v>0</v>
      </c>
      <c r="H37" s="33">
        <f>+'Anexo 20'!H37*'Anexo 10'!$D$10</f>
        <v>0</v>
      </c>
      <c r="I37" s="33">
        <f>+'Anexo 20'!I37*'Anexo 10'!$D$10</f>
        <v>0</v>
      </c>
      <c r="J37" s="33">
        <f>+'Anexo 20'!J37*'Anexo 10'!$D$10</f>
        <v>0</v>
      </c>
      <c r="K37" s="33">
        <f>+'Anexo 20'!K37*'Anexo 10'!$D$10</f>
        <v>0</v>
      </c>
      <c r="L37" s="33">
        <f>+'Anexo 20'!L37*'Anexo 10'!$D$10</f>
        <v>0</v>
      </c>
      <c r="M37" s="33">
        <f>+'Anexo 20'!M37*'Anexo 10'!$D$10</f>
        <v>0</v>
      </c>
      <c r="N37" s="33">
        <f>+'Anexo 20'!N37*'Anexo 10'!$D$10</f>
        <v>0</v>
      </c>
      <c r="O37" s="33">
        <f>+'Anexo 20'!O37*'Anexo 10'!$D$10</f>
        <v>0</v>
      </c>
      <c r="P37" s="33">
        <f>+'Anexo 20'!P37*'Anexo 10'!$D$10</f>
        <v>0</v>
      </c>
      <c r="Q37" s="33">
        <f>+'Anexo 20'!Q37*'Anexo 10'!$D$10</f>
        <v>0</v>
      </c>
      <c r="R37" s="33">
        <f>+'Anexo 20'!R37*'Anexo 10'!$D$10</f>
        <v>0</v>
      </c>
      <c r="S37" s="33">
        <f>+'Anexo 20'!S37*'Anexo 10'!$D$10</f>
        <v>0</v>
      </c>
      <c r="T37" s="33">
        <f>+'Anexo 20'!T37*'Anexo 10'!$D$10</f>
        <v>0</v>
      </c>
      <c r="U37" s="33">
        <f>+'Anexo 20'!U37*'Anexo 10'!$D$10</f>
        <v>0</v>
      </c>
      <c r="V37" s="33">
        <f>+'Anexo 20'!V37*'Anexo 10'!$D$10</f>
        <v>0</v>
      </c>
      <c r="W37" s="33">
        <f>+'Anexo 20'!W37*'Anexo 10'!$D$10</f>
        <v>0</v>
      </c>
      <c r="X37" s="33">
        <f>+'Anexo 20'!X37*'Anexo 10'!$D$10</f>
        <v>0</v>
      </c>
      <c r="Y37" s="33">
        <f>+'Anexo 20'!Y37*'Anexo 10'!$D$10</f>
        <v>0</v>
      </c>
      <c r="Z37" s="33">
        <f>+'Anexo 20'!Z37*'Anexo 10'!$D$10</f>
        <v>0</v>
      </c>
      <c r="AA37" s="38">
        <f t="shared" si="0"/>
        <v>0</v>
      </c>
      <c r="AB37" s="21">
        <v>4</v>
      </c>
      <c r="AC37" s="95"/>
      <c r="AD37" s="47"/>
    </row>
    <row r="38" spans="1:30" ht="15.75" thickBot="1" x14ac:dyDescent="0.3">
      <c r="A38" s="93"/>
      <c r="B38" s="22" t="s">
        <v>3</v>
      </c>
      <c r="C38" s="33">
        <f>+'Anexo 20'!C38*'Anexo 10'!$D$10</f>
        <v>0</v>
      </c>
      <c r="D38" s="33">
        <f>+'Anexo 20'!D38*'Anexo 10'!$D$10</f>
        <v>0</v>
      </c>
      <c r="E38" s="33">
        <f>+'Anexo 20'!E38*'Anexo 10'!$D$10</f>
        <v>0</v>
      </c>
      <c r="F38" s="33">
        <f>+'Anexo 20'!F38*'Anexo 10'!$D$10</f>
        <v>0</v>
      </c>
      <c r="G38" s="33">
        <f>+'Anexo 20'!G38*'Anexo 10'!$D$10</f>
        <v>0</v>
      </c>
      <c r="H38" s="33">
        <f>+'Anexo 20'!H38*'Anexo 10'!$D$10</f>
        <v>0</v>
      </c>
      <c r="I38" s="33">
        <f>+'Anexo 20'!I38*'Anexo 10'!$D$10</f>
        <v>0</v>
      </c>
      <c r="J38" s="33">
        <f>+'Anexo 20'!J38*'Anexo 10'!$D$10</f>
        <v>0</v>
      </c>
      <c r="K38" s="33">
        <f>+'Anexo 20'!K38*'Anexo 10'!$D$10</f>
        <v>0</v>
      </c>
      <c r="L38" s="33">
        <f>+'Anexo 20'!L38*'Anexo 10'!$D$10</f>
        <v>0</v>
      </c>
      <c r="M38" s="33">
        <f>+'Anexo 20'!M38*'Anexo 10'!$D$10</f>
        <v>0</v>
      </c>
      <c r="N38" s="33">
        <f>+'Anexo 20'!N38*'Anexo 10'!$D$10</f>
        <v>0</v>
      </c>
      <c r="O38" s="33">
        <f>+'Anexo 20'!O38*'Anexo 10'!$D$10</f>
        <v>0</v>
      </c>
      <c r="P38" s="33">
        <f>+'Anexo 20'!P38*'Anexo 10'!$D$10</f>
        <v>0</v>
      </c>
      <c r="Q38" s="33">
        <f>+'Anexo 20'!Q38*'Anexo 10'!$D$10</f>
        <v>0</v>
      </c>
      <c r="R38" s="33">
        <f>+'Anexo 20'!R38*'Anexo 10'!$D$10</f>
        <v>0</v>
      </c>
      <c r="S38" s="33">
        <f>+'Anexo 20'!S38*'Anexo 10'!$D$10</f>
        <v>0</v>
      </c>
      <c r="T38" s="33">
        <f>+'Anexo 20'!T38*'Anexo 10'!$D$10</f>
        <v>0</v>
      </c>
      <c r="U38" s="33">
        <f>+'Anexo 20'!U38*'Anexo 10'!$D$10</f>
        <v>0</v>
      </c>
      <c r="V38" s="33">
        <f>+'Anexo 20'!V38*'Anexo 10'!$D$10</f>
        <v>0</v>
      </c>
      <c r="W38" s="33">
        <f>+'Anexo 20'!W38*'Anexo 10'!$D$10</f>
        <v>0</v>
      </c>
      <c r="X38" s="33">
        <f>+'Anexo 20'!X38*'Anexo 10'!$D$10</f>
        <v>0</v>
      </c>
      <c r="Y38" s="33">
        <f>+'Anexo 20'!Y38*'Anexo 10'!$D$10</f>
        <v>0</v>
      </c>
      <c r="Z38" s="33">
        <f>+'Anexo 20'!Z38*'Anexo 10'!$D$10</f>
        <v>0</v>
      </c>
      <c r="AA38" s="41">
        <f t="shared" si="0"/>
        <v>0</v>
      </c>
      <c r="AB38" s="23">
        <v>6</v>
      </c>
      <c r="AC38" s="96"/>
      <c r="AD38" s="49"/>
    </row>
    <row r="39" spans="1:30" ht="15.75" thickBot="1" x14ac:dyDescent="0.3">
      <c r="A39" s="93">
        <v>49644</v>
      </c>
      <c r="B39" s="18" t="s">
        <v>5</v>
      </c>
      <c r="C39" s="33">
        <f>+'Anexo 20'!C39*'Anexo 10'!$D$10</f>
        <v>0</v>
      </c>
      <c r="D39" s="33">
        <f>+'Anexo 20'!D39*'Anexo 10'!$D$10</f>
        <v>0</v>
      </c>
      <c r="E39" s="33">
        <f>+'Anexo 20'!E39*'Anexo 10'!$D$10</f>
        <v>0</v>
      </c>
      <c r="F39" s="33">
        <f>+'Anexo 20'!F39*'Anexo 10'!$D$10</f>
        <v>0</v>
      </c>
      <c r="G39" s="33">
        <f>+'Anexo 20'!G39*'Anexo 10'!$D$10</f>
        <v>0</v>
      </c>
      <c r="H39" s="33">
        <f>+'Anexo 20'!H39*'Anexo 10'!$D$10</f>
        <v>0</v>
      </c>
      <c r="I39" s="33">
        <f>+'Anexo 20'!I39*'Anexo 10'!$D$10</f>
        <v>0</v>
      </c>
      <c r="J39" s="33">
        <f>+'Anexo 20'!J39*'Anexo 10'!$D$10</f>
        <v>0</v>
      </c>
      <c r="K39" s="33">
        <f>+'Anexo 20'!K39*'Anexo 10'!$D$10</f>
        <v>0</v>
      </c>
      <c r="L39" s="33">
        <f>+'Anexo 20'!L39*'Anexo 10'!$D$10</f>
        <v>0</v>
      </c>
      <c r="M39" s="33">
        <f>+'Anexo 20'!M39*'Anexo 10'!$D$10</f>
        <v>0</v>
      </c>
      <c r="N39" s="33">
        <f>+'Anexo 20'!N39*'Anexo 10'!$D$10</f>
        <v>0</v>
      </c>
      <c r="O39" s="33">
        <f>+'Anexo 20'!O39*'Anexo 10'!$D$10</f>
        <v>0</v>
      </c>
      <c r="P39" s="33">
        <f>+'Anexo 20'!P39*'Anexo 10'!$D$10</f>
        <v>0</v>
      </c>
      <c r="Q39" s="33">
        <f>+'Anexo 20'!Q39*'Anexo 10'!$D$10</f>
        <v>0</v>
      </c>
      <c r="R39" s="33">
        <f>+'Anexo 20'!R39*'Anexo 10'!$D$10</f>
        <v>0</v>
      </c>
      <c r="S39" s="33">
        <f>+'Anexo 20'!S39*'Anexo 10'!$D$10</f>
        <v>0</v>
      </c>
      <c r="T39" s="33">
        <f>+'Anexo 20'!T39*'Anexo 10'!$D$10</f>
        <v>0</v>
      </c>
      <c r="U39" s="33">
        <f>+'Anexo 20'!U39*'Anexo 10'!$D$10</f>
        <v>0</v>
      </c>
      <c r="V39" s="33">
        <f>+'Anexo 20'!V39*'Anexo 10'!$D$10</f>
        <v>0</v>
      </c>
      <c r="W39" s="33">
        <f>+'Anexo 20'!W39*'Anexo 10'!$D$10</f>
        <v>0</v>
      </c>
      <c r="X39" s="33">
        <f>+'Anexo 20'!X39*'Anexo 10'!$D$10</f>
        <v>0</v>
      </c>
      <c r="Y39" s="33">
        <f>+'Anexo 20'!Y39*'Anexo 10'!$D$10</f>
        <v>0</v>
      </c>
      <c r="Z39" s="33">
        <f>+'Anexo 20'!Z39*'Anexo 10'!$D$10</f>
        <v>0</v>
      </c>
      <c r="AA39" s="35">
        <f t="shared" si="0"/>
        <v>0</v>
      </c>
      <c r="AB39" s="19">
        <v>20</v>
      </c>
      <c r="AC39" s="94">
        <f>+AA39*AB39+AA40*AB40+AA41*AB41</f>
        <v>0</v>
      </c>
    </row>
    <row r="40" spans="1:30" ht="15.75" thickBot="1" x14ac:dyDescent="0.3">
      <c r="A40" s="93"/>
      <c r="B40" s="20" t="s">
        <v>4</v>
      </c>
      <c r="C40" s="33">
        <f>+'Anexo 20'!C40*'Anexo 10'!$D$10</f>
        <v>0</v>
      </c>
      <c r="D40" s="33">
        <f>+'Anexo 20'!D40*'Anexo 10'!$D$10</f>
        <v>0</v>
      </c>
      <c r="E40" s="33">
        <f>+'Anexo 20'!E40*'Anexo 10'!$D$10</f>
        <v>0</v>
      </c>
      <c r="F40" s="33">
        <f>+'Anexo 20'!F40*'Anexo 10'!$D$10</f>
        <v>0</v>
      </c>
      <c r="G40" s="33">
        <f>+'Anexo 20'!G40*'Anexo 10'!$D$10</f>
        <v>0</v>
      </c>
      <c r="H40" s="33">
        <f>+'Anexo 20'!H40*'Anexo 10'!$D$10</f>
        <v>0</v>
      </c>
      <c r="I40" s="33">
        <f>+'Anexo 20'!I40*'Anexo 10'!$D$10</f>
        <v>0</v>
      </c>
      <c r="J40" s="33">
        <f>+'Anexo 20'!J40*'Anexo 10'!$D$10</f>
        <v>0</v>
      </c>
      <c r="K40" s="33">
        <f>+'Anexo 20'!K40*'Anexo 10'!$D$10</f>
        <v>0</v>
      </c>
      <c r="L40" s="33">
        <f>+'Anexo 20'!L40*'Anexo 10'!$D$10</f>
        <v>0</v>
      </c>
      <c r="M40" s="33">
        <f>+'Anexo 20'!M40*'Anexo 10'!$D$10</f>
        <v>0</v>
      </c>
      <c r="N40" s="33">
        <f>+'Anexo 20'!N40*'Anexo 10'!$D$10</f>
        <v>0</v>
      </c>
      <c r="O40" s="33">
        <f>+'Anexo 20'!O40*'Anexo 10'!$D$10</f>
        <v>0</v>
      </c>
      <c r="P40" s="33">
        <f>+'Anexo 20'!P40*'Anexo 10'!$D$10</f>
        <v>0</v>
      </c>
      <c r="Q40" s="33">
        <f>+'Anexo 20'!Q40*'Anexo 10'!$D$10</f>
        <v>0</v>
      </c>
      <c r="R40" s="33">
        <f>+'Anexo 20'!R40*'Anexo 10'!$D$10</f>
        <v>0</v>
      </c>
      <c r="S40" s="33">
        <f>+'Anexo 20'!S40*'Anexo 10'!$D$10</f>
        <v>0</v>
      </c>
      <c r="T40" s="33">
        <f>+'Anexo 20'!T40*'Anexo 10'!$D$10</f>
        <v>0</v>
      </c>
      <c r="U40" s="33">
        <f>+'Anexo 20'!U40*'Anexo 10'!$D$10</f>
        <v>0</v>
      </c>
      <c r="V40" s="33">
        <f>+'Anexo 20'!V40*'Anexo 10'!$D$10</f>
        <v>0</v>
      </c>
      <c r="W40" s="33">
        <f>+'Anexo 20'!W40*'Anexo 10'!$D$10</f>
        <v>0</v>
      </c>
      <c r="X40" s="33">
        <f>+'Anexo 20'!X40*'Anexo 10'!$D$10</f>
        <v>0</v>
      </c>
      <c r="Y40" s="33">
        <f>+'Anexo 20'!Y40*'Anexo 10'!$D$10</f>
        <v>0</v>
      </c>
      <c r="Z40" s="33">
        <f>+'Anexo 20'!Z40*'Anexo 10'!$D$10</f>
        <v>0</v>
      </c>
      <c r="AA40" s="38">
        <f t="shared" si="0"/>
        <v>0</v>
      </c>
      <c r="AB40" s="21">
        <v>4</v>
      </c>
      <c r="AC40" s="95"/>
      <c r="AD40" s="47"/>
    </row>
    <row r="41" spans="1:30" ht="15.75" thickBot="1" x14ac:dyDescent="0.3">
      <c r="A41" s="93"/>
      <c r="B41" s="22" t="s">
        <v>3</v>
      </c>
      <c r="C41" s="33">
        <f>+'Anexo 20'!C41*'Anexo 10'!$D$10</f>
        <v>0</v>
      </c>
      <c r="D41" s="33">
        <f>+'Anexo 20'!D41*'Anexo 10'!$D$10</f>
        <v>0</v>
      </c>
      <c r="E41" s="33">
        <f>+'Anexo 20'!E41*'Anexo 10'!$D$10</f>
        <v>0</v>
      </c>
      <c r="F41" s="33">
        <f>+'Anexo 20'!F41*'Anexo 10'!$D$10</f>
        <v>0</v>
      </c>
      <c r="G41" s="33">
        <f>+'Anexo 20'!G41*'Anexo 10'!$D$10</f>
        <v>0</v>
      </c>
      <c r="H41" s="33">
        <f>+'Anexo 20'!H41*'Anexo 10'!$D$10</f>
        <v>0</v>
      </c>
      <c r="I41" s="33">
        <f>+'Anexo 20'!I41*'Anexo 10'!$D$10</f>
        <v>0</v>
      </c>
      <c r="J41" s="33">
        <f>+'Anexo 20'!J41*'Anexo 10'!$D$10</f>
        <v>0</v>
      </c>
      <c r="K41" s="33">
        <f>+'Anexo 20'!K41*'Anexo 10'!$D$10</f>
        <v>0</v>
      </c>
      <c r="L41" s="33">
        <f>+'Anexo 20'!L41*'Anexo 10'!$D$10</f>
        <v>0</v>
      </c>
      <c r="M41" s="33">
        <f>+'Anexo 20'!M41*'Anexo 10'!$D$10</f>
        <v>0</v>
      </c>
      <c r="N41" s="33">
        <f>+'Anexo 20'!N41*'Anexo 10'!$D$10</f>
        <v>0</v>
      </c>
      <c r="O41" s="33">
        <f>+'Anexo 20'!O41*'Anexo 10'!$D$10</f>
        <v>0</v>
      </c>
      <c r="P41" s="33">
        <f>+'Anexo 20'!P41*'Anexo 10'!$D$10</f>
        <v>0</v>
      </c>
      <c r="Q41" s="33">
        <f>+'Anexo 20'!Q41*'Anexo 10'!$D$10</f>
        <v>0</v>
      </c>
      <c r="R41" s="33">
        <f>+'Anexo 20'!R41*'Anexo 10'!$D$10</f>
        <v>0</v>
      </c>
      <c r="S41" s="33">
        <f>+'Anexo 20'!S41*'Anexo 10'!$D$10</f>
        <v>0</v>
      </c>
      <c r="T41" s="33">
        <f>+'Anexo 20'!T41*'Anexo 10'!$D$10</f>
        <v>0</v>
      </c>
      <c r="U41" s="33">
        <f>+'Anexo 20'!U41*'Anexo 10'!$D$10</f>
        <v>0</v>
      </c>
      <c r="V41" s="33">
        <f>+'Anexo 20'!V41*'Anexo 10'!$D$10</f>
        <v>0</v>
      </c>
      <c r="W41" s="33">
        <f>+'Anexo 20'!W41*'Anexo 10'!$D$10</f>
        <v>0</v>
      </c>
      <c r="X41" s="33">
        <f>+'Anexo 20'!X41*'Anexo 10'!$D$10</f>
        <v>0</v>
      </c>
      <c r="Y41" s="33">
        <f>+'Anexo 20'!Y41*'Anexo 10'!$D$10</f>
        <v>0</v>
      </c>
      <c r="Z41" s="33">
        <f>+'Anexo 20'!Z41*'Anexo 10'!$D$10</f>
        <v>0</v>
      </c>
      <c r="AA41" s="41">
        <f t="shared" si="0"/>
        <v>0</v>
      </c>
      <c r="AB41" s="23">
        <v>7</v>
      </c>
      <c r="AC41" s="96"/>
      <c r="AD41" s="42"/>
    </row>
    <row r="42" spans="1:30" ht="15" x14ac:dyDescent="0.25">
      <c r="A42" s="97" t="s">
        <v>2</v>
      </c>
      <c r="B42" s="98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9C34A9485AA54DBC3FD82BBAFDFE2A" ma:contentTypeVersion="14" ma:contentTypeDescription="Crear nuevo documento." ma:contentTypeScope="" ma:versionID="0d568d63776b3296d279a2710bae19ff">
  <xsd:schema xmlns:xsd="http://www.w3.org/2001/XMLSchema" xmlns:xs="http://www.w3.org/2001/XMLSchema" xmlns:p="http://schemas.microsoft.com/office/2006/metadata/properties" xmlns:ns2="e20b9708-8d05-44bf-aa29-bb25ddc26887" xmlns:ns3="19e65c24-12eb-4ae4-9f0f-cdc0d03995d7" targetNamespace="http://schemas.microsoft.com/office/2006/metadata/properties" ma:root="true" ma:fieldsID="57f1b09d93d2b158516f9eeb8d48c009" ns2:_="" ns3:_="">
    <xsd:import namespace="e20b9708-8d05-44bf-aa29-bb25ddc26887"/>
    <xsd:import namespace="19e65c24-12eb-4ae4-9f0f-cdc0d03995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b9708-8d05-44bf-aa29-bb25ddc26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b1d78a8-738e-47a1-8bbf-6fb1ef3f4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65c24-12eb-4ae4-9f0f-cdc0d03995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9fbd2e-5e08-46c7-a885-1613e557d3ee}" ma:internalName="TaxCatchAll" ma:showField="CatchAllData" ma:web="19e65c24-12eb-4ae4-9f0f-cdc0d03995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e65c24-12eb-4ae4-9f0f-cdc0d03995d7" xsi:nil="true"/>
    <lcf76f155ced4ddcb4097134ff3c332f xmlns="e20b9708-8d05-44bf-aa29-bb25ddc2688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C6250-BA99-4307-9F0E-E796BDB37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b9708-8d05-44bf-aa29-bb25ddc26887"/>
    <ds:schemaRef ds:uri="19e65c24-12eb-4ae4-9f0f-cdc0d03995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60754C-9832-432C-86F4-4FB09D58D93F}">
  <ds:schemaRefs>
    <ds:schemaRef ds:uri="http://schemas.microsoft.com/office/2006/metadata/properties"/>
    <ds:schemaRef ds:uri="http://schemas.microsoft.com/office/infopath/2007/PartnerControls"/>
    <ds:schemaRef ds:uri="19e65c24-12eb-4ae4-9f0f-cdc0d03995d7"/>
    <ds:schemaRef ds:uri="e20b9708-8d05-44bf-aa29-bb25ddc26887"/>
  </ds:schemaRefs>
</ds:datastoreItem>
</file>

<file path=customXml/itemProps3.xml><?xml version="1.0" encoding="utf-8"?>
<ds:datastoreItem xmlns:ds="http://schemas.openxmlformats.org/officeDocument/2006/customXml" ds:itemID="{49E31244-003A-4FCC-86CD-3F916DE4FC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Anexo 1</vt:lpstr>
      <vt:lpstr>Anexo 1A</vt:lpstr>
      <vt:lpstr>Anexo 11</vt:lpstr>
      <vt:lpstr>Cantidades Ofertadas Prod 1</vt:lpstr>
      <vt:lpstr>Anexo 2</vt:lpstr>
      <vt:lpstr>Anexo 12</vt:lpstr>
      <vt:lpstr>Cantidades Ofertadas Prod 2</vt:lpstr>
      <vt:lpstr>Anexo 3</vt:lpstr>
      <vt:lpstr>Anexo 13</vt:lpstr>
      <vt:lpstr>Cantidades Ofertadas Prod 3</vt:lpstr>
      <vt:lpstr>Anexo 4</vt:lpstr>
      <vt:lpstr>Anexo 4A</vt:lpstr>
      <vt:lpstr>Anexo 14</vt:lpstr>
      <vt:lpstr>Cantidades Ofertadas Prod 4</vt:lpstr>
      <vt:lpstr>Anexo 5</vt:lpstr>
      <vt:lpstr>Anexo 5A</vt:lpstr>
      <vt:lpstr>Anexo 15</vt:lpstr>
      <vt:lpstr>Cantidades Ofertadas Prod 5</vt:lpstr>
      <vt:lpstr>Anexo 6</vt:lpstr>
      <vt:lpstr>Anexo 6A</vt:lpstr>
      <vt:lpstr>Anexo 16</vt:lpstr>
      <vt:lpstr>Cantidades Ofertadas Prod 6</vt:lpstr>
      <vt:lpstr>Anexo 7</vt:lpstr>
      <vt:lpstr>Anexo 7A</vt:lpstr>
      <vt:lpstr>Anexo 17</vt:lpstr>
      <vt:lpstr>Cantidades Ofertadas Prod 7</vt:lpstr>
      <vt:lpstr>Anexo 8</vt:lpstr>
      <vt:lpstr>Anexo 8A</vt:lpstr>
      <vt:lpstr>Anexo 18</vt:lpstr>
      <vt:lpstr>Cantidades Ofertadas Prod 8</vt:lpstr>
      <vt:lpstr>Anexo 9</vt:lpstr>
      <vt:lpstr>Anexo 9A</vt:lpstr>
      <vt:lpstr>Anexo 19</vt:lpstr>
      <vt:lpstr>Cantidades Ofertadas Prod 9</vt:lpstr>
      <vt:lpstr>Anexo 10</vt:lpstr>
      <vt:lpstr>Anexo 10A</vt:lpstr>
      <vt:lpstr>Anexo 20</vt:lpstr>
      <vt:lpstr>Cantidades Ofertadas Prod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Giraldo Macias</dc:creator>
  <cp:lastModifiedBy>Etelberto Sanchez Blanco</cp:lastModifiedBy>
  <dcterms:created xsi:type="dcterms:W3CDTF">2020-01-31T19:26:26Z</dcterms:created>
  <dcterms:modified xsi:type="dcterms:W3CDTF">2025-05-16T16:17:35Z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0x010100B59C34A9485AA54DBC3FD82BBAFDFE2A</vt:lpwstr>
  </property>
  <property fmtid="{D5CDD505-2E9C-101B-9397-08002B2CF9AE}" pid="3" name="MediaServiceImageTags">
    <vt:lpwstr/>
  </property>
</Properties>
</file>