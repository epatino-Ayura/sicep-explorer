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6/VATIA/CP-GNCC2026-002/1. PLIEGOS DE CONDICIONES/Consulta/"/>
    </mc:Choice>
  </mc:AlternateContent>
  <xr:revisionPtr revIDLastSave="4" documentId="8_{08816860-98CC-4301-A5F2-855EA2328C5B}" xr6:coauthVersionLast="47" xr6:coauthVersionMax="47" xr10:uidLastSave="{E7AED5CF-4BD9-47B4-B58B-D7759E4FC9B5}"/>
  <bookViews>
    <workbookView xWindow="-108" yWindow="-108" windowWidth="23256" windowHeight="12456" tabRatio="802" activeTab="2" xr2:uid="{00000000-000D-0000-FFFF-FFFF00000000}"/>
  </bookViews>
  <sheets>
    <sheet name="PRODUCTO 01" sheetId="78" r:id="rId1"/>
    <sheet name="Cantidades horarias PROD 01" sheetId="81" r:id="rId2"/>
    <sheet name="PRODUCTO 2" sheetId="82" r:id="rId3"/>
    <sheet name="Cantidades horarias PROD 02" sheetId="83" r:id="rId4"/>
    <sheet name="PRODUCTO 3" sheetId="84" r:id="rId5"/>
    <sheet name="Cantidades horarias PROD 03" sheetId="85" r:id="rId6"/>
    <sheet name="calendario" sheetId="17" state="hidden" r:id="rId7"/>
    <sheet name="curvas típicas de referencia" sheetId="3" state="hidden" r:id="rId8"/>
  </sheets>
  <definedNames>
    <definedName name="_xlnm._FilterDatabase" localSheetId="6" hidden="1">calendario!$A$2:$D$38</definedName>
    <definedName name="_xlnm._FilterDatabase" localSheetId="1" hidden="1">'Cantidades horarias PROD 01'!$D$8:$AG$248</definedName>
    <definedName name="_xlnm._FilterDatabase" localSheetId="3" hidden="1">'Cantidades horarias PROD 02'!$D$8:$AG$248</definedName>
    <definedName name="_xlnm._FilterDatabase" localSheetId="5" hidden="1">'Cantidades horarias PROD 03'!$D$8:$AG$188</definedName>
    <definedName name="_xlnm.Print_Area" localSheetId="0">'PRODUCTO 01'!$A$1:$I$68</definedName>
    <definedName name="_xlnm.Print_Area" localSheetId="2">'PRODUCTO 2'!$A$1:$I$73</definedName>
    <definedName name="_xlnm.Print_Area" localSheetId="4">'PRODUCTO 3'!$A$1:$I$61</definedName>
    <definedName name="Z_5E23C26A_5DA4_4377_864E_D3BECE131DEC_.wvu.PrintArea" localSheetId="0" hidden="1">'PRODUCTO 01'!#REF!</definedName>
    <definedName name="Z_5E23C26A_5DA4_4377_864E_D3BECE131DEC_.wvu.PrintArea" localSheetId="2" hidden="1">'PRODUCTO 2'!#REF!</definedName>
    <definedName name="Z_5E23C26A_5DA4_4377_864E_D3BECE131DEC_.wvu.PrintArea" localSheetId="4" hidden="1">'PRODUCTO 3'!#REF!</definedName>
    <definedName name="Z_66AA70F6_2777_42C7_BDA0_CD16FFB959D9_.wvu.PrintArea" localSheetId="0" hidden="1">'PRODUCTO 01'!#REF!</definedName>
    <definedName name="Z_66AA70F6_2777_42C7_BDA0_CD16FFB959D9_.wvu.PrintArea" localSheetId="2" hidden="1">'PRODUCTO 2'!#REF!</definedName>
    <definedName name="Z_66AA70F6_2777_42C7_BDA0_CD16FFB959D9_.wvu.PrintArea" localSheetId="4" hidden="1">'PRODUCTO 3'!#REF!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8" i="83" l="1"/>
  <c r="H243" i="83"/>
  <c r="H238" i="83"/>
  <c r="H233" i="83"/>
  <c r="H228" i="83"/>
  <c r="H223" i="83"/>
  <c r="H218" i="83"/>
  <c r="H213" i="83"/>
  <c r="H208" i="83"/>
  <c r="H203" i="83"/>
  <c r="H198" i="83"/>
  <c r="H193" i="83"/>
  <c r="H188" i="83"/>
  <c r="H183" i="83"/>
  <c r="H178" i="83"/>
  <c r="H173" i="83"/>
  <c r="H168" i="83"/>
  <c r="H163" i="83"/>
  <c r="H158" i="83"/>
  <c r="H153" i="83"/>
  <c r="H148" i="83"/>
  <c r="H143" i="83"/>
  <c r="H138" i="83"/>
  <c r="H133" i="83"/>
  <c r="H128" i="83"/>
  <c r="H123" i="83"/>
  <c r="H118" i="83"/>
  <c r="H113" i="83"/>
  <c r="H108" i="83"/>
  <c r="H103" i="83"/>
  <c r="H98" i="83"/>
  <c r="H93" i="83"/>
  <c r="H88" i="83"/>
  <c r="H83" i="83"/>
  <c r="H78" i="83"/>
  <c r="H73" i="83"/>
  <c r="H68" i="83"/>
  <c r="H63" i="83"/>
  <c r="H58" i="83"/>
  <c r="H53" i="83"/>
  <c r="H48" i="83"/>
  <c r="H43" i="83"/>
  <c r="H38" i="83"/>
  <c r="H33" i="83"/>
  <c r="H28" i="83"/>
  <c r="H23" i="83"/>
  <c r="H18" i="83"/>
  <c r="H13" i="83"/>
  <c r="D188" i="85" l="1"/>
  <c r="C187" i="85"/>
  <c r="B187" i="85"/>
  <c r="C186" i="85"/>
  <c r="B186" i="85"/>
  <c r="C185" i="85"/>
  <c r="B185" i="85"/>
  <c r="C184" i="85"/>
  <c r="B184" i="85"/>
  <c r="D183" i="85"/>
  <c r="C183" i="85"/>
  <c r="B183" i="85"/>
  <c r="C182" i="85"/>
  <c r="B182" i="85"/>
  <c r="C181" i="85"/>
  <c r="B181" i="85"/>
  <c r="C180" i="85"/>
  <c r="B180" i="85"/>
  <c r="C179" i="85"/>
  <c r="B179" i="85"/>
  <c r="D178" i="85"/>
  <c r="C178" i="85"/>
  <c r="B178" i="85"/>
  <c r="C177" i="85"/>
  <c r="B177" i="85"/>
  <c r="C176" i="85"/>
  <c r="B176" i="85"/>
  <c r="C175" i="85"/>
  <c r="B175" i="85"/>
  <c r="C174" i="85"/>
  <c r="B174" i="85"/>
  <c r="D173" i="85"/>
  <c r="C173" i="85"/>
  <c r="B173" i="85"/>
  <c r="C172" i="85"/>
  <c r="B172" i="85"/>
  <c r="C171" i="85"/>
  <c r="B171" i="85"/>
  <c r="D171" i="85" s="1"/>
  <c r="C170" i="85"/>
  <c r="B170" i="85"/>
  <c r="C169" i="85"/>
  <c r="B169" i="85"/>
  <c r="D168" i="85"/>
  <c r="C168" i="85"/>
  <c r="B168" i="85"/>
  <c r="C167" i="85"/>
  <c r="B167" i="85"/>
  <c r="C166" i="85"/>
  <c r="B166" i="85"/>
  <c r="D166" i="85" s="1"/>
  <c r="C165" i="85"/>
  <c r="B165" i="85"/>
  <c r="C164" i="85"/>
  <c r="B164" i="85"/>
  <c r="D163" i="85"/>
  <c r="C163" i="85"/>
  <c r="B163" i="85"/>
  <c r="C162" i="85"/>
  <c r="B162" i="85"/>
  <c r="C161" i="85"/>
  <c r="B161" i="85"/>
  <c r="C160" i="85"/>
  <c r="B160" i="85"/>
  <c r="C159" i="85"/>
  <c r="B159" i="85"/>
  <c r="D158" i="85"/>
  <c r="C158" i="85"/>
  <c r="B158" i="85"/>
  <c r="C157" i="85"/>
  <c r="B157" i="85"/>
  <c r="C156" i="85"/>
  <c r="B156" i="85"/>
  <c r="C155" i="85"/>
  <c r="B155" i="85"/>
  <c r="C154" i="85"/>
  <c r="B154" i="85"/>
  <c r="D153" i="85"/>
  <c r="C153" i="85"/>
  <c r="B153" i="85"/>
  <c r="C152" i="85"/>
  <c r="B152" i="85"/>
  <c r="C151" i="85"/>
  <c r="B151" i="85"/>
  <c r="C150" i="85"/>
  <c r="B150" i="85"/>
  <c r="C149" i="85"/>
  <c r="B149" i="85"/>
  <c r="D148" i="85"/>
  <c r="C148" i="85"/>
  <c r="B148" i="85"/>
  <c r="C147" i="85"/>
  <c r="B147" i="85"/>
  <c r="C146" i="85"/>
  <c r="B146" i="85"/>
  <c r="C145" i="85"/>
  <c r="B145" i="85"/>
  <c r="C144" i="85"/>
  <c r="B144" i="85"/>
  <c r="D143" i="85"/>
  <c r="C143" i="85"/>
  <c r="B143" i="85"/>
  <c r="C142" i="85"/>
  <c r="B142" i="85"/>
  <c r="C141" i="85"/>
  <c r="B141" i="85"/>
  <c r="C140" i="85"/>
  <c r="B140" i="85"/>
  <c r="C139" i="85"/>
  <c r="B139" i="85"/>
  <c r="D138" i="85"/>
  <c r="C138" i="85"/>
  <c r="B138" i="85"/>
  <c r="C137" i="85"/>
  <c r="B137" i="85"/>
  <c r="C136" i="85"/>
  <c r="B136" i="85"/>
  <c r="C135" i="85"/>
  <c r="B135" i="85"/>
  <c r="C134" i="85"/>
  <c r="B134" i="85"/>
  <c r="D133" i="85"/>
  <c r="C133" i="85"/>
  <c r="B133" i="85"/>
  <c r="C132" i="85"/>
  <c r="B132" i="85"/>
  <c r="C131" i="85"/>
  <c r="B131" i="85"/>
  <c r="C130" i="85"/>
  <c r="B130" i="85"/>
  <c r="C129" i="85"/>
  <c r="B129" i="85"/>
  <c r="D128" i="85"/>
  <c r="C127" i="85"/>
  <c r="B127" i="85"/>
  <c r="C126" i="85"/>
  <c r="B126" i="85"/>
  <c r="C125" i="85"/>
  <c r="B125" i="85"/>
  <c r="C124" i="85"/>
  <c r="B124" i="85"/>
  <c r="D123" i="85"/>
  <c r="C123" i="85"/>
  <c r="B123" i="85"/>
  <c r="C122" i="85"/>
  <c r="B122" i="85"/>
  <c r="C121" i="85"/>
  <c r="B121" i="85"/>
  <c r="C120" i="85"/>
  <c r="B120" i="85"/>
  <c r="C119" i="85"/>
  <c r="B119" i="85"/>
  <c r="D118" i="85"/>
  <c r="C118" i="85"/>
  <c r="B118" i="85"/>
  <c r="C117" i="85"/>
  <c r="B117" i="85"/>
  <c r="C116" i="85"/>
  <c r="B116" i="85"/>
  <c r="C115" i="85"/>
  <c r="B115" i="85"/>
  <c r="D115" i="85" s="1"/>
  <c r="C114" i="85"/>
  <c r="B114" i="85"/>
  <c r="D113" i="85"/>
  <c r="C113" i="85"/>
  <c r="B113" i="85"/>
  <c r="C112" i="85"/>
  <c r="B112" i="85"/>
  <c r="C111" i="85"/>
  <c r="B111" i="85"/>
  <c r="C110" i="85"/>
  <c r="B110" i="85"/>
  <c r="C109" i="85"/>
  <c r="B109" i="85"/>
  <c r="D108" i="85"/>
  <c r="C108" i="85"/>
  <c r="B108" i="85"/>
  <c r="C107" i="85"/>
  <c r="B107" i="85"/>
  <c r="C106" i="85"/>
  <c r="B106" i="85"/>
  <c r="C105" i="85"/>
  <c r="B105" i="85"/>
  <c r="C104" i="85"/>
  <c r="B104" i="85"/>
  <c r="D103" i="85"/>
  <c r="C103" i="85"/>
  <c r="B103" i="85"/>
  <c r="C102" i="85"/>
  <c r="B102" i="85"/>
  <c r="C101" i="85"/>
  <c r="B101" i="85"/>
  <c r="C100" i="85"/>
  <c r="B100" i="85"/>
  <c r="C99" i="85"/>
  <c r="B99" i="85"/>
  <c r="D98" i="85"/>
  <c r="C98" i="85"/>
  <c r="B98" i="85"/>
  <c r="C97" i="85"/>
  <c r="B97" i="85"/>
  <c r="C96" i="85"/>
  <c r="B96" i="85"/>
  <c r="C95" i="85"/>
  <c r="B95" i="85"/>
  <c r="C94" i="85"/>
  <c r="B94" i="85"/>
  <c r="D93" i="85"/>
  <c r="C93" i="85"/>
  <c r="B93" i="85"/>
  <c r="C92" i="85"/>
  <c r="B92" i="85"/>
  <c r="C91" i="85"/>
  <c r="B91" i="85"/>
  <c r="C90" i="85"/>
  <c r="B90" i="85"/>
  <c r="C89" i="85"/>
  <c r="B89" i="85"/>
  <c r="D88" i="85"/>
  <c r="C88" i="85"/>
  <c r="B88" i="85"/>
  <c r="C87" i="85"/>
  <c r="B87" i="85"/>
  <c r="C86" i="85"/>
  <c r="B86" i="85"/>
  <c r="C85" i="85"/>
  <c r="B85" i="85"/>
  <c r="C84" i="85"/>
  <c r="B84" i="85"/>
  <c r="D83" i="85"/>
  <c r="C83" i="85"/>
  <c r="B83" i="85"/>
  <c r="C82" i="85"/>
  <c r="B82" i="85"/>
  <c r="C81" i="85"/>
  <c r="B81" i="85"/>
  <c r="C80" i="85"/>
  <c r="B80" i="85"/>
  <c r="C79" i="85"/>
  <c r="B79" i="85"/>
  <c r="D78" i="85"/>
  <c r="C78" i="85"/>
  <c r="B78" i="85"/>
  <c r="C77" i="85"/>
  <c r="B77" i="85"/>
  <c r="C76" i="85"/>
  <c r="B76" i="85"/>
  <c r="C75" i="85"/>
  <c r="B75" i="85"/>
  <c r="C74" i="85"/>
  <c r="B74" i="85"/>
  <c r="D73" i="85"/>
  <c r="C73" i="85"/>
  <c r="B73" i="85"/>
  <c r="C72" i="85"/>
  <c r="B72" i="85"/>
  <c r="D72" i="85" s="1"/>
  <c r="C71" i="85"/>
  <c r="B71" i="85"/>
  <c r="C70" i="85"/>
  <c r="B70" i="85"/>
  <c r="C69" i="85"/>
  <c r="B69" i="85"/>
  <c r="D68" i="85"/>
  <c r="C67" i="85"/>
  <c r="B67" i="85"/>
  <c r="C66" i="85"/>
  <c r="B66" i="85"/>
  <c r="C65" i="85"/>
  <c r="B65" i="85"/>
  <c r="C64" i="85"/>
  <c r="B64" i="85"/>
  <c r="D63" i="85"/>
  <c r="C63" i="85"/>
  <c r="B63" i="85"/>
  <c r="C62" i="85"/>
  <c r="B62" i="85"/>
  <c r="C61" i="85"/>
  <c r="B61" i="85"/>
  <c r="C60" i="85"/>
  <c r="B60" i="85"/>
  <c r="C59" i="85"/>
  <c r="B59" i="85"/>
  <c r="D58" i="85"/>
  <c r="C58" i="85"/>
  <c r="B58" i="85"/>
  <c r="C57" i="85"/>
  <c r="B57" i="85"/>
  <c r="C56" i="85"/>
  <c r="B56" i="85"/>
  <c r="C55" i="85"/>
  <c r="B55" i="85"/>
  <c r="C54" i="85"/>
  <c r="B54" i="85"/>
  <c r="D53" i="85"/>
  <c r="C53" i="85"/>
  <c r="B53" i="85"/>
  <c r="C52" i="85"/>
  <c r="B52" i="85"/>
  <c r="C51" i="85"/>
  <c r="B51" i="85"/>
  <c r="C50" i="85"/>
  <c r="B50" i="85"/>
  <c r="C49" i="85"/>
  <c r="B49" i="85"/>
  <c r="D48" i="85"/>
  <c r="C48" i="85"/>
  <c r="B48" i="85"/>
  <c r="C47" i="85"/>
  <c r="B47" i="85"/>
  <c r="C46" i="85"/>
  <c r="B46" i="85"/>
  <c r="C45" i="85"/>
  <c r="B45" i="85"/>
  <c r="C44" i="85"/>
  <c r="B44" i="85"/>
  <c r="D43" i="85"/>
  <c r="C43" i="85"/>
  <c r="B43" i="85"/>
  <c r="C42" i="85"/>
  <c r="B42" i="85"/>
  <c r="C41" i="85"/>
  <c r="B41" i="85"/>
  <c r="C40" i="85"/>
  <c r="B40" i="85"/>
  <c r="C39" i="85"/>
  <c r="B39" i="85"/>
  <c r="D38" i="85"/>
  <c r="C38" i="85"/>
  <c r="B38" i="85"/>
  <c r="C37" i="85"/>
  <c r="B37" i="85"/>
  <c r="C36" i="85"/>
  <c r="B36" i="85"/>
  <c r="C35" i="85"/>
  <c r="B35" i="85"/>
  <c r="C34" i="85"/>
  <c r="B34" i="85"/>
  <c r="D33" i="85"/>
  <c r="C33" i="85"/>
  <c r="B33" i="85"/>
  <c r="C32" i="85"/>
  <c r="B32" i="85"/>
  <c r="C31" i="85"/>
  <c r="B31" i="85"/>
  <c r="C30" i="85"/>
  <c r="B30" i="85"/>
  <c r="C29" i="85"/>
  <c r="B29" i="85"/>
  <c r="D28" i="85"/>
  <c r="C28" i="85"/>
  <c r="B28" i="85"/>
  <c r="C27" i="85"/>
  <c r="B27" i="85"/>
  <c r="C26" i="85"/>
  <c r="B26" i="85"/>
  <c r="C25" i="85"/>
  <c r="B25" i="85"/>
  <c r="C24" i="85"/>
  <c r="B24" i="85"/>
  <c r="D23" i="85"/>
  <c r="C23" i="85"/>
  <c r="B23" i="85"/>
  <c r="C22" i="85"/>
  <c r="B22" i="85"/>
  <c r="C21" i="85"/>
  <c r="B21" i="85"/>
  <c r="C20" i="85"/>
  <c r="B20" i="85"/>
  <c r="C19" i="85"/>
  <c r="B19" i="85"/>
  <c r="D18" i="85"/>
  <c r="C18" i="85"/>
  <c r="B18" i="85"/>
  <c r="C17" i="85"/>
  <c r="B17" i="85"/>
  <c r="C16" i="85"/>
  <c r="B16" i="85"/>
  <c r="C15" i="85"/>
  <c r="B15" i="85"/>
  <c r="C14" i="85"/>
  <c r="B14" i="85"/>
  <c r="D13" i="85"/>
  <c r="C13" i="85"/>
  <c r="B13" i="85"/>
  <c r="C12" i="85"/>
  <c r="B12" i="85"/>
  <c r="C11" i="85"/>
  <c r="B11" i="85"/>
  <c r="C10" i="85"/>
  <c r="B10" i="85"/>
  <c r="C9" i="85"/>
  <c r="B9" i="85"/>
  <c r="D248" i="83"/>
  <c r="C247" i="83"/>
  <c r="B247" i="83"/>
  <c r="C246" i="83"/>
  <c r="B246" i="83"/>
  <c r="C245" i="83"/>
  <c r="B245" i="83"/>
  <c r="D245" i="83" s="1"/>
  <c r="C244" i="83"/>
  <c r="B244" i="83"/>
  <c r="D243" i="83"/>
  <c r="C243" i="83"/>
  <c r="B243" i="83"/>
  <c r="C242" i="83"/>
  <c r="B242" i="83"/>
  <c r="C241" i="83"/>
  <c r="B241" i="83"/>
  <c r="C240" i="83"/>
  <c r="B240" i="83"/>
  <c r="D240" i="83" s="1"/>
  <c r="C239" i="83"/>
  <c r="B239" i="83"/>
  <c r="D238" i="83"/>
  <c r="C238" i="83"/>
  <c r="B238" i="83"/>
  <c r="C237" i="83"/>
  <c r="B237" i="83"/>
  <c r="C236" i="83"/>
  <c r="B236" i="83"/>
  <c r="C235" i="83"/>
  <c r="B235" i="83"/>
  <c r="C234" i="83"/>
  <c r="B234" i="83"/>
  <c r="D233" i="83"/>
  <c r="C233" i="83"/>
  <c r="B233" i="83"/>
  <c r="C232" i="83"/>
  <c r="B232" i="83"/>
  <c r="C231" i="83"/>
  <c r="B231" i="83"/>
  <c r="D231" i="83" s="1"/>
  <c r="C230" i="83"/>
  <c r="B230" i="83"/>
  <c r="D230" i="83" s="1"/>
  <c r="C229" i="83"/>
  <c r="B229" i="83"/>
  <c r="D229" i="83" s="1"/>
  <c r="D228" i="83"/>
  <c r="C228" i="83"/>
  <c r="B228" i="83"/>
  <c r="C227" i="83"/>
  <c r="B227" i="83"/>
  <c r="C226" i="83"/>
  <c r="B226" i="83"/>
  <c r="C225" i="83"/>
  <c r="B225" i="83"/>
  <c r="C224" i="83"/>
  <c r="B224" i="83"/>
  <c r="D224" i="83" s="1"/>
  <c r="D223" i="83"/>
  <c r="C223" i="83"/>
  <c r="B223" i="83"/>
  <c r="C222" i="83"/>
  <c r="B222" i="83"/>
  <c r="D222" i="83" s="1"/>
  <c r="C221" i="83"/>
  <c r="B221" i="83"/>
  <c r="D221" i="83" s="1"/>
  <c r="C220" i="83"/>
  <c r="B220" i="83"/>
  <c r="C219" i="83"/>
  <c r="B219" i="83"/>
  <c r="D219" i="83" s="1"/>
  <c r="D218" i="83"/>
  <c r="C218" i="83"/>
  <c r="B218" i="83"/>
  <c r="C217" i="83"/>
  <c r="B217" i="83"/>
  <c r="C216" i="83"/>
  <c r="B216" i="83"/>
  <c r="C215" i="83"/>
  <c r="B215" i="83"/>
  <c r="C214" i="83"/>
  <c r="B214" i="83"/>
  <c r="D213" i="83"/>
  <c r="C213" i="83"/>
  <c r="B213" i="83"/>
  <c r="C212" i="83"/>
  <c r="B212" i="83"/>
  <c r="C211" i="83"/>
  <c r="B211" i="83"/>
  <c r="C210" i="83"/>
  <c r="B210" i="83"/>
  <c r="C209" i="83"/>
  <c r="B209" i="83"/>
  <c r="D208" i="83"/>
  <c r="C208" i="83"/>
  <c r="B208" i="83"/>
  <c r="C207" i="83"/>
  <c r="B207" i="83"/>
  <c r="C206" i="83"/>
  <c r="B206" i="83"/>
  <c r="C205" i="83"/>
  <c r="B205" i="83"/>
  <c r="C204" i="83"/>
  <c r="B204" i="83"/>
  <c r="D203" i="83"/>
  <c r="C203" i="83"/>
  <c r="B203" i="83"/>
  <c r="C202" i="83"/>
  <c r="B202" i="83"/>
  <c r="D202" i="83" s="1"/>
  <c r="C201" i="83"/>
  <c r="B201" i="83"/>
  <c r="D201" i="83" s="1"/>
  <c r="C200" i="83"/>
  <c r="B200" i="83"/>
  <c r="C199" i="83"/>
  <c r="B199" i="83"/>
  <c r="D199" i="83" s="1"/>
  <c r="D198" i="83"/>
  <c r="C198" i="83"/>
  <c r="B198" i="83"/>
  <c r="C197" i="83"/>
  <c r="B197" i="83"/>
  <c r="C196" i="83"/>
  <c r="B196" i="83"/>
  <c r="C195" i="83"/>
  <c r="B195" i="83"/>
  <c r="C194" i="83"/>
  <c r="B194" i="83"/>
  <c r="D193" i="83"/>
  <c r="C193" i="83"/>
  <c r="B193" i="83"/>
  <c r="C192" i="83"/>
  <c r="B192" i="83"/>
  <c r="C191" i="83"/>
  <c r="B191" i="83"/>
  <c r="C190" i="83"/>
  <c r="B190" i="83"/>
  <c r="D190" i="83" s="1"/>
  <c r="C189" i="83"/>
  <c r="B189" i="83"/>
  <c r="D189" i="83" s="1"/>
  <c r="D188" i="83"/>
  <c r="C187" i="83"/>
  <c r="B187" i="83"/>
  <c r="D187" i="83" s="1"/>
  <c r="C186" i="83"/>
  <c r="B186" i="83"/>
  <c r="C185" i="83"/>
  <c r="B185" i="83"/>
  <c r="D185" i="83" s="1"/>
  <c r="C184" i="83"/>
  <c r="B184" i="83"/>
  <c r="D183" i="83"/>
  <c r="C183" i="83"/>
  <c r="B183" i="83"/>
  <c r="C182" i="83"/>
  <c r="B182" i="83"/>
  <c r="C181" i="83"/>
  <c r="B181" i="83"/>
  <c r="D181" i="83" s="1"/>
  <c r="C180" i="83"/>
  <c r="B180" i="83"/>
  <c r="C179" i="83"/>
  <c r="B179" i="83"/>
  <c r="D178" i="83"/>
  <c r="C178" i="83"/>
  <c r="B178" i="83"/>
  <c r="C177" i="83"/>
  <c r="B177" i="83"/>
  <c r="C176" i="83"/>
  <c r="B176" i="83"/>
  <c r="C175" i="83"/>
  <c r="B175" i="83"/>
  <c r="C174" i="83"/>
  <c r="B174" i="83"/>
  <c r="D174" i="83" s="1"/>
  <c r="D173" i="83"/>
  <c r="C173" i="83"/>
  <c r="B173" i="83"/>
  <c r="C172" i="83"/>
  <c r="B172" i="83"/>
  <c r="C171" i="83"/>
  <c r="B171" i="83"/>
  <c r="C170" i="83"/>
  <c r="B170" i="83"/>
  <c r="D170" i="83" s="1"/>
  <c r="C169" i="83"/>
  <c r="B169" i="83"/>
  <c r="D168" i="83"/>
  <c r="C168" i="83"/>
  <c r="B168" i="83"/>
  <c r="C167" i="83"/>
  <c r="B167" i="83"/>
  <c r="C166" i="83"/>
  <c r="B166" i="83"/>
  <c r="C165" i="83"/>
  <c r="B165" i="83"/>
  <c r="C164" i="83"/>
  <c r="B164" i="83"/>
  <c r="D164" i="83" s="1"/>
  <c r="D163" i="83"/>
  <c r="C163" i="83"/>
  <c r="B163" i="83"/>
  <c r="C162" i="83"/>
  <c r="B162" i="83"/>
  <c r="C161" i="83"/>
  <c r="B161" i="83"/>
  <c r="D161" i="83" s="1"/>
  <c r="C160" i="83"/>
  <c r="B160" i="83"/>
  <c r="C159" i="83"/>
  <c r="B159" i="83"/>
  <c r="D159" i="83" s="1"/>
  <c r="D158" i="83"/>
  <c r="C158" i="83"/>
  <c r="B158" i="83"/>
  <c r="C157" i="83"/>
  <c r="B157" i="83"/>
  <c r="C156" i="83"/>
  <c r="B156" i="83"/>
  <c r="C155" i="83"/>
  <c r="D155" i="83" s="1"/>
  <c r="B155" i="83"/>
  <c r="C154" i="83"/>
  <c r="B154" i="83"/>
  <c r="D153" i="83"/>
  <c r="C153" i="83"/>
  <c r="B153" i="83"/>
  <c r="C152" i="83"/>
  <c r="B152" i="83"/>
  <c r="D152" i="83" s="1"/>
  <c r="C151" i="83"/>
  <c r="B151" i="83"/>
  <c r="C150" i="83"/>
  <c r="B150" i="83"/>
  <c r="D150" i="83" s="1"/>
  <c r="C149" i="83"/>
  <c r="B149" i="83"/>
  <c r="D148" i="83"/>
  <c r="C148" i="83"/>
  <c r="B148" i="83"/>
  <c r="C147" i="83"/>
  <c r="B147" i="83"/>
  <c r="C146" i="83"/>
  <c r="B146" i="83"/>
  <c r="C145" i="83"/>
  <c r="B145" i="83"/>
  <c r="C144" i="83"/>
  <c r="B144" i="83"/>
  <c r="D143" i="83"/>
  <c r="C143" i="83"/>
  <c r="B143" i="83"/>
  <c r="C142" i="83"/>
  <c r="B142" i="83"/>
  <c r="C141" i="83"/>
  <c r="B141" i="83"/>
  <c r="C140" i="83"/>
  <c r="B140" i="83"/>
  <c r="C139" i="83"/>
  <c r="B139" i="83"/>
  <c r="D138" i="83"/>
  <c r="C138" i="83"/>
  <c r="B138" i="83"/>
  <c r="C137" i="83"/>
  <c r="B137" i="83"/>
  <c r="D137" i="83" s="1"/>
  <c r="C136" i="83"/>
  <c r="B136" i="83"/>
  <c r="C135" i="83"/>
  <c r="B135" i="83"/>
  <c r="C134" i="83"/>
  <c r="B134" i="83"/>
  <c r="D133" i="83"/>
  <c r="C133" i="83"/>
  <c r="B133" i="83"/>
  <c r="C132" i="83"/>
  <c r="B132" i="83"/>
  <c r="C131" i="83"/>
  <c r="B131" i="83"/>
  <c r="C130" i="83"/>
  <c r="B130" i="83"/>
  <c r="C129" i="83"/>
  <c r="B129" i="83"/>
  <c r="D128" i="83"/>
  <c r="C127" i="83"/>
  <c r="B127" i="83"/>
  <c r="C126" i="83"/>
  <c r="B126" i="83"/>
  <c r="C125" i="83"/>
  <c r="B125" i="83"/>
  <c r="D125" i="83" s="1"/>
  <c r="C124" i="83"/>
  <c r="B124" i="83"/>
  <c r="D123" i="83"/>
  <c r="C123" i="83"/>
  <c r="B123" i="83"/>
  <c r="C122" i="83"/>
  <c r="B122" i="83"/>
  <c r="D122" i="83" s="1"/>
  <c r="C121" i="83"/>
  <c r="B121" i="83"/>
  <c r="C120" i="83"/>
  <c r="B120" i="83"/>
  <c r="D120" i="83" s="1"/>
  <c r="C119" i="83"/>
  <c r="B119" i="83"/>
  <c r="D119" i="83" s="1"/>
  <c r="D118" i="83"/>
  <c r="C118" i="83"/>
  <c r="B118" i="83"/>
  <c r="C117" i="83"/>
  <c r="B117" i="83"/>
  <c r="C116" i="83"/>
  <c r="B116" i="83"/>
  <c r="C115" i="83"/>
  <c r="B115" i="83"/>
  <c r="C114" i="83"/>
  <c r="B114" i="83"/>
  <c r="D114" i="83" s="1"/>
  <c r="D113" i="83"/>
  <c r="C113" i="83"/>
  <c r="B113" i="83"/>
  <c r="C112" i="83"/>
  <c r="B112" i="83"/>
  <c r="C111" i="83"/>
  <c r="B111" i="83"/>
  <c r="C110" i="83"/>
  <c r="B110" i="83"/>
  <c r="C109" i="83"/>
  <c r="B109" i="83"/>
  <c r="D108" i="83"/>
  <c r="C108" i="83"/>
  <c r="B108" i="83"/>
  <c r="C107" i="83"/>
  <c r="B107" i="83"/>
  <c r="C106" i="83"/>
  <c r="B106" i="83"/>
  <c r="D106" i="83" s="1"/>
  <c r="C105" i="83"/>
  <c r="B105" i="83"/>
  <c r="C104" i="83"/>
  <c r="B104" i="83"/>
  <c r="D104" i="83" s="1"/>
  <c r="D103" i="83"/>
  <c r="C103" i="83"/>
  <c r="B103" i="83"/>
  <c r="C102" i="83"/>
  <c r="B102" i="83"/>
  <c r="C101" i="83"/>
  <c r="B101" i="83"/>
  <c r="C100" i="83"/>
  <c r="B100" i="83"/>
  <c r="C99" i="83"/>
  <c r="B99" i="83"/>
  <c r="D98" i="83"/>
  <c r="C98" i="83"/>
  <c r="B98" i="83"/>
  <c r="C97" i="83"/>
  <c r="B97" i="83"/>
  <c r="C96" i="83"/>
  <c r="B96" i="83"/>
  <c r="C95" i="83"/>
  <c r="B95" i="83"/>
  <c r="C94" i="83"/>
  <c r="B94" i="83"/>
  <c r="D93" i="83"/>
  <c r="C93" i="83"/>
  <c r="B93" i="83"/>
  <c r="C92" i="83"/>
  <c r="B92" i="83"/>
  <c r="C91" i="83"/>
  <c r="B91" i="83"/>
  <c r="C90" i="83"/>
  <c r="B90" i="83"/>
  <c r="C89" i="83"/>
  <c r="B89" i="83"/>
  <c r="D88" i="83"/>
  <c r="C88" i="83"/>
  <c r="B88" i="83"/>
  <c r="C87" i="83"/>
  <c r="B87" i="83"/>
  <c r="C86" i="83"/>
  <c r="B86" i="83"/>
  <c r="C85" i="83"/>
  <c r="B85" i="83"/>
  <c r="C84" i="83"/>
  <c r="B84" i="83"/>
  <c r="D83" i="83"/>
  <c r="C83" i="83"/>
  <c r="B83" i="83"/>
  <c r="C82" i="83"/>
  <c r="B82" i="83"/>
  <c r="C81" i="83"/>
  <c r="B81" i="83"/>
  <c r="D81" i="83" s="1"/>
  <c r="C80" i="83"/>
  <c r="B80" i="83"/>
  <c r="C79" i="83"/>
  <c r="B79" i="83"/>
  <c r="D79" i="83" s="1"/>
  <c r="D78" i="83"/>
  <c r="C78" i="83"/>
  <c r="B78" i="83"/>
  <c r="C77" i="83"/>
  <c r="B77" i="83"/>
  <c r="C76" i="83"/>
  <c r="B76" i="83"/>
  <c r="C75" i="83"/>
  <c r="B75" i="83"/>
  <c r="C74" i="83"/>
  <c r="B74" i="83"/>
  <c r="D73" i="83"/>
  <c r="C73" i="83"/>
  <c r="B73" i="83"/>
  <c r="C72" i="83"/>
  <c r="B72" i="83"/>
  <c r="D72" i="83" s="1"/>
  <c r="C71" i="83"/>
  <c r="B71" i="83"/>
  <c r="C70" i="83"/>
  <c r="B70" i="83"/>
  <c r="C69" i="83"/>
  <c r="B69" i="83"/>
  <c r="D68" i="83"/>
  <c r="C67" i="83"/>
  <c r="B67" i="83"/>
  <c r="D67" i="83" s="1"/>
  <c r="C66" i="83"/>
  <c r="B66" i="83"/>
  <c r="D66" i="83" s="1"/>
  <c r="C65" i="83"/>
  <c r="B65" i="83"/>
  <c r="D65" i="83" s="1"/>
  <c r="C64" i="83"/>
  <c r="B64" i="83"/>
  <c r="D64" i="83" s="1"/>
  <c r="D63" i="83"/>
  <c r="C63" i="83"/>
  <c r="B63" i="83"/>
  <c r="C62" i="83"/>
  <c r="B62" i="83"/>
  <c r="C61" i="83"/>
  <c r="B61" i="83"/>
  <c r="D61" i="83" s="1"/>
  <c r="C60" i="83"/>
  <c r="B60" i="83"/>
  <c r="C59" i="83"/>
  <c r="B59" i="83"/>
  <c r="D58" i="83"/>
  <c r="C58" i="83"/>
  <c r="B58" i="83"/>
  <c r="C57" i="83"/>
  <c r="B57" i="83"/>
  <c r="C56" i="83"/>
  <c r="B56" i="83"/>
  <c r="C55" i="83"/>
  <c r="B55" i="83"/>
  <c r="C54" i="83"/>
  <c r="B54" i="83"/>
  <c r="D54" i="83" s="1"/>
  <c r="D53" i="83"/>
  <c r="C53" i="83"/>
  <c r="B53" i="83"/>
  <c r="C52" i="83"/>
  <c r="D52" i="83" s="1"/>
  <c r="B52" i="83"/>
  <c r="C51" i="83"/>
  <c r="B51" i="83"/>
  <c r="D51" i="83" s="1"/>
  <c r="C50" i="83"/>
  <c r="B50" i="83"/>
  <c r="C49" i="83"/>
  <c r="B49" i="83"/>
  <c r="D48" i="83"/>
  <c r="C48" i="83"/>
  <c r="B48" i="83"/>
  <c r="C47" i="83"/>
  <c r="B47" i="83"/>
  <c r="D47" i="83" s="1"/>
  <c r="C46" i="83"/>
  <c r="B46" i="83"/>
  <c r="C45" i="83"/>
  <c r="D45" i="83" s="1"/>
  <c r="B45" i="83"/>
  <c r="C44" i="83"/>
  <c r="B44" i="83"/>
  <c r="D44" i="83" s="1"/>
  <c r="D43" i="83"/>
  <c r="C43" i="83"/>
  <c r="B43" i="83"/>
  <c r="C42" i="83"/>
  <c r="B42" i="83"/>
  <c r="D42" i="83" s="1"/>
  <c r="C41" i="83"/>
  <c r="B41" i="83"/>
  <c r="C40" i="83"/>
  <c r="B40" i="83"/>
  <c r="D40" i="83" s="1"/>
  <c r="C39" i="83"/>
  <c r="B39" i="83"/>
  <c r="D38" i="83"/>
  <c r="C38" i="83"/>
  <c r="B38" i="83"/>
  <c r="C37" i="83"/>
  <c r="B37" i="83"/>
  <c r="C36" i="83"/>
  <c r="B36" i="83"/>
  <c r="D36" i="83" s="1"/>
  <c r="C35" i="83"/>
  <c r="B35" i="83"/>
  <c r="C34" i="83"/>
  <c r="B34" i="83"/>
  <c r="D33" i="83"/>
  <c r="C33" i="83"/>
  <c r="B33" i="83"/>
  <c r="C32" i="83"/>
  <c r="B32" i="83"/>
  <c r="D32" i="83" s="1"/>
  <c r="C31" i="83"/>
  <c r="B31" i="83"/>
  <c r="C30" i="83"/>
  <c r="B30" i="83"/>
  <c r="C29" i="83"/>
  <c r="B29" i="83"/>
  <c r="D29" i="83" s="1"/>
  <c r="D28" i="83"/>
  <c r="C28" i="83"/>
  <c r="B28" i="83"/>
  <c r="C27" i="83"/>
  <c r="B27" i="83"/>
  <c r="C26" i="83"/>
  <c r="B26" i="83"/>
  <c r="D26" i="83" s="1"/>
  <c r="C25" i="83"/>
  <c r="B25" i="83"/>
  <c r="D25" i="83" s="1"/>
  <c r="C24" i="83"/>
  <c r="B24" i="83"/>
  <c r="D23" i="83"/>
  <c r="C23" i="83"/>
  <c r="B23" i="83"/>
  <c r="C22" i="83"/>
  <c r="B22" i="83"/>
  <c r="C21" i="83"/>
  <c r="B21" i="83"/>
  <c r="C20" i="83"/>
  <c r="B20" i="83"/>
  <c r="C19" i="83"/>
  <c r="B19" i="83"/>
  <c r="D18" i="83"/>
  <c r="C18" i="83"/>
  <c r="B18" i="83"/>
  <c r="C17" i="83"/>
  <c r="B17" i="83"/>
  <c r="D17" i="83" s="1"/>
  <c r="C16" i="83"/>
  <c r="B16" i="83"/>
  <c r="C15" i="83"/>
  <c r="B15" i="83"/>
  <c r="C14" i="83"/>
  <c r="B14" i="83"/>
  <c r="D13" i="83"/>
  <c r="C13" i="83"/>
  <c r="B13" i="83"/>
  <c r="C12" i="83"/>
  <c r="B12" i="83"/>
  <c r="C11" i="83"/>
  <c r="B11" i="83"/>
  <c r="C10" i="83"/>
  <c r="B10" i="83"/>
  <c r="C9" i="83"/>
  <c r="B9" i="83"/>
  <c r="D9" i="83" s="1"/>
  <c r="H248" i="81"/>
  <c r="D248" i="81"/>
  <c r="C247" i="81"/>
  <c r="B247" i="81"/>
  <c r="C246" i="81"/>
  <c r="B246" i="81"/>
  <c r="C245" i="81"/>
  <c r="B245" i="81"/>
  <c r="C244" i="81"/>
  <c r="B244" i="81"/>
  <c r="H243" i="81"/>
  <c r="D243" i="81"/>
  <c r="C243" i="81"/>
  <c r="B243" i="81"/>
  <c r="C242" i="81"/>
  <c r="B242" i="81"/>
  <c r="C241" i="81"/>
  <c r="B241" i="81"/>
  <c r="C240" i="81"/>
  <c r="B240" i="81"/>
  <c r="C239" i="81"/>
  <c r="B239" i="81"/>
  <c r="H238" i="81"/>
  <c r="D238" i="81"/>
  <c r="C238" i="81"/>
  <c r="B238" i="81"/>
  <c r="C237" i="81"/>
  <c r="B237" i="81"/>
  <c r="C236" i="81"/>
  <c r="B236" i="81"/>
  <c r="C235" i="81"/>
  <c r="B235" i="81"/>
  <c r="C234" i="81"/>
  <c r="B234" i="81"/>
  <c r="H233" i="81"/>
  <c r="D233" i="81"/>
  <c r="C233" i="81"/>
  <c r="B233" i="81"/>
  <c r="C232" i="81"/>
  <c r="B232" i="81"/>
  <c r="C231" i="81"/>
  <c r="B231" i="81"/>
  <c r="C230" i="81"/>
  <c r="B230" i="81"/>
  <c r="C229" i="81"/>
  <c r="B229" i="81"/>
  <c r="H228" i="81"/>
  <c r="D228" i="81"/>
  <c r="C228" i="81"/>
  <c r="B228" i="81"/>
  <c r="C227" i="81"/>
  <c r="B227" i="81"/>
  <c r="C226" i="81"/>
  <c r="B226" i="81"/>
  <c r="C225" i="81"/>
  <c r="B225" i="81"/>
  <c r="C224" i="81"/>
  <c r="B224" i="81"/>
  <c r="H223" i="81"/>
  <c r="D223" i="81"/>
  <c r="C223" i="81"/>
  <c r="B223" i="81"/>
  <c r="C222" i="81"/>
  <c r="B222" i="81"/>
  <c r="C221" i="81"/>
  <c r="B221" i="81"/>
  <c r="C220" i="81"/>
  <c r="B220" i="81"/>
  <c r="C219" i="81"/>
  <c r="B219" i="81"/>
  <c r="H218" i="81"/>
  <c r="D218" i="81"/>
  <c r="C218" i="81"/>
  <c r="B218" i="81"/>
  <c r="C217" i="81"/>
  <c r="B217" i="81"/>
  <c r="C216" i="81"/>
  <c r="B216" i="81"/>
  <c r="C215" i="81"/>
  <c r="B215" i="81"/>
  <c r="C214" i="81"/>
  <c r="B214" i="81"/>
  <c r="H213" i="81"/>
  <c r="D213" i="81"/>
  <c r="C213" i="81"/>
  <c r="B213" i="81"/>
  <c r="C212" i="81"/>
  <c r="B212" i="81"/>
  <c r="C211" i="81"/>
  <c r="B211" i="81"/>
  <c r="C210" i="81"/>
  <c r="B210" i="81"/>
  <c r="C209" i="81"/>
  <c r="B209" i="81"/>
  <c r="H208" i="81"/>
  <c r="D208" i="81"/>
  <c r="C208" i="81"/>
  <c r="B208" i="81"/>
  <c r="C207" i="81"/>
  <c r="B207" i="81"/>
  <c r="C206" i="81"/>
  <c r="B206" i="81"/>
  <c r="C205" i="81"/>
  <c r="B205" i="81"/>
  <c r="C204" i="81"/>
  <c r="B204" i="81"/>
  <c r="H203" i="81"/>
  <c r="D203" i="81"/>
  <c r="C203" i="81"/>
  <c r="B203" i="81"/>
  <c r="C202" i="81"/>
  <c r="B202" i="81"/>
  <c r="C201" i="81"/>
  <c r="B201" i="81"/>
  <c r="C200" i="81"/>
  <c r="B200" i="81"/>
  <c r="C199" i="81"/>
  <c r="B199" i="81"/>
  <c r="H198" i="81"/>
  <c r="D198" i="81"/>
  <c r="C198" i="81"/>
  <c r="B198" i="81"/>
  <c r="C197" i="81"/>
  <c r="B197" i="81"/>
  <c r="C196" i="81"/>
  <c r="B196" i="81"/>
  <c r="C195" i="81"/>
  <c r="B195" i="81"/>
  <c r="C194" i="81"/>
  <c r="B194" i="81"/>
  <c r="H193" i="81"/>
  <c r="D193" i="81"/>
  <c r="C193" i="81"/>
  <c r="B193" i="81"/>
  <c r="C192" i="81"/>
  <c r="B192" i="81"/>
  <c r="C191" i="81"/>
  <c r="B191" i="81"/>
  <c r="C190" i="81"/>
  <c r="B190" i="81"/>
  <c r="C189" i="81"/>
  <c r="B189" i="81"/>
  <c r="H188" i="81"/>
  <c r="D188" i="81"/>
  <c r="C187" i="81"/>
  <c r="B187" i="81"/>
  <c r="C186" i="81"/>
  <c r="B186" i="81"/>
  <c r="C185" i="81"/>
  <c r="B185" i="81"/>
  <c r="C184" i="81"/>
  <c r="B184" i="81"/>
  <c r="H183" i="81"/>
  <c r="D183" i="81"/>
  <c r="C183" i="81"/>
  <c r="B183" i="81"/>
  <c r="C182" i="81"/>
  <c r="B182" i="81"/>
  <c r="C181" i="81"/>
  <c r="B181" i="81"/>
  <c r="C180" i="81"/>
  <c r="B180" i="81"/>
  <c r="C179" i="81"/>
  <c r="B179" i="81"/>
  <c r="H178" i="81"/>
  <c r="D178" i="81"/>
  <c r="C178" i="81"/>
  <c r="B178" i="81"/>
  <c r="C177" i="81"/>
  <c r="B177" i="81"/>
  <c r="C176" i="81"/>
  <c r="B176" i="81"/>
  <c r="C175" i="81"/>
  <c r="B175" i="81"/>
  <c r="C174" i="81"/>
  <c r="B174" i="81"/>
  <c r="H173" i="81"/>
  <c r="D173" i="81"/>
  <c r="C173" i="81"/>
  <c r="B173" i="81"/>
  <c r="C172" i="81"/>
  <c r="B172" i="81"/>
  <c r="C171" i="81"/>
  <c r="B171" i="81"/>
  <c r="C170" i="81"/>
  <c r="B170" i="81"/>
  <c r="C169" i="81"/>
  <c r="B169" i="81"/>
  <c r="H168" i="81"/>
  <c r="D168" i="81"/>
  <c r="C168" i="81"/>
  <c r="B168" i="81"/>
  <c r="C167" i="81"/>
  <c r="B167" i="81"/>
  <c r="C166" i="81"/>
  <c r="B166" i="81"/>
  <c r="C165" i="81"/>
  <c r="B165" i="81"/>
  <c r="C164" i="81"/>
  <c r="B164" i="81"/>
  <c r="H163" i="81"/>
  <c r="D163" i="81"/>
  <c r="C163" i="81"/>
  <c r="B163" i="81"/>
  <c r="C162" i="81"/>
  <c r="B162" i="81"/>
  <c r="C161" i="81"/>
  <c r="B161" i="81"/>
  <c r="C160" i="81"/>
  <c r="B160" i="81"/>
  <c r="C159" i="81"/>
  <c r="B159" i="81"/>
  <c r="H158" i="81"/>
  <c r="D158" i="81"/>
  <c r="C158" i="81"/>
  <c r="B158" i="81"/>
  <c r="C157" i="81"/>
  <c r="B157" i="81"/>
  <c r="C156" i="81"/>
  <c r="B156" i="81"/>
  <c r="C155" i="81"/>
  <c r="B155" i="81"/>
  <c r="C154" i="81"/>
  <c r="B154" i="81"/>
  <c r="H153" i="81"/>
  <c r="D153" i="81"/>
  <c r="C153" i="81"/>
  <c r="B153" i="81"/>
  <c r="C152" i="81"/>
  <c r="B152" i="81"/>
  <c r="C151" i="81"/>
  <c r="B151" i="81"/>
  <c r="C150" i="81"/>
  <c r="B150" i="81"/>
  <c r="C149" i="81"/>
  <c r="B149" i="81"/>
  <c r="H148" i="81"/>
  <c r="D148" i="81"/>
  <c r="C148" i="81"/>
  <c r="B148" i="81"/>
  <c r="C147" i="81"/>
  <c r="B147" i="81"/>
  <c r="C146" i="81"/>
  <c r="B146" i="81"/>
  <c r="C145" i="81"/>
  <c r="B145" i="81"/>
  <c r="C144" i="81"/>
  <c r="B144" i="81"/>
  <c r="H143" i="81"/>
  <c r="D143" i="81"/>
  <c r="C143" i="81"/>
  <c r="B143" i="81"/>
  <c r="C142" i="81"/>
  <c r="B142" i="81"/>
  <c r="C141" i="81"/>
  <c r="B141" i="81"/>
  <c r="C140" i="81"/>
  <c r="B140" i="81"/>
  <c r="C139" i="81"/>
  <c r="B139" i="81"/>
  <c r="H138" i="81"/>
  <c r="D138" i="81"/>
  <c r="C138" i="81"/>
  <c r="B138" i="81"/>
  <c r="C137" i="81"/>
  <c r="B137" i="81"/>
  <c r="C136" i="81"/>
  <c r="B136" i="81"/>
  <c r="C135" i="81"/>
  <c r="B135" i="81"/>
  <c r="C134" i="81"/>
  <c r="B134" i="81"/>
  <c r="H133" i="81"/>
  <c r="D133" i="81"/>
  <c r="C133" i="81"/>
  <c r="B133" i="81"/>
  <c r="C132" i="81"/>
  <c r="B132" i="81"/>
  <c r="C131" i="81"/>
  <c r="B131" i="81"/>
  <c r="C130" i="81"/>
  <c r="B130" i="81"/>
  <c r="C129" i="81"/>
  <c r="B129" i="81"/>
  <c r="H128" i="81"/>
  <c r="D128" i="81"/>
  <c r="C127" i="81"/>
  <c r="B127" i="81"/>
  <c r="C126" i="81"/>
  <c r="B126" i="81"/>
  <c r="C125" i="81"/>
  <c r="B125" i="81"/>
  <c r="C124" i="81"/>
  <c r="B124" i="81"/>
  <c r="H123" i="81"/>
  <c r="D123" i="81"/>
  <c r="C123" i="81"/>
  <c r="B123" i="81"/>
  <c r="C122" i="81"/>
  <c r="B122" i="81"/>
  <c r="C121" i="81"/>
  <c r="B121" i="81"/>
  <c r="C120" i="81"/>
  <c r="B120" i="81"/>
  <c r="C119" i="81"/>
  <c r="B119" i="81"/>
  <c r="H118" i="81"/>
  <c r="D118" i="81"/>
  <c r="C118" i="81"/>
  <c r="B118" i="81"/>
  <c r="C117" i="81"/>
  <c r="B117" i="81"/>
  <c r="C116" i="81"/>
  <c r="B116" i="81"/>
  <c r="C115" i="81"/>
  <c r="B115" i="81"/>
  <c r="C114" i="81"/>
  <c r="B114" i="81"/>
  <c r="H113" i="81"/>
  <c r="D113" i="81"/>
  <c r="C113" i="81"/>
  <c r="B113" i="81"/>
  <c r="C112" i="81"/>
  <c r="B112" i="81"/>
  <c r="C111" i="81"/>
  <c r="B111" i="81"/>
  <c r="C110" i="81"/>
  <c r="B110" i="81"/>
  <c r="C109" i="81"/>
  <c r="B109" i="81"/>
  <c r="H108" i="81"/>
  <c r="D108" i="81"/>
  <c r="C108" i="81"/>
  <c r="B108" i="81"/>
  <c r="C107" i="81"/>
  <c r="B107" i="81"/>
  <c r="C106" i="81"/>
  <c r="B106" i="81"/>
  <c r="C105" i="81"/>
  <c r="B105" i="81"/>
  <c r="C104" i="81"/>
  <c r="B104" i="81"/>
  <c r="H103" i="81"/>
  <c r="D103" i="81"/>
  <c r="C103" i="81"/>
  <c r="B103" i="81"/>
  <c r="C102" i="81"/>
  <c r="B102" i="81"/>
  <c r="C101" i="81"/>
  <c r="B101" i="81"/>
  <c r="C100" i="81"/>
  <c r="B100" i="81"/>
  <c r="C99" i="81"/>
  <c r="B99" i="81"/>
  <c r="H98" i="81"/>
  <c r="D98" i="81"/>
  <c r="C98" i="81"/>
  <c r="B98" i="81"/>
  <c r="C97" i="81"/>
  <c r="B97" i="81"/>
  <c r="C96" i="81"/>
  <c r="B96" i="81"/>
  <c r="C95" i="81"/>
  <c r="B95" i="81"/>
  <c r="C94" i="81"/>
  <c r="B94" i="81"/>
  <c r="H93" i="81"/>
  <c r="D93" i="81"/>
  <c r="C93" i="81"/>
  <c r="B93" i="81"/>
  <c r="C92" i="81"/>
  <c r="B92" i="81"/>
  <c r="C91" i="81"/>
  <c r="B91" i="81"/>
  <c r="C90" i="81"/>
  <c r="B90" i="81"/>
  <c r="C89" i="81"/>
  <c r="B89" i="81"/>
  <c r="H88" i="81"/>
  <c r="D88" i="81"/>
  <c r="C88" i="81"/>
  <c r="B88" i="81"/>
  <c r="C87" i="81"/>
  <c r="B87" i="81"/>
  <c r="C86" i="81"/>
  <c r="B86" i="81"/>
  <c r="C85" i="81"/>
  <c r="B85" i="81"/>
  <c r="C84" i="81"/>
  <c r="B84" i="81"/>
  <c r="H83" i="81"/>
  <c r="D83" i="81"/>
  <c r="C83" i="81"/>
  <c r="B83" i="81"/>
  <c r="C82" i="81"/>
  <c r="B82" i="81"/>
  <c r="C81" i="81"/>
  <c r="B81" i="81"/>
  <c r="C80" i="81"/>
  <c r="B80" i="81"/>
  <c r="C79" i="81"/>
  <c r="B79" i="81"/>
  <c r="H78" i="81"/>
  <c r="D78" i="81"/>
  <c r="C78" i="81"/>
  <c r="B78" i="81"/>
  <c r="C77" i="81"/>
  <c r="B77" i="81"/>
  <c r="C76" i="81"/>
  <c r="B76" i="81"/>
  <c r="C75" i="81"/>
  <c r="B75" i="81"/>
  <c r="C74" i="81"/>
  <c r="B74" i="81"/>
  <c r="H73" i="81"/>
  <c r="D73" i="81"/>
  <c r="C73" i="81"/>
  <c r="B73" i="81"/>
  <c r="C72" i="81"/>
  <c r="B72" i="81"/>
  <c r="C71" i="81"/>
  <c r="B71" i="81"/>
  <c r="C70" i="81"/>
  <c r="B70" i="81"/>
  <c r="C69" i="81"/>
  <c r="B69" i="81"/>
  <c r="H68" i="81"/>
  <c r="D68" i="81"/>
  <c r="C67" i="81"/>
  <c r="B67" i="81"/>
  <c r="C66" i="81"/>
  <c r="B66" i="81"/>
  <c r="C65" i="81"/>
  <c r="B65" i="81"/>
  <c r="C64" i="81"/>
  <c r="B64" i="81"/>
  <c r="H63" i="81"/>
  <c r="D63" i="81"/>
  <c r="C63" i="81"/>
  <c r="B63" i="81"/>
  <c r="C62" i="81"/>
  <c r="B62" i="81"/>
  <c r="C61" i="81"/>
  <c r="B61" i="81"/>
  <c r="C60" i="81"/>
  <c r="B60" i="81"/>
  <c r="C59" i="81"/>
  <c r="B59" i="81"/>
  <c r="H58" i="81"/>
  <c r="D58" i="81"/>
  <c r="C58" i="81"/>
  <c r="B58" i="81"/>
  <c r="C57" i="81"/>
  <c r="B57" i="81"/>
  <c r="C56" i="81"/>
  <c r="B56" i="81"/>
  <c r="C55" i="81"/>
  <c r="B55" i="81"/>
  <c r="C54" i="81"/>
  <c r="B54" i="81"/>
  <c r="H53" i="81"/>
  <c r="D53" i="81"/>
  <c r="C53" i="81"/>
  <c r="B53" i="81"/>
  <c r="C52" i="81"/>
  <c r="B52" i="81"/>
  <c r="C51" i="81"/>
  <c r="B51" i="81"/>
  <c r="C50" i="81"/>
  <c r="B50" i="81"/>
  <c r="C49" i="81"/>
  <c r="B49" i="81"/>
  <c r="H48" i="81"/>
  <c r="D48" i="81"/>
  <c r="C48" i="81"/>
  <c r="B48" i="81"/>
  <c r="C47" i="81"/>
  <c r="B47" i="81"/>
  <c r="C46" i="81"/>
  <c r="B46" i="81"/>
  <c r="C45" i="81"/>
  <c r="B45" i="81"/>
  <c r="C44" i="81"/>
  <c r="B44" i="81"/>
  <c r="H43" i="81"/>
  <c r="D43" i="81"/>
  <c r="C43" i="81"/>
  <c r="B43" i="81"/>
  <c r="C42" i="81"/>
  <c r="B42" i="81"/>
  <c r="C41" i="81"/>
  <c r="B41" i="81"/>
  <c r="C40" i="81"/>
  <c r="B40" i="81"/>
  <c r="C39" i="81"/>
  <c r="B39" i="81"/>
  <c r="H38" i="81"/>
  <c r="D38" i="81"/>
  <c r="C38" i="81"/>
  <c r="B38" i="81"/>
  <c r="C37" i="81"/>
  <c r="B37" i="81"/>
  <c r="C36" i="81"/>
  <c r="B36" i="81"/>
  <c r="C35" i="81"/>
  <c r="B35" i="81"/>
  <c r="C34" i="81"/>
  <c r="B34" i="81"/>
  <c r="H33" i="81"/>
  <c r="D33" i="81"/>
  <c r="C33" i="81"/>
  <c r="B33" i="81"/>
  <c r="C32" i="81"/>
  <c r="B32" i="81"/>
  <c r="C31" i="81"/>
  <c r="B31" i="81"/>
  <c r="C30" i="81"/>
  <c r="B30" i="81"/>
  <c r="C29" i="81"/>
  <c r="B29" i="81"/>
  <c r="H28" i="81"/>
  <c r="D28" i="81"/>
  <c r="C28" i="81"/>
  <c r="B28" i="81"/>
  <c r="C27" i="81"/>
  <c r="B27" i="81"/>
  <c r="C26" i="81"/>
  <c r="B26" i="81"/>
  <c r="C25" i="81"/>
  <c r="B25" i="81"/>
  <c r="C24" i="81"/>
  <c r="B24" i="81"/>
  <c r="H23" i="81"/>
  <c r="D23" i="81"/>
  <c r="C23" i="81"/>
  <c r="B23" i="81"/>
  <c r="C22" i="81"/>
  <c r="B22" i="81"/>
  <c r="C21" i="81"/>
  <c r="B21" i="81"/>
  <c r="C20" i="81"/>
  <c r="B20" i="81"/>
  <c r="C19" i="81"/>
  <c r="B19" i="81"/>
  <c r="H18" i="81"/>
  <c r="D18" i="81"/>
  <c r="C18" i="81"/>
  <c r="B18" i="81"/>
  <c r="C17" i="81"/>
  <c r="B17" i="81"/>
  <c r="C16" i="81"/>
  <c r="B16" i="81"/>
  <c r="C15" i="81"/>
  <c r="B15" i="81"/>
  <c r="C14" i="81"/>
  <c r="B14" i="81"/>
  <c r="H13" i="81"/>
  <c r="D13" i="81"/>
  <c r="C13" i="81"/>
  <c r="B13" i="81"/>
  <c r="C12" i="81"/>
  <c r="B12" i="81"/>
  <c r="C11" i="81"/>
  <c r="B11" i="81"/>
  <c r="C10" i="81"/>
  <c r="B10" i="81"/>
  <c r="C9" i="81"/>
  <c r="B9" i="81"/>
  <c r="D62" i="85" l="1"/>
  <c r="D141" i="85"/>
  <c r="D14" i="83"/>
  <c r="D179" i="83"/>
  <c r="D191" i="83"/>
  <c r="D131" i="83"/>
  <c r="D169" i="83"/>
  <c r="D19" i="83"/>
  <c r="D74" i="83"/>
  <c r="D85" i="83"/>
  <c r="D206" i="83"/>
  <c r="D217" i="83"/>
  <c r="D70" i="83"/>
  <c r="D16" i="83"/>
  <c r="D186" i="83"/>
  <c r="D246" i="83"/>
  <c r="D102" i="83"/>
  <c r="D77" i="83"/>
  <c r="D214" i="83"/>
  <c r="D121" i="83"/>
  <c r="D20" i="83"/>
  <c r="D89" i="83"/>
  <c r="D166" i="83"/>
  <c r="D212" i="83"/>
  <c r="D172" i="83"/>
  <c r="D32" i="85"/>
  <c r="D122" i="85"/>
  <c r="D139" i="85"/>
  <c r="D47" i="85"/>
  <c r="D136" i="85"/>
  <c r="D17" i="81"/>
  <c r="D32" i="81"/>
  <c r="D47" i="81"/>
  <c r="D62" i="81"/>
  <c r="D219" i="81"/>
  <c r="D49" i="85"/>
  <c r="D64" i="85"/>
  <c r="D70" i="85"/>
  <c r="D85" i="85"/>
  <c r="D100" i="85"/>
  <c r="D15" i="85"/>
  <c r="D30" i="85"/>
  <c r="D60" i="85"/>
  <c r="D86" i="85"/>
  <c r="D157" i="85"/>
  <c r="D172" i="85"/>
  <c r="D79" i="85"/>
  <c r="D84" i="85"/>
  <c r="D109" i="85"/>
  <c r="D114" i="85"/>
  <c r="D124" i="85"/>
  <c r="D130" i="85"/>
  <c r="D145" i="85"/>
  <c r="D160" i="85"/>
  <c r="D27" i="85"/>
  <c r="D11" i="83"/>
  <c r="D15" i="83"/>
  <c r="D56" i="83"/>
  <c r="D27" i="83"/>
  <c r="D46" i="83"/>
  <c r="D57" i="83"/>
  <c r="D62" i="83"/>
  <c r="D24" i="83"/>
  <c r="D39" i="83"/>
  <c r="D49" i="83"/>
  <c r="D22" i="83"/>
  <c r="D37" i="83"/>
  <c r="D149" i="83"/>
  <c r="D157" i="83"/>
  <c r="D242" i="83"/>
  <c r="D69" i="83"/>
  <c r="D146" i="83"/>
  <c r="D165" i="83"/>
  <c r="D176" i="83"/>
  <c r="D91" i="83"/>
  <c r="D95" i="83"/>
  <c r="D132" i="83"/>
  <c r="D139" i="83"/>
  <c r="D154" i="83"/>
  <c r="D180" i="83"/>
  <c r="D192" i="83"/>
  <c r="D84" i="83"/>
  <c r="D110" i="83"/>
  <c r="D124" i="83"/>
  <c r="D147" i="83"/>
  <c r="D96" i="83"/>
  <c r="D107" i="83"/>
  <c r="D129" i="83"/>
  <c r="D140" i="83"/>
  <c r="D115" i="83"/>
  <c r="D167" i="83"/>
  <c r="D232" i="83"/>
  <c r="D75" i="83"/>
  <c r="D86" i="83"/>
  <c r="D101" i="83"/>
  <c r="D134" i="83"/>
  <c r="D160" i="83"/>
  <c r="D210" i="83"/>
  <c r="D220" i="83"/>
  <c r="D207" i="83"/>
  <c r="D235" i="83"/>
  <c r="D226" i="83"/>
  <c r="D236" i="83"/>
  <c r="D205" i="83"/>
  <c r="D209" i="83"/>
  <c r="D241" i="83"/>
  <c r="D215" i="83"/>
  <c r="D216" i="83"/>
  <c r="D136" i="83"/>
  <c r="D227" i="83"/>
  <c r="D234" i="83"/>
  <c r="D111" i="83"/>
  <c r="D92" i="83"/>
  <c r="D100" i="83"/>
  <c r="D12" i="83"/>
  <c r="D30" i="83"/>
  <c r="D41" i="83"/>
  <c r="D55" i="83"/>
  <c r="D76" i="83"/>
  <c r="D87" i="83"/>
  <c r="D90" i="83"/>
  <c r="D144" i="83"/>
  <c r="D175" i="83"/>
  <c r="D200" i="83"/>
  <c r="D82" i="83"/>
  <c r="D195" i="83"/>
  <c r="D34" i="83"/>
  <c r="D80" i="83"/>
  <c r="D94" i="83"/>
  <c r="D112" i="83"/>
  <c r="D151" i="83"/>
  <c r="D162" i="83"/>
  <c r="D211" i="83"/>
  <c r="D239" i="83"/>
  <c r="D244" i="83"/>
  <c r="D59" i="83"/>
  <c r="D141" i="83"/>
  <c r="D197" i="83"/>
  <c r="D204" i="83"/>
  <c r="D135" i="83"/>
  <c r="D177" i="83"/>
  <c r="D247" i="83"/>
  <c r="D31" i="83"/>
  <c r="D126" i="83"/>
  <c r="D145" i="83"/>
  <c r="D225" i="83"/>
  <c r="D10" i="83"/>
  <c r="D21" i="83"/>
  <c r="D35" i="83"/>
  <c r="D60" i="83"/>
  <c r="D71" i="83"/>
  <c r="D99" i="83"/>
  <c r="D109" i="83"/>
  <c r="D117" i="83"/>
  <c r="D142" i="83"/>
  <c r="D156" i="83"/>
  <c r="D184" i="83"/>
  <c r="D194" i="83"/>
  <c r="D226" i="81"/>
  <c r="D70" i="81"/>
  <c r="D85" i="81"/>
  <c r="D166" i="81"/>
  <c r="D61" i="81"/>
  <c r="D69" i="81"/>
  <c r="D84" i="81"/>
  <c r="D99" i="81"/>
  <c r="D174" i="81"/>
  <c r="D87" i="81"/>
  <c r="D102" i="81"/>
  <c r="D117" i="81"/>
  <c r="D140" i="81"/>
  <c r="D155" i="81"/>
  <c r="D212" i="81"/>
  <c r="D220" i="81"/>
  <c r="D19" i="85"/>
  <c r="D12" i="85"/>
  <c r="D50" i="85"/>
  <c r="D17" i="85"/>
  <c r="D29" i="85"/>
  <c r="D22" i="85"/>
  <c r="D110" i="85"/>
  <c r="D125" i="85"/>
  <c r="D137" i="85"/>
  <c r="D180" i="85"/>
  <c r="D92" i="85"/>
  <c r="D51" i="85"/>
  <c r="D89" i="85"/>
  <c r="D131" i="85"/>
  <c r="D37" i="85"/>
  <c r="D179" i="85"/>
  <c r="D161" i="85"/>
  <c r="D174" i="85"/>
  <c r="D25" i="85"/>
  <c r="D40" i="85"/>
  <c r="D82" i="85"/>
  <c r="D97" i="85"/>
  <c r="D150" i="85"/>
  <c r="D176" i="85"/>
  <c r="D52" i="85"/>
  <c r="D67" i="85"/>
  <c r="D75" i="85"/>
  <c r="D132" i="85"/>
  <c r="D147" i="85"/>
  <c r="D162" i="85"/>
  <c r="D11" i="85"/>
  <c r="D26" i="85"/>
  <c r="D56" i="85"/>
  <c r="D177" i="85"/>
  <c r="D155" i="85"/>
  <c r="D170" i="85"/>
  <c r="D185" i="85"/>
  <c r="D182" i="85"/>
  <c r="D107" i="85"/>
  <c r="D9" i="85"/>
  <c r="D24" i="85"/>
  <c r="D39" i="85"/>
  <c r="D54" i="85"/>
  <c r="D81" i="85"/>
  <c r="D96" i="85"/>
  <c r="D111" i="85"/>
  <c r="D126" i="85"/>
  <c r="D149" i="85"/>
  <c r="D164" i="85"/>
  <c r="D175" i="85"/>
  <c r="D134" i="85"/>
  <c r="D112" i="85"/>
  <c r="D41" i="85"/>
  <c r="D45" i="85"/>
  <c r="D34" i="85"/>
  <c r="D42" i="85"/>
  <c r="D76" i="85"/>
  <c r="D91" i="85"/>
  <c r="D106" i="85"/>
  <c r="D117" i="85"/>
  <c r="D140" i="85"/>
  <c r="D151" i="85"/>
  <c r="D77" i="85"/>
  <c r="D20" i="85"/>
  <c r="D61" i="85"/>
  <c r="D95" i="85"/>
  <c r="D121" i="85"/>
  <c r="D129" i="85"/>
  <c r="D144" i="85"/>
  <c r="D181" i="85"/>
  <c r="D120" i="85"/>
  <c r="D184" i="85"/>
  <c r="D14" i="85"/>
  <c r="D156" i="85"/>
  <c r="D35" i="85"/>
  <c r="D99" i="85"/>
  <c r="D142" i="85"/>
  <c r="D71" i="85"/>
  <c r="D36" i="85"/>
  <c r="D57" i="85"/>
  <c r="D154" i="85"/>
  <c r="D65" i="85"/>
  <c r="D90" i="85"/>
  <c r="D186" i="85"/>
  <c r="D10" i="85"/>
  <c r="D44" i="85"/>
  <c r="D80" i="85"/>
  <c r="D87" i="85"/>
  <c r="D94" i="85"/>
  <c r="D101" i="85"/>
  <c r="D105" i="85"/>
  <c r="D119" i="85"/>
  <c r="D169" i="85"/>
  <c r="D46" i="85"/>
  <c r="D16" i="85"/>
  <c r="D69" i="85"/>
  <c r="D167" i="85"/>
  <c r="D21" i="85"/>
  <c r="D31" i="85"/>
  <c r="D59" i="85"/>
  <c r="D102" i="85"/>
  <c r="D116" i="85"/>
  <c r="D127" i="85"/>
  <c r="D152" i="85"/>
  <c r="D159" i="85"/>
  <c r="D146" i="85"/>
  <c r="D165" i="85"/>
  <c r="D74" i="85"/>
  <c r="D55" i="85"/>
  <c r="D104" i="85"/>
  <c r="D66" i="85"/>
  <c r="D135" i="85"/>
  <c r="D187" i="85"/>
  <c r="D50" i="83"/>
  <c r="D127" i="83"/>
  <c r="D196" i="83"/>
  <c r="D116" i="83"/>
  <c r="D182" i="83"/>
  <c r="D237" i="83"/>
  <c r="D105" i="83"/>
  <c r="D171" i="83"/>
  <c r="D97" i="83"/>
  <c r="D130" i="83"/>
  <c r="D201" i="81"/>
  <c r="D231" i="81"/>
  <c r="D110" i="81"/>
  <c r="D125" i="81"/>
  <c r="D137" i="81"/>
  <c r="D152" i="81"/>
  <c r="D114" i="81"/>
  <c r="D141" i="81"/>
  <c r="D156" i="81"/>
  <c r="D209" i="81"/>
  <c r="D224" i="81"/>
  <c r="D160" i="81"/>
  <c r="D175" i="81"/>
  <c r="D247" i="81"/>
  <c r="D150" i="81"/>
  <c r="D165" i="81"/>
  <c r="D192" i="81"/>
  <c r="D177" i="81"/>
  <c r="D200" i="81"/>
  <c r="D215" i="81"/>
  <c r="D230" i="81"/>
  <c r="D196" i="81"/>
  <c r="D54" i="81"/>
  <c r="D81" i="81"/>
  <c r="D96" i="81"/>
  <c r="D111" i="81"/>
  <c r="D126" i="81"/>
  <c r="D134" i="81"/>
  <c r="D164" i="81"/>
  <c r="D100" i="81"/>
  <c r="D115" i="81"/>
  <c r="D142" i="81"/>
  <c r="D191" i="81"/>
  <c r="D161" i="81"/>
  <c r="D176" i="81"/>
  <c r="D199" i="81"/>
  <c r="D214" i="81"/>
  <c r="D225" i="81"/>
  <c r="D139" i="81"/>
  <c r="D154" i="81"/>
  <c r="D211" i="81"/>
  <c r="D222" i="81"/>
  <c r="D229" i="81"/>
  <c r="D79" i="81"/>
  <c r="D185" i="81"/>
  <c r="D197" i="81"/>
  <c r="D204" i="81"/>
  <c r="D237" i="81"/>
  <c r="D241" i="81"/>
  <c r="D186" i="81"/>
  <c r="D194" i="81"/>
  <c r="D205" i="81"/>
  <c r="D242" i="81"/>
  <c r="D235" i="81"/>
  <c r="D195" i="81"/>
  <c r="D206" i="81"/>
  <c r="D217" i="81"/>
  <c r="D239" i="81"/>
  <c r="D10" i="81"/>
  <c r="D25" i="81"/>
  <c r="D55" i="81"/>
  <c r="D210" i="81"/>
  <c r="D221" i="81"/>
  <c r="D245" i="81"/>
  <c r="D67" i="81"/>
  <c r="D75" i="81"/>
  <c r="D147" i="81"/>
  <c r="D169" i="81"/>
  <c r="D207" i="81"/>
  <c r="D66" i="81"/>
  <c r="D74" i="81"/>
  <c r="D89" i="81"/>
  <c r="D104" i="81"/>
  <c r="D119" i="81"/>
  <c r="D131" i="81"/>
  <c r="D146" i="81"/>
  <c r="D157" i="81"/>
  <c r="D179" i="81"/>
  <c r="D216" i="81"/>
  <c r="D227" i="81"/>
  <c r="D234" i="81"/>
  <c r="D202" i="81"/>
  <c r="D26" i="81"/>
  <c r="D41" i="81"/>
  <c r="D90" i="81"/>
  <c r="D109" i="81"/>
  <c r="D120" i="81"/>
  <c r="D124" i="81"/>
  <c r="D136" i="81"/>
  <c r="D151" i="81"/>
  <c r="D162" i="81"/>
  <c r="D180" i="81"/>
  <c r="D184" i="81"/>
  <c r="D246" i="81"/>
  <c r="D19" i="81"/>
  <c r="D49" i="81"/>
  <c r="D76" i="81"/>
  <c r="D91" i="81"/>
  <c r="D106" i="81"/>
  <c r="D144" i="81"/>
  <c r="D181" i="81"/>
  <c r="D189" i="81"/>
  <c r="D232" i="81"/>
  <c r="D236" i="81"/>
  <c r="D159" i="81"/>
  <c r="D112" i="81"/>
  <c r="D77" i="81"/>
  <c r="D92" i="81"/>
  <c r="D107" i="81"/>
  <c r="D122" i="81"/>
  <c r="D130" i="81"/>
  <c r="D145" i="81"/>
  <c r="D167" i="81"/>
  <c r="D171" i="81"/>
  <c r="D182" i="81"/>
  <c r="D190" i="81"/>
  <c r="D240" i="81"/>
  <c r="D244" i="81"/>
  <c r="D37" i="81"/>
  <c r="D52" i="81"/>
  <c r="D59" i="81"/>
  <c r="D97" i="81"/>
  <c r="D135" i="81"/>
  <c r="D187" i="81"/>
  <c r="D129" i="81"/>
  <c r="D51" i="81"/>
  <c r="D172" i="81"/>
  <c r="D30" i="81"/>
  <c r="D45" i="81"/>
  <c r="D56" i="81"/>
  <c r="D101" i="81"/>
  <c r="D132" i="81"/>
  <c r="D149" i="81"/>
  <c r="D170" i="81"/>
  <c r="D21" i="81"/>
  <c r="D36" i="81"/>
  <c r="D65" i="81"/>
  <c r="D80" i="81"/>
  <c r="D95" i="81"/>
  <c r="D121" i="81"/>
  <c r="D71" i="81"/>
  <c r="D12" i="81"/>
  <c r="D27" i="81"/>
  <c r="D42" i="81"/>
  <c r="D60" i="81"/>
  <c r="D82" i="81"/>
  <c r="D86" i="81"/>
  <c r="D127" i="81"/>
  <c r="D16" i="81"/>
  <c r="D31" i="81"/>
  <c r="D46" i="81"/>
  <c r="D72" i="81"/>
  <c r="D105" i="81"/>
  <c r="D116" i="81"/>
  <c r="D20" i="81"/>
  <c r="D35" i="81"/>
  <c r="D50" i="81"/>
  <c r="D94" i="81"/>
  <c r="D14" i="81"/>
  <c r="D39" i="81"/>
  <c r="D57" i="81"/>
  <c r="D9" i="81"/>
  <c r="D24" i="81"/>
  <c r="D11" i="81"/>
  <c r="D22" i="81"/>
  <c r="D29" i="81"/>
  <c r="D40" i="81"/>
  <c r="D64" i="81"/>
  <c r="D34" i="81"/>
  <c r="D15" i="81"/>
  <c r="D44" i="81"/>
  <c r="U158" i="85" l="1"/>
  <c r="X158" i="85"/>
  <c r="N33" i="85"/>
  <c r="AB33" i="85"/>
  <c r="AG77" i="83"/>
  <c r="AB23" i="85"/>
  <c r="O173" i="85"/>
  <c r="T53" i="85"/>
  <c r="Y143" i="85"/>
  <c r="N88" i="85"/>
  <c r="AG17" i="83"/>
  <c r="AG137" i="83"/>
  <c r="AG52" i="83"/>
  <c r="AG62" i="85"/>
  <c r="AG141" i="85"/>
  <c r="AG166" i="85"/>
  <c r="AG72" i="85"/>
  <c r="AC88" i="85"/>
  <c r="O118" i="85"/>
  <c r="AG171" i="85"/>
  <c r="AG115" i="85"/>
  <c r="P118" i="85"/>
  <c r="P68" i="85"/>
  <c r="O143" i="85"/>
  <c r="W168" i="85"/>
  <c r="Q158" i="85"/>
  <c r="U53" i="85"/>
  <c r="Q53" i="85"/>
  <c r="AA53" i="85"/>
  <c r="P93" i="85"/>
  <c r="R168" i="85" l="1"/>
  <c r="AC118" i="85"/>
  <c r="X118" i="85"/>
  <c r="Y118" i="85"/>
  <c r="AF118" i="85"/>
  <c r="AD88" i="85"/>
  <c r="AB88" i="85"/>
  <c r="U88" i="85"/>
  <c r="J33" i="85"/>
  <c r="AF173" i="85"/>
  <c r="N173" i="85"/>
  <c r="U173" i="85"/>
  <c r="K173" i="85"/>
  <c r="M173" i="85"/>
  <c r="V53" i="85"/>
  <c r="Z53" i="85"/>
  <c r="P53" i="85"/>
  <c r="U33" i="85"/>
  <c r="U143" i="85"/>
  <c r="V143" i="85"/>
  <c r="P143" i="85"/>
  <c r="N128" i="85"/>
  <c r="Q128" i="85"/>
  <c r="O93" i="85"/>
  <c r="L88" i="85"/>
  <c r="Q68" i="85"/>
  <c r="O88" i="85"/>
  <c r="Y168" i="85"/>
  <c r="Q88" i="85"/>
  <c r="AD158" i="85"/>
  <c r="U113" i="85"/>
  <c r="AD113" i="85"/>
  <c r="Z88" i="85"/>
  <c r="Y83" i="85"/>
  <c r="I83" i="85"/>
  <c r="Y173" i="85"/>
  <c r="AB158" i="85"/>
  <c r="W53" i="85"/>
  <c r="T38" i="85"/>
  <c r="S158" i="85"/>
  <c r="W93" i="85"/>
  <c r="AE68" i="85"/>
  <c r="O128" i="85"/>
  <c r="M128" i="85"/>
  <c r="O83" i="85"/>
  <c r="V93" i="85"/>
  <c r="T173" i="85"/>
  <c r="Z83" i="85"/>
  <c r="V88" i="85"/>
  <c r="AE158" i="85"/>
  <c r="AE88" i="85"/>
  <c r="W68" i="85"/>
  <c r="AD168" i="85"/>
  <c r="K93" i="85"/>
  <c r="V158" i="85"/>
  <c r="P88" i="85"/>
  <c r="Q168" i="85"/>
  <c r="AF83" i="85"/>
  <c r="R173" i="85"/>
  <c r="T93" i="85"/>
  <c r="AD173" i="85"/>
  <c r="R118" i="85"/>
  <c r="AG172" i="83"/>
  <c r="O33" i="85"/>
  <c r="AG60" i="85"/>
  <c r="V23" i="85"/>
  <c r="AF168" i="85"/>
  <c r="Y53" i="85"/>
  <c r="R88" i="85"/>
  <c r="AA88" i="85"/>
  <c r="R158" i="85"/>
  <c r="T88" i="85"/>
  <c r="AG15" i="85"/>
  <c r="M93" i="85"/>
  <c r="X93" i="85"/>
  <c r="Y33" i="85"/>
  <c r="K118" i="85"/>
  <c r="J143" i="85"/>
  <c r="L143" i="85"/>
  <c r="U93" i="85"/>
  <c r="AE143" i="85"/>
  <c r="J168" i="85"/>
  <c r="AE23" i="85"/>
  <c r="T118" i="85"/>
  <c r="Y158" i="85"/>
  <c r="L83" i="85"/>
  <c r="AA33" i="85"/>
  <c r="M68" i="85"/>
  <c r="J173" i="85"/>
  <c r="X88" i="85"/>
  <c r="AG64" i="85"/>
  <c r="M113" i="85"/>
  <c r="X113" i="85"/>
  <c r="W88" i="85"/>
  <c r="AG85" i="85"/>
  <c r="Z173" i="85"/>
  <c r="AG100" i="85"/>
  <c r="W158" i="85"/>
  <c r="V68" i="85"/>
  <c r="AG47" i="85"/>
  <c r="AE93" i="85"/>
  <c r="AF93" i="85"/>
  <c r="AG30" i="85"/>
  <c r="S118" i="85"/>
  <c r="J118" i="85"/>
  <c r="K168" i="85"/>
  <c r="M168" i="85"/>
  <c r="I88" i="85"/>
  <c r="AG32" i="85"/>
  <c r="AG122" i="85"/>
  <c r="Y23" i="85"/>
  <c r="M53" i="85"/>
  <c r="AG136" i="85"/>
  <c r="AG139" i="85"/>
  <c r="N168" i="85"/>
  <c r="O53" i="85"/>
  <c r="AE118" i="85"/>
  <c r="S53" i="85"/>
  <c r="AG70" i="85"/>
  <c r="M88" i="85"/>
  <c r="AG49" i="85"/>
  <c r="N113" i="85"/>
  <c r="L118" i="85"/>
  <c r="N93" i="85"/>
  <c r="AC173" i="85"/>
  <c r="N23" i="85"/>
  <c r="AA168" i="85"/>
  <c r="N53" i="85"/>
  <c r="AD53" i="85"/>
  <c r="N158" i="85"/>
  <c r="AD23" i="85"/>
  <c r="AE173" i="85"/>
  <c r="AC158" i="85"/>
  <c r="V173" i="85"/>
  <c r="R53" i="85"/>
  <c r="R33" i="85"/>
  <c r="AF88" i="85"/>
  <c r="I113" i="85"/>
  <c r="N143" i="85"/>
  <c r="P158" i="85"/>
  <c r="T113" i="85"/>
  <c r="AB98" i="85"/>
  <c r="S98" i="85"/>
  <c r="W13" i="85"/>
  <c r="K83" i="85"/>
  <c r="P23" i="85"/>
  <c r="W173" i="85"/>
  <c r="L98" i="85"/>
  <c r="L93" i="85"/>
  <c r="AG109" i="85"/>
  <c r="M143" i="85"/>
  <c r="AE53" i="85"/>
  <c r="L168" i="85"/>
  <c r="AG124" i="85"/>
  <c r="AG130" i="85"/>
  <c r="AA173" i="85"/>
  <c r="AB173" i="85"/>
  <c r="Z168" i="85"/>
  <c r="L33" i="85"/>
  <c r="AC33" i="85"/>
  <c r="AD68" i="85"/>
  <c r="Y128" i="85"/>
  <c r="AG157" i="85"/>
  <c r="Y88" i="85"/>
  <c r="X53" i="85"/>
  <c r="J53" i="85"/>
  <c r="AF23" i="85"/>
  <c r="AF128" i="85"/>
  <c r="M98" i="85"/>
  <c r="AA128" i="85"/>
  <c r="R113" i="85"/>
  <c r="M158" i="85"/>
  <c r="U168" i="85"/>
  <c r="N98" i="85"/>
  <c r="AB128" i="85"/>
  <c r="S88" i="85"/>
  <c r="O98" i="85"/>
  <c r="L113" i="85"/>
  <c r="AG114" i="85"/>
  <c r="AA83" i="85"/>
  <c r="AD128" i="85"/>
  <c r="S128" i="85"/>
  <c r="AG145" i="85"/>
  <c r="X168" i="85"/>
  <c r="P33" i="85"/>
  <c r="AG27" i="85"/>
  <c r="AG160" i="85"/>
  <c r="AC53" i="85"/>
  <c r="Q13" i="85"/>
  <c r="K33" i="85"/>
  <c r="Q33" i="85"/>
  <c r="K158" i="85"/>
  <c r="AA113" i="85"/>
  <c r="S113" i="85"/>
  <c r="AA13" i="85"/>
  <c r="U128" i="85"/>
  <c r="Q118" i="85"/>
  <c r="AG86" i="85"/>
  <c r="AG172" i="85"/>
  <c r="X173" i="85"/>
  <c r="AG232" i="83"/>
  <c r="M118" i="85"/>
  <c r="AG79" i="85"/>
  <c r="L128" i="85"/>
  <c r="X128" i="85"/>
  <c r="AA98" i="85"/>
  <c r="AG84" i="85"/>
  <c r="Y113" i="85"/>
  <c r="P113" i="85"/>
  <c r="X83" i="85"/>
  <c r="I128" i="85"/>
  <c r="Z128" i="85"/>
  <c r="Z98" i="85"/>
  <c r="J88" i="85"/>
  <c r="K88" i="85"/>
  <c r="T98" i="85"/>
  <c r="AF53" i="85"/>
  <c r="V13" i="85"/>
  <c r="AC13" i="85"/>
  <c r="S68" i="85"/>
  <c r="Q93" i="85"/>
  <c r="P98" i="85"/>
  <c r="Z143" i="85"/>
  <c r="X123" i="85"/>
  <c r="O113" i="85"/>
  <c r="W23" i="85"/>
  <c r="P103" i="85"/>
  <c r="V113" i="85"/>
  <c r="J113" i="85"/>
  <c r="J128" i="85"/>
  <c r="AB93" i="85"/>
  <c r="J158" i="85"/>
  <c r="Y68" i="85"/>
  <c r="I68" i="85"/>
  <c r="V128" i="85"/>
  <c r="N118" i="85"/>
  <c r="AA158" i="85"/>
  <c r="P168" i="85"/>
  <c r="AC83" i="85"/>
  <c r="K123" i="85"/>
  <c r="AC23" i="85"/>
  <c r="R98" i="85"/>
  <c r="S168" i="85"/>
  <c r="W33" i="85"/>
  <c r="L173" i="85"/>
  <c r="Y98" i="85"/>
  <c r="K98" i="85"/>
  <c r="J13" i="85"/>
  <c r="K23" i="85"/>
  <c r="S93" i="85"/>
  <c r="AD13" i="85"/>
  <c r="X13" i="85"/>
  <c r="AB53" i="85"/>
  <c r="T168" i="85"/>
  <c r="Z33" i="85"/>
  <c r="O68" i="85"/>
  <c r="U13" i="85"/>
  <c r="Z93" i="85"/>
  <c r="R13" i="85"/>
  <c r="J83" i="85"/>
  <c r="K128" i="85"/>
  <c r="Z118" i="85"/>
  <c r="N13" i="85"/>
  <c r="T23" i="85"/>
  <c r="AC98" i="85"/>
  <c r="AA38" i="85"/>
  <c r="AE33" i="85"/>
  <c r="T33" i="85"/>
  <c r="N83" i="85"/>
  <c r="R83" i="85"/>
  <c r="Q113" i="85"/>
  <c r="T143" i="85"/>
  <c r="Q23" i="85"/>
  <c r="AF98" i="85"/>
  <c r="AB13" i="85"/>
  <c r="S83" i="85"/>
  <c r="AF113" i="85"/>
  <c r="O13" i="85"/>
  <c r="K113" i="85"/>
  <c r="AC113" i="85"/>
  <c r="W143" i="85"/>
  <c r="AF143" i="85"/>
  <c r="AG27" i="83"/>
  <c r="AG197" i="83"/>
  <c r="AG112" i="83"/>
  <c r="AC93" i="85"/>
  <c r="Y93" i="85"/>
  <c r="J23" i="85"/>
  <c r="R23" i="85"/>
  <c r="AD98" i="85"/>
  <c r="J38" i="85"/>
  <c r="L68" i="85"/>
  <c r="T68" i="85"/>
  <c r="M83" i="85"/>
  <c r="AB83" i="85"/>
  <c r="AA143" i="85"/>
  <c r="W128" i="85"/>
  <c r="AA118" i="85"/>
  <c r="AE98" i="85"/>
  <c r="V38" i="85"/>
  <c r="AE28" i="85"/>
  <c r="AF28" i="85"/>
  <c r="O168" i="85"/>
  <c r="S33" i="85"/>
  <c r="AB113" i="85"/>
  <c r="AG12" i="85"/>
  <c r="N38" i="85"/>
  <c r="K38" i="85"/>
  <c r="Z158" i="85"/>
  <c r="T158" i="85"/>
  <c r="AD103" i="85"/>
  <c r="R103" i="85"/>
  <c r="AB168" i="85"/>
  <c r="Q123" i="85"/>
  <c r="AE83" i="85"/>
  <c r="W118" i="85"/>
  <c r="I118" i="85"/>
  <c r="U23" i="85"/>
  <c r="X98" i="85"/>
  <c r="L158" i="85"/>
  <c r="AF158" i="85"/>
  <c r="J183" i="85"/>
  <c r="Z183" i="85"/>
  <c r="AA68" i="85"/>
  <c r="P173" i="85"/>
  <c r="AB143" i="85"/>
  <c r="T128" i="85"/>
  <c r="V138" i="85"/>
  <c r="T138" i="85"/>
  <c r="AD118" i="85"/>
  <c r="Z23" i="85"/>
  <c r="V33" i="85"/>
  <c r="K143" i="85"/>
  <c r="R128" i="85"/>
  <c r="AB118" i="85"/>
  <c r="L153" i="85"/>
  <c r="N153" i="85"/>
  <c r="R133" i="85"/>
  <c r="AB133" i="85"/>
  <c r="V83" i="85"/>
  <c r="U83" i="85"/>
  <c r="P128" i="85"/>
  <c r="AC128" i="85"/>
  <c r="AD143" i="85"/>
  <c r="U68" i="85"/>
  <c r="AC143" i="85"/>
  <c r="AE128" i="85"/>
  <c r="W98" i="85"/>
  <c r="Q98" i="85"/>
  <c r="V28" i="85"/>
  <c r="AF68" i="85"/>
  <c r="Z113" i="85"/>
  <c r="Q143" i="85"/>
  <c r="Z73" i="85"/>
  <c r="W73" i="85"/>
  <c r="L63" i="85"/>
  <c r="AF63" i="85"/>
  <c r="S23" i="85"/>
  <c r="O23" i="85"/>
  <c r="U98" i="85"/>
  <c r="K53" i="85"/>
  <c r="P28" i="85"/>
  <c r="M33" i="85"/>
  <c r="AD83" i="85"/>
  <c r="J68" i="85"/>
  <c r="AC68" i="85"/>
  <c r="O123" i="85"/>
  <c r="U123" i="85"/>
  <c r="Y108" i="85"/>
  <c r="U108" i="85"/>
  <c r="V118" i="85"/>
  <c r="X23" i="85"/>
  <c r="L23" i="85"/>
  <c r="J93" i="85"/>
  <c r="R93" i="85"/>
  <c r="V98" i="85"/>
  <c r="Z13" i="85"/>
  <c r="L53" i="85"/>
  <c r="L13" i="85"/>
  <c r="W38" i="85"/>
  <c r="P38" i="85"/>
  <c r="V168" i="85"/>
  <c r="AD33" i="85"/>
  <c r="K68" i="85"/>
  <c r="R68" i="85"/>
  <c r="W83" i="85"/>
  <c r="X143" i="85"/>
  <c r="R143" i="85"/>
  <c r="AA93" i="85"/>
  <c r="AD93" i="85"/>
  <c r="J98" i="85"/>
  <c r="P13" i="85"/>
  <c r="Q38" i="85"/>
  <c r="O158" i="85"/>
  <c r="T183" i="85"/>
  <c r="T83" i="85"/>
  <c r="Z68" i="85"/>
  <c r="P83" i="85"/>
  <c r="S143" i="85"/>
  <c r="AG55" i="85"/>
  <c r="AG57" i="85"/>
  <c r="AF183" i="85"/>
  <c r="N183" i="85"/>
  <c r="AG162" i="85"/>
  <c r="N28" i="85"/>
  <c r="AG24" i="85"/>
  <c r="I28" i="85"/>
  <c r="AG42" i="85"/>
  <c r="AG92" i="85"/>
  <c r="R163" i="85"/>
  <c r="N163" i="85"/>
  <c r="AG147" i="85"/>
  <c r="S38" i="85"/>
  <c r="K183" i="85"/>
  <c r="AA183" i="85"/>
  <c r="X68" i="85"/>
  <c r="W148" i="85"/>
  <c r="J148" i="85"/>
  <c r="AB38" i="85"/>
  <c r="U38" i="85"/>
  <c r="I158" i="85"/>
  <c r="AG154" i="85"/>
  <c r="P183" i="85"/>
  <c r="O183" i="85"/>
  <c r="AG75" i="85"/>
  <c r="K13" i="85"/>
  <c r="AA23" i="85"/>
  <c r="L38" i="85"/>
  <c r="I38" i="85"/>
  <c r="AG34" i="85"/>
  <c r="Q183" i="85"/>
  <c r="AB183" i="85"/>
  <c r="AB68" i="85"/>
  <c r="AG35" i="85"/>
  <c r="W113" i="85"/>
  <c r="Q83" i="85"/>
  <c r="AC38" i="85"/>
  <c r="R183" i="85"/>
  <c r="S183" i="85"/>
  <c r="AB28" i="85"/>
  <c r="N103" i="85"/>
  <c r="Y58" i="85"/>
  <c r="AE58" i="85"/>
  <c r="AC188" i="85"/>
  <c r="Z188" i="85"/>
  <c r="AG90" i="85"/>
  <c r="AG21" i="85"/>
  <c r="Q48" i="85"/>
  <c r="T48" i="85"/>
  <c r="AG41" i="85"/>
  <c r="AG25" i="85"/>
  <c r="AE183" i="85"/>
  <c r="X28" i="85"/>
  <c r="X43" i="85"/>
  <c r="S43" i="85"/>
  <c r="K78" i="85"/>
  <c r="AF78" i="85"/>
  <c r="I93" i="85"/>
  <c r="AG89" i="85"/>
  <c r="AG185" i="85"/>
  <c r="AE38" i="85"/>
  <c r="X38" i="85"/>
  <c r="AG17" i="85"/>
  <c r="AG179" i="85"/>
  <c r="I183" i="85"/>
  <c r="U183" i="85"/>
  <c r="Y28" i="85"/>
  <c r="AC28" i="85"/>
  <c r="AA178" i="85"/>
  <c r="AC178" i="85"/>
  <c r="M23" i="85"/>
  <c r="AG94" i="85"/>
  <c r="I98" i="85"/>
  <c r="Z38" i="85"/>
  <c r="AC183" i="85"/>
  <c r="V183" i="85"/>
  <c r="Z28" i="85"/>
  <c r="Q28" i="85"/>
  <c r="AA103" i="85"/>
  <c r="X103" i="85"/>
  <c r="S18" i="85"/>
  <c r="U18" i="85"/>
  <c r="AG181" i="85"/>
  <c r="AG45" i="85"/>
  <c r="AG50" i="85"/>
  <c r="I53" i="85"/>
  <c r="AG37" i="85"/>
  <c r="O38" i="85"/>
  <c r="AF38" i="85"/>
  <c r="AD183" i="85"/>
  <c r="L183" i="85"/>
  <c r="AG40" i="85"/>
  <c r="J28" i="85"/>
  <c r="AD28" i="85"/>
  <c r="AB103" i="85"/>
  <c r="L103" i="85"/>
  <c r="AE113" i="85"/>
  <c r="U118" i="85"/>
  <c r="I23" i="85"/>
  <c r="AG19" i="85"/>
  <c r="AG175" i="85"/>
  <c r="R38" i="85"/>
  <c r="M38" i="85"/>
  <c r="AG101" i="85"/>
  <c r="W183" i="85"/>
  <c r="Y183" i="85"/>
  <c r="Y38" i="85"/>
  <c r="AD38" i="85"/>
  <c r="X183" i="85"/>
  <c r="M183" i="85"/>
  <c r="K28" i="85"/>
  <c r="T28" i="85"/>
  <c r="N68" i="85"/>
  <c r="AG167" i="85"/>
  <c r="R28" i="85"/>
  <c r="L28" i="85"/>
  <c r="J103" i="85"/>
  <c r="T103" i="85"/>
  <c r="AG39" i="85"/>
  <c r="I43" i="85"/>
  <c r="T43" i="85"/>
  <c r="P123" i="85"/>
  <c r="T123" i="85"/>
  <c r="AB78" i="85"/>
  <c r="R78" i="85"/>
  <c r="J108" i="85"/>
  <c r="Q108" i="85"/>
  <c r="L178" i="85"/>
  <c r="Q178" i="85"/>
  <c r="AC58" i="85"/>
  <c r="Q58" i="85"/>
  <c r="AD188" i="85"/>
  <c r="U188" i="85"/>
  <c r="Q173" i="85"/>
  <c r="AG140" i="85"/>
  <c r="Q18" i="85"/>
  <c r="K18" i="85"/>
  <c r="L73" i="85"/>
  <c r="R73" i="85"/>
  <c r="M63" i="85"/>
  <c r="R63" i="85"/>
  <c r="AG137" i="85"/>
  <c r="Y148" i="85"/>
  <c r="V148" i="85"/>
  <c r="Y138" i="85"/>
  <c r="AF138" i="85"/>
  <c r="AD48" i="85"/>
  <c r="AF48" i="85"/>
  <c r="Q153" i="85"/>
  <c r="AC153" i="85"/>
  <c r="S133" i="85"/>
  <c r="I133" i="85"/>
  <c r="AG129" i="85"/>
  <c r="AG80" i="85"/>
  <c r="U163" i="85"/>
  <c r="AC163" i="85"/>
  <c r="U28" i="85"/>
  <c r="M28" i="85"/>
  <c r="AE103" i="85"/>
  <c r="U103" i="85"/>
  <c r="AE168" i="85"/>
  <c r="AA43" i="85"/>
  <c r="AF43" i="85"/>
  <c r="S123" i="85"/>
  <c r="AF123" i="85"/>
  <c r="L78" i="85"/>
  <c r="AD78" i="85"/>
  <c r="Z108" i="85"/>
  <c r="AC108" i="85"/>
  <c r="AB178" i="85"/>
  <c r="AD178" i="85"/>
  <c r="K58" i="85"/>
  <c r="AF58" i="85"/>
  <c r="AG91" i="85"/>
  <c r="L188" i="85"/>
  <c r="I188" i="85"/>
  <c r="AG184" i="85"/>
  <c r="AG31" i="85"/>
  <c r="AG102" i="85"/>
  <c r="T18" i="85"/>
  <c r="W18" i="85"/>
  <c r="AA73" i="85"/>
  <c r="AD73" i="85"/>
  <c r="AA63" i="85"/>
  <c r="AD63" i="85"/>
  <c r="I148" i="85"/>
  <c r="AG144" i="85"/>
  <c r="Z148" i="85"/>
  <c r="AG177" i="85"/>
  <c r="AG126" i="85"/>
  <c r="L138" i="85"/>
  <c r="J138" i="85"/>
  <c r="U48" i="85"/>
  <c r="K48" i="85"/>
  <c r="AG51" i="85"/>
  <c r="AG36" i="85"/>
  <c r="AG131" i="85"/>
  <c r="R153" i="85"/>
  <c r="O153" i="85"/>
  <c r="Z133" i="85"/>
  <c r="V133" i="85"/>
  <c r="W163" i="85"/>
  <c r="O163" i="85"/>
  <c r="W28" i="85"/>
  <c r="O28" i="85"/>
  <c r="M103" i="85"/>
  <c r="W103" i="85"/>
  <c r="X33" i="85"/>
  <c r="M43" i="85"/>
  <c r="J43" i="85"/>
  <c r="AG77" i="85"/>
  <c r="L123" i="85"/>
  <c r="V123" i="85"/>
  <c r="J78" i="85"/>
  <c r="AC78" i="85"/>
  <c r="O108" i="85"/>
  <c r="L108" i="85"/>
  <c r="M178" i="85"/>
  <c r="T178" i="85"/>
  <c r="AB58" i="85"/>
  <c r="S58" i="85"/>
  <c r="M188" i="85"/>
  <c r="V188" i="85"/>
  <c r="AG66" i="85"/>
  <c r="AG95" i="85"/>
  <c r="AG96" i="85"/>
  <c r="AC18" i="85"/>
  <c r="I18" i="85"/>
  <c r="AG14" i="85"/>
  <c r="P73" i="85"/>
  <c r="M73" i="85"/>
  <c r="N63" i="85"/>
  <c r="U63" i="85"/>
  <c r="AG170" i="85"/>
  <c r="K148" i="85"/>
  <c r="M148" i="85"/>
  <c r="M138" i="85"/>
  <c r="AA138" i="85"/>
  <c r="R48" i="85"/>
  <c r="X48" i="85"/>
  <c r="AG155" i="85"/>
  <c r="Z153" i="85"/>
  <c r="AD153" i="85"/>
  <c r="AC133" i="85"/>
  <c r="J133" i="85"/>
  <c r="X163" i="85"/>
  <c r="AD163" i="85"/>
  <c r="I103" i="85"/>
  <c r="AG99" i="85"/>
  <c r="L43" i="85"/>
  <c r="O43" i="85"/>
  <c r="AG120" i="85"/>
  <c r="AA123" i="85"/>
  <c r="T78" i="85"/>
  <c r="M78" i="85"/>
  <c r="P108" i="85"/>
  <c r="AB108" i="85"/>
  <c r="AF178" i="85"/>
  <c r="S178" i="85"/>
  <c r="AG97" i="85"/>
  <c r="M58" i="85"/>
  <c r="T58" i="85"/>
  <c r="N188" i="85"/>
  <c r="J188" i="85"/>
  <c r="I173" i="85"/>
  <c r="AG169" i="85"/>
  <c r="AG81" i="85"/>
  <c r="AG117" i="85"/>
  <c r="AD18" i="85"/>
  <c r="V18" i="85"/>
  <c r="S73" i="85"/>
  <c r="AB73" i="85"/>
  <c r="O63" i="85"/>
  <c r="V63" i="85"/>
  <c r="O148" i="85"/>
  <c r="AA148" i="85"/>
  <c r="N138" i="85"/>
  <c r="K138" i="85"/>
  <c r="S48" i="85"/>
  <c r="L48" i="85"/>
  <c r="AA153" i="85"/>
  <c r="P153" i="85"/>
  <c r="AD133" i="85"/>
  <c r="W133" i="85"/>
  <c r="I163" i="85"/>
  <c r="AG159" i="85"/>
  <c r="P163" i="85"/>
  <c r="S103" i="85"/>
  <c r="V103" i="85"/>
  <c r="AG82" i="85"/>
  <c r="K43" i="85"/>
  <c r="AB43" i="85"/>
  <c r="AG142" i="85"/>
  <c r="AB123" i="85"/>
  <c r="W123" i="85"/>
  <c r="V78" i="85"/>
  <c r="O78" i="85"/>
  <c r="S108" i="85"/>
  <c r="M108" i="85"/>
  <c r="N178" i="85"/>
  <c r="AE178" i="85"/>
  <c r="L58" i="85"/>
  <c r="U58" i="85"/>
  <c r="AF188" i="85"/>
  <c r="W188" i="85"/>
  <c r="AG150" i="85"/>
  <c r="AG106" i="85"/>
  <c r="AG20" i="85"/>
  <c r="O18" i="85"/>
  <c r="J18" i="85"/>
  <c r="U73" i="85"/>
  <c r="N73" i="85"/>
  <c r="P63" i="85"/>
  <c r="I63" i="85"/>
  <c r="AG59" i="85"/>
  <c r="P148" i="85"/>
  <c r="Q148" i="85"/>
  <c r="O138" i="85"/>
  <c r="AB138" i="85"/>
  <c r="AG121" i="85"/>
  <c r="W48" i="85"/>
  <c r="Y48" i="85"/>
  <c r="AG52" i="85"/>
  <c r="U153" i="85"/>
  <c r="S153" i="85"/>
  <c r="AE133" i="85"/>
  <c r="K133" i="85"/>
  <c r="AG127" i="85"/>
  <c r="Y163" i="85"/>
  <c r="S163" i="85"/>
  <c r="Z103" i="85"/>
  <c r="K103" i="85"/>
  <c r="AG105" i="85"/>
  <c r="AC168" i="85"/>
  <c r="U43" i="85"/>
  <c r="P43" i="85"/>
  <c r="AC123" i="85"/>
  <c r="J123" i="85"/>
  <c r="X78" i="85"/>
  <c r="P78" i="85"/>
  <c r="K108" i="85"/>
  <c r="AD108" i="85"/>
  <c r="I143" i="85"/>
  <c r="J178" i="85"/>
  <c r="O178" i="85"/>
  <c r="N58" i="85"/>
  <c r="J58" i="85"/>
  <c r="O188" i="85"/>
  <c r="K188" i="85"/>
  <c r="AG16" i="85"/>
  <c r="AG111" i="85"/>
  <c r="AG125" i="85"/>
  <c r="N18" i="85"/>
  <c r="Y18" i="85"/>
  <c r="T73" i="85"/>
  <c r="AC73" i="85"/>
  <c r="T63" i="85"/>
  <c r="W63" i="85"/>
  <c r="AG87" i="85"/>
  <c r="X148" i="85"/>
  <c r="AE148" i="85"/>
  <c r="AG152" i="85"/>
  <c r="P138" i="85"/>
  <c r="Q138" i="85"/>
  <c r="V48" i="85"/>
  <c r="M48" i="85"/>
  <c r="W153" i="85"/>
  <c r="AE153" i="85"/>
  <c r="M133" i="85"/>
  <c r="X133" i="85"/>
  <c r="AG112" i="85"/>
  <c r="K163" i="85"/>
  <c r="AE163" i="85"/>
  <c r="AG164" i="85"/>
  <c r="I168" i="85"/>
  <c r="V43" i="85"/>
  <c r="AC43" i="85"/>
  <c r="AG65" i="85"/>
  <c r="Y123" i="85"/>
  <c r="W78" i="85"/>
  <c r="N78" i="85"/>
  <c r="V108" i="85"/>
  <c r="N108" i="85"/>
  <c r="AG22" i="85"/>
  <c r="K178" i="85"/>
  <c r="R178" i="85"/>
  <c r="O58" i="85"/>
  <c r="W58" i="85"/>
  <c r="P188" i="85"/>
  <c r="X188" i="85"/>
  <c r="AG186" i="85"/>
  <c r="AG156" i="85"/>
  <c r="AG176" i="85"/>
  <c r="P18" i="85"/>
  <c r="X18" i="85"/>
  <c r="X73" i="85"/>
  <c r="O73" i="85"/>
  <c r="Q63" i="85"/>
  <c r="J63" i="85"/>
  <c r="AB148" i="85"/>
  <c r="R148" i="85"/>
  <c r="W138" i="85"/>
  <c r="AD138" i="85"/>
  <c r="AC48" i="85"/>
  <c r="Z48" i="85"/>
  <c r="AG149" i="85"/>
  <c r="I153" i="85"/>
  <c r="T153" i="85"/>
  <c r="N133" i="85"/>
  <c r="L133" i="85"/>
  <c r="AG165" i="85"/>
  <c r="Z163" i="85"/>
  <c r="T163" i="85"/>
  <c r="W43" i="85"/>
  <c r="Q43" i="85"/>
  <c r="M123" i="85"/>
  <c r="Y78" i="85"/>
  <c r="AA78" i="85"/>
  <c r="W108" i="85"/>
  <c r="AF108" i="85"/>
  <c r="Y178" i="85"/>
  <c r="U178" i="85"/>
  <c r="V58" i="85"/>
  <c r="R58" i="85"/>
  <c r="Q188" i="85"/>
  <c r="S188" i="85"/>
  <c r="S173" i="85"/>
  <c r="AG56" i="85"/>
  <c r="AG61" i="85"/>
  <c r="AB18" i="85"/>
  <c r="L18" i="85"/>
  <c r="AG46" i="85"/>
  <c r="Y73" i="85"/>
  <c r="AE73" i="85"/>
  <c r="Z63" i="85"/>
  <c r="X63" i="85"/>
  <c r="AG132" i="85"/>
  <c r="AC148" i="85"/>
  <c r="S148" i="85"/>
  <c r="X138" i="85"/>
  <c r="R138" i="85"/>
  <c r="AE48" i="85"/>
  <c r="N48" i="85"/>
  <c r="X153" i="85"/>
  <c r="AF153" i="85"/>
  <c r="O133" i="85"/>
  <c r="Y133" i="85"/>
  <c r="L163" i="85"/>
  <c r="AF163" i="85"/>
  <c r="AA28" i="85"/>
  <c r="S28" i="85"/>
  <c r="O103" i="85"/>
  <c r="Y103" i="85"/>
  <c r="N43" i="85"/>
  <c r="AD43" i="85"/>
  <c r="AG76" i="85"/>
  <c r="AD123" i="85"/>
  <c r="Z123" i="85"/>
  <c r="I78" i="85"/>
  <c r="AG74" i="85"/>
  <c r="Q78" i="85"/>
  <c r="AA108" i="85"/>
  <c r="R108" i="85"/>
  <c r="AG174" i="85"/>
  <c r="I178" i="85"/>
  <c r="V178" i="85"/>
  <c r="AG54" i="85"/>
  <c r="I58" i="85"/>
  <c r="AD58" i="85"/>
  <c r="R188" i="85"/>
  <c r="AE188" i="85"/>
  <c r="AG110" i="85"/>
  <c r="AG182" i="85"/>
  <c r="AG26" i="85"/>
  <c r="AE18" i="85"/>
  <c r="Z18" i="85"/>
  <c r="AF73" i="85"/>
  <c r="I73" i="85"/>
  <c r="AG69" i="85"/>
  <c r="AB63" i="85"/>
  <c r="K63" i="85"/>
  <c r="AG135" i="85"/>
  <c r="AG187" i="85"/>
  <c r="AD148" i="85"/>
  <c r="U148" i="85"/>
  <c r="Z138" i="85"/>
  <c r="AE138" i="85"/>
  <c r="I48" i="85"/>
  <c r="AG44" i="85"/>
  <c r="AA48" i="85"/>
  <c r="AG161" i="85"/>
  <c r="Y153" i="85"/>
  <c r="J153" i="85"/>
  <c r="Q133" i="85"/>
  <c r="T133" i="85"/>
  <c r="AG107" i="85"/>
  <c r="AA163" i="85"/>
  <c r="J163" i="85"/>
  <c r="AF103" i="85"/>
  <c r="Q103" i="85"/>
  <c r="Y43" i="85"/>
  <c r="R43" i="85"/>
  <c r="I123" i="85"/>
  <c r="AG119" i="85"/>
  <c r="R123" i="85"/>
  <c r="Z78" i="85"/>
  <c r="AE78" i="85"/>
  <c r="X108" i="85"/>
  <c r="AE108" i="85"/>
  <c r="X178" i="85"/>
  <c r="W178" i="85"/>
  <c r="Z58" i="85"/>
  <c r="X58" i="85"/>
  <c r="AA188" i="85"/>
  <c r="T188" i="85"/>
  <c r="AG71" i="85"/>
  <c r="R18" i="85"/>
  <c r="M18" i="85"/>
  <c r="Q73" i="85"/>
  <c r="V73" i="85"/>
  <c r="AE63" i="85"/>
  <c r="Y63" i="85"/>
  <c r="L148" i="85"/>
  <c r="T148" i="85"/>
  <c r="AG180" i="85"/>
  <c r="AC138" i="85"/>
  <c r="S138" i="85"/>
  <c r="J48" i="85"/>
  <c r="O48" i="85"/>
  <c r="M153" i="85"/>
  <c r="V153" i="85"/>
  <c r="U133" i="85"/>
  <c r="AF133" i="85"/>
  <c r="M163" i="85"/>
  <c r="V163" i="85"/>
  <c r="AC103" i="85"/>
  <c r="I33" i="85"/>
  <c r="AG29" i="85"/>
  <c r="AF33" i="85"/>
  <c r="Z43" i="85"/>
  <c r="AE43" i="85"/>
  <c r="N123" i="85"/>
  <c r="AE123" i="85"/>
  <c r="U78" i="85"/>
  <c r="S78" i="85"/>
  <c r="I108" i="85"/>
  <c r="AG104" i="85"/>
  <c r="T108" i="85"/>
  <c r="AG67" i="85"/>
  <c r="Z178" i="85"/>
  <c r="P178" i="85"/>
  <c r="AA58" i="85"/>
  <c r="P58" i="85"/>
  <c r="AB188" i="85"/>
  <c r="Y188" i="85"/>
  <c r="AF18" i="85"/>
  <c r="AA18" i="85"/>
  <c r="K73" i="85"/>
  <c r="J73" i="85"/>
  <c r="AC63" i="85"/>
  <c r="S63" i="85"/>
  <c r="N148" i="85"/>
  <c r="AF148" i="85"/>
  <c r="I138" i="85"/>
  <c r="AG134" i="85"/>
  <c r="U138" i="85"/>
  <c r="AG151" i="85"/>
  <c r="P48" i="85"/>
  <c r="AB48" i="85"/>
  <c r="AG116" i="85"/>
  <c r="K153" i="85"/>
  <c r="AB153" i="85"/>
  <c r="P133" i="85"/>
  <c r="AA133" i="85"/>
  <c r="AG146" i="85"/>
  <c r="Q163" i="85"/>
  <c r="AB163" i="85"/>
  <c r="AG10" i="85"/>
  <c r="I13" i="85"/>
  <c r="AG9" i="85"/>
  <c r="AF13" i="85"/>
  <c r="T13" i="85"/>
  <c r="Y13" i="85"/>
  <c r="AE13" i="85"/>
  <c r="M13" i="85"/>
  <c r="S13" i="85"/>
  <c r="AG11" i="85"/>
  <c r="AG88" i="85" l="1"/>
  <c r="F84" i="85" s="1"/>
  <c r="AG143" i="85"/>
  <c r="F139" i="85" s="1"/>
  <c r="AG128" i="85"/>
  <c r="F124" i="85" s="1"/>
  <c r="AG53" i="85"/>
  <c r="F49" i="85" s="1"/>
  <c r="AG83" i="85"/>
  <c r="F79" i="85" s="1"/>
  <c r="AG93" i="85"/>
  <c r="F89" i="85" s="1"/>
  <c r="AG118" i="85"/>
  <c r="F114" i="85" s="1"/>
  <c r="AG68" i="85"/>
  <c r="F64" i="85" s="1"/>
  <c r="AG98" i="85"/>
  <c r="F94" i="85" s="1"/>
  <c r="AG113" i="85"/>
  <c r="F109" i="85" s="1"/>
  <c r="AG108" i="85"/>
  <c r="F104" i="85" s="1"/>
  <c r="AG33" i="85"/>
  <c r="F29" i="85" s="1"/>
  <c r="AG158" i="85"/>
  <c r="F154" i="85" s="1"/>
  <c r="AG153" i="85"/>
  <c r="D24" i="84"/>
  <c r="F24" i="84" s="1"/>
  <c r="AG163" i="85"/>
  <c r="AG123" i="85"/>
  <c r="AG188" i="85"/>
  <c r="D39" i="84"/>
  <c r="F39" i="84" s="1"/>
  <c r="AG73" i="85"/>
  <c r="AG138" i="85"/>
  <c r="AG78" i="85"/>
  <c r="D36" i="84"/>
  <c r="F36" i="84" s="1"/>
  <c r="AG63" i="85"/>
  <c r="AG43" i="85"/>
  <c r="AG58" i="85"/>
  <c r="AG148" i="85"/>
  <c r="D25" i="84"/>
  <c r="F25" i="84" s="1"/>
  <c r="D33" i="84"/>
  <c r="F33" i="84" s="1"/>
  <c r="AG183" i="85"/>
  <c r="AG38" i="85"/>
  <c r="AG48" i="85"/>
  <c r="AG18" i="85"/>
  <c r="AG133" i="85"/>
  <c r="AG23" i="85"/>
  <c r="AG168" i="85"/>
  <c r="AG173" i="85"/>
  <c r="D27" i="84"/>
  <c r="F27" i="84" s="1"/>
  <c r="AG103" i="85"/>
  <c r="D26" i="84"/>
  <c r="F26" i="84" s="1"/>
  <c r="AG178" i="85"/>
  <c r="AG28" i="85"/>
  <c r="AG13" i="85"/>
  <c r="D21" i="84" l="1"/>
  <c r="F21" i="84" s="1"/>
  <c r="D31" i="84"/>
  <c r="F31" i="84" s="1"/>
  <c r="D18" i="84"/>
  <c r="F18" i="84" s="1"/>
  <c r="D30" i="84"/>
  <c r="F30" i="84" s="1"/>
  <c r="D14" i="84"/>
  <c r="F14" i="84" s="1"/>
  <c r="D29" i="84"/>
  <c r="F29" i="84" s="1"/>
  <c r="F174" i="85"/>
  <c r="D43" i="84"/>
  <c r="F43" i="84" s="1"/>
  <c r="F164" i="85"/>
  <c r="D41" i="84"/>
  <c r="F41" i="84" s="1"/>
  <c r="F179" i="85"/>
  <c r="D44" i="84"/>
  <c r="F44" i="84" s="1"/>
  <c r="F39" i="85"/>
  <c r="D16" i="84"/>
  <c r="F16" i="84" s="1"/>
  <c r="F74" i="85"/>
  <c r="D23" i="84"/>
  <c r="F23" i="84" s="1"/>
  <c r="F149" i="85"/>
  <c r="D38" i="84"/>
  <c r="F38" i="84" s="1"/>
  <c r="F129" i="85"/>
  <c r="D34" i="84"/>
  <c r="F34" i="84" s="1"/>
  <c r="F134" i="85"/>
  <c r="D35" i="84"/>
  <c r="F35" i="84" s="1"/>
  <c r="F119" i="85"/>
  <c r="D32" i="84"/>
  <c r="F32" i="84" s="1"/>
  <c r="F19" i="85"/>
  <c r="D12" i="84"/>
  <c r="F12" i="84" s="1"/>
  <c r="F14" i="85"/>
  <c r="D11" i="84"/>
  <c r="F11" i="84" s="1"/>
  <c r="F144" i="85"/>
  <c r="D37" i="84"/>
  <c r="F37" i="84" s="1"/>
  <c r="F69" i="85"/>
  <c r="D22" i="84"/>
  <c r="F22" i="84" s="1"/>
  <c r="F59" i="85"/>
  <c r="D20" i="84"/>
  <c r="F20" i="84" s="1"/>
  <c r="F184" i="85"/>
  <c r="D45" i="84"/>
  <c r="F45" i="84" s="1"/>
  <c r="F99" i="85"/>
  <c r="D28" i="84"/>
  <c r="F28" i="84" s="1"/>
  <c r="F159" i="85"/>
  <c r="D40" i="84"/>
  <c r="F40" i="84" s="1"/>
  <c r="F44" i="85"/>
  <c r="D17" i="84"/>
  <c r="F17" i="84" s="1"/>
  <c r="F54" i="85"/>
  <c r="D19" i="84"/>
  <c r="F19" i="84" s="1"/>
  <c r="F24" i="85"/>
  <c r="D13" i="84"/>
  <c r="F13" i="84" s="1"/>
  <c r="F34" i="85"/>
  <c r="D15" i="84"/>
  <c r="F15" i="84" s="1"/>
  <c r="F169" i="85"/>
  <c r="D42" i="84"/>
  <c r="F42" i="84" s="1"/>
  <c r="F9" i="85"/>
  <c r="D10" i="84"/>
  <c r="F10" i="84" l="1"/>
  <c r="D46" i="84"/>
  <c r="F46" i="84" l="1"/>
  <c r="E46" i="84" s="1"/>
  <c r="D36" i="17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  <c r="G46" i="84" l="1"/>
  <c r="Y78" i="83" l="1"/>
  <c r="M93" i="83"/>
  <c r="P18" i="83"/>
  <c r="AB18" i="83"/>
  <c r="P28" i="83"/>
  <c r="AF78" i="83"/>
  <c r="W78" i="83"/>
  <c r="N48" i="83"/>
  <c r="AA33" i="83"/>
  <c r="AE28" i="83"/>
  <c r="AE18" i="83"/>
  <c r="O88" i="83"/>
  <c r="U108" i="83"/>
  <c r="Z48" i="83"/>
  <c r="Y93" i="83"/>
  <c r="Y63" i="83"/>
  <c r="X53" i="83"/>
  <c r="W63" i="83"/>
  <c r="AE113" i="83"/>
  <c r="AD93" i="83"/>
  <c r="AC58" i="83"/>
  <c r="U118" i="83"/>
  <c r="U113" i="83"/>
  <c r="AD213" i="83"/>
  <c r="AD198" i="83"/>
  <c r="AD188" i="83"/>
  <c r="AC183" i="83"/>
  <c r="AC173" i="83"/>
  <c r="AC118" i="83"/>
  <c r="AC113" i="83"/>
  <c r="AE73" i="83"/>
  <c r="AE58" i="83"/>
  <c r="U23" i="83"/>
  <c r="O33" i="83"/>
  <c r="AA88" i="83"/>
  <c r="Z53" i="83"/>
  <c r="Y73" i="83"/>
  <c r="Y28" i="83"/>
  <c r="Y18" i="83"/>
  <c r="W73" i="83"/>
  <c r="W58" i="83"/>
  <c r="W28" i="83"/>
  <c r="AF73" i="83"/>
  <c r="AE108" i="83"/>
  <c r="U78" i="83"/>
  <c r="O58" i="83"/>
  <c r="N53" i="83"/>
  <c r="AC233" i="83"/>
  <c r="AC163" i="83"/>
  <c r="AA28" i="83"/>
  <c r="AA18" i="83"/>
  <c r="U168" i="83"/>
  <c r="U153" i="83"/>
  <c r="AE63" i="83"/>
  <c r="AE13" i="83"/>
  <c r="AD248" i="83"/>
  <c r="AC203" i="83"/>
  <c r="AC148" i="83"/>
  <c r="AD193" i="83"/>
  <c r="AD178" i="83"/>
  <c r="R223" i="83"/>
  <c r="R168" i="83"/>
  <c r="R163" i="83"/>
  <c r="Q248" i="83"/>
  <c r="Q228" i="83"/>
  <c r="Q223" i="83"/>
  <c r="Q213" i="83"/>
  <c r="Q198" i="83"/>
  <c r="Q188" i="83"/>
  <c r="Q178" i="83"/>
  <c r="Q163" i="83"/>
  <c r="K248" i="83"/>
  <c r="K228" i="83"/>
  <c r="K223" i="83"/>
  <c r="K213" i="83"/>
  <c r="K198" i="83"/>
  <c r="K188" i="83"/>
  <c r="K178" i="83"/>
  <c r="K163" i="83"/>
  <c r="T33" i="83"/>
  <c r="S93" i="83"/>
  <c r="S78" i="83"/>
  <c r="R78" i="83"/>
  <c r="R73" i="83"/>
  <c r="R58" i="83"/>
  <c r="R33" i="83"/>
  <c r="R18" i="83"/>
  <c r="AF103" i="83"/>
  <c r="AE183" i="83"/>
  <c r="AE173" i="83"/>
  <c r="AD103" i="83"/>
  <c r="AC88" i="83"/>
  <c r="AC83" i="83"/>
  <c r="AB78" i="83"/>
  <c r="AB73" i="83"/>
  <c r="O248" i="83"/>
  <c r="T138" i="83"/>
  <c r="T133" i="83"/>
  <c r="T103" i="83"/>
  <c r="T93" i="83"/>
  <c r="S183" i="83"/>
  <c r="S173" i="83"/>
  <c r="S148" i="83"/>
  <c r="R153" i="83"/>
  <c r="R138" i="83"/>
  <c r="R133" i="83"/>
  <c r="R118" i="83"/>
  <c r="R103" i="83"/>
  <c r="Q108" i="83"/>
  <c r="Q88" i="83"/>
  <c r="Q83" i="83"/>
  <c r="P78" i="83"/>
  <c r="P73" i="83"/>
  <c r="P63" i="83"/>
  <c r="P58" i="83"/>
  <c r="M78" i="83"/>
  <c r="M73" i="83"/>
  <c r="M63" i="83"/>
  <c r="M28" i="83"/>
  <c r="L53" i="83"/>
  <c r="K78" i="83"/>
  <c r="K73" i="83"/>
  <c r="K63" i="83"/>
  <c r="K58" i="83"/>
  <c r="K28" i="83"/>
  <c r="T73" i="83"/>
  <c r="S113" i="83"/>
  <c r="S108" i="83"/>
  <c r="R93" i="83"/>
  <c r="Q58" i="83"/>
  <c r="O28" i="83"/>
  <c r="O18" i="83"/>
  <c r="S73" i="83"/>
  <c r="S63" i="83"/>
  <c r="AA233" i="83"/>
  <c r="AA203" i="83"/>
  <c r="AA183" i="83"/>
  <c r="AA173" i="83"/>
  <c r="AA148" i="83"/>
  <c r="AA113" i="83"/>
  <c r="AA108" i="83"/>
  <c r="Z223" i="83"/>
  <c r="Z153" i="83"/>
  <c r="Z138" i="83"/>
  <c r="Z133" i="83"/>
  <c r="L223" i="83"/>
  <c r="L168" i="83"/>
  <c r="L153" i="83"/>
  <c r="L138" i="83"/>
  <c r="L133" i="83"/>
  <c r="L118" i="83"/>
  <c r="L103" i="83"/>
  <c r="L18" i="83"/>
  <c r="U173" i="83"/>
  <c r="T223" i="83"/>
  <c r="AF183" i="83"/>
  <c r="AF173" i="83"/>
  <c r="AE233" i="83"/>
  <c r="AB183" i="83"/>
  <c r="AB173" i="83"/>
  <c r="AB113" i="83"/>
  <c r="V188" i="83"/>
  <c r="J118" i="83"/>
  <c r="V73" i="83"/>
  <c r="J188" i="83"/>
  <c r="J128" i="83"/>
  <c r="P228" i="83"/>
  <c r="P213" i="83"/>
  <c r="P198" i="83"/>
  <c r="P188" i="83"/>
  <c r="P163" i="83"/>
  <c r="M233" i="83"/>
  <c r="M183" i="83"/>
  <c r="M173" i="83"/>
  <c r="M148" i="83"/>
  <c r="M113" i="83"/>
  <c r="M108" i="83"/>
  <c r="P248" i="83"/>
  <c r="P223" i="83"/>
  <c r="P178" i="83"/>
  <c r="O228" i="83"/>
  <c r="O223" i="83"/>
  <c r="O213" i="83"/>
  <c r="O198" i="83"/>
  <c r="O188" i="83"/>
  <c r="O178" i="83"/>
  <c r="O163" i="83"/>
  <c r="N233" i="83"/>
  <c r="N183" i="83"/>
  <c r="N173" i="83"/>
  <c r="N148" i="83"/>
  <c r="X248" i="83"/>
  <c r="X228" i="83"/>
  <c r="X213" i="83"/>
  <c r="X198" i="83"/>
  <c r="X188" i="83"/>
  <c r="X178" i="83"/>
  <c r="J103" i="83"/>
  <c r="J98" i="83"/>
  <c r="V88" i="83"/>
  <c r="V78" i="83"/>
  <c r="J33" i="83"/>
  <c r="J28" i="83"/>
  <c r="S83" i="83"/>
  <c r="M18" i="83"/>
  <c r="S58" i="83"/>
  <c r="S28" i="83"/>
  <c r="W233" i="83"/>
  <c r="W203" i="83"/>
  <c r="W183" i="83"/>
  <c r="W173" i="83"/>
  <c r="W148" i="83"/>
  <c r="W113" i="83"/>
  <c r="W108" i="83"/>
  <c r="W88" i="83"/>
  <c r="V233" i="83"/>
  <c r="V93" i="83"/>
  <c r="J88" i="83"/>
  <c r="J78" i="83"/>
  <c r="AF18" i="83"/>
  <c r="AD23" i="83"/>
  <c r="AC28" i="83"/>
  <c r="AC18" i="83"/>
  <c r="S223" i="83"/>
  <c r="V223" i="83"/>
  <c r="V118" i="83"/>
  <c r="AF233" i="83"/>
  <c r="AB233" i="83"/>
  <c r="AB148" i="83"/>
  <c r="AB108" i="83"/>
  <c r="AB93" i="83"/>
  <c r="AB88" i="83"/>
  <c r="Y223" i="83"/>
  <c r="Y163" i="83"/>
  <c r="Y153" i="83"/>
  <c r="Y138" i="83"/>
  <c r="Y133" i="83"/>
  <c r="Y103" i="83"/>
  <c r="Q33" i="83"/>
  <c r="U63" i="83"/>
  <c r="U33" i="83"/>
  <c r="AF243" i="83"/>
  <c r="AF168" i="83"/>
  <c r="AF208" i="83"/>
  <c r="AF193" i="83"/>
  <c r="AF178" i="83"/>
  <c r="J123" i="83"/>
  <c r="V108" i="83"/>
  <c r="J63" i="83"/>
  <c r="V58" i="83"/>
  <c r="AG245" i="83"/>
  <c r="AG242" i="83"/>
  <c r="AG239" i="83"/>
  <c r="I243" i="83"/>
  <c r="AG235" i="83"/>
  <c r="AG229" i="83"/>
  <c r="I233" i="83"/>
  <c r="AG226" i="83"/>
  <c r="AG221" i="83"/>
  <c r="T148" i="83"/>
  <c r="T118" i="83"/>
  <c r="T113" i="83"/>
  <c r="T108" i="83"/>
  <c r="T98" i="83"/>
  <c r="T88" i="83"/>
  <c r="T83" i="83"/>
  <c r="S188" i="83"/>
  <c r="R148" i="83"/>
  <c r="R113" i="83"/>
  <c r="P83" i="83"/>
  <c r="P43" i="83"/>
  <c r="P33" i="83"/>
  <c r="P23" i="83"/>
  <c r="P13" i="83"/>
  <c r="O53" i="83"/>
  <c r="O38" i="83"/>
  <c r="N103" i="83"/>
  <c r="N93" i="83"/>
  <c r="N73" i="83"/>
  <c r="N68" i="83"/>
  <c r="N63" i="83"/>
  <c r="M98" i="83"/>
  <c r="M88" i="83"/>
  <c r="M83" i="83"/>
  <c r="M43" i="83"/>
  <c r="M33" i="83"/>
  <c r="L93" i="83"/>
  <c r="L78" i="83"/>
  <c r="L73" i="83"/>
  <c r="L68" i="83"/>
  <c r="L63" i="83"/>
  <c r="L58" i="83"/>
  <c r="L48" i="83"/>
  <c r="K83" i="83"/>
  <c r="K43" i="83"/>
  <c r="K33" i="83"/>
  <c r="AG214" i="83"/>
  <c r="I218" i="83"/>
  <c r="AG215" i="83"/>
  <c r="AG209" i="83"/>
  <c r="I213" i="83"/>
  <c r="AG206" i="83"/>
  <c r="AG202" i="83"/>
  <c r="AG199" i="83"/>
  <c r="I203" i="83"/>
  <c r="T78" i="83"/>
  <c r="S128" i="83"/>
  <c r="S118" i="83"/>
  <c r="R98" i="83"/>
  <c r="R88" i="83"/>
  <c r="R83" i="83"/>
  <c r="O23" i="83"/>
  <c r="O13" i="83"/>
  <c r="AG167" i="83"/>
  <c r="AG164" i="83"/>
  <c r="I168" i="83"/>
  <c r="AG162" i="83"/>
  <c r="AG156" i="83"/>
  <c r="AG151" i="83"/>
  <c r="AG152" i="83"/>
  <c r="S43" i="83"/>
  <c r="S33" i="83"/>
  <c r="S18" i="83"/>
  <c r="S13" i="83"/>
  <c r="AG145" i="83"/>
  <c r="AG142" i="83"/>
  <c r="I143" i="83"/>
  <c r="AG139" i="83"/>
  <c r="U138" i="83"/>
  <c r="U133" i="83"/>
  <c r="U123" i="83"/>
  <c r="AG115" i="83"/>
  <c r="AG111" i="83"/>
  <c r="AG107" i="83"/>
  <c r="AG104" i="83"/>
  <c r="I88" i="83"/>
  <c r="AG84" i="83"/>
  <c r="AG82" i="83"/>
  <c r="AG79" i="83"/>
  <c r="I83" i="83"/>
  <c r="AG74" i="83"/>
  <c r="AG69" i="83"/>
  <c r="I73" i="83"/>
  <c r="I53" i="83"/>
  <c r="AG49" i="83"/>
  <c r="AG41" i="83"/>
  <c r="AG21" i="83"/>
  <c r="S228" i="83"/>
  <c r="R243" i="83"/>
  <c r="R233" i="83"/>
  <c r="R208" i="83"/>
  <c r="R183" i="83"/>
  <c r="R173" i="83"/>
  <c r="Q193" i="83"/>
  <c r="Q168" i="83"/>
  <c r="Q158" i="83"/>
  <c r="Q153" i="83"/>
  <c r="Q143" i="83"/>
  <c r="Q138" i="83"/>
  <c r="Q133" i="83"/>
  <c r="Q123" i="83"/>
  <c r="P193" i="83"/>
  <c r="P158" i="83"/>
  <c r="P153" i="83"/>
  <c r="P143" i="83"/>
  <c r="P138" i="83"/>
  <c r="P133" i="83"/>
  <c r="P123" i="83"/>
  <c r="P103" i="83"/>
  <c r="P93" i="83"/>
  <c r="O193" i="83"/>
  <c r="O158" i="83"/>
  <c r="O153" i="83"/>
  <c r="O143" i="83"/>
  <c r="O138" i="83"/>
  <c r="O133" i="83"/>
  <c r="O123" i="83"/>
  <c r="O103" i="83"/>
  <c r="N248" i="83"/>
  <c r="N238" i="83"/>
  <c r="N228" i="83"/>
  <c r="N218" i="83"/>
  <c r="N213" i="83"/>
  <c r="N203" i="83"/>
  <c r="N198" i="83"/>
  <c r="N188" i="83"/>
  <c r="N163" i="83"/>
  <c r="N128" i="83"/>
  <c r="M248" i="83"/>
  <c r="M238" i="83"/>
  <c r="M218" i="83"/>
  <c r="M213" i="83"/>
  <c r="M203" i="83"/>
  <c r="M198" i="83"/>
  <c r="M188" i="83"/>
  <c r="M178" i="83"/>
  <c r="M128" i="83"/>
  <c r="M118" i="83"/>
  <c r="L243" i="83"/>
  <c r="L233" i="83"/>
  <c r="L208" i="83"/>
  <c r="L203" i="83"/>
  <c r="L183" i="83"/>
  <c r="L173" i="83"/>
  <c r="L163" i="83"/>
  <c r="L148" i="83"/>
  <c r="L113" i="83"/>
  <c r="L98" i="83"/>
  <c r="K193" i="83"/>
  <c r="K158" i="83"/>
  <c r="K153" i="83"/>
  <c r="K143" i="83"/>
  <c r="K138" i="83"/>
  <c r="K133" i="83"/>
  <c r="K123" i="83"/>
  <c r="K103" i="83"/>
  <c r="K93" i="83"/>
  <c r="V238" i="83"/>
  <c r="V218" i="83"/>
  <c r="V198" i="83"/>
  <c r="V178" i="83"/>
  <c r="V38" i="83"/>
  <c r="N33" i="83"/>
  <c r="N23" i="83"/>
  <c r="N18" i="83"/>
  <c r="N13" i="83"/>
  <c r="L33" i="83"/>
  <c r="L23" i="83"/>
  <c r="K13" i="83"/>
  <c r="AG195" i="83"/>
  <c r="AG190" i="83"/>
  <c r="U183" i="83"/>
  <c r="AF58" i="83"/>
  <c r="AF43" i="83"/>
  <c r="AF33" i="83"/>
  <c r="AF23" i="83"/>
  <c r="AF13" i="83"/>
  <c r="AE93" i="83"/>
  <c r="AE78" i="83"/>
  <c r="AD78" i="83"/>
  <c r="AD73" i="83"/>
  <c r="AD68" i="83"/>
  <c r="AD63" i="83"/>
  <c r="AD58" i="83"/>
  <c r="AD48" i="83"/>
  <c r="AD28" i="83"/>
  <c r="AD18" i="83"/>
  <c r="AC43" i="83"/>
  <c r="AC33" i="83"/>
  <c r="AC13" i="83"/>
  <c r="I63" i="83"/>
  <c r="AG59" i="83"/>
  <c r="AG30" i="83"/>
  <c r="AG32" i="83"/>
  <c r="AG26" i="83"/>
  <c r="AG22" i="83"/>
  <c r="T193" i="83"/>
  <c r="T178" i="83"/>
  <c r="T158" i="83"/>
  <c r="V248" i="83"/>
  <c r="J183" i="83"/>
  <c r="J108" i="83"/>
  <c r="J58" i="83"/>
  <c r="U248" i="83"/>
  <c r="U238" i="83"/>
  <c r="U228" i="83"/>
  <c r="AF128" i="83"/>
  <c r="AE193" i="83"/>
  <c r="AE163" i="83"/>
  <c r="AE158" i="83"/>
  <c r="AE153" i="83"/>
  <c r="AE143" i="83"/>
  <c r="AE138" i="83"/>
  <c r="AE133" i="83"/>
  <c r="AD128" i="83"/>
  <c r="AD108" i="83"/>
  <c r="AC103" i="83"/>
  <c r="AC93" i="83"/>
  <c r="AC78" i="83"/>
  <c r="AC73" i="83"/>
  <c r="AC68" i="83"/>
  <c r="AC63" i="83"/>
  <c r="AB58" i="83"/>
  <c r="AB53" i="83"/>
  <c r="AB48" i="83"/>
  <c r="AB38" i="83"/>
  <c r="AA93" i="83"/>
  <c r="AA78" i="83"/>
  <c r="AA73" i="83"/>
  <c r="AA68" i="83"/>
  <c r="AA63" i="83"/>
  <c r="AA58" i="83"/>
  <c r="AA48" i="83"/>
  <c r="Z113" i="83"/>
  <c r="Z108" i="83"/>
  <c r="Z98" i="83"/>
  <c r="Z93" i="83"/>
  <c r="Z88" i="83"/>
  <c r="Z83" i="83"/>
  <c r="Z78" i="83"/>
  <c r="Z58" i="83"/>
  <c r="Z43" i="83"/>
  <c r="Y58" i="83"/>
  <c r="Y53" i="83"/>
  <c r="Y48" i="83"/>
  <c r="Y38" i="83"/>
  <c r="Y23" i="83"/>
  <c r="X88" i="83"/>
  <c r="X83" i="83"/>
  <c r="X43" i="83"/>
  <c r="W53" i="83"/>
  <c r="W38" i="83"/>
  <c r="U223" i="83"/>
  <c r="AE123" i="83"/>
  <c r="AE103" i="83"/>
  <c r="AC53" i="83"/>
  <c r="X13" i="83"/>
  <c r="AE53" i="83"/>
  <c r="AE38" i="83"/>
  <c r="AE23" i="83"/>
  <c r="U148" i="83"/>
  <c r="I138" i="83"/>
  <c r="AG134" i="83"/>
  <c r="I133" i="83"/>
  <c r="AG129" i="83"/>
  <c r="AG126" i="83"/>
  <c r="AG122" i="83"/>
  <c r="I123" i="83"/>
  <c r="AG119" i="83"/>
  <c r="AG101" i="83"/>
  <c r="AG96" i="83"/>
  <c r="AG91" i="83"/>
  <c r="AG92" i="83"/>
  <c r="AG65" i="83"/>
  <c r="AG55" i="83"/>
  <c r="AG16" i="83"/>
  <c r="AG11" i="83"/>
  <c r="AE243" i="83"/>
  <c r="AE208" i="83"/>
  <c r="AD218" i="83"/>
  <c r="AC243" i="83"/>
  <c r="AC208" i="83"/>
  <c r="AB243" i="83"/>
  <c r="AB208" i="83"/>
  <c r="AB118" i="83"/>
  <c r="AB98" i="83"/>
  <c r="AA243" i="83"/>
  <c r="AA208" i="83"/>
  <c r="AA168" i="83"/>
  <c r="AA118" i="83"/>
  <c r="Z193" i="83"/>
  <c r="Z178" i="83"/>
  <c r="Z158" i="83"/>
  <c r="Z143" i="83"/>
  <c r="Z123" i="83"/>
  <c r="Y228" i="83"/>
  <c r="Y193" i="83"/>
  <c r="Y158" i="83"/>
  <c r="Y143" i="83"/>
  <c r="Y123" i="83"/>
  <c r="X238" i="83"/>
  <c r="X218" i="83"/>
  <c r="X128" i="83"/>
  <c r="X108" i="83"/>
  <c r="W243" i="83"/>
  <c r="W208" i="83"/>
  <c r="W168" i="83"/>
  <c r="W118" i="83"/>
  <c r="W98" i="83"/>
  <c r="J238" i="83"/>
  <c r="J218" i="83"/>
  <c r="J198" i="83"/>
  <c r="J178" i="83"/>
  <c r="V173" i="83"/>
  <c r="V168" i="83"/>
  <c r="V163" i="83"/>
  <c r="V113" i="83"/>
  <c r="J38" i="83"/>
  <c r="Z38" i="83"/>
  <c r="W23" i="83"/>
  <c r="U198" i="83"/>
  <c r="AG187" i="83"/>
  <c r="AG185" i="83"/>
  <c r="AG180" i="83"/>
  <c r="AG176" i="83"/>
  <c r="I173" i="83"/>
  <c r="AG169" i="83"/>
  <c r="T43" i="83"/>
  <c r="T23" i="83"/>
  <c r="T13" i="83"/>
  <c r="R68" i="83"/>
  <c r="R63" i="83"/>
  <c r="R48" i="83"/>
  <c r="R28" i="83"/>
  <c r="Q43" i="83"/>
  <c r="Q23" i="83"/>
  <c r="Q13" i="83"/>
  <c r="AG35" i="83"/>
  <c r="AD238" i="83"/>
  <c r="J248" i="83"/>
  <c r="I248" i="83"/>
  <c r="AG244" i="83"/>
  <c r="AG241" i="83"/>
  <c r="AG237" i="83"/>
  <c r="I238" i="83"/>
  <c r="AG234" i="83"/>
  <c r="AG231" i="83"/>
  <c r="I228" i="83"/>
  <c r="AG225" i="83"/>
  <c r="AG220" i="83"/>
  <c r="T128" i="83"/>
  <c r="S193" i="83"/>
  <c r="S178" i="83"/>
  <c r="S168" i="83"/>
  <c r="S163" i="83"/>
  <c r="S158" i="83"/>
  <c r="S153" i="83"/>
  <c r="S143" i="83"/>
  <c r="S138" i="83"/>
  <c r="S133" i="83"/>
  <c r="R128" i="83"/>
  <c r="R108" i="83"/>
  <c r="Q103" i="83"/>
  <c r="Q93" i="83"/>
  <c r="Q78" i="83"/>
  <c r="Q73" i="83"/>
  <c r="Q68" i="83"/>
  <c r="Q63" i="83"/>
  <c r="P53" i="83"/>
  <c r="P48" i="83"/>
  <c r="P38" i="83"/>
  <c r="O93" i="83"/>
  <c r="O78" i="83"/>
  <c r="O73" i="83"/>
  <c r="O68" i="83"/>
  <c r="O63" i="83"/>
  <c r="O48" i="83"/>
  <c r="N113" i="83"/>
  <c r="N108" i="83"/>
  <c r="N98" i="83"/>
  <c r="N88" i="83"/>
  <c r="N83" i="83"/>
  <c r="N78" i="83"/>
  <c r="N43" i="83"/>
  <c r="M58" i="83"/>
  <c r="M53" i="83"/>
  <c r="M48" i="83"/>
  <c r="M38" i="83"/>
  <c r="M23" i="83"/>
  <c r="M13" i="83"/>
  <c r="L88" i="83"/>
  <c r="L83" i="83"/>
  <c r="L43" i="83"/>
  <c r="K53" i="83"/>
  <c r="K38" i="83"/>
  <c r="AG219" i="83"/>
  <c r="I223" i="83"/>
  <c r="AG217" i="83"/>
  <c r="AG211" i="83"/>
  <c r="AG212" i="83"/>
  <c r="AG205" i="83"/>
  <c r="AG201" i="83"/>
  <c r="S123" i="83"/>
  <c r="S103" i="83"/>
  <c r="Q53" i="83"/>
  <c r="L13" i="83"/>
  <c r="AG166" i="83"/>
  <c r="AG160" i="83"/>
  <c r="AG161" i="83"/>
  <c r="AG155" i="83"/>
  <c r="AG150" i="83"/>
  <c r="S53" i="83"/>
  <c r="S38" i="83"/>
  <c r="S23" i="83"/>
  <c r="AG144" i="83"/>
  <c r="I148" i="83"/>
  <c r="AG141" i="83"/>
  <c r="AG114" i="83"/>
  <c r="AG110" i="83"/>
  <c r="AG106" i="83"/>
  <c r="U103" i="83"/>
  <c r="U93" i="83"/>
  <c r="AG86" i="83"/>
  <c r="AG81" i="83"/>
  <c r="AG76" i="83"/>
  <c r="AG71" i="83"/>
  <c r="AG51" i="83"/>
  <c r="AG44" i="83"/>
  <c r="AG40" i="83"/>
  <c r="AG20" i="83"/>
  <c r="U18" i="83"/>
  <c r="U13" i="83"/>
  <c r="T243" i="83"/>
  <c r="T233" i="83"/>
  <c r="T183" i="83"/>
  <c r="T173" i="83"/>
  <c r="T168" i="83"/>
  <c r="S243" i="83"/>
  <c r="S233" i="83"/>
  <c r="S208" i="83"/>
  <c r="R248" i="83"/>
  <c r="R238" i="83"/>
  <c r="R228" i="83"/>
  <c r="R218" i="83"/>
  <c r="R213" i="83"/>
  <c r="R203" i="83"/>
  <c r="R198" i="83"/>
  <c r="R188" i="83"/>
  <c r="R178" i="83"/>
  <c r="Q243" i="83"/>
  <c r="Q233" i="83"/>
  <c r="Q208" i="83"/>
  <c r="Q203" i="83"/>
  <c r="Q183" i="83"/>
  <c r="Q173" i="83"/>
  <c r="Q148" i="83"/>
  <c r="Q118" i="83"/>
  <c r="Q113" i="83"/>
  <c r="P243" i="83"/>
  <c r="P233" i="83"/>
  <c r="P208" i="83"/>
  <c r="P203" i="83"/>
  <c r="P183" i="83"/>
  <c r="P173" i="83"/>
  <c r="P168" i="83"/>
  <c r="P148" i="83"/>
  <c r="P118" i="83"/>
  <c r="P113" i="83"/>
  <c r="P108" i="83"/>
  <c r="P98" i="83"/>
  <c r="P88" i="83"/>
  <c r="O243" i="83"/>
  <c r="O233" i="83"/>
  <c r="O208" i="83"/>
  <c r="O203" i="83"/>
  <c r="O183" i="83"/>
  <c r="O173" i="83"/>
  <c r="O168" i="83"/>
  <c r="O148" i="83"/>
  <c r="O118" i="83"/>
  <c r="O113" i="83"/>
  <c r="O108" i="83"/>
  <c r="N223" i="83"/>
  <c r="N193" i="83"/>
  <c r="N178" i="83"/>
  <c r="N168" i="83"/>
  <c r="N158" i="83"/>
  <c r="N153" i="83"/>
  <c r="N143" i="83"/>
  <c r="N138" i="83"/>
  <c r="N133" i="83"/>
  <c r="N123" i="83"/>
  <c r="M228" i="83"/>
  <c r="M223" i="83"/>
  <c r="M193" i="83"/>
  <c r="M168" i="83"/>
  <c r="M163" i="83"/>
  <c r="M158" i="83"/>
  <c r="M153" i="83"/>
  <c r="M143" i="83"/>
  <c r="M138" i="83"/>
  <c r="M133" i="83"/>
  <c r="M123" i="83"/>
  <c r="M103" i="83"/>
  <c r="L248" i="83"/>
  <c r="L238" i="83"/>
  <c r="L228" i="83"/>
  <c r="L218" i="83"/>
  <c r="L213" i="83"/>
  <c r="L198" i="83"/>
  <c r="L193" i="83"/>
  <c r="L188" i="83"/>
  <c r="L178" i="83"/>
  <c r="L128" i="83"/>
  <c r="L108" i="83"/>
  <c r="K243" i="83"/>
  <c r="K233" i="83"/>
  <c r="K208" i="83"/>
  <c r="K203" i="83"/>
  <c r="K183" i="83"/>
  <c r="K173" i="83"/>
  <c r="K168" i="83"/>
  <c r="K148" i="83"/>
  <c r="K118" i="83"/>
  <c r="K113" i="83"/>
  <c r="K108" i="83"/>
  <c r="K98" i="83"/>
  <c r="K88" i="83"/>
  <c r="J233" i="83"/>
  <c r="V183" i="83"/>
  <c r="J173" i="83"/>
  <c r="J163" i="83"/>
  <c r="J113" i="83"/>
  <c r="J93" i="83"/>
  <c r="V48" i="83"/>
  <c r="V18" i="83"/>
  <c r="N38" i="83"/>
  <c r="K23" i="83"/>
  <c r="AG194" i="83"/>
  <c r="I198" i="83"/>
  <c r="AG189" i="83"/>
  <c r="I193" i="83"/>
  <c r="U188" i="83"/>
  <c r="U178" i="83"/>
  <c r="AF53" i="83"/>
  <c r="AF48" i="83"/>
  <c r="AF38" i="83"/>
  <c r="AE88" i="83"/>
  <c r="AE83" i="83"/>
  <c r="AD43" i="83"/>
  <c r="AD33" i="83"/>
  <c r="AD13" i="83"/>
  <c r="AC38" i="83"/>
  <c r="AC23" i="83"/>
  <c r="AG61" i="83"/>
  <c r="AG62" i="83"/>
  <c r="U38" i="83"/>
  <c r="AG29" i="83"/>
  <c r="I33" i="83"/>
  <c r="AG25" i="83"/>
  <c r="T208" i="83"/>
  <c r="J223" i="83"/>
  <c r="V208" i="83"/>
  <c r="V143" i="83"/>
  <c r="V68" i="83"/>
  <c r="AF153" i="83"/>
  <c r="AF143" i="83"/>
  <c r="AF138" i="83"/>
  <c r="AF133" i="83"/>
  <c r="AF123" i="83"/>
  <c r="AE168" i="83"/>
  <c r="AE148" i="83"/>
  <c r="AD153" i="83"/>
  <c r="AD143" i="83"/>
  <c r="AD138" i="83"/>
  <c r="AD133" i="83"/>
  <c r="AD123" i="83"/>
  <c r="AD118" i="83"/>
  <c r="AC108" i="83"/>
  <c r="AC98" i="83"/>
  <c r="AB68" i="83"/>
  <c r="AB63" i="83"/>
  <c r="AB28" i="83"/>
  <c r="AA98" i="83"/>
  <c r="AA83" i="83"/>
  <c r="AA43" i="83"/>
  <c r="Y68" i="83"/>
  <c r="X38" i="83"/>
  <c r="W68" i="83"/>
  <c r="W48" i="83"/>
  <c r="U208" i="83"/>
  <c r="AF68" i="83"/>
  <c r="AE118" i="83"/>
  <c r="AE98" i="83"/>
  <c r="AC48" i="83"/>
  <c r="U158" i="83"/>
  <c r="AE68" i="83"/>
  <c r="AE48" i="83"/>
  <c r="AG136" i="83"/>
  <c r="AG131" i="83"/>
  <c r="AG132" i="83"/>
  <c r="AG125" i="83"/>
  <c r="AG121" i="83"/>
  <c r="I103" i="83"/>
  <c r="AG99" i="83"/>
  <c r="AG100" i="83"/>
  <c r="AG95" i="83"/>
  <c r="AG90" i="83"/>
  <c r="AG70" i="83"/>
  <c r="AG67" i="83"/>
  <c r="AG54" i="83"/>
  <c r="I58" i="83"/>
  <c r="AG45" i="83"/>
  <c r="U48" i="83"/>
  <c r="U43" i="83"/>
  <c r="AG37" i="83"/>
  <c r="I18" i="83"/>
  <c r="AG15" i="83"/>
  <c r="AG10" i="83"/>
  <c r="AF248" i="83"/>
  <c r="AF218" i="83"/>
  <c r="AF203" i="83"/>
  <c r="AE238" i="83"/>
  <c r="AE218" i="83"/>
  <c r="AE213" i="83"/>
  <c r="AE203" i="83"/>
  <c r="AE198" i="83"/>
  <c r="AD228" i="83"/>
  <c r="AD223" i="83"/>
  <c r="AD168" i="83"/>
  <c r="AD158" i="83"/>
  <c r="AC248" i="83"/>
  <c r="AC238" i="83"/>
  <c r="AC228" i="83"/>
  <c r="AC218" i="83"/>
  <c r="AC213" i="83"/>
  <c r="AC198" i="83"/>
  <c r="AC193" i="83"/>
  <c r="AC188" i="83"/>
  <c r="AC178" i="83"/>
  <c r="AC128" i="83"/>
  <c r="AB248" i="83"/>
  <c r="AB238" i="83"/>
  <c r="AB228" i="83"/>
  <c r="AB218" i="83"/>
  <c r="AB213" i="83"/>
  <c r="AB203" i="83"/>
  <c r="AB198" i="83"/>
  <c r="AB188" i="83"/>
  <c r="AB178" i="83"/>
  <c r="AB163" i="83"/>
  <c r="AB128" i="83"/>
  <c r="AA248" i="83"/>
  <c r="AA238" i="83"/>
  <c r="AA228" i="83"/>
  <c r="AA223" i="83"/>
  <c r="AA218" i="83"/>
  <c r="AA213" i="83"/>
  <c r="AA198" i="83"/>
  <c r="AA188" i="83"/>
  <c r="AA178" i="83"/>
  <c r="AA163" i="83"/>
  <c r="AA128" i="83"/>
  <c r="Z243" i="83"/>
  <c r="Z233" i="83"/>
  <c r="Z208" i="83"/>
  <c r="Z183" i="83"/>
  <c r="Z173" i="83"/>
  <c r="Z168" i="83"/>
  <c r="Z148" i="83"/>
  <c r="Z118" i="83"/>
  <c r="Y243" i="83"/>
  <c r="Y233" i="83"/>
  <c r="Y208" i="83"/>
  <c r="Y183" i="83"/>
  <c r="Y173" i="83"/>
  <c r="Y168" i="83"/>
  <c r="Y148" i="83"/>
  <c r="Y118" i="83"/>
  <c r="Y113" i="83"/>
  <c r="Y108" i="83"/>
  <c r="X223" i="83"/>
  <c r="X193" i="83"/>
  <c r="X168" i="83"/>
  <c r="X158" i="83"/>
  <c r="X153" i="83"/>
  <c r="X143" i="83"/>
  <c r="X138" i="83"/>
  <c r="X133" i="83"/>
  <c r="X123" i="83"/>
  <c r="X118" i="83"/>
  <c r="X103" i="83"/>
  <c r="W248" i="83"/>
  <c r="W238" i="83"/>
  <c r="W228" i="83"/>
  <c r="W223" i="83"/>
  <c r="W218" i="83"/>
  <c r="W213" i="83"/>
  <c r="W198" i="83"/>
  <c r="W188" i="83"/>
  <c r="W178" i="83"/>
  <c r="W163" i="83"/>
  <c r="W128" i="83"/>
  <c r="V228" i="83"/>
  <c r="V213" i="83"/>
  <c r="V153" i="83"/>
  <c r="V133" i="83"/>
  <c r="J48" i="83"/>
  <c r="V23" i="83"/>
  <c r="J18" i="83"/>
  <c r="Z28" i="83"/>
  <c r="X28" i="83"/>
  <c r="X18" i="83"/>
  <c r="W18" i="83"/>
  <c r="W13" i="83"/>
  <c r="U193" i="83"/>
  <c r="I188" i="83"/>
  <c r="AG184" i="83"/>
  <c r="AG182" i="83"/>
  <c r="AG179" i="83"/>
  <c r="I183" i="83"/>
  <c r="AG175" i="83"/>
  <c r="AG171" i="83"/>
  <c r="T58" i="83"/>
  <c r="T53" i="83"/>
  <c r="T48" i="83"/>
  <c r="T38" i="83"/>
  <c r="S88" i="83"/>
  <c r="R43" i="83"/>
  <c r="R23" i="83"/>
  <c r="R13" i="83"/>
  <c r="Q38" i="83"/>
  <c r="U58" i="83"/>
  <c r="I38" i="83"/>
  <c r="AG34" i="83"/>
  <c r="U28" i="83"/>
  <c r="AF238" i="83"/>
  <c r="AF228" i="83"/>
  <c r="AF213" i="83"/>
  <c r="AF198" i="83"/>
  <c r="AF188" i="83"/>
  <c r="AF163" i="83"/>
  <c r="AE248" i="83"/>
  <c r="J208" i="83"/>
  <c r="V193" i="83"/>
  <c r="J143" i="83"/>
  <c r="V128" i="83"/>
  <c r="J73" i="83"/>
  <c r="J68" i="83"/>
  <c r="V53" i="83"/>
  <c r="AG247" i="83"/>
  <c r="AG246" i="83"/>
  <c r="AG240" i="83"/>
  <c r="AG236" i="83"/>
  <c r="AG230" i="83"/>
  <c r="AG227" i="83"/>
  <c r="AG224" i="83"/>
  <c r="T153" i="83"/>
  <c r="T143" i="83"/>
  <c r="T123" i="83"/>
  <c r="R143" i="83"/>
  <c r="R123" i="83"/>
  <c r="Q98" i="83"/>
  <c r="P68" i="83"/>
  <c r="O98" i="83"/>
  <c r="O83" i="83"/>
  <c r="O43" i="83"/>
  <c r="N58" i="83"/>
  <c r="M68" i="83"/>
  <c r="L38" i="83"/>
  <c r="K68" i="83"/>
  <c r="K48" i="83"/>
  <c r="AG222" i="83"/>
  <c r="AG216" i="83"/>
  <c r="AG210" i="83"/>
  <c r="AG207" i="83"/>
  <c r="I208" i="83"/>
  <c r="AG204" i="83"/>
  <c r="AG200" i="83"/>
  <c r="T68" i="83"/>
  <c r="S98" i="83"/>
  <c r="Q48" i="83"/>
  <c r="AG165" i="83"/>
  <c r="AG159" i="83"/>
  <c r="I163" i="83"/>
  <c r="AG157" i="83"/>
  <c r="AG154" i="83"/>
  <c r="I158" i="83"/>
  <c r="AG149" i="83"/>
  <c r="I153" i="83"/>
  <c r="S68" i="83"/>
  <c r="S48" i="83"/>
  <c r="AG146" i="83"/>
  <c r="AG147" i="83"/>
  <c r="AG140" i="83"/>
  <c r="U128" i="83"/>
  <c r="I118" i="83"/>
  <c r="AG117" i="83"/>
  <c r="AG116" i="83"/>
  <c r="AG109" i="83"/>
  <c r="I113" i="83"/>
  <c r="I108" i="83"/>
  <c r="AG105" i="83"/>
  <c r="U98" i="83"/>
  <c r="AG87" i="83"/>
  <c r="AG85" i="83"/>
  <c r="AG80" i="83"/>
  <c r="I78" i="83"/>
  <c r="AG75" i="83"/>
  <c r="AG72" i="83"/>
  <c r="AG50" i="83"/>
  <c r="I48" i="83"/>
  <c r="AG46" i="83"/>
  <c r="AG42" i="83"/>
  <c r="I43" i="83"/>
  <c r="AG39" i="83"/>
  <c r="AG19" i="83"/>
  <c r="I23" i="83"/>
  <c r="T248" i="83"/>
  <c r="T218" i="83"/>
  <c r="T203" i="83"/>
  <c r="S248" i="83"/>
  <c r="S238" i="83"/>
  <c r="S218" i="83"/>
  <c r="S213" i="83"/>
  <c r="S203" i="83"/>
  <c r="S198" i="83"/>
  <c r="R193" i="83"/>
  <c r="R158" i="83"/>
  <c r="Q238" i="83"/>
  <c r="Q218" i="83"/>
  <c r="Q128" i="83"/>
  <c r="P238" i="83"/>
  <c r="P218" i="83"/>
  <c r="P128" i="83"/>
  <c r="O238" i="83"/>
  <c r="O218" i="83"/>
  <c r="O128" i="83"/>
  <c r="N243" i="83"/>
  <c r="N208" i="83"/>
  <c r="N118" i="83"/>
  <c r="M243" i="83"/>
  <c r="M208" i="83"/>
  <c r="L158" i="83"/>
  <c r="L143" i="83"/>
  <c r="L123" i="83"/>
  <c r="K238" i="83"/>
  <c r="K218" i="83"/>
  <c r="K128" i="83"/>
  <c r="V243" i="83"/>
  <c r="J228" i="83"/>
  <c r="J213" i="83"/>
  <c r="V203" i="83"/>
  <c r="V158" i="83"/>
  <c r="J153" i="83"/>
  <c r="V148" i="83"/>
  <c r="V138" i="83"/>
  <c r="J133" i="83"/>
  <c r="V83" i="83"/>
  <c r="V43" i="83"/>
  <c r="J23" i="83"/>
  <c r="V13" i="83"/>
  <c r="N28" i="83"/>
  <c r="L28" i="83"/>
  <c r="K18" i="83"/>
  <c r="AG196" i="83"/>
  <c r="AG191" i="83"/>
  <c r="AG192" i="83"/>
  <c r="AF63" i="83"/>
  <c r="AF28" i="83"/>
  <c r="AD53" i="83"/>
  <c r="AD38" i="83"/>
  <c r="U68" i="83"/>
  <c r="AG60" i="83"/>
  <c r="AG56" i="83"/>
  <c r="AG31" i="83"/>
  <c r="I28" i="83"/>
  <c r="AG24" i="83"/>
  <c r="T238" i="83"/>
  <c r="T228" i="83"/>
  <c r="T213" i="83"/>
  <c r="T198" i="83"/>
  <c r="T188" i="83"/>
  <c r="T163" i="83"/>
  <c r="J193" i="83"/>
  <c r="V123" i="83"/>
  <c r="V63" i="83"/>
  <c r="J53" i="83"/>
  <c r="U243" i="83"/>
  <c r="U233" i="83"/>
  <c r="AF148" i="83"/>
  <c r="AF118" i="83"/>
  <c r="AF113" i="83"/>
  <c r="AF108" i="83"/>
  <c r="AF98" i="83"/>
  <c r="AF93" i="83"/>
  <c r="AF88" i="83"/>
  <c r="AF83" i="83"/>
  <c r="AE188" i="83"/>
  <c r="AE178" i="83"/>
  <c r="AD148" i="83"/>
  <c r="AD113" i="83"/>
  <c r="AB83" i="83"/>
  <c r="AB43" i="83"/>
  <c r="AB33" i="83"/>
  <c r="AB23" i="83"/>
  <c r="AB13" i="83"/>
  <c r="AA53" i="83"/>
  <c r="AA38" i="83"/>
  <c r="Z103" i="83"/>
  <c r="Z73" i="83"/>
  <c r="Z68" i="83"/>
  <c r="Z63" i="83"/>
  <c r="Y98" i="83"/>
  <c r="Y88" i="83"/>
  <c r="Y83" i="83"/>
  <c r="Y43" i="83"/>
  <c r="Y33" i="83"/>
  <c r="Y13" i="83"/>
  <c r="X93" i="83"/>
  <c r="X78" i="83"/>
  <c r="X73" i="83"/>
  <c r="X68" i="83"/>
  <c r="X63" i="83"/>
  <c r="X58" i="83"/>
  <c r="X48" i="83"/>
  <c r="W83" i="83"/>
  <c r="W43" i="83"/>
  <c r="W33" i="83"/>
  <c r="U218" i="83"/>
  <c r="U213" i="83"/>
  <c r="U203" i="83"/>
  <c r="AE128" i="83"/>
  <c r="AD98" i="83"/>
  <c r="AD88" i="83"/>
  <c r="AD83" i="83"/>
  <c r="AA23" i="83"/>
  <c r="AA13" i="83"/>
  <c r="U163" i="83"/>
  <c r="AE43" i="83"/>
  <c r="AE33" i="83"/>
  <c r="U143" i="83"/>
  <c r="AG135" i="83"/>
  <c r="AG130" i="83"/>
  <c r="AG127" i="83"/>
  <c r="I128" i="83"/>
  <c r="AG124" i="83"/>
  <c r="AG120" i="83"/>
  <c r="AG102" i="83"/>
  <c r="AG97" i="83"/>
  <c r="I98" i="83"/>
  <c r="AG94" i="83"/>
  <c r="AG89" i="83"/>
  <c r="I93" i="83"/>
  <c r="U88" i="83"/>
  <c r="U83" i="83"/>
  <c r="U73" i="83"/>
  <c r="AG66" i="83"/>
  <c r="U53" i="83"/>
  <c r="AG47" i="83"/>
  <c r="AG14" i="83"/>
  <c r="AG9" i="83"/>
  <c r="I13" i="83"/>
  <c r="AG12" i="83"/>
  <c r="AF223" i="83"/>
  <c r="AF158" i="83"/>
  <c r="AE228" i="83"/>
  <c r="AE223" i="83"/>
  <c r="AD243" i="83"/>
  <c r="AD233" i="83"/>
  <c r="AD208" i="83"/>
  <c r="AD203" i="83"/>
  <c r="AD183" i="83"/>
  <c r="AD173" i="83"/>
  <c r="AD163" i="83"/>
  <c r="AC223" i="83"/>
  <c r="AC168" i="83"/>
  <c r="AC158" i="83"/>
  <c r="AC153" i="83"/>
  <c r="AC143" i="83"/>
  <c r="AC138" i="83"/>
  <c r="AC133" i="83"/>
  <c r="AC123" i="83"/>
  <c r="AB223" i="83"/>
  <c r="AB193" i="83"/>
  <c r="AB168" i="83"/>
  <c r="AB158" i="83"/>
  <c r="AB153" i="83"/>
  <c r="AB143" i="83"/>
  <c r="AB138" i="83"/>
  <c r="AB133" i="83"/>
  <c r="AB123" i="83"/>
  <c r="AB103" i="83"/>
  <c r="AA193" i="83"/>
  <c r="AA158" i="83"/>
  <c r="AA153" i="83"/>
  <c r="AA143" i="83"/>
  <c r="AA138" i="83"/>
  <c r="AA133" i="83"/>
  <c r="AA123" i="83"/>
  <c r="AA103" i="83"/>
  <c r="Z248" i="83"/>
  <c r="Z238" i="83"/>
  <c r="Z228" i="83"/>
  <c r="Z218" i="83"/>
  <c r="Z213" i="83"/>
  <c r="Z203" i="83"/>
  <c r="Z198" i="83"/>
  <c r="Z188" i="83"/>
  <c r="Z163" i="83"/>
  <c r="Z128" i="83"/>
  <c r="Y248" i="83"/>
  <c r="Y238" i="83"/>
  <c r="Y218" i="83"/>
  <c r="Y213" i="83"/>
  <c r="Y203" i="83"/>
  <c r="Y198" i="83"/>
  <c r="Y188" i="83"/>
  <c r="Y178" i="83"/>
  <c r="Y128" i="83"/>
  <c r="X243" i="83"/>
  <c r="X233" i="83"/>
  <c r="X208" i="83"/>
  <c r="X203" i="83"/>
  <c r="X183" i="83"/>
  <c r="X173" i="83"/>
  <c r="X163" i="83"/>
  <c r="X148" i="83"/>
  <c r="X113" i="83"/>
  <c r="X98" i="83"/>
  <c r="W193" i="83"/>
  <c r="W158" i="83"/>
  <c r="W153" i="83"/>
  <c r="W143" i="83"/>
  <c r="W138" i="83"/>
  <c r="W133" i="83"/>
  <c r="W123" i="83"/>
  <c r="W103" i="83"/>
  <c r="W93" i="83"/>
  <c r="J243" i="83"/>
  <c r="J203" i="83"/>
  <c r="J168" i="83"/>
  <c r="J158" i="83"/>
  <c r="J148" i="83"/>
  <c r="J138" i="83"/>
  <c r="V103" i="83"/>
  <c r="V98" i="83"/>
  <c r="J83" i="83"/>
  <c r="J43" i="83"/>
  <c r="V33" i="83"/>
  <c r="V28" i="83"/>
  <c r="J13" i="83"/>
  <c r="Z33" i="83"/>
  <c r="Z23" i="83"/>
  <c r="Z18" i="83"/>
  <c r="Z13" i="83"/>
  <c r="X33" i="83"/>
  <c r="X23" i="83"/>
  <c r="AG186" i="83"/>
  <c r="AG181" i="83"/>
  <c r="AG177" i="83"/>
  <c r="AG174" i="83"/>
  <c r="I178" i="83"/>
  <c r="AG170" i="83"/>
  <c r="T63" i="83"/>
  <c r="T28" i="83"/>
  <c r="T18" i="83"/>
  <c r="R53" i="83"/>
  <c r="R38" i="83"/>
  <c r="Q28" i="83"/>
  <c r="Q18" i="83"/>
  <c r="I68" i="83"/>
  <c r="AG64" i="83"/>
  <c r="AG57" i="83"/>
  <c r="AG36" i="83"/>
  <c r="AG78" i="83" l="1"/>
  <c r="AG23" i="83"/>
  <c r="AG183" i="83"/>
  <c r="AG53" i="83"/>
  <c r="AG83" i="83"/>
  <c r="AG168" i="83"/>
  <c r="AG93" i="83"/>
  <c r="AG143" i="83"/>
  <c r="AG238" i="83"/>
  <c r="AG68" i="83"/>
  <c r="AG133" i="83"/>
  <c r="AG63" i="83"/>
  <c r="AG203" i="83"/>
  <c r="AG233" i="83"/>
  <c r="AG178" i="83"/>
  <c r="AG13" i="83"/>
  <c r="AG98" i="83"/>
  <c r="AG108" i="83"/>
  <c r="AG153" i="83"/>
  <c r="AG188" i="83"/>
  <c r="AG18" i="83"/>
  <c r="AG193" i="83"/>
  <c r="AG88" i="83"/>
  <c r="AG43" i="83"/>
  <c r="AG113" i="83"/>
  <c r="AG138" i="83"/>
  <c r="AG28" i="83"/>
  <c r="AG158" i="83"/>
  <c r="AG198" i="83"/>
  <c r="AG248" i="83"/>
  <c r="AG173" i="83"/>
  <c r="AG243" i="83"/>
  <c r="AG208" i="83"/>
  <c r="AG213" i="83"/>
  <c r="AG48" i="83"/>
  <c r="AG128" i="83"/>
  <c r="AG118" i="83"/>
  <c r="AG163" i="83"/>
  <c r="AG58" i="83"/>
  <c r="AG103" i="83"/>
  <c r="AG33" i="83"/>
  <c r="AG73" i="83"/>
  <c r="F74" i="83"/>
  <c r="D23" i="82"/>
  <c r="F23" i="82" s="1"/>
  <c r="AG223" i="83"/>
  <c r="AG218" i="83"/>
  <c r="AG38" i="83"/>
  <c r="AG148" i="83"/>
  <c r="AG228" i="83"/>
  <c r="AG123" i="83"/>
  <c r="F54" i="83" l="1"/>
  <c r="D19" i="82"/>
  <c r="F19" i="82" s="1"/>
  <c r="F14" i="83"/>
  <c r="D11" i="82"/>
  <c r="F11" i="82" s="1"/>
  <c r="D51" i="82"/>
  <c r="F51" i="82" s="1"/>
  <c r="F214" i="83"/>
  <c r="F169" i="83"/>
  <c r="D42" i="82"/>
  <c r="F42" i="82" s="1"/>
  <c r="D45" i="82"/>
  <c r="F45" i="82" s="1"/>
  <c r="F184" i="83"/>
  <c r="F119" i="83"/>
  <c r="D32" i="82"/>
  <c r="F32" i="82" s="1"/>
  <c r="F244" i="83"/>
  <c r="D57" i="82"/>
  <c r="F57" i="82" s="1"/>
  <c r="F89" i="83"/>
  <c r="D26" i="82"/>
  <c r="F26" i="82" s="1"/>
  <c r="F194" i="83"/>
  <c r="D47" i="82"/>
  <c r="F47" i="82" s="1"/>
  <c r="F149" i="83"/>
  <c r="D38" i="82"/>
  <c r="F38" i="82" s="1"/>
  <c r="F219" i="83"/>
  <c r="D52" i="82"/>
  <c r="F52" i="82" s="1"/>
  <c r="F159" i="83"/>
  <c r="D40" i="82"/>
  <c r="F40" i="82" s="1"/>
  <c r="F109" i="83"/>
  <c r="D30" i="82"/>
  <c r="F30" i="82" s="1"/>
  <c r="F104" i="83"/>
  <c r="D29" i="82"/>
  <c r="F29" i="82" s="1"/>
  <c r="F64" i="83"/>
  <c r="D21" i="82"/>
  <c r="F21" i="82" s="1"/>
  <c r="D53" i="82"/>
  <c r="F53" i="82" s="1"/>
  <c r="F224" i="83"/>
  <c r="F114" i="83"/>
  <c r="D31" i="82"/>
  <c r="F31" i="82" s="1"/>
  <c r="F154" i="83"/>
  <c r="D39" i="82"/>
  <c r="F39" i="82" s="1"/>
  <c r="F39" i="83"/>
  <c r="D16" i="82"/>
  <c r="F16" i="82" s="1"/>
  <c r="D27" i="82"/>
  <c r="F27" i="82" s="1"/>
  <c r="F94" i="83"/>
  <c r="F164" i="83"/>
  <c r="D41" i="82"/>
  <c r="F41" i="82" s="1"/>
  <c r="F144" i="83"/>
  <c r="D37" i="82"/>
  <c r="F37" i="82" s="1"/>
  <c r="F24" i="83"/>
  <c r="D13" i="82"/>
  <c r="F13" i="82" s="1"/>
  <c r="F84" i="83"/>
  <c r="D25" i="82"/>
  <c r="F25" i="82" s="1"/>
  <c r="F9" i="83"/>
  <c r="D10" i="82"/>
  <c r="D55" i="82"/>
  <c r="F55" i="82" s="1"/>
  <c r="F234" i="83"/>
  <c r="F79" i="83"/>
  <c r="D24" i="82"/>
  <c r="F24" i="82" s="1"/>
  <c r="F124" i="83"/>
  <c r="D33" i="82"/>
  <c r="F33" i="82" s="1"/>
  <c r="F204" i="83"/>
  <c r="D49" i="82"/>
  <c r="F49" i="82" s="1"/>
  <c r="F174" i="83"/>
  <c r="D43" i="82"/>
  <c r="F43" i="82" s="1"/>
  <c r="D18" i="82"/>
  <c r="F18" i="82" s="1"/>
  <c r="F49" i="83"/>
  <c r="F34" i="83"/>
  <c r="D15" i="82"/>
  <c r="F15" i="82" s="1"/>
  <c r="F229" i="83"/>
  <c r="D54" i="82"/>
  <c r="F54" i="82" s="1"/>
  <c r="F179" i="83"/>
  <c r="D44" i="82"/>
  <c r="F44" i="82" s="1"/>
  <c r="F69" i="83"/>
  <c r="D22" i="82"/>
  <c r="F22" i="82" s="1"/>
  <c r="F199" i="83"/>
  <c r="D48" i="82"/>
  <c r="F48" i="82" s="1"/>
  <c r="F139" i="83"/>
  <c r="D36" i="82"/>
  <c r="F36" i="82" s="1"/>
  <c r="F29" i="83"/>
  <c r="D14" i="82"/>
  <c r="F14" i="82" s="1"/>
  <c r="F44" i="83"/>
  <c r="D17" i="82"/>
  <c r="F17" i="82" s="1"/>
  <c r="F189" i="83"/>
  <c r="D46" i="82"/>
  <c r="F46" i="82" s="1"/>
  <c r="D20" i="82"/>
  <c r="F20" i="82" s="1"/>
  <c r="F59" i="83"/>
  <c r="F19" i="83"/>
  <c r="D12" i="82"/>
  <c r="F12" i="82" s="1"/>
  <c r="F99" i="83"/>
  <c r="D28" i="82"/>
  <c r="F28" i="82" s="1"/>
  <c r="D50" i="82"/>
  <c r="F50" i="82" s="1"/>
  <c r="F209" i="83"/>
  <c r="F239" i="83"/>
  <c r="D56" i="82"/>
  <c r="F56" i="82" s="1"/>
  <c r="F134" i="83"/>
  <c r="D35" i="82"/>
  <c r="F35" i="82" s="1"/>
  <c r="F129" i="83"/>
  <c r="D34" i="82"/>
  <c r="F34" i="82" s="1"/>
  <c r="F10" i="82" l="1"/>
  <c r="D58" i="82"/>
  <c r="F58" i="82" l="1"/>
  <c r="E58" i="82" s="1"/>
  <c r="N243" i="81"/>
  <c r="T53" i="81" l="1"/>
  <c r="R53" i="81"/>
  <c r="N53" i="81"/>
  <c r="U198" i="81"/>
  <c r="AB143" i="81"/>
  <c r="AF198" i="81"/>
  <c r="W198" i="81"/>
  <c r="T198" i="81"/>
  <c r="V198" i="81"/>
  <c r="Z143" i="81"/>
  <c r="K198" i="81"/>
  <c r="M53" i="81"/>
  <c r="P198" i="81"/>
  <c r="AE18" i="81"/>
  <c r="AC198" i="81"/>
  <c r="J198" i="81"/>
  <c r="G58" i="82"/>
  <c r="AB198" i="81"/>
  <c r="Y143" i="81"/>
  <c r="V53" i="81"/>
  <c r="Q243" i="81"/>
  <c r="S168" i="81"/>
  <c r="Z198" i="81"/>
  <c r="W43" i="81"/>
  <c r="W143" i="81"/>
  <c r="R178" i="81"/>
  <c r="K243" i="81"/>
  <c r="AE53" i="81"/>
  <c r="N178" i="81"/>
  <c r="AC178" i="81"/>
  <c r="O198" i="81"/>
  <c r="T143" i="81"/>
  <c r="K53" i="81"/>
  <c r="AA178" i="81"/>
  <c r="AA53" i="81"/>
  <c r="W48" i="81"/>
  <c r="Q143" i="81"/>
  <c r="P53" i="81"/>
  <c r="T18" i="81"/>
  <c r="X198" i="81"/>
  <c r="Y198" i="81"/>
  <c r="R168" i="81"/>
  <c r="Q198" i="81"/>
  <c r="N198" i="81"/>
  <c r="Y18" i="81"/>
  <c r="W243" i="81"/>
  <c r="O53" i="81"/>
  <c r="U178" i="81"/>
  <c r="U53" i="81"/>
  <c r="P23" i="81"/>
  <c r="S53" i="81"/>
  <c r="S48" i="81"/>
  <c r="AA243" i="81"/>
  <c r="M198" i="81"/>
  <c r="K113" i="81"/>
  <c r="J43" i="81"/>
  <c r="W178" i="81"/>
  <c r="X243" i="81"/>
  <c r="T83" i="81"/>
  <c r="O143" i="81"/>
  <c r="AE198" i="81"/>
  <c r="AC143" i="81"/>
  <c r="S198" i="81"/>
  <c r="AF243" i="81"/>
  <c r="AD53" i="81"/>
  <c r="AC243" i="81"/>
  <c r="Q53" i="81"/>
  <c r="N113" i="81"/>
  <c r="J48" i="81"/>
  <c r="M243" i="81"/>
  <c r="AF18" i="81"/>
  <c r="K178" i="81"/>
  <c r="P243" i="81"/>
  <c r="Z53" i="81"/>
  <c r="W53" i="81"/>
  <c r="M178" i="81"/>
  <c r="Z243" i="81"/>
  <c r="AB168" i="81"/>
  <c r="K158" i="81"/>
  <c r="X18" i="81"/>
  <c r="V168" i="81"/>
  <c r="AE113" i="81"/>
  <c r="AC163" i="81"/>
  <c r="U48" i="81"/>
  <c r="N143" i="81"/>
  <c r="K108" i="81"/>
  <c r="V93" i="81"/>
  <c r="AD168" i="81"/>
  <c r="T178" i="81"/>
  <c r="V18" i="81"/>
  <c r="S113" i="81"/>
  <c r="S103" i="81"/>
  <c r="K128" i="81"/>
  <c r="O128" i="81"/>
  <c r="P18" i="81"/>
  <c r="L178" i="81"/>
  <c r="O243" i="81"/>
  <c r="AE88" i="81"/>
  <c r="Z93" i="81"/>
  <c r="AA168" i="81"/>
  <c r="AD98" i="81"/>
  <c r="K123" i="81"/>
  <c r="AC98" i="81"/>
  <c r="M48" i="81"/>
  <c r="V183" i="81"/>
  <c r="R43" i="81"/>
  <c r="S98" i="81"/>
  <c r="Q178" i="81"/>
  <c r="O123" i="81"/>
  <c r="R48" i="81"/>
  <c r="V173" i="81"/>
  <c r="AB113" i="81"/>
  <c r="O43" i="81"/>
  <c r="V73" i="81"/>
  <c r="AD93" i="81"/>
  <c r="L18" i="81"/>
  <c r="AB53" i="81"/>
  <c r="AD153" i="81"/>
  <c r="AE123" i="81"/>
  <c r="AD178" i="81"/>
  <c r="X48" i="81"/>
  <c r="J143" i="81"/>
  <c r="J53" i="81"/>
  <c r="N43" i="81"/>
  <c r="Z43" i="81"/>
  <c r="L113" i="81"/>
  <c r="Z128" i="81"/>
  <c r="AD128" i="81"/>
  <c r="U168" i="81"/>
  <c r="K88" i="81"/>
  <c r="X123" i="81"/>
  <c r="Q128" i="81"/>
  <c r="L148" i="81"/>
  <c r="V48" i="81"/>
  <c r="M98" i="81"/>
  <c r="S243" i="81"/>
  <c r="AF143" i="81"/>
  <c r="O178" i="81"/>
  <c r="AD243" i="81"/>
  <c r="S143" i="81"/>
  <c r="AA98" i="81"/>
  <c r="AE143" i="81"/>
  <c r="K98" i="81"/>
  <c r="X113" i="81"/>
  <c r="V128" i="81"/>
  <c r="L53" i="81"/>
  <c r="T183" i="81"/>
  <c r="R73" i="81"/>
  <c r="AA48" i="81"/>
  <c r="Y53" i="81"/>
  <c r="U113" i="81"/>
  <c r="J18" i="81"/>
  <c r="Y98" i="81"/>
  <c r="X168" i="81"/>
  <c r="V43" i="81"/>
  <c r="AB178" i="81"/>
  <c r="M43" i="81"/>
  <c r="J183" i="81"/>
  <c r="AG176" i="81"/>
  <c r="AF73" i="81"/>
  <c r="AG165" i="81"/>
  <c r="S73" i="81"/>
  <c r="AG206" i="81"/>
  <c r="AG136" i="81"/>
  <c r="P143" i="81"/>
  <c r="AD148" i="81"/>
  <c r="Z168" i="81"/>
  <c r="Q113" i="81"/>
  <c r="K168" i="81"/>
  <c r="R18" i="81"/>
  <c r="J178" i="81"/>
  <c r="V143" i="81"/>
  <c r="Z18" i="81"/>
  <c r="X53" i="81"/>
  <c r="AB43" i="81"/>
  <c r="R198" i="81"/>
  <c r="AG132" i="81"/>
  <c r="U243" i="81"/>
  <c r="U143" i="81"/>
  <c r="AE168" i="81"/>
  <c r="N48" i="81"/>
  <c r="M18" i="81"/>
  <c r="Y178" i="81"/>
  <c r="AA18" i="81"/>
  <c r="AE178" i="81"/>
  <c r="Q18" i="81"/>
  <c r="L198" i="81"/>
  <c r="AA198" i="81"/>
  <c r="L98" i="81"/>
  <c r="J113" i="81"/>
  <c r="Q48" i="81"/>
  <c r="Z113" i="81"/>
  <c r="AC43" i="81"/>
  <c r="AF53" i="81"/>
  <c r="K143" i="81"/>
  <c r="T173" i="81"/>
  <c r="AB98" i="81"/>
  <c r="AA143" i="81"/>
  <c r="V243" i="81"/>
  <c r="AF113" i="81"/>
  <c r="V113" i="81"/>
  <c r="J98" i="81"/>
  <c r="U98" i="81"/>
  <c r="R113" i="81"/>
  <c r="O168" i="81"/>
  <c r="O98" i="81"/>
  <c r="AC53" i="81"/>
  <c r="AB123" i="81"/>
  <c r="L243" i="81"/>
  <c r="AB48" i="81"/>
  <c r="N128" i="81"/>
  <c r="W128" i="81"/>
  <c r="AA128" i="81"/>
  <c r="Z178" i="81"/>
  <c r="AD73" i="81"/>
  <c r="AG166" i="81"/>
  <c r="J168" i="81"/>
  <c r="AE98" i="81"/>
  <c r="AD198" i="81"/>
  <c r="AF103" i="81"/>
  <c r="AF168" i="81"/>
  <c r="W98" i="81"/>
  <c r="AD48" i="81"/>
  <c r="P48" i="81"/>
  <c r="AG147" i="81"/>
  <c r="AD173" i="81"/>
  <c r="AD123" i="81"/>
  <c r="AC123" i="81"/>
  <c r="AG135" i="81"/>
  <c r="AG131" i="81"/>
  <c r="AC128" i="81"/>
  <c r="AG97" i="81"/>
  <c r="O113" i="81"/>
  <c r="W148" i="81"/>
  <c r="Z123" i="81"/>
  <c r="P113" i="81"/>
  <c r="Y168" i="81"/>
  <c r="U93" i="81"/>
  <c r="AF173" i="81"/>
  <c r="AB148" i="81"/>
  <c r="K93" i="81"/>
  <c r="AG146" i="81"/>
  <c r="AG181" i="81"/>
  <c r="AG106" i="81"/>
  <c r="AC113" i="81"/>
  <c r="I143" i="81"/>
  <c r="AG139" i="81"/>
  <c r="O133" i="81"/>
  <c r="L168" i="81"/>
  <c r="M168" i="81"/>
  <c r="N168" i="81"/>
  <c r="AG76" i="81"/>
  <c r="W113" i="81"/>
  <c r="W18" i="81"/>
  <c r="AC168" i="81"/>
  <c r="AE93" i="81"/>
  <c r="W93" i="81"/>
  <c r="AG205" i="81"/>
  <c r="AG232" i="81"/>
  <c r="P178" i="81"/>
  <c r="AG237" i="81"/>
  <c r="L43" i="81"/>
  <c r="AA173" i="81"/>
  <c r="AG36" i="81"/>
  <c r="J173" i="81"/>
  <c r="X98" i="81"/>
  <c r="AG226" i="81"/>
  <c r="I98" i="81"/>
  <c r="AG94" i="81"/>
  <c r="AC93" i="81"/>
  <c r="L48" i="81"/>
  <c r="AF93" i="81"/>
  <c r="AG92" i="81"/>
  <c r="AG160" i="81"/>
  <c r="X133" i="81"/>
  <c r="AD83" i="81"/>
  <c r="Q173" i="81"/>
  <c r="AC173" i="81"/>
  <c r="AC18" i="81"/>
  <c r="V178" i="81"/>
  <c r="S93" i="81"/>
  <c r="AG216" i="81"/>
  <c r="J123" i="81"/>
  <c r="AG194" i="81"/>
  <c r="I198" i="81"/>
  <c r="U18" i="81"/>
  <c r="I53" i="81"/>
  <c r="AG49" i="81"/>
  <c r="AG245" i="81"/>
  <c r="AG91" i="81"/>
  <c r="AG110" i="81"/>
  <c r="AE128" i="81"/>
  <c r="Z133" i="81"/>
  <c r="R128" i="81"/>
  <c r="M148" i="81"/>
  <c r="AE133" i="81"/>
  <c r="J93" i="81"/>
  <c r="N93" i="81"/>
  <c r="S18" i="81"/>
  <c r="W123" i="81"/>
  <c r="J243" i="81"/>
  <c r="Y148" i="81"/>
  <c r="AF128" i="81"/>
  <c r="AD43" i="81"/>
  <c r="AA133" i="81"/>
  <c r="AB173" i="81"/>
  <c r="AG142" i="81"/>
  <c r="I148" i="81"/>
  <c r="AG144" i="81"/>
  <c r="AG172" i="81"/>
  <c r="AG231" i="81"/>
  <c r="Z173" i="81"/>
  <c r="L93" i="81"/>
  <c r="AG120" i="81"/>
  <c r="I48" i="81"/>
  <c r="AG44" i="81"/>
  <c r="AG127" i="81"/>
  <c r="AG130" i="81"/>
  <c r="Q98" i="81"/>
  <c r="Q123" i="81"/>
  <c r="K48" i="81"/>
  <c r="AG107" i="81"/>
  <c r="P168" i="81"/>
  <c r="AG21" i="81"/>
  <c r="T148" i="81"/>
  <c r="T168" i="81"/>
  <c r="N123" i="81"/>
  <c r="W168" i="81"/>
  <c r="Y243" i="81"/>
  <c r="AE148" i="81"/>
  <c r="R243" i="81"/>
  <c r="AG15" i="81"/>
  <c r="AA148" i="81"/>
  <c r="AG242" i="81"/>
  <c r="W173" i="81"/>
  <c r="K173" i="81"/>
  <c r="AD143" i="81"/>
  <c r="K43" i="81"/>
  <c r="M128" i="81"/>
  <c r="I168" i="81"/>
  <c r="AG164" i="81"/>
  <c r="AG201" i="81"/>
  <c r="Y123" i="81"/>
  <c r="Y48" i="81"/>
  <c r="Q168" i="81"/>
  <c r="K18" i="81"/>
  <c r="AB243" i="81"/>
  <c r="AF148" i="81"/>
  <c r="P93" i="81"/>
  <c r="AG27" i="81"/>
  <c r="X173" i="81"/>
  <c r="AG174" i="81"/>
  <c r="I178" i="81"/>
  <c r="AG145" i="81"/>
  <c r="AG102" i="81"/>
  <c r="M123" i="81"/>
  <c r="AF98" i="81"/>
  <c r="AG86" i="81"/>
  <c r="AG14" i="81"/>
  <c r="I18" i="81"/>
  <c r="T123" i="81"/>
  <c r="AG186" i="81"/>
  <c r="AG191" i="81"/>
  <c r="AG170" i="81"/>
  <c r="AA123" i="81"/>
  <c r="T128" i="81"/>
  <c r="T93" i="81"/>
  <c r="AG95" i="81"/>
  <c r="AG89" i="81"/>
  <c r="I93" i="81"/>
  <c r="Y93" i="81"/>
  <c r="N148" i="81"/>
  <c r="AG119" i="81"/>
  <c r="I123" i="81"/>
  <c r="AG82" i="81"/>
  <c r="I243" i="81"/>
  <c r="AG239" i="81"/>
  <c r="AG122" i="81"/>
  <c r="Z98" i="81"/>
  <c r="T98" i="81"/>
  <c r="AD113" i="81"/>
  <c r="V123" i="81"/>
  <c r="AG115" i="81"/>
  <c r="M113" i="81"/>
  <c r="AG75" i="81"/>
  <c r="P98" i="81"/>
  <c r="T113" i="81"/>
  <c r="V98" i="81"/>
  <c r="U123" i="81"/>
  <c r="Z48" i="81"/>
  <c r="O173" i="81"/>
  <c r="T48" i="81"/>
  <c r="AG60" i="81"/>
  <c r="AG207" i="81"/>
  <c r="AB18" i="81"/>
  <c r="AF178" i="81"/>
  <c r="L128" i="81"/>
  <c r="X93" i="81"/>
  <c r="AG187" i="81"/>
  <c r="AF123" i="81"/>
  <c r="R123" i="81"/>
  <c r="I128" i="81"/>
  <c r="AG124" i="81"/>
  <c r="AG85" i="81"/>
  <c r="AA113" i="81"/>
  <c r="S123" i="81"/>
  <c r="X143" i="81"/>
  <c r="J148" i="81"/>
  <c r="AF48" i="81"/>
  <c r="AG10" i="81"/>
  <c r="AG37" i="81"/>
  <c r="I43" i="81"/>
  <c r="AG39" i="81"/>
  <c r="W133" i="81"/>
  <c r="AE43" i="81"/>
  <c r="Y173" i="81"/>
  <c r="Y43" i="81"/>
  <c r="V133" i="81"/>
  <c r="N98" i="81"/>
  <c r="AG100" i="81"/>
  <c r="R98" i="81"/>
  <c r="L123" i="81"/>
  <c r="I113" i="81"/>
  <c r="AG109" i="81"/>
  <c r="N173" i="81"/>
  <c r="O148" i="81"/>
  <c r="P133" i="81"/>
  <c r="X43" i="81"/>
  <c r="L133" i="81"/>
  <c r="AF83" i="81"/>
  <c r="I173" i="81"/>
  <c r="AG169" i="81"/>
  <c r="P148" i="81"/>
  <c r="AG175" i="81"/>
  <c r="AF133" i="81"/>
  <c r="AG25" i="81"/>
  <c r="AG125" i="81"/>
  <c r="Y113" i="81"/>
  <c r="P123" i="81"/>
  <c r="AG46" i="81"/>
  <c r="AE173" i="81"/>
  <c r="P173" i="81"/>
  <c r="K148" i="81"/>
  <c r="AC133" i="81"/>
  <c r="R93" i="81"/>
  <c r="U148" i="81"/>
  <c r="K133" i="81"/>
  <c r="AG42" i="81"/>
  <c r="V148" i="81"/>
  <c r="T43" i="81"/>
  <c r="AG137" i="81"/>
  <c r="S173" i="81"/>
  <c r="L63" i="81"/>
  <c r="J138" i="81"/>
  <c r="U38" i="81"/>
  <c r="T133" i="81"/>
  <c r="K183" i="81"/>
  <c r="AB183" i="81"/>
  <c r="R13" i="81"/>
  <c r="AB63" i="81"/>
  <c r="AA138" i="81"/>
  <c r="M183" i="81"/>
  <c r="N38" i="81"/>
  <c r="T218" i="81"/>
  <c r="Z13" i="81"/>
  <c r="X118" i="81"/>
  <c r="R183" i="81"/>
  <c r="O13" i="81"/>
  <c r="AD183" i="81"/>
  <c r="AD13" i="81"/>
  <c r="T33" i="81"/>
  <c r="Q158" i="81"/>
  <c r="X23" i="81"/>
  <c r="V238" i="81"/>
  <c r="AE158" i="81"/>
  <c r="L138" i="81"/>
  <c r="Y28" i="81"/>
  <c r="U138" i="81"/>
  <c r="AG215" i="81"/>
  <c r="AG189" i="81"/>
  <c r="I193" i="81"/>
  <c r="U58" i="81"/>
  <c r="AC73" i="81"/>
  <c r="AG210" i="81"/>
  <c r="S153" i="81"/>
  <c r="AG45" i="81"/>
  <c r="J248" i="81"/>
  <c r="AE73" i="81"/>
  <c r="V33" i="81"/>
  <c r="T153" i="81"/>
  <c r="T248" i="81"/>
  <c r="P233" i="81"/>
  <c r="AG155" i="81"/>
  <c r="P188" i="81"/>
  <c r="P163" i="81"/>
  <c r="AG30" i="81"/>
  <c r="L163" i="81"/>
  <c r="AG195" i="81"/>
  <c r="V28" i="81"/>
  <c r="AG40" i="81"/>
  <c r="AG184" i="81"/>
  <c r="I188" i="81"/>
  <c r="AA188" i="81"/>
  <c r="V153" i="81"/>
  <c r="Q153" i="81"/>
  <c r="X203" i="81"/>
  <c r="AD88" i="81"/>
  <c r="Y88" i="81"/>
  <c r="AG20" i="81"/>
  <c r="K203" i="81"/>
  <c r="U103" i="81"/>
  <c r="P213" i="81"/>
  <c r="N208" i="81"/>
  <c r="T228" i="81"/>
  <c r="U68" i="81"/>
  <c r="V163" i="81"/>
  <c r="AG126" i="81"/>
  <c r="V208" i="81"/>
  <c r="AF228" i="81"/>
  <c r="AC68" i="81"/>
  <c r="S203" i="81"/>
  <c r="M223" i="81"/>
  <c r="AG157" i="81"/>
  <c r="AE243" i="81"/>
  <c r="R148" i="81"/>
  <c r="AA43" i="81"/>
  <c r="R133" i="81"/>
  <c r="O93" i="81"/>
  <c r="J133" i="81"/>
  <c r="M38" i="81"/>
  <c r="AA183" i="81"/>
  <c r="AD38" i="81"/>
  <c r="AG65" i="81"/>
  <c r="AE13" i="81"/>
  <c r="AF183" i="81"/>
  <c r="Q13" i="81"/>
  <c r="O118" i="81"/>
  <c r="AG80" i="81"/>
  <c r="U63" i="81"/>
  <c r="X183" i="81"/>
  <c r="Y38" i="81"/>
  <c r="U183" i="81"/>
  <c r="Y13" i="81"/>
  <c r="J83" i="81"/>
  <c r="AF118" i="81"/>
  <c r="AA13" i="81"/>
  <c r="I118" i="81"/>
  <c r="AG114" i="81"/>
  <c r="AB13" i="81"/>
  <c r="J118" i="81"/>
  <c r="J58" i="81"/>
  <c r="W158" i="81"/>
  <c r="AA233" i="81"/>
  <c r="AG61" i="81"/>
  <c r="AG235" i="81"/>
  <c r="J158" i="81"/>
  <c r="AG185" i="81"/>
  <c r="Y118" i="81"/>
  <c r="AB138" i="81"/>
  <c r="K58" i="81"/>
  <c r="R28" i="81"/>
  <c r="U118" i="81"/>
  <c r="Q138" i="81"/>
  <c r="AF58" i="81"/>
  <c r="K28" i="81"/>
  <c r="AD138" i="81"/>
  <c r="AG236" i="81"/>
  <c r="Y58" i="81"/>
  <c r="Y33" i="81"/>
  <c r="Q58" i="81"/>
  <c r="I73" i="81"/>
  <c r="AG69" i="81"/>
  <c r="J73" i="81"/>
  <c r="AG71" i="81"/>
  <c r="AE233" i="81"/>
  <c r="T203" i="81"/>
  <c r="M163" i="81"/>
  <c r="AD163" i="81"/>
  <c r="L108" i="81"/>
  <c r="AE163" i="81"/>
  <c r="AG66" i="81"/>
  <c r="P28" i="81"/>
  <c r="Z163" i="81"/>
  <c r="U188" i="81"/>
  <c r="AC153" i="81"/>
  <c r="V248" i="81"/>
  <c r="U73" i="81"/>
  <c r="Z213" i="81"/>
  <c r="K33" i="81"/>
  <c r="AD68" i="81"/>
  <c r="W213" i="81"/>
  <c r="M203" i="81"/>
  <c r="P103" i="81"/>
  <c r="P203" i="81"/>
  <c r="AD103" i="81"/>
  <c r="Y213" i="81"/>
  <c r="Q208" i="81"/>
  <c r="J228" i="81"/>
  <c r="O68" i="81"/>
  <c r="AF213" i="81"/>
  <c r="R163" i="81"/>
  <c r="AG212" i="81"/>
  <c r="AD208" i="81"/>
  <c r="Y228" i="81"/>
  <c r="AB68" i="81"/>
  <c r="X238" i="81"/>
  <c r="AG105" i="81"/>
  <c r="W208" i="81"/>
  <c r="V228" i="81"/>
  <c r="AF68" i="81"/>
  <c r="S133" i="81"/>
  <c r="AB38" i="81"/>
  <c r="AE183" i="81"/>
  <c r="P13" i="81"/>
  <c r="N118" i="81"/>
  <c r="P158" i="81"/>
  <c r="Z118" i="81"/>
  <c r="P193" i="81"/>
  <c r="P63" i="81"/>
  <c r="O138" i="81"/>
  <c r="O183" i="81"/>
  <c r="M13" i="81"/>
  <c r="AG117" i="81"/>
  <c r="L13" i="81"/>
  <c r="W118" i="81"/>
  <c r="AC63" i="81"/>
  <c r="W138" i="81"/>
  <c r="X193" i="81"/>
  <c r="J28" i="81"/>
  <c r="AG180" i="81"/>
  <c r="S158" i="81"/>
  <c r="AE188" i="81"/>
  <c r="AB118" i="81"/>
  <c r="AE58" i="81"/>
  <c r="Q78" i="81"/>
  <c r="Q118" i="81"/>
  <c r="AG177" i="81"/>
  <c r="AG171" i="81"/>
  <c r="S28" i="81"/>
  <c r="AD118" i="81"/>
  <c r="AC138" i="81"/>
  <c r="I58" i="81"/>
  <c r="AG54" i="81"/>
  <c r="AG197" i="81"/>
  <c r="Z58" i="81"/>
  <c r="AG227" i="81"/>
  <c r="AE33" i="81"/>
  <c r="Q33" i="81"/>
  <c r="K23" i="81"/>
  <c r="Y238" i="81"/>
  <c r="T103" i="81"/>
  <c r="AD108" i="81"/>
  <c r="AF108" i="81"/>
  <c r="X153" i="81"/>
  <c r="AG240" i="81"/>
  <c r="T78" i="81"/>
  <c r="M118" i="81"/>
  <c r="M138" i="81"/>
  <c r="N108" i="81"/>
  <c r="T163" i="81"/>
  <c r="X108" i="81"/>
  <c r="W163" i="81"/>
  <c r="X73" i="81"/>
  <c r="O73" i="81"/>
  <c r="AF203" i="81"/>
  <c r="AA33" i="81"/>
  <c r="AC33" i="81"/>
  <c r="S68" i="81"/>
  <c r="AF208" i="81"/>
  <c r="AE203" i="81"/>
  <c r="AG199" i="81"/>
  <c r="I203" i="81"/>
  <c r="Z103" i="81"/>
  <c r="K208" i="81"/>
  <c r="N228" i="81"/>
  <c r="Q68" i="81"/>
  <c r="X88" i="81"/>
  <c r="S33" i="81"/>
  <c r="AA213" i="81"/>
  <c r="L33" i="81"/>
  <c r="S213" i="81"/>
  <c r="AF88" i="81"/>
  <c r="AF238" i="81"/>
  <c r="S208" i="81"/>
  <c r="P228" i="81"/>
  <c r="R68" i="81"/>
  <c r="M93" i="81"/>
  <c r="AG87" i="81"/>
  <c r="N18" i="81"/>
  <c r="AG57" i="81"/>
  <c r="J128" i="81"/>
  <c r="U43" i="81"/>
  <c r="S183" i="81"/>
  <c r="K13" i="81"/>
  <c r="R118" i="81"/>
  <c r="M193" i="81"/>
  <c r="AD233" i="81"/>
  <c r="N193" i="81"/>
  <c r="Q193" i="81"/>
  <c r="I28" i="81"/>
  <c r="AG24" i="81"/>
  <c r="I38" i="81"/>
  <c r="AG34" i="81"/>
  <c r="V13" i="81"/>
  <c r="L118" i="81"/>
  <c r="S118" i="81"/>
  <c r="AD63" i="81"/>
  <c r="AE138" i="81"/>
  <c r="AE193" i="81"/>
  <c r="Z28" i="81"/>
  <c r="Y193" i="81"/>
  <c r="AC28" i="81"/>
  <c r="J193" i="81"/>
  <c r="L28" i="81"/>
  <c r="L58" i="81"/>
  <c r="AG192" i="81"/>
  <c r="P78" i="81"/>
  <c r="V83" i="81"/>
  <c r="U78" i="81"/>
  <c r="AC118" i="81"/>
  <c r="I233" i="81"/>
  <c r="AG229" i="81"/>
  <c r="L213" i="81"/>
  <c r="AG156" i="81"/>
  <c r="T233" i="81"/>
  <c r="S23" i="81"/>
  <c r="Q238" i="81"/>
  <c r="T68" i="81"/>
  <c r="T108" i="81"/>
  <c r="N153" i="81"/>
  <c r="O153" i="81"/>
  <c r="S78" i="81"/>
  <c r="T118" i="81"/>
  <c r="T138" i="81"/>
  <c r="M153" i="81"/>
  <c r="R108" i="81"/>
  <c r="AF163" i="81"/>
  <c r="AB73" i="81"/>
  <c r="J33" i="81"/>
  <c r="V233" i="81"/>
  <c r="P33" i="81"/>
  <c r="AG99" i="81"/>
  <c r="I103" i="81"/>
  <c r="I33" i="81"/>
  <c r="AG29" i="81"/>
  <c r="M208" i="81"/>
  <c r="S228" i="81"/>
  <c r="K68" i="81"/>
  <c r="M213" i="81"/>
  <c r="P208" i="81"/>
  <c r="Q228" i="81"/>
  <c r="N68" i="81"/>
  <c r="O88" i="81"/>
  <c r="AG211" i="81"/>
  <c r="N33" i="81"/>
  <c r="I213" i="81"/>
  <c r="AG209" i="81"/>
  <c r="AB88" i="81"/>
  <c r="M188" i="81"/>
  <c r="I248" i="81"/>
  <c r="AG244" i="81"/>
  <c r="T88" i="81"/>
  <c r="AC223" i="81"/>
  <c r="AG47" i="81"/>
  <c r="AG17" i="81"/>
  <c r="AA93" i="81"/>
  <c r="AC48" i="81"/>
  <c r="S128" i="81"/>
  <c r="P43" i="81"/>
  <c r="N133" i="81"/>
  <c r="I13" i="81"/>
  <c r="AG9" i="81"/>
  <c r="K118" i="81"/>
  <c r="AB193" i="81"/>
  <c r="AE28" i="81"/>
  <c r="U193" i="81"/>
  <c r="W28" i="81"/>
  <c r="W78" i="81"/>
  <c r="N183" i="81"/>
  <c r="U13" i="81"/>
  <c r="P118" i="81"/>
  <c r="V193" i="81"/>
  <c r="T28" i="81"/>
  <c r="Z38" i="81"/>
  <c r="J78" i="81"/>
  <c r="T193" i="81"/>
  <c r="O28" i="81"/>
  <c r="AG200" i="81"/>
  <c r="AF193" i="81"/>
  <c r="AA28" i="81"/>
  <c r="AA58" i="81"/>
  <c r="Z188" i="81"/>
  <c r="AG141" i="81"/>
  <c r="V158" i="81"/>
  <c r="M158" i="81"/>
  <c r="N83" i="81"/>
  <c r="AB78" i="81"/>
  <c r="AA158" i="81"/>
  <c r="O233" i="81"/>
  <c r="J233" i="81"/>
  <c r="N238" i="81"/>
  <c r="M233" i="81"/>
  <c r="AG22" i="81"/>
  <c r="O188" i="81"/>
  <c r="L153" i="81"/>
  <c r="L73" i="81"/>
  <c r="X248" i="81"/>
  <c r="Z248" i="81"/>
  <c r="AG70" i="81"/>
  <c r="I153" i="81"/>
  <c r="AG149" i="81"/>
  <c r="AA248" i="81"/>
  <c r="P153" i="81"/>
  <c r="Y233" i="81"/>
  <c r="I208" i="81"/>
  <c r="AG204" i="81"/>
  <c r="I228" i="81"/>
  <c r="AG224" i="81"/>
  <c r="M68" i="81"/>
  <c r="V213" i="81"/>
  <c r="W88" i="81"/>
  <c r="L203" i="81"/>
  <c r="V103" i="81"/>
  <c r="AG111" i="81"/>
  <c r="AG112" i="81"/>
  <c r="S188" i="81"/>
  <c r="N248" i="81"/>
  <c r="R88" i="81"/>
  <c r="J223" i="81"/>
  <c r="T223" i="81"/>
  <c r="P223" i="81"/>
  <c r="AG62" i="81"/>
  <c r="U173" i="81"/>
  <c r="Y128" i="81"/>
  <c r="U128" i="81"/>
  <c r="AF43" i="81"/>
  <c r="O48" i="81"/>
  <c r="AG77" i="81"/>
  <c r="T243" i="81"/>
  <c r="X148" i="81"/>
  <c r="K193" i="81"/>
  <c r="M28" i="81"/>
  <c r="L78" i="81"/>
  <c r="V78" i="81"/>
  <c r="R78" i="81"/>
  <c r="AG162" i="81"/>
  <c r="J13" i="81"/>
  <c r="Z193" i="81"/>
  <c r="AD248" i="81"/>
  <c r="AD193" i="81"/>
  <c r="AF28" i="81"/>
  <c r="Q183" i="81"/>
  <c r="N13" i="81"/>
  <c r="M78" i="81"/>
  <c r="Y78" i="81"/>
  <c r="N58" i="81"/>
  <c r="AF158" i="81"/>
  <c r="U108" i="81"/>
  <c r="AB108" i="81"/>
  <c r="N158" i="81"/>
  <c r="AC233" i="81"/>
  <c r="X158" i="81"/>
  <c r="I23" i="81"/>
  <c r="AG19" i="81"/>
  <c r="R238" i="81"/>
  <c r="AB158" i="81"/>
  <c r="T23" i="81"/>
  <c r="V188" i="81"/>
  <c r="Y23" i="81"/>
  <c r="AE238" i="81"/>
  <c r="AG230" i="81"/>
  <c r="O163" i="81"/>
  <c r="K73" i="81"/>
  <c r="W248" i="81"/>
  <c r="N73" i="81"/>
  <c r="Z73" i="81"/>
  <c r="Q73" i="81"/>
  <c r="P248" i="81"/>
  <c r="U153" i="81"/>
  <c r="S248" i="81"/>
  <c r="AB233" i="81"/>
  <c r="AC23" i="81"/>
  <c r="AC248" i="81"/>
  <c r="R248" i="81"/>
  <c r="AA228" i="81"/>
  <c r="AG217" i="81"/>
  <c r="AG26" i="81"/>
  <c r="U248" i="81"/>
  <c r="AE103" i="81"/>
  <c r="N88" i="81"/>
  <c r="AB203" i="81"/>
  <c r="M103" i="81"/>
  <c r="Y203" i="81"/>
  <c r="AB103" i="81"/>
  <c r="X163" i="81"/>
  <c r="AD223" i="81"/>
  <c r="X223" i="81"/>
  <c r="P128" i="81"/>
  <c r="Y133" i="81"/>
  <c r="AB128" i="81"/>
  <c r="AG129" i="81"/>
  <c r="I133" i="81"/>
  <c r="L143" i="81"/>
  <c r="L173" i="81"/>
  <c r="S148" i="81"/>
  <c r="AA193" i="81"/>
  <c r="AD28" i="81"/>
  <c r="AG247" i="81"/>
  <c r="K78" i="81"/>
  <c r="O78" i="81"/>
  <c r="AA78" i="81"/>
  <c r="AG51" i="81"/>
  <c r="AD218" i="81"/>
  <c r="AA118" i="81"/>
  <c r="R193" i="81"/>
  <c r="Q28" i="81"/>
  <c r="AF78" i="81"/>
  <c r="S13" i="81"/>
  <c r="V118" i="81"/>
  <c r="V218" i="81"/>
  <c r="Z158" i="81"/>
  <c r="V58" i="81"/>
  <c r="W58" i="81"/>
  <c r="AG67" i="81"/>
  <c r="Z153" i="81"/>
  <c r="K188" i="81"/>
  <c r="U158" i="81"/>
  <c r="Q23" i="81"/>
  <c r="W238" i="81"/>
  <c r="AF188" i="81"/>
  <c r="R23" i="81"/>
  <c r="AB238" i="81"/>
  <c r="I68" i="81"/>
  <c r="AG64" i="81"/>
  <c r="J108" i="81"/>
  <c r="Q163" i="81"/>
  <c r="Y73" i="81"/>
  <c r="Z33" i="81"/>
  <c r="T58" i="81"/>
  <c r="AA73" i="81"/>
  <c r="W73" i="81"/>
  <c r="AB248" i="81"/>
  <c r="X233" i="81"/>
  <c r="U23" i="81"/>
  <c r="Y248" i="81"/>
  <c r="AG52" i="81"/>
  <c r="J88" i="81"/>
  <c r="L248" i="81"/>
  <c r="M88" i="81"/>
  <c r="AG202" i="81"/>
  <c r="L208" i="81"/>
  <c r="R228" i="81"/>
  <c r="V68" i="81"/>
  <c r="R213" i="81"/>
  <c r="AC203" i="81"/>
  <c r="AA103" i="81"/>
  <c r="AG221" i="81"/>
  <c r="O203" i="81"/>
  <c r="N103" i="81"/>
  <c r="AC213" i="81"/>
  <c r="S163" i="81"/>
  <c r="S223" i="81"/>
  <c r="AG32" i="81"/>
  <c r="K223" i="81"/>
  <c r="Z148" i="81"/>
  <c r="R143" i="81"/>
  <c r="R173" i="81"/>
  <c r="AD18" i="81"/>
  <c r="X178" i="81"/>
  <c r="AG16" i="81"/>
  <c r="AB28" i="81"/>
  <c r="Z78" i="81"/>
  <c r="R218" i="81"/>
  <c r="S218" i="81"/>
  <c r="AC83" i="81"/>
  <c r="Z218" i="81"/>
  <c r="L193" i="81"/>
  <c r="AC78" i="81"/>
  <c r="AE118" i="81"/>
  <c r="M83" i="81"/>
  <c r="K83" i="81"/>
  <c r="AB218" i="81"/>
  <c r="Q83" i="81"/>
  <c r="AA218" i="81"/>
  <c r="AC158" i="81"/>
  <c r="AF23" i="81"/>
  <c r="P58" i="81"/>
  <c r="AB58" i="81"/>
  <c r="Y138" i="81"/>
  <c r="K163" i="81"/>
  <c r="P183" i="81"/>
  <c r="AC188" i="81"/>
  <c r="J188" i="81"/>
  <c r="I108" i="81"/>
  <c r="AG104" i="81"/>
  <c r="I163" i="81"/>
  <c r="AG159" i="81"/>
  <c r="N188" i="81"/>
  <c r="AE108" i="81"/>
  <c r="AG11" i="81"/>
  <c r="U33" i="81"/>
  <c r="R233" i="81"/>
  <c r="L88" i="81"/>
  <c r="W233" i="81"/>
  <c r="S88" i="81"/>
  <c r="S58" i="81"/>
  <c r="P73" i="81"/>
  <c r="W23" i="81"/>
  <c r="P238" i="81"/>
  <c r="Z238" i="81"/>
  <c r="AE208" i="81"/>
  <c r="Z203" i="81"/>
  <c r="AB213" i="81"/>
  <c r="J203" i="81"/>
  <c r="R103" i="81"/>
  <c r="AB208" i="81"/>
  <c r="AD228" i="81"/>
  <c r="Z68" i="81"/>
  <c r="J213" i="81"/>
  <c r="Y208" i="81"/>
  <c r="U228" i="81"/>
  <c r="W68" i="81"/>
  <c r="R203" i="81"/>
  <c r="Q103" i="81"/>
  <c r="U213" i="81"/>
  <c r="AG222" i="81"/>
  <c r="M33" i="81"/>
  <c r="AD213" i="81"/>
  <c r="AG56" i="81"/>
  <c r="Q223" i="81"/>
  <c r="W223" i="81"/>
  <c r="AE223" i="81"/>
  <c r="Z223" i="81"/>
  <c r="X128" i="81"/>
  <c r="Q43" i="81"/>
  <c r="Q148" i="81"/>
  <c r="AC148" i="81"/>
  <c r="AB93" i="81"/>
  <c r="O18" i="81"/>
  <c r="S178" i="81"/>
  <c r="N78" i="81"/>
  <c r="Q218" i="81"/>
  <c r="X83" i="81"/>
  <c r="K218" i="81"/>
  <c r="U83" i="81"/>
  <c r="W218" i="81"/>
  <c r="R83" i="81"/>
  <c r="Q63" i="81"/>
  <c r="AC193" i="81"/>
  <c r="X28" i="81"/>
  <c r="AE78" i="81"/>
  <c r="L218" i="81"/>
  <c r="W193" i="81"/>
  <c r="U28" i="81"/>
  <c r="AG150" i="81"/>
  <c r="K63" i="81"/>
  <c r="V138" i="81"/>
  <c r="Y83" i="81"/>
  <c r="Z83" i="81"/>
  <c r="I158" i="81"/>
  <c r="AG154" i="81"/>
  <c r="J23" i="81"/>
  <c r="P138" i="81"/>
  <c r="AC58" i="81"/>
  <c r="J63" i="81"/>
  <c r="M218" i="81"/>
  <c r="M63" i="81"/>
  <c r="O218" i="81"/>
  <c r="I183" i="81"/>
  <c r="AG179" i="81"/>
  <c r="AG31" i="81"/>
  <c r="V63" i="81"/>
  <c r="M108" i="81"/>
  <c r="AA163" i="81"/>
  <c r="T188" i="81"/>
  <c r="AC108" i="81"/>
  <c r="AG81" i="81"/>
  <c r="N163" i="81"/>
  <c r="AB153" i="81"/>
  <c r="Q233" i="81"/>
  <c r="S233" i="81"/>
  <c r="Z208" i="81"/>
  <c r="AF233" i="81"/>
  <c r="AA208" i="81"/>
  <c r="T63" i="81"/>
  <c r="N233" i="81"/>
  <c r="AB23" i="81"/>
  <c r="AB188" i="81"/>
  <c r="U238" i="81"/>
  <c r="W33" i="81"/>
  <c r="T208" i="81"/>
  <c r="AD33" i="81"/>
  <c r="AE68" i="81"/>
  <c r="AA203" i="81"/>
  <c r="U203" i="81"/>
  <c r="L103" i="81"/>
  <c r="O213" i="81"/>
  <c r="U88" i="81"/>
  <c r="AC208" i="81"/>
  <c r="W228" i="81"/>
  <c r="AA68" i="81"/>
  <c r="K238" i="81"/>
  <c r="O208" i="81"/>
  <c r="K228" i="81"/>
  <c r="X68" i="81"/>
  <c r="AG116" i="81"/>
  <c r="O33" i="81"/>
  <c r="K213" i="81"/>
  <c r="R223" i="81"/>
  <c r="AA223" i="81"/>
  <c r="Y223" i="81"/>
  <c r="AF223" i="81"/>
  <c r="Q93" i="81"/>
  <c r="AE48" i="81"/>
  <c r="W83" i="81"/>
  <c r="U218" i="81"/>
  <c r="P83" i="81"/>
  <c r="AB83" i="81"/>
  <c r="AG55" i="81"/>
  <c r="AA63" i="81"/>
  <c r="Z138" i="81"/>
  <c r="X78" i="81"/>
  <c r="AF218" i="81"/>
  <c r="I83" i="81"/>
  <c r="AG79" i="81"/>
  <c r="S193" i="81"/>
  <c r="N28" i="81"/>
  <c r="U133" i="81"/>
  <c r="AE63" i="81"/>
  <c r="AF138" i="81"/>
  <c r="AF63" i="81"/>
  <c r="X138" i="81"/>
  <c r="AG59" i="81"/>
  <c r="I63" i="81"/>
  <c r="I138" i="81"/>
  <c r="AG134" i="81"/>
  <c r="O58" i="81"/>
  <c r="Y158" i="81"/>
  <c r="AD58" i="81"/>
  <c r="K38" i="81"/>
  <c r="X218" i="81"/>
  <c r="AF13" i="81"/>
  <c r="AE38" i="81"/>
  <c r="Y218" i="81"/>
  <c r="W13" i="81"/>
  <c r="Y63" i="81"/>
  <c r="P218" i="81"/>
  <c r="AA108" i="81"/>
  <c r="W108" i="81"/>
  <c r="AB163" i="81"/>
  <c r="AA153" i="81"/>
  <c r="Z108" i="81"/>
  <c r="U163" i="81"/>
  <c r="AG72" i="81"/>
  <c r="AF153" i="81"/>
  <c r="K248" i="81"/>
  <c r="L233" i="81"/>
  <c r="X208" i="81"/>
  <c r="AD23" i="81"/>
  <c r="J238" i="81"/>
  <c r="Z228" i="81"/>
  <c r="M23" i="81"/>
  <c r="I238" i="81"/>
  <c r="AG234" i="81"/>
  <c r="AB228" i="81"/>
  <c r="S63" i="81"/>
  <c r="U233" i="81"/>
  <c r="Z233" i="81"/>
  <c r="Q188" i="81"/>
  <c r="V108" i="81"/>
  <c r="Y188" i="81"/>
  <c r="AF33" i="81"/>
  <c r="AB33" i="81"/>
  <c r="X33" i="81"/>
  <c r="Q213" i="81"/>
  <c r="J208" i="81"/>
  <c r="M228" i="81"/>
  <c r="L68" i="81"/>
  <c r="X213" i="81"/>
  <c r="Z88" i="81"/>
  <c r="Q88" i="81"/>
  <c r="AD238" i="81"/>
  <c r="R208" i="81"/>
  <c r="L228" i="81"/>
  <c r="P68" i="81"/>
  <c r="AB223" i="81"/>
  <c r="N223" i="81"/>
  <c r="AG219" i="81"/>
  <c r="I223" i="81"/>
  <c r="S43" i="81"/>
  <c r="AG167" i="81"/>
  <c r="AG220" i="81"/>
  <c r="AG241" i="81"/>
  <c r="L83" i="81"/>
  <c r="I218" i="81"/>
  <c r="AG214" i="81"/>
  <c r="AA83" i="81"/>
  <c r="Z63" i="81"/>
  <c r="R138" i="81"/>
  <c r="O63" i="81"/>
  <c r="N138" i="81"/>
  <c r="X38" i="81"/>
  <c r="AD78" i="81"/>
  <c r="AE83" i="81"/>
  <c r="X63" i="81"/>
  <c r="I78" i="81"/>
  <c r="AG74" i="81"/>
  <c r="AB133" i="81"/>
  <c r="W183" i="81"/>
  <c r="O38" i="81"/>
  <c r="AD133" i="81"/>
  <c r="AG35" i="81"/>
  <c r="S38" i="81"/>
  <c r="T38" i="81"/>
  <c r="M58" i="81"/>
  <c r="R158" i="81"/>
  <c r="AD158" i="81"/>
  <c r="X58" i="81"/>
  <c r="AG161" i="81"/>
  <c r="L38" i="81"/>
  <c r="AG101" i="81"/>
  <c r="J38" i="81"/>
  <c r="AG152" i="81"/>
  <c r="AG151" i="81"/>
  <c r="X13" i="81"/>
  <c r="AF38" i="81"/>
  <c r="J218" i="81"/>
  <c r="AG90" i="81"/>
  <c r="Y153" i="81"/>
  <c r="Q108" i="81"/>
  <c r="AE153" i="81"/>
  <c r="O248" i="81"/>
  <c r="AG121" i="81"/>
  <c r="S108" i="81"/>
  <c r="M73" i="81"/>
  <c r="AG12" i="81"/>
  <c r="L23" i="81"/>
  <c r="AC238" i="81"/>
  <c r="X228" i="81"/>
  <c r="Z23" i="81"/>
  <c r="T238" i="81"/>
  <c r="O23" i="81"/>
  <c r="O238" i="81"/>
  <c r="Q38" i="81"/>
  <c r="AC218" i="81"/>
  <c r="O158" i="81"/>
  <c r="AE23" i="81"/>
  <c r="L238" i="81"/>
  <c r="K233" i="81"/>
  <c r="Y108" i="81"/>
  <c r="Y163" i="81"/>
  <c r="P108" i="81"/>
  <c r="AD188" i="81"/>
  <c r="AF248" i="81"/>
  <c r="AC228" i="81"/>
  <c r="I88" i="81"/>
  <c r="AG84" i="81"/>
  <c r="Y103" i="81"/>
  <c r="T213" i="81"/>
  <c r="U208" i="81"/>
  <c r="AE228" i="81"/>
  <c r="Y68" i="81"/>
  <c r="AG41" i="81"/>
  <c r="AG225" i="81"/>
  <c r="N203" i="81"/>
  <c r="K103" i="81"/>
  <c r="AA88" i="81"/>
  <c r="L188" i="81"/>
  <c r="Q248" i="81"/>
  <c r="AC88" i="81"/>
  <c r="V203" i="81"/>
  <c r="W103" i="81"/>
  <c r="L223" i="81"/>
  <c r="V223" i="81"/>
  <c r="M143" i="81"/>
  <c r="M173" i="81"/>
  <c r="O83" i="81"/>
  <c r="N63" i="81"/>
  <c r="K138" i="81"/>
  <c r="M133" i="81"/>
  <c r="V38" i="81"/>
  <c r="W38" i="81"/>
  <c r="L183" i="81"/>
  <c r="T13" i="81"/>
  <c r="AE218" i="81"/>
  <c r="S83" i="81"/>
  <c r="W63" i="81"/>
  <c r="R63" i="81"/>
  <c r="S138" i="81"/>
  <c r="AC183" i="81"/>
  <c r="AC13" i="81"/>
  <c r="Q133" i="81"/>
  <c r="Y183" i="81"/>
  <c r="AA38" i="81"/>
  <c r="Z183" i="81"/>
  <c r="P38" i="81"/>
  <c r="AG50" i="81"/>
  <c r="AG140" i="81"/>
  <c r="N213" i="81"/>
  <c r="R58" i="81"/>
  <c r="AG190" i="81"/>
  <c r="L158" i="81"/>
  <c r="AG182" i="81"/>
  <c r="O193" i="81"/>
  <c r="AC38" i="81"/>
  <c r="R153" i="81"/>
  <c r="AE248" i="81"/>
  <c r="J153" i="81"/>
  <c r="AG246" i="81"/>
  <c r="T73" i="81"/>
  <c r="K153" i="81"/>
  <c r="R33" i="81"/>
  <c r="N23" i="81"/>
  <c r="S238" i="81"/>
  <c r="J68" i="81"/>
  <c r="W188" i="81"/>
  <c r="X188" i="81"/>
  <c r="R38" i="81"/>
  <c r="N218" i="81"/>
  <c r="T158" i="81"/>
  <c r="AA23" i="81"/>
  <c r="AA238" i="81"/>
  <c r="V23" i="81"/>
  <c r="M238" i="81"/>
  <c r="AG96" i="81"/>
  <c r="O108" i="81"/>
  <c r="W153" i="81"/>
  <c r="J163" i="81"/>
  <c r="O228" i="81"/>
  <c r="AE213" i="81"/>
  <c r="J103" i="81"/>
  <c r="V88" i="81"/>
  <c r="AG196" i="81"/>
  <c r="Q203" i="81"/>
  <c r="O103" i="81"/>
  <c r="R188" i="81"/>
  <c r="M248" i="81"/>
  <c r="P88" i="81"/>
  <c r="AD203" i="81"/>
  <c r="AC103" i="81"/>
  <c r="W203" i="81"/>
  <c r="X103" i="81"/>
  <c r="U223" i="81"/>
  <c r="O223" i="81"/>
  <c r="AG53" i="81" l="1"/>
  <c r="F49" i="81" s="1"/>
  <c r="AG198" i="81"/>
  <c r="F194" i="81" s="1"/>
  <c r="AG218" i="81"/>
  <c r="F214" i="81" s="1"/>
  <c r="AG73" i="81"/>
  <c r="F69" i="81" s="1"/>
  <c r="AG113" i="81"/>
  <c r="F109" i="81" s="1"/>
  <c r="AG88" i="81"/>
  <c r="AG83" i="81"/>
  <c r="AG148" i="81"/>
  <c r="AG78" i="81"/>
  <c r="AG63" i="81"/>
  <c r="AG153" i="81"/>
  <c r="AG38" i="81"/>
  <c r="AG58" i="81"/>
  <c r="AG128" i="81"/>
  <c r="AG143" i="81"/>
  <c r="AG118" i="81"/>
  <c r="AG178" i="81"/>
  <c r="AG138" i="81"/>
  <c r="AG158" i="81"/>
  <c r="AG248" i="81"/>
  <c r="AG28" i="81"/>
  <c r="AG43" i="81"/>
  <c r="AG243" i="81"/>
  <c r="AG168" i="81"/>
  <c r="AG98" i="81"/>
  <c r="AG48" i="81"/>
  <c r="AG13" i="81"/>
  <c r="D30" i="78"/>
  <c r="F30" i="78" s="1"/>
  <c r="AG133" i="81"/>
  <c r="AG123" i="81"/>
  <c r="AG223" i="81"/>
  <c r="AG183" i="81"/>
  <c r="AG228" i="81"/>
  <c r="AG233" i="81"/>
  <c r="AG193" i="81"/>
  <c r="D51" i="78"/>
  <c r="F51" i="78" s="1"/>
  <c r="AG163" i="81"/>
  <c r="AG213" i="81"/>
  <c r="AG33" i="81"/>
  <c r="AG203" i="81"/>
  <c r="AG18" i="81"/>
  <c r="AG238" i="81"/>
  <c r="AG23" i="81"/>
  <c r="AG208" i="81"/>
  <c r="AG103" i="81"/>
  <c r="AG173" i="81"/>
  <c r="D18" i="78"/>
  <c r="F18" i="78" s="1"/>
  <c r="AG108" i="81"/>
  <c r="AG188" i="81"/>
  <c r="AG93" i="81"/>
  <c r="AG68" i="81"/>
  <c r="D22" i="78" l="1"/>
  <c r="F22" i="78" s="1"/>
  <c r="D47" i="78"/>
  <c r="F47" i="78" s="1"/>
  <c r="F104" i="81"/>
  <c r="D29" i="78"/>
  <c r="F29" i="78" s="1"/>
  <c r="F159" i="81"/>
  <c r="D40" i="78"/>
  <c r="F40" i="78" s="1"/>
  <c r="D10" i="78"/>
  <c r="F9" i="81"/>
  <c r="F139" i="81"/>
  <c r="D36" i="78"/>
  <c r="F36" i="78" s="1"/>
  <c r="F124" i="81"/>
  <c r="D33" i="78"/>
  <c r="F33" i="78" s="1"/>
  <c r="F94" i="81"/>
  <c r="D27" i="78"/>
  <c r="F27" i="78" s="1"/>
  <c r="F54" i="81"/>
  <c r="D19" i="78"/>
  <c r="F19" i="78" s="1"/>
  <c r="F169" i="81"/>
  <c r="D42" i="78"/>
  <c r="F42" i="78" s="1"/>
  <c r="F189" i="81"/>
  <c r="D46" i="78"/>
  <c r="F46" i="78" s="1"/>
  <c r="F164" i="81"/>
  <c r="D41" i="78"/>
  <c r="F41" i="78" s="1"/>
  <c r="F34" i="81"/>
  <c r="D15" i="78"/>
  <c r="F15" i="78" s="1"/>
  <c r="F44" i="81"/>
  <c r="D17" i="78"/>
  <c r="F17" i="78" s="1"/>
  <c r="D28" i="78"/>
  <c r="F28" i="78" s="1"/>
  <c r="F99" i="81"/>
  <c r="F229" i="81"/>
  <c r="D54" i="78"/>
  <c r="F54" i="78" s="1"/>
  <c r="F239" i="81"/>
  <c r="D56" i="78"/>
  <c r="F56" i="78" s="1"/>
  <c r="F149" i="81"/>
  <c r="D38" i="78"/>
  <c r="F38" i="78" s="1"/>
  <c r="F204" i="81"/>
  <c r="D49" i="78"/>
  <c r="F49" i="78" s="1"/>
  <c r="F224" i="81"/>
  <c r="D53" i="78"/>
  <c r="F53" i="78" s="1"/>
  <c r="F39" i="81"/>
  <c r="D16" i="78"/>
  <c r="F16" i="78" s="1"/>
  <c r="F59" i="81"/>
  <c r="D20" i="78"/>
  <c r="F20" i="78" s="1"/>
  <c r="D12" i="78"/>
  <c r="F12" i="78" s="1"/>
  <c r="F19" i="81"/>
  <c r="F179" i="81"/>
  <c r="D44" i="78"/>
  <c r="F44" i="78" s="1"/>
  <c r="F24" i="81"/>
  <c r="D13" i="78"/>
  <c r="F13" i="78" s="1"/>
  <c r="F74" i="81"/>
  <c r="D23" i="78"/>
  <c r="F23" i="78" s="1"/>
  <c r="F234" i="81"/>
  <c r="D55" i="78"/>
  <c r="F55" i="78" s="1"/>
  <c r="F219" i="81"/>
  <c r="D52" i="78"/>
  <c r="F52" i="78" s="1"/>
  <c r="F244" i="81"/>
  <c r="D57" i="78"/>
  <c r="F57" i="78" s="1"/>
  <c r="D11" i="78"/>
  <c r="F11" i="78" s="1"/>
  <c r="F14" i="81"/>
  <c r="F119" i="81"/>
  <c r="D32" i="78"/>
  <c r="F32" i="78" s="1"/>
  <c r="F154" i="81"/>
  <c r="D39" i="78"/>
  <c r="F39" i="78" s="1"/>
  <c r="F64" i="81"/>
  <c r="D21" i="78"/>
  <c r="F21" i="78" s="1"/>
  <c r="F199" i="81"/>
  <c r="D48" i="78"/>
  <c r="F48" i="78" s="1"/>
  <c r="F129" i="81"/>
  <c r="D34" i="78"/>
  <c r="F34" i="78" s="1"/>
  <c r="F134" i="81"/>
  <c r="D35" i="78"/>
  <c r="F35" i="78" s="1"/>
  <c r="F144" i="81"/>
  <c r="D37" i="78"/>
  <c r="F37" i="78" s="1"/>
  <c r="F89" i="81"/>
  <c r="D26" i="78"/>
  <c r="F26" i="78" s="1"/>
  <c r="F29" i="81"/>
  <c r="D14" i="78"/>
  <c r="F14" i="78" s="1"/>
  <c r="F174" i="81"/>
  <c r="D43" i="78"/>
  <c r="F43" i="78" s="1"/>
  <c r="F79" i="81"/>
  <c r="D24" i="78"/>
  <c r="F24" i="78" s="1"/>
  <c r="F184" i="81"/>
  <c r="D45" i="78"/>
  <c r="F45" i="78" s="1"/>
  <c r="F209" i="81"/>
  <c r="D50" i="78"/>
  <c r="F50" i="78" s="1"/>
  <c r="F114" i="81"/>
  <c r="D31" i="78"/>
  <c r="F31" i="78" s="1"/>
  <c r="F84" i="81"/>
  <c r="D25" i="78"/>
  <c r="F25" i="78" s="1"/>
  <c r="F10" i="78" l="1"/>
  <c r="F58" i="78" s="1"/>
  <c r="D58" i="78"/>
  <c r="G58" i="78" l="1"/>
  <c r="E58" i="7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<sst xmlns="http://schemas.openxmlformats.org/spreadsheetml/2006/main" count="911" uniqueCount="70">
  <si>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</si>
  <si>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</si>
  <si>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</si>
  <si>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</si>
  <si>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</si>
  <si>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</si>
  <si>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</si>
  <si>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</si>
  <si>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</si>
  <si>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</si>
  <si>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</si>
  <si>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</si>
  <si>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</si>
  <si>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</si>
  <si>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</si>
  <si>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</si>
  <si>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CUADRO DE CANTIDADES HORARIAS OFRECIDAS</t>
  </si>
  <si>
    <t>Cantidad Ofrecida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</si>
  <si>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</si>
  <si>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</si>
  <si>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</si>
  <si>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</si>
  <si>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</si>
  <si>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</si>
  <si>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</si>
  <si>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</si>
  <si>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</si>
  <si>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</si>
  <si>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</si>
  <si>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</si>
  <si>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</si>
  <si>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</si>
  <si>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</si>
  <si>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</si>
  <si>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</si>
  <si>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</si>
  <si>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</si>
  <si>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</si>
  <si>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</si>
  <si>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</si>
  <si>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</si>
  <si>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</si>
  <si>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</si>
  <si>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</si>
  <si>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</si>
  <si>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</si>
  <si>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</si>
  <si>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</si>
  <si>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</si>
  <si>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</si>
  <si>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</si>
  <si>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</si>
  <si>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</si>
  <si>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</si>
  <si>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</si>
  <si>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AÑO</t>
  </si>
  <si>
    <t>LLAVE</t>
  </si>
  <si>
    <t>OR</t>
  </si>
  <si>
    <t>DO</t>
  </si>
  <si>
    <t>FE</t>
  </si>
  <si>
    <t>SA</t>
  </si>
  <si>
    <t xml:space="preserve"> CANTIDADES DE ENERGIA (KWh)  - PRODUCTO 1</t>
  </si>
  <si>
    <t>1. $/kWh expresados en pesos de octubre 2025.</t>
  </si>
  <si>
    <t>XXXXXXXXXXXXXXXXXX.SA.E.S.P</t>
  </si>
  <si>
    <t>CP-GNCC2026-002</t>
  </si>
  <si>
    <t>CP-GNCC2026-002-PROD01</t>
  </si>
  <si>
    <t>CP-GNCC2026-002-PROD02</t>
  </si>
  <si>
    <t>CP-GNCC2026-002-PROD03</t>
  </si>
  <si>
    <t>1. $/kWh expresados en pesos de abril de 2026. (IPP)</t>
  </si>
  <si>
    <t>1. $/kWh expresados en pesos de abril de 2026. (IPC)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</si>
</sst>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&quot;$&quot;\ * #,##0_);_(&quot;$&quot;\ * \(#,##0\);_(&quot;$&quot;\ * &quot;-&quot;_);_(@_)"/>
    <numFmt numFmtId="166" formatCode="_(&quot;$&quot;\ * #,##0.00_);_(&quot;$&quot;\ * \(#,##0.00\);_(&quot;$&quot;\ * &quot;-&quot;??_);_(@_)"/>
    <numFmt numFmtId="167" formatCode="_(* #,##0.00_);_(* \(#,##0.00\);_(* &quot;-&quot;??_);_(@_)"/>
    <numFmt numFmtId="168" formatCode="_ * #,##0.00_ ;_ * \-#,##0.00_ ;_ * &quot;-&quot;??_ ;_ @_ "/>
    <numFmt numFmtId="169" formatCode="mmm"/>
    <numFmt numFmtId="170" formatCode="#0"/>
    <numFmt numFmtId="171" formatCode="_ * #,##0_ ;_ * \-#,##0_ ;_ * &quot;-&quot;??_ ;_ @_ "/>
    <numFmt numFmtId="172" formatCode="_(* #,##0_);_(* \(#,##0\);_(* &quot;-&quot;??_);_(@_)"/>
    <numFmt numFmtId="173" formatCode="_ * #,##0.00000_ ;_ * \-#,##0.00000_ ;_ * &quot;-&quot;??_ ;_ @_ "/>
    <numFmt numFmtId="174" formatCode="#,##0_ ;\-#,##0\ "/>
    <numFmt numFmtId="175" formatCode="[$-C0A]mmm\-yy;@"/>
    <numFmt numFmtId="176" formatCode="#,##0.0000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i/>
      <sz val="11"/>
      <name val="Frutiger CE 55 Roman"/>
    </font>
    <font>
      <b/>
      <sz val="11"/>
      <color indexed="9"/>
      <name val="Frutiger CE 55 Roman"/>
    </font>
    <font>
      <b/>
      <i/>
      <sz val="11"/>
      <color indexed="9"/>
      <name val="Frutiger CE 55 Roman"/>
    </font>
    <font>
      <i/>
      <sz val="11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168" fontId="2" fillId="0" borderId="0" applyFont="0" applyFill="0" applyBorder="0" applyAlignment="0" applyProtection="0"/>
    <xf numFmtId="41" fontId="24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" fillId="0" borderId="0" applyFont="0" applyFill="0" applyBorder="0" applyAlignment="0" applyProtection="0"/>
    <xf numFmtId="176" fontId="20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4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24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0" fillId="0" borderId="0"/>
    <xf numFmtId="0" fontId="22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24" fillId="0" borderId="0"/>
    <xf numFmtId="0" fontId="22" fillId="0" borderId="0"/>
    <xf numFmtId="0" fontId="3" fillId="0" borderId="0"/>
    <xf numFmtId="0" fontId="4" fillId="0" borderId="0"/>
    <xf numFmtId="166" fontId="23" fillId="4" borderId="1"/>
    <xf numFmtId="166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168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3" fontId="0" fillId="0" borderId="0" xfId="1" applyNumberFormat="1" applyFont="1"/>
    <xf numFmtId="173" fontId="0" fillId="0" borderId="0" xfId="0" applyNumberFormat="1"/>
    <xf numFmtId="168" fontId="15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6" fillId="2" borderId="0" xfId="33" applyFont="1" applyFill="1" applyAlignment="1">
      <alignment vertical="top"/>
    </xf>
    <xf numFmtId="0" fontId="16" fillId="2" borderId="0" xfId="33" applyFont="1" applyFill="1" applyAlignment="1">
      <alignment vertical="center"/>
    </xf>
    <xf numFmtId="0" fontId="17" fillId="2" borderId="0" xfId="33" applyFont="1" applyFill="1" applyAlignment="1">
      <alignment vertical="top"/>
    </xf>
    <xf numFmtId="0" fontId="17" fillId="2" borderId="0" xfId="33" applyFont="1" applyFill="1"/>
    <xf numFmtId="0" fontId="16" fillId="2" borderId="0" xfId="32" applyFont="1" applyFill="1" applyAlignment="1">
      <alignment horizontal="left"/>
    </xf>
    <xf numFmtId="4" fontId="16" fillId="2" borderId="0" xfId="32" applyNumberFormat="1" applyFont="1" applyFill="1" applyAlignment="1">
      <alignment horizontal="left"/>
    </xf>
    <xf numFmtId="0" fontId="16" fillId="2" borderId="0" xfId="33" applyFont="1" applyFill="1"/>
    <xf numFmtId="4" fontId="16" fillId="2" borderId="0" xfId="33" applyNumberFormat="1" applyFont="1" applyFill="1"/>
    <xf numFmtId="171" fontId="17" fillId="2" borderId="0" xfId="1" applyNumberFormat="1" applyFont="1" applyFill="1" applyProtection="1"/>
    <xf numFmtId="4" fontId="18" fillId="2" borderId="0" xfId="33" applyNumberFormat="1" applyFont="1" applyFill="1" applyAlignment="1">
      <alignment horizontal="center" vertical="center" wrapText="1"/>
    </xf>
    <xf numFmtId="0" fontId="17" fillId="0" borderId="0" xfId="33" applyFont="1"/>
    <xf numFmtId="0" fontId="17" fillId="0" borderId="0" xfId="33" applyFont="1" applyAlignment="1">
      <alignment horizontal="left" wrapText="1"/>
    </xf>
    <xf numFmtId="0" fontId="16" fillId="0" borderId="0" xfId="33" applyFont="1"/>
    <xf numFmtId="0" fontId="19" fillId="0" borderId="0" xfId="33" applyFont="1"/>
    <xf numFmtId="10" fontId="25" fillId="6" borderId="2" xfId="36" applyNumberFormat="1" applyFont="1" applyFill="1" applyBorder="1" applyAlignment="1" applyProtection="1">
      <alignment horizontal="center" vertical="center"/>
      <protection locked="0"/>
    </xf>
    <xf numFmtId="0" fontId="28" fillId="5" borderId="2" xfId="32" applyFont="1" applyFill="1" applyBorder="1" applyAlignment="1">
      <alignment horizontal="center" vertical="center" wrapText="1"/>
    </xf>
    <xf numFmtId="172" fontId="16" fillId="2" borderId="0" xfId="15" applyNumberFormat="1" applyFont="1" applyFill="1" applyBorder="1" applyProtection="1"/>
    <xf numFmtId="171" fontId="25" fillId="2" borderId="2" xfId="1" applyNumberFormat="1" applyFont="1" applyFill="1" applyBorder="1" applyProtection="1"/>
    <xf numFmtId="167" fontId="16" fillId="2" borderId="0" xfId="15" applyFont="1" applyFill="1" applyBorder="1" applyProtection="1"/>
    <xf numFmtId="10" fontId="16" fillId="2" borderId="0" xfId="36" applyNumberFormat="1" applyFont="1" applyFill="1" applyBorder="1" applyAlignment="1" applyProtection="1">
      <alignment horizontal="center"/>
    </xf>
    <xf numFmtId="0" fontId="17" fillId="2" borderId="0" xfId="33" applyFont="1" applyFill="1" applyProtection="1">
      <protection locked="0"/>
    </xf>
    <xf numFmtId="4" fontId="16" fillId="2" borderId="0" xfId="33" applyNumberFormat="1" applyFont="1" applyFill="1" applyProtection="1">
      <protection locked="0"/>
    </xf>
    <xf numFmtId="0" fontId="9" fillId="3" borderId="13" xfId="32" applyFont="1" applyFill="1" applyBorder="1" applyAlignment="1" applyProtection="1">
      <alignment horizontal="center" vertical="center"/>
      <protection locked="0"/>
    </xf>
    <xf numFmtId="172" fontId="7" fillId="2" borderId="15" xfId="41" applyNumberFormat="1" applyFont="1" applyFill="1" applyBorder="1" applyAlignment="1" applyProtection="1">
      <alignment vertical="center"/>
      <protection locked="0"/>
    </xf>
    <xf numFmtId="0" fontId="9" fillId="3" borderId="16" xfId="32" applyFont="1" applyFill="1" applyBorder="1" applyAlignment="1" applyProtection="1">
      <alignment horizontal="center" vertical="center"/>
      <protection locked="0"/>
    </xf>
    <xf numFmtId="172" fontId="7" fillId="2" borderId="17" xfId="41" applyNumberFormat="1" applyFont="1" applyFill="1" applyBorder="1" applyAlignment="1" applyProtection="1">
      <alignment vertical="center"/>
      <protection locked="0"/>
    </xf>
    <xf numFmtId="0" fontId="9" fillId="3" borderId="18" xfId="32" applyFont="1" applyFill="1" applyBorder="1" applyAlignment="1" applyProtection="1">
      <alignment horizontal="center" vertical="center"/>
      <protection locked="0"/>
    </xf>
    <xf numFmtId="0" fontId="9" fillId="3" borderId="19" xfId="32" applyFont="1" applyFill="1" applyBorder="1" applyAlignment="1" applyProtection="1">
      <alignment horizontal="center" vertical="center"/>
      <protection locked="0"/>
    </xf>
    <xf numFmtId="172" fontId="7" fillId="2" borderId="20" xfId="41" applyNumberFormat="1" applyFont="1" applyFill="1" applyBorder="1" applyAlignment="1" applyProtection="1">
      <alignment vertical="center"/>
      <protection locked="0"/>
    </xf>
    <xf numFmtId="0" fontId="10" fillId="3" borderId="12" xfId="32" applyFont="1" applyFill="1" applyBorder="1" applyAlignment="1" applyProtection="1">
      <alignment horizontal="center" vertical="center"/>
      <protection locked="0"/>
    </xf>
    <xf numFmtId="172" fontId="11" fillId="2" borderId="21" xfId="41" applyNumberFormat="1" applyFont="1" applyFill="1" applyBorder="1" applyAlignment="1" applyProtection="1">
      <alignment vertical="center"/>
      <protection locked="0"/>
    </xf>
    <xf numFmtId="172" fontId="8" fillId="2" borderId="22" xfId="41" applyNumberFormat="1" applyFont="1" applyFill="1" applyBorder="1" applyAlignment="1" applyProtection="1">
      <alignment vertical="center"/>
      <protection locked="0"/>
    </xf>
    <xf numFmtId="0" fontId="16" fillId="2" borderId="28" xfId="32" applyFont="1" applyFill="1" applyBorder="1" applyAlignment="1">
      <alignment horizontal="center" vertical="center"/>
    </xf>
    <xf numFmtId="172" fontId="16" fillId="2" borderId="28" xfId="15" applyNumberFormat="1" applyFont="1" applyFill="1" applyBorder="1" applyProtection="1"/>
    <xf numFmtId="167" fontId="16" fillId="2" borderId="28" xfId="15" applyFont="1" applyFill="1" applyBorder="1" applyProtection="1"/>
    <xf numFmtId="10" fontId="16" fillId="2" borderId="28" xfId="36" applyNumberFormat="1" applyFont="1" applyFill="1" applyBorder="1" applyAlignment="1" applyProtection="1">
      <alignment horizontal="center"/>
    </xf>
    <xf numFmtId="0" fontId="26" fillId="5" borderId="2" xfId="32" applyFont="1" applyFill="1" applyBorder="1" applyAlignment="1">
      <alignment horizontal="center" vertical="center" wrapText="1"/>
    </xf>
    <xf numFmtId="175" fontId="16" fillId="2" borderId="2" xfId="32" applyNumberFormat="1" applyFont="1" applyFill="1" applyBorder="1" applyAlignment="1">
      <alignment horizontal="center" vertical="center"/>
    </xf>
    <xf numFmtId="0" fontId="19" fillId="0" borderId="0" xfId="33" applyFont="1" applyAlignment="1" applyProtection="1">
      <alignment horizontal="left" wrapText="1"/>
      <protection locked="0"/>
    </xf>
    <xf numFmtId="4" fontId="16" fillId="2" borderId="11" xfId="33" applyNumberFormat="1" applyFont="1" applyFill="1" applyBorder="1"/>
    <xf numFmtId="0" fontId="17" fillId="2" borderId="11" xfId="33" applyFont="1" applyFill="1" applyBorder="1"/>
    <xf numFmtId="0" fontId="12" fillId="0" borderId="0" xfId="32" applyFont="1" applyAlignment="1" applyProtection="1">
      <alignment horizontal="left" vertical="center"/>
      <protection locked="0"/>
    </xf>
    <xf numFmtId="0" fontId="13" fillId="0" borderId="0" xfId="33" applyFont="1" applyAlignment="1" applyProtection="1">
      <alignment vertical="center"/>
      <protection locked="0"/>
    </xf>
    <xf numFmtId="3" fontId="14" fillId="0" borderId="0" xfId="32" applyNumberFormat="1" applyFont="1" applyAlignment="1" applyProtection="1">
      <alignment horizontal="left" vertical="center"/>
      <protection locked="0"/>
    </xf>
    <xf numFmtId="169" fontId="14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74" fontId="7" fillId="0" borderId="25" xfId="40" applyNumberFormat="1" applyFont="1" applyBorder="1" applyAlignment="1" applyProtection="1">
      <alignment horizontal="center" vertical="center"/>
      <protection locked="0"/>
    </xf>
    <xf numFmtId="9" fontId="29" fillId="0" borderId="0" xfId="36" applyFont="1"/>
    <xf numFmtId="0" fontId="2" fillId="0" borderId="0" xfId="0" applyFont="1"/>
    <xf numFmtId="0" fontId="2" fillId="0" borderId="2" xfId="0" applyFont="1" applyBorder="1"/>
    <xf numFmtId="168" fontId="6" fillId="2" borderId="14" xfId="1" applyFont="1" applyFill="1" applyBorder="1" applyAlignment="1" applyProtection="1">
      <alignment vertical="center"/>
      <protection locked="0"/>
    </xf>
    <xf numFmtId="0" fontId="16" fillId="2" borderId="0" xfId="32" applyFont="1" applyFill="1" applyAlignment="1">
      <alignment horizontal="center" vertical="center"/>
    </xf>
    <xf numFmtId="17" fontId="9" fillId="3" borderId="29" xfId="33" applyNumberFormat="1" applyFont="1" applyFill="1" applyBorder="1" applyAlignment="1" applyProtection="1">
      <alignment vertical="center"/>
      <protection locked="0"/>
    </xf>
    <xf numFmtId="17" fontId="9" fillId="3" borderId="23" xfId="33" applyNumberFormat="1" applyFont="1" applyFill="1" applyBorder="1" applyAlignment="1" applyProtection="1">
      <alignment vertical="center"/>
      <protection locked="0"/>
    </xf>
    <xf numFmtId="0" fontId="19" fillId="0" borderId="0" xfId="33" applyFont="1" applyAlignment="1" applyProtection="1">
      <alignment horizontal="left" wrapText="1"/>
      <protection locked="0"/>
    </xf>
    <xf numFmtId="0" fontId="16" fillId="2" borderId="0" xfId="33" applyFont="1" applyFill="1" applyAlignment="1">
      <alignment horizontal="center" vertical="center"/>
    </xf>
    <xf numFmtId="166" fontId="25" fillId="6" borderId="2" xfId="35" applyFont="1" applyFill="1" applyBorder="1" applyAlignment="1" applyProtection="1">
      <alignment horizontal="center" vertical="center"/>
      <protection locked="0"/>
    </xf>
    <xf numFmtId="174" fontId="7" fillId="0" borderId="24" xfId="40" applyNumberFormat="1" applyFont="1" applyBorder="1" applyAlignment="1" applyProtection="1">
      <alignment horizontal="center" vertical="center"/>
      <protection locked="0"/>
    </xf>
    <xf numFmtId="174" fontId="7" fillId="0" borderId="25" xfId="40" applyNumberFormat="1" applyFont="1" applyBorder="1" applyAlignment="1" applyProtection="1">
      <alignment horizontal="center" vertical="center"/>
      <protection locked="0"/>
    </xf>
    <xf numFmtId="174" fontId="7" fillId="0" borderId="26" xfId="40" applyNumberFormat="1" applyFont="1" applyBorder="1" applyAlignment="1" applyProtection="1">
      <alignment horizontal="center" vertical="center"/>
      <protection locked="0"/>
    </xf>
    <xf numFmtId="170" fontId="7" fillId="0" borderId="0" xfId="32" applyNumberFormat="1" applyFont="1" applyAlignment="1" applyProtection="1">
      <alignment horizontal="center" vertical="center"/>
      <protection locked="0"/>
    </xf>
    <xf numFmtId="0" fontId="12" fillId="0" borderId="0" xfId="33" applyFont="1" applyAlignment="1" applyProtection="1">
      <alignment horizontal="center" vertical="center"/>
      <protection locked="0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E760-D73B-4716-9F49-2D2C0876A43B}">
  <sheetPr>
    <pageSetUpPr fitToPage="1"/>
  </sheetPr>
  <dimension ref="A1:IU85"/>
  <sheetViews>
    <sheetView showGridLines="0" view="pageBreakPreview" zoomScale="55" zoomScaleNormal="85" zoomScaleSheetLayoutView="55" workbookViewId="0">
      <selection activeCell="E10" sqref="E10"/>
    </sheetView>
  </sheetViews>
  <sheetFormatPr baseColWidth="10" defaultColWidth="0" defaultRowHeight="0" customHeight="1" zeroHeight="1" x14ac:dyDescent="0.3"/>
  <cols>
    <col min="1" max="1" width="5.44140625" style="18" customWidth="1"/>
    <col min="2" max="2" width="1" style="18" customWidth="1"/>
    <col min="3" max="3" width="19" style="18" customWidth="1"/>
    <col min="4" max="4" width="23.5546875" style="18" customWidth="1"/>
    <col min="5" max="5" width="19.5546875" style="18" customWidth="1"/>
    <col min="6" max="6" width="22.5546875" style="18" bestFit="1" customWidth="1"/>
    <col min="7" max="7" width="16.5546875" style="18" customWidth="1"/>
    <col min="8" max="8" width="1.44140625" style="18" customWidth="1"/>
    <col min="9" max="9" width="8.44140625" style="18" customWidth="1"/>
    <col min="10" max="10" width="1.5546875" style="18" hidden="1" customWidth="1"/>
    <col min="11" max="255" width="3.44140625" style="18" hidden="1" customWidth="1"/>
    <col min="256" max="16384" width="5.5546875" style="18" hidden="1"/>
  </cols>
  <sheetData>
    <row r="1" spans="1:12" s="17" customFormat="1" ht="26.25" customHeight="1" x14ac:dyDescent="0.25">
      <c r="A1" s="15"/>
      <c r="B1" s="15"/>
      <c r="C1" s="70" t="s">
        <v>64</v>
      </c>
      <c r="D1" s="70"/>
      <c r="E1" s="70"/>
      <c r="F1" s="70"/>
      <c r="G1" s="70"/>
      <c r="H1" s="16"/>
      <c r="I1" s="16"/>
    </row>
    <row r="2" spans="1:12" ht="34.5" customHeight="1" x14ac:dyDescent="0.3">
      <c r="C2" s="70" t="s">
        <v>65</v>
      </c>
      <c r="D2" s="70"/>
      <c r="E2" s="70"/>
      <c r="F2" s="70"/>
      <c r="G2" s="70"/>
      <c r="H2" s="16"/>
      <c r="I2" s="16"/>
    </row>
    <row r="3" spans="1:12" ht="17.399999999999999" x14ac:dyDescent="0.35">
      <c r="C3" s="19" t="s">
        <v>0</v>
      </c>
      <c r="D3" s="20" t="s">
        <v>1</v>
      </c>
    </row>
    <row r="4" spans="1:12" ht="17.399999999999999" x14ac:dyDescent="0.35">
      <c r="C4" s="21" t="s">
        <v>2</v>
      </c>
      <c r="D4" s="22" t="s">
        <v>3</v>
      </c>
    </row>
    <row r="5" spans="1:12" ht="17.399999999999999" x14ac:dyDescent="0.35">
      <c r="C5" s="21" t="s">
        <v>4</v>
      </c>
      <c r="D5" s="36"/>
      <c r="E5" s="35"/>
      <c r="F5" s="35"/>
      <c r="G5" s="35"/>
    </row>
    <row r="6" spans="1:12" ht="17.399999999999999" x14ac:dyDescent="0.35">
      <c r="C6" s="21"/>
      <c r="D6" s="36"/>
      <c r="E6" s="35"/>
      <c r="F6" s="35"/>
      <c r="G6" s="35"/>
    </row>
    <row r="7" spans="1:12" ht="17.399999999999999" x14ac:dyDescent="0.35">
      <c r="B7" s="23"/>
      <c r="C7" s="19"/>
      <c r="D7" s="20"/>
      <c r="E7" s="20"/>
    </row>
    <row r="8" spans="1:12" ht="19.5" customHeight="1" x14ac:dyDescent="0.3">
      <c r="C8"/>
      <c r="D8"/>
      <c r="E8"/>
      <c r="F8"/>
      <c r="G8"/>
      <c r="H8" s="63"/>
      <c r="I8" s="63"/>
      <c r="J8" s="63"/>
      <c r="K8" s="24"/>
      <c r="L8" s="24"/>
    </row>
    <row r="9" spans="1:12" ht="49.5" customHeight="1" x14ac:dyDescent="0.3">
      <c r="C9" s="51" t="s">
        <v>5</v>
      </c>
      <c r="D9" s="30" t="s">
        <v>6</v>
      </c>
      <c r="E9" s="51" t="s">
        <v>7</v>
      </c>
      <c r="F9" s="51" t="s">
        <v>8</v>
      </c>
      <c r="G9" s="51" t="s">
        <v>9</v>
      </c>
      <c r="H9" s="63"/>
      <c r="I9" s="63"/>
      <c r="J9" s="63"/>
      <c r="K9" s="24"/>
      <c r="L9" s="24"/>
    </row>
    <row r="10" spans="1:12" ht="17.399999999999999" x14ac:dyDescent="0.3">
      <c r="C10" s="52">
        <v>46388</v>
      </c>
      <c r="D10" s="32">
        <f>+_xlfn.XLOOKUP(_xlfn.CONCAT(C10,"TOTAL"),'Cantidades horarias PROD 01'!D:D,'Cantidades horarias PROD 01'!AG:AG)</f>
        <v>15171217.429842647</v>
      </c>
      <c r="E10" s="29">
        <v>1</v>
      </c>
      <c r="F10" s="32">
        <f t="shared" ref="F10:F57" si="0">ROUND(D10*$E10,2)</f>
        <v>15171217.43</v>
      </c>
      <c r="G10" s="71"/>
      <c r="H10" s="63"/>
      <c r="I10" s="63"/>
      <c r="J10" s="63"/>
      <c r="K10" s="24"/>
      <c r="L10" s="24"/>
    </row>
    <row r="11" spans="1:12" ht="17.399999999999999" x14ac:dyDescent="0.3">
      <c r="C11" s="52">
        <v>46419</v>
      </c>
      <c r="D11" s="32">
        <f>+_xlfn.XLOOKUP(_xlfn.CONCAT(C11,"TOTAL"),'Cantidades horarias PROD 01'!D:D,'Cantidades horarias PROD 01'!AG:AG)</f>
        <v>12711745.038709557</v>
      </c>
      <c r="E11" s="29">
        <v>1</v>
      </c>
      <c r="F11" s="32">
        <f t="shared" si="0"/>
        <v>12711745.039999999</v>
      </c>
      <c r="G11" s="71"/>
      <c r="H11" s="63"/>
      <c r="I11" s="63"/>
      <c r="J11" s="63"/>
      <c r="K11" s="24"/>
      <c r="L11" s="24"/>
    </row>
    <row r="12" spans="1:12" ht="19.5" customHeight="1" x14ac:dyDescent="0.3">
      <c r="C12" s="52">
        <v>46447</v>
      </c>
      <c r="D12" s="32">
        <f>+_xlfn.XLOOKUP(_xlfn.CONCAT(C12,"TOTAL"),'Cantidades horarias PROD 01'!D:D,'Cantidades horarias PROD 01'!AG:AG)</f>
        <v>14682660.101022808</v>
      </c>
      <c r="E12" s="29">
        <v>1</v>
      </c>
      <c r="F12" s="32">
        <f t="shared" si="0"/>
        <v>14682660.1</v>
      </c>
      <c r="G12" s="71"/>
      <c r="H12" s="63"/>
      <c r="I12" s="63"/>
      <c r="J12" s="63"/>
      <c r="K12" s="24"/>
      <c r="L12" s="24"/>
    </row>
    <row r="13" spans="1:12" ht="16.5" customHeight="1" x14ac:dyDescent="0.3">
      <c r="C13" s="52">
        <v>46478</v>
      </c>
      <c r="D13" s="32">
        <f>+_xlfn.XLOOKUP(_xlfn.CONCAT(C13,"TOTAL"),'Cantidades horarias PROD 01'!D:D,'Cantidades horarias PROD 01'!AG:AG)</f>
        <v>14589508.732837586</v>
      </c>
      <c r="E13" s="29">
        <v>1</v>
      </c>
      <c r="F13" s="32">
        <f t="shared" si="0"/>
        <v>14589508.73</v>
      </c>
      <c r="G13" s="71"/>
      <c r="H13" s="26"/>
      <c r="I13" s="25"/>
      <c r="J13" s="25"/>
    </row>
    <row r="14" spans="1:12" ht="17.399999999999999" x14ac:dyDescent="0.3">
      <c r="C14" s="52">
        <v>46508</v>
      </c>
      <c r="D14" s="32">
        <f>+_xlfn.XLOOKUP(_xlfn.CONCAT(C14,"TOTAL"),'Cantidades horarias PROD 01'!D:D,'Cantidades horarias PROD 01'!AG:AG)</f>
        <v>15388918.594323084</v>
      </c>
      <c r="E14" s="29">
        <v>1</v>
      </c>
      <c r="F14" s="32">
        <f t="shared" si="0"/>
        <v>15388918.59</v>
      </c>
      <c r="G14" s="71"/>
      <c r="H14" s="26"/>
      <c r="I14" s="25"/>
      <c r="J14" s="25"/>
    </row>
    <row r="15" spans="1:12" ht="17.399999999999999" x14ac:dyDescent="0.3">
      <c r="C15" s="52">
        <v>46539</v>
      </c>
      <c r="D15" s="32">
        <f>+_xlfn.XLOOKUP(_xlfn.CONCAT(C15,"TOTAL"),'Cantidades horarias PROD 01'!D:D,'Cantidades horarias PROD 01'!AG:AG)</f>
        <v>17759558.483149383</v>
      </c>
      <c r="E15" s="29">
        <v>1</v>
      </c>
      <c r="F15" s="32">
        <f t="shared" si="0"/>
        <v>17759558.48</v>
      </c>
      <c r="G15" s="71"/>
      <c r="H15" s="26"/>
      <c r="I15" s="25"/>
      <c r="J15" s="25"/>
    </row>
    <row r="16" spans="1:12" ht="17.399999999999999" x14ac:dyDescent="0.3">
      <c r="C16" s="52">
        <v>46569</v>
      </c>
      <c r="D16" s="32">
        <f>+_xlfn.XLOOKUP(_xlfn.CONCAT(C16,"TOTAL"),'Cantidades horarias PROD 01'!D:D,'Cantidades horarias PROD 01'!AG:AG)</f>
        <v>18217388.862152841</v>
      </c>
      <c r="E16" s="29">
        <v>1</v>
      </c>
      <c r="F16" s="32">
        <f t="shared" si="0"/>
        <v>18217388.859999999</v>
      </c>
      <c r="G16" s="71"/>
      <c r="I16" s="25"/>
      <c r="J16" s="25"/>
    </row>
    <row r="17" spans="3:12" ht="17.399999999999999" x14ac:dyDescent="0.3">
      <c r="C17" s="52">
        <v>46600</v>
      </c>
      <c r="D17" s="32">
        <f>+_xlfn.XLOOKUP(_xlfn.CONCAT(C17,"TOTAL"),'Cantidades horarias PROD 01'!D:D,'Cantidades horarias PROD 01'!AG:AG)</f>
        <v>18148729.284205928</v>
      </c>
      <c r="E17" s="29">
        <v>1</v>
      </c>
      <c r="F17" s="32">
        <f t="shared" si="0"/>
        <v>18148729.280000001</v>
      </c>
      <c r="G17" s="71"/>
      <c r="H17" s="25"/>
      <c r="I17" s="25"/>
      <c r="J17" s="25"/>
    </row>
    <row r="18" spans="3:12" ht="17.399999999999999" x14ac:dyDescent="0.3">
      <c r="C18" s="52">
        <v>46631</v>
      </c>
      <c r="D18" s="32">
        <f>+_xlfn.XLOOKUP(_xlfn.CONCAT(C18,"TOTAL"),'Cantidades horarias PROD 01'!D:D,'Cantidades horarias PROD 01'!AG:AG)</f>
        <v>17907128.374550804</v>
      </c>
      <c r="E18" s="29">
        <v>1</v>
      </c>
      <c r="F18" s="32">
        <f t="shared" si="0"/>
        <v>17907128.370000001</v>
      </c>
      <c r="G18" s="71"/>
    </row>
    <row r="19" spans="3:12" ht="17.399999999999999" x14ac:dyDescent="0.3">
      <c r="C19" s="52">
        <v>46661</v>
      </c>
      <c r="D19" s="32">
        <f>+_xlfn.XLOOKUP(_xlfn.CONCAT(C19,"TOTAL"),'Cantidades horarias PROD 01'!D:D,'Cantidades horarias PROD 01'!AG:AG)</f>
        <v>19277289.366523091</v>
      </c>
      <c r="E19" s="29">
        <v>1</v>
      </c>
      <c r="F19" s="32">
        <f t="shared" si="0"/>
        <v>19277289.370000001</v>
      </c>
      <c r="G19" s="71"/>
    </row>
    <row r="20" spans="3:12" ht="15" customHeight="1" x14ac:dyDescent="0.3">
      <c r="C20" s="52">
        <v>46692</v>
      </c>
      <c r="D20" s="32">
        <f>+_xlfn.XLOOKUP(_xlfn.CONCAT(C20,"TOTAL"),'Cantidades horarias PROD 01'!D:D,'Cantidades horarias PROD 01'!AG:AG)</f>
        <v>17098385.953523383</v>
      </c>
      <c r="E20" s="29">
        <v>1</v>
      </c>
      <c r="F20" s="32">
        <f t="shared" si="0"/>
        <v>17098385.949999999</v>
      </c>
      <c r="G20" s="71"/>
    </row>
    <row r="21" spans="3:12" ht="15" customHeight="1" x14ac:dyDescent="0.3">
      <c r="C21" s="52">
        <v>46722</v>
      </c>
      <c r="D21" s="32">
        <f>+_xlfn.XLOOKUP(_xlfn.CONCAT(C21,"TOTAL"),'Cantidades horarias PROD 01'!D:D,'Cantidades horarias PROD 01'!AG:AG)</f>
        <v>18753075.33644671</v>
      </c>
      <c r="E21" s="29">
        <v>1</v>
      </c>
      <c r="F21" s="32">
        <f t="shared" si="0"/>
        <v>18753075.34</v>
      </c>
      <c r="G21" s="71"/>
    </row>
    <row r="22" spans="3:12" ht="17.399999999999999" x14ac:dyDescent="0.3">
      <c r="C22" s="52">
        <v>46753</v>
      </c>
      <c r="D22" s="32">
        <f>+_xlfn.XLOOKUP(_xlfn.CONCAT(C22,"TOTAL"),'Cantidades horarias PROD 01'!D:D,'Cantidades horarias PROD 01'!AG:AG)</f>
        <v>30355853.415041685</v>
      </c>
      <c r="E22" s="29">
        <v>1</v>
      </c>
      <c r="F22" s="32">
        <f t="shared" si="0"/>
        <v>30355853.420000002</v>
      </c>
      <c r="G22" s="71"/>
      <c r="H22" s="63"/>
      <c r="I22" s="63"/>
      <c r="J22" s="63"/>
      <c r="K22" s="24"/>
      <c r="L22" s="24"/>
    </row>
    <row r="23" spans="3:12" ht="17.399999999999999" x14ac:dyDescent="0.3">
      <c r="C23" s="52">
        <v>46784</v>
      </c>
      <c r="D23" s="32">
        <f>+_xlfn.XLOOKUP(_xlfn.CONCAT(C23,"TOTAL"),'Cantidades horarias PROD 01'!D:D,'Cantidades horarias PROD 01'!AG:AG)</f>
        <v>28797789.746551618</v>
      </c>
      <c r="E23" s="29">
        <v>1</v>
      </c>
      <c r="F23" s="32">
        <f t="shared" si="0"/>
        <v>28797789.75</v>
      </c>
      <c r="G23" s="71"/>
      <c r="H23" s="63"/>
      <c r="I23" s="63"/>
      <c r="J23" s="63"/>
      <c r="K23" s="24"/>
      <c r="L23" s="24"/>
    </row>
    <row r="24" spans="3:12" ht="19.5" customHeight="1" x14ac:dyDescent="0.3">
      <c r="C24" s="52">
        <v>46813</v>
      </c>
      <c r="D24" s="32">
        <f>+_xlfn.XLOOKUP(_xlfn.CONCAT(C24,"TOTAL"),'Cantidades horarias PROD 01'!D:D,'Cantidades horarias PROD 01'!AG:AG)</f>
        <v>31111544.763144948</v>
      </c>
      <c r="E24" s="29">
        <v>1</v>
      </c>
      <c r="F24" s="32">
        <f t="shared" si="0"/>
        <v>31111544.760000002</v>
      </c>
      <c r="G24" s="71"/>
      <c r="H24" s="63"/>
      <c r="I24" s="63"/>
      <c r="J24" s="63"/>
      <c r="K24" s="24"/>
      <c r="L24" s="24"/>
    </row>
    <row r="25" spans="3:12" ht="16.5" customHeight="1" x14ac:dyDescent="0.3">
      <c r="C25" s="52">
        <v>46844</v>
      </c>
      <c r="D25" s="32">
        <f>+_xlfn.XLOOKUP(_xlfn.CONCAT(C25,"TOTAL"),'Cantidades horarias PROD 01'!D:D,'Cantidades horarias PROD 01'!AG:AG)</f>
        <v>29697308.666624341</v>
      </c>
      <c r="E25" s="29">
        <v>1</v>
      </c>
      <c r="F25" s="32">
        <f t="shared" si="0"/>
        <v>29697308.670000002</v>
      </c>
      <c r="G25" s="71"/>
      <c r="H25" s="26"/>
      <c r="I25" s="25"/>
      <c r="J25" s="25"/>
    </row>
    <row r="26" spans="3:12" ht="17.399999999999999" x14ac:dyDescent="0.3">
      <c r="C26" s="52">
        <v>46874</v>
      </c>
      <c r="D26" s="32">
        <f>+_xlfn.XLOOKUP(_xlfn.CONCAT(C26,"TOTAL"),'Cantidades horarias PROD 01'!D:D,'Cantidades horarias PROD 01'!AG:AG)</f>
        <v>30346976.994664747</v>
      </c>
      <c r="E26" s="29">
        <v>1</v>
      </c>
      <c r="F26" s="32">
        <f t="shared" si="0"/>
        <v>30346976.989999998</v>
      </c>
      <c r="G26" s="71"/>
      <c r="H26" s="26"/>
      <c r="I26" s="25"/>
      <c r="J26" s="25"/>
    </row>
    <row r="27" spans="3:12" ht="17.399999999999999" x14ac:dyDescent="0.3">
      <c r="C27" s="52">
        <v>46905</v>
      </c>
      <c r="D27" s="32">
        <f>+_xlfn.XLOOKUP(_xlfn.CONCAT(C27,"TOTAL"),'Cantidades horarias PROD 01'!D:D,'Cantidades horarias PROD 01'!AG:AG)</f>
        <v>30374909.907127988</v>
      </c>
      <c r="E27" s="29">
        <v>1</v>
      </c>
      <c r="F27" s="32">
        <f t="shared" si="0"/>
        <v>30374909.91</v>
      </c>
      <c r="G27" s="71"/>
      <c r="H27" s="26"/>
      <c r="I27" s="25"/>
      <c r="J27" s="25"/>
    </row>
    <row r="28" spans="3:12" ht="17.399999999999999" x14ac:dyDescent="0.3">
      <c r="C28" s="52">
        <v>46935</v>
      </c>
      <c r="D28" s="32">
        <f>+_xlfn.XLOOKUP(_xlfn.CONCAT(C28,"TOTAL"),'Cantidades horarias PROD 01'!D:D,'Cantidades horarias PROD 01'!AG:AG)</f>
        <v>31417723.854161106</v>
      </c>
      <c r="E28" s="29">
        <v>1</v>
      </c>
      <c r="F28" s="32">
        <f t="shared" si="0"/>
        <v>31417723.850000001</v>
      </c>
      <c r="G28" s="71"/>
      <c r="I28" s="25"/>
      <c r="J28" s="25"/>
    </row>
    <row r="29" spans="3:12" ht="17.399999999999999" x14ac:dyDescent="0.3">
      <c r="C29" s="52">
        <v>46966</v>
      </c>
      <c r="D29" s="32">
        <f>+_xlfn.XLOOKUP(_xlfn.CONCAT(C29,"TOTAL"),'Cantidades horarias PROD 01'!D:D,'Cantidades horarias PROD 01'!AG:AG)</f>
        <v>31268221.28466475</v>
      </c>
      <c r="E29" s="29">
        <v>1</v>
      </c>
      <c r="F29" s="32">
        <f t="shared" si="0"/>
        <v>31268221.280000001</v>
      </c>
      <c r="G29" s="71"/>
      <c r="H29" s="25"/>
      <c r="I29" s="25"/>
      <c r="J29" s="25"/>
    </row>
    <row r="30" spans="3:12" ht="17.399999999999999" x14ac:dyDescent="0.3">
      <c r="C30" s="52">
        <v>46997</v>
      </c>
      <c r="D30" s="32">
        <f>+_xlfn.XLOOKUP(_xlfn.CONCAT(C30,"TOTAL"),'Cantidades horarias PROD 01'!D:D,'Cantidades horarias PROD 01'!AG:AG)</f>
        <v>30173432.363207795</v>
      </c>
      <c r="E30" s="29">
        <v>1</v>
      </c>
      <c r="F30" s="32">
        <f t="shared" si="0"/>
        <v>30173432.359999999</v>
      </c>
      <c r="G30" s="71"/>
    </row>
    <row r="31" spans="3:12" ht="17.399999999999999" x14ac:dyDescent="0.3">
      <c r="C31" s="52">
        <v>47027</v>
      </c>
      <c r="D31" s="32">
        <f>+_xlfn.XLOOKUP(_xlfn.CONCAT(C31,"TOTAL"),'Cantidades horarias PROD 01'!D:D,'Cantidades horarias PROD 01'!AG:AG)</f>
        <v>31737869.723521896</v>
      </c>
      <c r="E31" s="29">
        <v>1</v>
      </c>
      <c r="F31" s="32">
        <f t="shared" si="0"/>
        <v>31737869.719999999</v>
      </c>
      <c r="G31" s="71"/>
    </row>
    <row r="32" spans="3:12" ht="15" customHeight="1" x14ac:dyDescent="0.3">
      <c r="C32" s="52">
        <v>47058</v>
      </c>
      <c r="D32" s="32">
        <f>+_xlfn.XLOOKUP(_xlfn.CONCAT(C32,"TOTAL"),'Cantidades horarias PROD 01'!D:D,'Cantidades horarias PROD 01'!AG:AG)</f>
        <v>30112443.667127986</v>
      </c>
      <c r="E32" s="29">
        <v>1</v>
      </c>
      <c r="F32" s="32">
        <f t="shared" si="0"/>
        <v>30112443.670000002</v>
      </c>
      <c r="G32" s="71"/>
    </row>
    <row r="33" spans="3:12" ht="15" customHeight="1" x14ac:dyDescent="0.3">
      <c r="C33" s="52">
        <v>47088</v>
      </c>
      <c r="D33" s="32">
        <f>+_xlfn.XLOOKUP(_xlfn.CONCAT(C33,"TOTAL"),'Cantidades horarias PROD 01'!D:D,'Cantidades horarias PROD 01'!AG:AG)</f>
        <v>31283027.694161102</v>
      </c>
      <c r="E33" s="29">
        <v>1</v>
      </c>
      <c r="F33" s="32">
        <f t="shared" si="0"/>
        <v>31283027.690000001</v>
      </c>
      <c r="G33" s="71"/>
    </row>
    <row r="34" spans="3:12" ht="17.399999999999999" x14ac:dyDescent="0.3">
      <c r="C34" s="52">
        <v>47119</v>
      </c>
      <c r="D34" s="32">
        <f>+_xlfn.XLOOKUP(_xlfn.CONCAT(C34,"TOTAL"),'Cantidades horarias PROD 01'!D:D,'Cantidades horarias PROD 01'!AG:AG)</f>
        <v>56889330.432037227</v>
      </c>
      <c r="E34" s="29">
        <v>1</v>
      </c>
      <c r="F34" s="32">
        <f t="shared" si="0"/>
        <v>56889330.43</v>
      </c>
      <c r="G34" s="71"/>
      <c r="H34" s="63"/>
      <c r="I34" s="63"/>
      <c r="J34" s="63"/>
      <c r="K34" s="24"/>
      <c r="L34" s="24"/>
    </row>
    <row r="35" spans="3:12" ht="17.399999999999999" x14ac:dyDescent="0.3">
      <c r="C35" s="52">
        <v>47150</v>
      </c>
      <c r="D35" s="32">
        <f>+_xlfn.XLOOKUP(_xlfn.CONCAT(C35,"TOTAL"),'Cantidades horarias PROD 01'!D:D,'Cantidades horarias PROD 01'!AG:AG)</f>
        <v>51970521.357325174</v>
      </c>
      <c r="E35" s="29">
        <v>1</v>
      </c>
      <c r="F35" s="32">
        <f t="shared" si="0"/>
        <v>51970521.359999999</v>
      </c>
      <c r="G35" s="71"/>
      <c r="H35" s="63"/>
      <c r="I35" s="63"/>
      <c r="J35" s="63"/>
      <c r="K35" s="24"/>
      <c r="L35" s="24"/>
    </row>
    <row r="36" spans="3:12" ht="19.5" customHeight="1" x14ac:dyDescent="0.3">
      <c r="C36" s="52">
        <v>47178</v>
      </c>
      <c r="D36" s="32">
        <f>+_xlfn.XLOOKUP(_xlfn.CONCAT(C36,"TOTAL"),'Cantidades horarias PROD 01'!D:D,'Cantidades horarias PROD 01'!AG:AG)</f>
        <v>56168572.594770394</v>
      </c>
      <c r="E36" s="29">
        <v>1</v>
      </c>
      <c r="F36" s="32">
        <f t="shared" si="0"/>
        <v>56168572.590000004</v>
      </c>
      <c r="G36" s="71"/>
      <c r="H36" s="63"/>
      <c r="I36" s="63"/>
      <c r="J36" s="63"/>
      <c r="K36" s="24"/>
      <c r="L36" s="24"/>
    </row>
    <row r="37" spans="3:12" ht="16.5" customHeight="1" x14ac:dyDescent="0.3">
      <c r="C37" s="52">
        <v>47209</v>
      </c>
      <c r="D37" s="32">
        <f>+_xlfn.XLOOKUP(_xlfn.CONCAT(C37,"TOTAL"),'Cantidades horarias PROD 01'!D:D,'Cantidades horarias PROD 01'!AG:AG)</f>
        <v>55385122.88301903</v>
      </c>
      <c r="E37" s="29">
        <v>1</v>
      </c>
      <c r="F37" s="32">
        <f t="shared" si="0"/>
        <v>55385122.880000003</v>
      </c>
      <c r="G37" s="71"/>
      <c r="H37" s="26"/>
      <c r="I37" s="25"/>
      <c r="J37" s="25"/>
    </row>
    <row r="38" spans="3:12" ht="17.399999999999999" x14ac:dyDescent="0.3">
      <c r="C38" s="52">
        <v>47239</v>
      </c>
      <c r="D38" s="32">
        <f>+_xlfn.XLOOKUP(_xlfn.CONCAT(C38,"TOTAL"),'Cantidades horarias PROD 01'!D:D,'Cantidades horarias PROD 01'!AG:AG)</f>
        <v>56517330.432037227</v>
      </c>
      <c r="E38" s="29">
        <v>1</v>
      </c>
      <c r="F38" s="32">
        <f t="shared" si="0"/>
        <v>56517330.43</v>
      </c>
      <c r="G38" s="71"/>
      <c r="H38" s="26"/>
      <c r="I38" s="25"/>
      <c r="J38" s="25"/>
    </row>
    <row r="39" spans="3:12" ht="17.399999999999999" x14ac:dyDescent="0.3">
      <c r="C39" s="52">
        <v>47270</v>
      </c>
      <c r="D39" s="32">
        <f>+_xlfn.XLOOKUP(_xlfn.CONCAT(C39,"TOTAL"),'Cantidades horarias PROD 01'!D:D,'Cantidades horarias PROD 01'!AG:AG)</f>
        <v>55821673.91347713</v>
      </c>
      <c r="E39" s="29">
        <v>1</v>
      </c>
      <c r="F39" s="32">
        <f t="shared" si="0"/>
        <v>55821673.909999996</v>
      </c>
      <c r="G39" s="71"/>
      <c r="H39" s="26"/>
      <c r="I39" s="25"/>
      <c r="J39" s="25"/>
    </row>
    <row r="40" spans="3:12" ht="17.399999999999999" x14ac:dyDescent="0.3">
      <c r="C40" s="52">
        <v>47300</v>
      </c>
      <c r="D40" s="32">
        <f>+_xlfn.XLOOKUP(_xlfn.CONCAT(C40,"TOTAL"),'Cantidades horarias PROD 01'!D:D,'Cantidades horarias PROD 01'!AG:AG)</f>
        <v>57127414.213691846</v>
      </c>
      <c r="E40" s="29">
        <v>1</v>
      </c>
      <c r="F40" s="32">
        <f t="shared" si="0"/>
        <v>57127414.210000001</v>
      </c>
      <c r="G40" s="71"/>
      <c r="I40" s="25"/>
      <c r="J40" s="25"/>
    </row>
    <row r="41" spans="3:12" ht="17.399999999999999" x14ac:dyDescent="0.3">
      <c r="C41" s="52">
        <v>47331</v>
      </c>
      <c r="D41" s="32">
        <f>+_xlfn.XLOOKUP(_xlfn.CONCAT(C41,"TOTAL"),'Cantidades horarias PROD 01'!D:D,'Cantidades horarias PROD 01'!AG:AG)</f>
        <v>57484530.432037227</v>
      </c>
      <c r="E41" s="29">
        <v>1</v>
      </c>
      <c r="F41" s="32">
        <f t="shared" si="0"/>
        <v>57484530.43</v>
      </c>
      <c r="G41" s="71"/>
      <c r="H41" s="25"/>
      <c r="I41" s="25"/>
      <c r="J41" s="25"/>
    </row>
    <row r="42" spans="3:12" ht="17.399999999999999" x14ac:dyDescent="0.3">
      <c r="C42" s="52">
        <v>47362</v>
      </c>
      <c r="D42" s="32">
        <f>+_xlfn.XLOOKUP(_xlfn.CONCAT(C42,"TOTAL"),'Cantidades horarias PROD 01'!D:D,'Cantidades horarias PROD 01'!AG:AG)</f>
        <v>55894666.562856629</v>
      </c>
      <c r="E42" s="29">
        <v>1</v>
      </c>
      <c r="F42" s="32">
        <f t="shared" si="0"/>
        <v>55894666.560000002</v>
      </c>
      <c r="G42" s="71"/>
    </row>
    <row r="43" spans="3:12" ht="17.399999999999999" x14ac:dyDescent="0.3">
      <c r="C43" s="52">
        <v>47392</v>
      </c>
      <c r="D43" s="32">
        <f>+_xlfn.XLOOKUP(_xlfn.CONCAT(C43,"TOTAL"),'Cantidades horarias PROD 01'!D:D,'Cantidades horarias PROD 01'!AG:AG)</f>
        <v>58437839.29976213</v>
      </c>
      <c r="E43" s="29">
        <v>1</v>
      </c>
      <c r="F43" s="32">
        <f t="shared" si="0"/>
        <v>58437839.299999997</v>
      </c>
      <c r="G43" s="71"/>
    </row>
    <row r="44" spans="3:12" ht="15" customHeight="1" x14ac:dyDescent="0.3">
      <c r="C44" s="52">
        <v>47423</v>
      </c>
      <c r="D44" s="32">
        <f>+_xlfn.XLOOKUP(_xlfn.CONCAT(C44,"TOTAL"),'Cantidades horarias PROD 01'!D:D,'Cantidades horarias PROD 01'!AG:AG)</f>
        <v>55384614.015294112</v>
      </c>
      <c r="E44" s="29">
        <v>1</v>
      </c>
      <c r="F44" s="32">
        <f t="shared" si="0"/>
        <v>55384614.020000003</v>
      </c>
      <c r="G44" s="71"/>
    </row>
    <row r="45" spans="3:12" ht="15" customHeight="1" x14ac:dyDescent="0.3">
      <c r="C45" s="52">
        <v>47453</v>
      </c>
      <c r="D45" s="32">
        <f>+_xlfn.XLOOKUP(_xlfn.CONCAT(C45,"TOTAL"),'Cantidades horarias PROD 01'!D:D,'Cantidades horarias PROD 01'!AG:AG)</f>
        <v>57350614.213691846</v>
      </c>
      <c r="E45" s="29">
        <v>1</v>
      </c>
      <c r="F45" s="32">
        <f t="shared" si="0"/>
        <v>57350614.210000001</v>
      </c>
      <c r="G45" s="71"/>
    </row>
    <row r="46" spans="3:12" ht="17.399999999999999" x14ac:dyDescent="0.3">
      <c r="C46" s="52">
        <v>47484</v>
      </c>
      <c r="D46" s="32">
        <f>+_xlfn.XLOOKUP(_xlfn.CONCAT(C46,"TOTAL"),'Cantidades horarias PROD 01'!D:D,'Cantidades horarias PROD 01'!AG:AG)</f>
        <v>60921236.844195992</v>
      </c>
      <c r="E46" s="29">
        <v>1</v>
      </c>
      <c r="F46" s="32">
        <f t="shared" si="0"/>
        <v>60921236.840000004</v>
      </c>
      <c r="G46" s="71"/>
      <c r="H46" s="63"/>
      <c r="I46" s="63"/>
      <c r="J46" s="63"/>
      <c r="K46" s="24"/>
      <c r="L46" s="24"/>
    </row>
    <row r="47" spans="3:12" ht="17.399999999999999" x14ac:dyDescent="0.3">
      <c r="C47" s="52">
        <v>47515</v>
      </c>
      <c r="D47" s="32">
        <f>+_xlfn.XLOOKUP(_xlfn.CONCAT(C47,"TOTAL"),'Cantidades horarias PROD 01'!D:D,'Cantidades horarias PROD 01'!AG:AG)</f>
        <v>55859425.818416193</v>
      </c>
      <c r="E47" s="29">
        <v>1</v>
      </c>
      <c r="F47" s="32">
        <f t="shared" si="0"/>
        <v>55859425.82</v>
      </c>
      <c r="G47" s="71"/>
      <c r="H47" s="63"/>
      <c r="I47" s="63"/>
      <c r="J47" s="63"/>
      <c r="K47" s="24"/>
      <c r="L47" s="24"/>
    </row>
    <row r="48" spans="3:12" ht="19.5" customHeight="1" x14ac:dyDescent="0.3">
      <c r="C48" s="52">
        <v>47543</v>
      </c>
      <c r="D48" s="32">
        <f>+_xlfn.XLOOKUP(_xlfn.CONCAT(C48,"TOTAL"),'Cantidades horarias PROD 01'!D:D,'Cantidades horarias PROD 01'!AG:AG)</f>
        <v>61458207.424573578</v>
      </c>
      <c r="E48" s="29">
        <v>1</v>
      </c>
      <c r="F48" s="32">
        <f t="shared" si="0"/>
        <v>61458207.420000002</v>
      </c>
      <c r="G48" s="71"/>
      <c r="H48" s="63"/>
      <c r="I48" s="63"/>
      <c r="J48" s="63"/>
      <c r="K48" s="24"/>
      <c r="L48" s="24"/>
    </row>
    <row r="49" spans="3:10" ht="16.5" customHeight="1" x14ac:dyDescent="0.3">
      <c r="C49" s="52">
        <v>47574</v>
      </c>
      <c r="D49" s="32">
        <f>+_xlfn.XLOOKUP(_xlfn.CONCAT(C49,"TOTAL"),'Cantidades horarias PROD 01'!D:D,'Cantidades horarias PROD 01'!AG:AG)</f>
        <v>59621720.840270638</v>
      </c>
      <c r="E49" s="29">
        <v>1</v>
      </c>
      <c r="F49" s="32">
        <f t="shared" si="0"/>
        <v>59621720.840000004</v>
      </c>
      <c r="G49" s="71"/>
      <c r="H49" s="26"/>
      <c r="I49" s="25"/>
      <c r="J49" s="25"/>
    </row>
    <row r="50" spans="3:10" ht="17.399999999999999" x14ac:dyDescent="0.3">
      <c r="C50" s="52">
        <v>47604</v>
      </c>
      <c r="D50" s="32">
        <f>+_xlfn.XLOOKUP(_xlfn.CONCAT(C50,"TOTAL"),'Cantidades horarias PROD 01'!D:D,'Cantidades horarias PROD 01'!AG:AG)</f>
        <v>62289431.899328485</v>
      </c>
      <c r="E50" s="29">
        <v>1</v>
      </c>
      <c r="F50" s="32">
        <f t="shared" si="0"/>
        <v>62289431.899999999</v>
      </c>
      <c r="G50" s="71"/>
      <c r="H50" s="26"/>
      <c r="I50" s="25"/>
      <c r="J50" s="25"/>
    </row>
    <row r="51" spans="3:10" ht="17.399999999999999" x14ac:dyDescent="0.3">
      <c r="C51" s="52">
        <v>47635</v>
      </c>
      <c r="D51" s="32">
        <f>+_xlfn.XLOOKUP(_xlfn.CONCAT(C51,"TOTAL"),'Cantidades horarias PROD 01'!D:D,'Cantidades horarias PROD 01'!AG:AG)</f>
        <v>59154627.639747269</v>
      </c>
      <c r="E51" s="29">
        <v>1</v>
      </c>
      <c r="F51" s="32">
        <f t="shared" si="0"/>
        <v>59154627.640000001</v>
      </c>
      <c r="G51" s="71"/>
      <c r="H51" s="26"/>
      <c r="I51" s="25"/>
      <c r="J51" s="25"/>
    </row>
    <row r="52" spans="3:10" ht="17.399999999999999" x14ac:dyDescent="0.3">
      <c r="C52" s="52">
        <v>47665</v>
      </c>
      <c r="D52" s="32">
        <f>+_xlfn.XLOOKUP(_xlfn.CONCAT(C52,"TOTAL"),'Cantidades horarias PROD 01'!D:D,'Cantidades horarias PROD 01'!AG:AG)</f>
        <v>61919365.458532445</v>
      </c>
      <c r="E52" s="29">
        <v>1</v>
      </c>
      <c r="F52" s="32">
        <f t="shared" si="0"/>
        <v>61919365.460000001</v>
      </c>
      <c r="G52" s="71"/>
      <c r="I52" s="25"/>
      <c r="J52" s="25"/>
    </row>
    <row r="53" spans="3:10" ht="17.399999999999999" x14ac:dyDescent="0.3">
      <c r="C53" s="52">
        <v>47696</v>
      </c>
      <c r="D53" s="32">
        <f>+_xlfn.XLOOKUP(_xlfn.CONCAT(C53,"TOTAL"),'Cantidades horarias PROD 01'!D:D,'Cantidades horarias PROD 01'!AG:AG)</f>
        <v>61771865.766971938</v>
      </c>
      <c r="E53" s="29">
        <v>1</v>
      </c>
      <c r="F53" s="32">
        <f t="shared" si="0"/>
        <v>61771865.770000003</v>
      </c>
      <c r="G53" s="71"/>
      <c r="H53" s="25"/>
      <c r="I53" s="25"/>
      <c r="J53" s="25"/>
    </row>
    <row r="54" spans="3:10" ht="17.399999999999999" x14ac:dyDescent="0.3">
      <c r="C54" s="52">
        <v>47727</v>
      </c>
      <c r="D54" s="32">
        <f>+_xlfn.XLOOKUP(_xlfn.CONCAT(C54,"TOTAL"),'Cantidades horarias PROD 01'!D:D,'Cantidades horarias PROD 01'!AG:AG)</f>
        <v>60283096.873119034</v>
      </c>
      <c r="E54" s="29">
        <v>1</v>
      </c>
      <c r="F54" s="32">
        <f t="shared" si="0"/>
        <v>60283096.869999997</v>
      </c>
      <c r="G54" s="71"/>
    </row>
    <row r="55" spans="3:10" ht="17.399999999999999" x14ac:dyDescent="0.3">
      <c r="C55" s="52">
        <v>47757</v>
      </c>
      <c r="D55" s="32">
        <f>+_xlfn.XLOOKUP(_xlfn.CONCAT(C55,"TOTAL"),'Cantidades horarias PROD 01'!D:D,'Cantidades horarias PROD 01'!AG:AG)</f>
        <v>62527547.386626519</v>
      </c>
      <c r="E55" s="29">
        <v>1</v>
      </c>
      <c r="F55" s="32">
        <f t="shared" si="0"/>
        <v>62527547.390000001</v>
      </c>
      <c r="G55" s="71"/>
    </row>
    <row r="56" spans="3:10" ht="15" customHeight="1" x14ac:dyDescent="0.3">
      <c r="C56" s="52">
        <v>47788</v>
      </c>
      <c r="D56" s="32">
        <f>+_xlfn.XLOOKUP(_xlfn.CONCAT(C56,"TOTAL"),'Cantidades horarias PROD 01'!D:D,'Cantidades horarias PROD 01'!AG:AG)</f>
        <v>59926306.302673876</v>
      </c>
      <c r="E56" s="29">
        <v>1</v>
      </c>
      <c r="F56" s="32">
        <f t="shared" si="0"/>
        <v>59926306.299999997</v>
      </c>
      <c r="G56" s="71"/>
    </row>
    <row r="57" spans="3:10" ht="15" customHeight="1" x14ac:dyDescent="0.3">
      <c r="C57" s="52">
        <v>47818</v>
      </c>
      <c r="D57" s="32">
        <f>+_xlfn.XLOOKUP(_xlfn.CONCAT(C57,"TOTAL"),'Cantidades horarias PROD 01'!D:D,'Cantidades horarias PROD 01'!AG:AG)</f>
        <v>61879257.88554401</v>
      </c>
      <c r="E57" s="29">
        <v>1</v>
      </c>
      <c r="F57" s="32">
        <f t="shared" si="0"/>
        <v>61879257.890000001</v>
      </c>
      <c r="G57" s="71"/>
    </row>
    <row r="58" spans="3:10" ht="17.399999999999999" x14ac:dyDescent="0.35">
      <c r="C58" s="47" t="s">
        <v>10</v>
      </c>
      <c r="D58" s="48">
        <f>SUM(D10:D57)</f>
        <v>1968427028.1272879</v>
      </c>
      <c r="E58" s="50">
        <f>IFERROR(F58/D58,0)</f>
        <v>0.99999999997597688</v>
      </c>
      <c r="F58" s="48">
        <f>SUM(F10:F57)</f>
        <v>1968427028.0800002</v>
      </c>
      <c r="G58" s="49">
        <f>+(+SUM(F10:F21)*G10+SUM(F22:F33)*G22+SUM(F34:F45)*G34+SUM(F46:F57)*G46)/F58</f>
        <v>0</v>
      </c>
    </row>
    <row r="59" spans="3:10" ht="17.399999999999999" x14ac:dyDescent="0.35">
      <c r="C59" s="66"/>
      <c r="D59" s="31"/>
      <c r="E59" s="34"/>
      <c r="F59" s="31"/>
      <c r="G59" s="33"/>
    </row>
    <row r="60" spans="3:10" ht="17.399999999999999" x14ac:dyDescent="0.35">
      <c r="C60" s="27" t="s">
        <v>11</v>
      </c>
      <c r="D60" s="31"/>
      <c r="E60" s="34"/>
      <c r="F60" s="31"/>
      <c r="G60" s="33"/>
    </row>
    <row r="61" spans="3:10" ht="17.399999999999999" x14ac:dyDescent="0.35">
      <c r="C61" s="28" t="s">
        <v>68</v>
      </c>
      <c r="D61" s="31"/>
      <c r="E61" s="34"/>
      <c r="F61" s="31"/>
      <c r="G61" s="33"/>
    </row>
    <row r="62" spans="3:10" ht="16.95" customHeight="1" x14ac:dyDescent="0.35">
      <c r="C62" s="28" t="s">
        <v>12</v>
      </c>
      <c r="D62" s="31"/>
      <c r="E62" s="34"/>
      <c r="F62" s="31"/>
      <c r="G62" s="33"/>
    </row>
    <row r="63" spans="3:10" ht="16.95" customHeight="1" x14ac:dyDescent="0.35">
      <c r="C63" s="28"/>
      <c r="D63" s="31"/>
      <c r="E63" s="34"/>
      <c r="F63" s="31"/>
      <c r="G63" s="33"/>
    </row>
    <row r="64" spans="3:10" ht="16.95" customHeight="1" x14ac:dyDescent="0.35">
      <c r="C64" s="28"/>
      <c r="D64" s="31"/>
      <c r="E64" s="34"/>
      <c r="F64" s="31"/>
      <c r="G64" s="33"/>
    </row>
    <row r="65" spans="3:8" ht="16.95" customHeight="1" x14ac:dyDescent="0.35">
      <c r="C65" s="28"/>
      <c r="D65" s="31"/>
      <c r="E65" s="34"/>
      <c r="F65" s="31"/>
      <c r="G65" s="33"/>
    </row>
    <row r="66" spans="3:8" ht="17.399999999999999" x14ac:dyDescent="0.35">
      <c r="C66" s="54" t="s">
        <v>13</v>
      </c>
      <c r="D66" s="26"/>
      <c r="E66" s="26"/>
      <c r="F66" s="26"/>
      <c r="G66" s="26"/>
    </row>
    <row r="67" spans="3:8" ht="17.399999999999999" x14ac:dyDescent="0.35">
      <c r="C67" s="22" t="s">
        <v>14</v>
      </c>
      <c r="D67" s="26"/>
      <c r="E67" s="26"/>
      <c r="F67" s="26"/>
      <c r="G67" s="26"/>
    </row>
    <row r="68" spans="3:8" ht="17.399999999999999" x14ac:dyDescent="0.35">
      <c r="C68" s="21" t="s">
        <v>63</v>
      </c>
    </row>
    <row r="69" spans="3:8" ht="16.8" hidden="1" x14ac:dyDescent="0.3">
      <c r="C69" s="69"/>
      <c r="D69" s="69"/>
      <c r="E69" s="69"/>
      <c r="F69" s="69"/>
      <c r="G69" s="69"/>
    </row>
    <row r="70" spans="3:8" ht="16.8" hidden="1" x14ac:dyDescent="0.3">
      <c r="C70" s="69"/>
      <c r="D70" s="69"/>
      <c r="E70" s="69"/>
      <c r="F70" s="69"/>
      <c r="G70" s="69"/>
    </row>
    <row r="71" spans="3:8" ht="16.8" x14ac:dyDescent="0.3">
      <c r="E71" s="35"/>
      <c r="F71" s="53"/>
      <c r="G71" s="53"/>
    </row>
    <row r="72" spans="3:8" ht="16.8" x14ac:dyDescent="0.3">
      <c r="D72" s="55"/>
      <c r="E72" s="35"/>
      <c r="F72" s="35"/>
      <c r="G72" s="35"/>
    </row>
    <row r="73" spans="3:8" ht="16.95" customHeight="1" x14ac:dyDescent="0.35">
      <c r="F73" s="35"/>
      <c r="G73" s="35"/>
      <c r="H73" s="22"/>
    </row>
    <row r="74" spans="3:8" ht="0" hidden="1" customHeight="1" x14ac:dyDescent="0.35">
      <c r="C74" s="22" t="s">
        <v>15</v>
      </c>
    </row>
    <row r="75" spans="3:8" ht="0" hidden="1" customHeight="1" x14ac:dyDescent="0.35">
      <c r="G75" s="22"/>
    </row>
    <row r="76" spans="3:8" ht="0" hidden="1" customHeight="1" x14ac:dyDescent="0.35">
      <c r="C76" s="27" t="s">
        <v>11</v>
      </c>
      <c r="D76" s="26"/>
      <c r="E76" s="26"/>
      <c r="F76" s="26"/>
      <c r="G76" s="26"/>
    </row>
    <row r="77" spans="3:8" ht="0" hidden="1" customHeight="1" x14ac:dyDescent="0.3">
      <c r="C77" s="28" t="s">
        <v>62</v>
      </c>
      <c r="D77" s="26"/>
      <c r="E77" s="26"/>
      <c r="F77" s="26"/>
      <c r="G77" s="26"/>
    </row>
    <row r="78" spans="3:8" ht="0" hidden="1" customHeight="1" x14ac:dyDescent="0.3">
      <c r="C78" s="28" t="s">
        <v>12</v>
      </c>
    </row>
    <row r="79" spans="3:8" ht="0" hidden="1" customHeight="1" x14ac:dyDescent="0.3">
      <c r="C79" s="69"/>
      <c r="D79" s="69"/>
      <c r="E79" s="69"/>
      <c r="F79" s="69"/>
      <c r="G79" s="69"/>
    </row>
    <row r="80" spans="3:8" ht="0" hidden="1" customHeight="1" x14ac:dyDescent="0.3">
      <c r="C80" s="69"/>
      <c r="D80" s="69"/>
      <c r="E80" s="69"/>
      <c r="F80" s="69"/>
      <c r="G80" s="69"/>
    </row>
    <row r="81" spans="3:7" ht="0" hidden="1" customHeight="1" x14ac:dyDescent="0.3">
      <c r="E81" s="35"/>
      <c r="F81" s="53"/>
      <c r="G81" s="53"/>
    </row>
    <row r="82" spans="3:7" ht="0" hidden="1" customHeight="1" x14ac:dyDescent="0.35">
      <c r="C82" s="54" t="s">
        <v>13</v>
      </c>
      <c r="D82" s="55"/>
      <c r="E82" s="35"/>
      <c r="F82" s="35"/>
      <c r="G82" s="35"/>
    </row>
    <row r="83" spans="3:7" ht="0" hidden="1" customHeight="1" x14ac:dyDescent="0.35">
      <c r="C83" s="22" t="s">
        <v>14</v>
      </c>
      <c r="F83" s="35"/>
      <c r="G83" s="35"/>
    </row>
    <row r="84" spans="3:7" ht="0" hidden="1" customHeight="1" x14ac:dyDescent="0.35">
      <c r="C84" s="22" t="s">
        <v>15</v>
      </c>
    </row>
    <row r="85" spans="3:7" ht="0" hidden="1" customHeight="1" x14ac:dyDescent="0.35">
      <c r="G8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D10:D57" name="Rango1"/>
    <protectedRange algorithmName="SHA-512" hashValue="ae/Js8yeMw6wHjGREqu83BjAYnjwv1NHxpvnTe57rDwDMNDPGlnZwgp89HjM7G0cg/2ItV/6+CjQlsfmX7La6g==" saltValue="fv5wd7mgDmwpGOJN+Z7vlA==" spinCount="100000" sqref="E10:E57 C10:C57" name="Rango1_2"/>
    <protectedRange algorithmName="SHA-512" hashValue="ae/Js8yeMw6wHjGREqu83BjAYnjwv1NHxpvnTe57rDwDMNDPGlnZwgp89HjM7G0cg/2ItV/6+CjQlsfmX7La6g==" saltValue="fv5wd7mgDmwpGOJN+Z7vlA==" spinCount="100000" sqref="G10:G57" name="Rango1_1_1_2"/>
  </protectedRanges>
  <mergeCells count="8">
    <mergeCell ref="C79:G80"/>
    <mergeCell ref="C1:G1"/>
    <mergeCell ref="C2:G2"/>
    <mergeCell ref="C69:G70"/>
    <mergeCell ref="G10:G21"/>
    <mergeCell ref="G22:G33"/>
    <mergeCell ref="G34:G45"/>
    <mergeCell ref="G46:G57"/>
  </mergeCells>
  <dataValidations count="1">
    <dataValidation type="textLength" allowBlank="1" showInputMessage="1" showErrorMessage="1" errorTitle="SOLO 2 DECIMALES" error="Por favor introduzca un valor con maximo 2 decimales" sqref="E10:E57" xr:uid="{5C824E16-90A8-497E-AB20-B249C6E8C909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EE0-3581-4D15-BFC8-A3F213F19E9D}">
  <dimension ref="A1:AG248"/>
  <sheetViews>
    <sheetView showGridLines="0" topLeftCell="E1" zoomScaleNormal="100" workbookViewId="0">
      <selection activeCell="I11" sqref="I11"/>
    </sheetView>
  </sheetViews>
  <sheetFormatPr baseColWidth="10" defaultColWidth="11.44140625" defaultRowHeight="13.2" x14ac:dyDescent="0.25"/>
  <cols>
    <col min="1" max="3" width="11.44140625" hidden="1" customWidth="1"/>
    <col min="4" max="4" width="10.33203125" hidden="1" customWidth="1"/>
    <col min="6" max="6" width="13.6640625" bestFit="1" customWidth="1"/>
    <col min="9" max="9" width="14.44140625" bestFit="1" customWidth="1"/>
    <col min="10" max="32" width="11.77734375" bestFit="1" customWidth="1"/>
    <col min="33" max="33" width="14.44140625" bestFit="1" customWidth="1"/>
    <col min="34" max="34" width="2.44140625" customWidth="1"/>
  </cols>
  <sheetData>
    <row r="1" spans="2:33" ht="23.4" x14ac:dyDescent="0.25">
      <c r="E1" s="76" t="s">
        <v>16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2:33" ht="23.4" x14ac:dyDescent="0.25">
      <c r="E2" s="76" t="s">
        <v>61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spans="2:33" ht="23.4" x14ac:dyDescent="0.25">
      <c r="E3" s="76" t="s">
        <v>3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2:33" ht="23.4" x14ac:dyDescent="0.25"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spans="2:33" ht="23.4" x14ac:dyDescent="0.25">
      <c r="E5" s="76" t="s">
        <v>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</row>
    <row r="6" spans="2:33" ht="23.4" x14ac:dyDescent="0.25">
      <c r="E6" s="56"/>
      <c r="F6" s="57"/>
      <c r="G6" s="57"/>
      <c r="H6" s="58"/>
      <c r="I6" s="62"/>
      <c r="J6" s="5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</row>
    <row r="7" spans="2:33" ht="15" thickBot="1" x14ac:dyDescent="0.3">
      <c r="E7" s="60"/>
      <c r="F7" s="60"/>
      <c r="G7" s="75"/>
      <c r="H7" s="75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</row>
    <row r="8" spans="2:33" ht="29.4" thickBot="1" x14ac:dyDescent="0.3">
      <c r="B8" s="63" t="s">
        <v>45</v>
      </c>
      <c r="C8" s="63" t="s">
        <v>55</v>
      </c>
      <c r="D8" s="63" t="s">
        <v>56</v>
      </c>
      <c r="E8" s="8"/>
      <c r="F8" s="9" t="s">
        <v>17</v>
      </c>
      <c r="G8" s="9" t="s">
        <v>18</v>
      </c>
      <c r="H8" s="10" t="s">
        <v>19</v>
      </c>
      <c r="I8" s="11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2" t="s">
        <v>27</v>
      </c>
      <c r="Q8" s="12" t="s">
        <v>28</v>
      </c>
      <c r="R8" s="12" t="s">
        <v>29</v>
      </c>
      <c r="S8" s="12" t="s">
        <v>30</v>
      </c>
      <c r="T8" s="12" t="s">
        <v>31</v>
      </c>
      <c r="U8" s="12" t="s">
        <v>32</v>
      </c>
      <c r="V8" s="12" t="s">
        <v>33</v>
      </c>
      <c r="W8" s="12" t="s">
        <v>34</v>
      </c>
      <c r="X8" s="12" t="s">
        <v>35</v>
      </c>
      <c r="Y8" s="12" t="s">
        <v>36</v>
      </c>
      <c r="Z8" s="12" t="s">
        <v>37</v>
      </c>
      <c r="AA8" s="12" t="s">
        <v>38</v>
      </c>
      <c r="AB8" s="12" t="s">
        <v>39</v>
      </c>
      <c r="AC8" s="12" t="s">
        <v>40</v>
      </c>
      <c r="AD8" s="12" t="s">
        <v>41</v>
      </c>
      <c r="AE8" s="12" t="s">
        <v>42</v>
      </c>
      <c r="AF8" s="13" t="s">
        <v>43</v>
      </c>
      <c r="AG8" s="14" t="s">
        <v>10</v>
      </c>
    </row>
    <row r="9" spans="2:33" ht="14.4" x14ac:dyDescent="0.25">
      <c r="B9">
        <f>+MONTH(E9)</f>
        <v>1</v>
      </c>
      <c r="C9">
        <f>+YEAR(E9)</f>
        <v>2027</v>
      </c>
      <c r="D9" t="str">
        <f>+_xlfn.CONCAT(B9:C9,G9)</f>
        <v>12027OR</v>
      </c>
      <c r="E9" s="67">
        <v>46388</v>
      </c>
      <c r="F9" s="72">
        <f>+AG13</f>
        <v>15171217.429842647</v>
      </c>
      <c r="G9" s="37" t="s">
        <v>57</v>
      </c>
      <c r="H9" s="37">
        <v>19</v>
      </c>
      <c r="I9" s="65">
        <v>19965.961486959182</v>
      </c>
      <c r="J9" s="65">
        <v>19620.25569240348</v>
      </c>
      <c r="K9" s="65">
        <v>19414.115981097399</v>
      </c>
      <c r="L9" s="65">
        <v>19356.877433493959</v>
      </c>
      <c r="M9" s="65">
        <v>19358.285364503921</v>
      </c>
      <c r="N9" s="65">
        <v>19689.037450255775</v>
      </c>
      <c r="O9" s="65">
        <v>20595.898568524961</v>
      </c>
      <c r="P9" s="65">
        <v>21039.504241846502</v>
      </c>
      <c r="Q9" s="65">
        <v>20088.393325596633</v>
      </c>
      <c r="R9" s="65">
        <v>18958.478688203271</v>
      </c>
      <c r="S9" s="65">
        <v>19202.535362465482</v>
      </c>
      <c r="T9" s="65">
        <v>19409.485207190395</v>
      </c>
      <c r="U9" s="65">
        <v>19245.924057713244</v>
      </c>
      <c r="V9" s="65">
        <v>19713.233564631224</v>
      </c>
      <c r="W9" s="65">
        <v>20731.208457781402</v>
      </c>
      <c r="X9" s="65">
        <v>22281.641714386053</v>
      </c>
      <c r="Y9" s="65">
        <v>24817.741001053764</v>
      </c>
      <c r="Z9" s="65">
        <v>25730.181093342842</v>
      </c>
      <c r="AA9" s="65">
        <v>25093.599439532722</v>
      </c>
      <c r="AB9" s="65">
        <v>24550.410992026544</v>
      </c>
      <c r="AC9" s="65">
        <v>23577.079197883664</v>
      </c>
      <c r="AD9" s="65">
        <v>22281.692171531864</v>
      </c>
      <c r="AE9" s="65">
        <v>21179.416730779798</v>
      </c>
      <c r="AF9" s="65">
        <v>20603.496000022995</v>
      </c>
      <c r="AG9" s="38">
        <f>ROUND(SUM(I9:AF9)*H9,2)</f>
        <v>9623584.6099999994</v>
      </c>
    </row>
    <row r="10" spans="2:33" ht="14.4" x14ac:dyDescent="0.25">
      <c r="B10">
        <f t="shared" ref="B10:B67" si="0">+MONTH(E10)</f>
        <v>1</v>
      </c>
      <c r="C10">
        <f t="shared" ref="C10:C67" si="1">+YEAR(E10)</f>
        <v>2027</v>
      </c>
      <c r="D10" t="str">
        <f t="shared" ref="D10:D12" si="2">+_xlfn.CONCAT(B10:C10,G10)</f>
        <v>12027SA</v>
      </c>
      <c r="E10" s="68">
        <v>46388</v>
      </c>
      <c r="F10" s="73"/>
      <c r="G10" s="39" t="s">
        <v>60</v>
      </c>
      <c r="H10" s="39">
        <v>5</v>
      </c>
      <c r="I10" s="65">
        <v>19961.154742037324</v>
      </c>
      <c r="J10" s="65">
        <v>19594.576477334078</v>
      </c>
      <c r="K10" s="65">
        <v>19369.063131849121</v>
      </c>
      <c r="L10" s="65">
        <v>19273.063324129194</v>
      </c>
      <c r="M10" s="65">
        <v>19236.889660855639</v>
      </c>
      <c r="N10" s="65">
        <v>19398.554219007565</v>
      </c>
      <c r="O10" s="65">
        <v>19939.732607769445</v>
      </c>
      <c r="P10" s="65">
        <v>19919.94911394587</v>
      </c>
      <c r="Q10" s="65">
        <v>19534.963784826672</v>
      </c>
      <c r="R10" s="65">
        <v>18991.67680938798</v>
      </c>
      <c r="S10" s="65">
        <v>18689.937647950079</v>
      </c>
      <c r="T10" s="65">
        <v>18805.861134872728</v>
      </c>
      <c r="U10" s="65">
        <v>18768.254287545278</v>
      </c>
      <c r="V10" s="65">
        <v>18491.781544509489</v>
      </c>
      <c r="W10" s="65">
        <v>18160.74851324255</v>
      </c>
      <c r="X10" s="65">
        <v>19608.376639333379</v>
      </c>
      <c r="Y10" s="65">
        <v>22324.102293490461</v>
      </c>
      <c r="Z10" s="65">
        <v>23809.613683262418</v>
      </c>
      <c r="AA10" s="65">
        <v>23640.023755334856</v>
      </c>
      <c r="AB10" s="65">
        <v>23346.661836740212</v>
      </c>
      <c r="AC10" s="65">
        <v>22574.954864583429</v>
      </c>
      <c r="AD10" s="65">
        <v>21380.827589327062</v>
      </c>
      <c r="AE10" s="65">
        <v>20359.647161846384</v>
      </c>
      <c r="AF10" s="65">
        <v>19790.507897077463</v>
      </c>
      <c r="AG10" s="40">
        <f>ROUND(SUM(I10:AF10)*H10,2)</f>
        <v>2424854.61</v>
      </c>
    </row>
    <row r="11" spans="2:33" ht="14.4" x14ac:dyDescent="0.25">
      <c r="B11">
        <f t="shared" si="0"/>
        <v>1</v>
      </c>
      <c r="C11">
        <f t="shared" si="1"/>
        <v>2027</v>
      </c>
      <c r="D11" t="str">
        <f t="shared" si="2"/>
        <v>12027DO</v>
      </c>
      <c r="E11" s="68">
        <v>46388</v>
      </c>
      <c r="F11" s="73"/>
      <c r="G11" s="41" t="s">
        <v>58</v>
      </c>
      <c r="H11" s="41">
        <v>5</v>
      </c>
      <c r="I11" s="65">
        <v>19079.333570063885</v>
      </c>
      <c r="J11" s="65">
        <v>18791.876685986572</v>
      </c>
      <c r="K11" s="65">
        <v>18602.103875636385</v>
      </c>
      <c r="L11" s="65">
        <v>18475.939706536752</v>
      </c>
      <c r="M11" s="65">
        <v>18467.268710947421</v>
      </c>
      <c r="N11" s="65">
        <v>18301.68380371893</v>
      </c>
      <c r="O11" s="65">
        <v>17909.625990840039</v>
      </c>
      <c r="P11" s="65">
        <v>18456.985714891314</v>
      </c>
      <c r="Q11" s="65">
        <v>18223.013740647031</v>
      </c>
      <c r="R11" s="65">
        <v>17911.821158758292</v>
      </c>
      <c r="S11" s="65">
        <v>17111.572316270125</v>
      </c>
      <c r="T11" s="65">
        <v>16724.083378644718</v>
      </c>
      <c r="U11" s="65">
        <v>16323.230285827638</v>
      </c>
      <c r="V11" s="65">
        <v>15628.196537332828</v>
      </c>
      <c r="W11" s="65">
        <v>14908.368919111002</v>
      </c>
      <c r="X11" s="65">
        <v>16399.547590849965</v>
      </c>
      <c r="Y11" s="65">
        <v>19306.882696780478</v>
      </c>
      <c r="Z11" s="65">
        <v>20873.873770560996</v>
      </c>
      <c r="AA11" s="65">
        <v>21094.895815401615</v>
      </c>
      <c r="AB11" s="65">
        <v>21045.770503354448</v>
      </c>
      <c r="AC11" s="65">
        <v>20502.418921833625</v>
      </c>
      <c r="AD11" s="65">
        <v>19905.256663504028</v>
      </c>
      <c r="AE11" s="65">
        <v>19405.893250591485</v>
      </c>
      <c r="AF11" s="65">
        <v>19024.744047659944</v>
      </c>
      <c r="AG11" s="40">
        <f>ROUND(SUM(I11:AF11)*H11,2)</f>
        <v>2212371.94</v>
      </c>
    </row>
    <row r="12" spans="2:33" ht="14.4" x14ac:dyDescent="0.25">
      <c r="B12">
        <f t="shared" si="0"/>
        <v>1</v>
      </c>
      <c r="C12">
        <f t="shared" si="1"/>
        <v>2027</v>
      </c>
      <c r="D12" t="str">
        <f t="shared" si="2"/>
        <v>12027FE</v>
      </c>
      <c r="E12" s="68">
        <v>46388</v>
      </c>
      <c r="F12" s="73"/>
      <c r="G12" s="42" t="s">
        <v>59</v>
      </c>
      <c r="H12" s="42">
        <v>2</v>
      </c>
      <c r="I12" s="65">
        <v>19408.966601327338</v>
      </c>
      <c r="J12" s="65">
        <v>19131.398495712463</v>
      </c>
      <c r="K12" s="65">
        <v>18957.290681524464</v>
      </c>
      <c r="L12" s="65">
        <v>18841.937907163869</v>
      </c>
      <c r="M12" s="65">
        <v>18828.979545590119</v>
      </c>
      <c r="N12" s="65">
        <v>18529.051743433141</v>
      </c>
      <c r="O12" s="65">
        <v>18130.126618878261</v>
      </c>
      <c r="P12" s="65">
        <v>18456.83120567094</v>
      </c>
      <c r="Q12" s="65">
        <v>20366.872269951753</v>
      </c>
      <c r="R12" s="65">
        <v>20894.739908765609</v>
      </c>
      <c r="S12" s="65">
        <v>19728.259088528481</v>
      </c>
      <c r="T12" s="65">
        <v>17785.792864796298</v>
      </c>
      <c r="U12" s="65">
        <v>16121.354999340125</v>
      </c>
      <c r="V12" s="65">
        <v>15354.743358602209</v>
      </c>
      <c r="W12" s="65">
        <v>15224.010108175949</v>
      </c>
      <c r="X12" s="65">
        <v>16744.939850119918</v>
      </c>
      <c r="Y12" s="65">
        <v>19572.679967247313</v>
      </c>
      <c r="Z12" s="65">
        <v>21166.977777762746</v>
      </c>
      <c r="AA12" s="65">
        <v>21353.816891649665</v>
      </c>
      <c r="AB12" s="65">
        <v>21325.078060504733</v>
      </c>
      <c r="AC12" s="65">
        <v>20701.025686452776</v>
      </c>
      <c r="AD12" s="65">
        <v>20027.969218453465</v>
      </c>
      <c r="AE12" s="65">
        <v>19476.230453815675</v>
      </c>
      <c r="AF12" s="65">
        <v>19074.060057178256</v>
      </c>
      <c r="AG12" s="43">
        <f>ROUND(SUM(I12:AF12)*H12,2)</f>
        <v>910406.27</v>
      </c>
    </row>
    <row r="13" spans="2:33" ht="15" thickBot="1" x14ac:dyDescent="0.3">
      <c r="B13">
        <f t="shared" si="0"/>
        <v>1</v>
      </c>
      <c r="C13">
        <f t="shared" si="1"/>
        <v>2027</v>
      </c>
      <c r="D13" t="str">
        <f>+_xlfn.CONCAT(E13,G13)</f>
        <v>46388TOTAL</v>
      </c>
      <c r="E13" s="68">
        <v>46388</v>
      </c>
      <c r="F13" s="61"/>
      <c r="G13" s="44" t="s">
        <v>10</v>
      </c>
      <c r="H13" s="44">
        <f>+SUM(H9:H12)</f>
        <v>31</v>
      </c>
      <c r="I13" s="45">
        <f t="shared" ref="I13:AF13" si="3">+SUMPRODUCT(I9:I12,$H9:$H12)</f>
        <v>613373.64301538526</v>
      </c>
      <c r="J13" s="45">
        <f t="shared" si="3"/>
        <v>602979.92096369434</v>
      </c>
      <c r="K13" s="45">
        <f t="shared" si="3"/>
        <v>596638.62004132709</v>
      </c>
      <c r="L13" s="45">
        <f t="shared" si="3"/>
        <v>594209.56220404268</v>
      </c>
      <c r="M13" s="45">
        <f t="shared" si="3"/>
        <v>593986.17287577002</v>
      </c>
      <c r="N13" s="45">
        <f t="shared" si="3"/>
        <v>599651.00515535846</v>
      </c>
      <c r="O13" s="45">
        <f t="shared" si="3"/>
        <v>616829.1190327782</v>
      </c>
      <c r="P13" s="45">
        <f t="shared" si="3"/>
        <v>628548.91715061141</v>
      </c>
      <c r="Q13" s="45">
        <f t="shared" si="3"/>
        <v>611203.10535360803</v>
      </c>
      <c r="R13" s="45">
        <f t="shared" si="3"/>
        <v>586518.06473412469</v>
      </c>
      <c r="S13" s="45">
        <f t="shared" si="3"/>
        <v>583312.23988500214</v>
      </c>
      <c r="T13" s="45">
        <f t="shared" si="3"/>
        <v>582001.52723379724</v>
      </c>
      <c r="U13" s="45">
        <f t="shared" si="3"/>
        <v>573372.68996209651</v>
      </c>
      <c r="V13" s="45">
        <f t="shared" si="3"/>
        <v>575860.8148544092</v>
      </c>
      <c r="W13" s="45">
        <f t="shared" si="3"/>
        <v>589686.56807596632</v>
      </c>
      <c r="X13" s="45">
        <f t="shared" si="3"/>
        <v>636880.69342449156</v>
      </c>
      <c r="Y13" s="45">
        <f t="shared" si="3"/>
        <v>718837.36390587082</v>
      </c>
      <c r="Z13" s="45">
        <f t="shared" si="3"/>
        <v>754624.83359815658</v>
      </c>
      <c r="AA13" s="45">
        <f t="shared" si="3"/>
        <v>743160.62098810344</v>
      </c>
      <c r="AB13" s="45">
        <f t="shared" si="3"/>
        <v>731070.1266699871</v>
      </c>
      <c r="AC13" s="45">
        <f t="shared" si="3"/>
        <v>704753.42506478052</v>
      </c>
      <c r="AD13" s="45">
        <f t="shared" si="3"/>
        <v>669838.51096016774</v>
      </c>
      <c r="AE13" s="45">
        <f t="shared" si="3"/>
        <v>640189.08085463685</v>
      </c>
      <c r="AF13" s="45">
        <f t="shared" si="3"/>
        <v>623690.8038384805</v>
      </c>
      <c r="AG13" s="46">
        <f>SUM(I13:AF13)</f>
        <v>15171217.429842647</v>
      </c>
    </row>
    <row r="14" spans="2:33" ht="14.4" x14ac:dyDescent="0.25">
      <c r="B14">
        <f t="shared" si="0"/>
        <v>2</v>
      </c>
      <c r="C14">
        <f t="shared" si="1"/>
        <v>2027</v>
      </c>
      <c r="D14" t="str">
        <f t="shared" ref="D14:D17" si="4">+_xlfn.CONCAT(B14:C14,G14)</f>
        <v>22027OR</v>
      </c>
      <c r="E14" s="67">
        <v>46419</v>
      </c>
      <c r="F14" s="72">
        <f>+AG18</f>
        <v>12711745.038709557</v>
      </c>
      <c r="G14" s="37" t="s">
        <v>57</v>
      </c>
      <c r="H14" s="37">
        <v>20</v>
      </c>
      <c r="I14" s="65">
        <v>18524.490958932576</v>
      </c>
      <c r="J14" s="65">
        <v>18157.623698001436</v>
      </c>
      <c r="K14" s="65">
        <v>17922.181824811501</v>
      </c>
      <c r="L14" s="65">
        <v>17850.941700916526</v>
      </c>
      <c r="M14" s="65">
        <v>17763.001825132356</v>
      </c>
      <c r="N14" s="65">
        <v>18012.801722603494</v>
      </c>
      <c r="O14" s="65">
        <v>18451.229102355188</v>
      </c>
      <c r="P14" s="65">
        <v>18327.723761521971</v>
      </c>
      <c r="Q14" s="65">
        <v>17170.883570123166</v>
      </c>
      <c r="R14" s="65">
        <v>15615.12601021601</v>
      </c>
      <c r="S14" s="65">
        <v>15639.705086929438</v>
      </c>
      <c r="T14" s="65">
        <v>16377.520389627951</v>
      </c>
      <c r="U14" s="65">
        <v>16828.280418909038</v>
      </c>
      <c r="V14" s="65">
        <v>18365.421206065155</v>
      </c>
      <c r="W14" s="65">
        <v>18529.449214857705</v>
      </c>
      <c r="X14" s="65">
        <v>19271.846537184261</v>
      </c>
      <c r="Y14" s="65">
        <v>21854.497509973007</v>
      </c>
      <c r="Z14" s="65">
        <v>23440.928208828678</v>
      </c>
      <c r="AA14" s="65">
        <v>23209.820620696428</v>
      </c>
      <c r="AB14" s="65">
        <v>22860.506557707318</v>
      </c>
      <c r="AC14" s="65">
        <v>21917.78138293216</v>
      </c>
      <c r="AD14" s="65">
        <v>20784.748532193731</v>
      </c>
      <c r="AE14" s="65">
        <v>19843.918846517008</v>
      </c>
      <c r="AF14" s="65">
        <v>19315.186112350617</v>
      </c>
      <c r="AG14" s="38">
        <f>+SUM(I14:AF14)*H14</f>
        <v>9120712.2959877346</v>
      </c>
    </row>
    <row r="15" spans="2:33" ht="14.4" x14ac:dyDescent="0.25">
      <c r="B15">
        <f t="shared" si="0"/>
        <v>2</v>
      </c>
      <c r="C15">
        <f t="shared" si="1"/>
        <v>2027</v>
      </c>
      <c r="D15" t="str">
        <f t="shared" si="4"/>
        <v>22027SA</v>
      </c>
      <c r="E15" s="68">
        <v>46419</v>
      </c>
      <c r="F15" s="73"/>
      <c r="G15" s="39" t="s">
        <v>60</v>
      </c>
      <c r="H15" s="39">
        <v>4</v>
      </c>
      <c r="I15" s="65">
        <v>18651.049353944152</v>
      </c>
      <c r="J15" s="65">
        <v>18309.440545954669</v>
      </c>
      <c r="K15" s="65">
        <v>18136.567486603046</v>
      </c>
      <c r="L15" s="65">
        <v>18043.27148711514</v>
      </c>
      <c r="M15" s="65">
        <v>18035.115329558452</v>
      </c>
      <c r="N15" s="65">
        <v>18309.578810885549</v>
      </c>
      <c r="O15" s="65">
        <v>19105.139722732361</v>
      </c>
      <c r="P15" s="65">
        <v>19438.47399894605</v>
      </c>
      <c r="Q15" s="65">
        <v>19523.217650166043</v>
      </c>
      <c r="R15" s="65">
        <v>18890.494809009251</v>
      </c>
      <c r="S15" s="65">
        <v>18650.608929354465</v>
      </c>
      <c r="T15" s="65">
        <v>19231.071982735433</v>
      </c>
      <c r="U15" s="65">
        <v>19314.026702516319</v>
      </c>
      <c r="V15" s="65">
        <v>20206.281527574858</v>
      </c>
      <c r="W15" s="65">
        <v>19984.080310611098</v>
      </c>
      <c r="X15" s="65">
        <v>20326.33392744961</v>
      </c>
      <c r="Y15" s="65">
        <v>22733.98935199769</v>
      </c>
      <c r="Z15" s="65">
        <v>23890.600169940779</v>
      </c>
      <c r="AA15" s="65">
        <v>23378.066576192476</v>
      </c>
      <c r="AB15" s="65">
        <v>22994.452582083672</v>
      </c>
      <c r="AC15" s="65">
        <v>22100.827723542403</v>
      </c>
      <c r="AD15" s="65">
        <v>20811.955247627819</v>
      </c>
      <c r="AE15" s="65">
        <v>19703.969116105945</v>
      </c>
      <c r="AF15" s="65">
        <v>19101.054542521801</v>
      </c>
      <c r="AG15" s="40">
        <f>+SUM(I15:AF15)*H15</f>
        <v>1915478.6715406762</v>
      </c>
    </row>
    <row r="16" spans="2:33" ht="14.4" x14ac:dyDescent="0.25">
      <c r="B16">
        <f t="shared" si="0"/>
        <v>2</v>
      </c>
      <c r="C16">
        <f t="shared" si="1"/>
        <v>2027</v>
      </c>
      <c r="D16" t="str">
        <f t="shared" si="4"/>
        <v>22027DO</v>
      </c>
      <c r="E16" s="68">
        <v>46419</v>
      </c>
      <c r="F16" s="73"/>
      <c r="G16" s="41" t="s">
        <v>58</v>
      </c>
      <c r="H16" s="41">
        <v>4</v>
      </c>
      <c r="I16" s="65">
        <v>18067.435170672266</v>
      </c>
      <c r="J16" s="65">
        <v>17775.931406484597</v>
      </c>
      <c r="K16" s="65">
        <v>17578.429470904288</v>
      </c>
      <c r="L16" s="65">
        <v>17449.189111164756</v>
      </c>
      <c r="M16" s="65">
        <v>17444.837008575385</v>
      </c>
      <c r="N16" s="65">
        <v>17271.481758620517</v>
      </c>
      <c r="O16" s="65">
        <v>16858.519639853126</v>
      </c>
      <c r="P16" s="65">
        <v>17258.216878855193</v>
      </c>
      <c r="Q16" s="65">
        <v>17082.428894711338</v>
      </c>
      <c r="R16" s="65">
        <v>16743.956446912547</v>
      </c>
      <c r="S16" s="65">
        <v>15920.69580489886</v>
      </c>
      <c r="T16" s="65">
        <v>15816.440968390176</v>
      </c>
      <c r="U16" s="65">
        <v>15492.721791583885</v>
      </c>
      <c r="V16" s="65">
        <v>15530.451391079376</v>
      </c>
      <c r="W16" s="65">
        <v>14686.699696931071</v>
      </c>
      <c r="X16" s="65">
        <v>15371.022869731431</v>
      </c>
      <c r="Y16" s="65">
        <v>18089.448237522098</v>
      </c>
      <c r="Z16" s="65">
        <v>19755.247387728799</v>
      </c>
      <c r="AA16" s="65">
        <v>20013.554810845249</v>
      </c>
      <c r="AB16" s="65">
        <v>20012.475322408718</v>
      </c>
      <c r="AC16" s="65">
        <v>19462.942604219803</v>
      </c>
      <c r="AD16" s="65">
        <v>18864.251526440217</v>
      </c>
      <c r="AE16" s="65">
        <v>18363.641374319006</v>
      </c>
      <c r="AF16" s="65">
        <v>17978.498222433831</v>
      </c>
      <c r="AG16" s="40">
        <f>+SUM(I16:AF16)*H16</f>
        <v>1675554.0711811464</v>
      </c>
    </row>
    <row r="17" spans="2:33" ht="14.4" x14ac:dyDescent="0.25">
      <c r="B17">
        <f t="shared" si="0"/>
        <v>2</v>
      </c>
      <c r="C17">
        <f t="shared" si="1"/>
        <v>2027</v>
      </c>
      <c r="D17" t="str">
        <f t="shared" si="4"/>
        <v>22027FE</v>
      </c>
      <c r="E17" s="68">
        <v>46419</v>
      </c>
      <c r="F17" s="73"/>
      <c r="G17" s="42" t="s">
        <v>59</v>
      </c>
      <c r="H17" s="42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43">
        <f>+SUM(I17:AF17)*H17</f>
        <v>0</v>
      </c>
    </row>
    <row r="18" spans="2:33" ht="15" thickBot="1" x14ac:dyDescent="0.3">
      <c r="B18">
        <f t="shared" si="0"/>
        <v>2</v>
      </c>
      <c r="C18">
        <f t="shared" si="1"/>
        <v>2027</v>
      </c>
      <c r="D18" t="str">
        <f>+_xlfn.CONCAT(E18,G18)</f>
        <v>46419TOTAL</v>
      </c>
      <c r="E18" s="68">
        <v>46419</v>
      </c>
      <c r="F18" s="61"/>
      <c r="G18" s="44" t="s">
        <v>10</v>
      </c>
      <c r="H18" s="44">
        <f>+SUM(H14:H17)</f>
        <v>28</v>
      </c>
      <c r="I18" s="45">
        <f t="shared" ref="I18:AF18" si="5">+SUMPRODUCT(I14:I17,$H14:$H17)</f>
        <v>517363.75727711723</v>
      </c>
      <c r="J18" s="45">
        <f t="shared" si="5"/>
        <v>507493.96176978579</v>
      </c>
      <c r="K18" s="45">
        <f t="shared" si="5"/>
        <v>501303.62432625936</v>
      </c>
      <c r="L18" s="45">
        <f t="shared" si="5"/>
        <v>498988.67641145014</v>
      </c>
      <c r="M18" s="45">
        <f t="shared" si="5"/>
        <v>497179.84585518244</v>
      </c>
      <c r="N18" s="45">
        <f t="shared" si="5"/>
        <v>502580.27673009416</v>
      </c>
      <c r="O18" s="45">
        <f t="shared" si="5"/>
        <v>512879.21949744574</v>
      </c>
      <c r="P18" s="45">
        <f t="shared" si="5"/>
        <v>513341.23874164443</v>
      </c>
      <c r="Q18" s="45">
        <f t="shared" si="5"/>
        <v>489840.25758197287</v>
      </c>
      <c r="R18" s="45">
        <f t="shared" si="5"/>
        <v>454840.32522800739</v>
      </c>
      <c r="S18" s="45">
        <f t="shared" si="5"/>
        <v>451079.32067560207</v>
      </c>
      <c r="T18" s="45">
        <f t="shared" si="5"/>
        <v>467740.45959706145</v>
      </c>
      <c r="U18" s="45">
        <f t="shared" si="5"/>
        <v>475792.60235458158</v>
      </c>
      <c r="V18" s="45">
        <f t="shared" si="5"/>
        <v>510255.35579592007</v>
      </c>
      <c r="W18" s="45">
        <f t="shared" si="5"/>
        <v>509272.1043273228</v>
      </c>
      <c r="X18" s="45">
        <f t="shared" si="5"/>
        <v>528226.35793240939</v>
      </c>
      <c r="Y18" s="45">
        <f t="shared" si="5"/>
        <v>600383.70055753924</v>
      </c>
      <c r="Z18" s="45">
        <f t="shared" si="5"/>
        <v>643401.95440725179</v>
      </c>
      <c r="AA18" s="45">
        <f t="shared" si="5"/>
        <v>637762.89796207938</v>
      </c>
      <c r="AB18" s="45">
        <f t="shared" si="5"/>
        <v>629237.84277211595</v>
      </c>
      <c r="AC18" s="45">
        <f t="shared" si="5"/>
        <v>604610.708969692</v>
      </c>
      <c r="AD18" s="45">
        <f t="shared" si="5"/>
        <v>574399.79774014675</v>
      </c>
      <c r="AE18" s="45">
        <f t="shared" si="5"/>
        <v>549148.81889204006</v>
      </c>
      <c r="AF18" s="45">
        <f t="shared" si="5"/>
        <v>534621.93330683489</v>
      </c>
      <c r="AG18" s="46">
        <f>SUM(I18:AF18)</f>
        <v>12711745.038709557</v>
      </c>
    </row>
    <row r="19" spans="2:33" ht="14.4" x14ac:dyDescent="0.25">
      <c r="B19">
        <f t="shared" si="0"/>
        <v>3</v>
      </c>
      <c r="C19">
        <f t="shared" si="1"/>
        <v>2027</v>
      </c>
      <c r="D19" t="str">
        <f t="shared" ref="D19:D22" si="6">+_xlfn.CONCAT(B19:C19,G19)</f>
        <v>32027OR</v>
      </c>
      <c r="E19" s="67">
        <v>46447</v>
      </c>
      <c r="F19" s="72">
        <f>+AG23</f>
        <v>14682660.101022808</v>
      </c>
      <c r="G19" s="37" t="s">
        <v>57</v>
      </c>
      <c r="H19" s="37">
        <v>20</v>
      </c>
      <c r="I19" s="65">
        <v>19319.794587020537</v>
      </c>
      <c r="J19" s="65">
        <v>18975.519941323924</v>
      </c>
      <c r="K19" s="65">
        <v>18767.012598205802</v>
      </c>
      <c r="L19" s="65">
        <v>18710.301673236048</v>
      </c>
      <c r="M19" s="65">
        <v>18701.265288618801</v>
      </c>
      <c r="N19" s="65">
        <v>19009.724898727967</v>
      </c>
      <c r="O19" s="65">
        <v>19807.360891182099</v>
      </c>
      <c r="P19" s="65">
        <v>20316.913197166061</v>
      </c>
      <c r="Q19" s="65">
        <v>19855.532721158299</v>
      </c>
      <c r="R19" s="65">
        <v>18865.095930733813</v>
      </c>
      <c r="S19" s="65">
        <v>19041.343011738099</v>
      </c>
      <c r="T19" s="65">
        <v>19152.849415564029</v>
      </c>
      <c r="U19" s="65">
        <v>18884.345752899884</v>
      </c>
      <c r="V19" s="65">
        <v>19363.291548124231</v>
      </c>
      <c r="W19" s="65">
        <v>20146.544521913653</v>
      </c>
      <c r="X19" s="65">
        <v>21811.104857908893</v>
      </c>
      <c r="Y19" s="65">
        <v>24017.670374108031</v>
      </c>
      <c r="Z19" s="65">
        <v>24909.800636952295</v>
      </c>
      <c r="AA19" s="65">
        <v>24300.655546557748</v>
      </c>
      <c r="AB19" s="65">
        <v>23824.588316160971</v>
      </c>
      <c r="AC19" s="65">
        <v>22861.783608124526</v>
      </c>
      <c r="AD19" s="65">
        <v>21589.221096008667</v>
      </c>
      <c r="AE19" s="65">
        <v>20509.113216552436</v>
      </c>
      <c r="AF19" s="65">
        <v>19939.316113276996</v>
      </c>
      <c r="AG19" s="38">
        <f>+SUM(I19:AF19)*H19</f>
        <v>9853602.9948652741</v>
      </c>
    </row>
    <row r="20" spans="2:33" ht="14.4" x14ac:dyDescent="0.25">
      <c r="B20">
        <f t="shared" si="0"/>
        <v>3</v>
      </c>
      <c r="C20">
        <f t="shared" si="1"/>
        <v>2027</v>
      </c>
      <c r="D20" t="str">
        <f t="shared" si="6"/>
        <v>32027SA</v>
      </c>
      <c r="E20" s="68">
        <v>46447</v>
      </c>
      <c r="F20" s="73"/>
      <c r="G20" s="39" t="s">
        <v>60</v>
      </c>
      <c r="H20" s="39">
        <v>4</v>
      </c>
      <c r="I20" s="65">
        <v>19352.368674886311</v>
      </c>
      <c r="J20" s="65">
        <v>18991.81917003241</v>
      </c>
      <c r="K20" s="65">
        <v>18771.56860577839</v>
      </c>
      <c r="L20" s="65">
        <v>18680.363748019721</v>
      </c>
      <c r="M20" s="65">
        <v>18635.666410732185</v>
      </c>
      <c r="N20" s="65">
        <v>18780.97914682077</v>
      </c>
      <c r="O20" s="65">
        <v>19234.308593679161</v>
      </c>
      <c r="P20" s="65">
        <v>19290.595271517537</v>
      </c>
      <c r="Q20" s="65">
        <v>18551.9754390749</v>
      </c>
      <c r="R20" s="65">
        <v>17573.330962245949</v>
      </c>
      <c r="S20" s="65">
        <v>17619.546169166439</v>
      </c>
      <c r="T20" s="65">
        <v>17659.213170366478</v>
      </c>
      <c r="U20" s="65">
        <v>17352.074611938224</v>
      </c>
      <c r="V20" s="65">
        <v>17432.516690962802</v>
      </c>
      <c r="W20" s="65">
        <v>17710.312344262944</v>
      </c>
      <c r="X20" s="65">
        <v>19269.21903980241</v>
      </c>
      <c r="Y20" s="65">
        <v>21655.748797094697</v>
      </c>
      <c r="Z20" s="65">
        <v>23111.580791253029</v>
      </c>
      <c r="AA20" s="65">
        <v>22952.624147041861</v>
      </c>
      <c r="AB20" s="65">
        <v>22727.844086671335</v>
      </c>
      <c r="AC20" s="65">
        <v>21965.352716026595</v>
      </c>
      <c r="AD20" s="65">
        <v>20783.833740516071</v>
      </c>
      <c r="AE20" s="65">
        <v>19774.199939568687</v>
      </c>
      <c r="AF20" s="65">
        <v>19212.545387670456</v>
      </c>
      <c r="AG20" s="40">
        <f>+SUM(I20:AF20)*H20</f>
        <v>1868358.3506205175</v>
      </c>
    </row>
    <row r="21" spans="2:33" ht="14.4" x14ac:dyDescent="0.25">
      <c r="B21">
        <f t="shared" si="0"/>
        <v>3</v>
      </c>
      <c r="C21">
        <f t="shared" si="1"/>
        <v>2027</v>
      </c>
      <c r="D21" t="str">
        <f t="shared" si="6"/>
        <v>32027DO</v>
      </c>
      <c r="E21" s="68">
        <v>46447</v>
      </c>
      <c r="F21" s="73"/>
      <c r="G21" s="41" t="s">
        <v>58</v>
      </c>
      <c r="H21" s="41">
        <v>4</v>
      </c>
      <c r="I21" s="65">
        <v>18672.503247314438</v>
      </c>
      <c r="J21" s="65">
        <v>18380.590226879896</v>
      </c>
      <c r="K21" s="65">
        <v>18180.915070722025</v>
      </c>
      <c r="L21" s="65">
        <v>18056.653013895761</v>
      </c>
      <c r="M21" s="65">
        <v>18019.948445993825</v>
      </c>
      <c r="N21" s="65">
        <v>17743.466775023931</v>
      </c>
      <c r="O21" s="65">
        <v>17183.986260672202</v>
      </c>
      <c r="P21" s="65">
        <v>16356.39549160633</v>
      </c>
      <c r="Q21" s="65">
        <v>16298.808532937983</v>
      </c>
      <c r="R21" s="65">
        <v>16223.86591865489</v>
      </c>
      <c r="S21" s="65">
        <v>16002.686337057232</v>
      </c>
      <c r="T21" s="65">
        <v>15557.041589935019</v>
      </c>
      <c r="U21" s="65">
        <v>14847.285860242569</v>
      </c>
      <c r="V21" s="65">
        <v>14274.548881003691</v>
      </c>
      <c r="W21" s="65">
        <v>14400.705104257795</v>
      </c>
      <c r="X21" s="65">
        <v>16015.8600986128</v>
      </c>
      <c r="Y21" s="65">
        <v>18560.657670408837</v>
      </c>
      <c r="Z21" s="65">
        <v>20156.520811855997</v>
      </c>
      <c r="AA21" s="65">
        <v>20397.013719231152</v>
      </c>
      <c r="AB21" s="65">
        <v>20430.440396548758</v>
      </c>
      <c r="AC21" s="65">
        <v>19857.639697295264</v>
      </c>
      <c r="AD21" s="65">
        <v>19263.331260532228</v>
      </c>
      <c r="AE21" s="65">
        <v>18754.8236164962</v>
      </c>
      <c r="AF21" s="65">
        <v>18378.477380002325</v>
      </c>
      <c r="AG21" s="40">
        <f>+SUM(I21:AF21)*H21</f>
        <v>1688056.6616287243</v>
      </c>
    </row>
    <row r="22" spans="2:33" ht="14.4" x14ac:dyDescent="0.25">
      <c r="B22">
        <f t="shared" si="0"/>
        <v>3</v>
      </c>
      <c r="C22">
        <f t="shared" si="1"/>
        <v>2027</v>
      </c>
      <c r="D22" t="str">
        <f t="shared" si="6"/>
        <v>32027FE</v>
      </c>
      <c r="E22" s="68">
        <v>46447</v>
      </c>
      <c r="F22" s="73"/>
      <c r="G22" s="42" t="s">
        <v>59</v>
      </c>
      <c r="H22" s="42">
        <v>3</v>
      </c>
      <c r="I22" s="65">
        <v>18742.816060075609</v>
      </c>
      <c r="J22" s="65">
        <v>18468.294935389815</v>
      </c>
      <c r="K22" s="65">
        <v>18288.429334668195</v>
      </c>
      <c r="L22" s="65">
        <v>18177.661048956696</v>
      </c>
      <c r="M22" s="65">
        <v>18150.382848495501</v>
      </c>
      <c r="N22" s="65">
        <v>17801.570894165678</v>
      </c>
      <c r="O22" s="65">
        <v>17277.928315172008</v>
      </c>
      <c r="P22" s="65">
        <v>16439.802803424034</v>
      </c>
      <c r="Q22" s="65">
        <v>16026.567031360042</v>
      </c>
      <c r="R22" s="65">
        <v>17179.594496783975</v>
      </c>
      <c r="S22" s="65">
        <v>16847.035786787666</v>
      </c>
      <c r="T22" s="65">
        <v>15014.093114026909</v>
      </c>
      <c r="U22" s="65">
        <v>14333.685377389978</v>
      </c>
      <c r="V22" s="65">
        <v>14357.020135810351</v>
      </c>
      <c r="W22" s="65">
        <v>14569.60996901794</v>
      </c>
      <c r="X22" s="65">
        <v>16204.100541921987</v>
      </c>
      <c r="Y22" s="65">
        <v>18685.19055141967</v>
      </c>
      <c r="Z22" s="65">
        <v>20298.07112847628</v>
      </c>
      <c r="AA22" s="65">
        <v>20492.527901063775</v>
      </c>
      <c r="AB22" s="65">
        <v>20559.361781391941</v>
      </c>
      <c r="AC22" s="65">
        <v>19938.957965332345</v>
      </c>
      <c r="AD22" s="65">
        <v>19279.825423607836</v>
      </c>
      <c r="AE22" s="65">
        <v>18735.08099432681</v>
      </c>
      <c r="AF22" s="65">
        <v>18346.422863696833</v>
      </c>
      <c r="AG22" s="43">
        <f>+SUM(I22:AF22)*H22</f>
        <v>1272642.0939082857</v>
      </c>
    </row>
    <row r="23" spans="2:33" ht="15" thickBot="1" x14ac:dyDescent="0.3">
      <c r="B23">
        <f t="shared" si="0"/>
        <v>3</v>
      </c>
      <c r="C23">
        <f t="shared" si="1"/>
        <v>2027</v>
      </c>
      <c r="D23" t="str">
        <f>+_xlfn.CONCAT(E23,G23)</f>
        <v>46447TOTAL</v>
      </c>
      <c r="E23" s="68">
        <v>46447</v>
      </c>
      <c r="F23" s="61"/>
      <c r="G23" s="44" t="s">
        <v>10</v>
      </c>
      <c r="H23" s="44">
        <f>+SUM(H19:H22)</f>
        <v>31</v>
      </c>
      <c r="I23" s="45">
        <f t="shared" ref="I23:AF23" si="7">+SUMPRODUCT(I19:I22,$H19:$H22)</f>
        <v>594723.82760944054</v>
      </c>
      <c r="J23" s="45">
        <f t="shared" si="7"/>
        <v>584404.92122029723</v>
      </c>
      <c r="K23" s="45">
        <f t="shared" si="7"/>
        <v>578015.47467412229</v>
      </c>
      <c r="L23" s="45">
        <f t="shared" si="7"/>
        <v>575687.08365925297</v>
      </c>
      <c r="M23" s="45">
        <f t="shared" si="7"/>
        <v>575098.9137447665</v>
      </c>
      <c r="N23" s="45">
        <f t="shared" si="7"/>
        <v>579696.99434443517</v>
      </c>
      <c r="O23" s="45">
        <f t="shared" si="7"/>
        <v>593654.18218656338</v>
      </c>
      <c r="P23" s="45">
        <f t="shared" si="7"/>
        <v>598245.63540608878</v>
      </c>
      <c r="Q23" s="45">
        <f t="shared" si="7"/>
        <v>584593.49140529765</v>
      </c>
      <c r="R23" s="45">
        <f t="shared" si="7"/>
        <v>564029.48962863151</v>
      </c>
      <c r="S23" s="45">
        <f t="shared" si="7"/>
        <v>565856.89762001962</v>
      </c>
      <c r="T23" s="45">
        <f t="shared" si="7"/>
        <v>560964.2866945673</v>
      </c>
      <c r="U23" s="45">
        <f t="shared" si="7"/>
        <v>549485.41307889076</v>
      </c>
      <c r="V23" s="45">
        <f t="shared" si="7"/>
        <v>557165.15365778166</v>
      </c>
      <c r="W23" s="45">
        <f t="shared" si="7"/>
        <v>575083.79013940995</v>
      </c>
      <c r="X23" s="45">
        <f t="shared" si="7"/>
        <v>625974.71533760463</v>
      </c>
      <c r="Y23" s="45">
        <f t="shared" si="7"/>
        <v>697274.60500643379</v>
      </c>
      <c r="Z23" s="45">
        <f t="shared" si="7"/>
        <v>732162.63253691094</v>
      </c>
      <c r="AA23" s="45">
        <f t="shared" si="7"/>
        <v>720889.24609943829</v>
      </c>
      <c r="AB23" s="45">
        <f t="shared" si="7"/>
        <v>710802.98960027564</v>
      </c>
      <c r="AC23" s="45">
        <f t="shared" si="7"/>
        <v>684344.51571177505</v>
      </c>
      <c r="AD23" s="45">
        <f t="shared" si="7"/>
        <v>649812.55819519004</v>
      </c>
      <c r="AE23" s="45">
        <f t="shared" si="7"/>
        <v>620503.60153828876</v>
      </c>
      <c r="AF23" s="45">
        <f t="shared" si="7"/>
        <v>604189.68192732148</v>
      </c>
      <c r="AG23" s="46">
        <f>SUM(I23:AF23)</f>
        <v>14682660.101022808</v>
      </c>
    </row>
    <row r="24" spans="2:33" ht="14.4" x14ac:dyDescent="0.25">
      <c r="B24">
        <f t="shared" si="0"/>
        <v>4</v>
      </c>
      <c r="C24">
        <f t="shared" si="1"/>
        <v>2027</v>
      </c>
      <c r="D24" t="str">
        <f t="shared" ref="D24:D27" si="8">+_xlfn.CONCAT(B24:C24,G24)</f>
        <v>42027OR</v>
      </c>
      <c r="E24" s="67">
        <v>46478</v>
      </c>
      <c r="F24" s="72">
        <f>+AG28</f>
        <v>14589508.732837586</v>
      </c>
      <c r="G24" s="37" t="s">
        <v>57</v>
      </c>
      <c r="H24" s="37">
        <v>22</v>
      </c>
      <c r="I24" s="65">
        <v>19779.416822582305</v>
      </c>
      <c r="J24" s="65">
        <v>19410.447753566259</v>
      </c>
      <c r="K24" s="65">
        <v>19171.64876968204</v>
      </c>
      <c r="L24" s="65">
        <v>19094.893519809124</v>
      </c>
      <c r="M24" s="65">
        <v>19007.991451027217</v>
      </c>
      <c r="N24" s="65">
        <v>19233.854384147158</v>
      </c>
      <c r="O24" s="65">
        <v>19593.147684625295</v>
      </c>
      <c r="P24" s="65">
        <v>19630.752183703069</v>
      </c>
      <c r="Q24" s="65">
        <v>19374.739338605603</v>
      </c>
      <c r="R24" s="65">
        <v>18371.67892835016</v>
      </c>
      <c r="S24" s="65">
        <v>18392.824089417405</v>
      </c>
      <c r="T24" s="65">
        <v>18807.658596809426</v>
      </c>
      <c r="U24" s="65">
        <v>18873.650861362905</v>
      </c>
      <c r="V24" s="65">
        <v>19074.592331743272</v>
      </c>
      <c r="W24" s="65">
        <v>20132.551251952827</v>
      </c>
      <c r="X24" s="65">
        <v>20804.958698727536</v>
      </c>
      <c r="Y24" s="65">
        <v>22915.683655370827</v>
      </c>
      <c r="Z24" s="65">
        <v>24783.12758561509</v>
      </c>
      <c r="AA24" s="65">
        <v>24504.024316774812</v>
      </c>
      <c r="AB24" s="65">
        <v>24124.409718552601</v>
      </c>
      <c r="AC24" s="65">
        <v>23174.344123163843</v>
      </c>
      <c r="AD24" s="65">
        <v>22041.966442389938</v>
      </c>
      <c r="AE24" s="65">
        <v>21101.431827246081</v>
      </c>
      <c r="AF24" s="65">
        <v>20569.323956346198</v>
      </c>
      <c r="AG24" s="38">
        <f>+SUM(I24:AF24)*H24</f>
        <v>10823320.602414561</v>
      </c>
    </row>
    <row r="25" spans="2:33" ht="14.4" x14ac:dyDescent="0.25">
      <c r="B25">
        <f t="shared" si="0"/>
        <v>4</v>
      </c>
      <c r="C25">
        <f t="shared" si="1"/>
        <v>2027</v>
      </c>
      <c r="D25" t="str">
        <f t="shared" si="8"/>
        <v>42027SA</v>
      </c>
      <c r="E25" s="68">
        <v>46478</v>
      </c>
      <c r="F25" s="73"/>
      <c r="G25" s="39" t="s">
        <v>60</v>
      </c>
      <c r="H25" s="39">
        <v>4</v>
      </c>
      <c r="I25" s="65">
        <v>19734.403916196374</v>
      </c>
      <c r="J25" s="65">
        <v>19391.375988760483</v>
      </c>
      <c r="K25" s="65">
        <v>19219.731820369881</v>
      </c>
      <c r="L25" s="65">
        <v>19130.659783209121</v>
      </c>
      <c r="M25" s="65">
        <v>19124.798878278263</v>
      </c>
      <c r="N25" s="65">
        <v>19379.274412544197</v>
      </c>
      <c r="O25" s="65">
        <v>20096.354250242934</v>
      </c>
      <c r="P25" s="65">
        <v>20582.261155472064</v>
      </c>
      <c r="Q25" s="65">
        <v>20542.621213899271</v>
      </c>
      <c r="R25" s="65">
        <v>19520.246341518432</v>
      </c>
      <c r="S25" s="65">
        <v>19559.203805830039</v>
      </c>
      <c r="T25" s="65">
        <v>19924.359941032759</v>
      </c>
      <c r="U25" s="65">
        <v>19773.402358600695</v>
      </c>
      <c r="V25" s="65">
        <v>20232.937489746488</v>
      </c>
      <c r="W25" s="65">
        <v>21048.775625253867</v>
      </c>
      <c r="X25" s="65">
        <v>21687.602723518896</v>
      </c>
      <c r="Y25" s="65">
        <v>23620.794789949505</v>
      </c>
      <c r="Z25" s="65">
        <v>25059.936650546268</v>
      </c>
      <c r="AA25" s="65">
        <v>24508.763618140074</v>
      </c>
      <c r="AB25" s="65">
        <v>24091.446126510724</v>
      </c>
      <c r="AC25" s="65">
        <v>23191.765955896728</v>
      </c>
      <c r="AD25" s="65">
        <v>21899.277814854548</v>
      </c>
      <c r="AE25" s="65">
        <v>20790.135855617977</v>
      </c>
      <c r="AF25" s="65">
        <v>20188.447378344208</v>
      </c>
      <c r="AG25" s="40">
        <f>+SUM(I25:AF25)*H25</f>
        <v>2009194.311577335</v>
      </c>
    </row>
    <row r="26" spans="2:33" ht="14.4" x14ac:dyDescent="0.25">
      <c r="B26">
        <f t="shared" si="0"/>
        <v>4</v>
      </c>
      <c r="C26">
        <f t="shared" si="1"/>
        <v>2027</v>
      </c>
      <c r="D26" t="str">
        <f t="shared" si="8"/>
        <v>42027DO</v>
      </c>
      <c r="E26" s="68">
        <v>46478</v>
      </c>
      <c r="F26" s="73"/>
      <c r="G26" s="41" t="s">
        <v>58</v>
      </c>
      <c r="H26" s="41">
        <v>4</v>
      </c>
      <c r="I26" s="65">
        <v>19138.495742594896</v>
      </c>
      <c r="J26" s="65">
        <v>18848.641740074076</v>
      </c>
      <c r="K26" s="65">
        <v>18645.821822440485</v>
      </c>
      <c r="L26" s="65">
        <v>18520.316718753355</v>
      </c>
      <c r="M26" s="65">
        <v>18510.507113607076</v>
      </c>
      <c r="N26" s="65">
        <v>18339.738520451836</v>
      </c>
      <c r="O26" s="65">
        <v>17858.214037165686</v>
      </c>
      <c r="P26" s="65">
        <v>17195.251157519437</v>
      </c>
      <c r="Q26" s="65">
        <v>17108.956619120378</v>
      </c>
      <c r="R26" s="65">
        <v>16806.571055092711</v>
      </c>
      <c r="S26" s="65">
        <v>16453.448188510854</v>
      </c>
      <c r="T26" s="65">
        <v>16501.346585892476</v>
      </c>
      <c r="U26" s="65">
        <v>15933.647740507979</v>
      </c>
      <c r="V26" s="65">
        <v>15506.177951905178</v>
      </c>
      <c r="W26" s="65">
        <v>16102.461494008545</v>
      </c>
      <c r="X26" s="65">
        <v>16707.313674758174</v>
      </c>
      <c r="Y26" s="65">
        <v>18955.240673257707</v>
      </c>
      <c r="Z26" s="65">
        <v>20913.315278437614</v>
      </c>
      <c r="AA26" s="65">
        <v>21123.605559421645</v>
      </c>
      <c r="AB26" s="65">
        <v>21087.82183560179</v>
      </c>
      <c r="AC26" s="65">
        <v>20537.496031636518</v>
      </c>
      <c r="AD26" s="65">
        <v>19945.851109853334</v>
      </c>
      <c r="AE26" s="65">
        <v>19443.027689589799</v>
      </c>
      <c r="AF26" s="65">
        <v>19065.186371220581</v>
      </c>
      <c r="AG26" s="40">
        <f>+SUM(I26:AF26)*H26</f>
        <v>1756993.8188456886</v>
      </c>
    </row>
    <row r="27" spans="2:33" ht="14.4" x14ac:dyDescent="0.25">
      <c r="B27">
        <f t="shared" si="0"/>
        <v>4</v>
      </c>
      <c r="C27">
        <f t="shared" si="1"/>
        <v>2027</v>
      </c>
      <c r="D27" t="str">
        <f t="shared" si="8"/>
        <v>42027FE</v>
      </c>
      <c r="E27" s="68">
        <v>46478</v>
      </c>
      <c r="F27" s="73"/>
      <c r="G27" s="42" t="s">
        <v>59</v>
      </c>
      <c r="H27" s="42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43">
        <f>+SUM(I27:AF27)*H27</f>
        <v>0</v>
      </c>
    </row>
    <row r="28" spans="2:33" ht="15" thickBot="1" x14ac:dyDescent="0.3">
      <c r="B28">
        <f t="shared" si="0"/>
        <v>4</v>
      </c>
      <c r="C28">
        <f t="shared" si="1"/>
        <v>2027</v>
      </c>
      <c r="D28" t="str">
        <f>+_xlfn.CONCAT(E28,G28)</f>
        <v>46478TOTAL</v>
      </c>
      <c r="E28" s="68">
        <v>46478</v>
      </c>
      <c r="F28" s="61"/>
      <c r="G28" s="44" t="s">
        <v>10</v>
      </c>
      <c r="H28" s="44">
        <f>+SUM(H24:H27)</f>
        <v>30</v>
      </c>
      <c r="I28" s="45">
        <f t="shared" ref="I28:AF28" si="9">+SUMPRODUCT(I24:I27,$H24:$H27)</f>
        <v>590638.76873197581</v>
      </c>
      <c r="J28" s="45">
        <f t="shared" si="9"/>
        <v>579989.92149379593</v>
      </c>
      <c r="K28" s="45">
        <f t="shared" si="9"/>
        <v>573238.48750424641</v>
      </c>
      <c r="L28" s="45">
        <f t="shared" si="9"/>
        <v>570691.56344365061</v>
      </c>
      <c r="M28" s="45">
        <f t="shared" si="9"/>
        <v>568717.03589014011</v>
      </c>
      <c r="N28" s="45">
        <f t="shared" si="9"/>
        <v>574020.84818322165</v>
      </c>
      <c r="O28" s="45">
        <f t="shared" si="9"/>
        <v>582867.52221139101</v>
      </c>
      <c r="P28" s="45">
        <f t="shared" si="9"/>
        <v>582986.5972934335</v>
      </c>
      <c r="Q28" s="45">
        <f t="shared" si="9"/>
        <v>576850.57678140188</v>
      </c>
      <c r="R28" s="45">
        <f t="shared" si="9"/>
        <v>549484.20601014805</v>
      </c>
      <c r="S28" s="45">
        <f t="shared" si="9"/>
        <v>548692.7379445465</v>
      </c>
      <c r="T28" s="45">
        <f t="shared" si="9"/>
        <v>559471.31523750839</v>
      </c>
      <c r="U28" s="45">
        <f t="shared" si="9"/>
        <v>558048.51934641856</v>
      </c>
      <c r="V28" s="45">
        <f t="shared" si="9"/>
        <v>562597.4930649586</v>
      </c>
      <c r="W28" s="45">
        <f t="shared" si="9"/>
        <v>591521.07602001191</v>
      </c>
      <c r="X28" s="45">
        <f t="shared" si="9"/>
        <v>611288.75696511404</v>
      </c>
      <c r="Y28" s="45">
        <f t="shared" si="9"/>
        <v>674449.18227098708</v>
      </c>
      <c r="Z28" s="45">
        <f t="shared" si="9"/>
        <v>729121.81459946744</v>
      </c>
      <c r="AA28" s="45">
        <f t="shared" si="9"/>
        <v>721618.01167929277</v>
      </c>
      <c r="AB28" s="45">
        <f t="shared" si="9"/>
        <v>711454.08565660717</v>
      </c>
      <c r="AC28" s="45">
        <f t="shared" si="9"/>
        <v>684752.61865973752</v>
      </c>
      <c r="AD28" s="45">
        <f t="shared" si="9"/>
        <v>652303.77743141016</v>
      </c>
      <c r="AE28" s="45">
        <f t="shared" si="9"/>
        <v>625164.15438024478</v>
      </c>
      <c r="AF28" s="45">
        <f t="shared" si="9"/>
        <v>609539.6620378755</v>
      </c>
      <c r="AG28" s="46">
        <f>SUM(I28:AF28)</f>
        <v>14589508.732837586</v>
      </c>
    </row>
    <row r="29" spans="2:33" ht="14.4" x14ac:dyDescent="0.25">
      <c r="B29">
        <f t="shared" si="0"/>
        <v>5</v>
      </c>
      <c r="C29">
        <f t="shared" si="1"/>
        <v>2027</v>
      </c>
      <c r="D29" t="str">
        <f t="shared" ref="D29:D32" si="10">+_xlfn.CONCAT(B29:C29,G29)</f>
        <v>52027OR</v>
      </c>
      <c r="E29" s="67">
        <v>46508</v>
      </c>
      <c r="F29" s="72">
        <f>+AG33</f>
        <v>15388918.594323084</v>
      </c>
      <c r="G29" s="37" t="s">
        <v>57</v>
      </c>
      <c r="H29" s="37">
        <v>19</v>
      </c>
      <c r="I29" s="65">
        <v>20298.446834767627</v>
      </c>
      <c r="J29" s="65">
        <v>19951.723188609041</v>
      </c>
      <c r="K29" s="65">
        <v>19740.088879553321</v>
      </c>
      <c r="L29" s="65">
        <v>19680.723575804965</v>
      </c>
      <c r="M29" s="65">
        <v>19668.300696256894</v>
      </c>
      <c r="N29" s="65">
        <v>19948.333853298092</v>
      </c>
      <c r="O29" s="65">
        <v>20690.161082024253</v>
      </c>
      <c r="P29" s="65">
        <v>20837.713628974543</v>
      </c>
      <c r="Q29" s="65">
        <v>19902.658795198291</v>
      </c>
      <c r="R29" s="65">
        <v>19610.701828885311</v>
      </c>
      <c r="S29" s="65">
        <v>20606.82861048347</v>
      </c>
      <c r="T29" s="65">
        <v>21187.016743228403</v>
      </c>
      <c r="U29" s="65">
        <v>21065.199102882096</v>
      </c>
      <c r="V29" s="65">
        <v>21831.056555780771</v>
      </c>
      <c r="W29" s="65">
        <v>22256.043351666634</v>
      </c>
      <c r="X29" s="65">
        <v>22921.375446862163</v>
      </c>
      <c r="Y29" s="65">
        <v>24220.365326866489</v>
      </c>
      <c r="Z29" s="65">
        <v>25910.285895151061</v>
      </c>
      <c r="AA29" s="65">
        <v>25322.891647586639</v>
      </c>
      <c r="AB29" s="65">
        <v>24821.369146839475</v>
      </c>
      <c r="AC29" s="65">
        <v>23851.967595943232</v>
      </c>
      <c r="AD29" s="65">
        <v>22575.710837245759</v>
      </c>
      <c r="AE29" s="65">
        <v>21493.352636284526</v>
      </c>
      <c r="AF29" s="65">
        <v>20921.066397113253</v>
      </c>
      <c r="AG29" s="38">
        <f>+SUM(I29:AF29)*H29</f>
        <v>9866954.2514888197</v>
      </c>
    </row>
    <row r="30" spans="2:33" ht="14.4" x14ac:dyDescent="0.25">
      <c r="B30">
        <f t="shared" si="0"/>
        <v>5</v>
      </c>
      <c r="C30">
        <f t="shared" si="1"/>
        <v>2027</v>
      </c>
      <c r="D30" t="str">
        <f t="shared" si="10"/>
        <v>52027SA</v>
      </c>
      <c r="E30" s="68">
        <v>46508</v>
      </c>
      <c r="F30" s="73"/>
      <c r="G30" s="39" t="s">
        <v>60</v>
      </c>
      <c r="H30" s="39">
        <v>4</v>
      </c>
      <c r="I30" s="65">
        <v>20288.088278980373</v>
      </c>
      <c r="J30" s="65">
        <v>19926.579402297386</v>
      </c>
      <c r="K30" s="65">
        <v>19706.934228167825</v>
      </c>
      <c r="L30" s="65">
        <v>19616.211728268405</v>
      </c>
      <c r="M30" s="65">
        <v>19568.118084932707</v>
      </c>
      <c r="N30" s="65">
        <v>19682.316282290019</v>
      </c>
      <c r="O30" s="65">
        <v>20075.264313423206</v>
      </c>
      <c r="P30" s="65">
        <v>19762.100977833805</v>
      </c>
      <c r="Q30" s="65">
        <v>18540.933088231861</v>
      </c>
      <c r="R30" s="65">
        <v>18205.514735265984</v>
      </c>
      <c r="S30" s="65">
        <v>19121.998315445875</v>
      </c>
      <c r="T30" s="65">
        <v>19571.873730174761</v>
      </c>
      <c r="U30" s="65">
        <v>19457.262204265397</v>
      </c>
      <c r="V30" s="65">
        <v>19840.031076951418</v>
      </c>
      <c r="W30" s="65">
        <v>19752.919602497146</v>
      </c>
      <c r="X30" s="65">
        <v>20309.790403096937</v>
      </c>
      <c r="Y30" s="65">
        <v>21789.534474298911</v>
      </c>
      <c r="Z30" s="65">
        <v>24047.999535632756</v>
      </c>
      <c r="AA30" s="65">
        <v>23919.406949856042</v>
      </c>
      <c r="AB30" s="65">
        <v>23673.063902191119</v>
      </c>
      <c r="AC30" s="65">
        <v>22906.150664786896</v>
      </c>
      <c r="AD30" s="65">
        <v>21719.03152152033</v>
      </c>
      <c r="AE30" s="65">
        <v>20704.096367209233</v>
      </c>
      <c r="AF30" s="65">
        <v>20143.263860100764</v>
      </c>
      <c r="AG30" s="40">
        <f>+SUM(I30:AF30)*H30</f>
        <v>1969313.9349108767</v>
      </c>
    </row>
    <row r="31" spans="2:33" ht="14.4" x14ac:dyDescent="0.25">
      <c r="B31">
        <f t="shared" si="0"/>
        <v>5</v>
      </c>
      <c r="C31">
        <f t="shared" si="1"/>
        <v>2027</v>
      </c>
      <c r="D31" t="str">
        <f t="shared" si="10"/>
        <v>52027DO</v>
      </c>
      <c r="E31" s="68">
        <v>46508</v>
      </c>
      <c r="F31" s="73"/>
      <c r="G31" s="41" t="s">
        <v>58</v>
      </c>
      <c r="H31" s="41">
        <v>5</v>
      </c>
      <c r="I31" s="65">
        <v>19465.166683811127</v>
      </c>
      <c r="J31" s="65">
        <v>19179.542416280063</v>
      </c>
      <c r="K31" s="65">
        <v>18975.624126833412</v>
      </c>
      <c r="L31" s="65">
        <v>18853.478736183999</v>
      </c>
      <c r="M31" s="65">
        <v>18841.956314256735</v>
      </c>
      <c r="N31" s="65">
        <v>18663.309627949639</v>
      </c>
      <c r="O31" s="65">
        <v>18134.698477399717</v>
      </c>
      <c r="P31" s="65">
        <v>17053.230168292423</v>
      </c>
      <c r="Q31" s="65">
        <v>16372.970040810649</v>
      </c>
      <c r="R31" s="65">
        <v>16216.279482280754</v>
      </c>
      <c r="S31" s="65">
        <v>16719.9245816681</v>
      </c>
      <c r="T31" s="65">
        <v>16724.841205730416</v>
      </c>
      <c r="U31" s="65">
        <v>16230.168589549838</v>
      </c>
      <c r="V31" s="65">
        <v>16663.869825424714</v>
      </c>
      <c r="W31" s="65">
        <v>16525.82260696053</v>
      </c>
      <c r="X31" s="65">
        <v>17133.421783041034</v>
      </c>
      <c r="Y31" s="65">
        <v>18805.487539061272</v>
      </c>
      <c r="Z31" s="65">
        <v>21169.441807305804</v>
      </c>
      <c r="AA31" s="65">
        <v>21413.071023412253</v>
      </c>
      <c r="AB31" s="65">
        <v>21403.403033988754</v>
      </c>
      <c r="AC31" s="65">
        <v>20863.407601480692</v>
      </c>
      <c r="AD31" s="65">
        <v>20283.555251493905</v>
      </c>
      <c r="AE31" s="65">
        <v>19785.053949450565</v>
      </c>
      <c r="AF31" s="65">
        <v>19413.591797849207</v>
      </c>
      <c r="AG31" s="40">
        <f>+SUM(I31:AF31)*H31</f>
        <v>2224456.5833525783</v>
      </c>
    </row>
    <row r="32" spans="2:33" ht="14.4" x14ac:dyDescent="0.25">
      <c r="B32">
        <f t="shared" si="0"/>
        <v>5</v>
      </c>
      <c r="C32">
        <f t="shared" si="1"/>
        <v>2027</v>
      </c>
      <c r="D32" t="str">
        <f t="shared" si="10"/>
        <v>52027FE</v>
      </c>
      <c r="E32" s="68">
        <v>46508</v>
      </c>
      <c r="F32" s="73"/>
      <c r="G32" s="42" t="s">
        <v>59</v>
      </c>
      <c r="H32" s="42">
        <v>3</v>
      </c>
      <c r="I32" s="65">
        <v>19649.793542457119</v>
      </c>
      <c r="J32" s="65">
        <v>19373.188598774461</v>
      </c>
      <c r="K32" s="65">
        <v>19189.564459634843</v>
      </c>
      <c r="L32" s="65">
        <v>19079.688372716162</v>
      </c>
      <c r="M32" s="65">
        <v>19046.597418064324</v>
      </c>
      <c r="N32" s="65">
        <v>18663.947723689445</v>
      </c>
      <c r="O32" s="65">
        <v>18056.277043500704</v>
      </c>
      <c r="P32" s="65">
        <v>16843.061881263202</v>
      </c>
      <c r="Q32" s="65">
        <v>15814.798910948521</v>
      </c>
      <c r="R32" s="65">
        <v>15654.800910841601</v>
      </c>
      <c r="S32" s="65">
        <v>16213.80768734328</v>
      </c>
      <c r="T32" s="65">
        <v>15909.254418532248</v>
      </c>
      <c r="U32" s="65">
        <v>16235.654836928778</v>
      </c>
      <c r="V32" s="65">
        <v>16687.033520255922</v>
      </c>
      <c r="W32" s="65">
        <v>16525.485395538126</v>
      </c>
      <c r="X32" s="65">
        <v>17155.698972966857</v>
      </c>
      <c r="Y32" s="65">
        <v>18724.849059920758</v>
      </c>
      <c r="Z32" s="65">
        <v>21165.49425330438</v>
      </c>
      <c r="AA32" s="65">
        <v>21391.676081786572</v>
      </c>
      <c r="AB32" s="65">
        <v>21455.32218420328</v>
      </c>
      <c r="AC32" s="65">
        <v>20834.648477697556</v>
      </c>
      <c r="AD32" s="65">
        <v>20175.623291686992</v>
      </c>
      <c r="AE32" s="65">
        <v>19633.949641989893</v>
      </c>
      <c r="AF32" s="65">
        <v>19251.05817289112</v>
      </c>
      <c r="AG32" s="43">
        <f>+SUM(I32:AF32)*H32</f>
        <v>1328193.8245708086</v>
      </c>
    </row>
    <row r="33" spans="2:33" ht="15" thickBot="1" x14ac:dyDescent="0.3">
      <c r="B33">
        <f t="shared" si="0"/>
        <v>5</v>
      </c>
      <c r="C33">
        <f t="shared" si="1"/>
        <v>2027</v>
      </c>
      <c r="D33" t="str">
        <f>+_xlfn.CONCAT(E33,G33)</f>
        <v>46508TOTAL</v>
      </c>
      <c r="E33" s="68">
        <v>46508</v>
      </c>
      <c r="F33" s="61"/>
      <c r="G33" s="44" t="s">
        <v>10</v>
      </c>
      <c r="H33" s="44">
        <f>+SUM(H29:H32)</f>
        <v>31</v>
      </c>
      <c r="I33" s="45">
        <f t="shared" ref="I33:AF33" si="11">+SUMPRODUCT(I29:I32,$H29:$H32)</f>
        <v>623098.05702293338</v>
      </c>
      <c r="J33" s="45">
        <f t="shared" si="11"/>
        <v>612806.33607048495</v>
      </c>
      <c r="K33" s="45">
        <f t="shared" si="11"/>
        <v>606336.23963725602</v>
      </c>
      <c r="L33" s="45">
        <f t="shared" si="11"/>
        <v>603905.05365243636</v>
      </c>
      <c r="M33" s="45">
        <f t="shared" si="11"/>
        <v>603319.75939408853</v>
      </c>
      <c r="N33" s="45">
        <f t="shared" si="11"/>
        <v>607055.99965264043</v>
      </c>
      <c r="O33" s="45">
        <f t="shared" si="11"/>
        <v>618256.44132965442</v>
      </c>
      <c r="P33" s="45">
        <f t="shared" si="11"/>
        <v>610760.29934710322</v>
      </c>
      <c r="Q33" s="45">
        <f t="shared" si="11"/>
        <v>581623.49639859376</v>
      </c>
      <c r="R33" s="45">
        <f t="shared" si="11"/>
        <v>573471.19383381342</v>
      </c>
      <c r="S33" s="45">
        <f t="shared" si="11"/>
        <v>600258.78283133986</v>
      </c>
      <c r="T33" s="45">
        <f t="shared" si="11"/>
        <v>612192.78232628747</v>
      </c>
      <c r="U33" s="45">
        <f t="shared" si="11"/>
        <v>607925.63923035702</v>
      </c>
      <c r="V33" s="45">
        <f t="shared" si="11"/>
        <v>627530.64855553175</v>
      </c>
      <c r="W33" s="45">
        <f t="shared" si="11"/>
        <v>634082.07131307165</v>
      </c>
      <c r="X33" s="45">
        <f t="shared" si="11"/>
        <v>653879.50093687454</v>
      </c>
      <c r="Y33" s="45">
        <f t="shared" si="11"/>
        <v>697547.06398272759</v>
      </c>
      <c r="Z33" s="45">
        <f t="shared" si="11"/>
        <v>757831.12194684334</v>
      </c>
      <c r="AA33" s="45">
        <f t="shared" si="11"/>
        <v>748052.95246599126</v>
      </c>
      <c r="AB33" s="45">
        <f t="shared" si="11"/>
        <v>737681.25112126814</v>
      </c>
      <c r="AC33" s="45">
        <f t="shared" si="11"/>
        <v>711632.97042256512</v>
      </c>
      <c r="AD33" s="45">
        <f t="shared" si="11"/>
        <v>677759.27812628122</v>
      </c>
      <c r="AE33" s="45">
        <f t="shared" si="11"/>
        <v>649017.20423146547</v>
      </c>
      <c r="AF33" s="45">
        <f t="shared" si="11"/>
        <v>632894.45049347426</v>
      </c>
      <c r="AG33" s="46">
        <f>SUM(I33:AF33)</f>
        <v>15388918.594323084</v>
      </c>
    </row>
    <row r="34" spans="2:33" ht="14.4" x14ac:dyDescent="0.25">
      <c r="B34">
        <f t="shared" si="0"/>
        <v>6</v>
      </c>
      <c r="C34">
        <f t="shared" si="1"/>
        <v>2027</v>
      </c>
      <c r="D34" t="str">
        <f t="shared" ref="D34:D37" si="12">+_xlfn.CONCAT(B34:C34,G34)</f>
        <v>62027OR</v>
      </c>
      <c r="E34" s="67">
        <v>46539</v>
      </c>
      <c r="F34" s="72">
        <f>+AG38</f>
        <v>17759558.483149383</v>
      </c>
      <c r="G34" s="37" t="s">
        <v>57</v>
      </c>
      <c r="H34" s="37">
        <v>21</v>
      </c>
      <c r="I34" s="65">
        <v>23885.397592256213</v>
      </c>
      <c r="J34" s="65">
        <v>23538.175065611496</v>
      </c>
      <c r="K34" s="65">
        <v>23326.196075457672</v>
      </c>
      <c r="L34" s="65">
        <v>23267.752526865523</v>
      </c>
      <c r="M34" s="65">
        <v>23252.812312851795</v>
      </c>
      <c r="N34" s="65">
        <v>23539.181017467345</v>
      </c>
      <c r="O34" s="65">
        <v>24309.207793518377</v>
      </c>
      <c r="P34" s="65">
        <v>24919.934008428892</v>
      </c>
      <c r="Q34" s="65">
        <v>24678.694345112908</v>
      </c>
      <c r="R34" s="65">
        <v>23456.049201091453</v>
      </c>
      <c r="S34" s="65">
        <v>23683.168180858025</v>
      </c>
      <c r="T34" s="65">
        <v>24170.985898288076</v>
      </c>
      <c r="U34" s="65">
        <v>23621.792588447202</v>
      </c>
      <c r="V34" s="65">
        <v>24971.160797737997</v>
      </c>
      <c r="W34" s="65">
        <v>26560.265645259642</v>
      </c>
      <c r="X34" s="65">
        <v>28127.645638439284</v>
      </c>
      <c r="Y34" s="65">
        <v>28931.631451954116</v>
      </c>
      <c r="Z34" s="65">
        <v>29557.236114043921</v>
      </c>
      <c r="AA34" s="65">
        <v>28901.596288025728</v>
      </c>
      <c r="AB34" s="65">
        <v>28414.553422480374</v>
      </c>
      <c r="AC34" s="65">
        <v>27444.66218682846</v>
      </c>
      <c r="AD34" s="65">
        <v>26166.042444780604</v>
      </c>
      <c r="AE34" s="65">
        <v>25082.321895612735</v>
      </c>
      <c r="AF34" s="65">
        <v>24510.12627922307</v>
      </c>
      <c r="AG34" s="38">
        <f>+SUM(I34:AF34)*H34</f>
        <v>12774648.364183461</v>
      </c>
    </row>
    <row r="35" spans="2:33" ht="14.4" x14ac:dyDescent="0.25">
      <c r="B35">
        <f t="shared" si="0"/>
        <v>6</v>
      </c>
      <c r="C35">
        <f t="shared" si="1"/>
        <v>2027</v>
      </c>
      <c r="D35" t="str">
        <f t="shared" si="12"/>
        <v>62027SA</v>
      </c>
      <c r="E35" s="68">
        <v>46539</v>
      </c>
      <c r="F35" s="73"/>
      <c r="G35" s="39" t="s">
        <v>60</v>
      </c>
      <c r="H35" s="39">
        <v>4</v>
      </c>
      <c r="I35" s="65">
        <v>23896.453142446349</v>
      </c>
      <c r="J35" s="65">
        <v>23534.289978435292</v>
      </c>
      <c r="K35" s="65">
        <v>23313.591503497169</v>
      </c>
      <c r="L35" s="65">
        <v>23220.597450434245</v>
      </c>
      <c r="M35" s="65">
        <v>23169.988285908112</v>
      </c>
      <c r="N35" s="65">
        <v>23288.530977641101</v>
      </c>
      <c r="O35" s="65">
        <v>23709.648634522047</v>
      </c>
      <c r="P35" s="65">
        <v>23861.547180238471</v>
      </c>
      <c r="Q35" s="65">
        <v>23334.41089645763</v>
      </c>
      <c r="R35" s="65">
        <v>22066.131429532077</v>
      </c>
      <c r="S35" s="65">
        <v>22216.013308787966</v>
      </c>
      <c r="T35" s="65">
        <v>22573.558177012441</v>
      </c>
      <c r="U35" s="65">
        <v>22030.445802206232</v>
      </c>
      <c r="V35" s="65">
        <v>22993.166608882253</v>
      </c>
      <c r="W35" s="65">
        <v>24069.529364826245</v>
      </c>
      <c r="X35" s="65">
        <v>25530.299770634214</v>
      </c>
      <c r="Y35" s="65">
        <v>26516.466273260943</v>
      </c>
      <c r="Z35" s="65">
        <v>27712.005094194537</v>
      </c>
      <c r="AA35" s="65">
        <v>27515.153672528279</v>
      </c>
      <c r="AB35" s="65">
        <v>27284.411954688534</v>
      </c>
      <c r="AC35" s="65">
        <v>26515.218279752036</v>
      </c>
      <c r="AD35" s="65">
        <v>25323.414385522323</v>
      </c>
      <c r="AE35" s="65">
        <v>24303.144589483025</v>
      </c>
      <c r="AF35" s="65">
        <v>23741.281277265734</v>
      </c>
      <c r="AG35" s="40">
        <f>+SUM(I35:AF35)*H35</f>
        <v>2326877.1921526296</v>
      </c>
    </row>
    <row r="36" spans="2:33" ht="14.4" x14ac:dyDescent="0.25">
      <c r="B36">
        <f t="shared" si="0"/>
        <v>6</v>
      </c>
      <c r="C36">
        <f t="shared" si="1"/>
        <v>2027</v>
      </c>
      <c r="D36" t="str">
        <f t="shared" si="12"/>
        <v>62027DO</v>
      </c>
      <c r="E36" s="68">
        <v>46539</v>
      </c>
      <c r="F36" s="73"/>
      <c r="G36" s="41" t="s">
        <v>58</v>
      </c>
      <c r="H36" s="41">
        <v>4</v>
      </c>
      <c r="I36" s="65">
        <v>23054.397645305115</v>
      </c>
      <c r="J36" s="65">
        <v>22766.666323910795</v>
      </c>
      <c r="K36" s="65">
        <v>22561.901996946224</v>
      </c>
      <c r="L36" s="65">
        <v>22438.650620956672</v>
      </c>
      <c r="M36" s="65">
        <v>22428.828794802699</v>
      </c>
      <c r="N36" s="65">
        <v>22249.987542378207</v>
      </c>
      <c r="O36" s="65">
        <v>21740.453360927488</v>
      </c>
      <c r="P36" s="65">
        <v>20872.106130172207</v>
      </c>
      <c r="Q36" s="65">
        <v>20296.962114443915</v>
      </c>
      <c r="R36" s="65">
        <v>19739.364089503084</v>
      </c>
      <c r="S36" s="65">
        <v>19749.276523331959</v>
      </c>
      <c r="T36" s="65">
        <v>19194.926657391683</v>
      </c>
      <c r="U36" s="65">
        <v>18712.048309152211</v>
      </c>
      <c r="V36" s="65">
        <v>19779.189979678777</v>
      </c>
      <c r="W36" s="65">
        <v>20805.93839990408</v>
      </c>
      <c r="X36" s="65">
        <v>22321.026077527946</v>
      </c>
      <c r="Y36" s="65">
        <v>23498.320939120647</v>
      </c>
      <c r="Z36" s="65">
        <v>24801.386718490539</v>
      </c>
      <c r="AA36" s="65">
        <v>24978.890092019225</v>
      </c>
      <c r="AB36" s="65">
        <v>24987.407671555833</v>
      </c>
      <c r="AC36" s="65">
        <v>24445.917382373329</v>
      </c>
      <c r="AD36" s="65">
        <v>23864.83326430562</v>
      </c>
      <c r="AE36" s="65">
        <v>23366.202926728409</v>
      </c>
      <c r="AF36" s="65">
        <v>22992.993962439592</v>
      </c>
      <c r="AG36" s="40">
        <f>+SUM(I36:AF36)*H36</f>
        <v>2126590.7100934647</v>
      </c>
    </row>
    <row r="37" spans="2:33" ht="14.4" x14ac:dyDescent="0.25">
      <c r="B37">
        <f t="shared" si="0"/>
        <v>6</v>
      </c>
      <c r="C37">
        <f t="shared" si="1"/>
        <v>2027</v>
      </c>
      <c r="D37" t="str">
        <f t="shared" si="12"/>
        <v>62027FE</v>
      </c>
      <c r="E37" s="68">
        <v>46539</v>
      </c>
      <c r="F37" s="73"/>
      <c r="G37" s="42" t="s">
        <v>59</v>
      </c>
      <c r="H37" s="42">
        <v>1</v>
      </c>
      <c r="I37" s="65">
        <v>23279.353893460764</v>
      </c>
      <c r="J37" s="65">
        <v>22999.830591812235</v>
      </c>
      <c r="K37" s="65">
        <v>22815.3526688165</v>
      </c>
      <c r="L37" s="65">
        <v>22703.799129527179</v>
      </c>
      <c r="M37" s="65">
        <v>22672.618813705703</v>
      </c>
      <c r="N37" s="65">
        <v>22290.149321649908</v>
      </c>
      <c r="O37" s="65">
        <v>21703.173156248115</v>
      </c>
      <c r="P37" s="65">
        <v>20950.876267246356</v>
      </c>
      <c r="Q37" s="65">
        <v>19829.73743547489</v>
      </c>
      <c r="R37" s="65">
        <v>19272.071016859845</v>
      </c>
      <c r="S37" s="65">
        <v>19343.122522943013</v>
      </c>
      <c r="T37" s="65">
        <v>18864.293960500319</v>
      </c>
      <c r="U37" s="65">
        <v>18819.27256070634</v>
      </c>
      <c r="V37" s="65">
        <v>19854.185447510812</v>
      </c>
      <c r="W37" s="65">
        <v>20856.496663741913</v>
      </c>
      <c r="X37" s="65">
        <v>22394.119687273604</v>
      </c>
      <c r="Y37" s="65">
        <v>23468.599151877803</v>
      </c>
      <c r="Z37" s="65">
        <v>24846.536600585343</v>
      </c>
      <c r="AA37" s="65">
        <v>25007.263996913636</v>
      </c>
      <c r="AB37" s="65">
        <v>25086.231155082336</v>
      </c>
      <c r="AC37" s="65">
        <v>24461.555435894188</v>
      </c>
      <c r="AD37" s="65">
        <v>23798.565078157932</v>
      </c>
      <c r="AE37" s="65">
        <v>23255.387640234767</v>
      </c>
      <c r="AF37" s="65">
        <v>22869.624523606602</v>
      </c>
      <c r="AG37" s="43">
        <f>+SUM(I37:AF37)*H37</f>
        <v>531442.21671983006</v>
      </c>
    </row>
    <row r="38" spans="2:33" ht="15" thickBot="1" x14ac:dyDescent="0.3">
      <c r="B38">
        <f t="shared" si="0"/>
        <v>6</v>
      </c>
      <c r="C38">
        <f t="shared" si="1"/>
        <v>2027</v>
      </c>
      <c r="D38" t="str">
        <f>+_xlfn.CONCAT(E38,G38)</f>
        <v>46539TOTAL</v>
      </c>
      <c r="E38" s="68">
        <v>46539</v>
      </c>
      <c r="F38" s="61"/>
      <c r="G38" s="44" t="s">
        <v>10</v>
      </c>
      <c r="H38" s="44">
        <f>+SUM(H34:H37)</f>
        <v>30</v>
      </c>
      <c r="I38" s="45">
        <f t="shared" ref="I38:AF38" si="13">+SUMPRODUCT(I34:I37,$H34:$H37)</f>
        <v>712676.10648184712</v>
      </c>
      <c r="J38" s="45">
        <f t="shared" si="13"/>
        <v>702505.33217903797</v>
      </c>
      <c r="K38" s="45">
        <f t="shared" si="13"/>
        <v>696167.44425520115</v>
      </c>
      <c r="L38" s="45">
        <f t="shared" si="13"/>
        <v>693963.5944792669</v>
      </c>
      <c r="M38" s="45">
        <f t="shared" si="13"/>
        <v>693376.94570643676</v>
      </c>
      <c r="N38" s="45">
        <f t="shared" si="13"/>
        <v>698767.02476854133</v>
      </c>
      <c r="O38" s="45">
        <f t="shared" si="13"/>
        <v>713996.9448019322</v>
      </c>
      <c r="P38" s="45">
        <f t="shared" si="13"/>
        <v>723204.1036858958</v>
      </c>
      <c r="Q38" s="45">
        <f t="shared" si="13"/>
        <v>712607.81072645215</v>
      </c>
      <c r="R38" s="45">
        <f t="shared" si="13"/>
        <v>679071.08631592093</v>
      </c>
      <c r="S38" s="45">
        <f t="shared" si="13"/>
        <v>684550.81364944135</v>
      </c>
      <c r="T38" s="45">
        <f t="shared" si="13"/>
        <v>693528.93716216634</v>
      </c>
      <c r="U38" s="45">
        <f t="shared" si="13"/>
        <v>677846.89336353133</v>
      </c>
      <c r="V38" s="45">
        <f t="shared" si="13"/>
        <v>715337.98855425289</v>
      </c>
      <c r="W38" s="45">
        <f t="shared" si="13"/>
        <v>758123.9462731157</v>
      </c>
      <c r="X38" s="45">
        <f t="shared" si="13"/>
        <v>804479.98148714728</v>
      </c>
      <c r="Y38" s="45">
        <f t="shared" si="13"/>
        <v>831092.00849244057</v>
      </c>
      <c r="Z38" s="45">
        <f t="shared" si="13"/>
        <v>855602.06224624801</v>
      </c>
      <c r="AA38" s="45">
        <f t="shared" si="13"/>
        <v>841916.96110364399</v>
      </c>
      <c r="AB38" s="45">
        <f t="shared" si="13"/>
        <v>830879.13153214753</v>
      </c>
      <c r="AC38" s="45">
        <f t="shared" si="13"/>
        <v>804644.00400779326</v>
      </c>
      <c r="AD38" s="45">
        <f t="shared" si="13"/>
        <v>770038.44701786223</v>
      </c>
      <c r="AE38" s="45">
        <f t="shared" si="13"/>
        <v>740661.53751294804</v>
      </c>
      <c r="AF38" s="45">
        <f t="shared" si="13"/>
        <v>724519.37734611239</v>
      </c>
      <c r="AG38" s="46">
        <f>SUM(I38:AF38)</f>
        <v>17759558.483149383</v>
      </c>
    </row>
    <row r="39" spans="2:33" ht="14.4" x14ac:dyDescent="0.25">
      <c r="B39">
        <f t="shared" si="0"/>
        <v>7</v>
      </c>
      <c r="C39">
        <f t="shared" si="1"/>
        <v>2027</v>
      </c>
      <c r="D39" t="str">
        <f t="shared" ref="D39:D42" si="14">+_xlfn.CONCAT(B39:C39,G39)</f>
        <v>72027OR</v>
      </c>
      <c r="E39" s="67">
        <v>46569</v>
      </c>
      <c r="F39" s="72">
        <f>+AG43</f>
        <v>18217388.862152841</v>
      </c>
      <c r="G39" s="37" t="s">
        <v>57</v>
      </c>
      <c r="H39" s="37">
        <v>20</v>
      </c>
      <c r="I39" s="65">
        <v>23921.793312705919</v>
      </c>
      <c r="J39" s="65">
        <v>23574.917300759866</v>
      </c>
      <c r="K39" s="65">
        <v>23363.120697626837</v>
      </c>
      <c r="L39" s="65">
        <v>23303.564400017254</v>
      </c>
      <c r="M39" s="65">
        <v>23291.282133497654</v>
      </c>
      <c r="N39" s="65">
        <v>23591.693682329595</v>
      </c>
      <c r="O39" s="65">
        <v>24345.600923300604</v>
      </c>
      <c r="P39" s="65">
        <v>24876.574258212873</v>
      </c>
      <c r="Q39" s="65">
        <v>24587.190913214166</v>
      </c>
      <c r="R39" s="65">
        <v>23212.847774579997</v>
      </c>
      <c r="S39" s="65">
        <v>23849.378755489015</v>
      </c>
      <c r="T39" s="65">
        <v>24161.656269553019</v>
      </c>
      <c r="U39" s="65">
        <v>23676.880743697966</v>
      </c>
      <c r="V39" s="65">
        <v>25397.470504675624</v>
      </c>
      <c r="W39" s="65">
        <v>26373.609210110717</v>
      </c>
      <c r="X39" s="65">
        <v>27025.963990708213</v>
      </c>
      <c r="Y39" s="65">
        <v>28568.058634858513</v>
      </c>
      <c r="Z39" s="65">
        <v>29519.24964879045</v>
      </c>
      <c r="AA39" s="65">
        <v>28900.812514599995</v>
      </c>
      <c r="AB39" s="65">
        <v>28448.144672240021</v>
      </c>
      <c r="AC39" s="65">
        <v>27478.520672974992</v>
      </c>
      <c r="AD39" s="65">
        <v>26201.204449550198</v>
      </c>
      <c r="AE39" s="65">
        <v>25117.916039048294</v>
      </c>
      <c r="AF39" s="65">
        <v>24545.259614061932</v>
      </c>
      <c r="AG39" s="38">
        <f>+SUM(I39:AF39)*H39</f>
        <v>12146654.222332075</v>
      </c>
    </row>
    <row r="40" spans="2:33" ht="14.4" x14ac:dyDescent="0.25">
      <c r="B40">
        <f t="shared" si="0"/>
        <v>7</v>
      </c>
      <c r="C40">
        <f t="shared" si="1"/>
        <v>2027</v>
      </c>
      <c r="D40" t="str">
        <f t="shared" si="14"/>
        <v>72027SA</v>
      </c>
      <c r="E40" s="68">
        <v>46569</v>
      </c>
      <c r="F40" s="73"/>
      <c r="G40" s="39" t="s">
        <v>60</v>
      </c>
      <c r="H40" s="39">
        <v>5</v>
      </c>
      <c r="I40" s="65">
        <v>23907.329238561128</v>
      </c>
      <c r="J40" s="65">
        <v>23545.623529774719</v>
      </c>
      <c r="K40" s="65">
        <v>23325.809287334938</v>
      </c>
      <c r="L40" s="65">
        <v>23234.946532387126</v>
      </c>
      <c r="M40" s="65">
        <v>23186.885622528862</v>
      </c>
      <c r="N40" s="65">
        <v>23321.028747254124</v>
      </c>
      <c r="O40" s="65">
        <v>23724.996339709644</v>
      </c>
      <c r="P40" s="65">
        <v>23794.396255191241</v>
      </c>
      <c r="Q40" s="65">
        <v>23218.153680162839</v>
      </c>
      <c r="R40" s="65">
        <v>21799.976921560446</v>
      </c>
      <c r="S40" s="65">
        <v>22356.559711609923</v>
      </c>
      <c r="T40" s="65">
        <v>22538.155610756134</v>
      </c>
      <c r="U40" s="65">
        <v>22060.525895541767</v>
      </c>
      <c r="V40" s="65">
        <v>23397.75987411727</v>
      </c>
      <c r="W40" s="65">
        <v>23861.505874231501</v>
      </c>
      <c r="X40" s="65">
        <v>24405.368306739751</v>
      </c>
      <c r="Y40" s="65">
        <v>26128.296136823265</v>
      </c>
      <c r="Z40" s="65">
        <v>27648.535808150784</v>
      </c>
      <c r="AA40" s="65">
        <v>27489.919467545988</v>
      </c>
      <c r="AB40" s="65">
        <v>27292.658500348422</v>
      </c>
      <c r="AC40" s="65">
        <v>26525.792252095271</v>
      </c>
      <c r="AD40" s="65">
        <v>25337.825168247844</v>
      </c>
      <c r="AE40" s="65">
        <v>24322.138958488358</v>
      </c>
      <c r="AF40" s="65">
        <v>23761.109340311901</v>
      </c>
      <c r="AG40" s="40">
        <f>+SUM(I40:AF40)*H40</f>
        <v>2900926.4852973656</v>
      </c>
    </row>
    <row r="41" spans="2:33" ht="14.4" x14ac:dyDescent="0.25">
      <c r="B41">
        <f t="shared" si="0"/>
        <v>7</v>
      </c>
      <c r="C41">
        <f t="shared" si="1"/>
        <v>2027</v>
      </c>
      <c r="D41" t="str">
        <f t="shared" si="14"/>
        <v>72027DO</v>
      </c>
      <c r="E41" s="68">
        <v>46569</v>
      </c>
      <c r="F41" s="73"/>
      <c r="G41" s="41" t="s">
        <v>58</v>
      </c>
      <c r="H41" s="41">
        <v>4</v>
      </c>
      <c r="I41" s="65">
        <v>23022.007302820144</v>
      </c>
      <c r="J41" s="65">
        <v>22737.539249076057</v>
      </c>
      <c r="K41" s="65">
        <v>22533.476213228736</v>
      </c>
      <c r="L41" s="65">
        <v>22412.140773881605</v>
      </c>
      <c r="M41" s="65">
        <v>22400.764482263199</v>
      </c>
      <c r="N41" s="65">
        <v>22243.617863992389</v>
      </c>
      <c r="O41" s="65">
        <v>21724.797927182386</v>
      </c>
      <c r="P41" s="65">
        <v>20776.214173453292</v>
      </c>
      <c r="Q41" s="65">
        <v>19704.411902871201</v>
      </c>
      <c r="R41" s="65">
        <v>19117.42842757066</v>
      </c>
      <c r="S41" s="65">
        <v>19181.860803384596</v>
      </c>
      <c r="T41" s="65">
        <v>19088.870418118786</v>
      </c>
      <c r="U41" s="65">
        <v>18707.184273954488</v>
      </c>
      <c r="V41" s="65">
        <v>20145.208105804209</v>
      </c>
      <c r="W41" s="65">
        <v>20559.637801438017</v>
      </c>
      <c r="X41" s="65">
        <v>21154.360044527581</v>
      </c>
      <c r="Y41" s="65">
        <v>23070.136551590389</v>
      </c>
      <c r="Z41" s="65">
        <v>24697.927599090239</v>
      </c>
      <c r="AA41" s="65">
        <v>24910.255040698743</v>
      </c>
      <c r="AB41" s="65">
        <v>24953.66004619468</v>
      </c>
      <c r="AC41" s="65">
        <v>24418.205080428263</v>
      </c>
      <c r="AD41" s="65">
        <v>23842.315604581418</v>
      </c>
      <c r="AE41" s="65">
        <v>23345.769821157519</v>
      </c>
      <c r="AF41" s="65">
        <v>22975.900997715915</v>
      </c>
      <c r="AG41" s="40">
        <f>+SUM(I41:AF41)*H41</f>
        <v>2110894.7620200985</v>
      </c>
    </row>
    <row r="42" spans="2:33" ht="14.4" x14ac:dyDescent="0.25">
      <c r="B42">
        <f t="shared" si="0"/>
        <v>7</v>
      </c>
      <c r="C42">
        <f t="shared" si="1"/>
        <v>2027</v>
      </c>
      <c r="D42" t="str">
        <f t="shared" si="14"/>
        <v>72027FE</v>
      </c>
      <c r="E42" s="68">
        <v>46569</v>
      </c>
      <c r="F42" s="73"/>
      <c r="G42" s="42" t="s">
        <v>59</v>
      </c>
      <c r="H42" s="42">
        <v>2</v>
      </c>
      <c r="I42" s="65">
        <v>23294.194428821589</v>
      </c>
      <c r="J42" s="65">
        <v>23017.098616818053</v>
      </c>
      <c r="K42" s="65">
        <v>22833.377228257043</v>
      </c>
      <c r="L42" s="65">
        <v>22723.058788080656</v>
      </c>
      <c r="M42" s="65">
        <v>22690.994057237825</v>
      </c>
      <c r="N42" s="65">
        <v>22332.613870082256</v>
      </c>
      <c r="O42" s="65">
        <v>21739.745879758375</v>
      </c>
      <c r="P42" s="65">
        <v>20910.787745765512</v>
      </c>
      <c r="Q42" s="65">
        <v>19697.105256844196</v>
      </c>
      <c r="R42" s="65">
        <v>18779.946779482103</v>
      </c>
      <c r="S42" s="65">
        <v>18912.389651789723</v>
      </c>
      <c r="T42" s="65">
        <v>18862.92186521519</v>
      </c>
      <c r="U42" s="65">
        <v>18879.465110226491</v>
      </c>
      <c r="V42" s="65">
        <v>20285.683500606327</v>
      </c>
      <c r="W42" s="65">
        <v>20674.526008647677</v>
      </c>
      <c r="X42" s="65">
        <v>21291.364235922098</v>
      </c>
      <c r="Y42" s="65">
        <v>23104.937367849547</v>
      </c>
      <c r="Z42" s="65">
        <v>24804.844135020976</v>
      </c>
      <c r="AA42" s="65">
        <v>25000.939000456594</v>
      </c>
      <c r="AB42" s="65">
        <v>25111.243929910823</v>
      </c>
      <c r="AC42" s="65">
        <v>24490.273669820002</v>
      </c>
      <c r="AD42" s="65">
        <v>23829.26565475302</v>
      </c>
      <c r="AE42" s="65">
        <v>23286.800774734351</v>
      </c>
      <c r="AF42" s="65">
        <v>22903.118695552672</v>
      </c>
      <c r="AG42" s="43">
        <f>+SUM(I42:AF42)*H42</f>
        <v>1058913.3925033063</v>
      </c>
    </row>
    <row r="43" spans="2:33" ht="15" thickBot="1" x14ac:dyDescent="0.3">
      <c r="B43">
        <f t="shared" si="0"/>
        <v>7</v>
      </c>
      <c r="C43">
        <f t="shared" si="1"/>
        <v>2027</v>
      </c>
      <c r="D43" t="str">
        <f>+_xlfn.CONCAT(E43,G43)</f>
        <v>46569TOTAL</v>
      </c>
      <c r="E43" s="68">
        <v>46569</v>
      </c>
      <c r="F43" s="61"/>
      <c r="G43" s="44" t="s">
        <v>10</v>
      </c>
      <c r="H43" s="44">
        <f>+SUM(H39:H42)</f>
        <v>31</v>
      </c>
      <c r="I43" s="45">
        <f t="shared" ref="I43:AF43" si="15">+SUMPRODUCT(I39:I42,$H39:$H42)</f>
        <v>736648.93051584763</v>
      </c>
      <c r="J43" s="45">
        <f t="shared" si="15"/>
        <v>726210.81789401127</v>
      </c>
      <c r="K43" s="45">
        <f t="shared" si="15"/>
        <v>719692.11969864042</v>
      </c>
      <c r="L43" s="45">
        <f t="shared" si="15"/>
        <v>717340.70133396843</v>
      </c>
      <c r="M43" s="45">
        <f t="shared" si="15"/>
        <v>716745.11682612577</v>
      </c>
      <c r="N43" s="45">
        <f t="shared" si="15"/>
        <v>722078.71657899662</v>
      </c>
      <c r="O43" s="45">
        <f t="shared" si="15"/>
        <v>735915.68363280664</v>
      </c>
      <c r="P43" s="45">
        <f t="shared" si="15"/>
        <v>741429.89862555778</v>
      </c>
      <c r="Q43" s="45">
        <f t="shared" si="15"/>
        <v>726046.44479027065</v>
      </c>
      <c r="R43" s="45">
        <f t="shared" si="15"/>
        <v>687286.44736864918</v>
      </c>
      <c r="S43" s="45">
        <f t="shared" si="15"/>
        <v>703322.59618494776</v>
      </c>
      <c r="T43" s="45">
        <f t="shared" si="15"/>
        <v>710005.2288477465</v>
      </c>
      <c r="U43" s="45">
        <f t="shared" si="15"/>
        <v>696427.91166793904</v>
      </c>
      <c r="V43" s="45">
        <f t="shared" si="15"/>
        <v>746090.40888852836</v>
      </c>
      <c r="W43" s="45">
        <f t="shared" si="15"/>
        <v>770367.31679641933</v>
      </c>
      <c r="X43" s="45">
        <f t="shared" si="15"/>
        <v>789746.28999781748</v>
      </c>
      <c r="Y43" s="45">
        <f t="shared" si="15"/>
        <v>840493.0743233473</v>
      </c>
      <c r="Z43" s="45">
        <f t="shared" si="15"/>
        <v>877029.0706829658</v>
      </c>
      <c r="AA43" s="45">
        <f t="shared" si="15"/>
        <v>865108.74579343805</v>
      </c>
      <c r="AB43" s="45">
        <f t="shared" si="15"/>
        <v>855463.3139911429</v>
      </c>
      <c r="AC43" s="45">
        <f t="shared" si="15"/>
        <v>828852.7423813293</v>
      </c>
      <c r="AD43" s="45">
        <f t="shared" si="15"/>
        <v>793741.00856007484</v>
      </c>
      <c r="AE43" s="45">
        <f t="shared" si="15"/>
        <v>763925.69640750648</v>
      </c>
      <c r="AF43" s="45">
        <f t="shared" si="15"/>
        <v>747420.58036476711</v>
      </c>
      <c r="AG43" s="46">
        <f>SUM(I43:AF43)</f>
        <v>18217388.862152841</v>
      </c>
    </row>
    <row r="44" spans="2:33" ht="14.4" x14ac:dyDescent="0.25">
      <c r="B44">
        <f t="shared" si="0"/>
        <v>8</v>
      </c>
      <c r="C44">
        <f t="shared" si="1"/>
        <v>2027</v>
      </c>
      <c r="D44" t="str">
        <f t="shared" ref="D44:D47" si="16">+_xlfn.CONCAT(B44:C44,G44)</f>
        <v>82027OR</v>
      </c>
      <c r="E44" s="67">
        <v>46600</v>
      </c>
      <c r="F44" s="72">
        <f>+AG48</f>
        <v>18148729.284205928</v>
      </c>
      <c r="G44" s="37" t="s">
        <v>57</v>
      </c>
      <c r="H44" s="37">
        <v>21</v>
      </c>
      <c r="I44" s="65">
        <v>23822.581852975469</v>
      </c>
      <c r="J44" s="65">
        <v>23475.586404067057</v>
      </c>
      <c r="K44" s="65">
        <v>23263.648246470773</v>
      </c>
      <c r="L44" s="65">
        <v>23203.973477199957</v>
      </c>
      <c r="M44" s="65">
        <v>23191.435153876799</v>
      </c>
      <c r="N44" s="65">
        <v>23489.927226335734</v>
      </c>
      <c r="O44" s="65">
        <v>24302.61136441839</v>
      </c>
      <c r="P44" s="65">
        <v>24904.264146465277</v>
      </c>
      <c r="Q44" s="65">
        <v>23666.138780344387</v>
      </c>
      <c r="R44" s="65">
        <v>23162.110312503199</v>
      </c>
      <c r="S44" s="65">
        <v>23284.980070122867</v>
      </c>
      <c r="T44" s="65">
        <v>24591.693838309282</v>
      </c>
      <c r="U44" s="65">
        <v>24366.751713670099</v>
      </c>
      <c r="V44" s="65">
        <v>24662.945823305105</v>
      </c>
      <c r="W44" s="65">
        <v>26469.141257078918</v>
      </c>
      <c r="X44" s="65">
        <v>27084.514753658957</v>
      </c>
      <c r="Y44" s="65">
        <v>28850.52085579915</v>
      </c>
      <c r="Z44" s="65">
        <v>29484.436426696717</v>
      </c>
      <c r="AA44" s="65">
        <v>28834.366030298756</v>
      </c>
      <c r="AB44" s="65">
        <v>28349.768442307697</v>
      </c>
      <c r="AC44" s="65">
        <v>27379.05881987571</v>
      </c>
      <c r="AD44" s="65">
        <v>26101.830111264433</v>
      </c>
      <c r="AE44" s="65">
        <v>25018.691228087875</v>
      </c>
      <c r="AF44" s="65">
        <v>24445.983752840431</v>
      </c>
      <c r="AG44" s="38">
        <f>+SUM(I44:AF44)*H44</f>
        <v>12713546.161847437</v>
      </c>
    </row>
    <row r="45" spans="2:33" ht="14.4" x14ac:dyDescent="0.25">
      <c r="B45">
        <f t="shared" si="0"/>
        <v>8</v>
      </c>
      <c r="C45">
        <f t="shared" si="1"/>
        <v>2027</v>
      </c>
      <c r="D45" t="str">
        <f t="shared" si="16"/>
        <v>82027SA</v>
      </c>
      <c r="E45" s="68">
        <v>46600</v>
      </c>
      <c r="F45" s="73"/>
      <c r="G45" s="39" t="s">
        <v>60</v>
      </c>
      <c r="H45" s="39">
        <v>3</v>
      </c>
      <c r="I45" s="65">
        <v>23812.10930765637</v>
      </c>
      <c r="J45" s="65">
        <v>23450.279036528853</v>
      </c>
      <c r="K45" s="65">
        <v>23230.405374939757</v>
      </c>
      <c r="L45" s="65">
        <v>23139.507826220855</v>
      </c>
      <c r="M45" s="65">
        <v>23091.306485771394</v>
      </c>
      <c r="N45" s="65">
        <v>23223.701986548302</v>
      </c>
      <c r="O45" s="65">
        <v>23686.954513329008</v>
      </c>
      <c r="P45" s="65">
        <v>23827.21517622075</v>
      </c>
      <c r="Q45" s="65">
        <v>22302.328749916953</v>
      </c>
      <c r="R45" s="65">
        <v>21754.693220531713</v>
      </c>
      <c r="S45" s="65">
        <v>21797.992786552815</v>
      </c>
      <c r="T45" s="65">
        <v>22974.209734338074</v>
      </c>
      <c r="U45" s="65">
        <v>22756.221541760358</v>
      </c>
      <c r="V45" s="65">
        <v>22668.910731149474</v>
      </c>
      <c r="W45" s="65">
        <v>23962.354298793871</v>
      </c>
      <c r="X45" s="65">
        <v>24469.027476883814</v>
      </c>
      <c r="Y45" s="65">
        <v>26415.867686035344</v>
      </c>
      <c r="Z45" s="65">
        <v>27618.862405656182</v>
      </c>
      <c r="AA45" s="65">
        <v>27428.705927551971</v>
      </c>
      <c r="AB45" s="65">
        <v>27199.259259896848</v>
      </c>
      <c r="AC45" s="65">
        <v>26430.953288308665</v>
      </c>
      <c r="AD45" s="65">
        <v>25242.390493931322</v>
      </c>
      <c r="AE45" s="65">
        <v>24226.137094069229</v>
      </c>
      <c r="AF45" s="65">
        <v>23665.05086476561</v>
      </c>
      <c r="AG45" s="40">
        <f>+SUM(I45:AF45)*H45</f>
        <v>1735123.3358020731</v>
      </c>
    </row>
    <row r="46" spans="2:33" ht="14.4" x14ac:dyDescent="0.25">
      <c r="B46">
        <f t="shared" si="0"/>
        <v>8</v>
      </c>
      <c r="C46">
        <f t="shared" si="1"/>
        <v>2027</v>
      </c>
      <c r="D46" t="str">
        <f t="shared" si="16"/>
        <v>82027DO</v>
      </c>
      <c r="E46" s="68">
        <v>46600</v>
      </c>
      <c r="F46" s="73"/>
      <c r="G46" s="41" t="s">
        <v>58</v>
      </c>
      <c r="H46" s="41">
        <v>5</v>
      </c>
      <c r="I46" s="65">
        <v>22974.065669213051</v>
      </c>
      <c r="J46" s="65">
        <v>22688.415731088753</v>
      </c>
      <c r="K46" s="65">
        <v>22484.03550106816</v>
      </c>
      <c r="L46" s="65">
        <v>22362.071083299874</v>
      </c>
      <c r="M46" s="65">
        <v>22350.464803312454</v>
      </c>
      <c r="N46" s="65">
        <v>22190.770302380166</v>
      </c>
      <c r="O46" s="65">
        <v>21731.224951345372</v>
      </c>
      <c r="P46" s="65">
        <v>20855.945742802855</v>
      </c>
      <c r="Q46" s="65">
        <v>19921.161642112565</v>
      </c>
      <c r="R46" s="65">
        <v>19464.853809083899</v>
      </c>
      <c r="S46" s="65">
        <v>19111.379160978409</v>
      </c>
      <c r="T46" s="65">
        <v>19651.805204427219</v>
      </c>
      <c r="U46" s="65">
        <v>19457.583852739917</v>
      </c>
      <c r="V46" s="65">
        <v>19471.251411613281</v>
      </c>
      <c r="W46" s="65">
        <v>20714.17587326355</v>
      </c>
      <c r="X46" s="65">
        <v>21272.028878252895</v>
      </c>
      <c r="Y46" s="65">
        <v>23411.360257304565</v>
      </c>
      <c r="Z46" s="65">
        <v>24721.110479308889</v>
      </c>
      <c r="AA46" s="65">
        <v>24902.855777409684</v>
      </c>
      <c r="AB46" s="65">
        <v>24911.321783898238</v>
      </c>
      <c r="AC46" s="65">
        <v>24371.33136829146</v>
      </c>
      <c r="AD46" s="65">
        <v>23792.272982583905</v>
      </c>
      <c r="AE46" s="65">
        <v>23293.874612651263</v>
      </c>
      <c r="AF46" s="65">
        <v>22922.839294206467</v>
      </c>
      <c r="AG46" s="40">
        <f>+SUM(I46:AF46)*H46</f>
        <v>2645141.0008631842</v>
      </c>
    </row>
    <row r="47" spans="2:33" ht="14.4" x14ac:dyDescent="0.25">
      <c r="B47">
        <f t="shared" si="0"/>
        <v>8</v>
      </c>
      <c r="C47">
        <f t="shared" si="1"/>
        <v>2027</v>
      </c>
      <c r="D47" t="str">
        <f t="shared" si="16"/>
        <v>82027FE</v>
      </c>
      <c r="E47" s="68">
        <v>46600</v>
      </c>
      <c r="F47" s="73"/>
      <c r="G47" s="42" t="s">
        <v>59</v>
      </c>
      <c r="H47" s="42">
        <v>2</v>
      </c>
      <c r="I47" s="65">
        <v>23158.389483554245</v>
      </c>
      <c r="J47" s="65">
        <v>22881.646495738169</v>
      </c>
      <c r="K47" s="65">
        <v>22697.691069060413</v>
      </c>
      <c r="L47" s="65">
        <v>22587.938865243101</v>
      </c>
      <c r="M47" s="65">
        <v>22554.206357178024</v>
      </c>
      <c r="N47" s="65">
        <v>22188.497014899505</v>
      </c>
      <c r="O47" s="65">
        <v>21647.520525033207</v>
      </c>
      <c r="P47" s="65">
        <v>20886.232696464176</v>
      </c>
      <c r="Q47" s="65">
        <v>19345.038348743918</v>
      </c>
      <c r="R47" s="65">
        <v>18886.286803945215</v>
      </c>
      <c r="S47" s="65">
        <v>18590.204795112324</v>
      </c>
      <c r="T47" s="65">
        <v>19234.037399701498</v>
      </c>
      <c r="U47" s="65">
        <v>19510.458670926389</v>
      </c>
      <c r="V47" s="65">
        <v>19491.372027868143</v>
      </c>
      <c r="W47" s="65">
        <v>20709.624615306864</v>
      </c>
      <c r="X47" s="65">
        <v>21289.517027201015</v>
      </c>
      <c r="Y47" s="65">
        <v>23325.191023122541</v>
      </c>
      <c r="Z47" s="65">
        <v>24713.208895946067</v>
      </c>
      <c r="AA47" s="65">
        <v>24878.243721631676</v>
      </c>
      <c r="AB47" s="65">
        <v>24961.720926039139</v>
      </c>
      <c r="AC47" s="65">
        <v>24340.894241924369</v>
      </c>
      <c r="AD47" s="65">
        <v>23682.117144594973</v>
      </c>
      <c r="AE47" s="65">
        <v>23140.809642520799</v>
      </c>
      <c r="AF47" s="65">
        <v>22758.545054861963</v>
      </c>
      <c r="AG47" s="43">
        <f>+SUM(I47:AF47)*H47</f>
        <v>1054918.7856932352</v>
      </c>
    </row>
    <row r="48" spans="2:33" ht="15" thickBot="1" x14ac:dyDescent="0.3">
      <c r="B48">
        <f t="shared" si="0"/>
        <v>8</v>
      </c>
      <c r="C48">
        <f t="shared" si="1"/>
        <v>2027</v>
      </c>
      <c r="D48" t="str">
        <f>+_xlfn.CONCAT(E48,G48)</f>
        <v>46600TOTAL</v>
      </c>
      <c r="E48" s="68">
        <v>46600</v>
      </c>
      <c r="F48" s="61"/>
      <c r="G48" s="44" t="s">
        <v>10</v>
      </c>
      <c r="H48" s="44">
        <f>+SUM(H44:H47)</f>
        <v>31</v>
      </c>
      <c r="I48" s="45">
        <f t="shared" ref="I48:AF48" si="17">+SUMPRODUCT(I44:I47,$H44:$H47)</f>
        <v>732897.65414862765</v>
      </c>
      <c r="J48" s="45">
        <f t="shared" si="17"/>
        <v>722543.52324191481</v>
      </c>
      <c r="K48" s="45">
        <f t="shared" si="17"/>
        <v>716043.38894416706</v>
      </c>
      <c r="L48" s="45">
        <f t="shared" si="17"/>
        <v>713688.19964684732</v>
      </c>
      <c r="M48" s="45">
        <f t="shared" si="17"/>
        <v>713154.79441964545</v>
      </c>
      <c r="N48" s="45">
        <f t="shared" si="17"/>
        <v>718290.42325439514</v>
      </c>
      <c r="O48" s="45">
        <f t="shared" si="17"/>
        <v>733366.86799956649</v>
      </c>
      <c r="P48" s="45">
        <f t="shared" si="17"/>
        <v>740523.38671137567</v>
      </c>
      <c r="Q48" s="45">
        <f t="shared" si="17"/>
        <v>702191.78554503364</v>
      </c>
      <c r="R48" s="45">
        <f t="shared" si="17"/>
        <v>686765.23887747223</v>
      </c>
      <c r="S48" s="45">
        <f t="shared" si="17"/>
        <v>687115.86522735527</v>
      </c>
      <c r="T48" s="45">
        <f t="shared" si="17"/>
        <v>722075.30062904826</v>
      </c>
      <c r="U48" s="45">
        <f t="shared" si="17"/>
        <v>716279.28721790551</v>
      </c>
      <c r="V48" s="45">
        <f t="shared" si="17"/>
        <v>722267.5955966583</v>
      </c>
      <c r="W48" s="45">
        <f t="shared" si="17"/>
        <v>772729.15789197036</v>
      </c>
      <c r="X48" s="45">
        <f t="shared" si="17"/>
        <v>791121.07070315606</v>
      </c>
      <c r="Y48" s="45">
        <f t="shared" si="17"/>
        <v>848815.72436265601</v>
      </c>
      <c r="Z48" s="45">
        <f t="shared" si="17"/>
        <v>875061.72236603615</v>
      </c>
      <c r="AA48" s="45">
        <f t="shared" si="17"/>
        <v>862078.57074924163</v>
      </c>
      <c r="AB48" s="45">
        <f t="shared" si="17"/>
        <v>851422.96583972173</v>
      </c>
      <c r="AC48" s="45">
        <f t="shared" si="17"/>
        <v>824791.540407622</v>
      </c>
      <c r="AD48" s="45">
        <f t="shared" si="17"/>
        <v>790191.2030204566</v>
      </c>
      <c r="AE48" s="45">
        <f t="shared" si="17"/>
        <v>760821.91942035093</v>
      </c>
      <c r="AF48" s="45">
        <f t="shared" si="17"/>
        <v>744492.09798470221</v>
      </c>
      <c r="AG48" s="46">
        <f>SUM(I48:AF48)</f>
        <v>18148729.284205928</v>
      </c>
    </row>
    <row r="49" spans="2:33" ht="14.4" x14ac:dyDescent="0.25">
      <c r="B49">
        <f t="shared" si="0"/>
        <v>9</v>
      </c>
      <c r="C49">
        <f t="shared" si="1"/>
        <v>2027</v>
      </c>
      <c r="D49" t="str">
        <f t="shared" ref="D49:D52" si="18">+_xlfn.CONCAT(B49:C49,G49)</f>
        <v>92027OR</v>
      </c>
      <c r="E49" s="67">
        <v>46631</v>
      </c>
      <c r="F49" s="72">
        <f>+AG53</f>
        <v>17907128.374550804</v>
      </c>
      <c r="G49" s="37" t="s">
        <v>57</v>
      </c>
      <c r="H49" s="37">
        <v>22</v>
      </c>
      <c r="I49" s="65">
        <v>24036.130380432922</v>
      </c>
      <c r="J49" s="65">
        <v>23688.508846823945</v>
      </c>
      <c r="K49" s="65">
        <v>23476.095913446523</v>
      </c>
      <c r="L49" s="65">
        <v>23417.161816554086</v>
      </c>
      <c r="M49" s="65">
        <v>23402.521720542634</v>
      </c>
      <c r="N49" s="65">
        <v>23684.892828758344</v>
      </c>
      <c r="O49" s="65">
        <v>24489.285230140205</v>
      </c>
      <c r="P49" s="65">
        <v>23744.091807782534</v>
      </c>
      <c r="Q49" s="65">
        <v>23230.501697659027</v>
      </c>
      <c r="R49" s="65">
        <v>23322.031790427925</v>
      </c>
      <c r="S49" s="65">
        <v>24632.719183931826</v>
      </c>
      <c r="T49" s="65">
        <v>25129.66692093846</v>
      </c>
      <c r="U49" s="65">
        <v>24980.789030052958</v>
      </c>
      <c r="V49" s="65">
        <v>24937.433587647745</v>
      </c>
      <c r="W49" s="65">
        <v>26511.626455600886</v>
      </c>
      <c r="X49" s="65">
        <v>27171.352128150244</v>
      </c>
      <c r="Y49" s="65">
        <v>28953.404522105866</v>
      </c>
      <c r="Z49" s="65">
        <v>29828.604924880212</v>
      </c>
      <c r="AA49" s="65">
        <v>29157.716105207102</v>
      </c>
      <c r="AB49" s="65">
        <v>28576.314016834312</v>
      </c>
      <c r="AC49" s="65">
        <v>27603.374678022225</v>
      </c>
      <c r="AD49" s="65">
        <v>26322.127864689744</v>
      </c>
      <c r="AE49" s="65">
        <v>25236.116529377945</v>
      </c>
      <c r="AF49" s="65">
        <v>24662.971085668643</v>
      </c>
      <c r="AG49" s="38">
        <f>+SUM(I49:AF49)*H49</f>
        <v>13424299.659444882</v>
      </c>
    </row>
    <row r="50" spans="2:33" ht="14.4" x14ac:dyDescent="0.25">
      <c r="B50">
        <f t="shared" si="0"/>
        <v>9</v>
      </c>
      <c r="C50">
        <f t="shared" si="1"/>
        <v>2027</v>
      </c>
      <c r="D50" t="str">
        <f t="shared" si="18"/>
        <v>92027SA</v>
      </c>
      <c r="E50" s="68">
        <v>46631</v>
      </c>
      <c r="F50" s="73"/>
      <c r="G50" s="39" t="s">
        <v>60</v>
      </c>
      <c r="H50" s="39">
        <v>4</v>
      </c>
      <c r="I50" s="65">
        <v>24067.822500671435</v>
      </c>
      <c r="J50" s="65">
        <v>23704.513174238746</v>
      </c>
      <c r="K50" s="65">
        <v>23482.538263767347</v>
      </c>
      <c r="L50" s="65">
        <v>23388.66092303273</v>
      </c>
      <c r="M50" s="65">
        <v>23338.610424414714</v>
      </c>
      <c r="N50" s="65">
        <v>23453.332307095712</v>
      </c>
      <c r="O50" s="65">
        <v>23908.786165431957</v>
      </c>
      <c r="P50" s="65">
        <v>22704.747243745194</v>
      </c>
      <c r="Q50" s="65">
        <v>21905.703622045461</v>
      </c>
      <c r="R50" s="65">
        <v>21952.092832387032</v>
      </c>
      <c r="S50" s="65">
        <v>23187.20207286498</v>
      </c>
      <c r="T50" s="65">
        <v>23553.240254821503</v>
      </c>
      <c r="U50" s="65">
        <v>23408.440831351225</v>
      </c>
      <c r="V50" s="65">
        <v>22976.290595243176</v>
      </c>
      <c r="W50" s="65">
        <v>24036.819409095639</v>
      </c>
      <c r="X50" s="65">
        <v>24589.660538361626</v>
      </c>
      <c r="Y50" s="65">
        <v>26553.962628155146</v>
      </c>
      <c r="Z50" s="65">
        <v>27999.694044476491</v>
      </c>
      <c r="AA50" s="65">
        <v>27789.452185906004</v>
      </c>
      <c r="AB50" s="65">
        <v>27462.421685422407</v>
      </c>
      <c r="AC50" s="65">
        <v>26688.60108038006</v>
      </c>
      <c r="AD50" s="65">
        <v>25491.947309513751</v>
      </c>
      <c r="AE50" s="65">
        <v>24467.24626196819</v>
      </c>
      <c r="AF50" s="65">
        <v>23903.986949926693</v>
      </c>
      <c r="AG50" s="40">
        <f>+SUM(I50:AF50)*H50</f>
        <v>2336063.0932172691</v>
      </c>
    </row>
    <row r="51" spans="2:33" ht="14.4" x14ac:dyDescent="0.25">
      <c r="B51">
        <f t="shared" si="0"/>
        <v>9</v>
      </c>
      <c r="C51">
        <f t="shared" si="1"/>
        <v>2027</v>
      </c>
      <c r="D51" t="str">
        <f t="shared" si="18"/>
        <v>92027DO</v>
      </c>
      <c r="E51" s="68">
        <v>46631</v>
      </c>
      <c r="F51" s="73"/>
      <c r="G51" s="41" t="s">
        <v>58</v>
      </c>
      <c r="H51" s="41">
        <v>4</v>
      </c>
      <c r="I51" s="65">
        <v>23245.192501321282</v>
      </c>
      <c r="J51" s="65">
        <v>22955.839876294172</v>
      </c>
      <c r="K51" s="65">
        <v>22750.601694083431</v>
      </c>
      <c r="L51" s="65">
        <v>22626.525841585171</v>
      </c>
      <c r="M51" s="65">
        <v>22616.369934012706</v>
      </c>
      <c r="N51" s="65">
        <v>22430.913455653128</v>
      </c>
      <c r="O51" s="65">
        <v>21951.895991798396</v>
      </c>
      <c r="P51" s="65">
        <v>20615.228831293512</v>
      </c>
      <c r="Q51" s="65">
        <v>20289.794597599481</v>
      </c>
      <c r="R51" s="65">
        <v>20134.150665650101</v>
      </c>
      <c r="S51" s="65">
        <v>20445.267221636881</v>
      </c>
      <c r="T51" s="65">
        <v>20017.435069820123</v>
      </c>
      <c r="U51" s="65">
        <v>20106.11570112787</v>
      </c>
      <c r="V51" s="65">
        <v>19780.744081104785</v>
      </c>
      <c r="W51" s="65">
        <v>20790.220426435946</v>
      </c>
      <c r="X51" s="65">
        <v>21398.060463959613</v>
      </c>
      <c r="Y51" s="65">
        <v>23553.247878097318</v>
      </c>
      <c r="Z51" s="65">
        <v>25106.512481162383</v>
      </c>
      <c r="AA51" s="65">
        <v>25272.914617930743</v>
      </c>
      <c r="AB51" s="65">
        <v>25185.103001482697</v>
      </c>
      <c r="AC51" s="65">
        <v>24638.081404017648</v>
      </c>
      <c r="AD51" s="65">
        <v>24052.746586338719</v>
      </c>
      <c r="AE51" s="65">
        <v>23551.607235007221</v>
      </c>
      <c r="AF51" s="65">
        <v>23176.835914750583</v>
      </c>
      <c r="AG51" s="40">
        <f>+SUM(I51:AF51)*H51</f>
        <v>2146765.6218886552</v>
      </c>
    </row>
    <row r="52" spans="2:33" ht="14.4" x14ac:dyDescent="0.25">
      <c r="B52">
        <f t="shared" si="0"/>
        <v>9</v>
      </c>
      <c r="C52">
        <f t="shared" si="1"/>
        <v>2027</v>
      </c>
      <c r="D52" t="str">
        <f t="shared" si="18"/>
        <v>92027FE</v>
      </c>
      <c r="E52" s="68">
        <v>46631</v>
      </c>
      <c r="F52" s="73"/>
      <c r="G52" s="42" t="s">
        <v>59</v>
      </c>
      <c r="H52" s="42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43">
        <f>+SUM(I52:AF52)*H52</f>
        <v>0</v>
      </c>
    </row>
    <row r="53" spans="2:33" ht="15" thickBot="1" x14ac:dyDescent="0.3">
      <c r="B53">
        <f t="shared" si="0"/>
        <v>9</v>
      </c>
      <c r="C53">
        <f t="shared" si="1"/>
        <v>2027</v>
      </c>
      <c r="D53" t="str">
        <f>+_xlfn.CONCAT(E53,G53)</f>
        <v>46631TOTAL</v>
      </c>
      <c r="E53" s="68">
        <v>46631</v>
      </c>
      <c r="F53" s="61"/>
      <c r="G53" s="44" t="s">
        <v>10</v>
      </c>
      <c r="H53" s="44">
        <f>+SUM(H49:H52)</f>
        <v>30</v>
      </c>
      <c r="I53" s="45">
        <f t="shared" ref="I53:AF53" si="19">+SUMPRODUCT(I49:I52,$H49:$H52)</f>
        <v>718046.92837749515</v>
      </c>
      <c r="J53" s="45">
        <f t="shared" si="19"/>
        <v>707788.6068322584</v>
      </c>
      <c r="K53" s="45">
        <f t="shared" si="19"/>
        <v>701406.66992722661</v>
      </c>
      <c r="L53" s="45">
        <f t="shared" si="19"/>
        <v>699238.30702266144</v>
      </c>
      <c r="M53" s="45">
        <f t="shared" si="19"/>
        <v>698675.39928564755</v>
      </c>
      <c r="N53" s="45">
        <f t="shared" si="19"/>
        <v>704604.62528367888</v>
      </c>
      <c r="O53" s="45">
        <f t="shared" si="19"/>
        <v>722207.00369200599</v>
      </c>
      <c r="P53" s="45">
        <f t="shared" si="19"/>
        <v>695649.92407137062</v>
      </c>
      <c r="Q53" s="45">
        <f t="shared" si="19"/>
        <v>679853.03022707836</v>
      </c>
      <c r="R53" s="45">
        <f t="shared" si="19"/>
        <v>681429.67338156281</v>
      </c>
      <c r="S53" s="45">
        <f t="shared" si="19"/>
        <v>716449.69922450767</v>
      </c>
      <c r="T53" s="45">
        <f t="shared" si="19"/>
        <v>727135.37355921266</v>
      </c>
      <c r="U53" s="45">
        <f t="shared" si="19"/>
        <v>723635.58479108149</v>
      </c>
      <c r="V53" s="45">
        <f t="shared" si="19"/>
        <v>719651.67763364234</v>
      </c>
      <c r="W53" s="45">
        <f t="shared" si="19"/>
        <v>762563.94136534585</v>
      </c>
      <c r="X53" s="45">
        <f t="shared" si="19"/>
        <v>781720.63082859025</v>
      </c>
      <c r="Y53" s="45">
        <f t="shared" si="19"/>
        <v>837403.74151133897</v>
      </c>
      <c r="Z53" s="45">
        <f t="shared" si="19"/>
        <v>868654.13444992015</v>
      </c>
      <c r="AA53" s="45">
        <f t="shared" si="19"/>
        <v>853719.22152990324</v>
      </c>
      <c r="AB53" s="45">
        <f t="shared" si="19"/>
        <v>839269.00711797539</v>
      </c>
      <c r="AC53" s="45">
        <f t="shared" si="19"/>
        <v>812580.97285407968</v>
      </c>
      <c r="AD53" s="45">
        <f t="shared" si="19"/>
        <v>777265.58860658435</v>
      </c>
      <c r="AE53" s="45">
        <f t="shared" si="19"/>
        <v>747269.97763421643</v>
      </c>
      <c r="AF53" s="45">
        <f t="shared" si="19"/>
        <v>730908.65534341917</v>
      </c>
      <c r="AG53" s="46">
        <f>SUM(I53:AF53)</f>
        <v>17907128.374550804</v>
      </c>
    </row>
    <row r="54" spans="2:33" ht="14.4" x14ac:dyDescent="0.25">
      <c r="B54">
        <f t="shared" si="0"/>
        <v>10</v>
      </c>
      <c r="C54">
        <f t="shared" si="1"/>
        <v>2027</v>
      </c>
      <c r="D54" t="str">
        <f t="shared" ref="D54:D57" si="20">+_xlfn.CONCAT(B54:C54,G54)</f>
        <v>102027OR</v>
      </c>
      <c r="E54" s="67">
        <v>46661</v>
      </c>
      <c r="F54" s="72">
        <f>+AG58</f>
        <v>19277289.366523091</v>
      </c>
      <c r="G54" s="37" t="s">
        <v>57</v>
      </c>
      <c r="H54" s="37">
        <v>20</v>
      </c>
      <c r="I54" s="65">
        <v>25370.085288877417</v>
      </c>
      <c r="J54" s="65">
        <v>25023.039338054899</v>
      </c>
      <c r="K54" s="65">
        <v>24811.043461610894</v>
      </c>
      <c r="L54" s="65">
        <v>24751.305552895938</v>
      </c>
      <c r="M54" s="65">
        <v>24738.936296287109</v>
      </c>
      <c r="N54" s="65">
        <v>25037.335763218878</v>
      </c>
      <c r="O54" s="65">
        <v>25801.98341428347</v>
      </c>
      <c r="P54" s="65">
        <v>25563.59467908385</v>
      </c>
      <c r="Q54" s="65">
        <v>25399.25953661637</v>
      </c>
      <c r="R54" s="65">
        <v>24427.382714223</v>
      </c>
      <c r="S54" s="65">
        <v>25024.729504016279</v>
      </c>
      <c r="T54" s="65">
        <v>25628.015519747809</v>
      </c>
      <c r="U54" s="65">
        <v>25707.837521164929</v>
      </c>
      <c r="V54" s="65">
        <v>26188.564646304403</v>
      </c>
      <c r="W54" s="65">
        <v>27460.596957172791</v>
      </c>
      <c r="X54" s="65">
        <v>29018.686509878822</v>
      </c>
      <c r="Y54" s="65">
        <v>30227.235408761433</v>
      </c>
      <c r="Z54" s="65">
        <v>31206.071217593031</v>
      </c>
      <c r="AA54" s="65">
        <v>30513.740535759243</v>
      </c>
      <c r="AB54" s="65">
        <v>29900.033157450263</v>
      </c>
      <c r="AC54" s="65">
        <v>28928.587740992247</v>
      </c>
      <c r="AD54" s="65">
        <v>27650.702060118034</v>
      </c>
      <c r="AE54" s="65">
        <v>26566.945263279718</v>
      </c>
      <c r="AF54" s="65">
        <v>25994.02678249812</v>
      </c>
      <c r="AG54" s="38">
        <f>+SUM(I54:AF54)*H54</f>
        <v>12818794.777397778</v>
      </c>
    </row>
    <row r="55" spans="2:33" ht="14.4" x14ac:dyDescent="0.25">
      <c r="B55">
        <f t="shared" si="0"/>
        <v>10</v>
      </c>
      <c r="C55">
        <f t="shared" si="1"/>
        <v>2027</v>
      </c>
      <c r="D55" t="str">
        <f t="shared" si="20"/>
        <v>102027SA</v>
      </c>
      <c r="E55" s="68">
        <v>46661</v>
      </c>
      <c r="F55" s="73"/>
      <c r="G55" s="39" t="s">
        <v>60</v>
      </c>
      <c r="H55" s="39">
        <v>5</v>
      </c>
      <c r="I55" s="65">
        <v>25374.25974844498</v>
      </c>
      <c r="J55" s="65">
        <v>25011.966016195191</v>
      </c>
      <c r="K55" s="65">
        <v>24791.499611514984</v>
      </c>
      <c r="L55" s="65">
        <v>24700.188121181651</v>
      </c>
      <c r="M55" s="65">
        <v>24652.360651118099</v>
      </c>
      <c r="N55" s="65">
        <v>24785.115562573672</v>
      </c>
      <c r="O55" s="65">
        <v>25201.088785041749</v>
      </c>
      <c r="P55" s="65">
        <v>24502.026925038095</v>
      </c>
      <c r="Q55" s="65">
        <v>24051.856891342541</v>
      </c>
      <c r="R55" s="65">
        <v>23036.940138490405</v>
      </c>
      <c r="S55" s="65">
        <v>23555.843387978035</v>
      </c>
      <c r="T55" s="65">
        <v>24028.521683621831</v>
      </c>
      <c r="U55" s="65">
        <v>24114.198214561708</v>
      </c>
      <c r="V55" s="65">
        <v>24210.400634686215</v>
      </c>
      <c r="W55" s="65">
        <v>24969.551344856416</v>
      </c>
      <c r="X55" s="65">
        <v>26418.893762549142</v>
      </c>
      <c r="Y55" s="65">
        <v>27808.229984813777</v>
      </c>
      <c r="Z55" s="65">
        <v>29356.045692905434</v>
      </c>
      <c r="AA55" s="65">
        <v>29123.771065907542</v>
      </c>
      <c r="AB55" s="65">
        <v>28763.927020298015</v>
      </c>
      <c r="AC55" s="65">
        <v>27993.821979558212</v>
      </c>
      <c r="AD55" s="65">
        <v>26803.302552269761</v>
      </c>
      <c r="AE55" s="65">
        <v>25785.279926630421</v>
      </c>
      <c r="AF55" s="65">
        <v>25223.542426949891</v>
      </c>
      <c r="AG55" s="40">
        <f>+SUM(I55:AF55)*H55</f>
        <v>3071313.1606426393</v>
      </c>
    </row>
    <row r="56" spans="2:33" ht="14.4" x14ac:dyDescent="0.25">
      <c r="B56">
        <f t="shared" si="0"/>
        <v>10</v>
      </c>
      <c r="C56">
        <f t="shared" si="1"/>
        <v>2027</v>
      </c>
      <c r="D56" t="str">
        <f t="shared" si="20"/>
        <v>102027DO</v>
      </c>
      <c r="E56" s="68">
        <v>46661</v>
      </c>
      <c r="F56" s="73"/>
      <c r="G56" s="41" t="s">
        <v>58</v>
      </c>
      <c r="H56" s="41">
        <v>5</v>
      </c>
      <c r="I56" s="65">
        <v>24531.679290742737</v>
      </c>
      <c r="J56" s="65">
        <v>24245.656679573818</v>
      </c>
      <c r="K56" s="65">
        <v>24041.269977774064</v>
      </c>
      <c r="L56" s="65">
        <v>23919.073796951059</v>
      </c>
      <c r="M56" s="65">
        <v>23907.41015688052</v>
      </c>
      <c r="N56" s="65">
        <v>23746.723923598845</v>
      </c>
      <c r="O56" s="65">
        <v>23238.189103491612</v>
      </c>
      <c r="P56" s="65">
        <v>21855.827478487554</v>
      </c>
      <c r="Q56" s="65">
        <v>21629.902211806402</v>
      </c>
      <c r="R56" s="65">
        <v>20949.816453533509</v>
      </c>
      <c r="S56" s="65">
        <v>20621.52471895588</v>
      </c>
      <c r="T56" s="65">
        <v>20516.895523856991</v>
      </c>
      <c r="U56" s="65">
        <v>20807.775383091081</v>
      </c>
      <c r="V56" s="65">
        <v>21006.191740762799</v>
      </c>
      <c r="W56" s="65">
        <v>21714.452288906192</v>
      </c>
      <c r="X56" s="65">
        <v>23215.087988026062</v>
      </c>
      <c r="Y56" s="65">
        <v>24796.885548457853</v>
      </c>
      <c r="Z56" s="65">
        <v>26451.45734677781</v>
      </c>
      <c r="AA56" s="65">
        <v>26591.994604654523</v>
      </c>
      <c r="AB56" s="65">
        <v>26470.848135000608</v>
      </c>
      <c r="AC56" s="65">
        <v>25929.475000257153</v>
      </c>
      <c r="AD56" s="65">
        <v>25349.265940103272</v>
      </c>
      <c r="AE56" s="65">
        <v>24850.259565329521</v>
      </c>
      <c r="AF56" s="65">
        <v>24478.76942194334</v>
      </c>
      <c r="AG56" s="40">
        <f>+SUM(I56:AF56)*H56</f>
        <v>2824332.1613948159</v>
      </c>
    </row>
    <row r="57" spans="2:33" ht="14.4" x14ac:dyDescent="0.25">
      <c r="B57">
        <f t="shared" si="0"/>
        <v>10</v>
      </c>
      <c r="C57">
        <f t="shared" si="1"/>
        <v>2027</v>
      </c>
      <c r="D57" t="str">
        <f t="shared" si="20"/>
        <v>102027FE</v>
      </c>
      <c r="E57" s="68">
        <v>46661</v>
      </c>
      <c r="F57" s="73"/>
      <c r="G57" s="42" t="s">
        <v>59</v>
      </c>
      <c r="H57" s="42">
        <v>1</v>
      </c>
      <c r="I57" s="65">
        <v>24704.38235011042</v>
      </c>
      <c r="J57" s="65">
        <v>24427.557569781813</v>
      </c>
      <c r="K57" s="65">
        <v>24243.612775287445</v>
      </c>
      <c r="L57" s="65">
        <v>24133.782231197903</v>
      </c>
      <c r="M57" s="65">
        <v>24100.248979989134</v>
      </c>
      <c r="N57" s="65">
        <v>23734.80874747537</v>
      </c>
      <c r="O57" s="65">
        <v>23145.574972454648</v>
      </c>
      <c r="P57" s="65">
        <v>21543.859125528375</v>
      </c>
      <c r="Q57" s="65">
        <v>21031.033115889026</v>
      </c>
      <c r="R57" s="65">
        <v>20347.546857652371</v>
      </c>
      <c r="S57" s="65">
        <v>20074.853504900966</v>
      </c>
      <c r="T57" s="65">
        <v>20267.594885262224</v>
      </c>
      <c r="U57" s="65">
        <v>20849.056520111946</v>
      </c>
      <c r="V57" s="65">
        <v>21014.59379540864</v>
      </c>
      <c r="W57" s="65">
        <v>21698.598822025015</v>
      </c>
      <c r="X57" s="65">
        <v>23221.207292892221</v>
      </c>
      <c r="Y57" s="65">
        <v>24699.720120170918</v>
      </c>
      <c r="Z57" s="65">
        <v>26432.455272409759</v>
      </c>
      <c r="AA57" s="65">
        <v>26555.842347486468</v>
      </c>
      <c r="AB57" s="65">
        <v>26510.093862473295</v>
      </c>
      <c r="AC57" s="65">
        <v>25888.889384867973</v>
      </c>
      <c r="AD57" s="65">
        <v>25229.769504591648</v>
      </c>
      <c r="AE57" s="65">
        <v>24688.306797303499</v>
      </c>
      <c r="AF57" s="65">
        <v>24305.878252588242</v>
      </c>
      <c r="AG57" s="43">
        <f>+SUM(I57:AF57)*H57</f>
        <v>562849.26708785933</v>
      </c>
    </row>
    <row r="58" spans="2:33" ht="15" thickBot="1" x14ac:dyDescent="0.3">
      <c r="B58">
        <f t="shared" si="0"/>
        <v>10</v>
      </c>
      <c r="C58">
        <f t="shared" si="1"/>
        <v>2027</v>
      </c>
      <c r="D58" t="str">
        <f>+_xlfn.CONCAT(E58,G58)</f>
        <v>46661TOTAL</v>
      </c>
      <c r="E58" s="68">
        <v>46661</v>
      </c>
      <c r="F58" s="61"/>
      <c r="G58" s="44" t="s">
        <v>10</v>
      </c>
      <c r="H58" s="44">
        <f>+SUM(H54:H57)</f>
        <v>31</v>
      </c>
      <c r="I58" s="45">
        <f t="shared" ref="I58:AF58" si="21">+SUMPRODUCT(I54:I57,$H54:$H57)</f>
        <v>781635.7833235974</v>
      </c>
      <c r="J58" s="45">
        <f t="shared" si="21"/>
        <v>771176.45780972473</v>
      </c>
      <c r="K58" s="45">
        <f t="shared" si="21"/>
        <v>764628.32995395071</v>
      </c>
      <c r="L58" s="45">
        <f t="shared" si="21"/>
        <v>762256.2028797802</v>
      </c>
      <c r="M58" s="45">
        <f t="shared" si="21"/>
        <v>761677.82894572441</v>
      </c>
      <c r="N58" s="45">
        <f t="shared" si="21"/>
        <v>767140.72144271561</v>
      </c>
      <c r="O58" s="45">
        <f t="shared" si="21"/>
        <v>781381.63270079088</v>
      </c>
      <c r="P58" s="45">
        <f t="shared" si="21"/>
        <v>764605.02472483367</v>
      </c>
      <c r="Q58" s="45">
        <f t="shared" si="21"/>
        <v>757425.01936396118</v>
      </c>
      <c r="R58" s="45">
        <f t="shared" si="21"/>
        <v>728828.98410223192</v>
      </c>
      <c r="S58" s="45">
        <f t="shared" si="21"/>
        <v>741456.28411989613</v>
      </c>
      <c r="T58" s="45">
        <f t="shared" si="21"/>
        <v>755554.99131761247</v>
      </c>
      <c r="U58" s="45">
        <f t="shared" si="21"/>
        <v>759615.6749316745</v>
      </c>
      <c r="V58" s="45">
        <f t="shared" si="21"/>
        <v>770868.84859874169</v>
      </c>
      <c r="W58" s="45">
        <f t="shared" si="21"/>
        <v>804330.55613429379</v>
      </c>
      <c r="X58" s="45">
        <f t="shared" si="21"/>
        <v>851764.84624334471</v>
      </c>
      <c r="Y58" s="45">
        <f t="shared" si="21"/>
        <v>892270.00596175785</v>
      </c>
      <c r="Z58" s="45">
        <f t="shared" si="21"/>
        <v>929591.39482268656</v>
      </c>
      <c r="AA58" s="45">
        <f t="shared" si="21"/>
        <v>915409.48141548154</v>
      </c>
      <c r="AB58" s="45">
        <f t="shared" si="21"/>
        <v>900684.63278797164</v>
      </c>
      <c r="AC58" s="45">
        <f t="shared" si="21"/>
        <v>874077.1291037898</v>
      </c>
      <c r="AD58" s="45">
        <f t="shared" si="21"/>
        <v>839006.65316881728</v>
      </c>
      <c r="AE58" s="45">
        <f t="shared" si="21"/>
        <v>809204.90952269756</v>
      </c>
      <c r="AF58" s="45">
        <f t="shared" si="21"/>
        <v>792697.97314701683</v>
      </c>
      <c r="AG58" s="46">
        <f>SUM(I58:AF58)</f>
        <v>19277289.366523091</v>
      </c>
    </row>
    <row r="59" spans="2:33" ht="14.4" x14ac:dyDescent="0.25">
      <c r="B59">
        <f t="shared" si="0"/>
        <v>11</v>
      </c>
      <c r="C59">
        <f t="shared" si="1"/>
        <v>2027</v>
      </c>
      <c r="D59" t="str">
        <f t="shared" ref="D59:D62" si="22">+_xlfn.CONCAT(B59:C59,G59)</f>
        <v>112027OR</v>
      </c>
      <c r="E59" s="67">
        <v>46692</v>
      </c>
      <c r="F59" s="72">
        <f>+AG63</f>
        <v>17098385.953523383</v>
      </c>
      <c r="G59" s="37" t="s">
        <v>57</v>
      </c>
      <c r="H59" s="37">
        <v>20</v>
      </c>
      <c r="I59" s="65">
        <v>23189.357504836091</v>
      </c>
      <c r="J59" s="65">
        <v>22841.704540121613</v>
      </c>
      <c r="K59" s="65">
        <v>22629.25975399934</v>
      </c>
      <c r="L59" s="65">
        <v>22570.299947375559</v>
      </c>
      <c r="M59" s="65">
        <v>22555.543519191608</v>
      </c>
      <c r="N59" s="65">
        <v>22844.471299985045</v>
      </c>
      <c r="O59" s="65">
        <v>23643.66030809618</v>
      </c>
      <c r="P59" s="65">
        <v>24069.240065262391</v>
      </c>
      <c r="Q59" s="65">
        <v>24110.016325135304</v>
      </c>
      <c r="R59" s="65">
        <v>23808.995829536463</v>
      </c>
      <c r="S59" s="65">
        <v>24026.44384055736</v>
      </c>
      <c r="T59" s="65">
        <v>23766.091811456339</v>
      </c>
      <c r="U59" s="65">
        <v>23142.320890627034</v>
      </c>
      <c r="V59" s="65">
        <v>23203.773909782769</v>
      </c>
      <c r="W59" s="65">
        <v>23775.077422348822</v>
      </c>
      <c r="X59" s="65">
        <v>25517.906280025007</v>
      </c>
      <c r="Y59" s="65">
        <v>28118.728714220353</v>
      </c>
      <c r="Z59" s="65">
        <v>29055.954487811239</v>
      </c>
      <c r="AA59" s="65">
        <v>28364.478776483604</v>
      </c>
      <c r="AB59" s="65">
        <v>27729.012135028122</v>
      </c>
      <c r="AC59" s="65">
        <v>26756.110070608491</v>
      </c>
      <c r="AD59" s="65">
        <v>25475.020911337004</v>
      </c>
      <c r="AE59" s="65">
        <v>24389.176139151321</v>
      </c>
      <c r="AF59" s="65">
        <v>23816.05212764347</v>
      </c>
      <c r="AG59" s="38">
        <f>+SUM(I59:AF59)*H59</f>
        <v>11787973.932212414</v>
      </c>
    </row>
    <row r="60" spans="2:33" ht="14.4" x14ac:dyDescent="0.25">
      <c r="B60">
        <f t="shared" si="0"/>
        <v>11</v>
      </c>
      <c r="C60">
        <f t="shared" si="1"/>
        <v>2027</v>
      </c>
      <c r="D60" t="str">
        <f t="shared" si="22"/>
        <v>112027SA</v>
      </c>
      <c r="E60" s="68">
        <v>46692</v>
      </c>
      <c r="F60" s="73"/>
      <c r="G60" s="39" t="s">
        <v>60</v>
      </c>
      <c r="H60" s="39">
        <v>4</v>
      </c>
      <c r="I60" s="65">
        <v>23204.909638939091</v>
      </c>
      <c r="J60" s="65">
        <v>22842.047442222611</v>
      </c>
      <c r="K60" s="65">
        <v>22620.676927291541</v>
      </c>
      <c r="L60" s="65">
        <v>22527.226596121836</v>
      </c>
      <c r="M60" s="65">
        <v>22476.737269471196</v>
      </c>
      <c r="N60" s="65">
        <v>22597.226848308477</v>
      </c>
      <c r="O60" s="65">
        <v>23045.897643228236</v>
      </c>
      <c r="P60" s="65">
        <v>23011.264922587579</v>
      </c>
      <c r="Q60" s="65">
        <v>22764.986751678676</v>
      </c>
      <c r="R60" s="65">
        <v>22417.890919481637</v>
      </c>
      <c r="S60" s="65">
        <v>22558.247513067676</v>
      </c>
      <c r="T60" s="65">
        <v>22166.903959545147</v>
      </c>
      <c r="U60" s="65">
        <v>21548.486751184842</v>
      </c>
      <c r="V60" s="65">
        <v>21222.210703123725</v>
      </c>
      <c r="W60" s="65">
        <v>21279.817506438136</v>
      </c>
      <c r="X60" s="65">
        <v>22915.781134835284</v>
      </c>
      <c r="Y60" s="65">
        <v>25698.9579165459</v>
      </c>
      <c r="Z60" s="65">
        <v>27207.165252680439</v>
      </c>
      <c r="AA60" s="65">
        <v>26976.785962670227</v>
      </c>
      <c r="AB60" s="65">
        <v>26597.389154904551</v>
      </c>
      <c r="AC60" s="65">
        <v>25825.053632451963</v>
      </c>
      <c r="AD60" s="65">
        <v>24630.236242805084</v>
      </c>
      <c r="AE60" s="65">
        <v>23607.209760021578</v>
      </c>
      <c r="AF60" s="65">
        <v>23044.609696108906</v>
      </c>
      <c r="AG60" s="40">
        <f>+SUM(I60:AF60)*H60</f>
        <v>2251150.8805828569</v>
      </c>
    </row>
    <row r="61" spans="2:33" ht="14.4" x14ac:dyDescent="0.25">
      <c r="B61">
        <f t="shared" si="0"/>
        <v>11</v>
      </c>
      <c r="C61">
        <f t="shared" si="1"/>
        <v>2027</v>
      </c>
      <c r="D61" t="str">
        <f t="shared" si="22"/>
        <v>112027DO</v>
      </c>
      <c r="E61" s="68">
        <v>46692</v>
      </c>
      <c r="F61" s="73"/>
      <c r="G61" s="41" t="s">
        <v>58</v>
      </c>
      <c r="H61" s="41">
        <v>4</v>
      </c>
      <c r="I61" s="65">
        <v>22352.69982038168</v>
      </c>
      <c r="J61" s="65">
        <v>22064.295485314375</v>
      </c>
      <c r="K61" s="65">
        <v>21858.957467513017</v>
      </c>
      <c r="L61" s="65">
        <v>21735.523160117831</v>
      </c>
      <c r="M61" s="65">
        <v>21725.50081233084</v>
      </c>
      <c r="N61" s="65">
        <v>21548.156342651815</v>
      </c>
      <c r="O61" s="65">
        <v>21063.72811649257</v>
      </c>
      <c r="P61" s="65">
        <v>20007.098153816893</v>
      </c>
      <c r="Q61" s="65">
        <v>19626.515903349369</v>
      </c>
      <c r="R61" s="65">
        <v>19439.638912857441</v>
      </c>
      <c r="S61" s="65">
        <v>19014.897573419785</v>
      </c>
      <c r="T61" s="65">
        <v>18279.452333927187</v>
      </c>
      <c r="U61" s="65">
        <v>18213.934078789553</v>
      </c>
      <c r="V61" s="65">
        <v>17992.740713091978</v>
      </c>
      <c r="W61" s="65">
        <v>18000.489084692505</v>
      </c>
      <c r="X61" s="65">
        <v>19691.407909554568</v>
      </c>
      <c r="Y61" s="65">
        <v>22665.743787454565</v>
      </c>
      <c r="Z61" s="65">
        <v>24282.497644209685</v>
      </c>
      <c r="AA61" s="65">
        <v>24427.100459415968</v>
      </c>
      <c r="AB61" s="65">
        <v>24287.873862199533</v>
      </c>
      <c r="AC61" s="65">
        <v>23743.93827603279</v>
      </c>
      <c r="AD61" s="65">
        <v>23161.794881484624</v>
      </c>
      <c r="AE61" s="65">
        <v>22662.24737471974</v>
      </c>
      <c r="AF61" s="65">
        <v>22288.753326981754</v>
      </c>
      <c r="AG61" s="40">
        <f>+SUM(I61:AF61)*H61</f>
        <v>2040539.9419232006</v>
      </c>
    </row>
    <row r="62" spans="2:33" ht="14.4" x14ac:dyDescent="0.25">
      <c r="B62">
        <f t="shared" si="0"/>
        <v>11</v>
      </c>
      <c r="C62">
        <f t="shared" si="1"/>
        <v>2027</v>
      </c>
      <c r="D62" t="str">
        <f t="shared" si="22"/>
        <v>112027FE</v>
      </c>
      <c r="E62" s="68">
        <v>46692</v>
      </c>
      <c r="F62" s="73"/>
      <c r="G62" s="42" t="s">
        <v>59</v>
      </c>
      <c r="H62" s="42">
        <v>2</v>
      </c>
      <c r="I62" s="65">
        <v>22539.023957971098</v>
      </c>
      <c r="J62" s="65">
        <v>22259.400462652047</v>
      </c>
      <c r="K62" s="65">
        <v>22074.511640253702</v>
      </c>
      <c r="L62" s="65">
        <v>21963.192574582645</v>
      </c>
      <c r="M62" s="65">
        <v>21931.048024336618</v>
      </c>
      <c r="N62" s="65">
        <v>21547.738280895974</v>
      </c>
      <c r="O62" s="65">
        <v>20982.007405735494</v>
      </c>
      <c r="P62" s="65">
        <v>20040.029320978792</v>
      </c>
      <c r="Q62" s="65">
        <v>19148.992948111809</v>
      </c>
      <c r="R62" s="65">
        <v>18824.079678646194</v>
      </c>
      <c r="S62" s="65">
        <v>18641.469789904542</v>
      </c>
      <c r="T62" s="65">
        <v>18389.283644001021</v>
      </c>
      <c r="U62" s="65">
        <v>18271.057142530342</v>
      </c>
      <c r="V62" s="65">
        <v>18017.145142977177</v>
      </c>
      <c r="W62" s="65">
        <v>17999.86590667945</v>
      </c>
      <c r="X62" s="65">
        <v>19712.656850879663</v>
      </c>
      <c r="Y62" s="65">
        <v>22583.314002462146</v>
      </c>
      <c r="Z62" s="65">
        <v>24278.185777289844</v>
      </c>
      <c r="AA62" s="65">
        <v>24406.271944003289</v>
      </c>
      <c r="AB62" s="65">
        <v>24341.822016341226</v>
      </c>
      <c r="AC62" s="65">
        <v>23716.705171365662</v>
      </c>
      <c r="AD62" s="65">
        <v>23054.286988063242</v>
      </c>
      <c r="AE62" s="65">
        <v>22511.682457177907</v>
      </c>
      <c r="AF62" s="65">
        <v>22126.828274618812</v>
      </c>
      <c r="AG62" s="43">
        <f>+SUM(I62:AF62)*H62</f>
        <v>1018721.1988049174</v>
      </c>
    </row>
    <row r="63" spans="2:33" ht="15" thickBot="1" x14ac:dyDescent="0.3">
      <c r="B63">
        <f t="shared" si="0"/>
        <v>11</v>
      </c>
      <c r="C63">
        <f t="shared" si="1"/>
        <v>2027</v>
      </c>
      <c r="D63" t="str">
        <f>+_xlfn.CONCAT(E63,G63)</f>
        <v>46692TOTAL</v>
      </c>
      <c r="E63" s="68">
        <v>46692</v>
      </c>
      <c r="F63" s="61"/>
      <c r="G63" s="44" t="s">
        <v>10</v>
      </c>
      <c r="H63" s="44">
        <f>+SUM(H59:H62)</f>
        <v>30</v>
      </c>
      <c r="I63" s="45">
        <f t="shared" ref="I63:AF63" si="23">+SUMPRODUCT(I59:I62,$H59:$H62)</f>
        <v>691095.63584994711</v>
      </c>
      <c r="J63" s="45">
        <f t="shared" si="23"/>
        <v>680978.26343788428</v>
      </c>
      <c r="K63" s="45">
        <f t="shared" si="23"/>
        <v>674652.7559397124</v>
      </c>
      <c r="L63" s="45">
        <f t="shared" si="23"/>
        <v>672383.38312163518</v>
      </c>
      <c r="M63" s="45">
        <f t="shared" si="23"/>
        <v>671781.91875971353</v>
      </c>
      <c r="N63" s="45">
        <f t="shared" si="23"/>
        <v>676566.43532533408</v>
      </c>
      <c r="O63" s="45">
        <f t="shared" si="23"/>
        <v>691275.72401227779</v>
      </c>
      <c r="P63" s="45">
        <f t="shared" si="23"/>
        <v>693538.31225282326</v>
      </c>
      <c r="Q63" s="45">
        <f t="shared" si="23"/>
        <v>690064.3230190418</v>
      </c>
      <c r="R63" s="45">
        <f t="shared" si="23"/>
        <v>681258.19527737796</v>
      </c>
      <c r="S63" s="45">
        <f t="shared" si="23"/>
        <v>684104.39673690614</v>
      </c>
      <c r="T63" s="45">
        <f t="shared" si="23"/>
        <v>673885.82869101816</v>
      </c>
      <c r="U63" s="45">
        <f t="shared" si="23"/>
        <v>658438.21541749896</v>
      </c>
      <c r="V63" s="45">
        <f t="shared" si="23"/>
        <v>656969.5741464725</v>
      </c>
      <c r="W63" s="45">
        <f t="shared" si="23"/>
        <v>668622.5066248579</v>
      </c>
      <c r="X63" s="45">
        <f t="shared" si="23"/>
        <v>720212.19547981897</v>
      </c>
      <c r="Y63" s="45">
        <f t="shared" si="23"/>
        <v>801000.00910533324</v>
      </c>
      <c r="Z63" s="45">
        <f t="shared" si="23"/>
        <v>835634.1128983649</v>
      </c>
      <c r="AA63" s="45">
        <f t="shared" si="23"/>
        <v>821717.66510602343</v>
      </c>
      <c r="AB63" s="45">
        <f t="shared" si="23"/>
        <v>806804.93880166125</v>
      </c>
      <c r="AC63" s="45">
        <f t="shared" si="23"/>
        <v>780831.57938884012</v>
      </c>
      <c r="AD63" s="45">
        <f t="shared" si="23"/>
        <v>746777.11670002539</v>
      </c>
      <c r="AE63" s="45">
        <f t="shared" si="23"/>
        <v>717884.71623634745</v>
      </c>
      <c r="AF63" s="45">
        <f t="shared" si="23"/>
        <v>701908.15119446977</v>
      </c>
      <c r="AG63" s="46">
        <f>SUM(I63:AF63)</f>
        <v>17098385.953523383</v>
      </c>
    </row>
    <row r="64" spans="2:33" ht="14.4" x14ac:dyDescent="0.25">
      <c r="B64">
        <f t="shared" si="0"/>
        <v>12</v>
      </c>
      <c r="C64">
        <f t="shared" si="1"/>
        <v>2027</v>
      </c>
      <c r="D64" t="str">
        <f t="shared" ref="D64:D67" si="24">+_xlfn.CONCAT(B64:C64,G64)</f>
        <v>122027OR</v>
      </c>
      <c r="E64" s="67">
        <v>46722</v>
      </c>
      <c r="F64" s="72">
        <f>+AG68</f>
        <v>18753075.33644671</v>
      </c>
      <c r="G64" s="37" t="s">
        <v>57</v>
      </c>
      <c r="H64" s="37">
        <v>22</v>
      </c>
      <c r="I64" s="65">
        <v>24705.205279335667</v>
      </c>
      <c r="J64" s="65">
        <v>24357.640988860221</v>
      </c>
      <c r="K64" s="65">
        <v>24145.159675241328</v>
      </c>
      <c r="L64" s="65">
        <v>24084.690622706257</v>
      </c>
      <c r="M64" s="65">
        <v>24073.536295504713</v>
      </c>
      <c r="N64" s="65">
        <v>24372.116125652505</v>
      </c>
      <c r="O64" s="65">
        <v>25226.603342758604</v>
      </c>
      <c r="P64" s="65">
        <v>24663.674941002853</v>
      </c>
      <c r="Q64" s="65">
        <v>24279.975345346553</v>
      </c>
      <c r="R64" s="65">
        <v>23415.934623273148</v>
      </c>
      <c r="S64" s="65">
        <v>23812.186686808131</v>
      </c>
      <c r="T64" s="65">
        <v>24440.258731318187</v>
      </c>
      <c r="U64" s="65">
        <v>24241.68535640457</v>
      </c>
      <c r="V64" s="65">
        <v>24851.698763868058</v>
      </c>
      <c r="W64" s="65">
        <v>26218.945390271852</v>
      </c>
      <c r="X64" s="65">
        <v>28499.296415012508</v>
      </c>
      <c r="Y64" s="65">
        <v>29876.156764485047</v>
      </c>
      <c r="Z64" s="65">
        <v>30576.61135558959</v>
      </c>
      <c r="AA64" s="65">
        <v>29888.129337405946</v>
      </c>
      <c r="AB64" s="65">
        <v>29255.74438091139</v>
      </c>
      <c r="AC64" s="65">
        <v>28279.974967206126</v>
      </c>
      <c r="AD64" s="65">
        <v>26996.72437646646</v>
      </c>
      <c r="AE64" s="65">
        <v>25908.121093666647</v>
      </c>
      <c r="AF64" s="65">
        <v>25333.471169950328</v>
      </c>
      <c r="AG64" s="38">
        <f>+SUM(I64:AF64)*H64</f>
        <v>13673077.924639028</v>
      </c>
    </row>
    <row r="65" spans="2:33" ht="14.4" x14ac:dyDescent="0.25">
      <c r="B65">
        <f t="shared" si="0"/>
        <v>12</v>
      </c>
      <c r="C65">
        <f t="shared" si="1"/>
        <v>2027</v>
      </c>
      <c r="D65" t="str">
        <f t="shared" si="24"/>
        <v>122027SA</v>
      </c>
      <c r="E65" s="68">
        <v>46722</v>
      </c>
      <c r="F65" s="73"/>
      <c r="G65" s="39" t="s">
        <v>60</v>
      </c>
      <c r="H65" s="39">
        <v>3</v>
      </c>
      <c r="I65" s="65">
        <v>24715.172329672801</v>
      </c>
      <c r="J65" s="65">
        <v>24351.47857305767</v>
      </c>
      <c r="K65" s="65">
        <v>24129.33275079586</v>
      </c>
      <c r="L65" s="65">
        <v>24036.841620536186</v>
      </c>
      <c r="M65" s="65">
        <v>23989.977227840354</v>
      </c>
      <c r="N65" s="65">
        <v>24121.777840882511</v>
      </c>
      <c r="O65" s="65">
        <v>24624.191921228383</v>
      </c>
      <c r="P65" s="65">
        <v>23598.318758178852</v>
      </c>
      <c r="Q65" s="65">
        <v>22927.483228051438</v>
      </c>
      <c r="R65" s="65">
        <v>22263.296049023527</v>
      </c>
      <c r="S65" s="65">
        <v>22337.855460068036</v>
      </c>
      <c r="T65" s="65">
        <v>22833.410111615041</v>
      </c>
      <c r="U65" s="65">
        <v>22638.772174879326</v>
      </c>
      <c r="V65" s="65">
        <v>22861.623489713005</v>
      </c>
      <c r="W65" s="65">
        <v>23715.133953314114</v>
      </c>
      <c r="X65" s="65">
        <v>25886.77871223494</v>
      </c>
      <c r="Y65" s="65">
        <v>27444.692879653536</v>
      </c>
      <c r="Z65" s="65">
        <v>28715.782312534822</v>
      </c>
      <c r="AA65" s="65">
        <v>28491.371229014214</v>
      </c>
      <c r="AB65" s="65">
        <v>28111.816636608346</v>
      </c>
      <c r="AC65" s="65">
        <v>27336.955489894113</v>
      </c>
      <c r="AD65" s="65">
        <v>26140.615613440488</v>
      </c>
      <c r="AE65" s="65">
        <v>25117.271481979842</v>
      </c>
      <c r="AF65" s="65">
        <v>24553.686926171489</v>
      </c>
      <c r="AG65" s="40">
        <f>+SUM(I65:AF65)*H65</f>
        <v>1784830.9103111667</v>
      </c>
    </row>
    <row r="66" spans="2:33" ht="14.4" x14ac:dyDescent="0.25">
      <c r="B66">
        <f t="shared" si="0"/>
        <v>12</v>
      </c>
      <c r="C66">
        <f t="shared" si="1"/>
        <v>2027</v>
      </c>
      <c r="D66" t="str">
        <f t="shared" si="24"/>
        <v>122027DO</v>
      </c>
      <c r="E66" s="68">
        <v>46722</v>
      </c>
      <c r="F66" s="73"/>
      <c r="G66" s="41" t="s">
        <v>58</v>
      </c>
      <c r="H66" s="41">
        <v>4</v>
      </c>
      <c r="I66" s="65">
        <v>23837.288416689604</v>
      </c>
      <c r="J66" s="65">
        <v>23550.618936218605</v>
      </c>
      <c r="K66" s="65">
        <v>23346.025806711521</v>
      </c>
      <c r="L66" s="65">
        <v>23223.49955653699</v>
      </c>
      <c r="M66" s="65">
        <v>23211.703067706054</v>
      </c>
      <c r="N66" s="65">
        <v>23047.179017920163</v>
      </c>
      <c r="O66" s="65">
        <v>22619.85280529088</v>
      </c>
      <c r="P66" s="65">
        <v>21702.322152227476</v>
      </c>
      <c r="Q66" s="65">
        <v>21542.347532094456</v>
      </c>
      <c r="R66" s="65">
        <v>20838.413126556523</v>
      </c>
      <c r="S66" s="65">
        <v>19917.671663251327</v>
      </c>
      <c r="T66" s="65">
        <v>19857.020163565532</v>
      </c>
      <c r="U66" s="65">
        <v>19514.037806538538</v>
      </c>
      <c r="V66" s="65">
        <v>19610.965884097073</v>
      </c>
      <c r="W66" s="65">
        <v>20413.161509717786</v>
      </c>
      <c r="X66" s="65">
        <v>22636.592685812517</v>
      </c>
      <c r="Y66" s="65">
        <v>24387.068222422255</v>
      </c>
      <c r="Z66" s="65">
        <v>25765.915742009471</v>
      </c>
      <c r="AA66" s="65">
        <v>25916.256807542377</v>
      </c>
      <c r="AB66" s="65">
        <v>25778.936463056642</v>
      </c>
      <c r="AC66" s="65">
        <v>25235.61142286344</v>
      </c>
      <c r="AD66" s="65">
        <v>24653.714603958171</v>
      </c>
      <c r="AE66" s="65">
        <v>24153.69966506293</v>
      </c>
      <c r="AF66" s="65">
        <v>23781.591781975905</v>
      </c>
      <c r="AG66" s="40">
        <f>+SUM(I66:AF66)*H66</f>
        <v>2194165.979359305</v>
      </c>
    </row>
    <row r="67" spans="2:33" ht="14.4" x14ac:dyDescent="0.25">
      <c r="B67">
        <f t="shared" si="0"/>
        <v>12</v>
      </c>
      <c r="C67">
        <f t="shared" si="1"/>
        <v>2027</v>
      </c>
      <c r="D67" t="str">
        <f t="shared" si="24"/>
        <v>122027FE</v>
      </c>
      <c r="E67" s="68">
        <v>46722</v>
      </c>
      <c r="F67" s="73"/>
      <c r="G67" s="42" t="s">
        <v>59</v>
      </c>
      <c r="H67" s="42">
        <v>2</v>
      </c>
      <c r="I67" s="65">
        <v>24124.01284810483</v>
      </c>
      <c r="J67" s="65">
        <v>23845.278021006539</v>
      </c>
      <c r="K67" s="65">
        <v>23661.269111889385</v>
      </c>
      <c r="L67" s="65">
        <v>23549.404568536076</v>
      </c>
      <c r="M67" s="65">
        <v>23520.972732486189</v>
      </c>
      <c r="N67" s="65">
        <v>23172.915752121175</v>
      </c>
      <c r="O67" s="65">
        <v>22686.814953836583</v>
      </c>
      <c r="P67" s="65">
        <v>21394.721171169891</v>
      </c>
      <c r="Q67" s="65">
        <v>21315.345792405948</v>
      </c>
      <c r="R67" s="65">
        <v>20903.341326568298</v>
      </c>
      <c r="S67" s="65">
        <v>19765.064231020959</v>
      </c>
      <c r="T67" s="65">
        <v>19391.964945416737</v>
      </c>
      <c r="U67" s="65">
        <v>19515.70165706813</v>
      </c>
      <c r="V67" s="65">
        <v>19812.005586512198</v>
      </c>
      <c r="W67" s="65">
        <v>20589.374442304885</v>
      </c>
      <c r="X67" s="65">
        <v>22833.131634209421</v>
      </c>
      <c r="Y67" s="65">
        <v>24486.380578253273</v>
      </c>
      <c r="Z67" s="65">
        <v>25929.35854094669</v>
      </c>
      <c r="AA67" s="65">
        <v>26060.904539936499</v>
      </c>
      <c r="AB67" s="65">
        <v>25985.155259019346</v>
      </c>
      <c r="AC67" s="65">
        <v>25359.539495185381</v>
      </c>
      <c r="AD67" s="65">
        <v>24691.564503978545</v>
      </c>
      <c r="AE67" s="65">
        <v>24146.287112213133</v>
      </c>
      <c r="AF67" s="65">
        <v>23759.752264416522</v>
      </c>
      <c r="AG67" s="43">
        <f>+SUM(I67:AF67)*H67</f>
        <v>1101000.5221372135</v>
      </c>
    </row>
    <row r="68" spans="2:33" ht="15" thickBot="1" x14ac:dyDescent="0.3">
      <c r="D68" t="str">
        <f>+_xlfn.CONCAT(E68,G68)</f>
        <v>46722TOTAL</v>
      </c>
      <c r="E68" s="68">
        <v>46722</v>
      </c>
      <c r="F68" s="74"/>
      <c r="G68" s="44" t="s">
        <v>10</v>
      </c>
      <c r="H68" s="44">
        <f>+SUM(H64:H67)</f>
        <v>31</v>
      </c>
      <c r="I68" s="45">
        <f t="shared" ref="I68:AF68" si="25">+SUMPRODUCT(I64:I67,$H64:$H67)</f>
        <v>761257.21249737113</v>
      </c>
      <c r="J68" s="45">
        <f t="shared" si="25"/>
        <v>750815.56926098547</v>
      </c>
      <c r="K68" s="45">
        <f t="shared" si="25"/>
        <v>744288.1525583216</v>
      </c>
      <c r="L68" s="45">
        <f t="shared" si="25"/>
        <v>741966.52592436632</v>
      </c>
      <c r="M68" s="45">
        <f t="shared" si="25"/>
        <v>741476.48792042129</v>
      </c>
      <c r="N68" s="45">
        <f t="shared" si="25"/>
        <v>747086.4358629256</v>
      </c>
      <c r="O68" s="45">
        <f t="shared" si="25"/>
        <v>764710.89043321111</v>
      </c>
      <c r="P68" s="45">
        <f t="shared" si="25"/>
        <v>742994.53592784901</v>
      </c>
      <c r="Q68" s="45">
        <f t="shared" si="25"/>
        <v>731741.98899496824</v>
      </c>
      <c r="R68" s="45">
        <f t="shared" si="25"/>
        <v>707100.78501844243</v>
      </c>
      <c r="S68" s="45">
        <f t="shared" si="25"/>
        <v>710082.48860503023</v>
      </c>
      <c r="T68" s="45">
        <f t="shared" si="25"/>
        <v>724397.93296894082</v>
      </c>
      <c r="U68" s="45">
        <f t="shared" si="25"/>
        <v>718320.94890582887</v>
      </c>
      <c r="V68" s="45">
        <f t="shared" si="25"/>
        <v>733390.11798364902</v>
      </c>
      <c r="W68" s="45">
        <f t="shared" si="25"/>
        <v>770793.59536940407</v>
      </c>
      <c r="X68" s="45">
        <f t="shared" si="25"/>
        <v>840857.49127864884</v>
      </c>
      <c r="Y68" s="45">
        <f t="shared" si="25"/>
        <v>886130.56150382734</v>
      </c>
      <c r="Z68" s="45">
        <f t="shared" si="25"/>
        <v>913755.17681050673</v>
      </c>
      <c r="AA68" s="45">
        <f t="shared" si="25"/>
        <v>898799.79542001593</v>
      </c>
      <c r="AB68" s="45">
        <f t="shared" si="25"/>
        <v>883047.88266014075</v>
      </c>
      <c r="AC68" s="45">
        <f t="shared" si="25"/>
        <v>855831.84043004154</v>
      </c>
      <c r="AD68" s="45">
        <f t="shared" si="25"/>
        <v>820347.77054637333</v>
      </c>
      <c r="AE68" s="45">
        <f t="shared" si="25"/>
        <v>790237.85139128368</v>
      </c>
      <c r="AF68" s="45">
        <f t="shared" si="25"/>
        <v>773643.29817415844</v>
      </c>
      <c r="AG68" s="46">
        <f>SUM(I68:AF68)</f>
        <v>18753075.33644671</v>
      </c>
    </row>
    <row r="69" spans="2:33" ht="14.4" x14ac:dyDescent="0.25">
      <c r="B69">
        <f>+MONTH(E69)</f>
        <v>1</v>
      </c>
      <c r="C69">
        <f>+YEAR(E69)</f>
        <v>2028</v>
      </c>
      <c r="D69" t="str">
        <f>+_xlfn.CONCAT(B69:C69,G69)</f>
        <v>12028OR</v>
      </c>
      <c r="E69" s="67">
        <v>46753</v>
      </c>
      <c r="F69" s="72">
        <f>+AG73</f>
        <v>30355853.415041685</v>
      </c>
      <c r="G69" s="37" t="s">
        <v>57</v>
      </c>
      <c r="H69" s="37">
        <v>20</v>
      </c>
      <c r="I69" s="65">
        <v>37120.466346889734</v>
      </c>
      <c r="J69" s="65">
        <v>36601.725636685747</v>
      </c>
      <c r="K69" s="65">
        <v>36362.04164277915</v>
      </c>
      <c r="L69" s="65">
        <v>35924.088328837519</v>
      </c>
      <c r="M69" s="65">
        <v>36395.057066732203</v>
      </c>
      <c r="N69" s="65">
        <v>36762.33444073901</v>
      </c>
      <c r="O69" s="65">
        <v>38233.495717997044</v>
      </c>
      <c r="P69" s="65">
        <v>38071.778019087506</v>
      </c>
      <c r="Q69" s="65">
        <v>38029.501538342221</v>
      </c>
      <c r="R69" s="65">
        <v>37792.542452553855</v>
      </c>
      <c r="S69" s="65">
        <v>38983.560032012952</v>
      </c>
      <c r="T69" s="65">
        <v>39632.592104500844</v>
      </c>
      <c r="U69" s="65">
        <v>39595.922876330711</v>
      </c>
      <c r="V69" s="65">
        <v>40178.461327528617</v>
      </c>
      <c r="W69" s="65">
        <v>42356.823932520594</v>
      </c>
      <c r="X69" s="65">
        <v>44108.573774573597</v>
      </c>
      <c r="Y69" s="65">
        <v>46256.643854192094</v>
      </c>
      <c r="Z69" s="65">
        <v>47707.438332150261</v>
      </c>
      <c r="AA69" s="65">
        <v>47365.57451125895</v>
      </c>
      <c r="AB69" s="65">
        <v>45692.636649656582</v>
      </c>
      <c r="AC69" s="65">
        <v>44560.133710346563</v>
      </c>
      <c r="AD69" s="65">
        <v>41682.818309492883</v>
      </c>
      <c r="AE69" s="65">
        <v>39709.906328014986</v>
      </c>
      <c r="AF69" s="65">
        <v>38084.39060354136</v>
      </c>
      <c r="AG69" s="38">
        <f>ROUND(SUM(I69:AF69)*H69,2)</f>
        <v>19344170.149999999</v>
      </c>
    </row>
    <row r="70" spans="2:33" ht="14.4" x14ac:dyDescent="0.25">
      <c r="B70">
        <f t="shared" ref="B70:B127" si="26">+MONTH(E70)</f>
        <v>1</v>
      </c>
      <c r="C70">
        <f t="shared" ref="C70:C127" si="27">+YEAR(E70)</f>
        <v>2028</v>
      </c>
      <c r="D70" t="str">
        <f t="shared" ref="D70:D72" si="28">+_xlfn.CONCAT(B70:C70,G70)</f>
        <v>12028SA</v>
      </c>
      <c r="E70" s="68">
        <v>46753</v>
      </c>
      <c r="F70" s="73"/>
      <c r="G70" s="39" t="s">
        <v>60</v>
      </c>
      <c r="H70" s="39">
        <v>4</v>
      </c>
      <c r="I70" s="65">
        <v>39162.315065146344</v>
      </c>
      <c r="J70" s="65">
        <v>38772.998485957796</v>
      </c>
      <c r="K70" s="65">
        <v>38056.498926246742</v>
      </c>
      <c r="L70" s="65">
        <v>37435.570799692781</v>
      </c>
      <c r="M70" s="65">
        <v>37659.936189418862</v>
      </c>
      <c r="N70" s="65">
        <v>37668.542708741312</v>
      </c>
      <c r="O70" s="65">
        <v>39250.510896542837</v>
      </c>
      <c r="P70" s="65">
        <v>38129.605942547911</v>
      </c>
      <c r="Q70" s="65">
        <v>37683.14219424843</v>
      </c>
      <c r="R70" s="65">
        <v>37671.875559559368</v>
      </c>
      <c r="S70" s="65">
        <v>39133.636878678488</v>
      </c>
      <c r="T70" s="65">
        <v>39460.41596266962</v>
      </c>
      <c r="U70" s="65">
        <v>39218.891154262834</v>
      </c>
      <c r="V70" s="65">
        <v>39105.788420655248</v>
      </c>
      <c r="W70" s="65">
        <v>40202.183651553125</v>
      </c>
      <c r="X70" s="65">
        <v>41996.771175301474</v>
      </c>
      <c r="Y70" s="65">
        <v>44483.394988429587</v>
      </c>
      <c r="Z70" s="65">
        <v>46700.625086251988</v>
      </c>
      <c r="AA70" s="65">
        <v>47094.049195258907</v>
      </c>
      <c r="AB70" s="65">
        <v>45674.897519806735</v>
      </c>
      <c r="AC70" s="65">
        <v>44276.2143362606</v>
      </c>
      <c r="AD70" s="65">
        <v>41784.021328902651</v>
      </c>
      <c r="AE70" s="65">
        <v>39876.774189508629</v>
      </c>
      <c r="AF70" s="65">
        <v>38894.486000538658</v>
      </c>
      <c r="AG70" s="40">
        <f>ROUND(SUM(I70:AF70)*H70,2)</f>
        <v>3877572.59</v>
      </c>
    </row>
    <row r="71" spans="2:33" ht="14.4" x14ac:dyDescent="0.25">
      <c r="B71">
        <f t="shared" si="26"/>
        <v>1</v>
      </c>
      <c r="C71">
        <f t="shared" si="27"/>
        <v>2028</v>
      </c>
      <c r="D71" t="str">
        <f t="shared" si="28"/>
        <v>12028DO</v>
      </c>
      <c r="E71" s="68">
        <v>46753</v>
      </c>
      <c r="F71" s="73"/>
      <c r="G71" s="41" t="s">
        <v>58</v>
      </c>
      <c r="H71" s="41">
        <v>5</v>
      </c>
      <c r="I71" s="65">
        <v>42230.438888289085</v>
      </c>
      <c r="J71" s="65">
        <v>41424.176926195112</v>
      </c>
      <c r="K71" s="65">
        <v>40989.314191491139</v>
      </c>
      <c r="L71" s="65">
        <v>40676.764229320979</v>
      </c>
      <c r="M71" s="65">
        <v>40585.427610147803</v>
      </c>
      <c r="N71" s="65">
        <v>40014.9474542264</v>
      </c>
      <c r="O71" s="65">
        <v>40046.361560543708</v>
      </c>
      <c r="P71" s="65">
        <v>38475.649988184217</v>
      </c>
      <c r="Q71" s="65">
        <v>37603.688202721649</v>
      </c>
      <c r="R71" s="65">
        <v>37158.380007162516</v>
      </c>
      <c r="S71" s="65">
        <v>38626.598082867902</v>
      </c>
      <c r="T71" s="65">
        <v>40094.566867028756</v>
      </c>
      <c r="U71" s="65">
        <v>41372.894882857989</v>
      </c>
      <c r="V71" s="65">
        <v>42343.5396694929</v>
      </c>
      <c r="W71" s="65">
        <v>43493.934519728333</v>
      </c>
      <c r="X71" s="65">
        <v>44702.936540281014</v>
      </c>
      <c r="Y71" s="65">
        <v>47030.212585563262</v>
      </c>
      <c r="Z71" s="65">
        <v>49588.661468368948</v>
      </c>
      <c r="AA71" s="65">
        <v>50471.200035720161</v>
      </c>
      <c r="AB71" s="65">
        <v>49287.732904370547</v>
      </c>
      <c r="AC71" s="65">
        <v>47694.798022364033</v>
      </c>
      <c r="AD71" s="65">
        <v>45794.581005369524</v>
      </c>
      <c r="AE71" s="65">
        <v>44058.24902177506</v>
      </c>
      <c r="AF71" s="65">
        <v>42900.813249635867</v>
      </c>
      <c r="AG71" s="40">
        <f>ROUND(SUM(I71:AF71)*H71,2)</f>
        <v>5133329.34</v>
      </c>
    </row>
    <row r="72" spans="2:33" ht="14.4" x14ac:dyDescent="0.25">
      <c r="B72">
        <f t="shared" si="26"/>
        <v>1</v>
      </c>
      <c r="C72">
        <f t="shared" si="27"/>
        <v>2028</v>
      </c>
      <c r="D72" t="str">
        <f t="shared" si="28"/>
        <v>12028FE</v>
      </c>
      <c r="E72" s="68">
        <v>46753</v>
      </c>
      <c r="F72" s="73"/>
      <c r="G72" s="42" t="s">
        <v>59</v>
      </c>
      <c r="H72" s="42">
        <v>2</v>
      </c>
      <c r="I72" s="65">
        <v>38388.25675619601</v>
      </c>
      <c r="J72" s="65">
        <v>37793.203841069728</v>
      </c>
      <c r="K72" s="65">
        <v>37465.839991200286</v>
      </c>
      <c r="L72" s="65">
        <v>37219.98286296639</v>
      </c>
      <c r="M72" s="65">
        <v>37534.411576616767</v>
      </c>
      <c r="N72" s="65">
        <v>38488.818375876945</v>
      </c>
      <c r="O72" s="65">
        <v>39944.619292092495</v>
      </c>
      <c r="P72" s="65">
        <v>38554.12589513624</v>
      </c>
      <c r="Q72" s="65">
        <v>37409.02170762101</v>
      </c>
      <c r="R72" s="65">
        <v>36907.947016479055</v>
      </c>
      <c r="S72" s="65">
        <v>38177.183906410457</v>
      </c>
      <c r="T72" s="65">
        <v>39789.121685784121</v>
      </c>
      <c r="U72" s="65">
        <v>41037.854692656489</v>
      </c>
      <c r="V72" s="65">
        <v>41825.068389292588</v>
      </c>
      <c r="W72" s="65">
        <v>43178.704699017391</v>
      </c>
      <c r="X72" s="65">
        <v>44307.815851527062</v>
      </c>
      <c r="Y72" s="65">
        <v>46992.646173535679</v>
      </c>
      <c r="Z72" s="65">
        <v>49029.47193329451</v>
      </c>
      <c r="AA72" s="65">
        <v>49347.392975153467</v>
      </c>
      <c r="AB72" s="65">
        <v>48130.074054458863</v>
      </c>
      <c r="AC72" s="65">
        <v>47075.108781283008</v>
      </c>
      <c r="AD72" s="65">
        <v>45289.902140295788</v>
      </c>
      <c r="AE72" s="65">
        <v>43773.191480740505</v>
      </c>
      <c r="AF72" s="65">
        <v>42730.904977861806</v>
      </c>
      <c r="AG72" s="43">
        <f>ROUND(SUM(I72:AF72)*H72,2)</f>
        <v>2000781.34</v>
      </c>
    </row>
    <row r="73" spans="2:33" ht="15" thickBot="1" x14ac:dyDescent="0.3">
      <c r="B73">
        <f t="shared" si="26"/>
        <v>1</v>
      </c>
      <c r="C73">
        <f t="shared" si="27"/>
        <v>2028</v>
      </c>
      <c r="D73" t="str">
        <f>+_xlfn.CONCAT(E73,G73)</f>
        <v>46753TOTAL</v>
      </c>
      <c r="E73" s="68">
        <v>46753</v>
      </c>
      <c r="F73" s="61"/>
      <c r="G73" s="44" t="s">
        <v>10</v>
      </c>
      <c r="H73" s="44">
        <f>+SUM(H69:H72)</f>
        <v>31</v>
      </c>
      <c r="I73" s="45">
        <f t="shared" ref="I73:AF73" si="29">+SUMPRODUCT(I69:I72,$H69:$H72)</f>
        <v>1186987.2951522176</v>
      </c>
      <c r="J73" s="45">
        <f t="shared" si="29"/>
        <v>1169833.798990661</v>
      </c>
      <c r="K73" s="45">
        <f t="shared" si="29"/>
        <v>1159345.0795004261</v>
      </c>
      <c r="L73" s="45">
        <f t="shared" si="29"/>
        <v>1146047.8366480591</v>
      </c>
      <c r="M73" s="45">
        <f t="shared" si="29"/>
        <v>1156536.8472962922</v>
      </c>
      <c r="N73" s="45">
        <f t="shared" si="29"/>
        <v>1162973.2336726314</v>
      </c>
      <c r="O73" s="45">
        <f t="shared" si="29"/>
        <v>1201793.0043330158</v>
      </c>
      <c r="P73" s="45">
        <f t="shared" si="29"/>
        <v>1183440.4858831353</v>
      </c>
      <c r="Q73" s="45">
        <f t="shared" si="29"/>
        <v>1174159.0839726885</v>
      </c>
      <c r="R73" s="45">
        <f t="shared" si="29"/>
        <v>1166146.1453580854</v>
      </c>
      <c r="S73" s="45">
        <f t="shared" si="29"/>
        <v>1205693.1063821334</v>
      </c>
      <c r="T73" s="45">
        <f t="shared" si="29"/>
        <v>1230544.5836474074</v>
      </c>
      <c r="U73" s="45">
        <f t="shared" si="29"/>
        <v>1237734.2059432683</v>
      </c>
      <c r="V73" s="45">
        <f t="shared" si="29"/>
        <v>1255360.2153592429</v>
      </c>
      <c r="W73" s="45">
        <f t="shared" si="29"/>
        <v>1311772.2952533006</v>
      </c>
      <c r="X73" s="45">
        <f t="shared" si="29"/>
        <v>1362288.8745971371</v>
      </c>
      <c r="Y73" s="45">
        <f t="shared" si="29"/>
        <v>1432202.8123124479</v>
      </c>
      <c r="Z73" s="45">
        <f t="shared" si="29"/>
        <v>1486953.5181964471</v>
      </c>
      <c r="AA73" s="45">
        <f t="shared" si="29"/>
        <v>1486738.4731351226</v>
      </c>
      <c r="AB73" s="45">
        <f t="shared" si="29"/>
        <v>1439251.135703129</v>
      </c>
      <c r="AC73" s="45">
        <f t="shared" si="29"/>
        <v>1400931.7392263599</v>
      </c>
      <c r="AD73" s="45">
        <f t="shared" si="29"/>
        <v>1320345.1608129076</v>
      </c>
      <c r="AE73" s="45">
        <f t="shared" si="29"/>
        <v>1261542.8513886905</v>
      </c>
      <c r="AF73" s="45">
        <f t="shared" si="29"/>
        <v>1217231.6322768847</v>
      </c>
      <c r="AG73" s="46">
        <f>SUM(I73:AF73)</f>
        <v>30355853.415041685</v>
      </c>
    </row>
    <row r="74" spans="2:33" ht="14.4" x14ac:dyDescent="0.25">
      <c r="B74">
        <f t="shared" si="26"/>
        <v>2</v>
      </c>
      <c r="C74">
        <f t="shared" si="27"/>
        <v>2028</v>
      </c>
      <c r="D74" t="str">
        <f t="shared" ref="D74:D77" si="30">+_xlfn.CONCAT(B74:C74,G74)</f>
        <v>22028OR</v>
      </c>
      <c r="E74" s="67">
        <v>46784</v>
      </c>
      <c r="F74" s="72">
        <f>+AG78</f>
        <v>28797789.746551618</v>
      </c>
      <c r="G74" s="37" t="s">
        <v>57</v>
      </c>
      <c r="H74" s="37">
        <v>21</v>
      </c>
      <c r="I74" s="65">
        <v>37671.584918318302</v>
      </c>
      <c r="J74" s="65">
        <v>37140.264208114335</v>
      </c>
      <c r="K74" s="65">
        <v>36904.460214207735</v>
      </c>
      <c r="L74" s="65">
        <v>36459.346900266093</v>
      </c>
      <c r="M74" s="65">
        <v>36961.59563816079</v>
      </c>
      <c r="N74" s="65">
        <v>37382.093012167585</v>
      </c>
      <c r="O74" s="65">
        <v>39007.414289425586</v>
      </c>
      <c r="P74" s="65">
        <v>38938.616590516052</v>
      </c>
      <c r="Q74" s="65">
        <v>38983.180109770816</v>
      </c>
      <c r="R74" s="65">
        <v>38798.681023982434</v>
      </c>
      <c r="S74" s="65">
        <v>40068.248603441505</v>
      </c>
      <c r="T74" s="65">
        <v>40753.900675929399</v>
      </c>
      <c r="U74" s="65">
        <v>40695.301447759281</v>
      </c>
      <c r="V74" s="65">
        <v>41258.42989895722</v>
      </c>
      <c r="W74" s="65">
        <v>43441.812503949172</v>
      </c>
      <c r="X74" s="65">
        <v>45197.462346002176</v>
      </c>
      <c r="Y74" s="65">
        <v>47342.652425620654</v>
      </c>
      <c r="Z74" s="65">
        <v>48746.656903578856</v>
      </c>
      <c r="AA74" s="65">
        <v>48316.863082687494</v>
      </c>
      <c r="AB74" s="65">
        <v>46562.845221085183</v>
      </c>
      <c r="AC74" s="65">
        <v>45383.402281775125</v>
      </c>
      <c r="AD74" s="65">
        <v>42416.506880921443</v>
      </c>
      <c r="AE74" s="65">
        <v>40358.964899443541</v>
      </c>
      <c r="AF74" s="65">
        <v>38706.099174969924</v>
      </c>
      <c r="AG74" s="38">
        <f>+SUM(I74:AF74)*H74</f>
        <v>20737424.048272066</v>
      </c>
    </row>
    <row r="75" spans="2:33" ht="14.4" x14ac:dyDescent="0.25">
      <c r="B75">
        <f t="shared" si="26"/>
        <v>2</v>
      </c>
      <c r="C75">
        <f t="shared" si="27"/>
        <v>2028</v>
      </c>
      <c r="D75" t="str">
        <f t="shared" si="30"/>
        <v>22028SA</v>
      </c>
      <c r="E75" s="68">
        <v>46784</v>
      </c>
      <c r="F75" s="73"/>
      <c r="G75" s="39" t="s">
        <v>60</v>
      </c>
      <c r="H75" s="39">
        <v>4</v>
      </c>
      <c r="I75" s="65">
        <v>39602.105065146345</v>
      </c>
      <c r="J75" s="65">
        <v>39182.9084859578</v>
      </c>
      <c r="K75" s="65">
        <v>38447.028926246741</v>
      </c>
      <c r="L75" s="65">
        <v>37807.070799692789</v>
      </c>
      <c r="M75" s="65">
        <v>38059.266189418864</v>
      </c>
      <c r="N75" s="65">
        <v>38100.182708741311</v>
      </c>
      <c r="O75" s="65">
        <v>39759.780896542841</v>
      </c>
      <c r="P75" s="65">
        <v>38689.725942547913</v>
      </c>
      <c r="Q75" s="65">
        <v>38299.382194248428</v>
      </c>
      <c r="R75" s="65">
        <v>38303.715559559387</v>
      </c>
      <c r="S75" s="65">
        <v>39831.936878678505</v>
      </c>
      <c r="T75" s="65">
        <v>40151.125962669626</v>
      </c>
      <c r="U75" s="65">
        <v>39869.671154262847</v>
      </c>
      <c r="V75" s="65">
        <v>39696.418420655238</v>
      </c>
      <c r="W75" s="65">
        <v>40803.833651553141</v>
      </c>
      <c r="X75" s="65">
        <v>42603.931175301477</v>
      </c>
      <c r="Y75" s="65">
        <v>45085.354988429594</v>
      </c>
      <c r="Z75" s="65">
        <v>47302.365086252008</v>
      </c>
      <c r="AA75" s="65">
        <v>47688.319195258911</v>
      </c>
      <c r="AB75" s="65">
        <v>46180.73751980676</v>
      </c>
      <c r="AC75" s="65">
        <v>44732.194336260603</v>
      </c>
      <c r="AD75" s="65">
        <v>42172.901328902648</v>
      </c>
      <c r="AE75" s="65">
        <v>40203.604189508631</v>
      </c>
      <c r="AF75" s="65">
        <v>39192.036000538661</v>
      </c>
      <c r="AG75" s="40">
        <f>+SUM(I75:AF75)*H75</f>
        <v>3927062.3866247232</v>
      </c>
    </row>
    <row r="76" spans="2:33" ht="14.4" x14ac:dyDescent="0.25">
      <c r="B76">
        <f t="shared" si="26"/>
        <v>2</v>
      </c>
      <c r="C76">
        <f t="shared" si="27"/>
        <v>2028</v>
      </c>
      <c r="D76" t="str">
        <f t="shared" si="30"/>
        <v>22028DO</v>
      </c>
      <c r="E76" s="68">
        <v>46784</v>
      </c>
      <c r="F76" s="73"/>
      <c r="G76" s="41" t="s">
        <v>58</v>
      </c>
      <c r="H76" s="41">
        <v>4</v>
      </c>
      <c r="I76" s="65">
        <v>42453.218888289077</v>
      </c>
      <c r="J76" s="65">
        <v>41621.936926195121</v>
      </c>
      <c r="K76" s="65">
        <v>41212.10419149114</v>
      </c>
      <c r="L76" s="65">
        <v>40890.034229320983</v>
      </c>
      <c r="M76" s="65">
        <v>40802.877610147807</v>
      </c>
      <c r="N76" s="65">
        <v>40203.057454226393</v>
      </c>
      <c r="O76" s="65">
        <v>40241.271560543704</v>
      </c>
      <c r="P76" s="65">
        <v>38711.76998818422</v>
      </c>
      <c r="Q76" s="65">
        <v>37891.738202721652</v>
      </c>
      <c r="R76" s="65">
        <v>37468.560007162523</v>
      </c>
      <c r="S76" s="65">
        <v>38959.908082867907</v>
      </c>
      <c r="T76" s="65">
        <v>40434.966867028765</v>
      </c>
      <c r="U76" s="65">
        <v>41713.924882857988</v>
      </c>
      <c r="V76" s="65">
        <v>42713.599669492905</v>
      </c>
      <c r="W76" s="65">
        <v>43855.694519728335</v>
      </c>
      <c r="X76" s="65">
        <v>45074.046540281015</v>
      </c>
      <c r="Y76" s="65">
        <v>47399.512585563265</v>
      </c>
      <c r="Z76" s="65">
        <v>49918.791468368945</v>
      </c>
      <c r="AA76" s="65">
        <v>50836.990035720162</v>
      </c>
      <c r="AB76" s="65">
        <v>49590.572904370551</v>
      </c>
      <c r="AC76" s="65">
        <v>47964.328022364032</v>
      </c>
      <c r="AD76" s="65">
        <v>46016.021005369526</v>
      </c>
      <c r="AE76" s="65">
        <v>44265.269021775064</v>
      </c>
      <c r="AF76" s="65">
        <v>43085.633249635866</v>
      </c>
      <c r="AG76" s="40">
        <f>+SUM(I76:AF76)*H76</f>
        <v>4133303.3116548276</v>
      </c>
    </row>
    <row r="77" spans="2:33" ht="14.4" x14ac:dyDescent="0.25">
      <c r="B77">
        <f t="shared" si="26"/>
        <v>2</v>
      </c>
      <c r="C77">
        <f t="shared" si="27"/>
        <v>2028</v>
      </c>
      <c r="D77" t="str">
        <f t="shared" si="30"/>
        <v>22028FE</v>
      </c>
      <c r="E77" s="68">
        <v>46784</v>
      </c>
      <c r="F77" s="73"/>
      <c r="G77" s="42" t="s">
        <v>59</v>
      </c>
      <c r="H77" s="42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43">
        <f>+SUM(I77:AF77)*H77</f>
        <v>0</v>
      </c>
    </row>
    <row r="78" spans="2:33" ht="15" thickBot="1" x14ac:dyDescent="0.3">
      <c r="B78">
        <f t="shared" si="26"/>
        <v>2</v>
      </c>
      <c r="C78">
        <f t="shared" si="27"/>
        <v>2028</v>
      </c>
      <c r="D78" t="str">
        <f>+_xlfn.CONCAT(E78,G78)</f>
        <v>46784TOTAL</v>
      </c>
      <c r="E78" s="68">
        <v>46784</v>
      </c>
      <c r="F78" s="61"/>
      <c r="G78" s="44" t="s">
        <v>10</v>
      </c>
      <c r="H78" s="44">
        <f>+SUM(H74:H77)</f>
        <v>29</v>
      </c>
      <c r="I78" s="45">
        <f t="shared" ref="I78:AF78" si="31">+SUMPRODUCT(I74:I77,$H74:$H77)</f>
        <v>1119324.579098426</v>
      </c>
      <c r="J78" s="45">
        <f t="shared" si="31"/>
        <v>1103164.9300190127</v>
      </c>
      <c r="K78" s="45">
        <f t="shared" si="31"/>
        <v>1093630.196969314</v>
      </c>
      <c r="L78" s="45">
        <f t="shared" si="31"/>
        <v>1080434.7050216431</v>
      </c>
      <c r="M78" s="45">
        <f t="shared" si="31"/>
        <v>1091642.0835996433</v>
      </c>
      <c r="N78" s="45">
        <f t="shared" si="31"/>
        <v>1098236.9139073901</v>
      </c>
      <c r="O78" s="45">
        <f t="shared" si="31"/>
        <v>1139159.9099062835</v>
      </c>
      <c r="P78" s="45">
        <f t="shared" si="31"/>
        <v>1127316.9321237656</v>
      </c>
      <c r="Q78" s="45">
        <f t="shared" si="31"/>
        <v>1123411.2638930674</v>
      </c>
      <c r="R78" s="45">
        <f t="shared" si="31"/>
        <v>1117861.4037705187</v>
      </c>
      <c r="S78" s="45">
        <f t="shared" si="31"/>
        <v>1156600.6005184571</v>
      </c>
      <c r="T78" s="45">
        <f t="shared" si="31"/>
        <v>1178176.2855133112</v>
      </c>
      <c r="U78" s="45">
        <f t="shared" si="31"/>
        <v>1180935.7145514283</v>
      </c>
      <c r="V78" s="45">
        <f t="shared" si="31"/>
        <v>1196067.1002386941</v>
      </c>
      <c r="W78" s="45">
        <f t="shared" si="31"/>
        <v>1250916.1752680587</v>
      </c>
      <c r="X78" s="45">
        <f t="shared" si="31"/>
        <v>1299858.6201283757</v>
      </c>
      <c r="Y78" s="45">
        <f t="shared" si="31"/>
        <v>1364135.1712340051</v>
      </c>
      <c r="Z78" s="45">
        <f t="shared" si="31"/>
        <v>1412564.4211936397</v>
      </c>
      <c r="AA78" s="45">
        <f t="shared" si="31"/>
        <v>1408755.3616603536</v>
      </c>
      <c r="AB78" s="45">
        <f t="shared" si="31"/>
        <v>1360904.9913394982</v>
      </c>
      <c r="AC78" s="45">
        <f t="shared" si="31"/>
        <v>1323837.5373517759</v>
      </c>
      <c r="AD78" s="45">
        <f t="shared" si="31"/>
        <v>1243502.3338364391</v>
      </c>
      <c r="AE78" s="45">
        <f t="shared" si="31"/>
        <v>1185413.755733449</v>
      </c>
      <c r="AF78" s="45">
        <f t="shared" si="31"/>
        <v>1141938.7596750665</v>
      </c>
      <c r="AG78" s="46">
        <f>SUM(I78:AF78)</f>
        <v>28797789.746551618</v>
      </c>
    </row>
    <row r="79" spans="2:33" ht="14.4" x14ac:dyDescent="0.25">
      <c r="B79">
        <f t="shared" si="26"/>
        <v>3</v>
      </c>
      <c r="C79">
        <f t="shared" si="27"/>
        <v>2028</v>
      </c>
      <c r="D79" t="str">
        <f t="shared" ref="D79:D82" si="32">+_xlfn.CONCAT(B79:C79,G79)</f>
        <v>32028OR</v>
      </c>
      <c r="E79" s="67">
        <v>46813</v>
      </c>
      <c r="F79" s="72">
        <f>+AG83</f>
        <v>31111544.763144948</v>
      </c>
      <c r="G79" s="37" t="s">
        <v>57</v>
      </c>
      <c r="H79" s="37">
        <v>22</v>
      </c>
      <c r="I79" s="65">
        <v>38012.874528707915</v>
      </c>
      <c r="J79" s="65">
        <v>37486.843818503949</v>
      </c>
      <c r="K79" s="65">
        <v>37259.089824597337</v>
      </c>
      <c r="L79" s="65">
        <v>36818.496510655699</v>
      </c>
      <c r="M79" s="65">
        <v>37342.125248550401</v>
      </c>
      <c r="N79" s="65">
        <v>37807.21262255717</v>
      </c>
      <c r="O79" s="65">
        <v>39488.953899815191</v>
      </c>
      <c r="P79" s="65">
        <v>39412.306200905674</v>
      </c>
      <c r="Q79" s="65">
        <v>39446.399720160392</v>
      </c>
      <c r="R79" s="65">
        <v>39240.510634372018</v>
      </c>
      <c r="S79" s="65">
        <v>40527.9882138311</v>
      </c>
      <c r="T79" s="65">
        <v>41217.260286319026</v>
      </c>
      <c r="U79" s="65">
        <v>41164.931058148904</v>
      </c>
      <c r="V79" s="65">
        <v>41709.61950934679</v>
      </c>
      <c r="W79" s="65">
        <v>43885.772114338783</v>
      </c>
      <c r="X79" s="65">
        <v>45649.351956391787</v>
      </c>
      <c r="Y79" s="65">
        <v>47803.622036010238</v>
      </c>
      <c r="Z79" s="65">
        <v>49214.276513968456</v>
      </c>
      <c r="AA79" s="65">
        <v>48777.262693077093</v>
      </c>
      <c r="AB79" s="65">
        <v>46986.334831474778</v>
      </c>
      <c r="AC79" s="65">
        <v>45801.051892164745</v>
      </c>
      <c r="AD79" s="65">
        <v>42808.626491311057</v>
      </c>
      <c r="AE79" s="65">
        <v>40723.904509833163</v>
      </c>
      <c r="AF79" s="65">
        <v>39067.588785359527</v>
      </c>
      <c r="AG79" s="38">
        <f>+SUM(I79:AF79)*H79</f>
        <v>21948352.885808829</v>
      </c>
    </row>
    <row r="80" spans="2:33" ht="14.4" x14ac:dyDescent="0.25">
      <c r="B80">
        <f t="shared" si="26"/>
        <v>3</v>
      </c>
      <c r="C80">
        <f t="shared" si="27"/>
        <v>2028</v>
      </c>
      <c r="D80" t="str">
        <f t="shared" si="32"/>
        <v>32028SA</v>
      </c>
      <c r="E80" s="68">
        <v>46813</v>
      </c>
      <c r="F80" s="73"/>
      <c r="G80" s="39" t="s">
        <v>60</v>
      </c>
      <c r="H80" s="39">
        <v>4</v>
      </c>
      <c r="I80" s="65">
        <v>39866.265065146348</v>
      </c>
      <c r="J80" s="65">
        <v>39446.528485957795</v>
      </c>
      <c r="K80" s="65">
        <v>38703.48892624674</v>
      </c>
      <c r="L80" s="65">
        <v>38058.400799692783</v>
      </c>
      <c r="M80" s="65">
        <v>38325.756189418869</v>
      </c>
      <c r="N80" s="65">
        <v>38402.252708741304</v>
      </c>
      <c r="O80" s="65">
        <v>40086.990896542833</v>
      </c>
      <c r="P80" s="65">
        <v>39000.095942547909</v>
      </c>
      <c r="Q80" s="65">
        <v>38600.462194248423</v>
      </c>
      <c r="R80" s="65">
        <v>38573.115559559366</v>
      </c>
      <c r="S80" s="65">
        <v>40108.826878678483</v>
      </c>
      <c r="T80" s="65">
        <v>40413.935962669624</v>
      </c>
      <c r="U80" s="65">
        <v>40134.501154262834</v>
      </c>
      <c r="V80" s="65">
        <v>39934.608420655248</v>
      </c>
      <c r="W80" s="65">
        <v>41054.513651553127</v>
      </c>
      <c r="X80" s="65">
        <v>42875.241175301475</v>
      </c>
      <c r="Y80" s="65">
        <v>45366.354988429594</v>
      </c>
      <c r="Z80" s="65">
        <v>47590.685086251993</v>
      </c>
      <c r="AA80" s="65">
        <v>47973.679195258905</v>
      </c>
      <c r="AB80" s="65">
        <v>46429.217519806742</v>
      </c>
      <c r="AC80" s="65">
        <v>44984.324336260601</v>
      </c>
      <c r="AD80" s="65">
        <v>42428.531328902653</v>
      </c>
      <c r="AE80" s="65">
        <v>40463.034189508631</v>
      </c>
      <c r="AF80" s="65">
        <v>39443.086000538664</v>
      </c>
      <c r="AG80" s="40">
        <f>+SUM(I80:AF80)*H80</f>
        <v>3953055.5866247234</v>
      </c>
    </row>
    <row r="81" spans="2:33" ht="14.4" x14ac:dyDescent="0.25">
      <c r="B81">
        <f t="shared" si="26"/>
        <v>3</v>
      </c>
      <c r="C81">
        <f t="shared" si="27"/>
        <v>2028</v>
      </c>
      <c r="D81" t="str">
        <f t="shared" si="32"/>
        <v>32028DO</v>
      </c>
      <c r="E81" s="68">
        <v>46813</v>
      </c>
      <c r="F81" s="73"/>
      <c r="G81" s="41" t="s">
        <v>58</v>
      </c>
      <c r="H81" s="41">
        <v>4</v>
      </c>
      <c r="I81" s="65">
        <v>41916.298888289086</v>
      </c>
      <c r="J81" s="65">
        <v>41132.506926195114</v>
      </c>
      <c r="K81" s="65">
        <v>40747.494191491132</v>
      </c>
      <c r="L81" s="65">
        <v>40425.37422932098</v>
      </c>
      <c r="M81" s="65">
        <v>40475.417610147801</v>
      </c>
      <c r="N81" s="65">
        <v>40449.357454226403</v>
      </c>
      <c r="O81" s="65">
        <v>40984.741560543705</v>
      </c>
      <c r="P81" s="65">
        <v>39471.719988184217</v>
      </c>
      <c r="Q81" s="65">
        <v>38527.268202721651</v>
      </c>
      <c r="R81" s="65">
        <v>38071.460007162517</v>
      </c>
      <c r="S81" s="65">
        <v>39486.298082867906</v>
      </c>
      <c r="T81" s="65">
        <v>41094.90686702876</v>
      </c>
      <c r="U81" s="65">
        <v>42425.734882857985</v>
      </c>
      <c r="V81" s="65">
        <v>43426.629669492904</v>
      </c>
      <c r="W81" s="65">
        <v>44634.774519728329</v>
      </c>
      <c r="X81" s="65">
        <v>45805.886540281012</v>
      </c>
      <c r="Y81" s="65">
        <v>48305.802585563259</v>
      </c>
      <c r="Z81" s="65">
        <v>50576.161468368948</v>
      </c>
      <c r="AA81" s="65">
        <v>51403.710035720156</v>
      </c>
      <c r="AB81" s="65">
        <v>50024.472904370545</v>
      </c>
      <c r="AC81" s="65">
        <v>48580.20802236403</v>
      </c>
      <c r="AD81" s="65">
        <v>46665.581005369524</v>
      </c>
      <c r="AE81" s="65">
        <v>44975.329021775062</v>
      </c>
      <c r="AF81" s="65">
        <v>43793.763249635864</v>
      </c>
      <c r="AG81" s="40">
        <f>+SUM(I81:AF81)*H81</f>
        <v>4173603.5916548278</v>
      </c>
    </row>
    <row r="82" spans="2:33" ht="14.4" x14ac:dyDescent="0.25">
      <c r="B82">
        <f t="shared" si="26"/>
        <v>3</v>
      </c>
      <c r="C82">
        <f t="shared" si="27"/>
        <v>2028</v>
      </c>
      <c r="D82" t="str">
        <f t="shared" si="32"/>
        <v>32028FE</v>
      </c>
      <c r="E82" s="68">
        <v>46813</v>
      </c>
      <c r="F82" s="73"/>
      <c r="G82" s="42" t="s">
        <v>59</v>
      </c>
      <c r="H82" s="42">
        <v>1</v>
      </c>
      <c r="I82" s="65">
        <v>39381.406756196011</v>
      </c>
      <c r="J82" s="65">
        <v>38770.993841069729</v>
      </c>
      <c r="K82" s="65">
        <v>38472.569991200282</v>
      </c>
      <c r="L82" s="65">
        <v>38203.682862966387</v>
      </c>
      <c r="M82" s="65">
        <v>38590.271576616768</v>
      </c>
      <c r="N82" s="65">
        <v>39776.548375876948</v>
      </c>
      <c r="O82" s="65">
        <v>41521.049292092503</v>
      </c>
      <c r="P82" s="65">
        <v>40203.345895136241</v>
      </c>
      <c r="Q82" s="65">
        <v>39056.251707621006</v>
      </c>
      <c r="R82" s="65">
        <v>38556.357016479051</v>
      </c>
      <c r="S82" s="65">
        <v>39833.783906410463</v>
      </c>
      <c r="T82" s="65">
        <v>41534.881685784123</v>
      </c>
      <c r="U82" s="65">
        <v>42806.384692656487</v>
      </c>
      <c r="V82" s="65">
        <v>43646.418389292594</v>
      </c>
      <c r="W82" s="65">
        <v>45059.194699017389</v>
      </c>
      <c r="X82" s="65">
        <v>46203.045851527058</v>
      </c>
      <c r="Y82" s="65">
        <v>48980.306173535682</v>
      </c>
      <c r="Z82" s="65">
        <v>50780.981933294512</v>
      </c>
      <c r="AA82" s="65">
        <v>51103.662975153464</v>
      </c>
      <c r="AB82" s="65">
        <v>49624.904054458864</v>
      </c>
      <c r="AC82" s="65">
        <v>48551.818781283015</v>
      </c>
      <c r="AD82" s="65">
        <v>46696.382140295791</v>
      </c>
      <c r="AE82" s="65">
        <v>45144.411480740506</v>
      </c>
      <c r="AF82" s="65">
        <v>44034.044977861806</v>
      </c>
      <c r="AG82" s="43">
        <f>+SUM(I82:AF82)*H82</f>
        <v>1036532.6990565665</v>
      </c>
    </row>
    <row r="83" spans="2:33" ht="15" thickBot="1" x14ac:dyDescent="0.3">
      <c r="B83">
        <f t="shared" si="26"/>
        <v>3</v>
      </c>
      <c r="C83">
        <f t="shared" si="27"/>
        <v>2028</v>
      </c>
      <c r="D83" t="str">
        <f>+_xlfn.CONCAT(E83,G83)</f>
        <v>46813TOTAL</v>
      </c>
      <c r="E83" s="68">
        <v>46813</v>
      </c>
      <c r="F83" s="61"/>
      <c r="G83" s="44" t="s">
        <v>10</v>
      </c>
      <c r="H83" s="44">
        <f>+SUM(H79:H82)</f>
        <v>31</v>
      </c>
      <c r="I83" s="45">
        <f t="shared" ref="I83:AF83" si="33">+SUMPRODUCT(I79:I82,$H79:$H82)</f>
        <v>1202794.9022015119</v>
      </c>
      <c r="J83" s="45">
        <f t="shared" si="33"/>
        <v>1185797.6994967684</v>
      </c>
      <c r="K83" s="45">
        <f t="shared" si="33"/>
        <v>1175976.4786032932</v>
      </c>
      <c r="L83" s="45">
        <f t="shared" si="33"/>
        <v>1162145.7062134468</v>
      </c>
      <c r="M83" s="45">
        <f t="shared" si="33"/>
        <v>1175321.7222429921</v>
      </c>
      <c r="N83" s="45">
        <f t="shared" si="33"/>
        <v>1186941.6667240055</v>
      </c>
      <c r="O83" s="45">
        <f t="shared" si="33"/>
        <v>1234564.9649163729</v>
      </c>
      <c r="P83" s="45">
        <f t="shared" si="33"/>
        <v>1221161.3460379895</v>
      </c>
      <c r="Q83" s="45">
        <f t="shared" si="33"/>
        <v>1215387.9671390299</v>
      </c>
      <c r="R83" s="45">
        <f t="shared" si="33"/>
        <v>1208425.893239551</v>
      </c>
      <c r="S83" s="45">
        <f t="shared" si="33"/>
        <v>1249830.0244568803</v>
      </c>
      <c r="T83" s="45">
        <f t="shared" si="33"/>
        <v>1274349.9793035961</v>
      </c>
      <c r="U83" s="45">
        <f t="shared" si="33"/>
        <v>1278675.812120416</v>
      </c>
      <c r="V83" s="45">
        <f t="shared" si="33"/>
        <v>1294702.9999555144</v>
      </c>
      <c r="W83" s="45">
        <f t="shared" si="33"/>
        <v>1353303.3338995962</v>
      </c>
      <c r="X83" s="45">
        <f t="shared" si="33"/>
        <v>1405213.2997544762</v>
      </c>
      <c r="Y83" s="45">
        <f t="shared" si="33"/>
        <v>1475348.6212617324</v>
      </c>
      <c r="Z83" s="45">
        <f t="shared" si="33"/>
        <v>1526162.4514590844</v>
      </c>
      <c r="AA83" s="45">
        <f t="shared" si="33"/>
        <v>1521712.9991467656</v>
      </c>
      <c r="AB83" s="45">
        <f t="shared" si="33"/>
        <v>1469139.0320436133</v>
      </c>
      <c r="AC83" s="45">
        <f t="shared" si="33"/>
        <v>1430433.0898434059</v>
      </c>
      <c r="AD83" s="45">
        <f t="shared" si="33"/>
        <v>1344862.6142862279</v>
      </c>
      <c r="AE83" s="45">
        <f t="shared" si="33"/>
        <v>1282823.7635422046</v>
      </c>
      <c r="AF83" s="45">
        <f t="shared" si="33"/>
        <v>1236468.3952564695</v>
      </c>
      <c r="AG83" s="46">
        <f>SUM(I83:AF83)</f>
        <v>31111544.763144948</v>
      </c>
    </row>
    <row r="84" spans="2:33" ht="14.4" x14ac:dyDescent="0.25">
      <c r="B84">
        <f t="shared" si="26"/>
        <v>4</v>
      </c>
      <c r="C84">
        <f t="shared" si="27"/>
        <v>2028</v>
      </c>
      <c r="D84" t="str">
        <f t="shared" ref="D84:D87" si="34">+_xlfn.CONCAT(B84:C84,G84)</f>
        <v>42028OR</v>
      </c>
      <c r="E84" s="67">
        <v>46844</v>
      </c>
      <c r="F84" s="72">
        <f>+AG88</f>
        <v>29697308.666624341</v>
      </c>
      <c r="G84" s="37" t="s">
        <v>57</v>
      </c>
      <c r="H84" s="37">
        <v>18</v>
      </c>
      <c r="I84" s="65">
        <v>37414.496346889748</v>
      </c>
      <c r="J84" s="65">
        <v>36900.66563668575</v>
      </c>
      <c r="K84" s="65">
        <v>36686.651642779158</v>
      </c>
      <c r="L84" s="65">
        <v>36260.858328837508</v>
      </c>
      <c r="M84" s="65">
        <v>36782.097066732204</v>
      </c>
      <c r="N84" s="65">
        <v>37227.744440738999</v>
      </c>
      <c r="O84" s="65">
        <v>38817.845717997021</v>
      </c>
      <c r="P84" s="65">
        <v>38626.858019087478</v>
      </c>
      <c r="Q84" s="65">
        <v>38552.771538342226</v>
      </c>
      <c r="R84" s="65">
        <v>38264.16245255385</v>
      </c>
      <c r="S84" s="65">
        <v>39495.430032012948</v>
      </c>
      <c r="T84" s="65">
        <v>40146.842104500844</v>
      </c>
      <c r="U84" s="65">
        <v>40130.87287633073</v>
      </c>
      <c r="V84" s="65">
        <v>40665.591327528622</v>
      </c>
      <c r="W84" s="65">
        <v>42828.6039325206</v>
      </c>
      <c r="X84" s="65">
        <v>44607.153774573584</v>
      </c>
      <c r="Y84" s="65">
        <v>46778.883854192085</v>
      </c>
      <c r="Z84" s="65">
        <v>48244.298332150291</v>
      </c>
      <c r="AA84" s="65">
        <v>47888.294511258937</v>
      </c>
      <c r="AB84" s="65">
        <v>46129.686649656593</v>
      </c>
      <c r="AC84" s="65">
        <v>45007.503710346544</v>
      </c>
      <c r="AD84" s="65">
        <v>42079.038309492869</v>
      </c>
      <c r="AE84" s="65">
        <v>40049.136328014974</v>
      </c>
      <c r="AF84" s="65">
        <v>38417.200603541343</v>
      </c>
      <c r="AG84" s="38">
        <f>+SUM(I84:AF84)*H84</f>
        <v>17604048.375661772</v>
      </c>
    </row>
    <row r="85" spans="2:33" ht="14.4" x14ac:dyDescent="0.25">
      <c r="B85">
        <f t="shared" si="26"/>
        <v>4</v>
      </c>
      <c r="C85">
        <f t="shared" si="27"/>
        <v>2028</v>
      </c>
      <c r="D85" t="str">
        <f t="shared" si="34"/>
        <v>42028SA</v>
      </c>
      <c r="E85" s="68">
        <v>46844</v>
      </c>
      <c r="F85" s="73"/>
      <c r="G85" s="39" t="s">
        <v>60</v>
      </c>
      <c r="H85" s="39">
        <v>5</v>
      </c>
      <c r="I85" s="65">
        <v>39384.595065146335</v>
      </c>
      <c r="J85" s="65">
        <v>38980.408485957785</v>
      </c>
      <c r="K85" s="65">
        <v>38251.05892624674</v>
      </c>
      <c r="L85" s="65">
        <v>37615.470799692783</v>
      </c>
      <c r="M85" s="65">
        <v>37883.666189418858</v>
      </c>
      <c r="N85" s="65">
        <v>37961.522708741308</v>
      </c>
      <c r="O85" s="65">
        <v>39605.790896542836</v>
      </c>
      <c r="P85" s="65">
        <v>38452.075942547905</v>
      </c>
      <c r="Q85" s="65">
        <v>37986.892194248423</v>
      </c>
      <c r="R85" s="65">
        <v>37895.185559559381</v>
      </c>
      <c r="S85" s="65">
        <v>39380.606878678496</v>
      </c>
      <c r="T85" s="65">
        <v>39666.535962669623</v>
      </c>
      <c r="U85" s="65">
        <v>39433.881154262846</v>
      </c>
      <c r="V85" s="65">
        <v>39246.468420655227</v>
      </c>
      <c r="W85" s="65">
        <v>40380.413651553143</v>
      </c>
      <c r="X85" s="65">
        <v>42223.25117530147</v>
      </c>
      <c r="Y85" s="65">
        <v>44726.614988429588</v>
      </c>
      <c r="Z85" s="65">
        <v>46974.045086252001</v>
      </c>
      <c r="AA85" s="65">
        <v>47372.169195258903</v>
      </c>
      <c r="AB85" s="65">
        <v>45855.347519806746</v>
      </c>
      <c r="AC85" s="65">
        <v>44467.754336260594</v>
      </c>
      <c r="AD85" s="65">
        <v>41981.391328902646</v>
      </c>
      <c r="AE85" s="65">
        <v>40079.734189508628</v>
      </c>
      <c r="AF85" s="65">
        <v>39074.436000538655</v>
      </c>
      <c r="AG85" s="40">
        <f>+SUM(I85:AF85)*H85</f>
        <v>4874396.5832809042</v>
      </c>
    </row>
    <row r="86" spans="2:33" ht="14.4" x14ac:dyDescent="0.25">
      <c r="B86">
        <f t="shared" si="26"/>
        <v>4</v>
      </c>
      <c r="C86">
        <f t="shared" si="27"/>
        <v>2028</v>
      </c>
      <c r="D86" t="str">
        <f t="shared" si="34"/>
        <v>42028DO</v>
      </c>
      <c r="E86" s="68">
        <v>46844</v>
      </c>
      <c r="F86" s="73"/>
      <c r="G86" s="41" t="s">
        <v>58</v>
      </c>
      <c r="H86" s="41">
        <v>5</v>
      </c>
      <c r="I86" s="65">
        <v>42173.408888289086</v>
      </c>
      <c r="J86" s="65">
        <v>41365.096926195125</v>
      </c>
      <c r="K86" s="65">
        <v>40991.604191491133</v>
      </c>
      <c r="L86" s="65">
        <v>40667.944229320987</v>
      </c>
      <c r="M86" s="65">
        <v>40590.49761014781</v>
      </c>
      <c r="N86" s="65">
        <v>39975.387454226395</v>
      </c>
      <c r="O86" s="65">
        <v>40048.901560543702</v>
      </c>
      <c r="P86" s="65">
        <v>38517.789988184217</v>
      </c>
      <c r="Q86" s="65">
        <v>37695.038202721647</v>
      </c>
      <c r="R86" s="65">
        <v>37238.170007162516</v>
      </c>
      <c r="S86" s="65">
        <v>38666.078082867898</v>
      </c>
      <c r="T86" s="65">
        <v>40088.896867028758</v>
      </c>
      <c r="U86" s="65">
        <v>41383.534882857988</v>
      </c>
      <c r="V86" s="65">
        <v>42401.169669492898</v>
      </c>
      <c r="W86" s="65">
        <v>43565.614519728326</v>
      </c>
      <c r="X86" s="65">
        <v>44792.386540281012</v>
      </c>
      <c r="Y86" s="65">
        <v>47135.892585563262</v>
      </c>
      <c r="Z86" s="65">
        <v>49623.401468368946</v>
      </c>
      <c r="AA86" s="65">
        <v>50568.240035720155</v>
      </c>
      <c r="AB86" s="65">
        <v>49308.102904370549</v>
      </c>
      <c r="AC86" s="65">
        <v>47730.45802236403</v>
      </c>
      <c r="AD86" s="65">
        <v>45785.051005369518</v>
      </c>
      <c r="AE86" s="65">
        <v>44059.719021775061</v>
      </c>
      <c r="AF86" s="65">
        <v>42872.493249635867</v>
      </c>
      <c r="AG86" s="40">
        <f>+SUM(I86:AF86)*H86</f>
        <v>5136224.3895685347</v>
      </c>
    </row>
    <row r="87" spans="2:33" ht="14.4" x14ac:dyDescent="0.25">
      <c r="B87">
        <f t="shared" si="26"/>
        <v>4</v>
      </c>
      <c r="C87">
        <f t="shared" si="27"/>
        <v>2028</v>
      </c>
      <c r="D87" t="str">
        <f t="shared" si="34"/>
        <v>42028FE</v>
      </c>
      <c r="E87" s="68">
        <v>46844</v>
      </c>
      <c r="F87" s="73"/>
      <c r="G87" s="42" t="s">
        <v>59</v>
      </c>
      <c r="H87" s="42">
        <v>2</v>
      </c>
      <c r="I87" s="65">
        <v>39580.866756196017</v>
      </c>
      <c r="J87" s="65">
        <v>38970.453841069728</v>
      </c>
      <c r="K87" s="65">
        <v>38672.019991200279</v>
      </c>
      <c r="L87" s="65">
        <v>38403.142862966393</v>
      </c>
      <c r="M87" s="65">
        <v>38789.731576616774</v>
      </c>
      <c r="N87" s="65">
        <v>39975.998375876952</v>
      </c>
      <c r="O87" s="65">
        <v>41720.509292092494</v>
      </c>
      <c r="P87" s="65">
        <v>40402.795895136238</v>
      </c>
      <c r="Q87" s="65">
        <v>39255.711707621005</v>
      </c>
      <c r="R87" s="65">
        <v>38755.807016479048</v>
      </c>
      <c r="S87" s="65">
        <v>40033.243906410455</v>
      </c>
      <c r="T87" s="65">
        <v>41734.341685784115</v>
      </c>
      <c r="U87" s="65">
        <v>43005.844692656487</v>
      </c>
      <c r="V87" s="65">
        <v>43845.868389292591</v>
      </c>
      <c r="W87" s="65">
        <v>45258.654699017388</v>
      </c>
      <c r="X87" s="65">
        <v>46402.505851527058</v>
      </c>
      <c r="Y87" s="65">
        <v>49179.766173535681</v>
      </c>
      <c r="Z87" s="65">
        <v>50980.441933294511</v>
      </c>
      <c r="AA87" s="65">
        <v>51303.12297515347</v>
      </c>
      <c r="AB87" s="65">
        <v>49824.364054458856</v>
      </c>
      <c r="AC87" s="65">
        <v>48751.268781283012</v>
      </c>
      <c r="AD87" s="65">
        <v>46895.84214029579</v>
      </c>
      <c r="AE87" s="65">
        <v>45343.861480740503</v>
      </c>
      <c r="AF87" s="65">
        <v>44233.49497786181</v>
      </c>
      <c r="AG87" s="43">
        <f>+SUM(I87:AF87)*H87</f>
        <v>2082639.3181131335</v>
      </c>
    </row>
    <row r="88" spans="2:33" ht="15" thickBot="1" x14ac:dyDescent="0.3">
      <c r="B88">
        <f t="shared" si="26"/>
        <v>4</v>
      </c>
      <c r="C88">
        <f t="shared" si="27"/>
        <v>2028</v>
      </c>
      <c r="D88" t="str">
        <f>+_xlfn.CONCAT(E88,G88)</f>
        <v>46844TOTAL</v>
      </c>
      <c r="E88" s="68">
        <v>46844</v>
      </c>
      <c r="F88" s="61"/>
      <c r="G88" s="44" t="s">
        <v>10</v>
      </c>
      <c r="H88" s="44">
        <f>+SUM(H84:H87)</f>
        <v>30</v>
      </c>
      <c r="I88" s="45">
        <f t="shared" ref="I88:AF88" si="35">+SUMPRODUCT(I84:I87,$H84:$H87)</f>
        <v>1160412.6875235846</v>
      </c>
      <c r="J88" s="45">
        <f t="shared" si="35"/>
        <v>1143880.4162032474</v>
      </c>
      <c r="K88" s="45">
        <f t="shared" si="35"/>
        <v>1133917.0851411149</v>
      </c>
      <c r="L88" s="45">
        <f t="shared" si="35"/>
        <v>1120918.8107900769</v>
      </c>
      <c r="M88" s="45">
        <f t="shared" si="35"/>
        <v>1132028.0293522466</v>
      </c>
      <c r="N88" s="45">
        <f t="shared" si="35"/>
        <v>1139735.9474998943</v>
      </c>
      <c r="O88" s="45">
        <f t="shared" si="35"/>
        <v>1180435.7037935641</v>
      </c>
      <c r="P88" s="45">
        <f t="shared" si="35"/>
        <v>1160938.3657875075</v>
      </c>
      <c r="Q88" s="45">
        <f t="shared" si="35"/>
        <v>1150870.9630902524</v>
      </c>
      <c r="R88" s="45">
        <f t="shared" si="35"/>
        <v>1141933.3160125371</v>
      </c>
      <c r="S88" s="45">
        <f t="shared" si="35"/>
        <v>1181217.6531967858</v>
      </c>
      <c r="T88" s="45">
        <f t="shared" si="35"/>
        <v>1204889.0054010754</v>
      </c>
      <c r="U88" s="45">
        <f t="shared" si="35"/>
        <v>1212454.4813448703</v>
      </c>
      <c r="V88" s="45">
        <f t="shared" si="35"/>
        <v>1227910.5711248412</v>
      </c>
      <c r="W88" s="45">
        <f t="shared" si="35"/>
        <v>1281162.3210398129</v>
      </c>
      <c r="X88" s="45">
        <f t="shared" si="35"/>
        <v>1330811.9682232912</v>
      </c>
      <c r="Y88" s="45">
        <f t="shared" si="35"/>
        <v>1399691.9795924933</v>
      </c>
      <c r="Z88" s="45">
        <f t="shared" si="35"/>
        <v>1453345.4866183989</v>
      </c>
      <c r="AA88" s="45">
        <f t="shared" si="35"/>
        <v>1454297.5933078632</v>
      </c>
      <c r="AB88" s="45">
        <f t="shared" si="35"/>
        <v>1405800.339923623</v>
      </c>
      <c r="AC88" s="45">
        <f t="shared" si="35"/>
        <v>1368628.666141927</v>
      </c>
      <c r="AD88" s="45">
        <f t="shared" si="35"/>
        <v>1290046.585522824</v>
      </c>
      <c r="AE88" s="45">
        <f t="shared" si="35"/>
        <v>1232269.4429221689</v>
      </c>
      <c r="AF88" s="45">
        <f t="shared" si="35"/>
        <v>1189711.2470703402</v>
      </c>
      <c r="AG88" s="46">
        <f>SUM(I88:AF88)</f>
        <v>29697308.666624341</v>
      </c>
    </row>
    <row r="89" spans="2:33" ht="14.4" x14ac:dyDescent="0.25">
      <c r="B89">
        <f t="shared" si="26"/>
        <v>5</v>
      </c>
      <c r="C89">
        <f t="shared" si="27"/>
        <v>2028</v>
      </c>
      <c r="D89" t="str">
        <f t="shared" ref="D89:D92" si="36">+_xlfn.CONCAT(B89:C89,G89)</f>
        <v>52028OR</v>
      </c>
      <c r="E89" s="67">
        <v>46874</v>
      </c>
      <c r="F89" s="72">
        <f>+AG93</f>
        <v>30346976.994664747</v>
      </c>
      <c r="G89" s="37" t="s">
        <v>57</v>
      </c>
      <c r="H89" s="37">
        <v>21</v>
      </c>
      <c r="I89" s="65">
        <v>36918.156346889722</v>
      </c>
      <c r="J89" s="65">
        <v>36404.505636685761</v>
      </c>
      <c r="K89" s="65">
        <v>36192.51164277918</v>
      </c>
      <c r="L89" s="65">
        <v>35765.298328837504</v>
      </c>
      <c r="M89" s="65">
        <v>36305.977066732208</v>
      </c>
      <c r="N89" s="65">
        <v>36797.444440739004</v>
      </c>
      <c r="O89" s="65">
        <v>38469.795717997018</v>
      </c>
      <c r="P89" s="65">
        <v>38313.398019087508</v>
      </c>
      <c r="Q89" s="65">
        <v>38269.40153834223</v>
      </c>
      <c r="R89" s="65">
        <v>37992.16245255385</v>
      </c>
      <c r="S89" s="65">
        <v>39259.370032012936</v>
      </c>
      <c r="T89" s="65">
        <v>39927.642104500825</v>
      </c>
      <c r="U89" s="65">
        <v>39903.962876330719</v>
      </c>
      <c r="V89" s="65">
        <v>40426.251327528626</v>
      </c>
      <c r="W89" s="65">
        <v>42587.733932520605</v>
      </c>
      <c r="X89" s="65">
        <v>44367.753774573575</v>
      </c>
      <c r="Y89" s="65">
        <v>46541.053854192054</v>
      </c>
      <c r="Z89" s="65">
        <v>47992.418332150301</v>
      </c>
      <c r="AA89" s="65">
        <v>47600.784511258935</v>
      </c>
      <c r="AB89" s="65">
        <v>45798.376649656573</v>
      </c>
      <c r="AC89" s="65">
        <v>44648.253710346558</v>
      </c>
      <c r="AD89" s="65">
        <v>41674.418309492874</v>
      </c>
      <c r="AE89" s="65">
        <v>39601.026328014952</v>
      </c>
      <c r="AF89" s="65">
        <v>37957.270603541365</v>
      </c>
      <c r="AG89" s="38">
        <f>+SUM(I89:AF89)*H89</f>
        <v>20364014.318272062</v>
      </c>
    </row>
    <row r="90" spans="2:33" ht="14.4" x14ac:dyDescent="0.25">
      <c r="B90">
        <f t="shared" si="26"/>
        <v>5</v>
      </c>
      <c r="C90">
        <f t="shared" si="27"/>
        <v>2028</v>
      </c>
      <c r="D90" t="str">
        <f t="shared" si="36"/>
        <v>52028SA</v>
      </c>
      <c r="E90" s="68">
        <v>46874</v>
      </c>
      <c r="F90" s="73"/>
      <c r="G90" s="39" t="s">
        <v>60</v>
      </c>
      <c r="H90" s="39">
        <v>4</v>
      </c>
      <c r="I90" s="65">
        <v>38988.985065146342</v>
      </c>
      <c r="J90" s="65">
        <v>38574.108485957797</v>
      </c>
      <c r="K90" s="65">
        <v>37827.94892624674</v>
      </c>
      <c r="L90" s="65">
        <v>37180.510799692784</v>
      </c>
      <c r="M90" s="65">
        <v>37464.956189418866</v>
      </c>
      <c r="N90" s="65">
        <v>37581.362708741304</v>
      </c>
      <c r="O90" s="65">
        <v>39279.760896542837</v>
      </c>
      <c r="P90" s="65">
        <v>38150.705942547909</v>
      </c>
      <c r="Q90" s="65">
        <v>37717.732194248427</v>
      </c>
      <c r="R90" s="65">
        <v>37632.675559559371</v>
      </c>
      <c r="S90" s="65">
        <v>39158.996878678488</v>
      </c>
      <c r="T90" s="65">
        <v>39441.765962669626</v>
      </c>
      <c r="U90" s="65">
        <v>39181.011154262836</v>
      </c>
      <c r="V90" s="65">
        <v>38955.978420655243</v>
      </c>
      <c r="W90" s="65">
        <v>40094.663651553128</v>
      </c>
      <c r="X90" s="65">
        <v>41946.021175301474</v>
      </c>
      <c r="Y90" s="65">
        <v>44452.174988429586</v>
      </c>
      <c r="Z90" s="65">
        <v>46692.745086251991</v>
      </c>
      <c r="AA90" s="65">
        <v>47077.779195258903</v>
      </c>
      <c r="AB90" s="65">
        <v>45502.147519806735</v>
      </c>
      <c r="AC90" s="65">
        <v>44081.434336260601</v>
      </c>
      <c r="AD90" s="65">
        <v>41553.921328902652</v>
      </c>
      <c r="AE90" s="65">
        <v>39615.084189508627</v>
      </c>
      <c r="AF90" s="65">
        <v>38590.986000538658</v>
      </c>
      <c r="AG90" s="40">
        <f>+SUM(I90:AF90)*H90</f>
        <v>3866973.8266247236</v>
      </c>
    </row>
    <row r="91" spans="2:33" ht="14.4" x14ac:dyDescent="0.25">
      <c r="B91">
        <f t="shared" si="26"/>
        <v>5</v>
      </c>
      <c r="C91">
        <f t="shared" si="27"/>
        <v>2028</v>
      </c>
      <c r="D91" t="str">
        <f t="shared" si="36"/>
        <v>52028DO</v>
      </c>
      <c r="E91" s="68">
        <v>46874</v>
      </c>
      <c r="F91" s="73"/>
      <c r="G91" s="41" t="s">
        <v>58</v>
      </c>
      <c r="H91" s="41">
        <v>4</v>
      </c>
      <c r="I91" s="65">
        <v>41748.648888289084</v>
      </c>
      <c r="J91" s="65">
        <v>40933.116926195115</v>
      </c>
      <c r="K91" s="65">
        <v>40569.494191491132</v>
      </c>
      <c r="L91" s="65">
        <v>40236.724229320986</v>
      </c>
      <c r="M91" s="65">
        <v>40159.847610147801</v>
      </c>
      <c r="N91" s="65">
        <v>39523.667454226401</v>
      </c>
      <c r="O91" s="65">
        <v>39612.651560543709</v>
      </c>
      <c r="P91" s="65">
        <v>38123.729988184219</v>
      </c>
      <c r="Q91" s="65">
        <v>37329.938202721649</v>
      </c>
      <c r="R91" s="65">
        <v>36886.890007162518</v>
      </c>
      <c r="S91" s="65">
        <v>38339.218082867905</v>
      </c>
      <c r="T91" s="65">
        <v>39768.566867028756</v>
      </c>
      <c r="U91" s="65">
        <v>41064.874882857985</v>
      </c>
      <c r="V91" s="65">
        <v>42093.759669492902</v>
      </c>
      <c r="W91" s="65">
        <v>43247.394519728332</v>
      </c>
      <c r="X91" s="65">
        <v>44476.946540281016</v>
      </c>
      <c r="Y91" s="65">
        <v>46820.262585563265</v>
      </c>
      <c r="Z91" s="65">
        <v>49281.001468368944</v>
      </c>
      <c r="AA91" s="65">
        <v>50247.790035720158</v>
      </c>
      <c r="AB91" s="65">
        <v>48945.992904370549</v>
      </c>
      <c r="AC91" s="65">
        <v>47338.268022364035</v>
      </c>
      <c r="AD91" s="65">
        <v>45350.731005369526</v>
      </c>
      <c r="AE91" s="65">
        <v>43610.059021775065</v>
      </c>
      <c r="AF91" s="65">
        <v>42403.853249635868</v>
      </c>
      <c r="AG91" s="40">
        <f>+SUM(I91:AF91)*H91</f>
        <v>4072453.7116548279</v>
      </c>
    </row>
    <row r="92" spans="2:33" ht="14.4" x14ac:dyDescent="0.25">
      <c r="B92">
        <f t="shared" si="26"/>
        <v>5</v>
      </c>
      <c r="C92">
        <f t="shared" si="27"/>
        <v>2028</v>
      </c>
      <c r="D92" t="str">
        <f t="shared" si="36"/>
        <v>52028FE</v>
      </c>
      <c r="E92" s="68">
        <v>46874</v>
      </c>
      <c r="F92" s="73"/>
      <c r="G92" s="42" t="s">
        <v>59</v>
      </c>
      <c r="H92" s="42">
        <v>2</v>
      </c>
      <c r="I92" s="65">
        <v>38642.596756196013</v>
      </c>
      <c r="J92" s="65">
        <v>38042.683841069724</v>
      </c>
      <c r="K92" s="65">
        <v>37763.229991200285</v>
      </c>
      <c r="L92" s="65">
        <v>37489.84286296639</v>
      </c>
      <c r="M92" s="65">
        <v>37905.741576616769</v>
      </c>
      <c r="N92" s="65">
        <v>39145.66837587695</v>
      </c>
      <c r="O92" s="65">
        <v>41023.039292092501</v>
      </c>
      <c r="P92" s="65">
        <v>39691.565895136242</v>
      </c>
      <c r="Q92" s="65">
        <v>38541.651707621008</v>
      </c>
      <c r="R92" s="65">
        <v>38012.957016479049</v>
      </c>
      <c r="S92" s="65">
        <v>39225.513906410459</v>
      </c>
      <c r="T92" s="65">
        <v>40920.321685784118</v>
      </c>
      <c r="U92" s="65">
        <v>42186.464692656489</v>
      </c>
      <c r="V92" s="65">
        <v>43052.068389292588</v>
      </c>
      <c r="W92" s="65">
        <v>44530.194699017389</v>
      </c>
      <c r="X92" s="65">
        <v>45715.905851527059</v>
      </c>
      <c r="Y92" s="65">
        <v>48534.206173535684</v>
      </c>
      <c r="Z92" s="65">
        <v>50224.451933294513</v>
      </c>
      <c r="AA92" s="65">
        <v>50542.292975153468</v>
      </c>
      <c r="AB92" s="65">
        <v>48939.784054458862</v>
      </c>
      <c r="AC92" s="65">
        <v>47869.928781283008</v>
      </c>
      <c r="AD92" s="65">
        <v>46013.942140295796</v>
      </c>
      <c r="AE92" s="65">
        <v>44446.481480740506</v>
      </c>
      <c r="AF92" s="65">
        <v>43307.034977861804</v>
      </c>
      <c r="AG92" s="43">
        <f>+SUM(I92:AF92)*H92</f>
        <v>2043535.1381131331</v>
      </c>
    </row>
    <row r="93" spans="2:33" ht="15" thickBot="1" x14ac:dyDescent="0.3">
      <c r="B93">
        <f t="shared" si="26"/>
        <v>5</v>
      </c>
      <c r="C93">
        <f t="shared" si="27"/>
        <v>2028</v>
      </c>
      <c r="D93" t="str">
        <f>+_xlfn.CONCAT(E93,G93)</f>
        <v>46874TOTAL</v>
      </c>
      <c r="E93" s="68">
        <v>46874</v>
      </c>
      <c r="F93" s="61"/>
      <c r="G93" s="44" t="s">
        <v>10</v>
      </c>
      <c r="H93" s="44">
        <f>+SUM(H89:H92)</f>
        <v>31</v>
      </c>
      <c r="I93" s="45">
        <f t="shared" ref="I93:AF93" si="37">+SUMPRODUCT(I89:I92,$H89:$H92)</f>
        <v>1175517.012610818</v>
      </c>
      <c r="J93" s="45">
        <f t="shared" si="37"/>
        <v>1158608.8877011519</v>
      </c>
      <c r="K93" s="45">
        <f t="shared" si="37"/>
        <v>1149158.9769517148</v>
      </c>
      <c r="L93" s="45">
        <f t="shared" si="37"/>
        <v>1135719.8907475753</v>
      </c>
      <c r="M93" s="45">
        <f t="shared" si="37"/>
        <v>1148736.2167528765</v>
      </c>
      <c r="N93" s="45">
        <f t="shared" si="37"/>
        <v>1159457.7906591438</v>
      </c>
      <c r="O93" s="45">
        <f t="shared" si="37"/>
        <v>1205481.4384904685</v>
      </c>
      <c r="P93" s="45">
        <f t="shared" si="37"/>
        <v>1189062.2339140386</v>
      </c>
      <c r="Q93" s="45">
        <f t="shared" si="37"/>
        <v>1180931.4173083093</v>
      </c>
      <c r="R93" s="45">
        <f t="shared" si="37"/>
        <v>1171939.5878034765</v>
      </c>
      <c r="S93" s="45">
        <f t="shared" si="37"/>
        <v>1212890.658331278</v>
      </c>
      <c r="T93" s="45">
        <f t="shared" si="37"/>
        <v>1237162.4588848792</v>
      </c>
      <c r="U93" s="45">
        <f t="shared" si="37"/>
        <v>1243339.6939367414</v>
      </c>
      <c r="V93" s="45">
        <f t="shared" si="37"/>
        <v>1259254.3670172789</v>
      </c>
      <c r="W93" s="45">
        <f t="shared" si="37"/>
        <v>1316771.0346660935</v>
      </c>
      <c r="X93" s="45">
        <f t="shared" si="37"/>
        <v>1368846.5118314293</v>
      </c>
      <c r="Y93" s="45">
        <f t="shared" si="37"/>
        <v>1439520.293581076</v>
      </c>
      <c r="Z93" s="45">
        <f t="shared" si="37"/>
        <v>1492184.6750602289</v>
      </c>
      <c r="AA93" s="45">
        <f t="shared" si="37"/>
        <v>1490003.3376106608</v>
      </c>
      <c r="AB93" s="45">
        <f t="shared" si="37"/>
        <v>1437438.0394484147</v>
      </c>
      <c r="AC93" s="45">
        <f t="shared" si="37"/>
        <v>1399031.994914342</v>
      </c>
      <c r="AD93" s="45">
        <f t="shared" si="37"/>
        <v>1314809.2781170306</v>
      </c>
      <c r="AE93" s="45">
        <f t="shared" si="37"/>
        <v>1253415.0886949298</v>
      </c>
      <c r="AF93" s="45">
        <f t="shared" si="37"/>
        <v>1207696.1096307903</v>
      </c>
      <c r="AG93" s="46">
        <f>SUM(I93:AF93)</f>
        <v>30346976.994664747</v>
      </c>
    </row>
    <row r="94" spans="2:33" ht="14.4" x14ac:dyDescent="0.25">
      <c r="B94">
        <f t="shared" si="26"/>
        <v>6</v>
      </c>
      <c r="C94">
        <f t="shared" si="27"/>
        <v>2028</v>
      </c>
      <c r="D94" t="str">
        <f t="shared" ref="D94:D97" si="38">+_xlfn.CONCAT(B94:C94,G94)</f>
        <v>62028OR</v>
      </c>
      <c r="E94" s="67">
        <v>46905</v>
      </c>
      <c r="F94" s="72">
        <f>+AG98</f>
        <v>30374909.907127988</v>
      </c>
      <c r="G94" s="37" t="s">
        <v>57</v>
      </c>
      <c r="H94" s="37">
        <v>20</v>
      </c>
      <c r="I94" s="65">
        <v>38291.156346889722</v>
      </c>
      <c r="J94" s="65">
        <v>37776.925636685766</v>
      </c>
      <c r="K94" s="65">
        <v>37564.46164277917</v>
      </c>
      <c r="L94" s="65">
        <v>37136.418328837506</v>
      </c>
      <c r="M94" s="65">
        <v>37678.867066732222</v>
      </c>
      <c r="N94" s="65">
        <v>38175.164440739005</v>
      </c>
      <c r="O94" s="65">
        <v>39858.885717997051</v>
      </c>
      <c r="P94" s="65">
        <v>39710.878019087497</v>
      </c>
      <c r="Q94" s="65">
        <v>39674.581538342209</v>
      </c>
      <c r="R94" s="65">
        <v>39402.252452553839</v>
      </c>
      <c r="S94" s="65">
        <v>40675.190032012957</v>
      </c>
      <c r="T94" s="65">
        <v>41346.702104500837</v>
      </c>
      <c r="U94" s="65">
        <v>41320.632876330725</v>
      </c>
      <c r="V94" s="65">
        <v>41842.351327528624</v>
      </c>
      <c r="W94" s="65">
        <v>44004.323932520587</v>
      </c>
      <c r="X94" s="65">
        <v>45783.753774573575</v>
      </c>
      <c r="Y94" s="65">
        <v>47956.353854192079</v>
      </c>
      <c r="Z94" s="65">
        <v>49403.918332150301</v>
      </c>
      <c r="AA94" s="65">
        <v>49005.394511258928</v>
      </c>
      <c r="AB94" s="65">
        <v>47197.716649656562</v>
      </c>
      <c r="AC94" s="65">
        <v>46042.213710346594</v>
      </c>
      <c r="AD94" s="65">
        <v>43061.468309492884</v>
      </c>
      <c r="AE94" s="65">
        <v>40981.766328014979</v>
      </c>
      <c r="AF94" s="65">
        <v>39335.84060354135</v>
      </c>
      <c r="AG94" s="38">
        <f>+SUM(I94:AF94)*H94</f>
        <v>20064544.350735299</v>
      </c>
    </row>
    <row r="95" spans="2:33" ht="14.4" x14ac:dyDescent="0.25">
      <c r="B95">
        <f t="shared" si="26"/>
        <v>6</v>
      </c>
      <c r="C95">
        <f t="shared" si="27"/>
        <v>2028</v>
      </c>
      <c r="D95" t="str">
        <f t="shared" si="38"/>
        <v>62028SA</v>
      </c>
      <c r="E95" s="68">
        <v>46905</v>
      </c>
      <c r="F95" s="73"/>
      <c r="G95" s="39" t="s">
        <v>60</v>
      </c>
      <c r="H95" s="39">
        <v>4</v>
      </c>
      <c r="I95" s="65">
        <v>40301.505065146339</v>
      </c>
      <c r="J95" s="65">
        <v>39886.358485957797</v>
      </c>
      <c r="K95" s="65">
        <v>39139.848926246741</v>
      </c>
      <c r="L95" s="65">
        <v>38492.170799692787</v>
      </c>
      <c r="M95" s="65">
        <v>38776.846189418866</v>
      </c>
      <c r="N95" s="65">
        <v>38893.812708741309</v>
      </c>
      <c r="O95" s="65">
        <v>40593.300896542831</v>
      </c>
      <c r="P95" s="65">
        <v>39465.095942547909</v>
      </c>
      <c r="Q95" s="65">
        <v>39033.082194248425</v>
      </c>
      <c r="R95" s="65">
        <v>38948.585559559368</v>
      </c>
      <c r="S95" s="65">
        <v>40475.876878678486</v>
      </c>
      <c r="T95" s="65">
        <v>40758.745962669622</v>
      </c>
      <c r="U95" s="65">
        <v>40497.23115426283</v>
      </c>
      <c r="V95" s="65">
        <v>40271.558420655245</v>
      </c>
      <c r="W95" s="65">
        <v>41410.203651553129</v>
      </c>
      <c r="X95" s="65">
        <v>43261.521175301474</v>
      </c>
      <c r="Y95" s="65">
        <v>45767.634988429592</v>
      </c>
      <c r="Z95" s="65">
        <v>48007.935086251993</v>
      </c>
      <c r="AA95" s="65">
        <v>48392.669195258903</v>
      </c>
      <c r="AB95" s="65">
        <v>46815.967519806742</v>
      </c>
      <c r="AC95" s="65">
        <v>45394.344336260598</v>
      </c>
      <c r="AD95" s="65">
        <v>42865.721328902655</v>
      </c>
      <c r="AE95" s="65">
        <v>40925.874189508628</v>
      </c>
      <c r="AF95" s="65">
        <v>39901.386000538667</v>
      </c>
      <c r="AG95" s="40">
        <f>+SUM(I95:AF95)*H95</f>
        <v>3993109.1066247234</v>
      </c>
    </row>
    <row r="96" spans="2:33" ht="14.4" x14ac:dyDescent="0.25">
      <c r="B96">
        <f t="shared" si="26"/>
        <v>6</v>
      </c>
      <c r="C96">
        <f t="shared" si="27"/>
        <v>2028</v>
      </c>
      <c r="D96" t="str">
        <f t="shared" si="38"/>
        <v>62028DO</v>
      </c>
      <c r="E96" s="68">
        <v>46905</v>
      </c>
      <c r="F96" s="73"/>
      <c r="G96" s="41" t="s">
        <v>58</v>
      </c>
      <c r="H96" s="41">
        <v>4</v>
      </c>
      <c r="I96" s="65">
        <v>43214.308888289088</v>
      </c>
      <c r="J96" s="65">
        <v>42395.256926195114</v>
      </c>
      <c r="K96" s="65">
        <v>42031.594191491138</v>
      </c>
      <c r="L96" s="65">
        <v>41696.584229320986</v>
      </c>
      <c r="M96" s="65">
        <v>41619.167610147801</v>
      </c>
      <c r="N96" s="65">
        <v>40978.617454226405</v>
      </c>
      <c r="O96" s="65">
        <v>41069.091560543704</v>
      </c>
      <c r="P96" s="65">
        <v>39591.209988184222</v>
      </c>
      <c r="Q96" s="65">
        <v>38805.118202721649</v>
      </c>
      <c r="R96" s="65">
        <v>38368.060007162523</v>
      </c>
      <c r="S96" s="65">
        <v>39831.248082867904</v>
      </c>
      <c r="T96" s="65">
        <v>41266.026867028755</v>
      </c>
      <c r="U96" s="65">
        <v>42561.644882857989</v>
      </c>
      <c r="V96" s="65">
        <v>43592.159669492903</v>
      </c>
      <c r="W96" s="65">
        <v>44741.394519728332</v>
      </c>
      <c r="X96" s="65">
        <v>45971.076540281014</v>
      </c>
      <c r="Y96" s="65">
        <v>48313.042585563264</v>
      </c>
      <c r="Z96" s="65">
        <v>50769.121468368947</v>
      </c>
      <c r="AA96" s="65">
        <v>51739.690035720159</v>
      </c>
      <c r="AB96" s="65">
        <v>50428.082904370545</v>
      </c>
      <c r="AC96" s="65">
        <v>48809.088022364027</v>
      </c>
      <c r="AD96" s="65">
        <v>46810.421005369528</v>
      </c>
      <c r="AE96" s="65">
        <v>45063.959021775067</v>
      </c>
      <c r="AF96" s="65">
        <v>43853.373249635864</v>
      </c>
      <c r="AG96" s="40">
        <f>+SUM(I96:AF96)*H96</f>
        <v>4214077.3516548276</v>
      </c>
    </row>
    <row r="97" spans="2:33" ht="14.4" x14ac:dyDescent="0.25">
      <c r="B97">
        <f t="shared" si="26"/>
        <v>6</v>
      </c>
      <c r="C97">
        <f t="shared" si="27"/>
        <v>2028</v>
      </c>
      <c r="D97" t="str">
        <f t="shared" si="38"/>
        <v>62028FE</v>
      </c>
      <c r="E97" s="68">
        <v>46905</v>
      </c>
      <c r="F97" s="73"/>
      <c r="G97" s="42" t="s">
        <v>59</v>
      </c>
      <c r="H97" s="42">
        <v>2</v>
      </c>
      <c r="I97" s="65">
        <v>39899.816756196007</v>
      </c>
      <c r="J97" s="65">
        <v>39300.473841069732</v>
      </c>
      <c r="K97" s="65">
        <v>39021.019991200286</v>
      </c>
      <c r="L97" s="65">
        <v>38748.242862966392</v>
      </c>
      <c r="M97" s="65">
        <v>39162.591576616767</v>
      </c>
      <c r="N97" s="65">
        <v>40396.268375876949</v>
      </c>
      <c r="O97" s="65">
        <v>42266.9292920925</v>
      </c>
      <c r="P97" s="65">
        <v>40932.275895136241</v>
      </c>
      <c r="Q97" s="65">
        <v>39781.761707621008</v>
      </c>
      <c r="R97" s="65">
        <v>39251.617016479053</v>
      </c>
      <c r="S97" s="65">
        <v>40461.753906410457</v>
      </c>
      <c r="T97" s="65">
        <v>42152.921685784124</v>
      </c>
      <c r="U97" s="65">
        <v>43418.794692656491</v>
      </c>
      <c r="V97" s="65">
        <v>44284.018389292592</v>
      </c>
      <c r="W97" s="65">
        <v>45762.494699017392</v>
      </c>
      <c r="X97" s="65">
        <v>46948.675851527063</v>
      </c>
      <c r="Y97" s="65">
        <v>49765.216173535679</v>
      </c>
      <c r="Z97" s="65">
        <v>51459.921933294514</v>
      </c>
      <c r="AA97" s="65">
        <v>51778.132975153465</v>
      </c>
      <c r="AB97" s="65">
        <v>50180.304054458858</v>
      </c>
      <c r="AC97" s="65">
        <v>49111.778781283007</v>
      </c>
      <c r="AD97" s="65">
        <v>47258.442140295796</v>
      </c>
      <c r="AE97" s="65">
        <v>45692.141480740509</v>
      </c>
      <c r="AF97" s="65">
        <v>44553.954977861802</v>
      </c>
      <c r="AG97" s="43">
        <f>+SUM(I97:AF97)*H97</f>
        <v>2103179.0981131336</v>
      </c>
    </row>
    <row r="98" spans="2:33" ht="15" thickBot="1" x14ac:dyDescent="0.3">
      <c r="B98">
        <f t="shared" si="26"/>
        <v>6</v>
      </c>
      <c r="C98">
        <f t="shared" si="27"/>
        <v>2028</v>
      </c>
      <c r="D98" t="str">
        <f>+_xlfn.CONCAT(E98,G98)</f>
        <v>46905TOTAL</v>
      </c>
      <c r="E98" s="68">
        <v>46905</v>
      </c>
      <c r="F98" s="61"/>
      <c r="G98" s="44" t="s">
        <v>10</v>
      </c>
      <c r="H98" s="44">
        <f>+SUM(H94:H97)</f>
        <v>30</v>
      </c>
      <c r="I98" s="45">
        <f t="shared" ref="I98:AF98" si="39">+SUMPRODUCT(I94:I97,$H94:$H97)</f>
        <v>1179686.016263928</v>
      </c>
      <c r="J98" s="45">
        <f t="shared" si="39"/>
        <v>1163265.9220644664</v>
      </c>
      <c r="K98" s="45">
        <f t="shared" si="39"/>
        <v>1154017.0453089357</v>
      </c>
      <c r="L98" s="45">
        <f t="shared" si="39"/>
        <v>1140979.872418738</v>
      </c>
      <c r="M98" s="45">
        <f t="shared" si="39"/>
        <v>1153486.5796861446</v>
      </c>
      <c r="N98" s="45">
        <f t="shared" si="39"/>
        <v>1163785.5462184048</v>
      </c>
      <c r="O98" s="45">
        <f t="shared" si="39"/>
        <v>1208361.142772472</v>
      </c>
      <c r="P98" s="45">
        <f t="shared" si="39"/>
        <v>1192307.3358949509</v>
      </c>
      <c r="Q98" s="45">
        <f t="shared" si="39"/>
        <v>1184407.9557699666</v>
      </c>
      <c r="R98" s="45">
        <f t="shared" si="39"/>
        <v>1175814.8653509223</v>
      </c>
      <c r="S98" s="45">
        <f t="shared" si="39"/>
        <v>1215655.8082992656</v>
      </c>
      <c r="T98" s="45">
        <f t="shared" si="39"/>
        <v>1239338.9767803785</v>
      </c>
      <c r="U98" s="45">
        <f t="shared" si="39"/>
        <v>1245485.7510604106</v>
      </c>
      <c r="V98" s="45">
        <f t="shared" si="39"/>
        <v>1260869.9356897504</v>
      </c>
      <c r="W98" s="45">
        <f t="shared" si="39"/>
        <v>1316217.8607335724</v>
      </c>
      <c r="X98" s="45">
        <f t="shared" si="39"/>
        <v>1366502.8180568554</v>
      </c>
      <c r="Y98" s="45">
        <f t="shared" si="39"/>
        <v>1434980.2197268843</v>
      </c>
      <c r="Z98" s="45">
        <f t="shared" si="39"/>
        <v>1486106.4367280789</v>
      </c>
      <c r="AA98" s="45">
        <f t="shared" si="39"/>
        <v>1484193.5930994018</v>
      </c>
      <c r="AB98" s="45">
        <f t="shared" si="39"/>
        <v>1433291.1427987581</v>
      </c>
      <c r="AC98" s="45">
        <f t="shared" si="39"/>
        <v>1395881.5612039962</v>
      </c>
      <c r="AD98" s="45">
        <f t="shared" si="39"/>
        <v>1314450.8198075378</v>
      </c>
      <c r="AE98" s="45">
        <f t="shared" si="39"/>
        <v>1254978.9423669153</v>
      </c>
      <c r="AF98" s="45">
        <f t="shared" si="39"/>
        <v>1210843.7590272487</v>
      </c>
      <c r="AG98" s="46">
        <f>SUM(I98:AF98)</f>
        <v>30374909.907127988</v>
      </c>
    </row>
    <row r="99" spans="2:33" ht="14.4" x14ac:dyDescent="0.25">
      <c r="B99">
        <f t="shared" si="26"/>
        <v>7</v>
      </c>
      <c r="C99">
        <f t="shared" si="27"/>
        <v>2028</v>
      </c>
      <c r="D99" t="str">
        <f t="shared" ref="D99:D102" si="40">+_xlfn.CONCAT(B99:C99,G99)</f>
        <v>72028OR</v>
      </c>
      <c r="E99" s="67">
        <v>46935</v>
      </c>
      <c r="F99" s="72">
        <f>+AG103</f>
        <v>31417723.854161106</v>
      </c>
      <c r="G99" s="37" t="s">
        <v>57</v>
      </c>
      <c r="H99" s="37">
        <v>19</v>
      </c>
      <c r="I99" s="65">
        <v>38256.236346889746</v>
      </c>
      <c r="J99" s="65">
        <v>37743.335636685755</v>
      </c>
      <c r="K99" s="65">
        <v>37532.141642779148</v>
      </c>
      <c r="L99" s="65">
        <v>37105.898328837517</v>
      </c>
      <c r="M99" s="65">
        <v>37645.857066732213</v>
      </c>
      <c r="N99" s="65">
        <v>38134.77444073902</v>
      </c>
      <c r="O99" s="65">
        <v>39798.995717997044</v>
      </c>
      <c r="P99" s="65">
        <v>39634.438019087524</v>
      </c>
      <c r="Q99" s="65">
        <v>39582.781538342235</v>
      </c>
      <c r="R99" s="65">
        <v>39300.032452553853</v>
      </c>
      <c r="S99" s="65">
        <v>40562.680032012948</v>
      </c>
      <c r="T99" s="65">
        <v>41228.092104500844</v>
      </c>
      <c r="U99" s="65">
        <v>41206.902876330736</v>
      </c>
      <c r="V99" s="65">
        <v>41728.941327528642</v>
      </c>
      <c r="W99" s="65">
        <v>43889.643932520616</v>
      </c>
      <c r="X99" s="65">
        <v>45670.5537745736</v>
      </c>
      <c r="Y99" s="65">
        <v>47844.903854192089</v>
      </c>
      <c r="Z99" s="65">
        <v>49300.108332150274</v>
      </c>
      <c r="AA99" s="65">
        <v>48914.584511258901</v>
      </c>
      <c r="AB99" s="65">
        <v>47115.466649656562</v>
      </c>
      <c r="AC99" s="65">
        <v>45970.113710346595</v>
      </c>
      <c r="AD99" s="65">
        <v>43001.608309492854</v>
      </c>
      <c r="AE99" s="65">
        <v>40932.906328014993</v>
      </c>
      <c r="AF99" s="65">
        <v>39291.030603541345</v>
      </c>
      <c r="AG99" s="38">
        <f>+SUM(I99:AF99)*H99</f>
        <v>19026448.523198538</v>
      </c>
    </row>
    <row r="100" spans="2:33" ht="14.4" x14ac:dyDescent="0.25">
      <c r="B100">
        <f t="shared" si="26"/>
        <v>7</v>
      </c>
      <c r="C100">
        <f t="shared" si="27"/>
        <v>2028</v>
      </c>
      <c r="D100" t="str">
        <f t="shared" si="40"/>
        <v>72028SA</v>
      </c>
      <c r="E100" s="68">
        <v>46935</v>
      </c>
      <c r="F100" s="73"/>
      <c r="G100" s="39" t="s">
        <v>60</v>
      </c>
      <c r="H100" s="39">
        <v>5</v>
      </c>
      <c r="I100" s="65">
        <v>40346.695065146341</v>
      </c>
      <c r="J100" s="65">
        <v>39932.778485957795</v>
      </c>
      <c r="K100" s="65">
        <v>39187.538926246736</v>
      </c>
      <c r="L100" s="65">
        <v>38540.74079969278</v>
      </c>
      <c r="M100" s="65">
        <v>38825.056189418865</v>
      </c>
      <c r="N100" s="65">
        <v>38941.112708741304</v>
      </c>
      <c r="O100" s="65">
        <v>40636.740896542833</v>
      </c>
      <c r="P100" s="65">
        <v>39503.81594254791</v>
      </c>
      <c r="Q100" s="65">
        <v>39066.962194248423</v>
      </c>
      <c r="R100" s="65">
        <v>38978.365559559366</v>
      </c>
      <c r="S100" s="65">
        <v>40501.526878678487</v>
      </c>
      <c r="T100" s="65">
        <v>40783.295962669625</v>
      </c>
      <c r="U100" s="65">
        <v>40525.37115426283</v>
      </c>
      <c r="V100" s="65">
        <v>40301.428420655247</v>
      </c>
      <c r="W100" s="65">
        <v>41440.803651553128</v>
      </c>
      <c r="X100" s="65">
        <v>43293.261175301479</v>
      </c>
      <c r="Y100" s="65">
        <v>45800.044988429589</v>
      </c>
      <c r="Z100" s="65">
        <v>48041.945086252003</v>
      </c>
      <c r="AA100" s="65">
        <v>48427.929195258905</v>
      </c>
      <c r="AB100" s="65">
        <v>46854.427519806741</v>
      </c>
      <c r="AC100" s="65">
        <v>45437.164336260597</v>
      </c>
      <c r="AD100" s="65">
        <v>42913.851328902645</v>
      </c>
      <c r="AE100" s="65">
        <v>40978.854189508624</v>
      </c>
      <c r="AF100" s="65">
        <v>39955.746000538667</v>
      </c>
      <c r="AG100" s="40">
        <f>+SUM(I100:AF100)*H100</f>
        <v>4996077.2832809044</v>
      </c>
    </row>
    <row r="101" spans="2:33" ht="14.4" x14ac:dyDescent="0.25">
      <c r="B101">
        <f t="shared" si="26"/>
        <v>7</v>
      </c>
      <c r="C101">
        <f t="shared" si="27"/>
        <v>2028</v>
      </c>
      <c r="D101" t="str">
        <f t="shared" si="40"/>
        <v>72028DO</v>
      </c>
      <c r="E101" s="68">
        <v>46935</v>
      </c>
      <c r="F101" s="73"/>
      <c r="G101" s="41" t="s">
        <v>58</v>
      </c>
      <c r="H101" s="41">
        <v>5</v>
      </c>
      <c r="I101" s="65">
        <v>43432.51888828908</v>
      </c>
      <c r="J101" s="65">
        <v>42611.156926195115</v>
      </c>
      <c r="K101" s="65">
        <v>42248.254191491134</v>
      </c>
      <c r="L101" s="65">
        <v>41911.414229320981</v>
      </c>
      <c r="M101" s="65">
        <v>41833.767610147799</v>
      </c>
      <c r="N101" s="65">
        <v>41189.397454226404</v>
      </c>
      <c r="O101" s="65">
        <v>41281.821560543707</v>
      </c>
      <c r="P101" s="65">
        <v>39812.749988184223</v>
      </c>
      <c r="Q101" s="65">
        <v>39032.758202721649</v>
      </c>
      <c r="R101" s="65">
        <v>38599.750007162518</v>
      </c>
      <c r="S101" s="65">
        <v>40070.238082867902</v>
      </c>
      <c r="T101" s="65">
        <v>41508.216867028757</v>
      </c>
      <c r="U101" s="65">
        <v>42803.634882857987</v>
      </c>
      <c r="V101" s="65">
        <v>43835.849669492905</v>
      </c>
      <c r="W101" s="65">
        <v>44982.054519728328</v>
      </c>
      <c r="X101" s="65">
        <v>46212.016540281016</v>
      </c>
      <c r="Y101" s="65">
        <v>48553.302585563259</v>
      </c>
      <c r="Z101" s="65">
        <v>51004.951468368949</v>
      </c>
      <c r="AA101" s="65">
        <v>51979.140035720164</v>
      </c>
      <c r="AB101" s="65">
        <v>50659.372904370546</v>
      </c>
      <c r="AC101" s="65">
        <v>49032.418022364029</v>
      </c>
      <c r="AD101" s="65">
        <v>47024.921005369528</v>
      </c>
      <c r="AE101" s="65">
        <v>45274.379021775065</v>
      </c>
      <c r="AF101" s="65">
        <v>44060.133249635866</v>
      </c>
      <c r="AG101" s="40">
        <f>+SUM(I101:AF101)*H101</f>
        <v>5294771.0895685349</v>
      </c>
    </row>
    <row r="102" spans="2:33" ht="14.4" x14ac:dyDescent="0.25">
      <c r="B102">
        <f t="shared" si="26"/>
        <v>7</v>
      </c>
      <c r="C102">
        <f t="shared" si="27"/>
        <v>2028</v>
      </c>
      <c r="D102" t="str">
        <f t="shared" si="40"/>
        <v>72028FE</v>
      </c>
      <c r="E102" s="68">
        <v>46935</v>
      </c>
      <c r="F102" s="73"/>
      <c r="G102" s="42" t="s">
        <v>59</v>
      </c>
      <c r="H102" s="42">
        <v>2</v>
      </c>
      <c r="I102" s="65">
        <v>39879.916756196006</v>
      </c>
      <c r="J102" s="65">
        <v>39282.433841069724</v>
      </c>
      <c r="K102" s="65">
        <v>39003.479991200285</v>
      </c>
      <c r="L102" s="65">
        <v>38732.30286296639</v>
      </c>
      <c r="M102" s="65">
        <v>39143.091576616767</v>
      </c>
      <c r="N102" s="65">
        <v>40360.80837587695</v>
      </c>
      <c r="O102" s="65">
        <v>42216.3592920925</v>
      </c>
      <c r="P102" s="65">
        <v>40872.475895136238</v>
      </c>
      <c r="Q102" s="65">
        <v>39720.251707621006</v>
      </c>
      <c r="R102" s="65">
        <v>39185.257016479052</v>
      </c>
      <c r="S102" s="65">
        <v>40386.943906410459</v>
      </c>
      <c r="T102" s="65">
        <v>42067.821685784118</v>
      </c>
      <c r="U102" s="65">
        <v>43332.804692656486</v>
      </c>
      <c r="V102" s="65">
        <v>44197.64838929259</v>
      </c>
      <c r="W102" s="65">
        <v>45678.854699017393</v>
      </c>
      <c r="X102" s="65">
        <v>46867.455851527062</v>
      </c>
      <c r="Y102" s="65">
        <v>49680.176173535678</v>
      </c>
      <c r="Z102" s="65">
        <v>51384.361933294509</v>
      </c>
      <c r="AA102" s="65">
        <v>51703.482975153463</v>
      </c>
      <c r="AB102" s="65">
        <v>50115.374054458865</v>
      </c>
      <c r="AC102" s="65">
        <v>49050.608781283008</v>
      </c>
      <c r="AD102" s="65">
        <v>47204.66214029579</v>
      </c>
      <c r="AE102" s="65">
        <v>45641.18148074051</v>
      </c>
      <c r="AF102" s="65">
        <v>44505.724977861806</v>
      </c>
      <c r="AG102" s="43">
        <f>+SUM(I102:AF102)*H102</f>
        <v>2100426.9581131334</v>
      </c>
    </row>
    <row r="103" spans="2:33" ht="15" thickBot="1" x14ac:dyDescent="0.3">
      <c r="B103">
        <f t="shared" si="26"/>
        <v>7</v>
      </c>
      <c r="C103">
        <f t="shared" si="27"/>
        <v>2028</v>
      </c>
      <c r="D103" t="str">
        <f>+_xlfn.CONCAT(E103,G103)</f>
        <v>46935TOTAL</v>
      </c>
      <c r="E103" s="68">
        <v>46935</v>
      </c>
      <c r="F103" s="61"/>
      <c r="G103" s="44" t="s">
        <v>10</v>
      </c>
      <c r="H103" s="44">
        <f>+SUM(H99:H102)</f>
        <v>31</v>
      </c>
      <c r="I103" s="45">
        <f t="shared" ref="I103:AF103" si="41">+SUMPRODUCT(I99:I102,$H99:$H102)</f>
        <v>1225524.3938704743</v>
      </c>
      <c r="J103" s="45">
        <f t="shared" si="41"/>
        <v>1208407.9218399334</v>
      </c>
      <c r="K103" s="45">
        <f t="shared" si="41"/>
        <v>1198296.6167838937</v>
      </c>
      <c r="L103" s="45">
        <f t="shared" si="41"/>
        <v>1184737.4491189145</v>
      </c>
      <c r="M103" s="45">
        <f t="shared" si="41"/>
        <v>1196851.5864189789</v>
      </c>
      <c r="N103" s="45">
        <f t="shared" si="41"/>
        <v>1205934.881940634</v>
      </c>
      <c r="O103" s="45">
        <f t="shared" si="41"/>
        <v>1250206.4495115615</v>
      </c>
      <c r="P103" s="45">
        <f t="shared" si="41"/>
        <v>1231382.1038065962</v>
      </c>
      <c r="Q103" s="45">
        <f t="shared" si="41"/>
        <v>1222011.9546285949</v>
      </c>
      <c r="R103" s="45">
        <f t="shared" si="41"/>
        <v>1212961.7084650907</v>
      </c>
      <c r="S103" s="45">
        <f t="shared" si="41"/>
        <v>1254323.6332287989</v>
      </c>
      <c r="T103" s="45">
        <f t="shared" si="41"/>
        <v>1278926.9575055763</v>
      </c>
      <c r="U103" s="45">
        <f t="shared" si="41"/>
        <v>1286241.794221201</v>
      </c>
      <c r="V103" s="45">
        <f t="shared" si="41"/>
        <v>1301931.5724523701</v>
      </c>
      <c r="W103" s="45">
        <f t="shared" si="41"/>
        <v>1357375.2349723338</v>
      </c>
      <c r="X103" s="45">
        <f t="shared" si="41"/>
        <v>1409001.8219978649</v>
      </c>
      <c r="Y103" s="45">
        <f t="shared" si="41"/>
        <v>1480180.2634466852</v>
      </c>
      <c r="Z103" s="45">
        <f t="shared" si="41"/>
        <v>1534705.2649505488</v>
      </c>
      <c r="AA103" s="45">
        <f t="shared" si="41"/>
        <v>1534819.4178191214</v>
      </c>
      <c r="AB103" s="45">
        <f t="shared" si="41"/>
        <v>1482993.6165732788</v>
      </c>
      <c r="AC103" s="45">
        <f t="shared" si="41"/>
        <v>1443881.2898522746</v>
      </c>
      <c r="AD103" s="45">
        <f t="shared" si="41"/>
        <v>1361133.7438323167</v>
      </c>
      <c r="AE103" s="45">
        <f t="shared" si="41"/>
        <v>1300273.7492501843</v>
      </c>
      <c r="AF103" s="45">
        <f t="shared" si="41"/>
        <v>1255620.4276738819</v>
      </c>
      <c r="AG103" s="46">
        <f>SUM(I103:AF103)</f>
        <v>31417723.854161106</v>
      </c>
    </row>
    <row r="104" spans="2:33" ht="14.4" x14ac:dyDescent="0.25">
      <c r="B104">
        <f t="shared" si="26"/>
        <v>8</v>
      </c>
      <c r="C104">
        <f t="shared" si="27"/>
        <v>2028</v>
      </c>
      <c r="D104" t="str">
        <f t="shared" ref="D104:D107" si="42">+_xlfn.CONCAT(B104:C104,G104)</f>
        <v>82028OR</v>
      </c>
      <c r="E104" s="67">
        <v>46966</v>
      </c>
      <c r="F104" s="72">
        <f>+AG108</f>
        <v>31268221.28466475</v>
      </c>
      <c r="G104" s="37" t="s">
        <v>57</v>
      </c>
      <c r="H104" s="37">
        <v>21</v>
      </c>
      <c r="I104" s="65">
        <v>38150.506346889757</v>
      </c>
      <c r="J104" s="65">
        <v>37638.165636685764</v>
      </c>
      <c r="K104" s="65">
        <v>37427.741642779169</v>
      </c>
      <c r="L104" s="65">
        <v>37002.048328837504</v>
      </c>
      <c r="M104" s="65">
        <v>37543.327066732214</v>
      </c>
      <c r="N104" s="65">
        <v>38034.714440739008</v>
      </c>
      <c r="O104" s="65">
        <v>39700.825717997039</v>
      </c>
      <c r="P104" s="65">
        <v>39533.668019087512</v>
      </c>
      <c r="Q104" s="65">
        <v>39479.371538342217</v>
      </c>
      <c r="R104" s="65">
        <v>39193.752452553839</v>
      </c>
      <c r="S104" s="65">
        <v>40456.50003201294</v>
      </c>
      <c r="T104" s="65">
        <v>41121.442104500828</v>
      </c>
      <c r="U104" s="65">
        <v>41101.322876330712</v>
      </c>
      <c r="V104" s="65">
        <v>41622.011327528628</v>
      </c>
      <c r="W104" s="65">
        <v>43782.013932520611</v>
      </c>
      <c r="X104" s="65">
        <v>45563.693774573592</v>
      </c>
      <c r="Y104" s="65">
        <v>47738.943854192061</v>
      </c>
      <c r="Z104" s="65">
        <v>49195.568332150309</v>
      </c>
      <c r="AA104" s="65">
        <v>48811.07451125895</v>
      </c>
      <c r="AB104" s="65">
        <v>47010.216649656562</v>
      </c>
      <c r="AC104" s="65">
        <v>45865.65371034656</v>
      </c>
      <c r="AD104" s="65">
        <v>42896.698309492887</v>
      </c>
      <c r="AE104" s="65">
        <v>40827.286328014954</v>
      </c>
      <c r="AF104" s="65">
        <v>39185.630603541373</v>
      </c>
      <c r="AG104" s="38">
        <f>+SUM(I104:AF104)*H104</f>
        <v>20976525.728272066</v>
      </c>
    </row>
    <row r="105" spans="2:33" ht="14.4" x14ac:dyDescent="0.25">
      <c r="B105">
        <f t="shared" si="26"/>
        <v>8</v>
      </c>
      <c r="C105">
        <f t="shared" si="27"/>
        <v>2028</v>
      </c>
      <c r="D105" t="str">
        <f t="shared" si="42"/>
        <v>82028SA</v>
      </c>
      <c r="E105" s="68">
        <v>46966</v>
      </c>
      <c r="F105" s="73"/>
      <c r="G105" s="39" t="s">
        <v>60</v>
      </c>
      <c r="H105" s="39">
        <v>4</v>
      </c>
      <c r="I105" s="65">
        <v>40220.875065146342</v>
      </c>
      <c r="J105" s="65">
        <v>39807.588485957793</v>
      </c>
      <c r="K105" s="65">
        <v>39062.618926246738</v>
      </c>
      <c r="L105" s="65">
        <v>38416.000799692789</v>
      </c>
      <c r="M105" s="65">
        <v>38700.996189418867</v>
      </c>
      <c r="N105" s="65">
        <v>38818.602708741309</v>
      </c>
      <c r="O105" s="65">
        <v>40513.600896542834</v>
      </c>
      <c r="P105" s="65">
        <v>39377.17594254791</v>
      </c>
      <c r="Q105" s="65">
        <v>38937.182194248424</v>
      </c>
      <c r="R105" s="65">
        <v>38844.555559559361</v>
      </c>
      <c r="S105" s="65">
        <v>40365.926878678489</v>
      </c>
      <c r="T105" s="65">
        <v>40646.305962669627</v>
      </c>
      <c r="U105" s="65">
        <v>40390.421154262833</v>
      </c>
      <c r="V105" s="65">
        <v>40165.868420655243</v>
      </c>
      <c r="W105" s="65">
        <v>41306.363651553125</v>
      </c>
      <c r="X105" s="65">
        <v>43160.62117530148</v>
      </c>
      <c r="Y105" s="65">
        <v>45668.324988429595</v>
      </c>
      <c r="Z105" s="65">
        <v>47911.495086251991</v>
      </c>
      <c r="AA105" s="65">
        <v>48297.999195258904</v>
      </c>
      <c r="AB105" s="65">
        <v>46724.087519806737</v>
      </c>
      <c r="AC105" s="65">
        <v>45309.384336260599</v>
      </c>
      <c r="AD105" s="65">
        <v>42789.111328902654</v>
      </c>
      <c r="AE105" s="65">
        <v>40856.954189508629</v>
      </c>
      <c r="AF105" s="65">
        <v>39834.106000538661</v>
      </c>
      <c r="AG105" s="40">
        <f>+SUM(I105:AF105)*H105</f>
        <v>3984504.6666247239</v>
      </c>
    </row>
    <row r="106" spans="2:33" ht="14.4" x14ac:dyDescent="0.25">
      <c r="B106">
        <f t="shared" si="26"/>
        <v>8</v>
      </c>
      <c r="C106">
        <f t="shared" si="27"/>
        <v>2028</v>
      </c>
      <c r="D106" t="str">
        <f t="shared" si="42"/>
        <v>82028DO</v>
      </c>
      <c r="E106" s="68">
        <v>46966</v>
      </c>
      <c r="F106" s="73"/>
      <c r="G106" s="41" t="s">
        <v>58</v>
      </c>
      <c r="H106" s="41">
        <v>4</v>
      </c>
      <c r="I106" s="65">
        <v>43068.298888289086</v>
      </c>
      <c r="J106" s="65">
        <v>42252.926926195112</v>
      </c>
      <c r="K106" s="65">
        <v>41891.644191491134</v>
      </c>
      <c r="L106" s="65">
        <v>41557.934229320985</v>
      </c>
      <c r="M106" s="65">
        <v>41481.477610147806</v>
      </c>
      <c r="N106" s="65">
        <v>40842.677454226403</v>
      </c>
      <c r="O106" s="65">
        <v>40934.501560543707</v>
      </c>
      <c r="P106" s="65">
        <v>39449.599988184222</v>
      </c>
      <c r="Q106" s="65">
        <v>38658.518202721651</v>
      </c>
      <c r="R106" s="65">
        <v>38215.530007162517</v>
      </c>
      <c r="S106" s="65">
        <v>39667.828082867905</v>
      </c>
      <c r="T106" s="65">
        <v>41095.83686702876</v>
      </c>
      <c r="U106" s="65">
        <v>42392.904882857983</v>
      </c>
      <c r="V106" s="65">
        <v>43423.559669492905</v>
      </c>
      <c r="W106" s="65">
        <v>44576.99451972833</v>
      </c>
      <c r="X106" s="65">
        <v>45807.136540281012</v>
      </c>
      <c r="Y106" s="65">
        <v>48151.112585563264</v>
      </c>
      <c r="Z106" s="65">
        <v>50608.051468368947</v>
      </c>
      <c r="AA106" s="65">
        <v>51577.98003572016</v>
      </c>
      <c r="AB106" s="65">
        <v>50271.622904370546</v>
      </c>
      <c r="AC106" s="65">
        <v>48662.808022364028</v>
      </c>
      <c r="AD106" s="65">
        <v>46671.301005369525</v>
      </c>
      <c r="AE106" s="65">
        <v>44930.099021775066</v>
      </c>
      <c r="AF106" s="65">
        <v>43721.763249635864</v>
      </c>
      <c r="AG106" s="40">
        <f>+SUM(I106:AF106)*H106</f>
        <v>4199648.4316548277</v>
      </c>
    </row>
    <row r="107" spans="2:33" ht="14.4" x14ac:dyDescent="0.25">
      <c r="B107">
        <f t="shared" si="26"/>
        <v>8</v>
      </c>
      <c r="C107">
        <f t="shared" si="27"/>
        <v>2028</v>
      </c>
      <c r="D107" t="str">
        <f t="shared" si="42"/>
        <v>82028FE</v>
      </c>
      <c r="E107" s="68">
        <v>46966</v>
      </c>
      <c r="F107" s="73"/>
      <c r="G107" s="42" t="s">
        <v>59</v>
      </c>
      <c r="H107" s="42">
        <v>2</v>
      </c>
      <c r="I107" s="65">
        <v>39958.656756196011</v>
      </c>
      <c r="J107" s="65">
        <v>39359.433841069724</v>
      </c>
      <c r="K107" s="65">
        <v>39081.659991200286</v>
      </c>
      <c r="L107" s="65">
        <v>38807.59286296639</v>
      </c>
      <c r="M107" s="65">
        <v>39226.801576616766</v>
      </c>
      <c r="N107" s="65">
        <v>40474.23837587695</v>
      </c>
      <c r="O107" s="65">
        <v>42366.389292092499</v>
      </c>
      <c r="P107" s="65">
        <v>41035.085895136239</v>
      </c>
      <c r="Q107" s="65">
        <v>39885.171707621012</v>
      </c>
      <c r="R107" s="65">
        <v>39354.56701647905</v>
      </c>
      <c r="S107" s="65">
        <v>40562.403906410458</v>
      </c>
      <c r="T107" s="65">
        <v>42258.251685784118</v>
      </c>
      <c r="U107" s="65">
        <v>43524.034692656489</v>
      </c>
      <c r="V107" s="65">
        <v>44392.07838929259</v>
      </c>
      <c r="W107" s="65">
        <v>45875.864699017387</v>
      </c>
      <c r="X107" s="65">
        <v>47065.105851527056</v>
      </c>
      <c r="Y107" s="65">
        <v>49887.826173535679</v>
      </c>
      <c r="Z107" s="65">
        <v>51566.291933294517</v>
      </c>
      <c r="AA107" s="65">
        <v>51883.522975153464</v>
      </c>
      <c r="AB107" s="65">
        <v>50267.944054458865</v>
      </c>
      <c r="AC107" s="65">
        <v>49197.808781283013</v>
      </c>
      <c r="AD107" s="65">
        <v>47340.59214029579</v>
      </c>
      <c r="AE107" s="65">
        <v>45771.241480740508</v>
      </c>
      <c r="AF107" s="65">
        <v>44628.664977861801</v>
      </c>
      <c r="AG107" s="43">
        <f>+SUM(I107:AF107)*H107</f>
        <v>2107542.458113133</v>
      </c>
    </row>
    <row r="108" spans="2:33" ht="15" thickBot="1" x14ac:dyDescent="0.3">
      <c r="B108">
        <f t="shared" si="26"/>
        <v>8</v>
      </c>
      <c r="C108">
        <f t="shared" si="27"/>
        <v>2028</v>
      </c>
      <c r="D108" t="str">
        <f>+_xlfn.CONCAT(E108,G108)</f>
        <v>46966TOTAL</v>
      </c>
      <c r="E108" s="68">
        <v>46966</v>
      </c>
      <c r="F108" s="61"/>
      <c r="G108" s="44" t="s">
        <v>10</v>
      </c>
      <c r="H108" s="44">
        <f>+SUM(H104:H107)</f>
        <v>31</v>
      </c>
      <c r="I108" s="45">
        <f t="shared" ref="I108:AF108" si="43">+SUMPRODUCT(I104:I107,$H104:$H107)</f>
        <v>1214234.6426108186</v>
      </c>
      <c r="J108" s="45">
        <f t="shared" si="43"/>
        <v>1197362.4077011521</v>
      </c>
      <c r="K108" s="45">
        <f t="shared" si="43"/>
        <v>1187962.9469517146</v>
      </c>
      <c r="L108" s="45">
        <f t="shared" si="43"/>
        <v>1174553.9407475754</v>
      </c>
      <c r="M108" s="45">
        <f t="shared" si="43"/>
        <v>1187593.3667528769</v>
      </c>
      <c r="N108" s="45">
        <f t="shared" si="43"/>
        <v>1198322.6006591439</v>
      </c>
      <c r="O108" s="45">
        <f t="shared" si="43"/>
        <v>1244242.5284904691</v>
      </c>
      <c r="P108" s="45">
        <f t="shared" si="43"/>
        <v>1227584.3039140387</v>
      </c>
      <c r="Q108" s="45">
        <f t="shared" si="43"/>
        <v>1219219.9473083087</v>
      </c>
      <c r="R108" s="45">
        <f t="shared" si="43"/>
        <v>1210018.2778034764</v>
      </c>
      <c r="S108" s="45">
        <f t="shared" si="43"/>
        <v>1250846.3283312782</v>
      </c>
      <c r="T108" s="45">
        <f t="shared" si="43"/>
        <v>1275035.3588848792</v>
      </c>
      <c r="U108" s="45">
        <f t="shared" si="43"/>
        <v>1281309.1539367412</v>
      </c>
      <c r="V108" s="45">
        <f t="shared" si="43"/>
        <v>1297204.1070172789</v>
      </c>
      <c r="W108" s="45">
        <f t="shared" si="43"/>
        <v>1354707.4546660935</v>
      </c>
      <c r="X108" s="45">
        <f t="shared" si="43"/>
        <v>1406838.8118314296</v>
      </c>
      <c r="Y108" s="45">
        <f t="shared" si="43"/>
        <v>1477571.2235810761</v>
      </c>
      <c r="Z108" s="45">
        <f t="shared" si="43"/>
        <v>1530317.7050602294</v>
      </c>
      <c r="AA108" s="45">
        <f t="shared" si="43"/>
        <v>1528303.527610661</v>
      </c>
      <c r="AB108" s="45">
        <f t="shared" si="43"/>
        <v>1475733.2794484147</v>
      </c>
      <c r="AC108" s="45">
        <f t="shared" si="43"/>
        <v>1437463.1149143423</v>
      </c>
      <c r="AD108" s="45">
        <f t="shared" si="43"/>
        <v>1353353.4981170308</v>
      </c>
      <c r="AE108" s="45">
        <f t="shared" si="43"/>
        <v>1292063.7086949297</v>
      </c>
      <c r="AF108" s="45">
        <f t="shared" si="43"/>
        <v>1246379.0496307905</v>
      </c>
      <c r="AG108" s="46">
        <f>SUM(I108:AF108)</f>
        <v>31268221.28466475</v>
      </c>
    </row>
    <row r="109" spans="2:33" ht="14.4" x14ac:dyDescent="0.25">
      <c r="B109">
        <f t="shared" si="26"/>
        <v>9</v>
      </c>
      <c r="C109">
        <f t="shared" si="27"/>
        <v>2028</v>
      </c>
      <c r="D109" t="str">
        <f t="shared" ref="D109:D112" si="44">+_xlfn.CONCAT(B109:C109,G109)</f>
        <v>92028OR</v>
      </c>
      <c r="E109" s="67">
        <v>46997</v>
      </c>
      <c r="F109" s="72">
        <f>+AG113</f>
        <v>30173432.363207795</v>
      </c>
      <c r="G109" s="37" t="s">
        <v>57</v>
      </c>
      <c r="H109" s="37">
        <v>21</v>
      </c>
      <c r="I109" s="65">
        <v>38235.466346889734</v>
      </c>
      <c r="J109" s="65">
        <v>37723.245636685759</v>
      </c>
      <c r="K109" s="65">
        <v>37512.921642779154</v>
      </c>
      <c r="L109" s="65">
        <v>37087.408328837497</v>
      </c>
      <c r="M109" s="65">
        <v>37628.317066732205</v>
      </c>
      <c r="N109" s="65">
        <v>38118.724440739017</v>
      </c>
      <c r="O109" s="65">
        <v>39782.515717997019</v>
      </c>
      <c r="P109" s="65">
        <v>39613.628019087497</v>
      </c>
      <c r="Q109" s="65">
        <v>39557.721538342215</v>
      </c>
      <c r="R109" s="65">
        <v>39271.072452553861</v>
      </c>
      <c r="S109" s="65">
        <v>40532.64003201294</v>
      </c>
      <c r="T109" s="65">
        <v>41196.922104500823</v>
      </c>
      <c r="U109" s="65">
        <v>41177.302876330708</v>
      </c>
      <c r="V109" s="65">
        <v>41698.091327528622</v>
      </c>
      <c r="W109" s="65">
        <v>43857.993932520614</v>
      </c>
      <c r="X109" s="65">
        <v>45639.8037745736</v>
      </c>
      <c r="Y109" s="65">
        <v>47815.203854192063</v>
      </c>
      <c r="Z109" s="65">
        <v>49272.618332150283</v>
      </c>
      <c r="AA109" s="65">
        <v>48889.544511258937</v>
      </c>
      <c r="AB109" s="65">
        <v>47089.756649656578</v>
      </c>
      <c r="AC109" s="65">
        <v>45946.303710346576</v>
      </c>
      <c r="AD109" s="65">
        <v>42978.768309492858</v>
      </c>
      <c r="AE109" s="65">
        <v>40910.646328014984</v>
      </c>
      <c r="AF109" s="65">
        <v>39269.440603541341</v>
      </c>
      <c r="AG109" s="38">
        <f>+SUM(I109:AF109)*H109</f>
        <v>21016927.208272062</v>
      </c>
    </row>
    <row r="110" spans="2:33" ht="14.4" x14ac:dyDescent="0.25">
      <c r="B110">
        <f t="shared" si="26"/>
        <v>9</v>
      </c>
      <c r="C110">
        <f t="shared" si="27"/>
        <v>2028</v>
      </c>
      <c r="D110" t="str">
        <f t="shared" si="44"/>
        <v>92028SA</v>
      </c>
      <c r="E110" s="68">
        <v>46997</v>
      </c>
      <c r="F110" s="73"/>
      <c r="G110" s="39" t="s">
        <v>60</v>
      </c>
      <c r="H110" s="39">
        <v>5</v>
      </c>
      <c r="I110" s="65">
        <v>40141.785065146338</v>
      </c>
      <c r="J110" s="65">
        <v>39732.388485957796</v>
      </c>
      <c r="K110" s="65">
        <v>38992.30892624674</v>
      </c>
      <c r="L110" s="65">
        <v>38349.120799692784</v>
      </c>
      <c r="M110" s="65">
        <v>38630.996189418867</v>
      </c>
      <c r="N110" s="65">
        <v>38741.162708741307</v>
      </c>
      <c r="O110" s="65">
        <v>40420.83089654283</v>
      </c>
      <c r="P110" s="65">
        <v>39271.875942547907</v>
      </c>
      <c r="Q110" s="65">
        <v>38818.022194248428</v>
      </c>
      <c r="R110" s="65">
        <v>38716.70555955937</v>
      </c>
      <c r="S110" s="65">
        <v>40224.246878678488</v>
      </c>
      <c r="T110" s="65">
        <v>40503.055962669627</v>
      </c>
      <c r="U110" s="65">
        <v>40258.071154262834</v>
      </c>
      <c r="V110" s="65">
        <v>40042.378420655245</v>
      </c>
      <c r="W110" s="65">
        <v>41183.553651553128</v>
      </c>
      <c r="X110" s="65">
        <v>43038.651175301478</v>
      </c>
      <c r="Y110" s="65">
        <v>45547.214988429594</v>
      </c>
      <c r="Z110" s="65">
        <v>47794.375086251988</v>
      </c>
      <c r="AA110" s="65">
        <v>48185.199195258901</v>
      </c>
      <c r="AB110" s="65">
        <v>46626.06751980674</v>
      </c>
      <c r="AC110" s="65">
        <v>45224.4643362606</v>
      </c>
      <c r="AD110" s="65">
        <v>42720.271328902651</v>
      </c>
      <c r="AE110" s="65">
        <v>40802.764189508627</v>
      </c>
      <c r="AF110" s="65">
        <v>39785.306000538665</v>
      </c>
      <c r="AG110" s="40">
        <f>+SUM(I110:AF110)*H110</f>
        <v>4968754.0832809042</v>
      </c>
    </row>
    <row r="111" spans="2:33" ht="14.4" x14ac:dyDescent="0.25">
      <c r="B111">
        <f t="shared" si="26"/>
        <v>9</v>
      </c>
      <c r="C111">
        <f t="shared" si="27"/>
        <v>2028</v>
      </c>
      <c r="D111" t="str">
        <f t="shared" si="44"/>
        <v>92028DO</v>
      </c>
      <c r="E111" s="68">
        <v>46997</v>
      </c>
      <c r="F111" s="73"/>
      <c r="G111" s="41" t="s">
        <v>58</v>
      </c>
      <c r="H111" s="41">
        <v>4</v>
      </c>
      <c r="I111" s="65">
        <v>42956.62888828908</v>
      </c>
      <c r="J111" s="65">
        <v>42145.746926195119</v>
      </c>
      <c r="K111" s="65">
        <v>41784.504191491134</v>
      </c>
      <c r="L111" s="65">
        <v>41453.664229320981</v>
      </c>
      <c r="M111" s="65">
        <v>41377.907610147799</v>
      </c>
      <c r="N111" s="65">
        <v>40744.6974542264</v>
      </c>
      <c r="O111" s="65">
        <v>40834.611560543708</v>
      </c>
      <c r="P111" s="65">
        <v>39335.58998818422</v>
      </c>
      <c r="Q111" s="65">
        <v>38534.65820272165</v>
      </c>
      <c r="R111" s="65">
        <v>38084.030007162517</v>
      </c>
      <c r="S111" s="65">
        <v>39522.448082867908</v>
      </c>
      <c r="T111" s="65">
        <v>40943.526867028755</v>
      </c>
      <c r="U111" s="65">
        <v>42241.47488285799</v>
      </c>
      <c r="V111" s="65">
        <v>43270.029669492898</v>
      </c>
      <c r="W111" s="65">
        <v>44429.084519728334</v>
      </c>
      <c r="X111" s="65">
        <v>45659.076540281014</v>
      </c>
      <c r="Y111" s="65">
        <v>48004.762585563265</v>
      </c>
      <c r="Z111" s="65">
        <v>50467.67146836895</v>
      </c>
      <c r="AA111" s="65">
        <v>51432.750035720164</v>
      </c>
      <c r="AB111" s="65">
        <v>50138.952904370548</v>
      </c>
      <c r="AC111" s="65">
        <v>48544.538022364031</v>
      </c>
      <c r="AD111" s="65">
        <v>46567.251005369522</v>
      </c>
      <c r="AE111" s="65">
        <v>44833.449021775064</v>
      </c>
      <c r="AF111" s="65">
        <v>43630.713249635868</v>
      </c>
      <c r="AG111" s="40">
        <f>+SUM(I111:AF111)*H111</f>
        <v>4187751.0716548273</v>
      </c>
    </row>
    <row r="112" spans="2:33" ht="14.4" x14ac:dyDescent="0.25">
      <c r="B112">
        <f t="shared" si="26"/>
        <v>9</v>
      </c>
      <c r="C112">
        <f t="shared" si="27"/>
        <v>2028</v>
      </c>
      <c r="D112" t="str">
        <f t="shared" si="44"/>
        <v>92028FE</v>
      </c>
      <c r="E112" s="68">
        <v>46997</v>
      </c>
      <c r="F112" s="73"/>
      <c r="G112" s="42" t="s">
        <v>59</v>
      </c>
      <c r="H112" s="42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r="AF112" s="65">
        <v>0</v>
      </c>
      <c r="AG112" s="43">
        <f>+SUM(I112:AF112)*H112</f>
        <v>0</v>
      </c>
    </row>
    <row r="113" spans="2:33" ht="15" thickBot="1" x14ac:dyDescent="0.3">
      <c r="B113">
        <f t="shared" si="26"/>
        <v>9</v>
      </c>
      <c r="C113">
        <f t="shared" si="27"/>
        <v>2028</v>
      </c>
      <c r="D113" t="str">
        <f>+_xlfn.CONCAT(E113,G113)</f>
        <v>46997TOTAL</v>
      </c>
      <c r="E113" s="68">
        <v>46997</v>
      </c>
      <c r="F113" s="61"/>
      <c r="G113" s="44" t="s">
        <v>10</v>
      </c>
      <c r="H113" s="44">
        <f>+SUM(H109:H112)</f>
        <v>30</v>
      </c>
      <c r="I113" s="45">
        <f t="shared" ref="I113:AF113" si="45">+SUMPRODUCT(I109:I112,$H109:$H112)</f>
        <v>1175480.2341635725</v>
      </c>
      <c r="J113" s="45">
        <f t="shared" si="45"/>
        <v>1159433.0885049703</v>
      </c>
      <c r="K113" s="45">
        <f t="shared" si="45"/>
        <v>1149870.9158955605</v>
      </c>
      <c r="L113" s="45">
        <f t="shared" si="45"/>
        <v>1136395.8358213354</v>
      </c>
      <c r="M113" s="45">
        <f t="shared" si="45"/>
        <v>1148861.2697890617</v>
      </c>
      <c r="N113" s="45">
        <f t="shared" si="45"/>
        <v>1157177.8166161315</v>
      </c>
      <c r="O113" s="45">
        <f t="shared" si="45"/>
        <v>1200875.4308028263</v>
      </c>
      <c r="P113" s="45">
        <f t="shared" si="45"/>
        <v>1185587.928066314</v>
      </c>
      <c r="Q113" s="45">
        <f t="shared" si="45"/>
        <v>1178940.8960873154</v>
      </c>
      <c r="R113" s="45">
        <f t="shared" si="45"/>
        <v>1170612.1693300779</v>
      </c>
      <c r="S113" s="45">
        <f t="shared" si="45"/>
        <v>1210396.4673971357</v>
      </c>
      <c r="T113" s="45">
        <f t="shared" si="45"/>
        <v>1231424.7514759803</v>
      </c>
      <c r="U113" s="45">
        <f t="shared" si="45"/>
        <v>1234979.615705691</v>
      </c>
      <c r="V113" s="45">
        <f t="shared" si="45"/>
        <v>1248951.928659349</v>
      </c>
      <c r="W113" s="45">
        <f t="shared" si="45"/>
        <v>1304651.9789196118</v>
      </c>
      <c r="X113" s="45">
        <f t="shared" si="45"/>
        <v>1356265.4413036772</v>
      </c>
      <c r="Y113" s="45">
        <f t="shared" si="45"/>
        <v>1423874.4062224342</v>
      </c>
      <c r="Z113" s="45">
        <f t="shared" si="45"/>
        <v>1475567.5462798916</v>
      </c>
      <c r="AA113" s="45">
        <f t="shared" si="45"/>
        <v>1473337.4308556127</v>
      </c>
      <c r="AB113" s="45">
        <f t="shared" si="45"/>
        <v>1422571.038859304</v>
      </c>
      <c r="AC113" s="45">
        <f t="shared" si="45"/>
        <v>1385172.8516880372</v>
      </c>
      <c r="AD113" s="45">
        <f t="shared" si="45"/>
        <v>1302424.4951653413</v>
      </c>
      <c r="AE113" s="45">
        <f t="shared" si="45"/>
        <v>1242471.1899229579</v>
      </c>
      <c r="AF113" s="45">
        <f t="shared" si="45"/>
        <v>1198107.6356756049</v>
      </c>
      <c r="AG113" s="46">
        <f>SUM(I113:AF113)</f>
        <v>30173432.363207795</v>
      </c>
    </row>
    <row r="114" spans="2:33" ht="14.4" x14ac:dyDescent="0.25">
      <c r="B114">
        <f t="shared" si="26"/>
        <v>10</v>
      </c>
      <c r="C114">
        <f t="shared" si="27"/>
        <v>2028</v>
      </c>
      <c r="D114" t="str">
        <f t="shared" ref="D114:D117" si="46">+_xlfn.CONCAT(B114:C114,G114)</f>
        <v>102028OR</v>
      </c>
      <c r="E114" s="67">
        <v>47027</v>
      </c>
      <c r="F114" s="72">
        <f>+AG118</f>
        <v>31737869.723521896</v>
      </c>
      <c r="G114" s="37" t="s">
        <v>57</v>
      </c>
      <c r="H114" s="37">
        <v>21</v>
      </c>
      <c r="I114" s="65">
        <v>38814.836346889737</v>
      </c>
      <c r="J114" s="65">
        <v>38302.775636685765</v>
      </c>
      <c r="K114" s="65">
        <v>38092.601642779176</v>
      </c>
      <c r="L114" s="65">
        <v>37667.318328837515</v>
      </c>
      <c r="M114" s="65">
        <v>38207.737066732217</v>
      </c>
      <c r="N114" s="65">
        <v>38696.784440739</v>
      </c>
      <c r="O114" s="65">
        <v>40357.36571799704</v>
      </c>
      <c r="P114" s="65">
        <v>40186.098019087491</v>
      </c>
      <c r="Q114" s="65">
        <v>40128.011538342224</v>
      </c>
      <c r="R114" s="65">
        <v>39839.97245255384</v>
      </c>
      <c r="S114" s="65">
        <v>41099.930032012948</v>
      </c>
      <c r="T114" s="65">
        <v>41763.292104500819</v>
      </c>
      <c r="U114" s="65">
        <v>41744.342876330717</v>
      </c>
      <c r="V114" s="65">
        <v>42265.301327528636</v>
      </c>
      <c r="W114" s="65">
        <v>44425.05393252059</v>
      </c>
      <c r="X114" s="65">
        <v>46207.033774573589</v>
      </c>
      <c r="Y114" s="65">
        <v>48382.633854192092</v>
      </c>
      <c r="Z114" s="65">
        <v>49841.128332150285</v>
      </c>
      <c r="AA114" s="65">
        <v>49459.994511258912</v>
      </c>
      <c r="AB114" s="65">
        <v>47661.696649656602</v>
      </c>
      <c r="AC114" s="65">
        <v>46519.763710346568</v>
      </c>
      <c r="AD114" s="65">
        <v>43554.178309492876</v>
      </c>
      <c r="AE114" s="65">
        <v>41487.836328014972</v>
      </c>
      <c r="AF114" s="65">
        <v>39847.240603541366</v>
      </c>
      <c r="AG114" s="38">
        <f>+SUM(I114:AF114)*H114</f>
        <v>21305611.478272066</v>
      </c>
    </row>
    <row r="115" spans="2:33" ht="14.4" x14ac:dyDescent="0.25">
      <c r="B115">
        <f t="shared" si="26"/>
        <v>10</v>
      </c>
      <c r="C115">
        <f t="shared" si="27"/>
        <v>2028</v>
      </c>
      <c r="D115" t="str">
        <f t="shared" si="46"/>
        <v>102028SA</v>
      </c>
      <c r="E115" s="68">
        <v>47027</v>
      </c>
      <c r="F115" s="73"/>
      <c r="G115" s="39" t="s">
        <v>60</v>
      </c>
      <c r="H115" s="39">
        <v>4</v>
      </c>
      <c r="I115" s="65">
        <v>40811.345065146343</v>
      </c>
      <c r="J115" s="65">
        <v>40400.428485957789</v>
      </c>
      <c r="K115" s="65">
        <v>39658.44892624674</v>
      </c>
      <c r="L115" s="65">
        <v>39013.930799692782</v>
      </c>
      <c r="M115" s="65">
        <v>39297.026189418866</v>
      </c>
      <c r="N115" s="65">
        <v>39410.092708741307</v>
      </c>
      <c r="O115" s="65">
        <v>41095.710896542834</v>
      </c>
      <c r="P115" s="65">
        <v>39951.615942547913</v>
      </c>
      <c r="Q115" s="65">
        <v>39503.152194248425</v>
      </c>
      <c r="R115" s="65">
        <v>39405.195559559368</v>
      </c>
      <c r="S115" s="65">
        <v>40918.106878678489</v>
      </c>
      <c r="T115" s="65">
        <v>41197.525962669621</v>
      </c>
      <c r="U115" s="65">
        <v>40948.311154262832</v>
      </c>
      <c r="V115" s="65">
        <v>40729.168420655245</v>
      </c>
      <c r="W115" s="65">
        <v>41870.083651553126</v>
      </c>
      <c r="X115" s="65">
        <v>43724.86117530147</v>
      </c>
      <c r="Y115" s="65">
        <v>46233.094988429584</v>
      </c>
      <c r="Z115" s="65">
        <v>48478.70508625199</v>
      </c>
      <c r="AA115" s="65">
        <v>48867.84919525891</v>
      </c>
      <c r="AB115" s="65">
        <v>47302.977519806736</v>
      </c>
      <c r="AC115" s="65">
        <v>45896.2843362606</v>
      </c>
      <c r="AD115" s="65">
        <v>43385.84132890265</v>
      </c>
      <c r="AE115" s="65">
        <v>41462.644189508632</v>
      </c>
      <c r="AF115" s="65">
        <v>40443.096000538659</v>
      </c>
      <c r="AG115" s="40">
        <f>+SUM(I115:AF115)*H115</f>
        <v>4040021.9866247233</v>
      </c>
    </row>
    <row r="116" spans="2:33" ht="14.4" x14ac:dyDescent="0.25">
      <c r="B116">
        <f t="shared" si="26"/>
        <v>10</v>
      </c>
      <c r="C116">
        <f t="shared" si="27"/>
        <v>2028</v>
      </c>
      <c r="D116" t="str">
        <f t="shared" si="46"/>
        <v>102028DO</v>
      </c>
      <c r="E116" s="68">
        <v>47027</v>
      </c>
      <c r="F116" s="73"/>
      <c r="G116" s="41" t="s">
        <v>58</v>
      </c>
      <c r="H116" s="41">
        <v>5</v>
      </c>
      <c r="I116" s="65">
        <v>43681.708888289082</v>
      </c>
      <c r="J116" s="65">
        <v>42868.176926195112</v>
      </c>
      <c r="K116" s="65">
        <v>42506.914191491138</v>
      </c>
      <c r="L116" s="65">
        <v>42174.37422932098</v>
      </c>
      <c r="M116" s="65">
        <v>42098.207610147801</v>
      </c>
      <c r="N116" s="65">
        <v>41461.687454226398</v>
      </c>
      <c r="O116" s="65">
        <v>41552.731560543703</v>
      </c>
      <c r="P116" s="65">
        <v>40062.069988184216</v>
      </c>
      <c r="Q116" s="65">
        <v>39266.958202721653</v>
      </c>
      <c r="R116" s="65">
        <v>38820.840007162522</v>
      </c>
      <c r="S116" s="65">
        <v>40267.458082867903</v>
      </c>
      <c r="T116" s="65">
        <v>41692.626867028754</v>
      </c>
      <c r="U116" s="65">
        <v>42990.054882857985</v>
      </c>
      <c r="V116" s="65">
        <v>44019.8596694929</v>
      </c>
      <c r="W116" s="65">
        <v>45175.594519728329</v>
      </c>
      <c r="X116" s="65">
        <v>46405.676540281012</v>
      </c>
      <c r="Y116" s="65">
        <v>48750.352585563262</v>
      </c>
      <c r="Z116" s="65">
        <v>51209.731468368947</v>
      </c>
      <c r="AA116" s="65">
        <v>52177.680035720157</v>
      </c>
      <c r="AB116" s="65">
        <v>50876.442904370546</v>
      </c>
      <c r="AC116" s="65">
        <v>49273.528022364029</v>
      </c>
      <c r="AD116" s="65">
        <v>47287.831005369524</v>
      </c>
      <c r="AE116" s="65">
        <v>45549.659021775064</v>
      </c>
      <c r="AF116" s="65">
        <v>44343.613249635862</v>
      </c>
      <c r="AG116" s="40">
        <f>+SUM(I116:AF116)*H116</f>
        <v>5322568.8895685328</v>
      </c>
    </row>
    <row r="117" spans="2:33" ht="14.4" x14ac:dyDescent="0.25">
      <c r="B117">
        <f t="shared" si="26"/>
        <v>10</v>
      </c>
      <c r="C117">
        <f t="shared" si="27"/>
        <v>2028</v>
      </c>
      <c r="D117" t="str">
        <f t="shared" si="46"/>
        <v>102028FE</v>
      </c>
      <c r="E117" s="68">
        <v>47027</v>
      </c>
      <c r="F117" s="73"/>
      <c r="G117" s="42" t="s">
        <v>59</v>
      </c>
      <c r="H117" s="42">
        <v>1</v>
      </c>
      <c r="I117" s="65">
        <v>40630.646756196009</v>
      </c>
      <c r="J117" s="65">
        <v>40031.78384106973</v>
      </c>
      <c r="K117" s="65">
        <v>39754.009991200284</v>
      </c>
      <c r="L117" s="65">
        <v>39480.352862966385</v>
      </c>
      <c r="M117" s="65">
        <v>39898.511576616766</v>
      </c>
      <c r="N117" s="65">
        <v>41141.838375876949</v>
      </c>
      <c r="O117" s="65">
        <v>43029.519292092496</v>
      </c>
      <c r="P117" s="65">
        <v>41696.145895136244</v>
      </c>
      <c r="Q117" s="65">
        <v>40545.84170762101</v>
      </c>
      <c r="R117" s="65">
        <v>40014.297016479053</v>
      </c>
      <c r="S117" s="65">
        <v>41220.583906410458</v>
      </c>
      <c r="T117" s="65">
        <v>42914.051685784121</v>
      </c>
      <c r="U117" s="65">
        <v>44179.654692656492</v>
      </c>
      <c r="V117" s="65">
        <v>45047.448389292593</v>
      </c>
      <c r="W117" s="65">
        <v>46531.424699017385</v>
      </c>
      <c r="X117" s="65">
        <v>47720.94585152706</v>
      </c>
      <c r="Y117" s="65">
        <v>50542.496173535677</v>
      </c>
      <c r="Z117" s="65">
        <v>52223.941933294511</v>
      </c>
      <c r="AA117" s="65">
        <v>52541.422975153459</v>
      </c>
      <c r="AB117" s="65">
        <v>50928.974054458864</v>
      </c>
      <c r="AC117" s="65">
        <v>49859.698781283012</v>
      </c>
      <c r="AD117" s="65">
        <v>48004.23214029579</v>
      </c>
      <c r="AE117" s="65">
        <v>46435.641480740509</v>
      </c>
      <c r="AF117" s="65">
        <v>45293.904977861806</v>
      </c>
      <c r="AG117" s="43">
        <f>+SUM(I117:AF117)*H117</f>
        <v>1069667.3690565669</v>
      </c>
    </row>
    <row r="118" spans="2:33" ht="15" thickBot="1" x14ac:dyDescent="0.3">
      <c r="B118">
        <f t="shared" si="26"/>
        <v>10</v>
      </c>
      <c r="C118">
        <f t="shared" si="27"/>
        <v>2028</v>
      </c>
      <c r="D118" t="str">
        <f>+_xlfn.CONCAT(E118,G118)</f>
        <v>47027TOTAL</v>
      </c>
      <c r="E118" s="68">
        <v>47027</v>
      </c>
      <c r="F118" s="61"/>
      <c r="G118" s="44" t="s">
        <v>10</v>
      </c>
      <c r="H118" s="44">
        <f>+SUM(H114:H117)</f>
        <v>31</v>
      </c>
      <c r="I118" s="45">
        <f t="shared" ref="I118:AF118" si="47">+SUMPRODUCT(I114:I117,$H114:$H117)</f>
        <v>1237396.1347429112</v>
      </c>
      <c r="J118" s="45">
        <f t="shared" si="47"/>
        <v>1220332.6707862774</v>
      </c>
      <c r="K118" s="45">
        <f t="shared" si="47"/>
        <v>1210867.0111520055</v>
      </c>
      <c r="L118" s="45">
        <f t="shared" si="47"/>
        <v>1197421.6321139303</v>
      </c>
      <c r="M118" s="45">
        <f t="shared" si="47"/>
        <v>1209940.1327864076</v>
      </c>
      <c r="N118" s="45">
        <f t="shared" si="47"/>
        <v>1218723.1197374931</v>
      </c>
      <c r="O118" s="45">
        <f t="shared" si="47"/>
        <v>1262680.7007589201</v>
      </c>
      <c r="P118" s="45">
        <f t="shared" si="47"/>
        <v>1245721.0180070864</v>
      </c>
      <c r="Q118" s="45">
        <f t="shared" si="47"/>
        <v>1237581.4838034096</v>
      </c>
      <c r="R118" s="45">
        <f t="shared" si="47"/>
        <v>1228378.7007941599</v>
      </c>
      <c r="S118" s="45">
        <f t="shared" si="47"/>
        <v>1269328.8325077358</v>
      </c>
      <c r="T118" s="45">
        <f t="shared" si="47"/>
        <v>1293196.4240661233</v>
      </c>
      <c r="U118" s="45">
        <f t="shared" si="47"/>
        <v>1299554.3741269428</v>
      </c>
      <c r="V118" s="45">
        <f t="shared" si="47"/>
        <v>1315634.7482974797</v>
      </c>
      <c r="W118" s="45">
        <f t="shared" si="47"/>
        <v>1372815.8644868038</v>
      </c>
      <c r="X118" s="45">
        <f t="shared" si="47"/>
        <v>1424996.4825201835</v>
      </c>
      <c r="Y118" s="45">
        <f t="shared" si="47"/>
        <v>1495261.9499931042</v>
      </c>
      <c r="Z118" s="45">
        <f t="shared" si="47"/>
        <v>1548851.1145953031</v>
      </c>
      <c r="AA118" s="45">
        <f t="shared" si="47"/>
        <v>1547561.104671227</v>
      </c>
      <c r="AB118" s="45">
        <f t="shared" si="47"/>
        <v>1495418.7282983272</v>
      </c>
      <c r="AC118" s="45">
        <f t="shared" si="47"/>
        <v>1456727.5141554235</v>
      </c>
      <c r="AD118" s="45">
        <f t="shared" si="47"/>
        <v>1372624.4969821041</v>
      </c>
      <c r="AE118" s="45">
        <f t="shared" si="47"/>
        <v>1311279.0762359649</v>
      </c>
      <c r="AF118" s="45">
        <f t="shared" si="47"/>
        <v>1265576.4079025644</v>
      </c>
      <c r="AG118" s="46">
        <f>SUM(I118:AF118)</f>
        <v>31737869.723521896</v>
      </c>
    </row>
    <row r="119" spans="2:33" ht="14.4" x14ac:dyDescent="0.25">
      <c r="B119">
        <f t="shared" si="26"/>
        <v>11</v>
      </c>
      <c r="C119">
        <f t="shared" si="27"/>
        <v>2028</v>
      </c>
      <c r="D119" t="str">
        <f t="shared" ref="D119:D122" si="48">+_xlfn.CONCAT(B119:C119,G119)</f>
        <v>112028OR</v>
      </c>
      <c r="E119" s="67">
        <v>47058</v>
      </c>
      <c r="F119" s="72">
        <f>+AG123</f>
        <v>30112443.667127986</v>
      </c>
      <c r="G119" s="37" t="s">
        <v>57</v>
      </c>
      <c r="H119" s="37">
        <v>20</v>
      </c>
      <c r="I119" s="65">
        <v>37940.076346889728</v>
      </c>
      <c r="J119" s="65">
        <v>37427.995636685759</v>
      </c>
      <c r="K119" s="65">
        <v>37217.891642779156</v>
      </c>
      <c r="L119" s="65">
        <v>36792.488328837513</v>
      </c>
      <c r="M119" s="65">
        <v>37334.0070667322</v>
      </c>
      <c r="N119" s="65">
        <v>37825.674440738992</v>
      </c>
      <c r="O119" s="65">
        <v>39491.125717997049</v>
      </c>
      <c r="P119" s="65">
        <v>39322.1080190875</v>
      </c>
      <c r="Q119" s="65">
        <v>39266.001538342221</v>
      </c>
      <c r="R119" s="65">
        <v>38978.822452553861</v>
      </c>
      <c r="S119" s="65">
        <v>40240.94003201295</v>
      </c>
      <c r="T119" s="65">
        <v>40905.352104500838</v>
      </c>
      <c r="U119" s="65">
        <v>40885.882876330725</v>
      </c>
      <c r="V119" s="65">
        <v>41406.161327528636</v>
      </c>
      <c r="W119" s="65">
        <v>43565.873932520612</v>
      </c>
      <c r="X119" s="65">
        <v>45347.893774573582</v>
      </c>
      <c r="Y119" s="65">
        <v>47523.533854192094</v>
      </c>
      <c r="Z119" s="65">
        <v>48981.08833215027</v>
      </c>
      <c r="AA119" s="65">
        <v>48597.744511258912</v>
      </c>
      <c r="AB119" s="65">
        <v>46796.896649656584</v>
      </c>
      <c r="AC119" s="65">
        <v>45653.223710346589</v>
      </c>
      <c r="AD119" s="65">
        <v>42684.918309492874</v>
      </c>
      <c r="AE119" s="65">
        <v>40615.98632801498</v>
      </c>
      <c r="AF119" s="65">
        <v>38974.660603541372</v>
      </c>
      <c r="AG119" s="38">
        <f>+SUM(I119:AF119)*H119</f>
        <v>19875526.950735301</v>
      </c>
    </row>
    <row r="120" spans="2:33" ht="14.4" x14ac:dyDescent="0.25">
      <c r="B120">
        <f t="shared" si="26"/>
        <v>11</v>
      </c>
      <c r="C120">
        <f t="shared" si="27"/>
        <v>2028</v>
      </c>
      <c r="D120" t="str">
        <f t="shared" si="48"/>
        <v>112028SA</v>
      </c>
      <c r="E120" s="68">
        <v>47058</v>
      </c>
      <c r="F120" s="73"/>
      <c r="G120" s="39" t="s">
        <v>60</v>
      </c>
      <c r="H120" s="39">
        <v>4</v>
      </c>
      <c r="I120" s="65">
        <v>39947.47506514634</v>
      </c>
      <c r="J120" s="65">
        <v>39535.798485957792</v>
      </c>
      <c r="K120" s="65">
        <v>38792.688926246745</v>
      </c>
      <c r="L120" s="65">
        <v>38147.370799692784</v>
      </c>
      <c r="M120" s="65">
        <v>38431.466189418861</v>
      </c>
      <c r="N120" s="65">
        <v>38546.922708741302</v>
      </c>
      <c r="O120" s="65">
        <v>40236.170896542833</v>
      </c>
      <c r="P120" s="65">
        <v>39094.035942547911</v>
      </c>
      <c r="Q120" s="65">
        <v>38647.982194248427</v>
      </c>
      <c r="R120" s="65">
        <v>38550.84555955937</v>
      </c>
      <c r="S120" s="65">
        <v>40066.616878678484</v>
      </c>
      <c r="T120" s="65">
        <v>40345.955962669621</v>
      </c>
      <c r="U120" s="65">
        <v>40094.701154262832</v>
      </c>
      <c r="V120" s="65">
        <v>39873.138420655247</v>
      </c>
      <c r="W120" s="65">
        <v>41014.263651553127</v>
      </c>
      <c r="X120" s="65">
        <v>42869.431175301477</v>
      </c>
      <c r="Y120" s="65">
        <v>45377.754988429588</v>
      </c>
      <c r="Z120" s="65">
        <v>47622.805086251989</v>
      </c>
      <c r="AA120" s="65">
        <v>48011.029195258903</v>
      </c>
      <c r="AB120" s="65">
        <v>46442.327519806742</v>
      </c>
      <c r="AC120" s="65">
        <v>45033.204336260598</v>
      </c>
      <c r="AD120" s="65">
        <v>42519.781328902653</v>
      </c>
      <c r="AE120" s="65">
        <v>40593.864189508633</v>
      </c>
      <c r="AF120" s="65">
        <v>39573.056000538665</v>
      </c>
      <c r="AG120" s="40">
        <f>+SUM(I120:AF120)*H120</f>
        <v>3957474.7466247231</v>
      </c>
    </row>
    <row r="121" spans="2:33" ht="14.4" x14ac:dyDescent="0.25">
      <c r="B121">
        <f t="shared" si="26"/>
        <v>11</v>
      </c>
      <c r="C121">
        <f t="shared" si="27"/>
        <v>2028</v>
      </c>
      <c r="D121" t="str">
        <f t="shared" si="48"/>
        <v>112028DO</v>
      </c>
      <c r="E121" s="68">
        <v>47058</v>
      </c>
      <c r="F121" s="73"/>
      <c r="G121" s="41" t="s">
        <v>58</v>
      </c>
      <c r="H121" s="41">
        <v>4</v>
      </c>
      <c r="I121" s="65">
        <v>42886.818888289083</v>
      </c>
      <c r="J121" s="65">
        <v>42071.196926195116</v>
      </c>
      <c r="K121" s="65">
        <v>41710.434191491135</v>
      </c>
      <c r="L121" s="65">
        <v>41376.314229320982</v>
      </c>
      <c r="M121" s="65">
        <v>41299.917610147801</v>
      </c>
      <c r="N121" s="65">
        <v>40660.147454226404</v>
      </c>
      <c r="O121" s="65">
        <v>40752.731560543703</v>
      </c>
      <c r="P121" s="65">
        <v>39269.689988184218</v>
      </c>
      <c r="Q121" s="65">
        <v>38479.868202721649</v>
      </c>
      <c r="R121" s="65">
        <v>38037.410007162522</v>
      </c>
      <c r="S121" s="65">
        <v>39490.618082867906</v>
      </c>
      <c r="T121" s="65">
        <v>40918.786867028757</v>
      </c>
      <c r="U121" s="65">
        <v>42215.964882857988</v>
      </c>
      <c r="V121" s="65">
        <v>43247.159669492903</v>
      </c>
      <c r="W121" s="65">
        <v>44400.174519728331</v>
      </c>
      <c r="X121" s="65">
        <v>45630.466540281013</v>
      </c>
      <c r="Y121" s="65">
        <v>47974.472585563264</v>
      </c>
      <c r="Z121" s="65">
        <v>50430.161468368948</v>
      </c>
      <c r="AA121" s="65">
        <v>51401.12003572016</v>
      </c>
      <c r="AB121" s="65">
        <v>50092.89290437055</v>
      </c>
      <c r="AC121" s="65">
        <v>48482.878022364028</v>
      </c>
      <c r="AD121" s="65">
        <v>46489.521005369526</v>
      </c>
      <c r="AE121" s="65">
        <v>44747.719021775061</v>
      </c>
      <c r="AF121" s="65">
        <v>43538.523249635866</v>
      </c>
      <c r="AG121" s="40">
        <f>+SUM(I121:AF121)*H121</f>
        <v>4182419.9516548272</v>
      </c>
    </row>
    <row r="122" spans="2:33" ht="14.4" x14ac:dyDescent="0.25">
      <c r="B122">
        <f t="shared" si="26"/>
        <v>11</v>
      </c>
      <c r="C122">
        <f t="shared" si="27"/>
        <v>2028</v>
      </c>
      <c r="D122" t="str">
        <f t="shared" si="48"/>
        <v>112028FE</v>
      </c>
      <c r="E122" s="68">
        <v>47058</v>
      </c>
      <c r="F122" s="73"/>
      <c r="G122" s="42" t="s">
        <v>59</v>
      </c>
      <c r="H122" s="42">
        <v>2</v>
      </c>
      <c r="I122" s="65">
        <v>39742.426756196008</v>
      </c>
      <c r="J122" s="65">
        <v>39143.613841069731</v>
      </c>
      <c r="K122" s="65">
        <v>38866.209991200281</v>
      </c>
      <c r="L122" s="65">
        <v>38592.282862966385</v>
      </c>
      <c r="M122" s="65">
        <v>39011.481576616767</v>
      </c>
      <c r="N122" s="65">
        <v>40257.688375876947</v>
      </c>
      <c r="O122" s="65">
        <v>42149.969292092501</v>
      </c>
      <c r="P122" s="65">
        <v>40817.23589513624</v>
      </c>
      <c r="Q122" s="65">
        <v>39667.051707621009</v>
      </c>
      <c r="R122" s="65">
        <v>39135.347016479056</v>
      </c>
      <c r="S122" s="65">
        <v>40341.043906410458</v>
      </c>
      <c r="T122" s="65">
        <v>42035.441685784121</v>
      </c>
      <c r="U122" s="65">
        <v>43301.014692656492</v>
      </c>
      <c r="V122" s="65">
        <v>44169.428389292589</v>
      </c>
      <c r="W122" s="65">
        <v>45654.604699017393</v>
      </c>
      <c r="X122" s="65">
        <v>46844.825851527057</v>
      </c>
      <c r="Y122" s="65">
        <v>49667.706173535684</v>
      </c>
      <c r="Z122" s="65">
        <v>51345.65193329451</v>
      </c>
      <c r="AA122" s="65">
        <v>51662.932975153468</v>
      </c>
      <c r="AB122" s="65">
        <v>50046.664054458859</v>
      </c>
      <c r="AC122" s="65">
        <v>48977.068781283015</v>
      </c>
      <c r="AD122" s="65">
        <v>47120.822140295793</v>
      </c>
      <c r="AE122" s="65">
        <v>45551.591480740506</v>
      </c>
      <c r="AF122" s="65">
        <v>44408.904977861806</v>
      </c>
      <c r="AG122" s="43">
        <f>+SUM(I122:AF122)*H122</f>
        <v>2097022.0181131328</v>
      </c>
    </row>
    <row r="123" spans="2:33" ht="15" thickBot="1" x14ac:dyDescent="0.3">
      <c r="B123">
        <f t="shared" si="26"/>
        <v>11</v>
      </c>
      <c r="C123">
        <f t="shared" si="27"/>
        <v>2028</v>
      </c>
      <c r="D123" t="str">
        <f>+_xlfn.CONCAT(E123,G123)</f>
        <v>47058TOTAL</v>
      </c>
      <c r="E123" s="68">
        <v>47058</v>
      </c>
      <c r="F123" s="61"/>
      <c r="G123" s="44" t="s">
        <v>10</v>
      </c>
      <c r="H123" s="44">
        <f>+SUM(H119:H122)</f>
        <v>30</v>
      </c>
      <c r="I123" s="45">
        <f t="shared" ref="I123:AF123" si="49">+SUMPRODUCT(I119:I122,$H119:$H122)</f>
        <v>1169623.5562639281</v>
      </c>
      <c r="J123" s="45">
        <f t="shared" si="49"/>
        <v>1153275.1220644664</v>
      </c>
      <c r="K123" s="45">
        <f t="shared" si="49"/>
        <v>1144102.7453089352</v>
      </c>
      <c r="L123" s="45">
        <f t="shared" si="49"/>
        <v>1131129.0724187382</v>
      </c>
      <c r="M123" s="45">
        <f t="shared" si="49"/>
        <v>1143628.6396861442</v>
      </c>
      <c r="N123" s="45">
        <f t="shared" si="49"/>
        <v>1153857.1462184046</v>
      </c>
      <c r="O123" s="45">
        <f t="shared" si="49"/>
        <v>1198078.0627724722</v>
      </c>
      <c r="P123" s="45">
        <f t="shared" si="49"/>
        <v>1181531.5358949509</v>
      </c>
      <c r="Q123" s="45">
        <f t="shared" si="49"/>
        <v>1173165.5357699667</v>
      </c>
      <c r="R123" s="45">
        <f t="shared" si="49"/>
        <v>1164200.1653509228</v>
      </c>
      <c r="S123" s="45">
        <f t="shared" si="49"/>
        <v>1203729.8282992654</v>
      </c>
      <c r="T123" s="45">
        <f t="shared" si="49"/>
        <v>1227236.8967803787</v>
      </c>
      <c r="U123" s="45">
        <f t="shared" si="49"/>
        <v>1233562.3510604107</v>
      </c>
      <c r="V123" s="45">
        <f t="shared" si="49"/>
        <v>1248943.2756897504</v>
      </c>
      <c r="W123" s="45">
        <f t="shared" si="49"/>
        <v>1304284.4407335729</v>
      </c>
      <c r="X123" s="45">
        <f t="shared" si="49"/>
        <v>1354647.1180568556</v>
      </c>
      <c r="Y123" s="45">
        <f t="shared" si="49"/>
        <v>1423214.9997268845</v>
      </c>
      <c r="Z123" s="45">
        <f t="shared" si="49"/>
        <v>1474524.9367280782</v>
      </c>
      <c r="AA123" s="45">
        <f t="shared" si="49"/>
        <v>1472929.3530994013</v>
      </c>
      <c r="AB123" s="45">
        <f t="shared" si="49"/>
        <v>1422172.1427987586</v>
      </c>
      <c r="AC123" s="45">
        <f t="shared" si="49"/>
        <v>1385082.9412039963</v>
      </c>
      <c r="AD123" s="45">
        <f t="shared" si="49"/>
        <v>1303977.2198075377</v>
      </c>
      <c r="AE123" s="45">
        <f t="shared" si="49"/>
        <v>1244789.2423669153</v>
      </c>
      <c r="AF123" s="45">
        <f t="shared" si="49"/>
        <v>1200757.339027249</v>
      </c>
      <c r="AG123" s="46">
        <f>SUM(I123:AF123)</f>
        <v>30112443.667127986</v>
      </c>
    </row>
    <row r="124" spans="2:33" ht="14.4" x14ac:dyDescent="0.25">
      <c r="B124">
        <f t="shared" si="26"/>
        <v>12</v>
      </c>
      <c r="C124">
        <f t="shared" si="27"/>
        <v>2028</v>
      </c>
      <c r="D124" t="str">
        <f t="shared" ref="D124:D127" si="50">+_xlfn.CONCAT(B124:C124,G124)</f>
        <v>122028OR</v>
      </c>
      <c r="E124" s="67">
        <v>47088</v>
      </c>
      <c r="F124" s="72">
        <f>+AG128</f>
        <v>31283027.694161102</v>
      </c>
      <c r="G124" s="37" t="s">
        <v>57</v>
      </c>
      <c r="H124" s="37">
        <v>19</v>
      </c>
      <c r="I124" s="65">
        <v>38222.376346889752</v>
      </c>
      <c r="J124" s="65">
        <v>37712.935636685746</v>
      </c>
      <c r="K124" s="65">
        <v>37505.171642779154</v>
      </c>
      <c r="L124" s="65">
        <v>37083.538328837501</v>
      </c>
      <c r="M124" s="65">
        <v>37617.857066732213</v>
      </c>
      <c r="N124" s="65">
        <v>38089.514440739011</v>
      </c>
      <c r="O124" s="65">
        <v>39706.465717997045</v>
      </c>
      <c r="P124" s="65">
        <v>39500.268019087503</v>
      </c>
      <c r="Q124" s="65">
        <v>39409.891538342228</v>
      </c>
      <c r="R124" s="65">
        <v>39100.492452553837</v>
      </c>
      <c r="S124" s="65">
        <v>40337.840032012929</v>
      </c>
      <c r="T124" s="65">
        <v>40988.082104500834</v>
      </c>
      <c r="U124" s="65">
        <v>40979.302876330708</v>
      </c>
      <c r="V124" s="65">
        <v>41501.641327528632</v>
      </c>
      <c r="W124" s="65">
        <v>43658.963932520601</v>
      </c>
      <c r="X124" s="65">
        <v>45443.8037745736</v>
      </c>
      <c r="Y124" s="65">
        <v>47622.76385419209</v>
      </c>
      <c r="Z124" s="65">
        <v>49097.268332150292</v>
      </c>
      <c r="AA124" s="65">
        <v>48744.07451125895</v>
      </c>
      <c r="AB124" s="65">
        <v>46965.406649656587</v>
      </c>
      <c r="AC124" s="65">
        <v>45845.293710346567</v>
      </c>
      <c r="AD124" s="65">
        <v>42906.698309492887</v>
      </c>
      <c r="AE124" s="65">
        <v>40864.826328014962</v>
      </c>
      <c r="AF124" s="65">
        <v>39232.960603541353</v>
      </c>
      <c r="AG124" s="38">
        <f>+SUM(I124:AF124)*H124</f>
        <v>18964611.313198537</v>
      </c>
    </row>
    <row r="125" spans="2:33" ht="14.4" x14ac:dyDescent="0.25">
      <c r="B125">
        <f t="shared" si="26"/>
        <v>12</v>
      </c>
      <c r="C125">
        <f t="shared" si="27"/>
        <v>2028</v>
      </c>
      <c r="D125" t="str">
        <f t="shared" si="50"/>
        <v>122028SA</v>
      </c>
      <c r="E125" s="68">
        <v>47088</v>
      </c>
      <c r="F125" s="73"/>
      <c r="G125" s="39" t="s">
        <v>60</v>
      </c>
      <c r="H125" s="39">
        <v>5</v>
      </c>
      <c r="I125" s="65">
        <v>40189.665065146342</v>
      </c>
      <c r="J125" s="65">
        <v>39785.78848595779</v>
      </c>
      <c r="K125" s="65">
        <v>39052.298926246745</v>
      </c>
      <c r="L125" s="65">
        <v>38413.730799692785</v>
      </c>
      <c r="M125" s="65">
        <v>38691.966189418861</v>
      </c>
      <c r="N125" s="65">
        <v>38793.382708741308</v>
      </c>
      <c r="O125" s="65">
        <v>40452.520896542832</v>
      </c>
      <c r="P125" s="65">
        <v>39284.81594254791</v>
      </c>
      <c r="Q125" s="65">
        <v>38810.682194248424</v>
      </c>
      <c r="R125" s="65">
        <v>38695.315559559363</v>
      </c>
      <c r="S125" s="65">
        <v>40183.506878678483</v>
      </c>
      <c r="T125" s="65">
        <v>40459.325962669624</v>
      </c>
      <c r="U125" s="65">
        <v>40230.011154262836</v>
      </c>
      <c r="V125" s="65">
        <v>40025.538420655248</v>
      </c>
      <c r="W125" s="65">
        <v>41168.343651553128</v>
      </c>
      <c r="X125" s="65">
        <v>43025.741175301475</v>
      </c>
      <c r="Y125" s="65">
        <v>45536.024988429592</v>
      </c>
      <c r="Z125" s="65">
        <v>47789.285086251984</v>
      </c>
      <c r="AA125" s="65">
        <v>48186.109195258905</v>
      </c>
      <c r="AB125" s="65">
        <v>46646.107519806741</v>
      </c>
      <c r="AC125" s="65">
        <v>45263.384336260599</v>
      </c>
      <c r="AD125" s="65">
        <v>42782.301328902649</v>
      </c>
      <c r="AE125" s="65">
        <v>40885.904189508627</v>
      </c>
      <c r="AF125" s="65">
        <v>39875.696000538665</v>
      </c>
      <c r="AG125" s="40">
        <f>+SUM(I125:AF125)*H125</f>
        <v>4971137.2332809046</v>
      </c>
    </row>
    <row r="126" spans="2:33" ht="14.4" x14ac:dyDescent="0.25">
      <c r="B126">
        <f t="shared" si="26"/>
        <v>12</v>
      </c>
      <c r="C126">
        <f t="shared" si="27"/>
        <v>2028</v>
      </c>
      <c r="D126" t="str">
        <f t="shared" si="50"/>
        <v>122028DO</v>
      </c>
      <c r="E126" s="68">
        <v>47088</v>
      </c>
      <c r="F126" s="73"/>
      <c r="G126" s="41" t="s">
        <v>58</v>
      </c>
      <c r="H126" s="41">
        <v>5</v>
      </c>
      <c r="I126" s="65">
        <v>43237.948888289087</v>
      </c>
      <c r="J126" s="65">
        <v>42427.726926195115</v>
      </c>
      <c r="K126" s="65">
        <v>42067.534191491141</v>
      </c>
      <c r="L126" s="65">
        <v>41736.644229320984</v>
      </c>
      <c r="M126" s="65">
        <v>41661.167610147801</v>
      </c>
      <c r="N126" s="65">
        <v>41027.507454226405</v>
      </c>
      <c r="O126" s="65">
        <v>41118.431560543708</v>
      </c>
      <c r="P126" s="65">
        <v>39619.379988184221</v>
      </c>
      <c r="Q126" s="65">
        <v>38818.388202721646</v>
      </c>
      <c r="R126" s="65">
        <v>38366.790007162519</v>
      </c>
      <c r="S126" s="65">
        <v>39803.398082867905</v>
      </c>
      <c r="T126" s="65">
        <v>41222.976867028759</v>
      </c>
      <c r="U126" s="65">
        <v>42521.374882857985</v>
      </c>
      <c r="V126" s="65">
        <v>43550.459669492906</v>
      </c>
      <c r="W126" s="65">
        <v>44710.144519728332</v>
      </c>
      <c r="X126" s="65">
        <v>45940.37654028101</v>
      </c>
      <c r="Y126" s="65">
        <v>48286.582585563265</v>
      </c>
      <c r="Z126" s="65">
        <v>50748.571468368944</v>
      </c>
      <c r="AA126" s="65">
        <v>51714.430035720157</v>
      </c>
      <c r="AB126" s="65">
        <v>50420.21290437055</v>
      </c>
      <c r="AC126" s="65">
        <v>48827.188022364033</v>
      </c>
      <c r="AD126" s="65">
        <v>46849.971005369523</v>
      </c>
      <c r="AE126" s="65">
        <v>45116.899021775062</v>
      </c>
      <c r="AF126" s="65">
        <v>43913.933249635869</v>
      </c>
      <c r="AG126" s="40">
        <f>+SUM(I126:AF126)*H126</f>
        <v>5268540.1895685354</v>
      </c>
    </row>
    <row r="127" spans="2:33" ht="14.4" x14ac:dyDescent="0.25">
      <c r="B127">
        <f t="shared" si="26"/>
        <v>12</v>
      </c>
      <c r="C127">
        <f t="shared" si="27"/>
        <v>2028</v>
      </c>
      <c r="D127" t="str">
        <f t="shared" si="50"/>
        <v>122028FE</v>
      </c>
      <c r="E127" s="68">
        <v>47088</v>
      </c>
      <c r="F127" s="73"/>
      <c r="G127" s="42" t="s">
        <v>59</v>
      </c>
      <c r="H127" s="42">
        <v>2</v>
      </c>
      <c r="I127" s="65">
        <v>39612.096756196013</v>
      </c>
      <c r="J127" s="65">
        <v>39022.913841069727</v>
      </c>
      <c r="K127" s="65">
        <v>38745.41999120028</v>
      </c>
      <c r="L127" s="65">
        <v>38482.032862966385</v>
      </c>
      <c r="M127" s="65">
        <v>38874.451576616768</v>
      </c>
      <c r="N127" s="65">
        <v>40013.688375876947</v>
      </c>
      <c r="O127" s="65">
        <v>41790.7492920925</v>
      </c>
      <c r="P127" s="65">
        <v>40403.715895136243</v>
      </c>
      <c r="Q127" s="65">
        <v>39243.491707621011</v>
      </c>
      <c r="R127" s="65">
        <v>38686.967016479051</v>
      </c>
      <c r="S127" s="65">
        <v>39851.793906410458</v>
      </c>
      <c r="T127" s="65">
        <v>41484.111685784119</v>
      </c>
      <c r="U127" s="65">
        <v>42745.124692656485</v>
      </c>
      <c r="V127" s="65">
        <v>43606.89838929259</v>
      </c>
      <c r="W127" s="65">
        <v>45097.764699017389</v>
      </c>
      <c r="X127" s="65">
        <v>46295.715851527057</v>
      </c>
      <c r="Y127" s="65">
        <v>49088.266173535681</v>
      </c>
      <c r="Z127" s="65">
        <v>50843.011933294511</v>
      </c>
      <c r="AA127" s="65">
        <v>51166.692975153463</v>
      </c>
      <c r="AB127" s="65">
        <v>49630.984054458866</v>
      </c>
      <c r="AC127" s="65">
        <v>48583.948781283012</v>
      </c>
      <c r="AD127" s="65">
        <v>46773.112140295794</v>
      </c>
      <c r="AE127" s="65">
        <v>45223.771480740506</v>
      </c>
      <c r="AF127" s="65">
        <v>44102.754977861805</v>
      </c>
      <c r="AG127" s="43">
        <f>+SUM(I127:AF127)*H127</f>
        <v>2078738.9581131334</v>
      </c>
    </row>
    <row r="128" spans="2:33" ht="15" thickBot="1" x14ac:dyDescent="0.3">
      <c r="D128" t="str">
        <f>+_xlfn.CONCAT(E128,G128)</f>
        <v>47088TOTAL</v>
      </c>
      <c r="E128" s="68">
        <v>47088</v>
      </c>
      <c r="F128" s="74"/>
      <c r="G128" s="44" t="s">
        <v>10</v>
      </c>
      <c r="H128" s="44">
        <f>+SUM(H124:H127)</f>
        <v>31</v>
      </c>
      <c r="I128" s="45">
        <f t="shared" ref="I128:AF128" si="51">+SUMPRODUCT(I124:I127,$H124:$H127)</f>
        <v>1222587.4138704746</v>
      </c>
      <c r="J128" s="45">
        <f t="shared" si="51"/>
        <v>1205659.1818399329</v>
      </c>
      <c r="K128" s="45">
        <f t="shared" si="51"/>
        <v>1195688.266783894</v>
      </c>
      <c r="L128" s="45">
        <f t="shared" si="51"/>
        <v>1182303.1691189143</v>
      </c>
      <c r="M128" s="45">
        <f t="shared" si="51"/>
        <v>1194253.8564189787</v>
      </c>
      <c r="N128" s="45">
        <f t="shared" si="51"/>
        <v>1202832.6019406337</v>
      </c>
      <c r="O128" s="45">
        <f t="shared" si="51"/>
        <v>1245859.1095115615</v>
      </c>
      <c r="P128" s="45">
        <f t="shared" si="51"/>
        <v>1225833.5038065957</v>
      </c>
      <c r="Q128" s="45">
        <f t="shared" si="51"/>
        <v>1215420.2746285948</v>
      </c>
      <c r="R128" s="45">
        <f t="shared" si="51"/>
        <v>1205593.8184650904</v>
      </c>
      <c r="S128" s="45">
        <f t="shared" si="51"/>
        <v>1246057.0732287986</v>
      </c>
      <c r="T128" s="45">
        <f t="shared" si="51"/>
        <v>1270153.2975055759</v>
      </c>
      <c r="U128" s="45">
        <f t="shared" si="51"/>
        <v>1277853.9342212004</v>
      </c>
      <c r="V128" s="45">
        <f t="shared" si="51"/>
        <v>1293624.97245237</v>
      </c>
      <c r="W128" s="45">
        <f t="shared" si="51"/>
        <v>1349108.2849723333</v>
      </c>
      <c r="X128" s="45">
        <f t="shared" si="51"/>
        <v>1400854.2919978651</v>
      </c>
      <c r="Y128" s="45">
        <f t="shared" si="51"/>
        <v>1472122.0834466855</v>
      </c>
      <c r="Z128" s="45">
        <f t="shared" si="51"/>
        <v>1527223.4049505491</v>
      </c>
      <c r="AA128" s="45">
        <f t="shared" si="51"/>
        <v>1527973.4978191222</v>
      </c>
      <c r="AB128" s="45">
        <f t="shared" si="51"/>
        <v>1476936.2965732797</v>
      </c>
      <c r="AC128" s="45">
        <f t="shared" si="51"/>
        <v>1438681.3398522739</v>
      </c>
      <c r="AD128" s="45">
        <f t="shared" si="51"/>
        <v>1356934.8538323173</v>
      </c>
      <c r="AE128" s="45">
        <f t="shared" si="51"/>
        <v>1296893.2592501836</v>
      </c>
      <c r="AF128" s="45">
        <f t="shared" si="51"/>
        <v>1252579.9076738819</v>
      </c>
      <c r="AG128" s="46">
        <f>SUM(I128:AF128)</f>
        <v>31283027.694161102</v>
      </c>
    </row>
    <row r="129" spans="2:33" ht="14.4" x14ac:dyDescent="0.25">
      <c r="B129">
        <f>+MONTH(E129)</f>
        <v>1</v>
      </c>
      <c r="C129">
        <f>+YEAR(E129)</f>
        <v>2029</v>
      </c>
      <c r="D129" t="str">
        <f>+_xlfn.CONCAT(B129:C129,G129)</f>
        <v>12029OR</v>
      </c>
      <c r="E129" s="67">
        <v>47119</v>
      </c>
      <c r="F129" s="72">
        <f>+AG133</f>
        <v>56889330.432037227</v>
      </c>
      <c r="G129" s="37" t="s">
        <v>57</v>
      </c>
      <c r="H129" s="37">
        <v>21</v>
      </c>
      <c r="I129" s="65">
        <v>68010.823871299639</v>
      </c>
      <c r="J129" s="65">
        <v>66651.088879611649</v>
      </c>
      <c r="K129" s="65">
        <v>65853.256325169219</v>
      </c>
      <c r="L129" s="65">
        <v>65496.532364182087</v>
      </c>
      <c r="M129" s="65">
        <v>65749.356025256231</v>
      </c>
      <c r="N129" s="65">
        <v>67405.65896522651</v>
      </c>
      <c r="O129" s="65">
        <v>72972.410676989501</v>
      </c>
      <c r="P129" s="65">
        <v>78903.222366208138</v>
      </c>
      <c r="Q129" s="65">
        <v>83277.515362094317</v>
      </c>
      <c r="R129" s="65">
        <v>84891.289134242557</v>
      </c>
      <c r="S129" s="65">
        <v>88021.912940721668</v>
      </c>
      <c r="T129" s="65">
        <v>89613.529585189419</v>
      </c>
      <c r="U129" s="65">
        <v>87844.511401013995</v>
      </c>
      <c r="V129" s="65">
        <v>89526.685587528234</v>
      </c>
      <c r="W129" s="65">
        <v>93056.387527939398</v>
      </c>
      <c r="X129" s="65">
        <v>95102.456090475185</v>
      </c>
      <c r="Y129" s="65">
        <v>95853.844840451158</v>
      </c>
      <c r="Z129" s="65">
        <v>94230.030574532284</v>
      </c>
      <c r="AA129" s="65">
        <v>90812.602724884637</v>
      </c>
      <c r="AB129" s="65">
        <v>87762.628323501849</v>
      </c>
      <c r="AC129" s="65">
        <v>83749.137222903548</v>
      </c>
      <c r="AD129" s="65">
        <v>78124.245343124028</v>
      </c>
      <c r="AE129" s="65">
        <v>73233.492501286761</v>
      </c>
      <c r="AF129" s="65">
        <v>70573.798109273353</v>
      </c>
      <c r="AG129" s="38">
        <f>ROUND(SUM(I129:AF129)*H129,2)</f>
        <v>40671044.75</v>
      </c>
    </row>
    <row r="130" spans="2:33" ht="14.4" x14ac:dyDescent="0.25">
      <c r="B130">
        <f t="shared" ref="B130:B187" si="52">+MONTH(E130)</f>
        <v>1</v>
      </c>
      <c r="C130">
        <f t="shared" ref="C130:C187" si="53">+YEAR(E130)</f>
        <v>2029</v>
      </c>
      <c r="D130" t="str">
        <f t="shared" ref="D130:D132" si="54">+_xlfn.CONCAT(B130:C130,G130)</f>
        <v>12029SA</v>
      </c>
      <c r="E130" s="68">
        <v>47119</v>
      </c>
      <c r="F130" s="73"/>
      <c r="G130" s="39" t="s">
        <v>60</v>
      </c>
      <c r="H130" s="39">
        <v>4</v>
      </c>
      <c r="I130" s="65">
        <v>68468.570539742053</v>
      </c>
      <c r="J130" s="65">
        <v>67037.833240553038</v>
      </c>
      <c r="K130" s="65">
        <v>66082.935944426659</v>
      </c>
      <c r="L130" s="65">
        <v>65593.84287212175</v>
      </c>
      <c r="M130" s="65">
        <v>65672.006213939094</v>
      </c>
      <c r="N130" s="65">
        <v>66436.416626764083</v>
      </c>
      <c r="O130" s="65">
        <v>70460.431122506794</v>
      </c>
      <c r="P130" s="65">
        <v>73697.445337600861</v>
      </c>
      <c r="Q130" s="65">
        <v>76330.859088502912</v>
      </c>
      <c r="R130" s="65">
        <v>77799.116844593955</v>
      </c>
      <c r="S130" s="65">
        <v>80643.191409869643</v>
      </c>
      <c r="T130" s="65">
        <v>81478.832957423219</v>
      </c>
      <c r="U130" s="65">
        <v>79742.651263868494</v>
      </c>
      <c r="V130" s="65">
        <v>79132.140775023901</v>
      </c>
      <c r="W130" s="65">
        <v>79361.599685648893</v>
      </c>
      <c r="X130" s="65">
        <v>80772.242513171426</v>
      </c>
      <c r="Y130" s="65">
        <v>82367.123370522299</v>
      </c>
      <c r="Z130" s="65">
        <v>83920.115372345696</v>
      </c>
      <c r="AA130" s="65">
        <v>83348.600312366703</v>
      </c>
      <c r="AB130" s="65">
        <v>81576.82772417806</v>
      </c>
      <c r="AC130" s="65">
        <v>78466.454441269248</v>
      </c>
      <c r="AD130" s="65">
        <v>73311.310733550941</v>
      </c>
      <c r="AE130" s="65">
        <v>68983.38255608255</v>
      </c>
      <c r="AF130" s="65">
        <v>66583.516255115959</v>
      </c>
      <c r="AG130" s="40">
        <f>ROUND(SUM(I130:AF130)*H130,2)</f>
        <v>7189069.79</v>
      </c>
    </row>
    <row r="131" spans="2:33" ht="14.4" x14ac:dyDescent="0.25">
      <c r="B131">
        <f t="shared" si="52"/>
        <v>1</v>
      </c>
      <c r="C131">
        <f t="shared" si="53"/>
        <v>2029</v>
      </c>
      <c r="D131" t="str">
        <f t="shared" si="54"/>
        <v>12029DO</v>
      </c>
      <c r="E131" s="68">
        <v>47119</v>
      </c>
      <c r="F131" s="73"/>
      <c r="G131" s="41" t="s">
        <v>58</v>
      </c>
      <c r="H131" s="41">
        <v>4</v>
      </c>
      <c r="I131" s="65">
        <v>61316.908046702774</v>
      </c>
      <c r="J131" s="65">
        <v>60056.494197989407</v>
      </c>
      <c r="K131" s="65">
        <v>59169.06401381125</v>
      </c>
      <c r="L131" s="65">
        <v>58625.250498892783</v>
      </c>
      <c r="M131" s="65">
        <v>58357.848506416478</v>
      </c>
      <c r="N131" s="65">
        <v>57936.021864417249</v>
      </c>
      <c r="O131" s="65">
        <v>57753.981200652881</v>
      </c>
      <c r="P131" s="65">
        <v>57015.876086270335</v>
      </c>
      <c r="Q131" s="65">
        <v>57079.187814174671</v>
      </c>
      <c r="R131" s="65">
        <v>57328.931473158889</v>
      </c>
      <c r="S131" s="65">
        <v>59261.953910388875</v>
      </c>
      <c r="T131" s="65">
        <v>61384.12468720031</v>
      </c>
      <c r="U131" s="65">
        <v>62532.215646003926</v>
      </c>
      <c r="V131" s="65">
        <v>63484.236835365853</v>
      </c>
      <c r="W131" s="65">
        <v>64660.723132903993</v>
      </c>
      <c r="X131" s="65">
        <v>66299.370428100723</v>
      </c>
      <c r="Y131" s="65">
        <v>68829.814783249181</v>
      </c>
      <c r="Z131" s="65">
        <v>71628.493982686196</v>
      </c>
      <c r="AA131" s="65">
        <v>72276.528955151021</v>
      </c>
      <c r="AB131" s="65">
        <v>71299.457880490489</v>
      </c>
      <c r="AC131" s="65">
        <v>68669.314433625099</v>
      </c>
      <c r="AD131" s="65">
        <v>65732.480776009324</v>
      </c>
      <c r="AE131" s="65">
        <v>63165.940542341312</v>
      </c>
      <c r="AF131" s="65">
        <v>61335.978701713713</v>
      </c>
      <c r="AG131" s="40">
        <f>ROUND(SUM(I131:AF131)*H131,2)</f>
        <v>6020800.79</v>
      </c>
    </row>
    <row r="132" spans="2:33" ht="14.4" x14ac:dyDescent="0.25">
      <c r="B132">
        <f t="shared" si="52"/>
        <v>1</v>
      </c>
      <c r="C132">
        <f t="shared" si="53"/>
        <v>2029</v>
      </c>
      <c r="D132" t="str">
        <f t="shared" si="54"/>
        <v>12029FE</v>
      </c>
      <c r="E132" s="68">
        <v>47119</v>
      </c>
      <c r="F132" s="73"/>
      <c r="G132" s="42" t="s">
        <v>59</v>
      </c>
      <c r="H132" s="42">
        <v>2</v>
      </c>
      <c r="I132" s="65">
        <v>60265.616897379987</v>
      </c>
      <c r="J132" s="65">
        <v>59117.490583098232</v>
      </c>
      <c r="K132" s="65">
        <v>58317.795395780289</v>
      </c>
      <c r="L132" s="65">
        <v>57818.163176311617</v>
      </c>
      <c r="M132" s="65">
        <v>57703.647635939102</v>
      </c>
      <c r="N132" s="65">
        <v>57633.931225657245</v>
      </c>
      <c r="O132" s="65">
        <v>58018.22637518523</v>
      </c>
      <c r="P132" s="65">
        <v>57550.753509704686</v>
      </c>
      <c r="Q132" s="65">
        <v>57648.254563646296</v>
      </c>
      <c r="R132" s="65">
        <v>57915.908712356926</v>
      </c>
      <c r="S132" s="65">
        <v>59843.742835756449</v>
      </c>
      <c r="T132" s="65">
        <v>61832.275243371238</v>
      </c>
      <c r="U132" s="65">
        <v>62831.214384532694</v>
      </c>
      <c r="V132" s="65">
        <v>63623.628595098817</v>
      </c>
      <c r="W132" s="65">
        <v>64909.723508599222</v>
      </c>
      <c r="X132" s="65">
        <v>66607.449426264429</v>
      </c>
      <c r="Y132" s="65">
        <v>69160.024579218603</v>
      </c>
      <c r="Z132" s="65">
        <v>71791.117623319253</v>
      </c>
      <c r="AA132" s="65">
        <v>72066.547623791732</v>
      </c>
      <c r="AB132" s="65">
        <v>71125.01074988766</v>
      </c>
      <c r="AC132" s="65">
        <v>68569.202968687969</v>
      </c>
      <c r="AD132" s="65">
        <v>65567.266105975155</v>
      </c>
      <c r="AE132" s="65">
        <v>63036.321836920943</v>
      </c>
      <c r="AF132" s="65">
        <v>61254.235461714263</v>
      </c>
      <c r="AG132" s="43">
        <f>ROUND(SUM(I132:AF132)*H132,2)</f>
        <v>3008415.1</v>
      </c>
    </row>
    <row r="133" spans="2:33" ht="15" thickBot="1" x14ac:dyDescent="0.3">
      <c r="B133">
        <f t="shared" si="52"/>
        <v>1</v>
      </c>
      <c r="C133">
        <f t="shared" si="53"/>
        <v>2029</v>
      </c>
      <c r="D133" t="str">
        <f>+_xlfn.CONCAT(E133,G133)</f>
        <v>47119TOTAL</v>
      </c>
      <c r="E133" s="68">
        <v>47119</v>
      </c>
      <c r="F133" s="61"/>
      <c r="G133" s="44" t="s">
        <v>10</v>
      </c>
      <c r="H133" s="44">
        <f>+SUM(H129:H132)</f>
        <v>31</v>
      </c>
      <c r="I133" s="45">
        <f t="shared" ref="I133:AF133" si="55">+SUMPRODUCT(I129:I132,$H129:$H132)</f>
        <v>2067900.4494378318</v>
      </c>
      <c r="J133" s="45">
        <f t="shared" si="55"/>
        <v>2026285.157392211</v>
      </c>
      <c r="K133" s="45">
        <f t="shared" si="55"/>
        <v>2000561.9734530658</v>
      </c>
      <c r="L133" s="45">
        <f t="shared" si="55"/>
        <v>1987939.8794845052</v>
      </c>
      <c r="M133" s="45">
        <f t="shared" si="55"/>
        <v>1992263.1906836813</v>
      </c>
      <c r="N133" s="45">
        <f t="shared" si="55"/>
        <v>2028276.4546857965</v>
      </c>
      <c r="O133" s="45">
        <f t="shared" si="55"/>
        <v>2161314.726259789</v>
      </c>
      <c r="P133" s="45">
        <f t="shared" si="55"/>
        <v>2294922.4624052648</v>
      </c>
      <c r="Q133" s="45">
        <f t="shared" si="55"/>
        <v>2397764.5193419838</v>
      </c>
      <c r="R133" s="45">
        <f t="shared" si="55"/>
        <v>2439061.0825148188</v>
      </c>
      <c r="S133" s="45">
        <f t="shared" si="55"/>
        <v>2527768.2387077021</v>
      </c>
      <c r="T133" s="45">
        <f t="shared" si="55"/>
        <v>2577000.5023542144</v>
      </c>
      <c r="U133" s="45">
        <f t="shared" si="55"/>
        <v>2539496.6358298492</v>
      </c>
      <c r="V133" s="45">
        <f t="shared" si="55"/>
        <v>2577773.1649698499</v>
      </c>
      <c r="W133" s="45">
        <f t="shared" si="55"/>
        <v>2660092.8763781376</v>
      </c>
      <c r="X133" s="45">
        <f t="shared" si="55"/>
        <v>2718652.9285175963</v>
      </c>
      <c r="Y133" s="45">
        <f t="shared" si="55"/>
        <v>2756038.5434229975</v>
      </c>
      <c r="Z133" s="45">
        <f t="shared" si="55"/>
        <v>2744607.3147319439</v>
      </c>
      <c r="AA133" s="45">
        <f t="shared" si="55"/>
        <v>2673698.2695402317</v>
      </c>
      <c r="AB133" s="45">
        <f t="shared" si="55"/>
        <v>2596770.3587119882</v>
      </c>
      <c r="AC133" s="45">
        <f t="shared" si="55"/>
        <v>2484413.3631179277</v>
      </c>
      <c r="AD133" s="45">
        <f t="shared" si="55"/>
        <v>2327918.8504557959</v>
      </c>
      <c r="AE133" s="45">
        <f t="shared" si="55"/>
        <v>2192573.2785945595</v>
      </c>
      <c r="AF133" s="45">
        <f t="shared" si="55"/>
        <v>2116236.2110454878</v>
      </c>
      <c r="AG133" s="46">
        <f>SUM(I133:AF133)</f>
        <v>56889330.432037227</v>
      </c>
    </row>
    <row r="134" spans="2:33" ht="14.4" x14ac:dyDescent="0.25">
      <c r="B134">
        <f t="shared" si="52"/>
        <v>2</v>
      </c>
      <c r="C134">
        <f t="shared" si="53"/>
        <v>2029</v>
      </c>
      <c r="D134" t="str">
        <f t="shared" ref="D134:D137" si="56">+_xlfn.CONCAT(B134:C134,G134)</f>
        <v>22029OR</v>
      </c>
      <c r="E134" s="67">
        <v>47150</v>
      </c>
      <c r="F134" s="72">
        <f>+AG138</f>
        <v>51970521.357325174</v>
      </c>
      <c r="G134" s="37" t="s">
        <v>57</v>
      </c>
      <c r="H134" s="37">
        <v>20</v>
      </c>
      <c r="I134" s="65">
        <v>67936.733286777016</v>
      </c>
      <c r="J134" s="65">
        <v>66569.986350593303</v>
      </c>
      <c r="K134" s="65">
        <v>65769.710817160172</v>
      </c>
      <c r="L134" s="65">
        <v>65410.225600521757</v>
      </c>
      <c r="M134" s="65">
        <v>65669.635073027603</v>
      </c>
      <c r="N134" s="65">
        <v>67328.497404105481</v>
      </c>
      <c r="O134" s="65">
        <v>73008.602726980025</v>
      </c>
      <c r="P134" s="65">
        <v>79085.344340229029</v>
      </c>
      <c r="Q134" s="65">
        <v>83506.952749375094</v>
      </c>
      <c r="R134" s="65">
        <v>84964.619339398181</v>
      </c>
      <c r="S134" s="65">
        <v>87896.153329545094</v>
      </c>
      <c r="T134" s="65">
        <v>89615.505682560091</v>
      </c>
      <c r="U134" s="65">
        <v>88033.167601776338</v>
      </c>
      <c r="V134" s="65">
        <v>90061.142967821041</v>
      </c>
      <c r="W134" s="65">
        <v>93477.705206476399</v>
      </c>
      <c r="X134" s="65">
        <v>95524.539615015063</v>
      </c>
      <c r="Y134" s="65">
        <v>95875.436566299715</v>
      </c>
      <c r="Z134" s="65">
        <v>94261.007579897763</v>
      </c>
      <c r="AA134" s="65">
        <v>90892.427971181693</v>
      </c>
      <c r="AB134" s="65">
        <v>87817.979929380148</v>
      </c>
      <c r="AC134" s="65">
        <v>83782.542820256363</v>
      </c>
      <c r="AD134" s="65">
        <v>78121.533937035594</v>
      </c>
      <c r="AE134" s="65">
        <v>73198.547562236694</v>
      </c>
      <c r="AF134" s="65">
        <v>70524.123693644549</v>
      </c>
      <c r="AG134" s="38">
        <f>+SUM(I134:AF134)*H134</f>
        <v>38766642.443025887</v>
      </c>
    </row>
    <row r="135" spans="2:33" ht="14.4" x14ac:dyDescent="0.25">
      <c r="B135">
        <f t="shared" si="52"/>
        <v>2</v>
      </c>
      <c r="C135">
        <f t="shared" si="53"/>
        <v>2029</v>
      </c>
      <c r="D135" t="str">
        <f t="shared" si="56"/>
        <v>22029SA</v>
      </c>
      <c r="E135" s="68">
        <v>47150</v>
      </c>
      <c r="F135" s="73"/>
      <c r="G135" s="39" t="s">
        <v>60</v>
      </c>
      <c r="H135" s="39">
        <v>4</v>
      </c>
      <c r="I135" s="65">
        <v>68381.432833198938</v>
      </c>
      <c r="J135" s="65">
        <v>66940.331543313368</v>
      </c>
      <c r="K135" s="65">
        <v>65977.742633471469</v>
      </c>
      <c r="L135" s="65">
        <v>65483.380658745824</v>
      </c>
      <c r="M135" s="65">
        <v>65566.509632469882</v>
      </c>
      <c r="N135" s="65">
        <v>66326.981743223718</v>
      </c>
      <c r="O135" s="65">
        <v>70445.402405728557</v>
      </c>
      <c r="P135" s="65">
        <v>73812.522852825292</v>
      </c>
      <c r="Q135" s="65">
        <v>76483.638866093868</v>
      </c>
      <c r="R135" s="65">
        <v>77789.891008775128</v>
      </c>
      <c r="S135" s="65">
        <v>80431.94226058817</v>
      </c>
      <c r="T135" s="65">
        <v>81384.767150945947</v>
      </c>
      <c r="U135" s="65">
        <v>79831.356564275455</v>
      </c>
      <c r="V135" s="65">
        <v>79552.572399592085</v>
      </c>
      <c r="W135" s="65">
        <v>79660.830955541518</v>
      </c>
      <c r="X135" s="65">
        <v>81070.573461863125</v>
      </c>
      <c r="Y135" s="65">
        <v>82267.593441602206</v>
      </c>
      <c r="Z135" s="65">
        <v>83847.790119910351</v>
      </c>
      <c r="AA135" s="65">
        <v>83347.525983677042</v>
      </c>
      <c r="AB135" s="65">
        <v>81553.593963933396</v>
      </c>
      <c r="AC135" s="65">
        <v>78423.480784582978</v>
      </c>
      <c r="AD135" s="65">
        <v>73238.224001590221</v>
      </c>
      <c r="AE135" s="65">
        <v>68883.369773621118</v>
      </c>
      <c r="AF135" s="65">
        <v>66469.405984417332</v>
      </c>
      <c r="AG135" s="40">
        <f>+SUM(I135:AF135)*H135</f>
        <v>7188683.4440959487</v>
      </c>
    </row>
    <row r="136" spans="2:33" ht="14.4" x14ac:dyDescent="0.25">
      <c r="B136">
        <f t="shared" si="52"/>
        <v>2</v>
      </c>
      <c r="C136">
        <f t="shared" si="53"/>
        <v>2029</v>
      </c>
      <c r="D136" t="str">
        <f t="shared" si="56"/>
        <v>22029DO</v>
      </c>
      <c r="E136" s="68">
        <v>47150</v>
      </c>
      <c r="F136" s="73"/>
      <c r="G136" s="41" t="s">
        <v>58</v>
      </c>
      <c r="H136" s="41">
        <v>4</v>
      </c>
      <c r="I136" s="65">
        <v>61191.258554928834</v>
      </c>
      <c r="J136" s="65">
        <v>59920.830521621057</v>
      </c>
      <c r="K136" s="65">
        <v>59033.710347446839</v>
      </c>
      <c r="L136" s="65">
        <v>58485.832925881856</v>
      </c>
      <c r="M136" s="65">
        <v>58217.955277798261</v>
      </c>
      <c r="N136" s="65">
        <v>57777.35315078713</v>
      </c>
      <c r="O136" s="65">
        <v>57664.797608256587</v>
      </c>
      <c r="P136" s="65">
        <v>57045.21633448088</v>
      </c>
      <c r="Q136" s="65">
        <v>57138.613302426245</v>
      </c>
      <c r="R136" s="65">
        <v>57224.86363553119</v>
      </c>
      <c r="S136" s="65">
        <v>58947.532323769839</v>
      </c>
      <c r="T136" s="65">
        <v>61196.235069654627</v>
      </c>
      <c r="U136" s="65">
        <v>62544.245774594012</v>
      </c>
      <c r="V136" s="65">
        <v>63848.082232566718</v>
      </c>
      <c r="W136" s="65">
        <v>64900.632981223243</v>
      </c>
      <c r="X136" s="65">
        <v>66540.590625388737</v>
      </c>
      <c r="Y136" s="65">
        <v>68676.387275656889</v>
      </c>
      <c r="Z136" s="65">
        <v>71499.547681653101</v>
      </c>
      <c r="AA136" s="65">
        <v>72230.158833742214</v>
      </c>
      <c r="AB136" s="65">
        <v>71237.08481925774</v>
      </c>
      <c r="AC136" s="65">
        <v>68589.174175704597</v>
      </c>
      <c r="AD136" s="65">
        <v>65630.776756547828</v>
      </c>
      <c r="AE136" s="65">
        <v>63049.877457728609</v>
      </c>
      <c r="AF136" s="65">
        <v>61208.109884188831</v>
      </c>
      <c r="AG136" s="40">
        <f>+SUM(I136:AF136)*H136</f>
        <v>6015195.4702033438</v>
      </c>
    </row>
    <row r="137" spans="2:33" ht="14.4" x14ac:dyDescent="0.25">
      <c r="B137">
        <f t="shared" si="52"/>
        <v>2</v>
      </c>
      <c r="C137">
        <f t="shared" si="53"/>
        <v>2029</v>
      </c>
      <c r="D137" t="str">
        <f t="shared" si="56"/>
        <v>22029FE</v>
      </c>
      <c r="E137" s="68">
        <v>47150</v>
      </c>
      <c r="F137" s="73"/>
      <c r="G137" s="42" t="s">
        <v>59</v>
      </c>
      <c r="H137" s="42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  <c r="AG137" s="43">
        <f>+SUM(I137:AF137)*H137</f>
        <v>0</v>
      </c>
    </row>
    <row r="138" spans="2:33" ht="15" thickBot="1" x14ac:dyDescent="0.3">
      <c r="B138">
        <f t="shared" si="52"/>
        <v>2</v>
      </c>
      <c r="C138">
        <f t="shared" si="53"/>
        <v>2029</v>
      </c>
      <c r="D138" t="str">
        <f>+_xlfn.CONCAT(E138,G138)</f>
        <v>47150TOTAL</v>
      </c>
      <c r="E138" s="68">
        <v>47150</v>
      </c>
      <c r="F138" s="61"/>
      <c r="G138" s="44" t="s">
        <v>10</v>
      </c>
      <c r="H138" s="44">
        <f>+SUM(H134:H137)</f>
        <v>28</v>
      </c>
      <c r="I138" s="45">
        <f t="shared" ref="I138:AF138" si="57">+SUMPRODUCT(I134:I137,$H134:$H137)</f>
        <v>1877025.4312880514</v>
      </c>
      <c r="J138" s="45">
        <f t="shared" si="57"/>
        <v>1838844.3752716035</v>
      </c>
      <c r="K138" s="45">
        <f t="shared" si="57"/>
        <v>1815440.0282668769</v>
      </c>
      <c r="L138" s="45">
        <f t="shared" si="57"/>
        <v>1804081.3663489458</v>
      </c>
      <c r="M138" s="45">
        <f t="shared" si="57"/>
        <v>1808530.5611016243</v>
      </c>
      <c r="N138" s="45">
        <f t="shared" si="57"/>
        <v>1842987.2876581531</v>
      </c>
      <c r="O138" s="45">
        <f t="shared" si="57"/>
        <v>1972612.854595541</v>
      </c>
      <c r="P138" s="45">
        <f t="shared" si="57"/>
        <v>2105137.8435538053</v>
      </c>
      <c r="Q138" s="45">
        <f t="shared" si="57"/>
        <v>2204628.0636615823</v>
      </c>
      <c r="R138" s="45">
        <f t="shared" si="57"/>
        <v>2239351.4053651886</v>
      </c>
      <c r="S138" s="45">
        <f t="shared" si="57"/>
        <v>2315440.9649283341</v>
      </c>
      <c r="T138" s="45">
        <f t="shared" si="57"/>
        <v>2362634.122533604</v>
      </c>
      <c r="U138" s="45">
        <f t="shared" si="57"/>
        <v>2330165.7613910045</v>
      </c>
      <c r="V138" s="45">
        <f t="shared" si="57"/>
        <v>2374825.4778850558</v>
      </c>
      <c r="W138" s="45">
        <f t="shared" si="57"/>
        <v>2447799.9598765871</v>
      </c>
      <c r="X138" s="45">
        <f t="shared" si="57"/>
        <v>2500935.4486493086</v>
      </c>
      <c r="Y138" s="45">
        <f t="shared" si="57"/>
        <v>2521284.6541950307</v>
      </c>
      <c r="Z138" s="45">
        <f t="shared" si="57"/>
        <v>2506609.502804209</v>
      </c>
      <c r="AA138" s="45">
        <f t="shared" si="57"/>
        <v>2440159.2986933109</v>
      </c>
      <c r="AB138" s="45">
        <f t="shared" si="57"/>
        <v>2367522.3137203674</v>
      </c>
      <c r="AC138" s="45">
        <f t="shared" si="57"/>
        <v>2263701.4762462778</v>
      </c>
      <c r="AD138" s="45">
        <f t="shared" si="57"/>
        <v>2117906.681773264</v>
      </c>
      <c r="AE138" s="45">
        <f t="shared" si="57"/>
        <v>1991703.9401701326</v>
      </c>
      <c r="AF138" s="45">
        <f t="shared" si="57"/>
        <v>1921192.5373473158</v>
      </c>
      <c r="AG138" s="46">
        <f>SUM(I138:AF138)</f>
        <v>51970521.357325174</v>
      </c>
    </row>
    <row r="139" spans="2:33" ht="14.4" x14ac:dyDescent="0.25">
      <c r="B139">
        <f t="shared" si="52"/>
        <v>3</v>
      </c>
      <c r="C139">
        <f t="shared" si="53"/>
        <v>2029</v>
      </c>
      <c r="D139" t="str">
        <f t="shared" ref="D139:D142" si="58">+_xlfn.CONCAT(B139:C139,G139)</f>
        <v>32029OR</v>
      </c>
      <c r="E139" s="67">
        <v>47178</v>
      </c>
      <c r="F139" s="72">
        <f>+AG143</f>
        <v>56168572.594770394</v>
      </c>
      <c r="G139" s="37" t="s">
        <v>57</v>
      </c>
      <c r="H139" s="37">
        <v>19</v>
      </c>
      <c r="I139" s="65">
        <v>67810.823871299639</v>
      </c>
      <c r="J139" s="65">
        <v>66451.088879611663</v>
      </c>
      <c r="K139" s="65">
        <v>65653.256325169219</v>
      </c>
      <c r="L139" s="65">
        <v>65296.53236418208</v>
      </c>
      <c r="M139" s="65">
        <v>65549.356025256231</v>
      </c>
      <c r="N139" s="65">
        <v>67205.65896522651</v>
      </c>
      <c r="O139" s="65">
        <v>72772.410676989501</v>
      </c>
      <c r="P139" s="65">
        <v>78703.222366208138</v>
      </c>
      <c r="Q139" s="65">
        <v>83077.515362094317</v>
      </c>
      <c r="R139" s="65">
        <v>84691.289134242557</v>
      </c>
      <c r="S139" s="65">
        <v>87821.912940721668</v>
      </c>
      <c r="T139" s="65">
        <v>89413.529585189419</v>
      </c>
      <c r="U139" s="65">
        <v>87644.511401013995</v>
      </c>
      <c r="V139" s="65">
        <v>89326.685587528234</v>
      </c>
      <c r="W139" s="65">
        <v>92856.387527939398</v>
      </c>
      <c r="X139" s="65">
        <v>94902.456090475185</v>
      </c>
      <c r="Y139" s="65">
        <v>95653.844840451158</v>
      </c>
      <c r="Z139" s="65">
        <v>94030.030574532284</v>
      </c>
      <c r="AA139" s="65">
        <v>90612.602724884637</v>
      </c>
      <c r="AB139" s="65">
        <v>87562.628323501849</v>
      </c>
      <c r="AC139" s="65">
        <v>83549.137222903548</v>
      </c>
      <c r="AD139" s="65">
        <v>77924.245343124028</v>
      </c>
      <c r="AE139" s="65">
        <v>73033.492501286761</v>
      </c>
      <c r="AF139" s="65">
        <v>70373.798109273339</v>
      </c>
      <c r="AG139" s="38">
        <f>+SUM(I139:AF139)*H139</f>
        <v>36706411.918118998</v>
      </c>
    </row>
    <row r="140" spans="2:33" ht="14.4" x14ac:dyDescent="0.25">
      <c r="B140">
        <f t="shared" si="52"/>
        <v>3</v>
      </c>
      <c r="C140">
        <f t="shared" si="53"/>
        <v>2029</v>
      </c>
      <c r="D140" t="str">
        <f t="shared" si="58"/>
        <v>32029SA</v>
      </c>
      <c r="E140" s="68">
        <v>47178</v>
      </c>
      <c r="F140" s="73"/>
      <c r="G140" s="39" t="s">
        <v>60</v>
      </c>
      <c r="H140" s="39">
        <v>5</v>
      </c>
      <c r="I140" s="65">
        <v>68268.570539742053</v>
      </c>
      <c r="J140" s="65">
        <v>66837.833240553038</v>
      </c>
      <c r="K140" s="65">
        <v>65882.935944426659</v>
      </c>
      <c r="L140" s="65">
        <v>65393.842872121742</v>
      </c>
      <c r="M140" s="65">
        <v>65472.006213939094</v>
      </c>
      <c r="N140" s="65">
        <v>66236.416626764083</v>
      </c>
      <c r="O140" s="65">
        <v>70260.431122506794</v>
      </c>
      <c r="P140" s="65">
        <v>73497.445337600861</v>
      </c>
      <c r="Q140" s="65">
        <v>76130.859088502912</v>
      </c>
      <c r="R140" s="65">
        <v>77599.116844593955</v>
      </c>
      <c r="S140" s="65">
        <v>80443.191409869643</v>
      </c>
      <c r="T140" s="65">
        <v>81278.832957423219</v>
      </c>
      <c r="U140" s="65">
        <v>79542.651263868494</v>
      </c>
      <c r="V140" s="65">
        <v>78932.140775023901</v>
      </c>
      <c r="W140" s="65">
        <v>79161.599685648893</v>
      </c>
      <c r="X140" s="65">
        <v>80572.242513171426</v>
      </c>
      <c r="Y140" s="65">
        <v>82167.123370522299</v>
      </c>
      <c r="Z140" s="65">
        <v>83720.115372345696</v>
      </c>
      <c r="AA140" s="65">
        <v>83148.600312366703</v>
      </c>
      <c r="AB140" s="65">
        <v>81376.82772417806</v>
      </c>
      <c r="AC140" s="65">
        <v>78266.454441269248</v>
      </c>
      <c r="AD140" s="65">
        <v>73111.310733550941</v>
      </c>
      <c r="AE140" s="65">
        <v>68783.38255608255</v>
      </c>
      <c r="AF140" s="65">
        <v>66383.516255115959</v>
      </c>
      <c r="AG140" s="40">
        <f>+SUM(I140:AF140)*H140</f>
        <v>8962337.2360059414</v>
      </c>
    </row>
    <row r="141" spans="2:33" ht="14.4" x14ac:dyDescent="0.25">
      <c r="B141">
        <f t="shared" si="52"/>
        <v>3</v>
      </c>
      <c r="C141">
        <f t="shared" si="53"/>
        <v>2029</v>
      </c>
      <c r="D141" t="str">
        <f t="shared" si="58"/>
        <v>32029DO</v>
      </c>
      <c r="E141" s="68">
        <v>47178</v>
      </c>
      <c r="F141" s="73"/>
      <c r="G141" s="41" t="s">
        <v>58</v>
      </c>
      <c r="H141" s="41">
        <v>4</v>
      </c>
      <c r="I141" s="65">
        <v>61116.908046702774</v>
      </c>
      <c r="J141" s="65">
        <v>59856.494197989407</v>
      </c>
      <c r="K141" s="65">
        <v>58969.06401381125</v>
      </c>
      <c r="L141" s="65">
        <v>58425.250498892783</v>
      </c>
      <c r="M141" s="65">
        <v>58157.848506416478</v>
      </c>
      <c r="N141" s="65">
        <v>57736.021864417249</v>
      </c>
      <c r="O141" s="65">
        <v>57553.981200652881</v>
      </c>
      <c r="P141" s="65">
        <v>56815.876086270335</v>
      </c>
      <c r="Q141" s="65">
        <v>56879.187814174671</v>
      </c>
      <c r="R141" s="65">
        <v>57128.931473158889</v>
      </c>
      <c r="S141" s="65">
        <v>59061.953910388875</v>
      </c>
      <c r="T141" s="65">
        <v>61184.12468720031</v>
      </c>
      <c r="U141" s="65">
        <v>62332.215646003926</v>
      </c>
      <c r="V141" s="65">
        <v>63284.236835365853</v>
      </c>
      <c r="W141" s="65">
        <v>64460.723132903993</v>
      </c>
      <c r="X141" s="65">
        <v>66099.370428100723</v>
      </c>
      <c r="Y141" s="65">
        <v>68629.814783249181</v>
      </c>
      <c r="Z141" s="65">
        <v>71428.493982686196</v>
      </c>
      <c r="AA141" s="65">
        <v>72076.528955151021</v>
      </c>
      <c r="AB141" s="65">
        <v>71099.457880490489</v>
      </c>
      <c r="AC141" s="65">
        <v>68469.314433625099</v>
      </c>
      <c r="AD141" s="65">
        <v>65532.480776009324</v>
      </c>
      <c r="AE141" s="65">
        <v>62965.940542341312</v>
      </c>
      <c r="AF141" s="65">
        <v>61135.978701713713</v>
      </c>
      <c r="AG141" s="40">
        <f>+SUM(I141:AF141)*H141</f>
        <v>6001600.7935908679</v>
      </c>
    </row>
    <row r="142" spans="2:33" ht="14.4" x14ac:dyDescent="0.25">
      <c r="B142">
        <f t="shared" si="52"/>
        <v>3</v>
      </c>
      <c r="C142">
        <f t="shared" si="53"/>
        <v>2029</v>
      </c>
      <c r="D142" t="str">
        <f t="shared" si="58"/>
        <v>32029FE</v>
      </c>
      <c r="E142" s="68">
        <v>47178</v>
      </c>
      <c r="F142" s="73"/>
      <c r="G142" s="42" t="s">
        <v>59</v>
      </c>
      <c r="H142" s="42">
        <v>3</v>
      </c>
      <c r="I142" s="65">
        <v>60065.616897379987</v>
      </c>
      <c r="J142" s="65">
        <v>58917.490583098232</v>
      </c>
      <c r="K142" s="65">
        <v>58117.795395780289</v>
      </c>
      <c r="L142" s="65">
        <v>57618.163176311617</v>
      </c>
      <c r="M142" s="65">
        <v>57503.647635939102</v>
      </c>
      <c r="N142" s="65">
        <v>57433.931225657252</v>
      </c>
      <c r="O142" s="65">
        <v>57818.226375185222</v>
      </c>
      <c r="P142" s="65">
        <v>57350.753509704686</v>
      </c>
      <c r="Q142" s="65">
        <v>57448.254563646296</v>
      </c>
      <c r="R142" s="65">
        <v>57715.908712356926</v>
      </c>
      <c r="S142" s="65">
        <v>59643.742835756449</v>
      </c>
      <c r="T142" s="65">
        <v>61632.275243371238</v>
      </c>
      <c r="U142" s="65">
        <v>62631.214384532686</v>
      </c>
      <c r="V142" s="65">
        <v>63423.628595098817</v>
      </c>
      <c r="W142" s="65">
        <v>64709.723508599222</v>
      </c>
      <c r="X142" s="65">
        <v>66407.449426264429</v>
      </c>
      <c r="Y142" s="65">
        <v>68960.024579218603</v>
      </c>
      <c r="Z142" s="65">
        <v>71591.117623319253</v>
      </c>
      <c r="AA142" s="65">
        <v>71866.547623791732</v>
      </c>
      <c r="AB142" s="65">
        <v>70925.01074988766</v>
      </c>
      <c r="AC142" s="65">
        <v>68369.202968687969</v>
      </c>
      <c r="AD142" s="65">
        <v>65367.266105975163</v>
      </c>
      <c r="AE142" s="65">
        <v>62836.321836920943</v>
      </c>
      <c r="AF142" s="65">
        <v>61054.235461714263</v>
      </c>
      <c r="AG142" s="43">
        <f>+SUM(I142:AF142)*H142</f>
        <v>4498222.647054594</v>
      </c>
    </row>
    <row r="143" spans="2:33" ht="15" thickBot="1" x14ac:dyDescent="0.3">
      <c r="B143">
        <f t="shared" si="52"/>
        <v>3</v>
      </c>
      <c r="C143">
        <f t="shared" si="53"/>
        <v>2029</v>
      </c>
      <c r="D143" t="str">
        <f>+_xlfn.CONCAT(E143,G143)</f>
        <v>47178TOTAL</v>
      </c>
      <c r="E143" s="68">
        <v>47178</v>
      </c>
      <c r="F143" s="61"/>
      <c r="G143" s="44" t="s">
        <v>10</v>
      </c>
      <c r="H143" s="44">
        <f>+SUM(H139:H142)</f>
        <v>31</v>
      </c>
      <c r="I143" s="45">
        <f t="shared" ref="I143:AF143" si="59">+SUMPRODUCT(I139:I142,$H139:$H142)</f>
        <v>2054412.9891323545</v>
      </c>
      <c r="J143" s="45">
        <f t="shared" si="59"/>
        <v>2012938.3034566392</v>
      </c>
      <c r="K143" s="45">
        <f t="shared" si="59"/>
        <v>1987056.1921429343</v>
      </c>
      <c r="L143" s="45">
        <f t="shared" si="59"/>
        <v>1974158.8208045743</v>
      </c>
      <c r="M143" s="45">
        <f t="shared" si="59"/>
        <v>1977940.132483047</v>
      </c>
      <c r="N143" s="45">
        <f t="shared" si="59"/>
        <v>2011335.4846077648</v>
      </c>
      <c r="O143" s="45">
        <f t="shared" si="59"/>
        <v>2137648.5624035015</v>
      </c>
      <c r="P143" s="45">
        <f t="shared" si="59"/>
        <v>2262164.2165201544</v>
      </c>
      <c r="Q143" s="45">
        <f t="shared" si="59"/>
        <v>2358988.6022699438</v>
      </c>
      <c r="R143" s="45">
        <f t="shared" si="59"/>
        <v>2398793.5298032849</v>
      </c>
      <c r="S143" s="45">
        <f t="shared" si="59"/>
        <v>2486011.3470718847</v>
      </c>
      <c r="T143" s="45">
        <f t="shared" si="59"/>
        <v>2534884.5513846301</v>
      </c>
      <c r="U143" s="45">
        <f t="shared" si="59"/>
        <v>2500181.4786762223</v>
      </c>
      <c r="V143" s="45">
        <f t="shared" si="59"/>
        <v>2535275.5631649159</v>
      </c>
      <c r="W143" s="45">
        <f t="shared" si="59"/>
        <v>2612051.424516507</v>
      </c>
      <c r="X143" s="45">
        <f t="shared" si="59"/>
        <v>2669627.7082760818</v>
      </c>
      <c r="Y143" s="45">
        <f t="shared" si="59"/>
        <v>2709658.0016918359</v>
      </c>
      <c r="Z143" s="45">
        <f t="shared" si="59"/>
        <v>2705658.4865785446</v>
      </c>
      <c r="AA143" s="45">
        <f t="shared" si="59"/>
        <v>2641288.2120266207</v>
      </c>
      <c r="AB143" s="45">
        <f t="shared" si="59"/>
        <v>2567746.9405390504</v>
      </c>
      <c r="AC143" s="45">
        <f t="shared" si="59"/>
        <v>2457750.7460820777</v>
      </c>
      <c r="AD143" s="45">
        <f t="shared" si="59"/>
        <v>2304348.936609074</v>
      </c>
      <c r="AE143" s="45">
        <f t="shared" si="59"/>
        <v>2171925.9979849895</v>
      </c>
      <c r="AF143" s="45">
        <f t="shared" si="59"/>
        <v>2096726.366543771</v>
      </c>
      <c r="AG143" s="46">
        <f>SUM(I143:AF143)</f>
        <v>56168572.594770394</v>
      </c>
    </row>
    <row r="144" spans="2:33" ht="14.4" x14ac:dyDescent="0.25">
      <c r="B144">
        <f t="shared" si="52"/>
        <v>4</v>
      </c>
      <c r="C144">
        <f t="shared" si="53"/>
        <v>2029</v>
      </c>
      <c r="D144" t="str">
        <f t="shared" ref="D144:D147" si="60">+_xlfn.CONCAT(B144:C144,G144)</f>
        <v>42029OR</v>
      </c>
      <c r="E144" s="67">
        <v>47209</v>
      </c>
      <c r="F144" s="72">
        <f>+AG148</f>
        <v>55385122.88301903</v>
      </c>
      <c r="G144" s="37" t="s">
        <v>57</v>
      </c>
      <c r="H144" s="37">
        <v>21</v>
      </c>
      <c r="I144" s="65">
        <v>68010.823871299639</v>
      </c>
      <c r="J144" s="65">
        <v>66651.088879611649</v>
      </c>
      <c r="K144" s="65">
        <v>65853.256325169219</v>
      </c>
      <c r="L144" s="65">
        <v>65496.532364182087</v>
      </c>
      <c r="M144" s="65">
        <v>65749.356025256231</v>
      </c>
      <c r="N144" s="65">
        <v>67405.65896522651</v>
      </c>
      <c r="O144" s="65">
        <v>72972.410676989501</v>
      </c>
      <c r="P144" s="65">
        <v>78903.222366208138</v>
      </c>
      <c r="Q144" s="65">
        <v>83277.515362094317</v>
      </c>
      <c r="R144" s="65">
        <v>84891.289134242557</v>
      </c>
      <c r="S144" s="65">
        <v>88021.912940721668</v>
      </c>
      <c r="T144" s="65">
        <v>89613.529585189419</v>
      </c>
      <c r="U144" s="65">
        <v>87844.511401013995</v>
      </c>
      <c r="V144" s="65">
        <v>89526.685587528234</v>
      </c>
      <c r="W144" s="65">
        <v>93056.387527939398</v>
      </c>
      <c r="X144" s="65">
        <v>95102.456090475185</v>
      </c>
      <c r="Y144" s="65">
        <v>95853.844840451158</v>
      </c>
      <c r="Z144" s="65">
        <v>94230.030574532284</v>
      </c>
      <c r="AA144" s="65">
        <v>90812.602724884637</v>
      </c>
      <c r="AB144" s="65">
        <v>87762.628323501849</v>
      </c>
      <c r="AC144" s="65">
        <v>83749.137222903548</v>
      </c>
      <c r="AD144" s="65">
        <v>78124.245343124028</v>
      </c>
      <c r="AE144" s="65">
        <v>73233.492501286761</v>
      </c>
      <c r="AF144" s="65">
        <v>70573.798109273353</v>
      </c>
      <c r="AG144" s="38">
        <f>+SUM(I144:AF144)*H144</f>
        <v>40671044.751605213</v>
      </c>
    </row>
    <row r="145" spans="2:33" ht="14.4" x14ac:dyDescent="0.25">
      <c r="B145">
        <f t="shared" si="52"/>
        <v>4</v>
      </c>
      <c r="C145">
        <f t="shared" si="53"/>
        <v>2029</v>
      </c>
      <c r="D145" t="str">
        <f t="shared" si="60"/>
        <v>42029SA</v>
      </c>
      <c r="E145" s="68">
        <v>47209</v>
      </c>
      <c r="F145" s="73"/>
      <c r="G145" s="39" t="s">
        <v>60</v>
      </c>
      <c r="H145" s="39">
        <v>4</v>
      </c>
      <c r="I145" s="65">
        <v>68468.570539742053</v>
      </c>
      <c r="J145" s="65">
        <v>67037.833240553038</v>
      </c>
      <c r="K145" s="65">
        <v>66082.935944426659</v>
      </c>
      <c r="L145" s="65">
        <v>65593.84287212175</v>
      </c>
      <c r="M145" s="65">
        <v>65672.006213939094</v>
      </c>
      <c r="N145" s="65">
        <v>66436.416626764083</v>
      </c>
      <c r="O145" s="65">
        <v>70460.431122506794</v>
      </c>
      <c r="P145" s="65">
        <v>73697.445337600861</v>
      </c>
      <c r="Q145" s="65">
        <v>76330.859088502912</v>
      </c>
      <c r="R145" s="65">
        <v>77799.116844593955</v>
      </c>
      <c r="S145" s="65">
        <v>80643.191409869643</v>
      </c>
      <c r="T145" s="65">
        <v>81478.832957423219</v>
      </c>
      <c r="U145" s="65">
        <v>79742.651263868494</v>
      </c>
      <c r="V145" s="65">
        <v>79132.140775023901</v>
      </c>
      <c r="W145" s="65">
        <v>79361.599685648893</v>
      </c>
      <c r="X145" s="65">
        <v>80772.242513171426</v>
      </c>
      <c r="Y145" s="65">
        <v>82367.123370522299</v>
      </c>
      <c r="Z145" s="65">
        <v>83920.115372345696</v>
      </c>
      <c r="AA145" s="65">
        <v>83348.600312366703</v>
      </c>
      <c r="AB145" s="65">
        <v>81576.82772417806</v>
      </c>
      <c r="AC145" s="65">
        <v>78466.454441269248</v>
      </c>
      <c r="AD145" s="65">
        <v>73311.310733550941</v>
      </c>
      <c r="AE145" s="65">
        <v>68983.38255608255</v>
      </c>
      <c r="AF145" s="65">
        <v>66583.516255115959</v>
      </c>
      <c r="AG145" s="40">
        <f>+SUM(I145:AF145)*H145</f>
        <v>7189069.7888047528</v>
      </c>
    </row>
    <row r="146" spans="2:33" ht="14.4" x14ac:dyDescent="0.25">
      <c r="B146">
        <f t="shared" si="52"/>
        <v>4</v>
      </c>
      <c r="C146">
        <f t="shared" si="53"/>
        <v>2029</v>
      </c>
      <c r="D146" t="str">
        <f t="shared" si="60"/>
        <v>42029DO</v>
      </c>
      <c r="E146" s="68">
        <v>47209</v>
      </c>
      <c r="F146" s="73"/>
      <c r="G146" s="41" t="s">
        <v>58</v>
      </c>
      <c r="H146" s="41">
        <v>4</v>
      </c>
      <c r="I146" s="65">
        <v>61316.908046702774</v>
      </c>
      <c r="J146" s="65">
        <v>60056.494197989407</v>
      </c>
      <c r="K146" s="65">
        <v>59169.06401381125</v>
      </c>
      <c r="L146" s="65">
        <v>58625.250498892783</v>
      </c>
      <c r="M146" s="65">
        <v>58357.848506416478</v>
      </c>
      <c r="N146" s="65">
        <v>57936.021864417249</v>
      </c>
      <c r="O146" s="65">
        <v>57753.981200652881</v>
      </c>
      <c r="P146" s="65">
        <v>57015.876086270335</v>
      </c>
      <c r="Q146" s="65">
        <v>57079.187814174671</v>
      </c>
      <c r="R146" s="65">
        <v>57328.931473158889</v>
      </c>
      <c r="S146" s="65">
        <v>59261.953910388875</v>
      </c>
      <c r="T146" s="65">
        <v>61384.12468720031</v>
      </c>
      <c r="U146" s="65">
        <v>62532.215646003926</v>
      </c>
      <c r="V146" s="65">
        <v>63484.236835365853</v>
      </c>
      <c r="W146" s="65">
        <v>64660.723132903993</v>
      </c>
      <c r="X146" s="65">
        <v>66299.370428100723</v>
      </c>
      <c r="Y146" s="65">
        <v>68829.814783249181</v>
      </c>
      <c r="Z146" s="65">
        <v>71628.493982686196</v>
      </c>
      <c r="AA146" s="65">
        <v>72276.528955151021</v>
      </c>
      <c r="AB146" s="65">
        <v>71299.457880490489</v>
      </c>
      <c r="AC146" s="65">
        <v>68669.314433625099</v>
      </c>
      <c r="AD146" s="65">
        <v>65732.480776009324</v>
      </c>
      <c r="AE146" s="65">
        <v>63165.940542341312</v>
      </c>
      <c r="AF146" s="65">
        <v>61335.978701713713</v>
      </c>
      <c r="AG146" s="40">
        <f>+SUM(I146:AF146)*H146</f>
        <v>6020800.7935908679</v>
      </c>
    </row>
    <row r="147" spans="2:33" ht="14.4" x14ac:dyDescent="0.25">
      <c r="B147">
        <f t="shared" si="52"/>
        <v>4</v>
      </c>
      <c r="C147">
        <f t="shared" si="53"/>
        <v>2029</v>
      </c>
      <c r="D147" t="str">
        <f t="shared" si="60"/>
        <v>42029FE</v>
      </c>
      <c r="E147" s="68">
        <v>47209</v>
      </c>
      <c r="F147" s="73"/>
      <c r="G147" s="42" t="s">
        <v>59</v>
      </c>
      <c r="H147" s="42">
        <v>1</v>
      </c>
      <c r="I147" s="65">
        <v>60265.616897379987</v>
      </c>
      <c r="J147" s="65">
        <v>59117.490583098232</v>
      </c>
      <c r="K147" s="65">
        <v>58317.795395780289</v>
      </c>
      <c r="L147" s="65">
        <v>57818.163176311617</v>
      </c>
      <c r="M147" s="65">
        <v>57703.647635939102</v>
      </c>
      <c r="N147" s="65">
        <v>57633.931225657245</v>
      </c>
      <c r="O147" s="65">
        <v>58018.22637518523</v>
      </c>
      <c r="P147" s="65">
        <v>57550.753509704686</v>
      </c>
      <c r="Q147" s="65">
        <v>57648.254563646296</v>
      </c>
      <c r="R147" s="65">
        <v>57915.908712356926</v>
      </c>
      <c r="S147" s="65">
        <v>59843.742835756449</v>
      </c>
      <c r="T147" s="65">
        <v>61832.275243371238</v>
      </c>
      <c r="U147" s="65">
        <v>62831.214384532694</v>
      </c>
      <c r="V147" s="65">
        <v>63623.628595098817</v>
      </c>
      <c r="W147" s="65">
        <v>64909.723508599222</v>
      </c>
      <c r="X147" s="65">
        <v>66607.449426264429</v>
      </c>
      <c r="Y147" s="65">
        <v>69160.024579218603</v>
      </c>
      <c r="Z147" s="65">
        <v>71791.117623319253</v>
      </c>
      <c r="AA147" s="65">
        <v>72066.547623791732</v>
      </c>
      <c r="AB147" s="65">
        <v>71125.01074988766</v>
      </c>
      <c r="AC147" s="65">
        <v>68569.202968687969</v>
      </c>
      <c r="AD147" s="65">
        <v>65567.266105975155</v>
      </c>
      <c r="AE147" s="65">
        <v>63036.321836920943</v>
      </c>
      <c r="AF147" s="65">
        <v>61254.235461714263</v>
      </c>
      <c r="AG147" s="43">
        <f>+SUM(I147:AF147)*H147</f>
        <v>1504207.5490181979</v>
      </c>
    </row>
    <row r="148" spans="2:33" ht="15" thickBot="1" x14ac:dyDescent="0.3">
      <c r="B148">
        <f t="shared" si="52"/>
        <v>4</v>
      </c>
      <c r="C148">
        <f t="shared" si="53"/>
        <v>2029</v>
      </c>
      <c r="D148" t="str">
        <f>+_xlfn.CONCAT(E148,G148)</f>
        <v>47209TOTAL</v>
      </c>
      <c r="E148" s="68">
        <v>47209</v>
      </c>
      <c r="F148" s="61"/>
      <c r="G148" s="44" t="s">
        <v>10</v>
      </c>
      <c r="H148" s="44">
        <f>+SUM(H144:H147)</f>
        <v>30</v>
      </c>
      <c r="I148" s="45">
        <f t="shared" ref="I148:AF148" si="61">+SUMPRODUCT(I144:I147,$H144:$H147)</f>
        <v>2007634.8325404518</v>
      </c>
      <c r="J148" s="45">
        <f t="shared" si="61"/>
        <v>1967167.6668091128</v>
      </c>
      <c r="K148" s="45">
        <f t="shared" si="61"/>
        <v>1942244.1780572857</v>
      </c>
      <c r="L148" s="45">
        <f t="shared" si="61"/>
        <v>1930121.7163081935</v>
      </c>
      <c r="M148" s="45">
        <f t="shared" si="61"/>
        <v>1934559.5430477422</v>
      </c>
      <c r="N148" s="45">
        <f t="shared" si="61"/>
        <v>1970642.5234601393</v>
      </c>
      <c r="O148" s="45">
        <f t="shared" si="61"/>
        <v>2103296.4998846035</v>
      </c>
      <c r="P148" s="45">
        <f t="shared" si="61"/>
        <v>2237371.7088955599</v>
      </c>
      <c r="Q148" s="45">
        <f t="shared" si="61"/>
        <v>2340116.2647783374</v>
      </c>
      <c r="R148" s="45">
        <f t="shared" si="61"/>
        <v>2381145.1738024619</v>
      </c>
      <c r="S148" s="45">
        <f t="shared" si="61"/>
        <v>2467924.4958719457</v>
      </c>
      <c r="T148" s="45">
        <f t="shared" si="61"/>
        <v>2515168.2271108432</v>
      </c>
      <c r="U148" s="45">
        <f t="shared" si="61"/>
        <v>2476665.4214453162</v>
      </c>
      <c r="V148" s="45">
        <f t="shared" si="61"/>
        <v>2514149.536374751</v>
      </c>
      <c r="W148" s="45">
        <f t="shared" si="61"/>
        <v>2595183.1528695384</v>
      </c>
      <c r="X148" s="45">
        <f t="shared" si="61"/>
        <v>2652045.4790913318</v>
      </c>
      <c r="Y148" s="45">
        <f t="shared" si="61"/>
        <v>2686878.5188437789</v>
      </c>
      <c r="Z148" s="45">
        <f t="shared" si="61"/>
        <v>2672816.197108625</v>
      </c>
      <c r="AA148" s="45">
        <f t="shared" si="61"/>
        <v>2601631.7219164399</v>
      </c>
      <c r="AB148" s="45">
        <f t="shared" si="61"/>
        <v>2525645.3479621005</v>
      </c>
      <c r="AC148" s="45">
        <f t="shared" si="61"/>
        <v>2415844.1601492395</v>
      </c>
      <c r="AD148" s="45">
        <f t="shared" si="61"/>
        <v>2262351.5843498204</v>
      </c>
      <c r="AE148" s="45">
        <f t="shared" si="61"/>
        <v>2129536.9567576386</v>
      </c>
      <c r="AF148" s="45">
        <f t="shared" si="61"/>
        <v>2054981.9755837733</v>
      </c>
      <c r="AG148" s="46">
        <f>SUM(I148:AF148)</f>
        <v>55385122.88301903</v>
      </c>
    </row>
    <row r="149" spans="2:33" ht="14.4" x14ac:dyDescent="0.25">
      <c r="B149">
        <f t="shared" si="52"/>
        <v>5</v>
      </c>
      <c r="C149">
        <f t="shared" si="53"/>
        <v>2029</v>
      </c>
      <c r="D149" t="str">
        <f t="shared" ref="D149:D152" si="62">+_xlfn.CONCAT(B149:C149,G149)</f>
        <v>52029OR</v>
      </c>
      <c r="E149" s="67">
        <v>47239</v>
      </c>
      <c r="F149" s="72">
        <f>+AG153</f>
        <v>56517330.432037227</v>
      </c>
      <c r="G149" s="37" t="s">
        <v>57</v>
      </c>
      <c r="H149" s="37">
        <v>21</v>
      </c>
      <c r="I149" s="65">
        <v>67510.823871299639</v>
      </c>
      <c r="J149" s="65">
        <v>66151.088879611649</v>
      </c>
      <c r="K149" s="65">
        <v>65353.256325169219</v>
      </c>
      <c r="L149" s="65">
        <v>64996.532364182087</v>
      </c>
      <c r="M149" s="65">
        <v>65249.356025256231</v>
      </c>
      <c r="N149" s="65">
        <v>66905.65896522651</v>
      </c>
      <c r="O149" s="65">
        <v>72472.410676989501</v>
      </c>
      <c r="P149" s="65">
        <v>78403.222366208138</v>
      </c>
      <c r="Q149" s="65">
        <v>82777.515362094317</v>
      </c>
      <c r="R149" s="65">
        <v>84391.289134242557</v>
      </c>
      <c r="S149" s="65">
        <v>87521.912940721668</v>
      </c>
      <c r="T149" s="65">
        <v>89113.529585189419</v>
      </c>
      <c r="U149" s="65">
        <v>87344.511401013995</v>
      </c>
      <c r="V149" s="65">
        <v>89026.685587528234</v>
      </c>
      <c r="W149" s="65">
        <v>92556.387527939398</v>
      </c>
      <c r="X149" s="65">
        <v>94602.456090475185</v>
      </c>
      <c r="Y149" s="65">
        <v>95353.844840451158</v>
      </c>
      <c r="Z149" s="65">
        <v>93730.030574532284</v>
      </c>
      <c r="AA149" s="65">
        <v>90312.602724884637</v>
      </c>
      <c r="AB149" s="65">
        <v>87262.628323501835</v>
      </c>
      <c r="AC149" s="65">
        <v>83249.137222903548</v>
      </c>
      <c r="AD149" s="65">
        <v>77624.245343124028</v>
      </c>
      <c r="AE149" s="65">
        <v>72733.492501286761</v>
      </c>
      <c r="AF149" s="65">
        <v>70073.798109273353</v>
      </c>
      <c r="AG149" s="38">
        <f>+SUM(I149:AF149)*H149</f>
        <v>40419044.751605213</v>
      </c>
    </row>
    <row r="150" spans="2:33" ht="14.4" x14ac:dyDescent="0.25">
      <c r="B150">
        <f t="shared" si="52"/>
        <v>5</v>
      </c>
      <c r="C150">
        <f t="shared" si="53"/>
        <v>2029</v>
      </c>
      <c r="D150" t="str">
        <f t="shared" si="62"/>
        <v>52029SA</v>
      </c>
      <c r="E150" s="68">
        <v>47239</v>
      </c>
      <c r="F150" s="73"/>
      <c r="G150" s="39" t="s">
        <v>60</v>
      </c>
      <c r="H150" s="39">
        <v>4</v>
      </c>
      <c r="I150" s="65">
        <v>67968.570539742053</v>
      </c>
      <c r="J150" s="65">
        <v>66537.833240553038</v>
      </c>
      <c r="K150" s="65">
        <v>65582.935944426659</v>
      </c>
      <c r="L150" s="65">
        <v>65093.84287212175</v>
      </c>
      <c r="M150" s="65">
        <v>65172.006213939094</v>
      </c>
      <c r="N150" s="65">
        <v>65936.416626764083</v>
      </c>
      <c r="O150" s="65">
        <v>69960.431122506794</v>
      </c>
      <c r="P150" s="65">
        <v>73197.445337600861</v>
      </c>
      <c r="Q150" s="65">
        <v>75830.859088502912</v>
      </c>
      <c r="R150" s="65">
        <v>77299.116844593955</v>
      </c>
      <c r="S150" s="65">
        <v>80143.191409869643</v>
      </c>
      <c r="T150" s="65">
        <v>80978.832957423219</v>
      </c>
      <c r="U150" s="65">
        <v>79242.651263868494</v>
      </c>
      <c r="V150" s="65">
        <v>78632.140775023901</v>
      </c>
      <c r="W150" s="65">
        <v>78861.599685648893</v>
      </c>
      <c r="X150" s="65">
        <v>80272.242513171426</v>
      </c>
      <c r="Y150" s="65">
        <v>81867.123370522299</v>
      </c>
      <c r="Z150" s="65">
        <v>83420.115372345696</v>
      </c>
      <c r="AA150" s="65">
        <v>82848.600312366703</v>
      </c>
      <c r="AB150" s="65">
        <v>81076.82772417806</v>
      </c>
      <c r="AC150" s="65">
        <v>77966.454441269248</v>
      </c>
      <c r="AD150" s="65">
        <v>72811.310733550941</v>
      </c>
      <c r="AE150" s="65">
        <v>68483.38255608255</v>
      </c>
      <c r="AF150" s="65">
        <v>66083.516255115959</v>
      </c>
      <c r="AG150" s="40">
        <f>+SUM(I150:AF150)*H150</f>
        <v>7141069.7888047528</v>
      </c>
    </row>
    <row r="151" spans="2:33" ht="14.4" x14ac:dyDescent="0.25">
      <c r="B151">
        <f t="shared" si="52"/>
        <v>5</v>
      </c>
      <c r="C151">
        <f t="shared" si="53"/>
        <v>2029</v>
      </c>
      <c r="D151" t="str">
        <f t="shared" si="62"/>
        <v>52029DO</v>
      </c>
      <c r="E151" s="68">
        <v>47239</v>
      </c>
      <c r="F151" s="73"/>
      <c r="G151" s="41" t="s">
        <v>58</v>
      </c>
      <c r="H151" s="41">
        <v>4</v>
      </c>
      <c r="I151" s="65">
        <v>60816.908046702774</v>
      </c>
      <c r="J151" s="65">
        <v>59556.494197989407</v>
      </c>
      <c r="K151" s="65">
        <v>58669.06401381125</v>
      </c>
      <c r="L151" s="65">
        <v>58125.250498892783</v>
      </c>
      <c r="M151" s="65">
        <v>57857.848506416478</v>
      </c>
      <c r="N151" s="65">
        <v>57436.021864417249</v>
      </c>
      <c r="O151" s="65">
        <v>57253.981200652881</v>
      </c>
      <c r="P151" s="65">
        <v>56515.876086270335</v>
      </c>
      <c r="Q151" s="65">
        <v>56579.187814174671</v>
      </c>
      <c r="R151" s="65">
        <v>56828.931473158889</v>
      </c>
      <c r="S151" s="65">
        <v>58761.953910388875</v>
      </c>
      <c r="T151" s="65">
        <v>60884.12468720031</v>
      </c>
      <c r="U151" s="65">
        <v>62032.215646003926</v>
      </c>
      <c r="V151" s="65">
        <v>62984.236835365853</v>
      </c>
      <c r="W151" s="65">
        <v>64160.723132903993</v>
      </c>
      <c r="X151" s="65">
        <v>65799.370428100723</v>
      </c>
      <c r="Y151" s="65">
        <v>68329.814783249181</v>
      </c>
      <c r="Z151" s="65">
        <v>71128.493982686196</v>
      </c>
      <c r="AA151" s="65">
        <v>71776.528955151021</v>
      </c>
      <c r="AB151" s="65">
        <v>70799.457880490489</v>
      </c>
      <c r="AC151" s="65">
        <v>68169.314433625099</v>
      </c>
      <c r="AD151" s="65">
        <v>65232.480776009324</v>
      </c>
      <c r="AE151" s="65">
        <v>62665.940542341312</v>
      </c>
      <c r="AF151" s="65">
        <v>60835.978701713713</v>
      </c>
      <c r="AG151" s="40">
        <f>+SUM(I151:AF151)*H151</f>
        <v>5972800.7935908679</v>
      </c>
    </row>
    <row r="152" spans="2:33" ht="14.4" x14ac:dyDescent="0.25">
      <c r="B152">
        <f t="shared" si="52"/>
        <v>5</v>
      </c>
      <c r="C152">
        <f t="shared" si="53"/>
        <v>2029</v>
      </c>
      <c r="D152" t="str">
        <f t="shared" si="62"/>
        <v>52029FE</v>
      </c>
      <c r="E152" s="68">
        <v>47239</v>
      </c>
      <c r="F152" s="73"/>
      <c r="G152" s="42" t="s">
        <v>59</v>
      </c>
      <c r="H152" s="42">
        <v>2</v>
      </c>
      <c r="I152" s="65">
        <v>59765.616897379987</v>
      </c>
      <c r="J152" s="65">
        <v>58617.490583098232</v>
      </c>
      <c r="K152" s="65">
        <v>57817.795395780289</v>
      </c>
      <c r="L152" s="65">
        <v>57318.163176311617</v>
      </c>
      <c r="M152" s="65">
        <v>57203.647635939102</v>
      </c>
      <c r="N152" s="65">
        <v>57133.931225657245</v>
      </c>
      <c r="O152" s="65">
        <v>57518.22637518523</v>
      </c>
      <c r="P152" s="65">
        <v>57050.753509704686</v>
      </c>
      <c r="Q152" s="65">
        <v>57148.254563646296</v>
      </c>
      <c r="R152" s="65">
        <v>57415.908712356926</v>
      </c>
      <c r="S152" s="65">
        <v>59343.742835756449</v>
      </c>
      <c r="T152" s="65">
        <v>61332.275243371238</v>
      </c>
      <c r="U152" s="65">
        <v>62331.214384532694</v>
      </c>
      <c r="V152" s="65">
        <v>63123.628595098817</v>
      </c>
      <c r="W152" s="65">
        <v>64409.723508599222</v>
      </c>
      <c r="X152" s="65">
        <v>66107.449426264429</v>
      </c>
      <c r="Y152" s="65">
        <v>68660.024579218603</v>
      </c>
      <c r="Z152" s="65">
        <v>71291.117623319253</v>
      </c>
      <c r="AA152" s="65">
        <v>71566.547623791732</v>
      </c>
      <c r="AB152" s="65">
        <v>70625.01074988766</v>
      </c>
      <c r="AC152" s="65">
        <v>68069.202968687969</v>
      </c>
      <c r="AD152" s="65">
        <v>65067.266105975155</v>
      </c>
      <c r="AE152" s="65">
        <v>62536.321836920943</v>
      </c>
      <c r="AF152" s="65">
        <v>60754.235461714263</v>
      </c>
      <c r="AG152" s="43">
        <f>+SUM(I152:AF152)*H152</f>
        <v>2984415.0980363959</v>
      </c>
    </row>
    <row r="153" spans="2:33" ht="15" thickBot="1" x14ac:dyDescent="0.3">
      <c r="B153">
        <f t="shared" si="52"/>
        <v>5</v>
      </c>
      <c r="C153">
        <f t="shared" si="53"/>
        <v>2029</v>
      </c>
      <c r="D153" t="str">
        <f>+_xlfn.CONCAT(E153,G153)</f>
        <v>47239TOTAL</v>
      </c>
      <c r="E153" s="68">
        <v>47239</v>
      </c>
      <c r="F153" s="61"/>
      <c r="G153" s="44" t="s">
        <v>10</v>
      </c>
      <c r="H153" s="44">
        <f>+SUM(H149:H152)</f>
        <v>31</v>
      </c>
      <c r="I153" s="45">
        <f t="shared" ref="I153:AF153" si="63">+SUMPRODUCT(I149:I152,$H149:$H152)</f>
        <v>2052400.4494378318</v>
      </c>
      <c r="J153" s="45">
        <f t="shared" si="63"/>
        <v>2010785.157392211</v>
      </c>
      <c r="K153" s="45">
        <f t="shared" si="63"/>
        <v>1985061.9734530658</v>
      </c>
      <c r="L153" s="45">
        <f t="shared" si="63"/>
        <v>1972439.8794845052</v>
      </c>
      <c r="M153" s="45">
        <f t="shared" si="63"/>
        <v>1976763.1906836813</v>
      </c>
      <c r="N153" s="45">
        <f t="shared" si="63"/>
        <v>2012776.4546857965</v>
      </c>
      <c r="O153" s="45">
        <f t="shared" si="63"/>
        <v>2145814.726259789</v>
      </c>
      <c r="P153" s="45">
        <f t="shared" si="63"/>
        <v>2279422.4624052648</v>
      </c>
      <c r="Q153" s="45">
        <f t="shared" si="63"/>
        <v>2382264.5193419838</v>
      </c>
      <c r="R153" s="45">
        <f t="shared" si="63"/>
        <v>2423561.0825148188</v>
      </c>
      <c r="S153" s="45">
        <f t="shared" si="63"/>
        <v>2512268.2387077021</v>
      </c>
      <c r="T153" s="45">
        <f t="shared" si="63"/>
        <v>2561500.5023542144</v>
      </c>
      <c r="U153" s="45">
        <f t="shared" si="63"/>
        <v>2523996.6358298492</v>
      </c>
      <c r="V153" s="45">
        <f t="shared" si="63"/>
        <v>2562273.1649698499</v>
      </c>
      <c r="W153" s="45">
        <f t="shared" si="63"/>
        <v>2644592.8763781376</v>
      </c>
      <c r="X153" s="45">
        <f t="shared" si="63"/>
        <v>2703152.9285175963</v>
      </c>
      <c r="Y153" s="45">
        <f t="shared" si="63"/>
        <v>2740538.5434229975</v>
      </c>
      <c r="Z153" s="45">
        <f t="shared" si="63"/>
        <v>2729107.3147319439</v>
      </c>
      <c r="AA153" s="45">
        <f t="shared" si="63"/>
        <v>2658198.2695402317</v>
      </c>
      <c r="AB153" s="45">
        <f t="shared" si="63"/>
        <v>2581270.3587119877</v>
      </c>
      <c r="AC153" s="45">
        <f t="shared" si="63"/>
        <v>2468913.3631179277</v>
      </c>
      <c r="AD153" s="45">
        <f t="shared" si="63"/>
        <v>2312418.8504557959</v>
      </c>
      <c r="AE153" s="45">
        <f t="shared" si="63"/>
        <v>2177073.2785945595</v>
      </c>
      <c r="AF153" s="45">
        <f t="shared" si="63"/>
        <v>2100736.2110454878</v>
      </c>
      <c r="AG153" s="46">
        <f>SUM(I153:AF153)</f>
        <v>56517330.432037227</v>
      </c>
    </row>
    <row r="154" spans="2:33" ht="14.4" x14ac:dyDescent="0.25">
      <c r="B154">
        <f t="shared" si="52"/>
        <v>6</v>
      </c>
      <c r="C154">
        <f t="shared" si="53"/>
        <v>2029</v>
      </c>
      <c r="D154" t="str">
        <f t="shared" ref="D154:D157" si="64">+_xlfn.CONCAT(B154:C154,G154)</f>
        <v>62029OR</v>
      </c>
      <c r="E154" s="67">
        <v>47270</v>
      </c>
      <c r="F154" s="72">
        <f>+AG158</f>
        <v>55821673.91347713</v>
      </c>
      <c r="G154" s="37" t="s">
        <v>57</v>
      </c>
      <c r="H154" s="37">
        <v>20</v>
      </c>
      <c r="I154" s="65">
        <v>68810.823871299639</v>
      </c>
      <c r="J154" s="65">
        <v>67451.088879611663</v>
      </c>
      <c r="K154" s="65">
        <v>66653.256325169219</v>
      </c>
      <c r="L154" s="65">
        <v>66296.532364182087</v>
      </c>
      <c r="M154" s="65">
        <v>66549.356025256231</v>
      </c>
      <c r="N154" s="65">
        <v>68205.65896522651</v>
      </c>
      <c r="O154" s="65">
        <v>73772.410676989501</v>
      </c>
      <c r="P154" s="65">
        <v>79703.222366208138</v>
      </c>
      <c r="Q154" s="65">
        <v>84077.515362094317</v>
      </c>
      <c r="R154" s="65">
        <v>85691.289134242557</v>
      </c>
      <c r="S154" s="65">
        <v>88821.912940721668</v>
      </c>
      <c r="T154" s="65">
        <v>90413.529585189419</v>
      </c>
      <c r="U154" s="65">
        <v>88644.511401013995</v>
      </c>
      <c r="V154" s="65">
        <v>90326.685587528234</v>
      </c>
      <c r="W154" s="65">
        <v>93856.387527939398</v>
      </c>
      <c r="X154" s="65">
        <v>95902.456090475185</v>
      </c>
      <c r="Y154" s="65">
        <v>96653.844840451158</v>
      </c>
      <c r="Z154" s="65">
        <v>95030.030574532284</v>
      </c>
      <c r="AA154" s="65">
        <v>91612.602724884637</v>
      </c>
      <c r="AB154" s="65">
        <v>88562.628323501849</v>
      </c>
      <c r="AC154" s="65">
        <v>84549.137222903548</v>
      </c>
      <c r="AD154" s="65">
        <v>78924.245343124028</v>
      </c>
      <c r="AE154" s="65">
        <v>74033.492501286761</v>
      </c>
      <c r="AF154" s="65">
        <v>71373.798109273339</v>
      </c>
      <c r="AG154" s="38">
        <f>+SUM(I154:AF154)*H154</f>
        <v>39118328.334862106</v>
      </c>
    </row>
    <row r="155" spans="2:33" ht="14.4" x14ac:dyDescent="0.25">
      <c r="B155">
        <f t="shared" si="52"/>
        <v>6</v>
      </c>
      <c r="C155">
        <f t="shared" si="53"/>
        <v>2029</v>
      </c>
      <c r="D155" t="str">
        <f t="shared" si="64"/>
        <v>62029SA</v>
      </c>
      <c r="E155" s="68">
        <v>47270</v>
      </c>
      <c r="F155" s="73"/>
      <c r="G155" s="39" t="s">
        <v>60</v>
      </c>
      <c r="H155" s="39">
        <v>5</v>
      </c>
      <c r="I155" s="65">
        <v>69268.570539742053</v>
      </c>
      <c r="J155" s="65">
        <v>67837.833240553038</v>
      </c>
      <c r="K155" s="65">
        <v>66882.935944426659</v>
      </c>
      <c r="L155" s="65">
        <v>66393.84287212175</v>
      </c>
      <c r="M155" s="65">
        <v>66472.006213939094</v>
      </c>
      <c r="N155" s="65">
        <v>67236.416626764083</v>
      </c>
      <c r="O155" s="65">
        <v>71260.431122506794</v>
      </c>
      <c r="P155" s="65">
        <v>74497.445337600861</v>
      </c>
      <c r="Q155" s="65">
        <v>77130.859088502912</v>
      </c>
      <c r="R155" s="65">
        <v>78599.116844593955</v>
      </c>
      <c r="S155" s="65">
        <v>81443.191409869643</v>
      </c>
      <c r="T155" s="65">
        <v>82278.832957423219</v>
      </c>
      <c r="U155" s="65">
        <v>80542.651263868494</v>
      </c>
      <c r="V155" s="65">
        <v>79932.140775023901</v>
      </c>
      <c r="W155" s="65">
        <v>80161.599685648893</v>
      </c>
      <c r="X155" s="65">
        <v>81572.242513171426</v>
      </c>
      <c r="Y155" s="65">
        <v>83167.123370522299</v>
      </c>
      <c r="Z155" s="65">
        <v>84720.115372345696</v>
      </c>
      <c r="AA155" s="65">
        <v>84148.600312366703</v>
      </c>
      <c r="AB155" s="65">
        <v>82376.82772417806</v>
      </c>
      <c r="AC155" s="65">
        <v>79266.454441269248</v>
      </c>
      <c r="AD155" s="65">
        <v>74111.310733550941</v>
      </c>
      <c r="AE155" s="65">
        <v>69783.38255608255</v>
      </c>
      <c r="AF155" s="65">
        <v>67383.516255115959</v>
      </c>
      <c r="AG155" s="40">
        <f>+SUM(I155:AF155)*H155</f>
        <v>9082337.2360059414</v>
      </c>
    </row>
    <row r="156" spans="2:33" ht="14.4" x14ac:dyDescent="0.25">
      <c r="B156">
        <f t="shared" si="52"/>
        <v>6</v>
      </c>
      <c r="C156">
        <f t="shared" si="53"/>
        <v>2029</v>
      </c>
      <c r="D156" t="str">
        <f t="shared" si="64"/>
        <v>62029DO</v>
      </c>
      <c r="E156" s="68">
        <v>47270</v>
      </c>
      <c r="F156" s="73"/>
      <c r="G156" s="41" t="s">
        <v>58</v>
      </c>
      <c r="H156" s="41">
        <v>4</v>
      </c>
      <c r="I156" s="65">
        <v>62116.908046702774</v>
      </c>
      <c r="J156" s="65">
        <v>60856.494197989407</v>
      </c>
      <c r="K156" s="65">
        <v>59969.06401381125</v>
      </c>
      <c r="L156" s="65">
        <v>59425.250498892783</v>
      </c>
      <c r="M156" s="65">
        <v>59157.848506416478</v>
      </c>
      <c r="N156" s="65">
        <v>58736.021864417249</v>
      </c>
      <c r="O156" s="65">
        <v>58553.981200652881</v>
      </c>
      <c r="P156" s="65">
        <v>57815.876086270335</v>
      </c>
      <c r="Q156" s="65">
        <v>57879.187814174671</v>
      </c>
      <c r="R156" s="65">
        <v>58128.931473158889</v>
      </c>
      <c r="S156" s="65">
        <v>60061.953910388875</v>
      </c>
      <c r="T156" s="65">
        <v>62184.12468720031</v>
      </c>
      <c r="U156" s="65">
        <v>63332.215646003926</v>
      </c>
      <c r="V156" s="65">
        <v>64284.236835365853</v>
      </c>
      <c r="W156" s="65">
        <v>65460.723132903993</v>
      </c>
      <c r="X156" s="65">
        <v>67099.370428100723</v>
      </c>
      <c r="Y156" s="65">
        <v>69629.814783249181</v>
      </c>
      <c r="Z156" s="65">
        <v>72428.493982686196</v>
      </c>
      <c r="AA156" s="65">
        <v>73076.528955151021</v>
      </c>
      <c r="AB156" s="65">
        <v>72099.457880490489</v>
      </c>
      <c r="AC156" s="65">
        <v>69469.314433625099</v>
      </c>
      <c r="AD156" s="65">
        <v>66532.480776009324</v>
      </c>
      <c r="AE156" s="65">
        <v>63965.940542341312</v>
      </c>
      <c r="AF156" s="65">
        <v>62135.978701713713</v>
      </c>
      <c r="AG156" s="40">
        <f>+SUM(I156:AF156)*H156</f>
        <v>6097600.7935908679</v>
      </c>
    </row>
    <row r="157" spans="2:33" ht="14.4" x14ac:dyDescent="0.25">
      <c r="B157">
        <f t="shared" si="52"/>
        <v>6</v>
      </c>
      <c r="C157">
        <f t="shared" si="53"/>
        <v>2029</v>
      </c>
      <c r="D157" t="str">
        <f t="shared" si="64"/>
        <v>62029FE</v>
      </c>
      <c r="E157" s="68">
        <v>47270</v>
      </c>
      <c r="F157" s="73"/>
      <c r="G157" s="42" t="s">
        <v>59</v>
      </c>
      <c r="H157" s="42">
        <v>1</v>
      </c>
      <c r="I157" s="65">
        <v>61065.616897379987</v>
      </c>
      <c r="J157" s="65">
        <v>59917.490583098232</v>
      </c>
      <c r="K157" s="65">
        <v>59117.795395780289</v>
      </c>
      <c r="L157" s="65">
        <v>58618.163176311617</v>
      </c>
      <c r="M157" s="65">
        <v>58503.647635939102</v>
      </c>
      <c r="N157" s="65">
        <v>58433.931225657245</v>
      </c>
      <c r="O157" s="65">
        <v>58818.22637518523</v>
      </c>
      <c r="P157" s="65">
        <v>58350.753509704686</v>
      </c>
      <c r="Q157" s="65">
        <v>58448.254563646296</v>
      </c>
      <c r="R157" s="65">
        <v>58715.908712356926</v>
      </c>
      <c r="S157" s="65">
        <v>60643.742835756449</v>
      </c>
      <c r="T157" s="65">
        <v>62632.275243371238</v>
      </c>
      <c r="U157" s="65">
        <v>63631.214384532694</v>
      </c>
      <c r="V157" s="65">
        <v>64423.628595098817</v>
      </c>
      <c r="W157" s="65">
        <v>65709.723508599214</v>
      </c>
      <c r="X157" s="65">
        <v>67407.449426264429</v>
      </c>
      <c r="Y157" s="65">
        <v>69960.024579218603</v>
      </c>
      <c r="Z157" s="65">
        <v>72591.117623319253</v>
      </c>
      <c r="AA157" s="65">
        <v>72866.547623791732</v>
      </c>
      <c r="AB157" s="65">
        <v>71925.01074988766</v>
      </c>
      <c r="AC157" s="65">
        <v>69369.202968687969</v>
      </c>
      <c r="AD157" s="65">
        <v>66367.266105975155</v>
      </c>
      <c r="AE157" s="65">
        <v>63836.321836920943</v>
      </c>
      <c r="AF157" s="65">
        <v>62054.235461714263</v>
      </c>
      <c r="AG157" s="43">
        <f>+SUM(I157:AF157)*H157</f>
        <v>1523407.5490181979</v>
      </c>
    </row>
    <row r="158" spans="2:33" ht="15" thickBot="1" x14ac:dyDescent="0.3">
      <c r="B158">
        <f t="shared" si="52"/>
        <v>6</v>
      </c>
      <c r="C158">
        <f t="shared" si="53"/>
        <v>2029</v>
      </c>
      <c r="D158" t="str">
        <f>+_xlfn.CONCAT(E158,G158)</f>
        <v>47270TOTAL</v>
      </c>
      <c r="E158" s="68">
        <v>47270</v>
      </c>
      <c r="F158" s="61"/>
      <c r="G158" s="44" t="s">
        <v>10</v>
      </c>
      <c r="H158" s="44">
        <f>+SUM(H154:H157)</f>
        <v>30</v>
      </c>
      <c r="I158" s="45">
        <f t="shared" ref="I158:AF158" si="65">+SUMPRODUCT(I154:I157,$H154:$H157)</f>
        <v>2032092.5792088942</v>
      </c>
      <c r="J158" s="45">
        <f t="shared" si="65"/>
        <v>1991554.4111700545</v>
      </c>
      <c r="K158" s="45">
        <f t="shared" si="65"/>
        <v>1966473.8576765431</v>
      </c>
      <c r="L158" s="45">
        <f t="shared" si="65"/>
        <v>1954219.0268161332</v>
      </c>
      <c r="M158" s="45">
        <f t="shared" si="65"/>
        <v>1958482.1932364251</v>
      </c>
      <c r="N158" s="45">
        <f t="shared" si="65"/>
        <v>1993673.2811216768</v>
      </c>
      <c r="O158" s="45">
        <f t="shared" si="65"/>
        <v>2124784.5203301208</v>
      </c>
      <c r="P158" s="45">
        <f t="shared" si="65"/>
        <v>2256165.9318669531</v>
      </c>
      <c r="Q158" s="45">
        <f t="shared" si="65"/>
        <v>2357169.6085047461</v>
      </c>
      <c r="R158" s="45">
        <f t="shared" si="65"/>
        <v>2398053.0015128134</v>
      </c>
      <c r="S158" s="45">
        <f t="shared" si="65"/>
        <v>2484545.7743410934</v>
      </c>
      <c r="T158" s="45">
        <f t="shared" si="65"/>
        <v>2531033.5304830768</v>
      </c>
      <c r="U158" s="45">
        <f t="shared" si="65"/>
        <v>2492563.5613081707</v>
      </c>
      <c r="V158" s="45">
        <f t="shared" si="65"/>
        <v>2527754.9915622463</v>
      </c>
      <c r="W158" s="45">
        <f t="shared" si="65"/>
        <v>2605488.3650272479</v>
      </c>
      <c r="X158" s="45">
        <f t="shared" si="65"/>
        <v>2661715.2655140283</v>
      </c>
      <c r="Y158" s="45">
        <f t="shared" si="65"/>
        <v>2697391.7973738499</v>
      </c>
      <c r="Z158" s="45">
        <f t="shared" si="65"/>
        <v>2686506.2819064385</v>
      </c>
      <c r="AA158" s="45">
        <f t="shared" si="65"/>
        <v>2618167.7195039219</v>
      </c>
      <c r="AB158" s="45">
        <f t="shared" si="65"/>
        <v>2543459.5473627769</v>
      </c>
      <c r="AC158" s="45">
        <f t="shared" si="65"/>
        <v>2434561.4773676055</v>
      </c>
      <c r="AD158" s="45">
        <f t="shared" si="65"/>
        <v>2281538.6497402475</v>
      </c>
      <c r="AE158" s="45">
        <f t="shared" si="65"/>
        <v>2149286.8468124345</v>
      </c>
      <c r="AF158" s="45">
        <f t="shared" si="65"/>
        <v>2074991.6937296155</v>
      </c>
      <c r="AG158" s="46">
        <f>SUM(I158:AF158)</f>
        <v>55821673.91347713</v>
      </c>
    </row>
    <row r="159" spans="2:33" ht="14.4" x14ac:dyDescent="0.25">
      <c r="B159">
        <f t="shared" si="52"/>
        <v>7</v>
      </c>
      <c r="C159">
        <f t="shared" si="53"/>
        <v>2029</v>
      </c>
      <c r="D159" t="str">
        <f t="shared" ref="D159:D162" si="66">+_xlfn.CONCAT(B159:C159,G159)</f>
        <v>72029OR</v>
      </c>
      <c r="E159" s="67">
        <v>47300</v>
      </c>
      <c r="F159" s="72">
        <f>+AG163</f>
        <v>57127414.213691846</v>
      </c>
      <c r="G159" s="37" t="s">
        <v>57</v>
      </c>
      <c r="H159" s="37">
        <v>20</v>
      </c>
      <c r="I159" s="65">
        <v>68910.823871299639</v>
      </c>
      <c r="J159" s="65">
        <v>67551.088879611663</v>
      </c>
      <c r="K159" s="65">
        <v>66753.256325169219</v>
      </c>
      <c r="L159" s="65">
        <v>66396.532364182087</v>
      </c>
      <c r="M159" s="65">
        <v>66649.356025256231</v>
      </c>
      <c r="N159" s="65">
        <v>68305.65896522651</v>
      </c>
      <c r="O159" s="65">
        <v>73872.410676989501</v>
      </c>
      <c r="P159" s="65">
        <v>79803.222366208138</v>
      </c>
      <c r="Q159" s="65">
        <v>84177.515362094317</v>
      </c>
      <c r="R159" s="65">
        <v>85791.289134242557</v>
      </c>
      <c r="S159" s="65">
        <v>88921.912940721668</v>
      </c>
      <c r="T159" s="65">
        <v>90513.529585189419</v>
      </c>
      <c r="U159" s="65">
        <v>88744.511401013995</v>
      </c>
      <c r="V159" s="65">
        <v>90426.685587528234</v>
      </c>
      <c r="W159" s="65">
        <v>93956.387527939398</v>
      </c>
      <c r="X159" s="65">
        <v>96002.456090475185</v>
      </c>
      <c r="Y159" s="65">
        <v>96753.844840451158</v>
      </c>
      <c r="Z159" s="65">
        <v>95130.030574532284</v>
      </c>
      <c r="AA159" s="65">
        <v>91712.602724884637</v>
      </c>
      <c r="AB159" s="65">
        <v>88662.628323501849</v>
      </c>
      <c r="AC159" s="65">
        <v>84649.137222903548</v>
      </c>
      <c r="AD159" s="65">
        <v>79024.245343124028</v>
      </c>
      <c r="AE159" s="65">
        <v>74133.492501286761</v>
      </c>
      <c r="AF159" s="65">
        <v>71473.798109273339</v>
      </c>
      <c r="AG159" s="38">
        <f>+SUM(I159:AF159)*H159</f>
        <v>39166328.334862106</v>
      </c>
    </row>
    <row r="160" spans="2:33" ht="14.4" x14ac:dyDescent="0.25">
      <c r="B160">
        <f t="shared" si="52"/>
        <v>7</v>
      </c>
      <c r="C160">
        <f t="shared" si="53"/>
        <v>2029</v>
      </c>
      <c r="D160" t="str">
        <f t="shared" si="66"/>
        <v>72029SA</v>
      </c>
      <c r="E160" s="68">
        <v>47300</v>
      </c>
      <c r="F160" s="73"/>
      <c r="G160" s="39" t="s">
        <v>60</v>
      </c>
      <c r="H160" s="39">
        <v>4</v>
      </c>
      <c r="I160" s="65">
        <v>69368.570539742053</v>
      </c>
      <c r="J160" s="65">
        <v>67937.833240553038</v>
      </c>
      <c r="K160" s="65">
        <v>66982.935944426659</v>
      </c>
      <c r="L160" s="65">
        <v>66493.84287212175</v>
      </c>
      <c r="M160" s="65">
        <v>66572.006213939094</v>
      </c>
      <c r="N160" s="65">
        <v>67336.416626764083</v>
      </c>
      <c r="O160" s="65">
        <v>71360.431122506794</v>
      </c>
      <c r="P160" s="65">
        <v>74597.445337600861</v>
      </c>
      <c r="Q160" s="65">
        <v>77230.859088502912</v>
      </c>
      <c r="R160" s="65">
        <v>78699.116844593955</v>
      </c>
      <c r="S160" s="65">
        <v>81543.191409869643</v>
      </c>
      <c r="T160" s="65">
        <v>82378.832957423219</v>
      </c>
      <c r="U160" s="65">
        <v>80642.651263868509</v>
      </c>
      <c r="V160" s="65">
        <v>80032.140775023901</v>
      </c>
      <c r="W160" s="65">
        <v>80261.599685648893</v>
      </c>
      <c r="X160" s="65">
        <v>81672.242513171426</v>
      </c>
      <c r="Y160" s="65">
        <v>83267.123370522299</v>
      </c>
      <c r="Z160" s="65">
        <v>84820.115372345696</v>
      </c>
      <c r="AA160" s="65">
        <v>84248.600312366703</v>
      </c>
      <c r="AB160" s="65">
        <v>82476.827724178074</v>
      </c>
      <c r="AC160" s="65">
        <v>79366.454441269248</v>
      </c>
      <c r="AD160" s="65">
        <v>74211.310733550941</v>
      </c>
      <c r="AE160" s="65">
        <v>69883.38255608255</v>
      </c>
      <c r="AF160" s="65">
        <v>67483.516255115959</v>
      </c>
      <c r="AG160" s="40">
        <f>+SUM(I160:AF160)*H160</f>
        <v>7275469.7888047528</v>
      </c>
    </row>
    <row r="161" spans="2:33" ht="14.4" x14ac:dyDescent="0.25">
      <c r="B161">
        <f t="shared" si="52"/>
        <v>7</v>
      </c>
      <c r="C161">
        <f t="shared" si="53"/>
        <v>2029</v>
      </c>
      <c r="D161" t="str">
        <f t="shared" si="66"/>
        <v>72029DO</v>
      </c>
      <c r="E161" s="68">
        <v>47300</v>
      </c>
      <c r="F161" s="73"/>
      <c r="G161" s="41" t="s">
        <v>58</v>
      </c>
      <c r="H161" s="41">
        <v>5</v>
      </c>
      <c r="I161" s="65">
        <v>62216.908046702774</v>
      </c>
      <c r="J161" s="65">
        <v>60956.494197989407</v>
      </c>
      <c r="K161" s="65">
        <v>60069.06401381125</v>
      </c>
      <c r="L161" s="65">
        <v>59525.250498892783</v>
      </c>
      <c r="M161" s="65">
        <v>59257.848506416471</v>
      </c>
      <c r="N161" s="65">
        <v>58836.021864417256</v>
      </c>
      <c r="O161" s="65">
        <v>58653.981200652881</v>
      </c>
      <c r="P161" s="65">
        <v>57915.876086270335</v>
      </c>
      <c r="Q161" s="65">
        <v>57979.187814174671</v>
      </c>
      <c r="R161" s="65">
        <v>58228.931473158897</v>
      </c>
      <c r="S161" s="65">
        <v>60161.953910388882</v>
      </c>
      <c r="T161" s="65">
        <v>62284.12468720031</v>
      </c>
      <c r="U161" s="65">
        <v>63432.215646003933</v>
      </c>
      <c r="V161" s="65">
        <v>64384.23683536586</v>
      </c>
      <c r="W161" s="65">
        <v>65560.723132903993</v>
      </c>
      <c r="X161" s="65">
        <v>67199.370428100723</v>
      </c>
      <c r="Y161" s="65">
        <v>69729.814783249181</v>
      </c>
      <c r="Z161" s="65">
        <v>72528.493982686196</v>
      </c>
      <c r="AA161" s="65">
        <v>73176.528955151021</v>
      </c>
      <c r="AB161" s="65">
        <v>72199.457880490489</v>
      </c>
      <c r="AC161" s="65">
        <v>69569.314433625099</v>
      </c>
      <c r="AD161" s="65">
        <v>66632.480776009324</v>
      </c>
      <c r="AE161" s="65">
        <v>64065.940542341312</v>
      </c>
      <c r="AF161" s="65">
        <v>62235.978701713713</v>
      </c>
      <c r="AG161" s="40">
        <f>+SUM(I161:AF161)*H161</f>
        <v>7634000.9919885844</v>
      </c>
    </row>
    <row r="162" spans="2:33" ht="14.4" x14ac:dyDescent="0.25">
      <c r="B162">
        <f t="shared" si="52"/>
        <v>7</v>
      </c>
      <c r="C162">
        <f t="shared" si="53"/>
        <v>2029</v>
      </c>
      <c r="D162" t="str">
        <f t="shared" si="66"/>
        <v>72029FE</v>
      </c>
      <c r="E162" s="68">
        <v>47300</v>
      </c>
      <c r="F162" s="73"/>
      <c r="G162" s="42" t="s">
        <v>59</v>
      </c>
      <c r="H162" s="42">
        <v>2</v>
      </c>
      <c r="I162" s="65">
        <v>61165.616897379987</v>
      </c>
      <c r="J162" s="65">
        <v>60017.490583098232</v>
      </c>
      <c r="K162" s="65">
        <v>59217.795395780289</v>
      </c>
      <c r="L162" s="65">
        <v>58718.163176311617</v>
      </c>
      <c r="M162" s="65">
        <v>58603.647635939102</v>
      </c>
      <c r="N162" s="65">
        <v>58533.931225657245</v>
      </c>
      <c r="O162" s="65">
        <v>58918.22637518523</v>
      </c>
      <c r="P162" s="65">
        <v>58450.753509704686</v>
      </c>
      <c r="Q162" s="65">
        <v>58548.254563646296</v>
      </c>
      <c r="R162" s="65">
        <v>58815.908712356926</v>
      </c>
      <c r="S162" s="65">
        <v>60743.742835756449</v>
      </c>
      <c r="T162" s="65">
        <v>62732.275243371238</v>
      </c>
      <c r="U162" s="65">
        <v>63731.214384532694</v>
      </c>
      <c r="V162" s="65">
        <v>64523.628595098817</v>
      </c>
      <c r="W162" s="65">
        <v>65809.723508599214</v>
      </c>
      <c r="X162" s="65">
        <v>67507.449426264429</v>
      </c>
      <c r="Y162" s="65">
        <v>70060.024579218603</v>
      </c>
      <c r="Z162" s="65">
        <v>72691.117623319253</v>
      </c>
      <c r="AA162" s="65">
        <v>72966.547623791732</v>
      </c>
      <c r="AB162" s="65">
        <v>72025.01074988766</v>
      </c>
      <c r="AC162" s="65">
        <v>69469.202968687969</v>
      </c>
      <c r="AD162" s="65">
        <v>66467.266105975155</v>
      </c>
      <c r="AE162" s="65">
        <v>63936.321836920943</v>
      </c>
      <c r="AF162" s="65">
        <v>62154.235461714263</v>
      </c>
      <c r="AG162" s="43">
        <f>+SUM(I162:AF162)*H162</f>
        <v>3051615.0980363959</v>
      </c>
    </row>
    <row r="163" spans="2:33" ht="15" thickBot="1" x14ac:dyDescent="0.3">
      <c r="B163">
        <f t="shared" si="52"/>
        <v>7</v>
      </c>
      <c r="C163">
        <f t="shared" si="53"/>
        <v>2029</v>
      </c>
      <c r="D163" t="str">
        <f>+_xlfn.CONCAT(E163,G163)</f>
        <v>47300TOTAL</v>
      </c>
      <c r="E163" s="68">
        <v>47300</v>
      </c>
      <c r="F163" s="61"/>
      <c r="G163" s="44" t="s">
        <v>10</v>
      </c>
      <c r="H163" s="44">
        <f>+SUM(H159:H162)</f>
        <v>31</v>
      </c>
      <c r="I163" s="45">
        <f t="shared" ref="I163:AF163" si="67">+SUMPRODUCT(I159:I162,$H159:$H162)</f>
        <v>2089106.5336132348</v>
      </c>
      <c r="J163" s="45">
        <f t="shared" si="67"/>
        <v>2047590.562710589</v>
      </c>
      <c r="K163" s="45">
        <f t="shared" si="67"/>
        <v>2021777.7811417077</v>
      </c>
      <c r="L163" s="45">
        <f t="shared" si="67"/>
        <v>2008968.5976192157</v>
      </c>
      <c r="M163" s="45">
        <f t="shared" si="67"/>
        <v>2012771.6831648415</v>
      </c>
      <c r="N163" s="45">
        <f t="shared" si="67"/>
        <v>2046706.817584987</v>
      </c>
      <c r="O163" s="45">
        <f t="shared" si="67"/>
        <v>2173996.2967834519</v>
      </c>
      <c r="P163" s="45">
        <f t="shared" si="67"/>
        <v>2300935.1161253275</v>
      </c>
      <c r="Q163" s="45">
        <f t="shared" si="67"/>
        <v>2399466.1917940644</v>
      </c>
      <c r="R163" s="45">
        <f t="shared" si="67"/>
        <v>2439398.724853735</v>
      </c>
      <c r="S163" s="45">
        <f t="shared" si="67"/>
        <v>2526908.2796773692</v>
      </c>
      <c r="T163" s="45">
        <f t="shared" si="67"/>
        <v>2576671.0974562252</v>
      </c>
      <c r="U163" s="45">
        <f t="shared" si="67"/>
        <v>2542084.3400748391</v>
      </c>
      <c r="V163" s="45">
        <f t="shared" si="67"/>
        <v>2579630.7162176869</v>
      </c>
      <c r="W163" s="45">
        <f t="shared" si="67"/>
        <v>2659597.2119831019</v>
      </c>
      <c r="X163" s="45">
        <f t="shared" si="67"/>
        <v>2717749.8428552221</v>
      </c>
      <c r="Y163" s="45">
        <f t="shared" si="67"/>
        <v>2756914.5133657954</v>
      </c>
      <c r="Z163" s="45">
        <f t="shared" si="67"/>
        <v>2749905.7781400979</v>
      </c>
      <c r="AA163" s="45">
        <f t="shared" si="67"/>
        <v>2683062.1957704984</v>
      </c>
      <c r="AB163" s="45">
        <f t="shared" si="67"/>
        <v>2608207.1882689768</v>
      </c>
      <c r="AC163" s="45">
        <f t="shared" si="67"/>
        <v>2497233.5403286493</v>
      </c>
      <c r="AD163" s="45">
        <f t="shared" si="67"/>
        <v>2343427.0858886815</v>
      </c>
      <c r="AE163" s="45">
        <f t="shared" si="67"/>
        <v>2210405.7266356139</v>
      </c>
      <c r="AF163" s="45">
        <f t="shared" si="67"/>
        <v>2134898.3916379279</v>
      </c>
      <c r="AG163" s="46">
        <f>SUM(I163:AF163)</f>
        <v>57127414.213691846</v>
      </c>
    </row>
    <row r="164" spans="2:33" ht="14.4" x14ac:dyDescent="0.25">
      <c r="B164">
        <f t="shared" si="52"/>
        <v>8</v>
      </c>
      <c r="C164">
        <f t="shared" si="53"/>
        <v>2029</v>
      </c>
      <c r="D164" t="str">
        <f t="shared" ref="D164:D167" si="68">+_xlfn.CONCAT(B164:C164,G164)</f>
        <v>82029OR</v>
      </c>
      <c r="E164" s="67">
        <v>47331</v>
      </c>
      <c r="F164" s="72">
        <f>+AG168</f>
        <v>57484530.432037227</v>
      </c>
      <c r="G164" s="37" t="s">
        <v>57</v>
      </c>
      <c r="H164" s="37">
        <v>21</v>
      </c>
      <c r="I164" s="65">
        <v>68810.823871299639</v>
      </c>
      <c r="J164" s="65">
        <v>67451.088879611649</v>
      </c>
      <c r="K164" s="65">
        <v>66653.256325169219</v>
      </c>
      <c r="L164" s="65">
        <v>66296.532364182101</v>
      </c>
      <c r="M164" s="65">
        <v>66549.356025256231</v>
      </c>
      <c r="N164" s="65">
        <v>68205.65896522651</v>
      </c>
      <c r="O164" s="65">
        <v>73772.410676989501</v>
      </c>
      <c r="P164" s="65">
        <v>79703.222366208138</v>
      </c>
      <c r="Q164" s="65">
        <v>84077.515362094317</v>
      </c>
      <c r="R164" s="65">
        <v>85691.289134242557</v>
      </c>
      <c r="S164" s="65">
        <v>88821.912940721668</v>
      </c>
      <c r="T164" s="65">
        <v>90413.529585189419</v>
      </c>
      <c r="U164" s="65">
        <v>88644.511401013995</v>
      </c>
      <c r="V164" s="65">
        <v>90326.685587528234</v>
      </c>
      <c r="W164" s="65">
        <v>93856.387527939398</v>
      </c>
      <c r="X164" s="65">
        <v>95902.456090475185</v>
      </c>
      <c r="Y164" s="65">
        <v>96653.844840451158</v>
      </c>
      <c r="Z164" s="65">
        <v>95030.030574532284</v>
      </c>
      <c r="AA164" s="65">
        <v>91612.602724884637</v>
      </c>
      <c r="AB164" s="65">
        <v>88562.628323501849</v>
      </c>
      <c r="AC164" s="65">
        <v>84549.137222903548</v>
      </c>
      <c r="AD164" s="65">
        <v>78924.245343124028</v>
      </c>
      <c r="AE164" s="65">
        <v>74033.492501286761</v>
      </c>
      <c r="AF164" s="65">
        <v>71373.798109273353</v>
      </c>
      <c r="AG164" s="38">
        <f>+SUM(I164:AF164)*H164</f>
        <v>41074244.751605213</v>
      </c>
    </row>
    <row r="165" spans="2:33" ht="14.4" x14ac:dyDescent="0.25">
      <c r="B165">
        <f t="shared" si="52"/>
        <v>8</v>
      </c>
      <c r="C165">
        <f t="shared" si="53"/>
        <v>2029</v>
      </c>
      <c r="D165" t="str">
        <f t="shared" si="68"/>
        <v>82029SA</v>
      </c>
      <c r="E165" s="68">
        <v>47331</v>
      </c>
      <c r="F165" s="73"/>
      <c r="G165" s="39" t="s">
        <v>60</v>
      </c>
      <c r="H165" s="39">
        <v>4</v>
      </c>
      <c r="I165" s="65">
        <v>69268.570539742053</v>
      </c>
      <c r="J165" s="65">
        <v>67837.833240553038</v>
      </c>
      <c r="K165" s="65">
        <v>66882.935944426659</v>
      </c>
      <c r="L165" s="65">
        <v>66393.84287212175</v>
      </c>
      <c r="M165" s="65">
        <v>66472.006213939094</v>
      </c>
      <c r="N165" s="65">
        <v>67236.416626764083</v>
      </c>
      <c r="O165" s="65">
        <v>71260.431122506794</v>
      </c>
      <c r="P165" s="65">
        <v>74497.445337600861</v>
      </c>
      <c r="Q165" s="65">
        <v>77130.859088502912</v>
      </c>
      <c r="R165" s="65">
        <v>78599.116844593955</v>
      </c>
      <c r="S165" s="65">
        <v>81443.191409869643</v>
      </c>
      <c r="T165" s="65">
        <v>82278.832957423219</v>
      </c>
      <c r="U165" s="65">
        <v>80542.651263868494</v>
      </c>
      <c r="V165" s="65">
        <v>79932.140775023901</v>
      </c>
      <c r="W165" s="65">
        <v>80161.599685648893</v>
      </c>
      <c r="X165" s="65">
        <v>81572.242513171426</v>
      </c>
      <c r="Y165" s="65">
        <v>83167.123370522299</v>
      </c>
      <c r="Z165" s="65">
        <v>84720.115372345696</v>
      </c>
      <c r="AA165" s="65">
        <v>84148.600312366703</v>
      </c>
      <c r="AB165" s="65">
        <v>82376.82772417806</v>
      </c>
      <c r="AC165" s="65">
        <v>79266.454441269248</v>
      </c>
      <c r="AD165" s="65">
        <v>74111.310733550941</v>
      </c>
      <c r="AE165" s="65">
        <v>69783.38255608255</v>
      </c>
      <c r="AF165" s="65">
        <v>67383.516255115959</v>
      </c>
      <c r="AG165" s="40">
        <f>+SUM(I165:AF165)*H165</f>
        <v>7265869.7888047528</v>
      </c>
    </row>
    <row r="166" spans="2:33" ht="14.4" x14ac:dyDescent="0.25">
      <c r="B166">
        <f t="shared" si="52"/>
        <v>8</v>
      </c>
      <c r="C166">
        <f t="shared" si="53"/>
        <v>2029</v>
      </c>
      <c r="D166" t="str">
        <f t="shared" si="68"/>
        <v>82029DO</v>
      </c>
      <c r="E166" s="68">
        <v>47331</v>
      </c>
      <c r="F166" s="73"/>
      <c r="G166" s="41" t="s">
        <v>58</v>
      </c>
      <c r="H166" s="41">
        <v>4</v>
      </c>
      <c r="I166" s="65">
        <v>62116.908046702774</v>
      </c>
      <c r="J166" s="65">
        <v>60856.494197989407</v>
      </c>
      <c r="K166" s="65">
        <v>59969.06401381125</v>
      </c>
      <c r="L166" s="65">
        <v>59425.250498892783</v>
      </c>
      <c r="M166" s="65">
        <v>59157.848506416478</v>
      </c>
      <c r="N166" s="65">
        <v>58736.021864417249</v>
      </c>
      <c r="O166" s="65">
        <v>58553.981200652881</v>
      </c>
      <c r="P166" s="65">
        <v>57815.876086270335</v>
      </c>
      <c r="Q166" s="65">
        <v>57879.187814174671</v>
      </c>
      <c r="R166" s="65">
        <v>58128.931473158889</v>
      </c>
      <c r="S166" s="65">
        <v>60061.953910388875</v>
      </c>
      <c r="T166" s="65">
        <v>62184.12468720031</v>
      </c>
      <c r="U166" s="65">
        <v>63332.215646003926</v>
      </c>
      <c r="V166" s="65">
        <v>64284.236835365853</v>
      </c>
      <c r="W166" s="65">
        <v>65460.723132903993</v>
      </c>
      <c r="X166" s="65">
        <v>67099.370428100723</v>
      </c>
      <c r="Y166" s="65">
        <v>69629.814783249181</v>
      </c>
      <c r="Z166" s="65">
        <v>72428.493982686196</v>
      </c>
      <c r="AA166" s="65">
        <v>73076.528955151021</v>
      </c>
      <c r="AB166" s="65">
        <v>72099.457880490489</v>
      </c>
      <c r="AC166" s="65">
        <v>69469.314433625099</v>
      </c>
      <c r="AD166" s="65">
        <v>66532.480776009324</v>
      </c>
      <c r="AE166" s="65">
        <v>63965.940542341312</v>
      </c>
      <c r="AF166" s="65">
        <v>62135.978701713713</v>
      </c>
      <c r="AG166" s="40">
        <f>+SUM(I166:AF166)*H166</f>
        <v>6097600.7935908679</v>
      </c>
    </row>
    <row r="167" spans="2:33" ht="14.4" x14ac:dyDescent="0.25">
      <c r="B167">
        <f t="shared" si="52"/>
        <v>8</v>
      </c>
      <c r="C167">
        <f t="shared" si="53"/>
        <v>2029</v>
      </c>
      <c r="D167" t="str">
        <f t="shared" si="68"/>
        <v>82029FE</v>
      </c>
      <c r="E167" s="68">
        <v>47331</v>
      </c>
      <c r="F167" s="73"/>
      <c r="G167" s="42" t="s">
        <v>59</v>
      </c>
      <c r="H167" s="42">
        <v>2</v>
      </c>
      <c r="I167" s="65">
        <v>61065.616897379987</v>
      </c>
      <c r="J167" s="65">
        <v>59917.490583098232</v>
      </c>
      <c r="K167" s="65">
        <v>59117.795395780289</v>
      </c>
      <c r="L167" s="65">
        <v>58618.163176311617</v>
      </c>
      <c r="M167" s="65">
        <v>58503.647635939102</v>
      </c>
      <c r="N167" s="65">
        <v>58433.931225657245</v>
      </c>
      <c r="O167" s="65">
        <v>58818.22637518523</v>
      </c>
      <c r="P167" s="65">
        <v>58350.753509704686</v>
      </c>
      <c r="Q167" s="65">
        <v>58448.254563646296</v>
      </c>
      <c r="R167" s="65">
        <v>58715.908712356926</v>
      </c>
      <c r="S167" s="65">
        <v>60643.742835756449</v>
      </c>
      <c r="T167" s="65">
        <v>62632.275243371238</v>
      </c>
      <c r="U167" s="65">
        <v>63631.214384532694</v>
      </c>
      <c r="V167" s="65">
        <v>64423.628595098817</v>
      </c>
      <c r="W167" s="65">
        <v>65709.723508599214</v>
      </c>
      <c r="X167" s="65">
        <v>67407.449426264429</v>
      </c>
      <c r="Y167" s="65">
        <v>69960.024579218603</v>
      </c>
      <c r="Z167" s="65">
        <v>72591.117623319253</v>
      </c>
      <c r="AA167" s="65">
        <v>72866.547623791732</v>
      </c>
      <c r="AB167" s="65">
        <v>71925.01074988766</v>
      </c>
      <c r="AC167" s="65">
        <v>69369.202968687969</v>
      </c>
      <c r="AD167" s="65">
        <v>66367.266105975155</v>
      </c>
      <c r="AE167" s="65">
        <v>63836.321836920943</v>
      </c>
      <c r="AF167" s="65">
        <v>62054.235461714263</v>
      </c>
      <c r="AG167" s="43">
        <f>+SUM(I167:AF167)*H167</f>
        <v>3046815.0980363959</v>
      </c>
    </row>
    <row r="168" spans="2:33" ht="15" thickBot="1" x14ac:dyDescent="0.3">
      <c r="B168">
        <f t="shared" si="52"/>
        <v>8</v>
      </c>
      <c r="C168">
        <f t="shared" si="53"/>
        <v>2029</v>
      </c>
      <c r="D168" t="str">
        <f>+_xlfn.CONCAT(E168,G168)</f>
        <v>47331TOTAL</v>
      </c>
      <c r="E168" s="68">
        <v>47331</v>
      </c>
      <c r="F168" s="61"/>
      <c r="G168" s="44" t="s">
        <v>10</v>
      </c>
      <c r="H168" s="44">
        <f>+SUM(H164:H167)</f>
        <v>31</v>
      </c>
      <c r="I168" s="45">
        <f t="shared" ref="I168:AF168" si="69">+SUMPRODUCT(I164:I167,$H164:$H167)</f>
        <v>2092700.4494378318</v>
      </c>
      <c r="J168" s="45">
        <f t="shared" si="69"/>
        <v>2051085.157392211</v>
      </c>
      <c r="K168" s="45">
        <f t="shared" si="69"/>
        <v>2025361.9734530658</v>
      </c>
      <c r="L168" s="45">
        <f t="shared" si="69"/>
        <v>2012739.8794845056</v>
      </c>
      <c r="M168" s="45">
        <f t="shared" si="69"/>
        <v>2017063.1906836813</v>
      </c>
      <c r="N168" s="45">
        <f t="shared" si="69"/>
        <v>2053076.4546857965</v>
      </c>
      <c r="O168" s="45">
        <f t="shared" si="69"/>
        <v>2186114.726259789</v>
      </c>
      <c r="P168" s="45">
        <f t="shared" si="69"/>
        <v>2319722.4624052648</v>
      </c>
      <c r="Q168" s="45">
        <f t="shared" si="69"/>
        <v>2422564.5193419838</v>
      </c>
      <c r="R168" s="45">
        <f t="shared" si="69"/>
        <v>2463861.0825148188</v>
      </c>
      <c r="S168" s="45">
        <f t="shared" si="69"/>
        <v>2552568.2387077021</v>
      </c>
      <c r="T168" s="45">
        <f t="shared" si="69"/>
        <v>2601800.5023542144</v>
      </c>
      <c r="U168" s="45">
        <f t="shared" si="69"/>
        <v>2564296.6358298492</v>
      </c>
      <c r="V168" s="45">
        <f t="shared" si="69"/>
        <v>2602573.1649698499</v>
      </c>
      <c r="W168" s="45">
        <f t="shared" si="69"/>
        <v>2684892.8763781376</v>
      </c>
      <c r="X168" s="45">
        <f t="shared" si="69"/>
        <v>2743452.9285175963</v>
      </c>
      <c r="Y168" s="45">
        <f t="shared" si="69"/>
        <v>2780838.5434229975</v>
      </c>
      <c r="Z168" s="45">
        <f t="shared" si="69"/>
        <v>2769407.3147319439</v>
      </c>
      <c r="AA168" s="45">
        <f t="shared" si="69"/>
        <v>2698498.2695402317</v>
      </c>
      <c r="AB168" s="45">
        <f t="shared" si="69"/>
        <v>2621570.3587119882</v>
      </c>
      <c r="AC168" s="45">
        <f t="shared" si="69"/>
        <v>2509213.3631179277</v>
      </c>
      <c r="AD168" s="45">
        <f t="shared" si="69"/>
        <v>2352718.8504557959</v>
      </c>
      <c r="AE168" s="45">
        <f t="shared" si="69"/>
        <v>2217373.2785945595</v>
      </c>
      <c r="AF168" s="45">
        <f t="shared" si="69"/>
        <v>2141036.2110454878</v>
      </c>
      <c r="AG168" s="46">
        <f>SUM(I168:AF168)</f>
        <v>57484530.432037227</v>
      </c>
    </row>
    <row r="169" spans="2:33" ht="14.4" x14ac:dyDescent="0.25">
      <c r="B169">
        <f t="shared" si="52"/>
        <v>9</v>
      </c>
      <c r="C169">
        <f t="shared" si="53"/>
        <v>2029</v>
      </c>
      <c r="D169" t="str">
        <f t="shared" ref="D169:D172" si="70">+_xlfn.CONCAT(B169:C169,G169)</f>
        <v>92029OR</v>
      </c>
      <c r="E169" s="67">
        <v>47362</v>
      </c>
      <c r="F169" s="72">
        <f>+AG173</f>
        <v>55894666.562856629</v>
      </c>
      <c r="G169" s="37" t="s">
        <v>57</v>
      </c>
      <c r="H169" s="37">
        <v>20</v>
      </c>
      <c r="I169" s="65">
        <v>68910.823871299639</v>
      </c>
      <c r="J169" s="65">
        <v>67551.088879611663</v>
      </c>
      <c r="K169" s="65">
        <v>66753.256325169219</v>
      </c>
      <c r="L169" s="65">
        <v>66396.532364182087</v>
      </c>
      <c r="M169" s="65">
        <v>66649.356025256231</v>
      </c>
      <c r="N169" s="65">
        <v>68305.65896522651</v>
      </c>
      <c r="O169" s="65">
        <v>73872.410676989501</v>
      </c>
      <c r="P169" s="65">
        <v>79803.222366208138</v>
      </c>
      <c r="Q169" s="65">
        <v>84177.515362094317</v>
      </c>
      <c r="R169" s="65">
        <v>85791.289134242557</v>
      </c>
      <c r="S169" s="65">
        <v>88921.912940721668</v>
      </c>
      <c r="T169" s="65">
        <v>90513.529585189419</v>
      </c>
      <c r="U169" s="65">
        <v>88744.511401013995</v>
      </c>
      <c r="V169" s="65">
        <v>90426.685587528234</v>
      </c>
      <c r="W169" s="65">
        <v>93956.387527939398</v>
      </c>
      <c r="X169" s="65">
        <v>96002.456090475185</v>
      </c>
      <c r="Y169" s="65">
        <v>96753.844840451158</v>
      </c>
      <c r="Z169" s="65">
        <v>95130.030574532284</v>
      </c>
      <c r="AA169" s="65">
        <v>91712.602724884637</v>
      </c>
      <c r="AB169" s="65">
        <v>88662.628323501849</v>
      </c>
      <c r="AC169" s="65">
        <v>84649.137222903548</v>
      </c>
      <c r="AD169" s="65">
        <v>79024.245343124028</v>
      </c>
      <c r="AE169" s="65">
        <v>74133.492501286761</v>
      </c>
      <c r="AF169" s="65">
        <v>71473.798109273339</v>
      </c>
      <c r="AG169" s="38">
        <f>+SUM(I169:AF169)*H169</f>
        <v>39166328.334862106</v>
      </c>
    </row>
    <row r="170" spans="2:33" ht="14.4" x14ac:dyDescent="0.25">
      <c r="B170">
        <f t="shared" si="52"/>
        <v>9</v>
      </c>
      <c r="C170">
        <f t="shared" si="53"/>
        <v>2029</v>
      </c>
      <c r="D170" t="str">
        <f t="shared" si="70"/>
        <v>92029SA</v>
      </c>
      <c r="E170" s="68">
        <v>47362</v>
      </c>
      <c r="F170" s="73"/>
      <c r="G170" s="39" t="s">
        <v>60</v>
      </c>
      <c r="H170" s="39">
        <v>5</v>
      </c>
      <c r="I170" s="65">
        <v>69368.570539742053</v>
      </c>
      <c r="J170" s="65">
        <v>67937.833240553038</v>
      </c>
      <c r="K170" s="65">
        <v>66982.935944426659</v>
      </c>
      <c r="L170" s="65">
        <v>66493.84287212175</v>
      </c>
      <c r="M170" s="65">
        <v>66572.006213939094</v>
      </c>
      <c r="N170" s="65">
        <v>67336.416626764083</v>
      </c>
      <c r="O170" s="65">
        <v>71360.431122506794</v>
      </c>
      <c r="P170" s="65">
        <v>74597.445337600861</v>
      </c>
      <c r="Q170" s="65">
        <v>77230.859088502912</v>
      </c>
      <c r="R170" s="65">
        <v>78699.116844593955</v>
      </c>
      <c r="S170" s="65">
        <v>81543.191409869643</v>
      </c>
      <c r="T170" s="65">
        <v>82378.832957423219</v>
      </c>
      <c r="U170" s="65">
        <v>80642.651263868494</v>
      </c>
      <c r="V170" s="65">
        <v>80032.140775023901</v>
      </c>
      <c r="W170" s="65">
        <v>80261.599685648893</v>
      </c>
      <c r="X170" s="65">
        <v>81672.242513171426</v>
      </c>
      <c r="Y170" s="65">
        <v>83267.123370522299</v>
      </c>
      <c r="Z170" s="65">
        <v>84820.115372345696</v>
      </c>
      <c r="AA170" s="65">
        <v>84248.600312366703</v>
      </c>
      <c r="AB170" s="65">
        <v>82476.82772417806</v>
      </c>
      <c r="AC170" s="65">
        <v>79366.454441269248</v>
      </c>
      <c r="AD170" s="65">
        <v>74211.310733550941</v>
      </c>
      <c r="AE170" s="65">
        <v>69883.38255608255</v>
      </c>
      <c r="AF170" s="65">
        <v>67483.516255115959</v>
      </c>
      <c r="AG170" s="40">
        <f>+SUM(I170:AF170)*H170</f>
        <v>9094337.2360059414</v>
      </c>
    </row>
    <row r="171" spans="2:33" ht="14.4" x14ac:dyDescent="0.25">
      <c r="B171">
        <f t="shared" si="52"/>
        <v>9</v>
      </c>
      <c r="C171">
        <f t="shared" si="53"/>
        <v>2029</v>
      </c>
      <c r="D171" t="str">
        <f t="shared" si="70"/>
        <v>92029DO</v>
      </c>
      <c r="E171" s="68">
        <v>47362</v>
      </c>
      <c r="F171" s="73"/>
      <c r="G171" s="41" t="s">
        <v>58</v>
      </c>
      <c r="H171" s="41">
        <v>5</v>
      </c>
      <c r="I171" s="65">
        <v>62216.908046702774</v>
      </c>
      <c r="J171" s="65">
        <v>60956.494197989407</v>
      </c>
      <c r="K171" s="65">
        <v>60069.06401381125</v>
      </c>
      <c r="L171" s="65">
        <v>59525.250498892783</v>
      </c>
      <c r="M171" s="65">
        <v>59257.848506416471</v>
      </c>
      <c r="N171" s="65">
        <v>58836.021864417256</v>
      </c>
      <c r="O171" s="65">
        <v>58653.981200652881</v>
      </c>
      <c r="P171" s="65">
        <v>57915.876086270335</v>
      </c>
      <c r="Q171" s="65">
        <v>57979.187814174671</v>
      </c>
      <c r="R171" s="65">
        <v>58228.931473158897</v>
      </c>
      <c r="S171" s="65">
        <v>60161.953910388882</v>
      </c>
      <c r="T171" s="65">
        <v>62284.12468720031</v>
      </c>
      <c r="U171" s="65">
        <v>63432.215646003933</v>
      </c>
      <c r="V171" s="65">
        <v>64384.23683536586</v>
      </c>
      <c r="W171" s="65">
        <v>65560.723132903993</v>
      </c>
      <c r="X171" s="65">
        <v>67199.370428100723</v>
      </c>
      <c r="Y171" s="65">
        <v>69729.814783249181</v>
      </c>
      <c r="Z171" s="65">
        <v>72528.493982686196</v>
      </c>
      <c r="AA171" s="65">
        <v>73176.528955151021</v>
      </c>
      <c r="AB171" s="65">
        <v>72199.457880490489</v>
      </c>
      <c r="AC171" s="65">
        <v>69569.314433625099</v>
      </c>
      <c r="AD171" s="65">
        <v>66632.480776009324</v>
      </c>
      <c r="AE171" s="65">
        <v>64065.940542341312</v>
      </c>
      <c r="AF171" s="65">
        <v>62235.978701713713</v>
      </c>
      <c r="AG171" s="40">
        <f>+SUM(I171:AF171)*H171</f>
        <v>7634000.9919885844</v>
      </c>
    </row>
    <row r="172" spans="2:33" ht="14.4" x14ac:dyDescent="0.25">
      <c r="B172">
        <f t="shared" si="52"/>
        <v>9</v>
      </c>
      <c r="C172">
        <f t="shared" si="53"/>
        <v>2029</v>
      </c>
      <c r="D172" t="str">
        <f t="shared" si="70"/>
        <v>92029FE</v>
      </c>
      <c r="E172" s="68">
        <v>47362</v>
      </c>
      <c r="F172" s="73"/>
      <c r="G172" s="42" t="s">
        <v>59</v>
      </c>
      <c r="H172" s="42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  <c r="AG172" s="43">
        <f>+SUM(I172:AF172)*H172</f>
        <v>0</v>
      </c>
    </row>
    <row r="173" spans="2:33" ht="15" thickBot="1" x14ac:dyDescent="0.3">
      <c r="B173">
        <f t="shared" si="52"/>
        <v>9</v>
      </c>
      <c r="C173">
        <f t="shared" si="53"/>
        <v>2029</v>
      </c>
      <c r="D173" t="str">
        <f>+_xlfn.CONCAT(E173,G173)</f>
        <v>47362TOTAL</v>
      </c>
      <c r="E173" s="68">
        <v>47362</v>
      </c>
      <c r="F173" s="61"/>
      <c r="G173" s="44" t="s">
        <v>10</v>
      </c>
      <c r="H173" s="44">
        <f>+SUM(H169:H172)</f>
        <v>30</v>
      </c>
      <c r="I173" s="45">
        <f t="shared" ref="I173:AF173" si="71">+SUMPRODUCT(I169:I172,$H169:$H172)</f>
        <v>2036143.8703582168</v>
      </c>
      <c r="J173" s="45">
        <f t="shared" si="71"/>
        <v>1995493.4147849455</v>
      </c>
      <c r="K173" s="45">
        <f t="shared" si="71"/>
        <v>1970325.126294574</v>
      </c>
      <c r="L173" s="45">
        <f t="shared" si="71"/>
        <v>1958026.1141387143</v>
      </c>
      <c r="M173" s="45">
        <f t="shared" si="71"/>
        <v>1962136.3941069024</v>
      </c>
      <c r="N173" s="45">
        <f t="shared" si="71"/>
        <v>1996975.3717604368</v>
      </c>
      <c r="O173" s="45">
        <f t="shared" si="71"/>
        <v>2127520.2751555881</v>
      </c>
      <c r="P173" s="45">
        <f t="shared" si="71"/>
        <v>2258631.0544435186</v>
      </c>
      <c r="Q173" s="45">
        <f t="shared" si="71"/>
        <v>2359600.5417552744</v>
      </c>
      <c r="R173" s="45">
        <f t="shared" si="71"/>
        <v>2400466.0242736153</v>
      </c>
      <c r="S173" s="45">
        <f t="shared" si="71"/>
        <v>2486963.985415726</v>
      </c>
      <c r="T173" s="45">
        <f t="shared" si="71"/>
        <v>2533585.379926906</v>
      </c>
      <c r="U173" s="45">
        <f t="shared" si="71"/>
        <v>2495264.562569642</v>
      </c>
      <c r="V173" s="45">
        <f t="shared" si="71"/>
        <v>2530615.5998025131</v>
      </c>
      <c r="W173" s="45">
        <f t="shared" si="71"/>
        <v>2608239.3646515524</v>
      </c>
      <c r="X173" s="45">
        <f t="shared" si="71"/>
        <v>2664407.1865158645</v>
      </c>
      <c r="Y173" s="45">
        <f t="shared" si="71"/>
        <v>2700061.5875778804</v>
      </c>
      <c r="Z173" s="45">
        <f t="shared" si="71"/>
        <v>2689343.6582658053</v>
      </c>
      <c r="AA173" s="45">
        <f t="shared" si="71"/>
        <v>2621377.7008352815</v>
      </c>
      <c r="AB173" s="45">
        <f t="shared" si="71"/>
        <v>2546633.9944933797</v>
      </c>
      <c r="AC173" s="45">
        <f t="shared" si="71"/>
        <v>2437661.5888325428</v>
      </c>
      <c r="AD173" s="45">
        <f t="shared" si="71"/>
        <v>2284703.8644102816</v>
      </c>
      <c r="AE173" s="45">
        <f t="shared" si="71"/>
        <v>2152416.4655178548</v>
      </c>
      <c r="AF173" s="45">
        <f t="shared" si="71"/>
        <v>2078073.4369696151</v>
      </c>
      <c r="AG173" s="46">
        <f>SUM(I173:AF173)</f>
        <v>55894666.562856629</v>
      </c>
    </row>
    <row r="174" spans="2:33" ht="14.4" x14ac:dyDescent="0.25">
      <c r="B174">
        <f t="shared" si="52"/>
        <v>10</v>
      </c>
      <c r="C174">
        <f t="shared" si="53"/>
        <v>2029</v>
      </c>
      <c r="D174" t="str">
        <f t="shared" ref="D174:D177" si="72">+_xlfn.CONCAT(B174:C174,G174)</f>
        <v>102029OR</v>
      </c>
      <c r="E174" s="67">
        <v>47392</v>
      </c>
      <c r="F174" s="72">
        <f>+AG178</f>
        <v>58437839.29976213</v>
      </c>
      <c r="G174" s="37" t="s">
        <v>57</v>
      </c>
      <c r="H174" s="37">
        <v>22</v>
      </c>
      <c r="I174" s="65">
        <v>69510.823871299639</v>
      </c>
      <c r="J174" s="65">
        <v>68151.088879611649</v>
      </c>
      <c r="K174" s="65">
        <v>67353.256325169219</v>
      </c>
      <c r="L174" s="65">
        <v>66996.532364182101</v>
      </c>
      <c r="M174" s="65">
        <v>67249.356025256231</v>
      </c>
      <c r="N174" s="65">
        <v>68905.65896522651</v>
      </c>
      <c r="O174" s="65">
        <v>74472.410676989486</v>
      </c>
      <c r="P174" s="65">
        <v>80403.222366208152</v>
      </c>
      <c r="Q174" s="65">
        <v>84777.515362094331</v>
      </c>
      <c r="R174" s="65">
        <v>86391.289134242557</v>
      </c>
      <c r="S174" s="65">
        <v>89521.912940721668</v>
      </c>
      <c r="T174" s="65">
        <v>91113.529585189419</v>
      </c>
      <c r="U174" s="65">
        <v>89344.511401013995</v>
      </c>
      <c r="V174" s="65">
        <v>91026.68558752822</v>
      </c>
      <c r="W174" s="65">
        <v>94556.387527939398</v>
      </c>
      <c r="X174" s="65">
        <v>96602.456090475185</v>
      </c>
      <c r="Y174" s="65">
        <v>97353.844840451158</v>
      </c>
      <c r="Z174" s="65">
        <v>95730.030574532269</v>
      </c>
      <c r="AA174" s="65">
        <v>92312.602724884637</v>
      </c>
      <c r="AB174" s="65">
        <v>89262.628323501849</v>
      </c>
      <c r="AC174" s="65">
        <v>85249.137222903548</v>
      </c>
      <c r="AD174" s="65">
        <v>79624.245343124028</v>
      </c>
      <c r="AE174" s="65">
        <v>74733.492501286775</v>
      </c>
      <c r="AF174" s="65">
        <v>72073.798109273353</v>
      </c>
      <c r="AG174" s="38">
        <f>+SUM(I174:AF174)*H174</f>
        <v>43399761.16834832</v>
      </c>
    </row>
    <row r="175" spans="2:33" ht="14.4" x14ac:dyDescent="0.25">
      <c r="B175">
        <f t="shared" si="52"/>
        <v>10</v>
      </c>
      <c r="C175">
        <f t="shared" si="53"/>
        <v>2029</v>
      </c>
      <c r="D175" t="str">
        <f t="shared" si="72"/>
        <v>102029SA</v>
      </c>
      <c r="E175" s="68">
        <v>47392</v>
      </c>
      <c r="F175" s="73"/>
      <c r="G175" s="39" t="s">
        <v>60</v>
      </c>
      <c r="H175" s="39">
        <v>4</v>
      </c>
      <c r="I175" s="65">
        <v>69968.570539742053</v>
      </c>
      <c r="J175" s="65">
        <v>68537.833240553038</v>
      </c>
      <c r="K175" s="65">
        <v>67582.935944426659</v>
      </c>
      <c r="L175" s="65">
        <v>67093.84287212175</v>
      </c>
      <c r="M175" s="65">
        <v>67172.006213939094</v>
      </c>
      <c r="N175" s="65">
        <v>67936.416626764083</v>
      </c>
      <c r="O175" s="65">
        <v>71960.431122506794</v>
      </c>
      <c r="P175" s="65">
        <v>75197.445337600861</v>
      </c>
      <c r="Q175" s="65">
        <v>77830.859088502912</v>
      </c>
      <c r="R175" s="65">
        <v>79299.116844593955</v>
      </c>
      <c r="S175" s="65">
        <v>82143.191409869643</v>
      </c>
      <c r="T175" s="65">
        <v>82978.832957423219</v>
      </c>
      <c r="U175" s="65">
        <v>81242.651263868494</v>
      </c>
      <c r="V175" s="65">
        <v>80632.140775023901</v>
      </c>
      <c r="W175" s="65">
        <v>80861.599685648893</v>
      </c>
      <c r="X175" s="65">
        <v>82272.242513171426</v>
      </c>
      <c r="Y175" s="65">
        <v>83867.123370522299</v>
      </c>
      <c r="Z175" s="65">
        <v>85420.115372345696</v>
      </c>
      <c r="AA175" s="65">
        <v>84848.600312366703</v>
      </c>
      <c r="AB175" s="65">
        <v>83076.82772417806</v>
      </c>
      <c r="AC175" s="65">
        <v>79966.454441269248</v>
      </c>
      <c r="AD175" s="65">
        <v>74811.310733550941</v>
      </c>
      <c r="AE175" s="65">
        <v>70483.38255608255</v>
      </c>
      <c r="AF175" s="65">
        <v>68083.516255115959</v>
      </c>
      <c r="AG175" s="40">
        <f>+SUM(I175:AF175)*H175</f>
        <v>7333069.7888047528</v>
      </c>
    </row>
    <row r="176" spans="2:33" ht="14.4" x14ac:dyDescent="0.25">
      <c r="B176">
        <f t="shared" si="52"/>
        <v>10</v>
      </c>
      <c r="C176">
        <f t="shared" si="53"/>
        <v>2029</v>
      </c>
      <c r="D176" t="str">
        <f t="shared" si="72"/>
        <v>102029DO</v>
      </c>
      <c r="E176" s="68">
        <v>47392</v>
      </c>
      <c r="F176" s="73"/>
      <c r="G176" s="41" t="s">
        <v>58</v>
      </c>
      <c r="H176" s="41">
        <v>4</v>
      </c>
      <c r="I176" s="65">
        <v>62816.908046702774</v>
      </c>
      <c r="J176" s="65">
        <v>61556.494197989407</v>
      </c>
      <c r="K176" s="65">
        <v>60669.06401381125</v>
      </c>
      <c r="L176" s="65">
        <v>60125.250498892783</v>
      </c>
      <c r="M176" s="65">
        <v>59857.848506416478</v>
      </c>
      <c r="N176" s="65">
        <v>59436.021864417249</v>
      </c>
      <c r="O176" s="65">
        <v>59253.981200652881</v>
      </c>
      <c r="P176" s="65">
        <v>58515.876086270335</v>
      </c>
      <c r="Q176" s="65">
        <v>58579.187814174671</v>
      </c>
      <c r="R176" s="65">
        <v>58828.931473158889</v>
      </c>
      <c r="S176" s="65">
        <v>60761.953910388875</v>
      </c>
      <c r="T176" s="65">
        <v>62884.12468720031</v>
      </c>
      <c r="U176" s="65">
        <v>64032.215646003926</v>
      </c>
      <c r="V176" s="65">
        <v>64984.236835365853</v>
      </c>
      <c r="W176" s="65">
        <v>66160.723132903993</v>
      </c>
      <c r="X176" s="65">
        <v>67799.370428100723</v>
      </c>
      <c r="Y176" s="65">
        <v>70329.814783249181</v>
      </c>
      <c r="Z176" s="65">
        <v>73128.493982686196</v>
      </c>
      <c r="AA176" s="65">
        <v>73776.528955151021</v>
      </c>
      <c r="AB176" s="65">
        <v>72799.457880490489</v>
      </c>
      <c r="AC176" s="65">
        <v>70169.314433625099</v>
      </c>
      <c r="AD176" s="65">
        <v>67232.480776009324</v>
      </c>
      <c r="AE176" s="65">
        <v>64665.940542341312</v>
      </c>
      <c r="AF176" s="65">
        <v>62835.978701713713</v>
      </c>
      <c r="AG176" s="40">
        <f>+SUM(I176:AF176)*H176</f>
        <v>6164800.7935908679</v>
      </c>
    </row>
    <row r="177" spans="2:33" ht="14.4" x14ac:dyDescent="0.25">
      <c r="B177">
        <f t="shared" si="52"/>
        <v>10</v>
      </c>
      <c r="C177">
        <f t="shared" si="53"/>
        <v>2029</v>
      </c>
      <c r="D177" t="str">
        <f t="shared" si="72"/>
        <v>102029FE</v>
      </c>
      <c r="E177" s="68">
        <v>47392</v>
      </c>
      <c r="F177" s="73"/>
      <c r="G177" s="42" t="s">
        <v>59</v>
      </c>
      <c r="H177" s="42">
        <v>1</v>
      </c>
      <c r="I177" s="65">
        <v>61765.616897379987</v>
      </c>
      <c r="J177" s="65">
        <v>60617.490583098232</v>
      </c>
      <c r="K177" s="65">
        <v>59817.795395780289</v>
      </c>
      <c r="L177" s="65">
        <v>59318.163176311617</v>
      </c>
      <c r="M177" s="65">
        <v>59203.647635939102</v>
      </c>
      <c r="N177" s="65">
        <v>59133.931225657245</v>
      </c>
      <c r="O177" s="65">
        <v>59518.22637518523</v>
      </c>
      <c r="P177" s="65">
        <v>59050.753509704686</v>
      </c>
      <c r="Q177" s="65">
        <v>59148.254563646296</v>
      </c>
      <c r="R177" s="65">
        <v>59415.908712356926</v>
      </c>
      <c r="S177" s="65">
        <v>61343.742835756449</v>
      </c>
      <c r="T177" s="65">
        <v>63332.275243371238</v>
      </c>
      <c r="U177" s="65">
        <v>64331.214384532694</v>
      </c>
      <c r="V177" s="65">
        <v>65123.628595098817</v>
      </c>
      <c r="W177" s="65">
        <v>66409.723508599214</v>
      </c>
      <c r="X177" s="65">
        <v>68107.449426264429</v>
      </c>
      <c r="Y177" s="65">
        <v>70660.024579218603</v>
      </c>
      <c r="Z177" s="65">
        <v>73291.117623319253</v>
      </c>
      <c r="AA177" s="65">
        <v>73566.547623791732</v>
      </c>
      <c r="AB177" s="65">
        <v>72625.01074988766</v>
      </c>
      <c r="AC177" s="65">
        <v>70069.202968687969</v>
      </c>
      <c r="AD177" s="65">
        <v>67067.266105975155</v>
      </c>
      <c r="AE177" s="65">
        <v>64536.321836920943</v>
      </c>
      <c r="AF177" s="65">
        <v>62754.235461714263</v>
      </c>
      <c r="AG177" s="43">
        <f>+SUM(I177:AF177)*H177</f>
        <v>1540207.5490181979</v>
      </c>
    </row>
    <row r="178" spans="2:33" ht="15" thickBot="1" x14ac:dyDescent="0.3">
      <c r="B178">
        <f t="shared" si="52"/>
        <v>10</v>
      </c>
      <c r="C178">
        <f t="shared" si="53"/>
        <v>2029</v>
      </c>
      <c r="D178" t="str">
        <f>+_xlfn.CONCAT(E178,G178)</f>
        <v>47392TOTAL</v>
      </c>
      <c r="E178" s="68">
        <v>47392</v>
      </c>
      <c r="F178" s="61"/>
      <c r="G178" s="44" t="s">
        <v>10</v>
      </c>
      <c r="H178" s="44">
        <f>+SUM(H174:H177)</f>
        <v>31</v>
      </c>
      <c r="I178" s="45">
        <f t="shared" ref="I178:AF178" si="73">+SUMPRODUCT(I174:I177,$H174:$H177)</f>
        <v>2122145.6564117516</v>
      </c>
      <c r="J178" s="45">
        <f t="shared" si="73"/>
        <v>2080318.7556887243</v>
      </c>
      <c r="K178" s="45">
        <f t="shared" si="73"/>
        <v>2054597.4343824547</v>
      </c>
      <c r="L178" s="45">
        <f t="shared" si="73"/>
        <v>2042118.2486723762</v>
      </c>
      <c r="M178" s="45">
        <f t="shared" si="73"/>
        <v>2046808.8990729984</v>
      </c>
      <c r="N178" s="45">
        <f t="shared" si="73"/>
        <v>2084548.1824253656</v>
      </c>
      <c r="O178" s="45">
        <f t="shared" si="73"/>
        <v>2222768.9105615928</v>
      </c>
      <c r="P178" s="45">
        <f t="shared" si="73"/>
        <v>2362774.9312617686</v>
      </c>
      <c r="Q178" s="45">
        <f t="shared" si="73"/>
        <v>2469893.7801404321</v>
      </c>
      <c r="R178" s="45">
        <f t="shared" si="73"/>
        <v>2512536.4629367045</v>
      </c>
      <c r="S178" s="45">
        <f t="shared" si="73"/>
        <v>2602446.4088126668</v>
      </c>
      <c r="T178" s="45">
        <f t="shared" si="73"/>
        <v>2651281.7566960324</v>
      </c>
      <c r="U178" s="45">
        <f t="shared" si="73"/>
        <v>2611009.9328463306</v>
      </c>
      <c r="V178" s="45">
        <f t="shared" si="73"/>
        <v>2650176.2219622787</v>
      </c>
      <c r="W178" s="45">
        <f t="shared" si="73"/>
        <v>2734739.5403974778</v>
      </c>
      <c r="X178" s="45">
        <f t="shared" si="73"/>
        <v>2793647.9351818068</v>
      </c>
      <c r="Y178" s="45">
        <f t="shared" si="73"/>
        <v>2829232.36368423</v>
      </c>
      <c r="Z178" s="45">
        <f t="shared" si="73"/>
        <v>2813546.2276831567</v>
      </c>
      <c r="AA178" s="45">
        <f t="shared" si="73"/>
        <v>2738944.3246413246</v>
      </c>
      <c r="AB178" s="45">
        <f t="shared" si="73"/>
        <v>2659907.9762856024</v>
      </c>
      <c r="AC178" s="45">
        <f t="shared" si="73"/>
        <v>2546093.2973721432</v>
      </c>
      <c r="AD178" s="45">
        <f t="shared" si="73"/>
        <v>2386975.8296929449</v>
      </c>
      <c r="AE178" s="45">
        <f t="shared" si="73"/>
        <v>2249270.4492589254</v>
      </c>
      <c r="AF178" s="45">
        <f t="shared" si="73"/>
        <v>2172055.7736930465</v>
      </c>
      <c r="AG178" s="46">
        <f>SUM(I178:AF178)</f>
        <v>58437839.29976213</v>
      </c>
    </row>
    <row r="179" spans="2:33" ht="14.4" x14ac:dyDescent="0.25">
      <c r="B179">
        <f t="shared" si="52"/>
        <v>11</v>
      </c>
      <c r="C179">
        <f t="shared" si="53"/>
        <v>2029</v>
      </c>
      <c r="D179" t="str">
        <f t="shared" ref="D179:D182" si="74">+_xlfn.CONCAT(B179:C179,G179)</f>
        <v>112029OR</v>
      </c>
      <c r="E179" s="67">
        <v>47423</v>
      </c>
      <c r="F179" s="72">
        <f>+AG183</f>
        <v>55384614.015294112</v>
      </c>
      <c r="G179" s="37" t="s">
        <v>57</v>
      </c>
      <c r="H179" s="37">
        <v>20</v>
      </c>
      <c r="I179" s="65">
        <v>68610.823871299639</v>
      </c>
      <c r="J179" s="65">
        <v>67251.088879611663</v>
      </c>
      <c r="K179" s="65">
        <v>66453.256325169219</v>
      </c>
      <c r="L179" s="65">
        <v>66096.532364182087</v>
      </c>
      <c r="M179" s="65">
        <v>66349.356025256231</v>
      </c>
      <c r="N179" s="65">
        <v>68005.65896522651</v>
      </c>
      <c r="O179" s="65">
        <v>73572.410676989501</v>
      </c>
      <c r="P179" s="65">
        <v>79503.222366208138</v>
      </c>
      <c r="Q179" s="65">
        <v>83877.515362094317</v>
      </c>
      <c r="R179" s="65">
        <v>85491.289134242557</v>
      </c>
      <c r="S179" s="65">
        <v>88621.912940721668</v>
      </c>
      <c r="T179" s="65">
        <v>90213.529585189419</v>
      </c>
      <c r="U179" s="65">
        <v>88444.511401013995</v>
      </c>
      <c r="V179" s="65">
        <v>90126.685587528234</v>
      </c>
      <c r="W179" s="65">
        <v>93656.387527939398</v>
      </c>
      <c r="X179" s="65">
        <v>95702.456090475185</v>
      </c>
      <c r="Y179" s="65">
        <v>96453.844840451158</v>
      </c>
      <c r="Z179" s="65">
        <v>94830.030574532284</v>
      </c>
      <c r="AA179" s="65">
        <v>91412.602724884637</v>
      </c>
      <c r="AB179" s="65">
        <v>88362.628323501849</v>
      </c>
      <c r="AC179" s="65">
        <v>84349.137222903548</v>
      </c>
      <c r="AD179" s="65">
        <v>78724.245343124028</v>
      </c>
      <c r="AE179" s="65">
        <v>73833.492501286761</v>
      </c>
      <c r="AF179" s="65">
        <v>71173.798109273339</v>
      </c>
      <c r="AG179" s="38">
        <f>+SUM(I179:AF179)*H179</f>
        <v>39022328.334862106</v>
      </c>
    </row>
    <row r="180" spans="2:33" ht="14.4" x14ac:dyDescent="0.25">
      <c r="B180">
        <f t="shared" si="52"/>
        <v>11</v>
      </c>
      <c r="C180">
        <f t="shared" si="53"/>
        <v>2029</v>
      </c>
      <c r="D180" t="str">
        <f t="shared" si="74"/>
        <v>112029SA</v>
      </c>
      <c r="E180" s="68">
        <v>47423</v>
      </c>
      <c r="F180" s="73"/>
      <c r="G180" s="39" t="s">
        <v>60</v>
      </c>
      <c r="H180" s="39">
        <v>4</v>
      </c>
      <c r="I180" s="65">
        <v>69068.570539742053</v>
      </c>
      <c r="J180" s="65">
        <v>67637.833240553038</v>
      </c>
      <c r="K180" s="65">
        <v>66682.935944426659</v>
      </c>
      <c r="L180" s="65">
        <v>66193.84287212175</v>
      </c>
      <c r="M180" s="65">
        <v>66272.006213939094</v>
      </c>
      <c r="N180" s="65">
        <v>67036.416626764083</v>
      </c>
      <c r="O180" s="65">
        <v>71060.431122506794</v>
      </c>
      <c r="P180" s="65">
        <v>74297.445337600861</v>
      </c>
      <c r="Q180" s="65">
        <v>76930.859088502912</v>
      </c>
      <c r="R180" s="65">
        <v>78399.116844593955</v>
      </c>
      <c r="S180" s="65">
        <v>81243.191409869643</v>
      </c>
      <c r="T180" s="65">
        <v>82078.832957423219</v>
      </c>
      <c r="U180" s="65">
        <v>80342.651263868494</v>
      </c>
      <c r="V180" s="65">
        <v>79732.140775023901</v>
      </c>
      <c r="W180" s="65">
        <v>79961.599685648893</v>
      </c>
      <c r="X180" s="65">
        <v>81372.242513171426</v>
      </c>
      <c r="Y180" s="65">
        <v>82967.123370522299</v>
      </c>
      <c r="Z180" s="65">
        <v>84520.115372345696</v>
      </c>
      <c r="AA180" s="65">
        <v>83948.600312366703</v>
      </c>
      <c r="AB180" s="65">
        <v>82176.82772417806</v>
      </c>
      <c r="AC180" s="65">
        <v>79066.454441269248</v>
      </c>
      <c r="AD180" s="65">
        <v>73911.310733550941</v>
      </c>
      <c r="AE180" s="65">
        <v>69583.38255608255</v>
      </c>
      <c r="AF180" s="65">
        <v>67183.516255115959</v>
      </c>
      <c r="AG180" s="40">
        <f>+SUM(I180:AF180)*H180</f>
        <v>7246669.7888047528</v>
      </c>
    </row>
    <row r="181" spans="2:33" ht="14.4" x14ac:dyDescent="0.25">
      <c r="B181">
        <f t="shared" si="52"/>
        <v>11</v>
      </c>
      <c r="C181">
        <f t="shared" si="53"/>
        <v>2029</v>
      </c>
      <c r="D181" t="str">
        <f t="shared" si="74"/>
        <v>112029DO</v>
      </c>
      <c r="E181" s="68">
        <v>47423</v>
      </c>
      <c r="F181" s="73"/>
      <c r="G181" s="41" t="s">
        <v>58</v>
      </c>
      <c r="H181" s="41">
        <v>4</v>
      </c>
      <c r="I181" s="65">
        <v>61916.908046702774</v>
      </c>
      <c r="J181" s="65">
        <v>60656.494197989407</v>
      </c>
      <c r="K181" s="65">
        <v>59769.06401381125</v>
      </c>
      <c r="L181" s="65">
        <v>59225.250498892783</v>
      </c>
      <c r="M181" s="65">
        <v>58957.848506416478</v>
      </c>
      <c r="N181" s="65">
        <v>58536.021864417249</v>
      </c>
      <c r="O181" s="65">
        <v>58353.981200652881</v>
      </c>
      <c r="P181" s="65">
        <v>57615.876086270335</v>
      </c>
      <c r="Q181" s="65">
        <v>57679.187814174671</v>
      </c>
      <c r="R181" s="65">
        <v>57928.931473158889</v>
      </c>
      <c r="S181" s="65">
        <v>59861.953910388875</v>
      </c>
      <c r="T181" s="65">
        <v>61984.12468720031</v>
      </c>
      <c r="U181" s="65">
        <v>63132.215646003926</v>
      </c>
      <c r="V181" s="65">
        <v>64084.236835365853</v>
      </c>
      <c r="W181" s="65">
        <v>65260.723132903993</v>
      </c>
      <c r="X181" s="65">
        <v>66899.370428100723</v>
      </c>
      <c r="Y181" s="65">
        <v>69429.814783249181</v>
      </c>
      <c r="Z181" s="65">
        <v>72228.493982686196</v>
      </c>
      <c r="AA181" s="65">
        <v>72876.528955151021</v>
      </c>
      <c r="AB181" s="65">
        <v>71899.457880490489</v>
      </c>
      <c r="AC181" s="65">
        <v>69269.314433625099</v>
      </c>
      <c r="AD181" s="65">
        <v>66332.480776009324</v>
      </c>
      <c r="AE181" s="65">
        <v>63765.940542341312</v>
      </c>
      <c r="AF181" s="65">
        <v>61935.978701713713</v>
      </c>
      <c r="AG181" s="40">
        <f>+SUM(I181:AF181)*H181</f>
        <v>6078400.7935908679</v>
      </c>
    </row>
    <row r="182" spans="2:33" ht="14.4" x14ac:dyDescent="0.25">
      <c r="B182">
        <f t="shared" si="52"/>
        <v>11</v>
      </c>
      <c r="C182">
        <f t="shared" si="53"/>
        <v>2029</v>
      </c>
      <c r="D182" t="str">
        <f t="shared" si="74"/>
        <v>112029FE</v>
      </c>
      <c r="E182" s="68">
        <v>47423</v>
      </c>
      <c r="F182" s="73"/>
      <c r="G182" s="42" t="s">
        <v>59</v>
      </c>
      <c r="H182" s="42">
        <v>2</v>
      </c>
      <c r="I182" s="65">
        <v>60865.616897379987</v>
      </c>
      <c r="J182" s="65">
        <v>59717.490583098232</v>
      </c>
      <c r="K182" s="65">
        <v>58917.795395780289</v>
      </c>
      <c r="L182" s="65">
        <v>58418.163176311617</v>
      </c>
      <c r="M182" s="65">
        <v>58303.647635939102</v>
      </c>
      <c r="N182" s="65">
        <v>58233.931225657245</v>
      </c>
      <c r="O182" s="65">
        <v>58618.22637518523</v>
      </c>
      <c r="P182" s="65">
        <v>58150.753509704686</v>
      </c>
      <c r="Q182" s="65">
        <v>58248.254563646296</v>
      </c>
      <c r="R182" s="65">
        <v>58515.908712356926</v>
      </c>
      <c r="S182" s="65">
        <v>60443.742835756449</v>
      </c>
      <c r="T182" s="65">
        <v>62432.275243371238</v>
      </c>
      <c r="U182" s="65">
        <v>63431.214384532694</v>
      </c>
      <c r="V182" s="65">
        <v>64223.628595098817</v>
      </c>
      <c r="W182" s="65">
        <v>65509.723508599222</v>
      </c>
      <c r="X182" s="65">
        <v>67207.449426264429</v>
      </c>
      <c r="Y182" s="65">
        <v>69760.024579218603</v>
      </c>
      <c r="Z182" s="65">
        <v>72391.117623319253</v>
      </c>
      <c r="AA182" s="65">
        <v>72666.547623791732</v>
      </c>
      <c r="AB182" s="65">
        <v>71725.01074988766</v>
      </c>
      <c r="AC182" s="65">
        <v>69169.202968687969</v>
      </c>
      <c r="AD182" s="65">
        <v>66167.266105975155</v>
      </c>
      <c r="AE182" s="65">
        <v>63636.321836920943</v>
      </c>
      <c r="AF182" s="65">
        <v>61854.235461714263</v>
      </c>
      <c r="AG182" s="43">
        <f>+SUM(I182:AF182)*H182</f>
        <v>3037215.0980363959</v>
      </c>
    </row>
    <row r="183" spans="2:33" ht="15" thickBot="1" x14ac:dyDescent="0.3">
      <c r="B183">
        <f t="shared" si="52"/>
        <v>11</v>
      </c>
      <c r="C183">
        <f t="shared" si="53"/>
        <v>2029</v>
      </c>
      <c r="D183" t="str">
        <f>+_xlfn.CONCAT(E183,G183)</f>
        <v>47423TOTAL</v>
      </c>
      <c r="E183" s="68">
        <v>47423</v>
      </c>
      <c r="F183" s="61"/>
      <c r="G183" s="44" t="s">
        <v>10</v>
      </c>
      <c r="H183" s="44">
        <f>+SUM(H179:H182)</f>
        <v>30</v>
      </c>
      <c r="I183" s="45">
        <f t="shared" ref="I183:AF183" si="75">+SUMPRODUCT(I179:I182,$H179:$H182)</f>
        <v>2017889.6255665321</v>
      </c>
      <c r="J183" s="45">
        <f t="shared" si="75"/>
        <v>1977634.0685125997</v>
      </c>
      <c r="K183" s="45">
        <f t="shared" si="75"/>
        <v>1952708.7171278964</v>
      </c>
      <c r="L183" s="45">
        <f t="shared" si="75"/>
        <v>1940443.347120323</v>
      </c>
      <c r="M183" s="45">
        <f t="shared" si="75"/>
        <v>1944513.8346584251</v>
      </c>
      <c r="N183" s="45">
        <f t="shared" si="75"/>
        <v>1978870.7957205698</v>
      </c>
      <c r="O183" s="45">
        <f t="shared" si="75"/>
        <v>2106342.3155827993</v>
      </c>
      <c r="P183" s="45">
        <f t="shared" si="75"/>
        <v>2234019.2400390571</v>
      </c>
      <c r="Q183" s="45">
        <f t="shared" si="75"/>
        <v>2332487.0039798897</v>
      </c>
      <c r="R183" s="45">
        <f t="shared" si="75"/>
        <v>2372169.7933805762</v>
      </c>
      <c r="S183" s="45">
        <f t="shared" si="75"/>
        <v>2457746.3257669802</v>
      </c>
      <c r="T183" s="45">
        <f t="shared" si="75"/>
        <v>2505386.9727690248</v>
      </c>
      <c r="U183" s="45">
        <f t="shared" si="75"/>
        <v>2469652.1244288352</v>
      </c>
      <c r="V183" s="45">
        <f t="shared" si="75"/>
        <v>2506246.4793823212</v>
      </c>
      <c r="W183" s="45">
        <f t="shared" si="75"/>
        <v>2585036.4888501982</v>
      </c>
      <c r="X183" s="45">
        <f t="shared" si="75"/>
        <v>2641550.4724271214</v>
      </c>
      <c r="Y183" s="45">
        <f t="shared" si="75"/>
        <v>2678184.6985825463</v>
      </c>
      <c r="Z183" s="45">
        <f t="shared" si="75"/>
        <v>2668377.2841574117</v>
      </c>
      <c r="AA183" s="45">
        <f t="shared" si="75"/>
        <v>2600885.666815347</v>
      </c>
      <c r="AB183" s="45">
        <f t="shared" si="75"/>
        <v>2527007.7303884863</v>
      </c>
      <c r="AC183" s="45">
        <f t="shared" si="75"/>
        <v>2418664.2258950244</v>
      </c>
      <c r="AD183" s="45">
        <f t="shared" si="75"/>
        <v>2267794.6051126723</v>
      </c>
      <c r="AE183" s="45">
        <f t="shared" si="75"/>
        <v>2137339.7860932727</v>
      </c>
      <c r="AF183" s="45">
        <f t="shared" si="75"/>
        <v>2063662.4129362139</v>
      </c>
      <c r="AG183" s="46">
        <f>SUM(I183:AF183)</f>
        <v>55384614.015294112</v>
      </c>
    </row>
    <row r="184" spans="2:33" ht="14.4" x14ac:dyDescent="0.25">
      <c r="B184">
        <f t="shared" si="52"/>
        <v>12</v>
      </c>
      <c r="C184">
        <f t="shared" si="53"/>
        <v>2029</v>
      </c>
      <c r="D184" t="str">
        <f t="shared" ref="D184:D187" si="76">+_xlfn.CONCAT(B184:C184,G184)</f>
        <v>122029OR</v>
      </c>
      <c r="E184" s="67">
        <v>47453</v>
      </c>
      <c r="F184" s="72">
        <f>+AG188</f>
        <v>57350614.213691846</v>
      </c>
      <c r="G184" s="37" t="s">
        <v>57</v>
      </c>
      <c r="H184" s="37">
        <v>20</v>
      </c>
      <c r="I184" s="65">
        <v>69210.823871299639</v>
      </c>
      <c r="J184" s="65">
        <v>67851.088879611663</v>
      </c>
      <c r="K184" s="65">
        <v>67053.256325169219</v>
      </c>
      <c r="L184" s="65">
        <v>66696.532364182087</v>
      </c>
      <c r="M184" s="65">
        <v>66949.356025256231</v>
      </c>
      <c r="N184" s="65">
        <v>68605.65896522651</v>
      </c>
      <c r="O184" s="65">
        <v>74172.410676989501</v>
      </c>
      <c r="P184" s="65">
        <v>80103.222366208138</v>
      </c>
      <c r="Q184" s="65">
        <v>84477.515362094317</v>
      </c>
      <c r="R184" s="65">
        <v>86091.289134242557</v>
      </c>
      <c r="S184" s="65">
        <v>89221.912940721668</v>
      </c>
      <c r="T184" s="65">
        <v>90813.529585189419</v>
      </c>
      <c r="U184" s="65">
        <v>89044.511401013995</v>
      </c>
      <c r="V184" s="65">
        <v>90726.685587528234</v>
      </c>
      <c r="W184" s="65">
        <v>94256.387527939398</v>
      </c>
      <c r="X184" s="65">
        <v>96302.456090475185</v>
      </c>
      <c r="Y184" s="65">
        <v>97053.844840451158</v>
      </c>
      <c r="Z184" s="65">
        <v>95430.030574532269</v>
      </c>
      <c r="AA184" s="65">
        <v>92012.602724884637</v>
      </c>
      <c r="AB184" s="65">
        <v>88962.628323501849</v>
      </c>
      <c r="AC184" s="65">
        <v>84949.137222903548</v>
      </c>
      <c r="AD184" s="65">
        <v>79324.245343124028</v>
      </c>
      <c r="AE184" s="65">
        <v>74433.492501286761</v>
      </c>
      <c r="AF184" s="65">
        <v>71773.798109273339</v>
      </c>
      <c r="AG184" s="38">
        <f>+SUM(I184:AF184)*H184</f>
        <v>39310328.334862106</v>
      </c>
    </row>
    <row r="185" spans="2:33" ht="14.4" x14ac:dyDescent="0.25">
      <c r="B185">
        <f t="shared" si="52"/>
        <v>12</v>
      </c>
      <c r="C185">
        <f t="shared" si="53"/>
        <v>2029</v>
      </c>
      <c r="D185" t="str">
        <f t="shared" si="76"/>
        <v>122029SA</v>
      </c>
      <c r="E185" s="68">
        <v>47453</v>
      </c>
      <c r="F185" s="73"/>
      <c r="G185" s="39" t="s">
        <v>60</v>
      </c>
      <c r="H185" s="39">
        <v>4</v>
      </c>
      <c r="I185" s="65">
        <v>69668.570539742053</v>
      </c>
      <c r="J185" s="65">
        <v>68237.833240553038</v>
      </c>
      <c r="K185" s="65">
        <v>67282.935944426659</v>
      </c>
      <c r="L185" s="65">
        <v>66793.84287212175</v>
      </c>
      <c r="M185" s="65">
        <v>66872.006213939094</v>
      </c>
      <c r="N185" s="65">
        <v>67636.416626764083</v>
      </c>
      <c r="O185" s="65">
        <v>71660.431122506794</v>
      </c>
      <c r="P185" s="65">
        <v>74897.445337600861</v>
      </c>
      <c r="Q185" s="65">
        <v>77530.859088502912</v>
      </c>
      <c r="R185" s="65">
        <v>78999.116844593955</v>
      </c>
      <c r="S185" s="65">
        <v>81843.191409869629</v>
      </c>
      <c r="T185" s="65">
        <v>82678.832957423219</v>
      </c>
      <c r="U185" s="65">
        <v>80942.651263868494</v>
      </c>
      <c r="V185" s="65">
        <v>80332.140775023901</v>
      </c>
      <c r="W185" s="65">
        <v>80561.599685648893</v>
      </c>
      <c r="X185" s="65">
        <v>81972.242513171412</v>
      </c>
      <c r="Y185" s="65">
        <v>83567.123370522299</v>
      </c>
      <c r="Z185" s="65">
        <v>85120.115372345696</v>
      </c>
      <c r="AA185" s="65">
        <v>84548.600312366703</v>
      </c>
      <c r="AB185" s="65">
        <v>82776.82772417806</v>
      </c>
      <c r="AC185" s="65">
        <v>79666.454441269248</v>
      </c>
      <c r="AD185" s="65">
        <v>74511.310733550941</v>
      </c>
      <c r="AE185" s="65">
        <v>70183.38255608255</v>
      </c>
      <c r="AF185" s="65">
        <v>67783.516255115959</v>
      </c>
      <c r="AG185" s="40">
        <f>+SUM(I185:AF185)*H185</f>
        <v>7304269.7888047528</v>
      </c>
    </row>
    <row r="186" spans="2:33" ht="14.4" x14ac:dyDescent="0.25">
      <c r="B186">
        <f t="shared" si="52"/>
        <v>12</v>
      </c>
      <c r="C186">
        <f t="shared" si="53"/>
        <v>2029</v>
      </c>
      <c r="D186" t="str">
        <f t="shared" si="76"/>
        <v>122029DO</v>
      </c>
      <c r="E186" s="68">
        <v>47453</v>
      </c>
      <c r="F186" s="73"/>
      <c r="G186" s="41" t="s">
        <v>58</v>
      </c>
      <c r="H186" s="41">
        <v>5</v>
      </c>
      <c r="I186" s="65">
        <v>62516.908046702774</v>
      </c>
      <c r="J186" s="65">
        <v>61256.494197989407</v>
      </c>
      <c r="K186" s="65">
        <v>60369.06401381125</v>
      </c>
      <c r="L186" s="65">
        <v>59825.250498892783</v>
      </c>
      <c r="M186" s="65">
        <v>59557.848506416471</v>
      </c>
      <c r="N186" s="65">
        <v>59136.021864417256</v>
      </c>
      <c r="O186" s="65">
        <v>58953.981200652881</v>
      </c>
      <c r="P186" s="65">
        <v>58215.876086270335</v>
      </c>
      <c r="Q186" s="65">
        <v>58279.187814174671</v>
      </c>
      <c r="R186" s="65">
        <v>58528.931473158897</v>
      </c>
      <c r="S186" s="65">
        <v>60461.953910388882</v>
      </c>
      <c r="T186" s="65">
        <v>62584.12468720031</v>
      </c>
      <c r="U186" s="65">
        <v>63732.215646003933</v>
      </c>
      <c r="V186" s="65">
        <v>64684.23683536586</v>
      </c>
      <c r="W186" s="65">
        <v>65860.723132903993</v>
      </c>
      <c r="X186" s="65">
        <v>67499.370428100723</v>
      </c>
      <c r="Y186" s="65">
        <v>70029.814783249181</v>
      </c>
      <c r="Z186" s="65">
        <v>72828.493982686196</v>
      </c>
      <c r="AA186" s="65">
        <v>73476.528955151021</v>
      </c>
      <c r="AB186" s="65">
        <v>72499.457880490489</v>
      </c>
      <c r="AC186" s="65">
        <v>69869.314433625099</v>
      </c>
      <c r="AD186" s="65">
        <v>66932.480776009324</v>
      </c>
      <c r="AE186" s="65">
        <v>64365.940542341312</v>
      </c>
      <c r="AF186" s="65">
        <v>62535.978701713713</v>
      </c>
      <c r="AG186" s="40">
        <f>+SUM(I186:AF186)*H186</f>
        <v>7670000.9919885844</v>
      </c>
    </row>
    <row r="187" spans="2:33" ht="14.4" x14ac:dyDescent="0.25">
      <c r="B187">
        <f t="shared" si="52"/>
        <v>12</v>
      </c>
      <c r="C187">
        <f t="shared" si="53"/>
        <v>2029</v>
      </c>
      <c r="D187" t="str">
        <f t="shared" si="76"/>
        <v>122029FE</v>
      </c>
      <c r="E187" s="68">
        <v>47453</v>
      </c>
      <c r="F187" s="73"/>
      <c r="G187" s="42" t="s">
        <v>59</v>
      </c>
      <c r="H187" s="42">
        <v>2</v>
      </c>
      <c r="I187" s="65">
        <v>61465.616897379987</v>
      </c>
      <c r="J187" s="65">
        <v>60317.490583098232</v>
      </c>
      <c r="K187" s="65">
        <v>59517.795395780289</v>
      </c>
      <c r="L187" s="65">
        <v>59018.163176311617</v>
      </c>
      <c r="M187" s="65">
        <v>58903.647635939102</v>
      </c>
      <c r="N187" s="65">
        <v>58833.931225657245</v>
      </c>
      <c r="O187" s="65">
        <v>59218.22637518523</v>
      </c>
      <c r="P187" s="65">
        <v>58750.753509704686</v>
      </c>
      <c r="Q187" s="65">
        <v>58848.254563646296</v>
      </c>
      <c r="R187" s="65">
        <v>59115.908712356926</v>
      </c>
      <c r="S187" s="65">
        <v>61043.742835756449</v>
      </c>
      <c r="T187" s="65">
        <v>63032.275243371238</v>
      </c>
      <c r="U187" s="65">
        <v>64031.214384532694</v>
      </c>
      <c r="V187" s="65">
        <v>64823.628595098817</v>
      </c>
      <c r="W187" s="65">
        <v>66109.723508599214</v>
      </c>
      <c r="X187" s="65">
        <v>67807.449426264429</v>
      </c>
      <c r="Y187" s="65">
        <v>70360.024579218603</v>
      </c>
      <c r="Z187" s="65">
        <v>72991.117623319253</v>
      </c>
      <c r="AA187" s="65">
        <v>73266.547623791732</v>
      </c>
      <c r="AB187" s="65">
        <v>72325.01074988766</v>
      </c>
      <c r="AC187" s="65">
        <v>69769.202968687969</v>
      </c>
      <c r="AD187" s="65">
        <v>66767.266105975155</v>
      </c>
      <c r="AE187" s="65">
        <v>64236.321836920943</v>
      </c>
      <c r="AF187" s="65">
        <v>62454.235461714263</v>
      </c>
      <c r="AG187" s="43">
        <f>+SUM(I187:AF187)*H187</f>
        <v>3066015.0980363959</v>
      </c>
    </row>
    <row r="188" spans="2:33" ht="15" thickBot="1" x14ac:dyDescent="0.3">
      <c r="D188" t="str">
        <f>+_xlfn.CONCAT(E188,G188)</f>
        <v>47453TOTAL</v>
      </c>
      <c r="E188" s="68">
        <v>47453</v>
      </c>
      <c r="F188" s="74"/>
      <c r="G188" s="44" t="s">
        <v>10</v>
      </c>
      <c r="H188" s="44">
        <f>+SUM(H184:H187)</f>
        <v>31</v>
      </c>
      <c r="I188" s="45">
        <f t="shared" ref="I188:AF188" si="77">+SUMPRODUCT(I184:I187,$H184:$H187)</f>
        <v>2098406.5336132348</v>
      </c>
      <c r="J188" s="45">
        <f t="shared" si="77"/>
        <v>2056890.562710589</v>
      </c>
      <c r="K188" s="45">
        <f t="shared" si="77"/>
        <v>2031077.7811417077</v>
      </c>
      <c r="L188" s="45">
        <f t="shared" si="77"/>
        <v>2018268.5976192157</v>
      </c>
      <c r="M188" s="45">
        <f t="shared" si="77"/>
        <v>2022071.6831648415</v>
      </c>
      <c r="N188" s="45">
        <f t="shared" si="77"/>
        <v>2056006.817584987</v>
      </c>
      <c r="O188" s="45">
        <f t="shared" si="77"/>
        <v>2183296.2967834519</v>
      </c>
      <c r="P188" s="45">
        <f t="shared" si="77"/>
        <v>2310235.1161253275</v>
      </c>
      <c r="Q188" s="45">
        <f t="shared" si="77"/>
        <v>2408766.1917940644</v>
      </c>
      <c r="R188" s="45">
        <f t="shared" si="77"/>
        <v>2448698.724853735</v>
      </c>
      <c r="S188" s="45">
        <f t="shared" si="77"/>
        <v>2536208.2796773692</v>
      </c>
      <c r="T188" s="45">
        <f t="shared" si="77"/>
        <v>2585971.0974562252</v>
      </c>
      <c r="U188" s="45">
        <f t="shared" si="77"/>
        <v>2551384.3400748391</v>
      </c>
      <c r="V188" s="45">
        <f t="shared" si="77"/>
        <v>2588930.7162176869</v>
      </c>
      <c r="W188" s="45">
        <f t="shared" si="77"/>
        <v>2668897.2119831019</v>
      </c>
      <c r="X188" s="45">
        <f t="shared" si="77"/>
        <v>2727049.8428552221</v>
      </c>
      <c r="Y188" s="45">
        <f t="shared" si="77"/>
        <v>2766214.5133657954</v>
      </c>
      <c r="Z188" s="45">
        <f t="shared" si="77"/>
        <v>2759205.7781400974</v>
      </c>
      <c r="AA188" s="45">
        <f t="shared" si="77"/>
        <v>2692362.1957704984</v>
      </c>
      <c r="AB188" s="45">
        <f t="shared" si="77"/>
        <v>2617507.1882689768</v>
      </c>
      <c r="AC188" s="45">
        <f t="shared" si="77"/>
        <v>2506533.5403286493</v>
      </c>
      <c r="AD188" s="45">
        <f t="shared" si="77"/>
        <v>2352727.0858886815</v>
      </c>
      <c r="AE188" s="45">
        <f t="shared" si="77"/>
        <v>2219705.7266356139</v>
      </c>
      <c r="AF188" s="45">
        <f t="shared" si="77"/>
        <v>2144198.3916379279</v>
      </c>
      <c r="AG188" s="46">
        <f>SUM(I188:AF188)</f>
        <v>57350614.213691846</v>
      </c>
    </row>
    <row r="189" spans="2:33" ht="14.4" x14ac:dyDescent="0.25">
      <c r="B189">
        <f>+MONTH(E189)</f>
        <v>1</v>
      </c>
      <c r="C189">
        <f>+YEAR(E189)</f>
        <v>2030</v>
      </c>
      <c r="D189" t="str">
        <f>+_xlfn.CONCAT(B189:C189,G189)</f>
        <v>12030OR</v>
      </c>
      <c r="E189" s="67">
        <v>47484</v>
      </c>
      <c r="F189" s="72">
        <f>+AG193</f>
        <v>60921236.844195992</v>
      </c>
      <c r="G189" s="37" t="s">
        <v>57</v>
      </c>
      <c r="H189" s="37">
        <v>21</v>
      </c>
      <c r="I189" s="65">
        <v>73361.524330473127</v>
      </c>
      <c r="J189" s="65">
        <v>72023.261114430075</v>
      </c>
      <c r="K189" s="65">
        <v>71239.034642885046</v>
      </c>
      <c r="L189" s="65">
        <v>70892.296497486081</v>
      </c>
      <c r="M189" s="65">
        <v>71135.837575607671</v>
      </c>
      <c r="N189" s="65">
        <v>72800.12384415722</v>
      </c>
      <c r="O189" s="65">
        <v>78406.679954607665</v>
      </c>
      <c r="P189" s="65">
        <v>84528.729582041677</v>
      </c>
      <c r="Q189" s="65">
        <v>89040.437585760359</v>
      </c>
      <c r="R189" s="65">
        <v>90761.858972292132</v>
      </c>
      <c r="S189" s="65">
        <v>93884.955118291371</v>
      </c>
      <c r="T189" s="65">
        <v>95459.625629370115</v>
      </c>
      <c r="U189" s="65">
        <v>93662.544932872464</v>
      </c>
      <c r="V189" s="65">
        <v>95256.598202998546</v>
      </c>
      <c r="W189" s="65">
        <v>98633.431963059527</v>
      </c>
      <c r="X189" s="65">
        <v>100501.74564457097</v>
      </c>
      <c r="Y189" s="65">
        <v>101021.74800968661</v>
      </c>
      <c r="Z189" s="65">
        <v>99182.625489945567</v>
      </c>
      <c r="AA189" s="65">
        <v>95766.135296372639</v>
      </c>
      <c r="AB189" s="65">
        <v>92766.912229564958</v>
      </c>
      <c r="AC189" s="65">
        <v>88810.421215809169</v>
      </c>
      <c r="AD189" s="65">
        <v>83285.055508117584</v>
      </c>
      <c r="AE189" s="65">
        <v>78473.924370276247</v>
      </c>
      <c r="AF189" s="65">
        <v>75865.168898124248</v>
      </c>
      <c r="AG189" s="38">
        <f>ROUND(SUM(I189:AF189)*H189,2)</f>
        <v>43401974.210000001</v>
      </c>
    </row>
    <row r="190" spans="2:33" ht="14.4" x14ac:dyDescent="0.25">
      <c r="B190">
        <f t="shared" ref="B190:B247" si="78">+MONTH(E190)</f>
        <v>1</v>
      </c>
      <c r="C190">
        <f t="shared" ref="C190:C247" si="79">+YEAR(E190)</f>
        <v>2030</v>
      </c>
      <c r="D190" t="str">
        <f t="shared" ref="D190:D192" si="80">+_xlfn.CONCAT(B190:C190,G190)</f>
        <v>12030SA</v>
      </c>
      <c r="E190" s="68">
        <v>47484</v>
      </c>
      <c r="F190" s="73"/>
      <c r="G190" s="39" t="s">
        <v>60</v>
      </c>
      <c r="H190" s="39">
        <v>4</v>
      </c>
      <c r="I190" s="65">
        <v>73767.616850435385</v>
      </c>
      <c r="J190" s="65">
        <v>72358.749180452185</v>
      </c>
      <c r="K190" s="65">
        <v>71427.960066081272</v>
      </c>
      <c r="L190" s="65">
        <v>70952.124724681969</v>
      </c>
      <c r="M190" s="65">
        <v>71027.876921907868</v>
      </c>
      <c r="N190" s="65">
        <v>71812.824906263922</v>
      </c>
      <c r="O190" s="65">
        <v>75896.166532774048</v>
      </c>
      <c r="P190" s="65">
        <v>79360.150436254451</v>
      </c>
      <c r="Q190" s="65">
        <v>82144.684851882717</v>
      </c>
      <c r="R190" s="65">
        <v>83714.432179590513</v>
      </c>
      <c r="S190" s="65">
        <v>86550.96381035971</v>
      </c>
      <c r="T190" s="65">
        <v>87383.395854815666</v>
      </c>
      <c r="U190" s="65">
        <v>85626.26948161461</v>
      </c>
      <c r="V190" s="65">
        <v>84955.454794599587</v>
      </c>
      <c r="W190" s="65">
        <v>85066.363684683893</v>
      </c>
      <c r="X190" s="65">
        <v>86304.689969273793</v>
      </c>
      <c r="Y190" s="65">
        <v>87654.567151693875</v>
      </c>
      <c r="Z190" s="65">
        <v>88955.421625141884</v>
      </c>
      <c r="AA190" s="65">
        <v>88352.790073799901</v>
      </c>
      <c r="AB190" s="65">
        <v>86619.669441674661</v>
      </c>
      <c r="AC190" s="65">
        <v>83560.80622999066</v>
      </c>
      <c r="AD190" s="65">
        <v>78493.0741445358</v>
      </c>
      <c r="AE190" s="65">
        <v>74240.798252709879</v>
      </c>
      <c r="AF190" s="65">
        <v>71882.480587550992</v>
      </c>
      <c r="AG190" s="40">
        <f>ROUND(SUM(I190:AF190)*H190,2)</f>
        <v>7712437.3300000001</v>
      </c>
    </row>
    <row r="191" spans="2:33" ht="14.4" x14ac:dyDescent="0.25">
      <c r="B191">
        <f t="shared" si="78"/>
        <v>1</v>
      </c>
      <c r="C191">
        <f t="shared" si="79"/>
        <v>2030</v>
      </c>
      <c r="D191" t="str">
        <f t="shared" si="80"/>
        <v>12030DO</v>
      </c>
      <c r="E191" s="68">
        <v>47484</v>
      </c>
      <c r="F191" s="73"/>
      <c r="G191" s="41" t="s">
        <v>58</v>
      </c>
      <c r="H191" s="41">
        <v>4</v>
      </c>
      <c r="I191" s="65">
        <v>66527.90526143121</v>
      </c>
      <c r="J191" s="65">
        <v>65297.764954520389</v>
      </c>
      <c r="K191" s="65">
        <v>64430.28831976487</v>
      </c>
      <c r="L191" s="65">
        <v>63898.974259590868</v>
      </c>
      <c r="M191" s="65">
        <v>63637.152117955251</v>
      </c>
      <c r="N191" s="65">
        <v>63255.758902907539</v>
      </c>
      <c r="O191" s="65">
        <v>63185.263334832809</v>
      </c>
      <c r="P191" s="65">
        <v>62701.309672162693</v>
      </c>
      <c r="Q191" s="65">
        <v>62937.47059495002</v>
      </c>
      <c r="R191" s="65">
        <v>63297.195016373844</v>
      </c>
      <c r="S191" s="65">
        <v>65219.398693493902</v>
      </c>
      <c r="T191" s="65">
        <v>67298.500042205473</v>
      </c>
      <c r="U191" s="65">
        <v>68376.887799956326</v>
      </c>
      <c r="V191" s="65">
        <v>69244.425475103431</v>
      </c>
      <c r="W191" s="65">
        <v>70307.096383468452</v>
      </c>
      <c r="X191" s="65">
        <v>71771.628826344415</v>
      </c>
      <c r="Y191" s="65">
        <v>74051.353265762911</v>
      </c>
      <c r="Z191" s="65">
        <v>76582.263162438932</v>
      </c>
      <c r="AA191" s="65">
        <v>77182.400338625637</v>
      </c>
      <c r="AB191" s="65">
        <v>76238.480494617514</v>
      </c>
      <c r="AC191" s="65">
        <v>73671.403198171902</v>
      </c>
      <c r="AD191" s="65">
        <v>70805.214138038398</v>
      </c>
      <c r="AE191" s="65">
        <v>68302.736155299121</v>
      </c>
      <c r="AF191" s="65">
        <v>66514.757252653362</v>
      </c>
      <c r="AG191" s="40">
        <f>ROUND(SUM(I191:AF191)*H191,2)</f>
        <v>6538942.5099999998</v>
      </c>
    </row>
    <row r="192" spans="2:33" ht="14.4" x14ac:dyDescent="0.25">
      <c r="B192">
        <f t="shared" si="78"/>
        <v>1</v>
      </c>
      <c r="C192">
        <f t="shared" si="79"/>
        <v>2030</v>
      </c>
      <c r="D192" t="str">
        <f t="shared" si="80"/>
        <v>12030FE</v>
      </c>
      <c r="E192" s="68">
        <v>47484</v>
      </c>
      <c r="F192" s="73"/>
      <c r="G192" s="42" t="s">
        <v>59</v>
      </c>
      <c r="H192" s="42">
        <v>2</v>
      </c>
      <c r="I192" s="65">
        <v>65542.91780021193</v>
      </c>
      <c r="J192" s="65">
        <v>64419.177569998617</v>
      </c>
      <c r="K192" s="65">
        <v>63635.180852105092</v>
      </c>
      <c r="L192" s="65">
        <v>63145.829997829554</v>
      </c>
      <c r="M192" s="65">
        <v>63028.169487077685</v>
      </c>
      <c r="N192" s="65">
        <v>62975.251892581146</v>
      </c>
      <c r="O192" s="65">
        <v>63439.244586137058</v>
      </c>
      <c r="P192" s="65">
        <v>63213.70547201817</v>
      </c>
      <c r="Q192" s="65">
        <v>63484.286785699886</v>
      </c>
      <c r="R192" s="65">
        <v>63861.519071477633</v>
      </c>
      <c r="S192" s="65">
        <v>65779.941251184937</v>
      </c>
      <c r="T192" s="65">
        <v>67730.040280851041</v>
      </c>
      <c r="U192" s="65">
        <v>68665.591488067992</v>
      </c>
      <c r="V192" s="65">
        <v>69381.190305752505</v>
      </c>
      <c r="W192" s="65">
        <v>70547.740462081769</v>
      </c>
      <c r="X192" s="65">
        <v>72069.399449357195</v>
      </c>
      <c r="Y192" s="65">
        <v>74368.199748299055</v>
      </c>
      <c r="Z192" s="65">
        <v>76741.548008358019</v>
      </c>
      <c r="AA192" s="65">
        <v>76987.799496508567</v>
      </c>
      <c r="AB192" s="65">
        <v>76078.154536817427</v>
      </c>
      <c r="AC192" s="65">
        <v>73579.127753445602</v>
      </c>
      <c r="AD192" s="65">
        <v>70649.824868033611</v>
      </c>
      <c r="AE192" s="65">
        <v>68180.160924869779</v>
      </c>
      <c r="AF192" s="65">
        <v>66437.396789949387</v>
      </c>
      <c r="AG192" s="43">
        <f>ROUND(SUM(I192:AF192)*H192,2)</f>
        <v>3267882.8</v>
      </c>
    </row>
    <row r="193" spans="2:33" ht="15" thickBot="1" x14ac:dyDescent="0.3">
      <c r="B193">
        <f t="shared" si="78"/>
        <v>1</v>
      </c>
      <c r="C193">
        <f t="shared" si="79"/>
        <v>2030</v>
      </c>
      <c r="D193" t="str">
        <f>+_xlfn.CONCAT(E193,G193)</f>
        <v>47484TOTAL</v>
      </c>
      <c r="E193" s="68">
        <v>47484</v>
      </c>
      <c r="F193" s="61"/>
      <c r="G193" s="44" t="s">
        <v>10</v>
      </c>
      <c r="H193" s="44">
        <f>+SUM(H189:H192)</f>
        <v>31</v>
      </c>
      <c r="I193" s="45">
        <f t="shared" ref="I193:AF193" si="81">+SUMPRODUCT(I189:I192,$H189:$H192)</f>
        <v>2232859.9349878263</v>
      </c>
      <c r="J193" s="45">
        <f t="shared" si="81"/>
        <v>2191952.8950829189</v>
      </c>
      <c r="K193" s="45">
        <f t="shared" si="81"/>
        <v>2166723.0827481807</v>
      </c>
      <c r="L193" s="45">
        <f t="shared" si="81"/>
        <v>2154434.2823799578</v>
      </c>
      <c r="M193" s="45">
        <f t="shared" si="81"/>
        <v>2158569.0442213691</v>
      </c>
      <c r="N193" s="45">
        <f t="shared" si="81"/>
        <v>2195027.4397491496</v>
      </c>
      <c r="O193" s="45">
        <f t="shared" si="81"/>
        <v>2329744.4876894625</v>
      </c>
      <c r="P193" s="45">
        <f t="shared" si="81"/>
        <v>2469776.5726005798</v>
      </c>
      <c r="Q193" s="45">
        <f t="shared" si="81"/>
        <v>2577146.3846596982</v>
      </c>
      <c r="R193" s="45">
        <f t="shared" si="81"/>
        <v>2621768.5853449474</v>
      </c>
      <c r="S193" s="45">
        <f t="shared" si="81"/>
        <v>2710225.3900019033</v>
      </c>
      <c r="T193" s="45">
        <f t="shared" si="81"/>
        <v>2758839.8023665589</v>
      </c>
      <c r="U193" s="45">
        <f t="shared" si="81"/>
        <v>2720257.2556927418</v>
      </c>
      <c r="V193" s="45">
        <f t="shared" si="81"/>
        <v>2755950.4639532864</v>
      </c>
      <c r="W193" s="45">
        <f t="shared" si="81"/>
        <v>2833891.392421023</v>
      </c>
      <c r="X193" s="45">
        <f t="shared" si="81"/>
        <v>2886980.7326171775</v>
      </c>
      <c r="Y193" s="45">
        <f t="shared" si="81"/>
        <v>2917016.7893698439</v>
      </c>
      <c r="Z193" s="45">
        <f t="shared" si="81"/>
        <v>2898468.9704558961</v>
      </c>
      <c r="AA193" s="45">
        <f t="shared" si="81"/>
        <v>2827205.2018665452</v>
      </c>
      <c r="AB193" s="45">
        <f t="shared" si="81"/>
        <v>2751694.0656396677</v>
      </c>
      <c r="AC193" s="45">
        <f t="shared" si="81"/>
        <v>2641105.9387515341</v>
      </c>
      <c r="AD193" s="45">
        <f t="shared" si="81"/>
        <v>2487478.9685368333</v>
      </c>
      <c r="AE193" s="45">
        <f t="shared" si="81"/>
        <v>2354486.8712575766</v>
      </c>
      <c r="AF193" s="45">
        <f t="shared" si="81"/>
        <v>2279632.2918013255</v>
      </c>
      <c r="AG193" s="46">
        <f>SUM(I193:AF193)</f>
        <v>60921236.844195992</v>
      </c>
    </row>
    <row r="194" spans="2:33" ht="14.4" x14ac:dyDescent="0.25">
      <c r="B194">
        <f t="shared" si="78"/>
        <v>2</v>
      </c>
      <c r="C194">
        <f t="shared" si="79"/>
        <v>2030</v>
      </c>
      <c r="D194" t="str">
        <f t="shared" ref="D194:D197" si="82">+_xlfn.CONCAT(B194:C194,G194)</f>
        <v>22030OR</v>
      </c>
      <c r="E194" s="67">
        <v>47515</v>
      </c>
      <c r="F194" s="72">
        <f>+AG198</f>
        <v>55859425.818416193</v>
      </c>
      <c r="G194" s="37" t="s">
        <v>57</v>
      </c>
      <c r="H194" s="37">
        <v>20</v>
      </c>
      <c r="I194" s="65">
        <v>73661.692070561548</v>
      </c>
      <c r="J194" s="65">
        <v>72316.695620800136</v>
      </c>
      <c r="K194" s="65">
        <v>71530.037913343942</v>
      </c>
      <c r="L194" s="65">
        <v>71180.670076937211</v>
      </c>
      <c r="M194" s="65">
        <v>71430.335122942706</v>
      </c>
      <c r="N194" s="65">
        <v>73097.312450651283</v>
      </c>
      <c r="O194" s="65">
        <v>78808.822546066309</v>
      </c>
      <c r="P194" s="65">
        <v>85065.407947900545</v>
      </c>
      <c r="Q194" s="65">
        <v>89621.129504486395</v>
      </c>
      <c r="R194" s="65">
        <v>91199.868824176898</v>
      </c>
      <c r="S194" s="65">
        <v>94141.437919779666</v>
      </c>
      <c r="T194" s="65">
        <v>95833.384197674473</v>
      </c>
      <c r="U194" s="65">
        <v>94206.915879578111</v>
      </c>
      <c r="V194" s="65">
        <v>96117.915531659048</v>
      </c>
      <c r="W194" s="65">
        <v>99392.056704824776</v>
      </c>
      <c r="X194" s="65">
        <v>101261.65926699412</v>
      </c>
      <c r="Y194" s="65">
        <v>101415.54479282208</v>
      </c>
      <c r="Z194" s="65">
        <v>99585.026876753152</v>
      </c>
      <c r="AA194" s="65">
        <v>96212.594149591212</v>
      </c>
      <c r="AB194" s="65">
        <v>93190.25341594877</v>
      </c>
      <c r="AC194" s="65">
        <v>89212.768663429946</v>
      </c>
      <c r="AD194" s="65">
        <v>83652.975394281559</v>
      </c>
      <c r="AE194" s="65">
        <v>78811.168894337417</v>
      </c>
      <c r="AF194" s="65">
        <v>76188.276869802983</v>
      </c>
      <c r="AG194" s="38">
        <f>+SUM(I194:AF194)*H194</f>
        <v>41542679.012706883</v>
      </c>
    </row>
    <row r="195" spans="2:33" ht="14.4" x14ac:dyDescent="0.25">
      <c r="B195">
        <f t="shared" si="78"/>
        <v>2</v>
      </c>
      <c r="C195">
        <f t="shared" si="79"/>
        <v>2030</v>
      </c>
      <c r="D195" t="str">
        <f t="shared" si="82"/>
        <v>22030SA</v>
      </c>
      <c r="E195" s="68">
        <v>47515</v>
      </c>
      <c r="F195" s="73"/>
      <c r="G195" s="39" t="s">
        <v>60</v>
      </c>
      <c r="H195" s="39">
        <v>4</v>
      </c>
      <c r="I195" s="65">
        <v>74056.173625373747</v>
      </c>
      <c r="J195" s="65">
        <v>72637.471095371104</v>
      </c>
      <c r="K195" s="65">
        <v>71699.352176964807</v>
      </c>
      <c r="L195" s="65">
        <v>71218.555061237887</v>
      </c>
      <c r="M195" s="65">
        <v>71298.880271666916</v>
      </c>
      <c r="N195" s="65">
        <v>72080.375757476999</v>
      </c>
      <c r="O195" s="65">
        <v>76250.919163022161</v>
      </c>
      <c r="P195" s="65">
        <v>79834.386500509951</v>
      </c>
      <c r="Q195" s="65">
        <v>82653.844735615334</v>
      </c>
      <c r="R195" s="65">
        <v>84075.519371109724</v>
      </c>
      <c r="S195" s="65">
        <v>86727.778838851649</v>
      </c>
      <c r="T195" s="65">
        <v>87667.615110066836</v>
      </c>
      <c r="U195" s="65">
        <v>86077.459857813607</v>
      </c>
      <c r="V195" s="65">
        <v>85710.237719535755</v>
      </c>
      <c r="W195" s="65">
        <v>85710.504292754733</v>
      </c>
      <c r="X195" s="65">
        <v>86948.473028156193</v>
      </c>
      <c r="Y195" s="65">
        <v>87934.832591622675</v>
      </c>
      <c r="Z195" s="65">
        <v>89261.249401986512</v>
      </c>
      <c r="AA195" s="65">
        <v>88723.768846291205</v>
      </c>
      <c r="AB195" s="65">
        <v>86969.870381634842</v>
      </c>
      <c r="AC195" s="65">
        <v>83892.200685445656</v>
      </c>
      <c r="AD195" s="65">
        <v>78795.68612820562</v>
      </c>
      <c r="AE195" s="65">
        <v>74517.695568217692</v>
      </c>
      <c r="AF195" s="65">
        <v>72145.881649273011</v>
      </c>
      <c r="AG195" s="40">
        <f>+SUM(I195:AF195)*H195</f>
        <v>7747554.9274328183</v>
      </c>
    </row>
    <row r="196" spans="2:33" ht="14.4" x14ac:dyDescent="0.25">
      <c r="B196">
        <f t="shared" si="78"/>
        <v>2</v>
      </c>
      <c r="C196">
        <f t="shared" si="79"/>
        <v>2030</v>
      </c>
      <c r="D196" t="str">
        <f t="shared" si="82"/>
        <v>22030DO</v>
      </c>
      <c r="E196" s="68">
        <v>47515</v>
      </c>
      <c r="F196" s="73"/>
      <c r="G196" s="41" t="s">
        <v>58</v>
      </c>
      <c r="H196" s="41">
        <v>4</v>
      </c>
      <c r="I196" s="65">
        <v>66781.043333391601</v>
      </c>
      <c r="J196" s="65">
        <v>65541.358126877312</v>
      </c>
      <c r="K196" s="65">
        <v>64673.925281729593</v>
      </c>
      <c r="L196" s="65">
        <v>64138.731381388934</v>
      </c>
      <c r="M196" s="65">
        <v>63876.400383855405</v>
      </c>
      <c r="N196" s="65">
        <v>63477.669172626665</v>
      </c>
      <c r="O196" s="65">
        <v>63470.716746980477</v>
      </c>
      <c r="P196" s="65">
        <v>63095.015146189297</v>
      </c>
      <c r="Q196" s="65">
        <v>63358.69070671955</v>
      </c>
      <c r="R196" s="65">
        <v>63568.819747761678</v>
      </c>
      <c r="S196" s="65">
        <v>65299.048165569948</v>
      </c>
      <c r="T196" s="65">
        <v>67494.555553911807</v>
      </c>
      <c r="U196" s="65">
        <v>68756.281384801827</v>
      </c>
      <c r="V196" s="65">
        <v>69946.153390146152</v>
      </c>
      <c r="W196" s="65">
        <v>70895.702086155696</v>
      </c>
      <c r="X196" s="65">
        <v>72361.999318650327</v>
      </c>
      <c r="Y196" s="65">
        <v>74281.31415973886</v>
      </c>
      <c r="Z196" s="65">
        <v>76835.522682777693</v>
      </c>
      <c r="AA196" s="65">
        <v>77511.449751855893</v>
      </c>
      <c r="AB196" s="65">
        <v>76552.513707669801</v>
      </c>
      <c r="AC196" s="65">
        <v>73968.38708833055</v>
      </c>
      <c r="AD196" s="65">
        <v>71081.584751548682</v>
      </c>
      <c r="AE196" s="65">
        <v>68565.197202543801</v>
      </c>
      <c r="AF196" s="65">
        <v>66765.890297901002</v>
      </c>
      <c r="AG196" s="40">
        <f>+SUM(I196:AF196)*H196</f>
        <v>6569191.8782764878</v>
      </c>
    </row>
    <row r="197" spans="2:33" ht="14.4" x14ac:dyDescent="0.25">
      <c r="B197">
        <f t="shared" si="78"/>
        <v>2</v>
      </c>
      <c r="C197">
        <f t="shared" si="79"/>
        <v>2030</v>
      </c>
      <c r="D197" t="str">
        <f t="shared" si="82"/>
        <v>22030FE</v>
      </c>
      <c r="E197" s="68">
        <v>47515</v>
      </c>
      <c r="F197" s="73"/>
      <c r="G197" s="42" t="s">
        <v>59</v>
      </c>
      <c r="H197" s="42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  <c r="AG197" s="43">
        <f>+SUM(I197:AF197)*H197</f>
        <v>0</v>
      </c>
    </row>
    <row r="198" spans="2:33" ht="15" thickBot="1" x14ac:dyDescent="0.3">
      <c r="B198">
        <f t="shared" si="78"/>
        <v>2</v>
      </c>
      <c r="C198">
        <f t="shared" si="79"/>
        <v>2030</v>
      </c>
      <c r="D198" t="str">
        <f>+_xlfn.CONCAT(E198,G198)</f>
        <v>47515TOTAL</v>
      </c>
      <c r="E198" s="68">
        <v>47515</v>
      </c>
      <c r="F198" s="61"/>
      <c r="G198" s="44" t="s">
        <v>10</v>
      </c>
      <c r="H198" s="44">
        <f>+SUM(H194:H197)</f>
        <v>28</v>
      </c>
      <c r="I198" s="45">
        <f t="shared" ref="I198:AF198" si="83">+SUMPRODUCT(I194:I197,$H194:$H197)</f>
        <v>2036582.7092462925</v>
      </c>
      <c r="J198" s="45">
        <f t="shared" si="83"/>
        <v>1999049.2293049963</v>
      </c>
      <c r="K198" s="45">
        <f t="shared" si="83"/>
        <v>1976093.8681016564</v>
      </c>
      <c r="L198" s="45">
        <f t="shared" si="83"/>
        <v>1965042.5473092515</v>
      </c>
      <c r="M198" s="45">
        <f t="shared" si="83"/>
        <v>1969307.8250809433</v>
      </c>
      <c r="N198" s="45">
        <f t="shared" si="83"/>
        <v>2004178.4287334406</v>
      </c>
      <c r="O198" s="45">
        <f t="shared" si="83"/>
        <v>2135062.9945613365</v>
      </c>
      <c r="P198" s="45">
        <f t="shared" si="83"/>
        <v>2273025.7655448075</v>
      </c>
      <c r="Q198" s="45">
        <f t="shared" si="83"/>
        <v>2376472.7318590675</v>
      </c>
      <c r="R198" s="45">
        <f t="shared" si="83"/>
        <v>2414574.7329590237</v>
      </c>
      <c r="S198" s="45">
        <f t="shared" si="83"/>
        <v>2490936.0664132796</v>
      </c>
      <c r="T198" s="45">
        <f t="shared" si="83"/>
        <v>2537316.3666094043</v>
      </c>
      <c r="U198" s="45">
        <f t="shared" si="83"/>
        <v>2503473.282562024</v>
      </c>
      <c r="V198" s="45">
        <f t="shared" si="83"/>
        <v>2544983.8750719083</v>
      </c>
      <c r="W198" s="45">
        <f t="shared" si="83"/>
        <v>2614265.9596121372</v>
      </c>
      <c r="X198" s="45">
        <f t="shared" si="83"/>
        <v>2662475.0747271082</v>
      </c>
      <c r="Y198" s="45">
        <f t="shared" si="83"/>
        <v>2677175.4828618877</v>
      </c>
      <c r="Z198" s="45">
        <f t="shared" si="83"/>
        <v>2656087.6258741198</v>
      </c>
      <c r="AA198" s="45">
        <f t="shared" si="83"/>
        <v>2589192.7573844129</v>
      </c>
      <c r="AB198" s="45">
        <f t="shared" si="83"/>
        <v>2517894.604676194</v>
      </c>
      <c r="AC198" s="45">
        <f t="shared" si="83"/>
        <v>2415697.7243637037</v>
      </c>
      <c r="AD198" s="45">
        <f t="shared" si="83"/>
        <v>2272568.5914046485</v>
      </c>
      <c r="AE198" s="45">
        <f t="shared" si="83"/>
        <v>2148554.9489697944</v>
      </c>
      <c r="AF198" s="45">
        <f t="shared" si="83"/>
        <v>2079412.6251847558</v>
      </c>
      <c r="AG198" s="46">
        <f>SUM(I198:AF198)</f>
        <v>55859425.818416193</v>
      </c>
    </row>
    <row r="199" spans="2:33" ht="14.4" x14ac:dyDescent="0.25">
      <c r="B199">
        <f t="shared" si="78"/>
        <v>3</v>
      </c>
      <c r="C199">
        <f t="shared" si="79"/>
        <v>2030</v>
      </c>
      <c r="D199" t="str">
        <f t="shared" ref="D199:D202" si="84">+_xlfn.CONCAT(B199:C199,G199)</f>
        <v>32030OR</v>
      </c>
      <c r="E199" s="67">
        <v>47543</v>
      </c>
      <c r="F199" s="72">
        <f>+AG203</f>
        <v>61458207.424573578</v>
      </c>
      <c r="G199" s="37" t="s">
        <v>57</v>
      </c>
      <c r="H199" s="37">
        <v>20</v>
      </c>
      <c r="I199" s="65">
        <v>73817.006616015424</v>
      </c>
      <c r="J199" s="65">
        <v>72467.029942441979</v>
      </c>
      <c r="K199" s="65">
        <v>71677.933266796084</v>
      </c>
      <c r="L199" s="65">
        <v>71327.408614829648</v>
      </c>
      <c r="M199" s="65">
        <v>71581.997500436992</v>
      </c>
      <c r="N199" s="65">
        <v>73284.87986198788</v>
      </c>
      <c r="O199" s="65">
        <v>79099.234066508172</v>
      </c>
      <c r="P199" s="65">
        <v>86061.969223360778</v>
      </c>
      <c r="Q199" s="65">
        <v>90841.820811274403</v>
      </c>
      <c r="R199" s="65">
        <v>92405.486515498938</v>
      </c>
      <c r="S199" s="65">
        <v>95230.214108089858</v>
      </c>
      <c r="T199" s="65">
        <v>96756.132572839677</v>
      </c>
      <c r="U199" s="65">
        <v>95077.920558658225</v>
      </c>
      <c r="V199" s="65">
        <v>96581.918603949438</v>
      </c>
      <c r="W199" s="65">
        <v>99993.157349422079</v>
      </c>
      <c r="X199" s="65">
        <v>102262.23717470045</v>
      </c>
      <c r="Y199" s="65">
        <v>102432.234998523</v>
      </c>
      <c r="Z199" s="65">
        <v>100067.55413953845</v>
      </c>
      <c r="AA199" s="65">
        <v>96483.397882931677</v>
      </c>
      <c r="AB199" s="65">
        <v>93442.437368607629</v>
      </c>
      <c r="AC199" s="65">
        <v>89447.411438200375</v>
      </c>
      <c r="AD199" s="65">
        <v>83858.557553812789</v>
      </c>
      <c r="AE199" s="65">
        <v>78991.145497985359</v>
      </c>
      <c r="AF199" s="65">
        <v>76355.58754580954</v>
      </c>
      <c r="AG199" s="38">
        <f>+SUM(I199:AF199)*H199</f>
        <v>41790893.464244388</v>
      </c>
    </row>
    <row r="200" spans="2:33" ht="14.4" x14ac:dyDescent="0.25">
      <c r="B200">
        <f t="shared" si="78"/>
        <v>3</v>
      </c>
      <c r="C200">
        <f t="shared" si="79"/>
        <v>2030</v>
      </c>
      <c r="D200" t="str">
        <f t="shared" si="84"/>
        <v>32030SA</v>
      </c>
      <c r="E200" s="68">
        <v>47543</v>
      </c>
      <c r="F200" s="73"/>
      <c r="G200" s="39" t="s">
        <v>60</v>
      </c>
      <c r="H200" s="39">
        <v>5</v>
      </c>
      <c r="I200" s="65">
        <v>74206.702806879941</v>
      </c>
      <c r="J200" s="65">
        <v>72781.639581416603</v>
      </c>
      <c r="K200" s="65">
        <v>71837.07999871076</v>
      </c>
      <c r="L200" s="65">
        <v>71353.005830894312</v>
      </c>
      <c r="M200" s="65">
        <v>71436.002750454412</v>
      </c>
      <c r="N200" s="65">
        <v>72248.475191098973</v>
      </c>
      <c r="O200" s="65">
        <v>76509.95608213052</v>
      </c>
      <c r="P200" s="65">
        <v>80787.839371704351</v>
      </c>
      <c r="Q200" s="65">
        <v>83826.467548294517</v>
      </c>
      <c r="R200" s="65">
        <v>85231.979756052533</v>
      </c>
      <c r="S200" s="65">
        <v>87764.745315224456</v>
      </c>
      <c r="T200" s="65">
        <v>88532.156760998827</v>
      </c>
      <c r="U200" s="65">
        <v>86888.54359814302</v>
      </c>
      <c r="V200" s="65">
        <v>86104.552339246846</v>
      </c>
      <c r="W200" s="65">
        <v>86234.242770181692</v>
      </c>
      <c r="X200" s="65">
        <v>87871.422472631792</v>
      </c>
      <c r="Y200" s="65">
        <v>88877.622306166973</v>
      </c>
      <c r="Z200" s="65">
        <v>89681.699785609773</v>
      </c>
      <c r="AA200" s="65">
        <v>88943.437580810889</v>
      </c>
      <c r="AB200" s="65">
        <v>87175.157177507223</v>
      </c>
      <c r="AC200" s="65">
        <v>84084.617825959285</v>
      </c>
      <c r="AD200" s="65">
        <v>78966.280791611207</v>
      </c>
      <c r="AE200" s="65">
        <v>74669.318550033044</v>
      </c>
      <c r="AF200" s="65">
        <v>72285.26747911697</v>
      </c>
      <c r="AG200" s="40">
        <f>+SUM(I200:AF200)*H200</f>
        <v>9741491.0683543943</v>
      </c>
    </row>
    <row r="201" spans="2:33" ht="14.4" x14ac:dyDescent="0.25">
      <c r="B201">
        <f t="shared" si="78"/>
        <v>3</v>
      </c>
      <c r="C201">
        <f t="shared" si="79"/>
        <v>2030</v>
      </c>
      <c r="D201" t="str">
        <f t="shared" si="84"/>
        <v>32030DO</v>
      </c>
      <c r="E201" s="68">
        <v>47543</v>
      </c>
      <c r="F201" s="73"/>
      <c r="G201" s="41" t="s">
        <v>58</v>
      </c>
      <c r="H201" s="41">
        <v>5</v>
      </c>
      <c r="I201" s="65">
        <v>66803.553681652978</v>
      </c>
      <c r="J201" s="65">
        <v>65564.500469949591</v>
      </c>
      <c r="K201" s="65">
        <v>64696.226664212671</v>
      </c>
      <c r="L201" s="65">
        <v>64158.089849654716</v>
      </c>
      <c r="M201" s="65">
        <v>63916.17315234452</v>
      </c>
      <c r="N201" s="65">
        <v>63628.964375799478</v>
      </c>
      <c r="O201" s="65">
        <v>63772.829184122755</v>
      </c>
      <c r="P201" s="65">
        <v>64085.156365681338</v>
      </c>
      <c r="Q201" s="65">
        <v>64541.512839414201</v>
      </c>
      <c r="R201" s="65">
        <v>64732.241813673892</v>
      </c>
      <c r="S201" s="65">
        <v>66328.603575267189</v>
      </c>
      <c r="T201" s="65">
        <v>68383.498217131419</v>
      </c>
      <c r="U201" s="65">
        <v>69611.977435792098</v>
      </c>
      <c r="V201" s="65">
        <v>70395.329090795582</v>
      </c>
      <c r="W201" s="65">
        <v>71483.42722930717</v>
      </c>
      <c r="X201" s="65">
        <v>73339.926966403291</v>
      </c>
      <c r="Y201" s="65">
        <v>75308.399517849815</v>
      </c>
      <c r="Z201" s="65">
        <v>77304.166890645545</v>
      </c>
      <c r="AA201" s="65">
        <v>77770.063670847041</v>
      </c>
      <c r="AB201" s="65">
        <v>76783.592409066361</v>
      </c>
      <c r="AC201" s="65">
        <v>74213.866060925211</v>
      </c>
      <c r="AD201" s="65">
        <v>71316.309437929187</v>
      </c>
      <c r="AE201" s="65">
        <v>68795.162134191545</v>
      </c>
      <c r="AF201" s="65">
        <v>66985.879072399577</v>
      </c>
      <c r="AG201" s="40">
        <f>+SUM(I201:AF201)*H201</f>
        <v>8269597.2505252855</v>
      </c>
    </row>
    <row r="202" spans="2:33" ht="14.4" x14ac:dyDescent="0.25">
      <c r="B202">
        <f t="shared" si="78"/>
        <v>3</v>
      </c>
      <c r="C202">
        <f t="shared" si="79"/>
        <v>2030</v>
      </c>
      <c r="D202" t="str">
        <f t="shared" si="84"/>
        <v>32030FE</v>
      </c>
      <c r="E202" s="68">
        <v>47543</v>
      </c>
      <c r="F202" s="73"/>
      <c r="G202" s="42" t="s">
        <v>59</v>
      </c>
      <c r="H202" s="42">
        <v>1</v>
      </c>
      <c r="I202" s="65">
        <v>66011.715250820343</v>
      </c>
      <c r="J202" s="65">
        <v>64874.855420936241</v>
      </c>
      <c r="K202" s="65">
        <v>64088.215538528631</v>
      </c>
      <c r="L202" s="65">
        <v>63590.632027355074</v>
      </c>
      <c r="M202" s="65">
        <v>63484.204131893202</v>
      </c>
      <c r="N202" s="65">
        <v>63480.471705849697</v>
      </c>
      <c r="O202" s="65">
        <v>64133.331315883595</v>
      </c>
      <c r="P202" s="65">
        <v>64711.214710829794</v>
      </c>
      <c r="Q202" s="65">
        <v>65214.135747893088</v>
      </c>
      <c r="R202" s="65">
        <v>65424.618030364843</v>
      </c>
      <c r="S202" s="65">
        <v>67027.124030386476</v>
      </c>
      <c r="T202" s="65">
        <v>68942.226944916765</v>
      </c>
      <c r="U202" s="65">
        <v>70020.449021825771</v>
      </c>
      <c r="V202" s="65">
        <v>70652.745358686065</v>
      </c>
      <c r="W202" s="65">
        <v>71846.722552759107</v>
      </c>
      <c r="X202" s="65">
        <v>73769.891902270072</v>
      </c>
      <c r="Y202" s="65">
        <v>75744.68557478892</v>
      </c>
      <c r="Z202" s="65">
        <v>77588.67053432457</v>
      </c>
      <c r="AA202" s="65">
        <v>77704.015216421685</v>
      </c>
      <c r="AB202" s="65">
        <v>76742.045396594171</v>
      </c>
      <c r="AC202" s="65">
        <v>74214.586796873977</v>
      </c>
      <c r="AD202" s="65">
        <v>71243.717349236365</v>
      </c>
      <c r="AE202" s="65">
        <v>68742.84292040953</v>
      </c>
      <c r="AF202" s="65">
        <v>66972.523969678106</v>
      </c>
      <c r="AG202" s="43">
        <f>+SUM(I202:AF202)*H202</f>
        <v>1656225.641449526</v>
      </c>
    </row>
    <row r="203" spans="2:33" ht="15" thickBot="1" x14ac:dyDescent="0.3">
      <c r="B203">
        <f t="shared" si="78"/>
        <v>3</v>
      </c>
      <c r="C203">
        <f t="shared" si="79"/>
        <v>2030</v>
      </c>
      <c r="D203" t="str">
        <f>+_xlfn.CONCAT(E203,G203)</f>
        <v>47543TOTAL</v>
      </c>
      <c r="E203" s="68">
        <v>47543</v>
      </c>
      <c r="F203" s="61"/>
      <c r="G203" s="44" t="s">
        <v>10</v>
      </c>
      <c r="H203" s="44">
        <f>+SUM(H199:H202)</f>
        <v>31</v>
      </c>
      <c r="I203" s="45">
        <f t="shared" ref="I203:AF203" si="85">+SUMPRODUCT(I199:I202,$H199:$H202)</f>
        <v>2247403.1300137937</v>
      </c>
      <c r="J203" s="45">
        <f t="shared" si="85"/>
        <v>2205946.1545266067</v>
      </c>
      <c r="K203" s="45">
        <f t="shared" si="85"/>
        <v>2180313.4141890677</v>
      </c>
      <c r="L203" s="45">
        <f t="shared" si="85"/>
        <v>2167694.282726693</v>
      </c>
      <c r="M203" s="45">
        <f t="shared" si="85"/>
        <v>2171885.0336546279</v>
      </c>
      <c r="N203" s="45">
        <f t="shared" si="85"/>
        <v>2208565.2667800994</v>
      </c>
      <c r="O203" s="45">
        <f t="shared" si="85"/>
        <v>2347531.9389773132</v>
      </c>
      <c r="P203" s="45">
        <f t="shared" si="85"/>
        <v>2510315.5778649738</v>
      </c>
      <c r="Q203" s="45">
        <f t="shared" si="85"/>
        <v>2623890.4539119247</v>
      </c>
      <c r="R203" s="45">
        <f t="shared" si="85"/>
        <v>2663355.4561889758</v>
      </c>
      <c r="S203" s="45">
        <f t="shared" si="85"/>
        <v>2742098.1506446418</v>
      </c>
      <c r="T203" s="45">
        <f t="shared" si="85"/>
        <v>2788643.1532923616</v>
      </c>
      <c r="U203" s="45">
        <f t="shared" si="85"/>
        <v>2754081.4653646657</v>
      </c>
      <c r="V203" s="45">
        <f t="shared" si="85"/>
        <v>2784790.5245878869</v>
      </c>
      <c r="W203" s="45">
        <f t="shared" si="85"/>
        <v>2860298.2195386454</v>
      </c>
      <c r="X203" s="45">
        <f t="shared" si="85"/>
        <v>2925071.3825914548</v>
      </c>
      <c r="Y203" s="45">
        <f t="shared" si="85"/>
        <v>2945319.4946653331</v>
      </c>
      <c r="Z203" s="45">
        <f t="shared" si="85"/>
        <v>2913869.0867063696</v>
      </c>
      <c r="AA203" s="45">
        <f t="shared" si="85"/>
        <v>2840939.4791333447</v>
      </c>
      <c r="AB203" s="45">
        <f t="shared" si="85"/>
        <v>2765384.5407016152</v>
      </c>
      <c r="AC203" s="45">
        <f t="shared" si="85"/>
        <v>2654655.2349953041</v>
      </c>
      <c r="AD203" s="45">
        <f t="shared" si="85"/>
        <v>2499827.8195731943</v>
      </c>
      <c r="AE203" s="45">
        <f t="shared" si="85"/>
        <v>2365888.1563012395</v>
      </c>
      <c r="AF203" s="45">
        <f t="shared" si="85"/>
        <v>2290440.0076434519</v>
      </c>
      <c r="AG203" s="46">
        <f>SUM(I203:AF203)</f>
        <v>61458207.424573578</v>
      </c>
    </row>
    <row r="204" spans="2:33" ht="14.4" x14ac:dyDescent="0.25">
      <c r="B204">
        <f t="shared" si="78"/>
        <v>4</v>
      </c>
      <c r="C204">
        <f t="shared" si="79"/>
        <v>2030</v>
      </c>
      <c r="D204" t="str">
        <f t="shared" ref="D204:D207" si="86">+_xlfn.CONCAT(B204:C204,G204)</f>
        <v>42030OR</v>
      </c>
      <c r="E204" s="67">
        <v>47574</v>
      </c>
      <c r="F204" s="72">
        <f>+AG208</f>
        <v>59621720.840270638</v>
      </c>
      <c r="G204" s="37" t="s">
        <v>57</v>
      </c>
      <c r="H204" s="37">
        <v>20</v>
      </c>
      <c r="I204" s="65">
        <v>73685.293279479345</v>
      </c>
      <c r="J204" s="65">
        <v>72334.315979763778</v>
      </c>
      <c r="K204" s="65">
        <v>71545.520179689323</v>
      </c>
      <c r="L204" s="65">
        <v>71196.495981369488</v>
      </c>
      <c r="M204" s="65">
        <v>71451.360097514247</v>
      </c>
      <c r="N204" s="65">
        <v>73176.977480235888</v>
      </c>
      <c r="O204" s="65">
        <v>79049.218849160214</v>
      </c>
      <c r="P204" s="65">
        <v>86467.161035561076</v>
      </c>
      <c r="Q204" s="65">
        <v>91458.304070378421</v>
      </c>
      <c r="R204" s="65">
        <v>93065.344166377734</v>
      </c>
      <c r="S204" s="65">
        <v>95910.915271654085</v>
      </c>
      <c r="T204" s="65">
        <v>97260.112302908034</v>
      </c>
      <c r="U204" s="65">
        <v>95508.445576465689</v>
      </c>
      <c r="V204" s="65">
        <v>96752.605490455637</v>
      </c>
      <c r="W204" s="65">
        <v>100648.70737814832</v>
      </c>
      <c r="X204" s="65">
        <v>102703.33032817931</v>
      </c>
      <c r="Y204" s="65">
        <v>102696.82713382157</v>
      </c>
      <c r="Z204" s="65">
        <v>99975.225976728078</v>
      </c>
      <c r="AA204" s="65">
        <v>96350.902288051337</v>
      </c>
      <c r="AB204" s="65">
        <v>93308.768012857239</v>
      </c>
      <c r="AC204" s="65">
        <v>89315.269280273249</v>
      </c>
      <c r="AD204" s="65">
        <v>83724.181882324236</v>
      </c>
      <c r="AE204" s="65">
        <v>78854.781157443998</v>
      </c>
      <c r="AF204" s="65">
        <v>76217.158870604893</v>
      </c>
      <c r="AG204" s="38">
        <f>+SUM(I204:AF204)*H204</f>
        <v>41853144.441388905</v>
      </c>
    </row>
    <row r="205" spans="2:33" ht="14.4" x14ac:dyDescent="0.25">
      <c r="B205">
        <f t="shared" si="78"/>
        <v>4</v>
      </c>
      <c r="C205">
        <f t="shared" si="79"/>
        <v>2030</v>
      </c>
      <c r="D205" t="str">
        <f t="shared" si="86"/>
        <v>42030SA</v>
      </c>
      <c r="E205" s="68">
        <v>47574</v>
      </c>
      <c r="F205" s="73"/>
      <c r="G205" s="39" t="s">
        <v>60</v>
      </c>
      <c r="H205" s="39">
        <v>4</v>
      </c>
      <c r="I205" s="65">
        <v>74096.727737295238</v>
      </c>
      <c r="J205" s="65">
        <v>72670.937445307936</v>
      </c>
      <c r="K205" s="65">
        <v>71726.012268396473</v>
      </c>
      <c r="L205" s="65">
        <v>71242.334047798417</v>
      </c>
      <c r="M205" s="65">
        <v>71325.545377354574</v>
      </c>
      <c r="N205" s="65">
        <v>72162.297850543968</v>
      </c>
      <c r="O205" s="65">
        <v>76486.154646552372</v>
      </c>
      <c r="P205" s="65">
        <v>81221.543827895832</v>
      </c>
      <c r="Q205" s="65">
        <v>84475.506859680056</v>
      </c>
      <c r="R205" s="65">
        <v>85927.490579031743</v>
      </c>
      <c r="S205" s="65">
        <v>88481.433820337479</v>
      </c>
      <c r="T205" s="65">
        <v>89073.316317588818</v>
      </c>
      <c r="U205" s="65">
        <v>87357.488706575168</v>
      </c>
      <c r="V205" s="65">
        <v>86312.861393561063</v>
      </c>
      <c r="W205" s="65">
        <v>86926.099432940042</v>
      </c>
      <c r="X205" s="65">
        <v>88348.713132299701</v>
      </c>
      <c r="Y205" s="65">
        <v>89179.417662213513</v>
      </c>
      <c r="Z205" s="65">
        <v>89627.639992383833</v>
      </c>
      <c r="AA205" s="65">
        <v>88844.051491752791</v>
      </c>
      <c r="AB205" s="65">
        <v>87076.106248482989</v>
      </c>
      <c r="AC205" s="65">
        <v>83987.959916097025</v>
      </c>
      <c r="AD205" s="65">
        <v>78869.513145570032</v>
      </c>
      <c r="AE205" s="65">
        <v>74572.929292109286</v>
      </c>
      <c r="AF205" s="65">
        <v>72185.733854327744</v>
      </c>
      <c r="AG205" s="40">
        <f>+SUM(I205:AF205)*H205</f>
        <v>7808711.2601843849</v>
      </c>
    </row>
    <row r="206" spans="2:33" ht="14.4" x14ac:dyDescent="0.25">
      <c r="B206">
        <f t="shared" si="78"/>
        <v>4</v>
      </c>
      <c r="C206">
        <f t="shared" si="79"/>
        <v>2030</v>
      </c>
      <c r="D206" t="str">
        <f t="shared" si="86"/>
        <v>42030DO</v>
      </c>
      <c r="E206" s="68">
        <v>47574</v>
      </c>
      <c r="F206" s="73"/>
      <c r="G206" s="41" t="s">
        <v>58</v>
      </c>
      <c r="H206" s="41">
        <v>3</v>
      </c>
      <c r="I206" s="65">
        <v>66812.268163531277</v>
      </c>
      <c r="J206" s="65">
        <v>65565.951167129679</v>
      </c>
      <c r="K206" s="65">
        <v>64697.149352081527</v>
      </c>
      <c r="L206" s="65">
        <v>64157.326163707527</v>
      </c>
      <c r="M206" s="65">
        <v>63894.396126737389</v>
      </c>
      <c r="N206" s="65">
        <v>63534.885986656329</v>
      </c>
      <c r="O206" s="65">
        <v>63666.202158933702</v>
      </c>
      <c r="P206" s="65">
        <v>64437.413259109213</v>
      </c>
      <c r="Q206" s="65">
        <v>65134.550606918063</v>
      </c>
      <c r="R206" s="65">
        <v>65380.19306374123</v>
      </c>
      <c r="S206" s="65">
        <v>67007.118371037941</v>
      </c>
      <c r="T206" s="65">
        <v>68863.883742511811</v>
      </c>
      <c r="U206" s="65">
        <v>70013.037430150696</v>
      </c>
      <c r="V206" s="65">
        <v>70539.271780526178</v>
      </c>
      <c r="W206" s="65">
        <v>72102.237615112506</v>
      </c>
      <c r="X206" s="65">
        <v>73750.558543742678</v>
      </c>
      <c r="Y206" s="65">
        <v>75518.410699107451</v>
      </c>
      <c r="Z206" s="65">
        <v>77191.658227674401</v>
      </c>
      <c r="AA206" s="65">
        <v>77630.889683406072</v>
      </c>
      <c r="AB206" s="65">
        <v>76660.447711699235</v>
      </c>
      <c r="AC206" s="65">
        <v>74062.392556067076</v>
      </c>
      <c r="AD206" s="65">
        <v>71152.11162780218</v>
      </c>
      <c r="AE206" s="65">
        <v>68618.416955167806</v>
      </c>
      <c r="AF206" s="65">
        <v>66803.520376373577</v>
      </c>
      <c r="AG206" s="40">
        <f>+SUM(I206:AF206)*H206</f>
        <v>4971582.874106776</v>
      </c>
    </row>
    <row r="207" spans="2:33" ht="14.4" x14ac:dyDescent="0.25">
      <c r="B207">
        <f t="shared" si="78"/>
        <v>4</v>
      </c>
      <c r="C207">
        <f t="shared" si="79"/>
        <v>2030</v>
      </c>
      <c r="D207" t="str">
        <f t="shared" si="86"/>
        <v>42030FE</v>
      </c>
      <c r="E207" s="68">
        <v>47574</v>
      </c>
      <c r="F207" s="73"/>
      <c r="G207" s="42" t="s">
        <v>59</v>
      </c>
      <c r="H207" s="42">
        <v>3</v>
      </c>
      <c r="I207" s="65">
        <v>66004.434432400725</v>
      </c>
      <c r="J207" s="65">
        <v>64864.662064211676</v>
      </c>
      <c r="K207" s="65">
        <v>64076.031228679378</v>
      </c>
      <c r="L207" s="65">
        <v>63577.19117499335</v>
      </c>
      <c r="M207" s="65">
        <v>63470.614630156429</v>
      </c>
      <c r="N207" s="65">
        <v>63489.406414441961</v>
      </c>
      <c r="O207" s="65">
        <v>64205.403660431642</v>
      </c>
      <c r="P207" s="65">
        <v>65246.314337527816</v>
      </c>
      <c r="Q207" s="65">
        <v>65970.938443029125</v>
      </c>
      <c r="R207" s="65">
        <v>66236.623082603823</v>
      </c>
      <c r="S207" s="65">
        <v>67867.701775050431</v>
      </c>
      <c r="T207" s="65">
        <v>69613.552649739402</v>
      </c>
      <c r="U207" s="65">
        <v>70617.484717994346</v>
      </c>
      <c r="V207" s="65">
        <v>70989.299053904237</v>
      </c>
      <c r="W207" s="65">
        <v>72665.55451960022</v>
      </c>
      <c r="X207" s="65">
        <v>74372.018881306969</v>
      </c>
      <c r="Y207" s="65">
        <v>76171.040048672046</v>
      </c>
      <c r="Z207" s="65">
        <v>77657.321884936639</v>
      </c>
      <c r="AA207" s="65">
        <v>77725.748334723234</v>
      </c>
      <c r="AB207" s="65">
        <v>76760.992454124891</v>
      </c>
      <c r="AC207" s="65">
        <v>74226.525495231283</v>
      </c>
      <c r="AD207" s="65">
        <v>71247.442225787148</v>
      </c>
      <c r="AE207" s="65">
        <v>68739.657380369041</v>
      </c>
      <c r="AF207" s="65">
        <v>66964.795973606728</v>
      </c>
      <c r="AG207" s="43">
        <f>+SUM(I207:AF207)*H207</f>
        <v>4988282.2645905679</v>
      </c>
    </row>
    <row r="208" spans="2:33" ht="15" thickBot="1" x14ac:dyDescent="0.3">
      <c r="B208">
        <f t="shared" si="78"/>
        <v>4</v>
      </c>
      <c r="C208">
        <f t="shared" si="79"/>
        <v>2030</v>
      </c>
      <c r="D208" t="str">
        <f>+_xlfn.CONCAT(E208,G208)</f>
        <v>47574TOTAL</v>
      </c>
      <c r="E208" s="68">
        <v>47574</v>
      </c>
      <c r="F208" s="61"/>
      <c r="G208" s="44" t="s">
        <v>10</v>
      </c>
      <c r="H208" s="44">
        <f>+SUM(H204:H207)</f>
        <v>30</v>
      </c>
      <c r="I208" s="45">
        <f t="shared" ref="I208:AF208" si="87">+SUMPRODUCT(I204:I207,$H204:$H207)</f>
        <v>2168542.8843265637</v>
      </c>
      <c r="J208" s="45">
        <f t="shared" si="87"/>
        <v>2128661.9090705314</v>
      </c>
      <c r="K208" s="45">
        <f t="shared" si="87"/>
        <v>2104133.9944096548</v>
      </c>
      <c r="L208" s="45">
        <f t="shared" si="87"/>
        <v>2092102.8078346862</v>
      </c>
      <c r="M208" s="45">
        <f t="shared" si="87"/>
        <v>2096424.4157303844</v>
      </c>
      <c r="N208" s="45">
        <f t="shared" si="87"/>
        <v>2133261.6182101886</v>
      </c>
      <c r="O208" s="45">
        <f t="shared" si="87"/>
        <v>2270543.81302751</v>
      </c>
      <c r="P208" s="45">
        <f t="shared" si="87"/>
        <v>2443280.5788127161</v>
      </c>
      <c r="Q208" s="45">
        <f t="shared" si="87"/>
        <v>2560384.5759961302</v>
      </c>
      <c r="R208" s="45">
        <f t="shared" si="87"/>
        <v>2599867.2940827166</v>
      </c>
      <c r="S208" s="45">
        <f t="shared" si="87"/>
        <v>2676768.5011526966</v>
      </c>
      <c r="T208" s="45">
        <f t="shared" si="87"/>
        <v>2716927.8205052693</v>
      </c>
      <c r="U208" s="45">
        <f t="shared" si="87"/>
        <v>2681490.4328000494</v>
      </c>
      <c r="V208" s="45">
        <f t="shared" si="87"/>
        <v>2704889.2678866484</v>
      </c>
      <c r="W208" s="45">
        <f t="shared" si="87"/>
        <v>2794981.921698865</v>
      </c>
      <c r="X208" s="45">
        <f t="shared" si="87"/>
        <v>2851829.1913679335</v>
      </c>
      <c r="Y208" s="45">
        <f t="shared" si="87"/>
        <v>2865722.5655686236</v>
      </c>
      <c r="Z208" s="45">
        <f t="shared" si="87"/>
        <v>2822562.0198419299</v>
      </c>
      <c r="AA208" s="45">
        <f t="shared" si="87"/>
        <v>2748464.1657824256</v>
      </c>
      <c r="AB208" s="45">
        <f t="shared" si="87"/>
        <v>2674744.1057485491</v>
      </c>
      <c r="AC208" s="45">
        <f t="shared" si="87"/>
        <v>2567123.9794237483</v>
      </c>
      <c r="AD208" s="45">
        <f t="shared" si="87"/>
        <v>2417160.3517895332</v>
      </c>
      <c r="AE208" s="45">
        <f t="shared" si="87"/>
        <v>2287461.5633239276</v>
      </c>
      <c r="AF208" s="45">
        <f t="shared" si="87"/>
        <v>2214391.0618793499</v>
      </c>
      <c r="AG208" s="46">
        <f>SUM(I208:AF208)</f>
        <v>59621720.840270638</v>
      </c>
    </row>
    <row r="209" spans="2:33" ht="14.4" x14ac:dyDescent="0.25">
      <c r="B209">
        <f t="shared" si="78"/>
        <v>5</v>
      </c>
      <c r="C209">
        <f t="shared" si="79"/>
        <v>2030</v>
      </c>
      <c r="D209" t="str">
        <f t="shared" ref="D209:D212" si="88">+_xlfn.CONCAT(B209:C209,G209)</f>
        <v>52030OR</v>
      </c>
      <c r="E209" s="67">
        <v>47604</v>
      </c>
      <c r="F209" s="72">
        <f>+AG213</f>
        <v>62289431.899328485</v>
      </c>
      <c r="G209" s="37" t="s">
        <v>57</v>
      </c>
      <c r="H209" s="37">
        <v>22</v>
      </c>
      <c r="I209" s="65">
        <v>73795.9899873174</v>
      </c>
      <c r="J209" s="65">
        <v>72442.086699531341</v>
      </c>
      <c r="K209" s="65">
        <v>71651.720305764509</v>
      </c>
      <c r="L209" s="65">
        <v>71301.612935481346</v>
      </c>
      <c r="M209" s="65">
        <v>71560.239416405777</v>
      </c>
      <c r="N209" s="65">
        <v>73313.366276286091</v>
      </c>
      <c r="O209" s="65">
        <v>78965.23926859023</v>
      </c>
      <c r="P209" s="65">
        <v>86402.085750873914</v>
      </c>
      <c r="Q209" s="65">
        <v>91316.404094965677</v>
      </c>
      <c r="R209" s="65">
        <v>93473.160726109767</v>
      </c>
      <c r="S209" s="65">
        <v>96382.889220959987</v>
      </c>
      <c r="T209" s="65">
        <v>98090.557353050623</v>
      </c>
      <c r="U209" s="65">
        <v>96455.207025251366</v>
      </c>
      <c r="V209" s="65">
        <v>97919.62287060752</v>
      </c>
      <c r="W209" s="65">
        <v>101029.79690140505</v>
      </c>
      <c r="X209" s="65">
        <v>102523.28194072517</v>
      </c>
      <c r="Y209" s="65">
        <v>102277.79972581145</v>
      </c>
      <c r="Z209" s="65">
        <v>100114.25002707915</v>
      </c>
      <c r="AA209" s="65">
        <v>96541.980288917606</v>
      </c>
      <c r="AB209" s="65">
        <v>93486.507502546287</v>
      </c>
      <c r="AC209" s="65">
        <v>89479.997608527789</v>
      </c>
      <c r="AD209" s="65">
        <v>83869.2063704459</v>
      </c>
      <c r="AE209" s="65">
        <v>78982.103601327573</v>
      </c>
      <c r="AF209" s="65">
        <v>76336.626743702669</v>
      </c>
      <c r="AG209" s="38">
        <f>+SUM(I209:AF209)*H209</f>
        <v>46149658.118117057</v>
      </c>
    </row>
    <row r="210" spans="2:33" ht="14.4" x14ac:dyDescent="0.25">
      <c r="B210">
        <f t="shared" si="78"/>
        <v>5</v>
      </c>
      <c r="C210">
        <f t="shared" si="79"/>
        <v>2030</v>
      </c>
      <c r="D210" t="str">
        <f t="shared" si="88"/>
        <v>52030SA</v>
      </c>
      <c r="E210" s="68">
        <v>47604</v>
      </c>
      <c r="F210" s="73"/>
      <c r="G210" s="39" t="s">
        <v>60</v>
      </c>
      <c r="H210" s="39">
        <v>4</v>
      </c>
      <c r="I210" s="65">
        <v>74226.676254443257</v>
      </c>
      <c r="J210" s="65">
        <v>72795.962433262393</v>
      </c>
      <c r="K210" s="65">
        <v>71845.800082465968</v>
      </c>
      <c r="L210" s="65">
        <v>71359.11177391767</v>
      </c>
      <c r="M210" s="65">
        <v>71445.000093504001</v>
      </c>
      <c r="N210" s="65">
        <v>72306.324011829623</v>
      </c>
      <c r="O210" s="65">
        <v>76401.651506392547</v>
      </c>
      <c r="P210" s="65">
        <v>81149.075196386359</v>
      </c>
      <c r="Q210" s="65">
        <v>84323.799383084173</v>
      </c>
      <c r="R210" s="65">
        <v>86324.916431508638</v>
      </c>
      <c r="S210" s="65">
        <v>88943.20068554848</v>
      </c>
      <c r="T210" s="65">
        <v>89888.568412187451</v>
      </c>
      <c r="U210" s="65">
        <v>88285.380840674145</v>
      </c>
      <c r="V210" s="65">
        <v>87452.596314440103</v>
      </c>
      <c r="W210" s="65">
        <v>87275.246139278737</v>
      </c>
      <c r="X210" s="65">
        <v>88136.599004667572</v>
      </c>
      <c r="Y210" s="65">
        <v>88730.361255205717</v>
      </c>
      <c r="Z210" s="65">
        <v>89743.911363002393</v>
      </c>
      <c r="AA210" s="65">
        <v>89021.323617218615</v>
      </c>
      <c r="AB210" s="65">
        <v>87239.904340002278</v>
      </c>
      <c r="AC210" s="65">
        <v>84139.713740088162</v>
      </c>
      <c r="AD210" s="65">
        <v>79003.49505462774</v>
      </c>
      <c r="AE210" s="65">
        <v>74691.151402835472</v>
      </c>
      <c r="AF210" s="65">
        <v>72295.457123928296</v>
      </c>
      <c r="AG210" s="40">
        <f>+SUM(I210:AF210)*H210</f>
        <v>7828100.9058419978</v>
      </c>
    </row>
    <row r="211" spans="2:33" ht="14.4" x14ac:dyDescent="0.25">
      <c r="B211">
        <f t="shared" si="78"/>
        <v>5</v>
      </c>
      <c r="C211">
        <f t="shared" si="79"/>
        <v>2030</v>
      </c>
      <c r="D211" t="str">
        <f t="shared" si="88"/>
        <v>52030DO</v>
      </c>
      <c r="E211" s="68">
        <v>47604</v>
      </c>
      <c r="F211" s="73"/>
      <c r="G211" s="41" t="s">
        <v>58</v>
      </c>
      <c r="H211" s="41">
        <v>4</v>
      </c>
      <c r="I211" s="65">
        <v>66930.832940689856</v>
      </c>
      <c r="J211" s="65">
        <v>65679.992279340862</v>
      </c>
      <c r="K211" s="65">
        <v>64810.393674831081</v>
      </c>
      <c r="L211" s="65">
        <v>64267.676995816073</v>
      </c>
      <c r="M211" s="65">
        <v>64004.118575727065</v>
      </c>
      <c r="N211" s="65">
        <v>63657.080095723351</v>
      </c>
      <c r="O211" s="65">
        <v>63545.833181464091</v>
      </c>
      <c r="P211" s="65">
        <v>64325.474703555235</v>
      </c>
      <c r="Q211" s="65">
        <v>64938.472020871719</v>
      </c>
      <c r="R211" s="65">
        <v>65732.750995512295</v>
      </c>
      <c r="S211" s="65">
        <v>67420.679743940389</v>
      </c>
      <c r="T211" s="65">
        <v>69636.42234063099</v>
      </c>
      <c r="U211" s="65">
        <v>70909.090053208827</v>
      </c>
      <c r="V211" s="65">
        <v>71657.82126283017</v>
      </c>
      <c r="W211" s="65">
        <v>72428.233623585358</v>
      </c>
      <c r="X211" s="65">
        <v>73515.426596218516</v>
      </c>
      <c r="Y211" s="65">
        <v>75047.593177604751</v>
      </c>
      <c r="Z211" s="65">
        <v>77285.432185083875</v>
      </c>
      <c r="AA211" s="65">
        <v>77793.666539413971</v>
      </c>
      <c r="AB211" s="65">
        <v>76813.626631551451</v>
      </c>
      <c r="AC211" s="65">
        <v>74203.651303792052</v>
      </c>
      <c r="AD211" s="65">
        <v>71278.790489334569</v>
      </c>
      <c r="AE211" s="65">
        <v>68735.66034142737</v>
      </c>
      <c r="AF211" s="65">
        <v>66913.004786440288</v>
      </c>
      <c r="AG211" s="40">
        <f>+SUM(I211:AF211)*H211</f>
        <v>6646126.8981543761</v>
      </c>
    </row>
    <row r="212" spans="2:33" ht="14.4" x14ac:dyDescent="0.25">
      <c r="B212">
        <f t="shared" si="78"/>
        <v>5</v>
      </c>
      <c r="C212">
        <f t="shared" si="79"/>
        <v>2030</v>
      </c>
      <c r="D212" t="str">
        <f t="shared" si="88"/>
        <v>52030FE</v>
      </c>
      <c r="E212" s="68">
        <v>47604</v>
      </c>
      <c r="F212" s="73"/>
      <c r="G212" s="42" t="s">
        <v>59</v>
      </c>
      <c r="H212" s="42">
        <v>1</v>
      </c>
      <c r="I212" s="65">
        <v>66041.924742136791</v>
      </c>
      <c r="J212" s="65">
        <v>64900.907526089664</v>
      </c>
      <c r="K212" s="65">
        <v>64113.308720684392</v>
      </c>
      <c r="L212" s="65">
        <v>63612.491065641225</v>
      </c>
      <c r="M212" s="65">
        <v>63510.447140064178</v>
      </c>
      <c r="N212" s="65">
        <v>63554.683795521509</v>
      </c>
      <c r="O212" s="65">
        <v>64049.024416291031</v>
      </c>
      <c r="P212" s="65">
        <v>65090.695859314823</v>
      </c>
      <c r="Q212" s="65">
        <v>65726.400808025413</v>
      </c>
      <c r="R212" s="65">
        <v>66534.039258739445</v>
      </c>
      <c r="S212" s="65">
        <v>68211.946120142209</v>
      </c>
      <c r="T212" s="65">
        <v>70314.018389910867</v>
      </c>
      <c r="U212" s="65">
        <v>71439.611807024543</v>
      </c>
      <c r="V212" s="65">
        <v>72035.511144409276</v>
      </c>
      <c r="W212" s="65">
        <v>72931.83105639412</v>
      </c>
      <c r="X212" s="65">
        <v>74083.744987348677</v>
      </c>
      <c r="Y212" s="65">
        <v>75653.612604803289</v>
      </c>
      <c r="Z212" s="65">
        <v>77690.513730466846</v>
      </c>
      <c r="AA212" s="65">
        <v>77822.079058383475</v>
      </c>
      <c r="AB212" s="65">
        <v>76834.760339964021</v>
      </c>
      <c r="AC212" s="65">
        <v>74293.778851131545</v>
      </c>
      <c r="AD212" s="65">
        <v>71306.364577709028</v>
      </c>
      <c r="AE212" s="65">
        <v>68789.172299374899</v>
      </c>
      <c r="AF212" s="65">
        <v>67005.108915483375</v>
      </c>
      <c r="AG212" s="43">
        <f>+SUM(I212:AF212)*H212</f>
        <v>1665545.9772150547</v>
      </c>
    </row>
    <row r="213" spans="2:33" ht="15" thickBot="1" x14ac:dyDescent="0.3">
      <c r="B213">
        <f t="shared" si="78"/>
        <v>5</v>
      </c>
      <c r="C213">
        <f t="shared" si="79"/>
        <v>2030</v>
      </c>
      <c r="D213" t="str">
        <f>+_xlfn.CONCAT(E213,G213)</f>
        <v>47604TOTAL</v>
      </c>
      <c r="E213" s="68">
        <v>47604</v>
      </c>
      <c r="F213" s="61"/>
      <c r="G213" s="44" t="s">
        <v>10</v>
      </c>
      <c r="H213" s="44">
        <f>+SUM(H209:H212)</f>
        <v>31</v>
      </c>
      <c r="I213" s="45">
        <f t="shared" ref="I213:AF213" si="89">+SUMPRODUCT(I209:I212,$H209:$H212)</f>
        <v>2254183.7412436516</v>
      </c>
      <c r="J213" s="45">
        <f t="shared" si="89"/>
        <v>2212530.633766192</v>
      </c>
      <c r="K213" s="45">
        <f t="shared" si="89"/>
        <v>2187075.930476692</v>
      </c>
      <c r="L213" s="45">
        <f t="shared" si="89"/>
        <v>2174755.1307251663</v>
      </c>
      <c r="M213" s="45">
        <f t="shared" si="89"/>
        <v>2179632.1889779158</v>
      </c>
      <c r="N213" s="45">
        <f t="shared" si="89"/>
        <v>2220302.3583040275</v>
      </c>
      <c r="O213" s="45">
        <f t="shared" si="89"/>
        <v>2361074.2270767028</v>
      </c>
      <c r="P213" s="45">
        <f t="shared" si="89"/>
        <v>2547834.7819783073</v>
      </c>
      <c r="Q213" s="45">
        <f t="shared" si="89"/>
        <v>2671736.3765130942</v>
      </c>
      <c r="R213" s="45">
        <f t="shared" si="89"/>
        <v>2731174.2449412378</v>
      </c>
      <c r="S213" s="45">
        <f t="shared" si="89"/>
        <v>2814091.0306992172</v>
      </c>
      <c r="T213" s="45">
        <f t="shared" si="89"/>
        <v>2866406.2431682986</v>
      </c>
      <c r="U213" s="45">
        <f t="shared" si="89"/>
        <v>2830232.0499380869</v>
      </c>
      <c r="V213" s="45">
        <f t="shared" si="89"/>
        <v>2862708.8846068559</v>
      </c>
      <c r="W213" s="45">
        <f t="shared" si="89"/>
        <v>2934401.2819387615</v>
      </c>
      <c r="X213" s="45">
        <f t="shared" si="89"/>
        <v>2976204.0500868466</v>
      </c>
      <c r="Y213" s="45">
        <f t="shared" si="89"/>
        <v>2980877.0243038968</v>
      </c>
      <c r="Z213" s="45">
        <f t="shared" si="89"/>
        <v>2948321.3885185532</v>
      </c>
      <c r="AA213" s="45">
        <f t="shared" si="89"/>
        <v>2869005.6060411013</v>
      </c>
      <c r="AB213" s="45">
        <f t="shared" si="89"/>
        <v>2789752.0492821974</v>
      </c>
      <c r="AC213" s="45">
        <f t="shared" si="89"/>
        <v>2676227.1864142632</v>
      </c>
      <c r="AD213" s="45">
        <f t="shared" si="89"/>
        <v>2517558.0469033686</v>
      </c>
      <c r="AE213" s="45">
        <f t="shared" si="89"/>
        <v>2380102.6985056326</v>
      </c>
      <c r="AF213" s="45">
        <f t="shared" si="89"/>
        <v>2303244.7449184167</v>
      </c>
      <c r="AG213" s="46">
        <f>SUM(I213:AF213)</f>
        <v>62289431.899328485</v>
      </c>
    </row>
    <row r="214" spans="2:33" ht="14.4" x14ac:dyDescent="0.25">
      <c r="B214">
        <f t="shared" si="78"/>
        <v>6</v>
      </c>
      <c r="C214">
        <f t="shared" si="79"/>
        <v>2030</v>
      </c>
      <c r="D214" t="str">
        <f t="shared" ref="D214:D217" si="90">+_xlfn.CONCAT(B214:C214,G214)</f>
        <v>62030OR</v>
      </c>
      <c r="E214" s="67">
        <v>47635</v>
      </c>
      <c r="F214" s="72">
        <f>+AG218</f>
        <v>59154627.639747269</v>
      </c>
      <c r="G214" s="37" t="s">
        <v>57</v>
      </c>
      <c r="H214" s="37">
        <v>18</v>
      </c>
      <c r="I214" s="65">
        <v>73829.921675151229</v>
      </c>
      <c r="J214" s="65">
        <v>72474.104002462846</v>
      </c>
      <c r="K214" s="65">
        <v>71682.482810553716</v>
      </c>
      <c r="L214" s="65">
        <v>71331.777895790307</v>
      </c>
      <c r="M214" s="65">
        <v>71590.993739004727</v>
      </c>
      <c r="N214" s="65">
        <v>73310.639077596628</v>
      </c>
      <c r="O214" s="65">
        <v>79025.034458085021</v>
      </c>
      <c r="P214" s="65">
        <v>86193.130724277842</v>
      </c>
      <c r="Q214" s="65">
        <v>91131.899171529745</v>
      </c>
      <c r="R214" s="65">
        <v>92874.869508710704</v>
      </c>
      <c r="S214" s="65">
        <v>95570.181386812357</v>
      </c>
      <c r="T214" s="65">
        <v>97519.515770425729</v>
      </c>
      <c r="U214" s="65">
        <v>95689.526202977853</v>
      </c>
      <c r="V214" s="65">
        <v>97727.615135157233</v>
      </c>
      <c r="W214" s="65">
        <v>101303.87779737377</v>
      </c>
      <c r="X214" s="65">
        <v>103219.84278733215</v>
      </c>
      <c r="Y214" s="65">
        <v>103206.26325674776</v>
      </c>
      <c r="Z214" s="65">
        <v>100198.98189530794</v>
      </c>
      <c r="AA214" s="65">
        <v>96616.512383359746</v>
      </c>
      <c r="AB214" s="65">
        <v>93556.397083972828</v>
      </c>
      <c r="AC214" s="65">
        <v>89543.655682444281</v>
      </c>
      <c r="AD214" s="65">
        <v>83924.258334695885</v>
      </c>
      <c r="AE214" s="65">
        <v>79029.555893929894</v>
      </c>
      <c r="AF214" s="65">
        <v>76380.195880054234</v>
      </c>
      <c r="AG214" s="38">
        <f>+SUM(I214:AF214)*H214</f>
        <v>37744762.185967587</v>
      </c>
    </row>
    <row r="215" spans="2:33" ht="14.4" x14ac:dyDescent="0.25">
      <c r="B215">
        <f t="shared" si="78"/>
        <v>6</v>
      </c>
      <c r="C215">
        <f t="shared" si="79"/>
        <v>2030</v>
      </c>
      <c r="D215" t="str">
        <f t="shared" si="90"/>
        <v>62030SA</v>
      </c>
      <c r="E215" s="68">
        <v>47635</v>
      </c>
      <c r="F215" s="73"/>
      <c r="G215" s="39" t="s">
        <v>60</v>
      </c>
      <c r="H215" s="39">
        <v>5</v>
      </c>
      <c r="I215" s="65">
        <v>74252.37876574148</v>
      </c>
      <c r="J215" s="65">
        <v>72819.614197063624</v>
      </c>
      <c r="K215" s="65">
        <v>71867.929905694269</v>
      </c>
      <c r="L215" s="65">
        <v>71380.608144960628</v>
      </c>
      <c r="M215" s="65">
        <v>71466.537066712248</v>
      </c>
      <c r="N215" s="65">
        <v>72292.59811443559</v>
      </c>
      <c r="O215" s="65">
        <v>76446.425702926499</v>
      </c>
      <c r="P215" s="65">
        <v>80920.58732649684</v>
      </c>
      <c r="Q215" s="65">
        <v>84116.86176185256</v>
      </c>
      <c r="R215" s="65">
        <v>85703.523366085952</v>
      </c>
      <c r="S215" s="65">
        <v>88106.174495342202</v>
      </c>
      <c r="T215" s="65">
        <v>89291.629625874746</v>
      </c>
      <c r="U215" s="65">
        <v>87493.884444463911</v>
      </c>
      <c r="V215" s="65">
        <v>87231.987698709665</v>
      </c>
      <c r="W215" s="65">
        <v>87517.006205567857</v>
      </c>
      <c r="X215" s="65">
        <v>88800.08138927148</v>
      </c>
      <c r="Y215" s="65">
        <v>89626.983573350706</v>
      </c>
      <c r="Z215" s="65">
        <v>89801.286458938528</v>
      </c>
      <c r="AA215" s="65">
        <v>89072.971622544079</v>
      </c>
      <c r="AB215" s="65">
        <v>87289.061937313047</v>
      </c>
      <c r="AC215" s="65">
        <v>84184.603798809956</v>
      </c>
      <c r="AD215" s="65">
        <v>79041.409235971398</v>
      </c>
      <c r="AE215" s="65">
        <v>74722.924993297231</v>
      </c>
      <c r="AF215" s="65">
        <v>72323.815236905677</v>
      </c>
      <c r="AG215" s="40">
        <f>+SUM(I215:AF215)*H215</f>
        <v>9778854.4253416508</v>
      </c>
    </row>
    <row r="216" spans="2:33" ht="14.4" x14ac:dyDescent="0.25">
      <c r="B216">
        <f t="shared" si="78"/>
        <v>6</v>
      </c>
      <c r="C216">
        <f t="shared" si="79"/>
        <v>2030</v>
      </c>
      <c r="D216" t="str">
        <f t="shared" si="90"/>
        <v>62030DO</v>
      </c>
      <c r="E216" s="68">
        <v>47635</v>
      </c>
      <c r="F216" s="73"/>
      <c r="G216" s="41" t="s">
        <v>58</v>
      </c>
      <c r="H216" s="41">
        <v>5</v>
      </c>
      <c r="I216" s="65">
        <v>66977.274358524897</v>
      </c>
      <c r="J216" s="65">
        <v>65723.902323029484</v>
      </c>
      <c r="K216" s="65">
        <v>64852.867699619455</v>
      </c>
      <c r="L216" s="65">
        <v>64308.939944831582</v>
      </c>
      <c r="M216" s="65">
        <v>64044.854107427222</v>
      </c>
      <c r="N216" s="65">
        <v>63660.229615801261</v>
      </c>
      <c r="O216" s="65">
        <v>63602.613472781821</v>
      </c>
      <c r="P216" s="65">
        <v>64106.287635605127</v>
      </c>
      <c r="Q216" s="65">
        <v>64739.00150556564</v>
      </c>
      <c r="R216" s="65">
        <v>65118.593150735178</v>
      </c>
      <c r="S216" s="65">
        <v>66591.89391480948</v>
      </c>
      <c r="T216" s="65">
        <v>69050.799401982076</v>
      </c>
      <c r="U216" s="65">
        <v>70132.612011736317</v>
      </c>
      <c r="V216" s="65">
        <v>71454.2526370868</v>
      </c>
      <c r="W216" s="65">
        <v>72686.821746858041</v>
      </c>
      <c r="X216" s="65">
        <v>74196.527124505461</v>
      </c>
      <c r="Y216" s="65">
        <v>75962.827176060789</v>
      </c>
      <c r="Z216" s="65">
        <v>77362.292676549288</v>
      </c>
      <c r="AA216" s="65">
        <v>77866.932063963075</v>
      </c>
      <c r="AB216" s="65">
        <v>76883.751396789725</v>
      </c>
      <c r="AC216" s="65">
        <v>74267.796646515591</v>
      </c>
      <c r="AD216" s="65">
        <v>71336.58412517907</v>
      </c>
      <c r="AE216" s="65">
        <v>68788.465610672327</v>
      </c>
      <c r="AF216" s="65">
        <v>66962.345768849162</v>
      </c>
      <c r="AG216" s="40">
        <f>+SUM(I216:AF216)*H216</f>
        <v>8303392.3305773921</v>
      </c>
    </row>
    <row r="217" spans="2:33" ht="14.4" x14ac:dyDescent="0.25">
      <c r="B217">
        <f t="shared" si="78"/>
        <v>6</v>
      </c>
      <c r="C217">
        <f t="shared" si="79"/>
        <v>2030</v>
      </c>
      <c r="D217" t="str">
        <f t="shared" si="90"/>
        <v>62030FE</v>
      </c>
      <c r="E217" s="68">
        <v>47635</v>
      </c>
      <c r="F217" s="73"/>
      <c r="G217" s="42" t="s">
        <v>59</v>
      </c>
      <c r="H217" s="42">
        <v>2</v>
      </c>
      <c r="I217" s="65">
        <v>66053.822364738793</v>
      </c>
      <c r="J217" s="65">
        <v>64911.154611495447</v>
      </c>
      <c r="K217" s="65">
        <v>64122.336346874683</v>
      </c>
      <c r="L217" s="65">
        <v>63620.863511015959</v>
      </c>
      <c r="M217" s="65">
        <v>63518.377826243326</v>
      </c>
      <c r="N217" s="65">
        <v>63524.990070031592</v>
      </c>
      <c r="O217" s="65">
        <v>64072.606572719007</v>
      </c>
      <c r="P217" s="65">
        <v>64836.759134265769</v>
      </c>
      <c r="Q217" s="65">
        <v>65491.102562898333</v>
      </c>
      <c r="R217" s="65">
        <v>65882.94803983008</v>
      </c>
      <c r="S217" s="65">
        <v>67344.194819471493</v>
      </c>
      <c r="T217" s="65">
        <v>69687.501687040451</v>
      </c>
      <c r="U217" s="65">
        <v>70621.875221659851</v>
      </c>
      <c r="V217" s="65">
        <v>71789.975878427795</v>
      </c>
      <c r="W217" s="65">
        <v>73149.428817934007</v>
      </c>
      <c r="X217" s="65">
        <v>74724.124498748104</v>
      </c>
      <c r="Y217" s="65">
        <v>76527.936634338839</v>
      </c>
      <c r="Z217" s="65">
        <v>77727.700010666507</v>
      </c>
      <c r="AA217" s="65">
        <v>77854.30011154458</v>
      </c>
      <c r="AB217" s="65">
        <v>76866.296947220006</v>
      </c>
      <c r="AC217" s="65">
        <v>74321.297950779554</v>
      </c>
      <c r="AD217" s="65">
        <v>71329.47924119106</v>
      </c>
      <c r="AE217" s="65">
        <v>68808.407530970217</v>
      </c>
      <c r="AF217" s="65">
        <v>67021.868540211333</v>
      </c>
      <c r="AG217" s="43">
        <f>+SUM(I217:AF217)*H217</f>
        <v>3327618.697860634</v>
      </c>
    </row>
    <row r="218" spans="2:33" ht="15" thickBot="1" x14ac:dyDescent="0.3">
      <c r="B218">
        <f t="shared" si="78"/>
        <v>6</v>
      </c>
      <c r="C218">
        <f t="shared" si="79"/>
        <v>2030</v>
      </c>
      <c r="D218" t="str">
        <f>+_xlfn.CONCAT(E218,G218)</f>
        <v>47635TOTAL</v>
      </c>
      <c r="E218" s="68">
        <v>47635</v>
      </c>
      <c r="F218" s="61"/>
      <c r="G218" s="44" t="s">
        <v>10</v>
      </c>
      <c r="H218" s="44">
        <f>+SUM(H214:H217)</f>
        <v>30</v>
      </c>
      <c r="I218" s="45">
        <f t="shared" ref="I218:AF218" si="91">+SUMPRODUCT(I214:I217,$H214:$H217)</f>
        <v>2167194.5005035317</v>
      </c>
      <c r="J218" s="45">
        <f t="shared" si="91"/>
        <v>2127073.7638677876</v>
      </c>
      <c r="K218" s="45">
        <f t="shared" si="91"/>
        <v>2102133.3513102848</v>
      </c>
      <c r="L218" s="45">
        <f t="shared" si="91"/>
        <v>2089661.4695952183</v>
      </c>
      <c r="M218" s="45">
        <f t="shared" si="91"/>
        <v>2093231.5988252691</v>
      </c>
      <c r="N218" s="45">
        <f t="shared" si="91"/>
        <v>2126405.6221879865</v>
      </c>
      <c r="O218" s="45">
        <f t="shared" si="91"/>
        <v>2250841.0292695099</v>
      </c>
      <c r="P218" s="45">
        <f t="shared" si="91"/>
        <v>2406284.2461160426</v>
      </c>
      <c r="Q218" s="45">
        <f t="shared" si="91"/>
        <v>2515635.7065504231</v>
      </c>
      <c r="R218" s="45">
        <f t="shared" si="91"/>
        <v>2557624.1298205582</v>
      </c>
      <c r="S218" s="45">
        <f t="shared" si="91"/>
        <v>2628441.9966523238</v>
      </c>
      <c r="T218" s="45">
        <f t="shared" si="91"/>
        <v>2686438.4323810283</v>
      </c>
      <c r="U218" s="45">
        <f t="shared" si="91"/>
        <v>2651787.7043779227</v>
      </c>
      <c r="V218" s="45">
        <f t="shared" si="91"/>
        <v>2696108.2258686679</v>
      </c>
      <c r="W218" s="45">
        <f t="shared" si="91"/>
        <v>2770787.7977507254</v>
      </c>
      <c r="X218" s="45">
        <f t="shared" si="91"/>
        <v>2822388.4617383601</v>
      </c>
      <c r="Y218" s="45">
        <f t="shared" si="91"/>
        <v>2838717.6656371951</v>
      </c>
      <c r="Z218" s="45">
        <f t="shared" si="91"/>
        <v>2794854.9698143145</v>
      </c>
      <c r="AA218" s="45">
        <f t="shared" si="91"/>
        <v>2729505.3415561002</v>
      </c>
      <c r="AB218" s="45">
        <f t="shared" si="91"/>
        <v>2658611.808076465</v>
      </c>
      <c r="AC218" s="45">
        <f t="shared" si="91"/>
        <v>2552690.4004121837</v>
      </c>
      <c r="AD218" s="45">
        <f t="shared" si="91"/>
        <v>2405185.5753126601</v>
      </c>
      <c r="AE218" s="45">
        <f t="shared" si="91"/>
        <v>2277705.7741725263</v>
      </c>
      <c r="AF218" s="45">
        <f t="shared" si="91"/>
        <v>2205318.0679501733</v>
      </c>
      <c r="AG218" s="46">
        <f>SUM(I218:AF218)</f>
        <v>59154627.639747269</v>
      </c>
    </row>
    <row r="219" spans="2:33" ht="14.4" x14ac:dyDescent="0.25">
      <c r="B219">
        <f t="shared" si="78"/>
        <v>7</v>
      </c>
      <c r="C219">
        <f t="shared" si="79"/>
        <v>2030</v>
      </c>
      <c r="D219" t="str">
        <f t="shared" ref="D219:D222" si="92">+_xlfn.CONCAT(B219:C219,G219)</f>
        <v>72030OR</v>
      </c>
      <c r="E219" s="67">
        <v>47665</v>
      </c>
      <c r="F219" s="72">
        <f>+AG223</f>
        <v>61919365.458532445</v>
      </c>
      <c r="G219" s="37" t="s">
        <v>57</v>
      </c>
      <c r="H219" s="37">
        <v>22</v>
      </c>
      <c r="I219" s="65">
        <v>73815.717986164833</v>
      </c>
      <c r="J219" s="65">
        <v>72458.956759777459</v>
      </c>
      <c r="K219" s="65">
        <v>71666.78509975021</v>
      </c>
      <c r="L219" s="65">
        <v>71316.142565080416</v>
      </c>
      <c r="M219" s="65">
        <v>71575.058430122197</v>
      </c>
      <c r="N219" s="65">
        <v>73300.601021770141</v>
      </c>
      <c r="O219" s="65">
        <v>79123.615354162393</v>
      </c>
      <c r="P219" s="65">
        <v>86590.368896344226</v>
      </c>
      <c r="Q219" s="65">
        <v>91437.153778648877</v>
      </c>
      <c r="R219" s="65">
        <v>93086.740552123389</v>
      </c>
      <c r="S219" s="65">
        <v>96039.927005956124</v>
      </c>
      <c r="T219" s="65">
        <v>97511.803250532423</v>
      </c>
      <c r="U219" s="65">
        <v>95468.951611479992</v>
      </c>
      <c r="V219" s="65">
        <v>97387.581668728904</v>
      </c>
      <c r="W219" s="65">
        <v>100661.41285547713</v>
      </c>
      <c r="X219" s="65">
        <v>102394.11099167069</v>
      </c>
      <c r="Y219" s="65">
        <v>102308.02154835149</v>
      </c>
      <c r="Z219" s="65">
        <v>100023.83292171267</v>
      </c>
      <c r="AA219" s="65">
        <v>96612.425067716802</v>
      </c>
      <c r="AB219" s="65">
        <v>93551.386212289042</v>
      </c>
      <c r="AC219" s="65">
        <v>89536.777060950582</v>
      </c>
      <c r="AD219" s="65">
        <v>83914.767423566605</v>
      </c>
      <c r="AE219" s="65">
        <v>79017.701972754221</v>
      </c>
      <c r="AF219" s="65">
        <v>76366.88735954836</v>
      </c>
      <c r="AG219" s="38">
        <f>+SUM(I219:AF219)*H219</f>
        <v>46093668.002682947</v>
      </c>
    </row>
    <row r="220" spans="2:33" ht="14.4" x14ac:dyDescent="0.25">
      <c r="B220">
        <f t="shared" si="78"/>
        <v>7</v>
      </c>
      <c r="C220">
        <f t="shared" si="79"/>
        <v>2030</v>
      </c>
      <c r="D220" t="str">
        <f t="shared" si="92"/>
        <v>72030SA</v>
      </c>
      <c r="E220" s="68">
        <v>47665</v>
      </c>
      <c r="F220" s="73"/>
      <c r="G220" s="39" t="s">
        <v>60</v>
      </c>
      <c r="H220" s="39">
        <v>3</v>
      </c>
      <c r="I220" s="65">
        <v>74251.350867856556</v>
      </c>
      <c r="J220" s="65">
        <v>72817.491609072633</v>
      </c>
      <c r="K220" s="65">
        <v>71865.187339175071</v>
      </c>
      <c r="L220" s="65">
        <v>71377.734804136038</v>
      </c>
      <c r="M220" s="65">
        <v>71463.560316988558</v>
      </c>
      <c r="N220" s="65">
        <v>72295.853978024927</v>
      </c>
      <c r="O220" s="65">
        <v>76559.182046196423</v>
      </c>
      <c r="P220" s="65">
        <v>81331.751246964559</v>
      </c>
      <c r="Q220" s="65">
        <v>84436.453143226827</v>
      </c>
      <c r="R220" s="65">
        <v>85930.673532732908</v>
      </c>
      <c r="S220" s="65">
        <v>88591.820689640881</v>
      </c>
      <c r="T220" s="65">
        <v>89299.963690971723</v>
      </c>
      <c r="U220" s="65">
        <v>87289.114506884478</v>
      </c>
      <c r="V220" s="65">
        <v>86906.167283916497</v>
      </c>
      <c r="W220" s="65">
        <v>86886.638338461984</v>
      </c>
      <c r="X220" s="65">
        <v>87985.784499281799</v>
      </c>
      <c r="Y220" s="65">
        <v>88740.720992654606</v>
      </c>
      <c r="Z220" s="65">
        <v>89639.762885945805</v>
      </c>
      <c r="AA220" s="65">
        <v>89082.913061607673</v>
      </c>
      <c r="AB220" s="65">
        <v>87298.24336855924</v>
      </c>
      <c r="AC220" s="65">
        <v>84191.918769359399</v>
      </c>
      <c r="AD220" s="65">
        <v>79045.383595600113</v>
      </c>
      <c r="AE220" s="65">
        <v>74723.974736430566</v>
      </c>
      <c r="AF220" s="65">
        <v>72323.001356876019</v>
      </c>
      <c r="AG220" s="40">
        <f>+SUM(I220:AF220)*H220</f>
        <v>5863003.9399816962</v>
      </c>
    </row>
    <row r="221" spans="2:33" ht="14.4" x14ac:dyDescent="0.25">
      <c r="B221">
        <f t="shared" si="78"/>
        <v>7</v>
      </c>
      <c r="C221">
        <f t="shared" si="79"/>
        <v>2030</v>
      </c>
      <c r="D221" t="str">
        <f t="shared" si="92"/>
        <v>72030DO</v>
      </c>
      <c r="E221" s="68">
        <v>47665</v>
      </c>
      <c r="F221" s="73"/>
      <c r="G221" s="41" t="s">
        <v>58</v>
      </c>
      <c r="H221" s="41">
        <v>4</v>
      </c>
      <c r="I221" s="65">
        <v>66999.581804307527</v>
      </c>
      <c r="J221" s="65">
        <v>65744.701187685569</v>
      </c>
      <c r="K221" s="65">
        <v>64872.914219598482</v>
      </c>
      <c r="L221" s="65">
        <v>64328.20325414712</v>
      </c>
      <c r="M221" s="65">
        <v>64063.80591294256</v>
      </c>
      <c r="N221" s="65">
        <v>63684.039112263636</v>
      </c>
      <c r="O221" s="65">
        <v>63733.658627516255</v>
      </c>
      <c r="P221" s="65">
        <v>64534.786168809893</v>
      </c>
      <c r="Q221" s="65">
        <v>65075.631518987335</v>
      </c>
      <c r="R221" s="65">
        <v>65363.307022199799</v>
      </c>
      <c r="S221" s="65">
        <v>67096.430311186516</v>
      </c>
      <c r="T221" s="65">
        <v>69079.913149006461</v>
      </c>
      <c r="U221" s="65">
        <v>69950.268526570784</v>
      </c>
      <c r="V221" s="65">
        <v>71151.79931981393</v>
      </c>
      <c r="W221" s="65">
        <v>72079.688511777174</v>
      </c>
      <c r="X221" s="65">
        <v>73405.925503749721</v>
      </c>
      <c r="Y221" s="65">
        <v>75100.92641102281</v>
      </c>
      <c r="Z221" s="65">
        <v>77225.237408540968</v>
      </c>
      <c r="AA221" s="65">
        <v>77902.641225455212</v>
      </c>
      <c r="AB221" s="65">
        <v>76917.405070776018</v>
      </c>
      <c r="AC221" s="65">
        <v>74297.745135289617</v>
      </c>
      <c r="AD221" s="65">
        <v>71362.49468026965</v>
      </c>
      <c r="AE221" s="65">
        <v>68811.393659144378</v>
      </c>
      <c r="AF221" s="65">
        <v>66983.087959359429</v>
      </c>
      <c r="AG221" s="40">
        <f>+SUM(I221:AF221)*H221</f>
        <v>6639062.3428016836</v>
      </c>
    </row>
    <row r="222" spans="2:33" ht="14.4" x14ac:dyDescent="0.25">
      <c r="B222">
        <f t="shared" si="78"/>
        <v>7</v>
      </c>
      <c r="C222">
        <f t="shared" si="79"/>
        <v>2030</v>
      </c>
      <c r="D222" t="str">
        <f t="shared" si="92"/>
        <v>72030FE</v>
      </c>
      <c r="E222" s="68">
        <v>47665</v>
      </c>
      <c r="F222" s="73"/>
      <c r="G222" s="42" t="s">
        <v>59</v>
      </c>
      <c r="H222" s="42">
        <v>2</v>
      </c>
      <c r="I222" s="65">
        <v>66038.028207645373</v>
      </c>
      <c r="J222" s="65">
        <v>64894.613163481481</v>
      </c>
      <c r="K222" s="65">
        <v>64105.113827666595</v>
      </c>
      <c r="L222" s="65">
        <v>63603.451857320848</v>
      </c>
      <c r="M222" s="65">
        <v>63500.177777895966</v>
      </c>
      <c r="N222" s="65">
        <v>63509.509524149122</v>
      </c>
      <c r="O222" s="65">
        <v>64161.869973456676</v>
      </c>
      <c r="P222" s="65">
        <v>65221.011382435681</v>
      </c>
      <c r="Q222" s="65">
        <v>65782.460199998488</v>
      </c>
      <c r="R222" s="65">
        <v>66081.041300636774</v>
      </c>
      <c r="S222" s="65">
        <v>67799.701845883857</v>
      </c>
      <c r="T222" s="65">
        <v>69665.093380028236</v>
      </c>
      <c r="U222" s="65">
        <v>70387.645509944588</v>
      </c>
      <c r="V222" s="65">
        <v>71435.102781976937</v>
      </c>
      <c r="W222" s="65">
        <v>72490.859435301405</v>
      </c>
      <c r="X222" s="65">
        <v>73882.563208761247</v>
      </c>
      <c r="Y222" s="65">
        <v>75614.410732022036</v>
      </c>
      <c r="Z222" s="65">
        <v>77541.25139193784</v>
      </c>
      <c r="AA222" s="65">
        <v>77839.812508111077</v>
      </c>
      <c r="AB222" s="65">
        <v>76852.749194011427</v>
      </c>
      <c r="AC222" s="65">
        <v>74305.779744077823</v>
      </c>
      <c r="AD222" s="65">
        <v>71312.327145352669</v>
      </c>
      <c r="AE222" s="65">
        <v>68789.338245260675</v>
      </c>
      <c r="AF222" s="65">
        <v>67001.674195708329</v>
      </c>
      <c r="AG222" s="43">
        <f>+SUM(I222:AF222)*H222</f>
        <v>3323631.1730661308</v>
      </c>
    </row>
    <row r="223" spans="2:33" ht="15" thickBot="1" x14ac:dyDescent="0.3">
      <c r="B223">
        <f t="shared" si="78"/>
        <v>7</v>
      </c>
      <c r="C223">
        <f t="shared" si="79"/>
        <v>2030</v>
      </c>
      <c r="D223" t="str">
        <f>+_xlfn.CONCAT(E223,G223)</f>
        <v>47665TOTAL</v>
      </c>
      <c r="E223" s="68">
        <v>47665</v>
      </c>
      <c r="F223" s="61"/>
      <c r="G223" s="44" t="s">
        <v>10</v>
      </c>
      <c r="H223" s="44">
        <f>+SUM(H219:H222)</f>
        <v>31</v>
      </c>
      <c r="I223" s="45">
        <f t="shared" ref="I223:AF223" si="93">+SUMPRODUCT(I219:I222,$H219:$H222)</f>
        <v>2246774.2319317167</v>
      </c>
      <c r="J223" s="45">
        <f t="shared" si="93"/>
        <v>2205317.5546200271</v>
      </c>
      <c r="K223" s="45">
        <f t="shared" si="93"/>
        <v>2179966.7187457569</v>
      </c>
      <c r="L223" s="45">
        <f t="shared" si="93"/>
        <v>2167608.0575754074</v>
      </c>
      <c r="M223" s="45">
        <f t="shared" si="93"/>
        <v>2172297.5456212163</v>
      </c>
      <c r="N223" s="45">
        <f t="shared" si="93"/>
        <v>2211255.9599103709</v>
      </c>
      <c r="O223" s="45">
        <f t="shared" si="93"/>
        <v>2353655.4583871407</v>
      </c>
      <c r="P223" s="45">
        <f t="shared" si="93"/>
        <v>2537564.5369005771</v>
      </c>
      <c r="Q223" s="45">
        <f t="shared" si="93"/>
        <v>2656794.1890359018</v>
      </c>
      <c r="R223" s="45">
        <f t="shared" si="93"/>
        <v>2699315.623434986</v>
      </c>
      <c r="S223" s="45">
        <f t="shared" si="93"/>
        <v>2782638.981136471</v>
      </c>
      <c r="T223" s="45">
        <f t="shared" si="93"/>
        <v>2828809.4019407104</v>
      </c>
      <c r="U223" s="45">
        <f t="shared" si="93"/>
        <v>2782760.6440993855</v>
      </c>
      <c r="V223" s="45">
        <f t="shared" si="93"/>
        <v>2830722.7014069953</v>
      </c>
      <c r="W223" s="45">
        <f t="shared" si="93"/>
        <v>2908511.4707535948</v>
      </c>
      <c r="X223" s="45">
        <f t="shared" si="93"/>
        <v>2958016.623747122</v>
      </c>
      <c r="Y223" s="45">
        <f t="shared" si="93"/>
        <v>2968631.1641498315</v>
      </c>
      <c r="Z223" s="45">
        <f t="shared" si="93"/>
        <v>2933427.0653535565</v>
      </c>
      <c r="AA223" s="45">
        <f t="shared" si="93"/>
        <v>2860012.2805926357</v>
      </c>
      <c r="AB223" s="45">
        <f t="shared" si="93"/>
        <v>2781400.3454471631</v>
      </c>
      <c r="AC223" s="45">
        <f t="shared" si="93"/>
        <v>2668187.3916783053</v>
      </c>
      <c r="AD223" s="45">
        <f t="shared" si="93"/>
        <v>2511335.6671170495</v>
      </c>
      <c r="AE223" s="45">
        <f t="shared" si="93"/>
        <v>2375385.6187369837</v>
      </c>
      <c r="AF223" s="45">
        <f t="shared" si="93"/>
        <v>2298976.226209546</v>
      </c>
      <c r="AG223" s="46">
        <f>SUM(I223:AF223)</f>
        <v>61919365.458532445</v>
      </c>
    </row>
    <row r="224" spans="2:33" ht="14.4" x14ac:dyDescent="0.25">
      <c r="B224">
        <f t="shared" si="78"/>
        <v>8</v>
      </c>
      <c r="C224">
        <f t="shared" si="79"/>
        <v>2030</v>
      </c>
      <c r="D224" t="str">
        <f t="shared" ref="D224:D227" si="94">+_xlfn.CONCAT(B224:C224,G224)</f>
        <v>82030OR</v>
      </c>
      <c r="E224" s="67">
        <v>47696</v>
      </c>
      <c r="F224" s="72">
        <f>+AG228</f>
        <v>61771865.766971938</v>
      </c>
      <c r="G224" s="37" t="s">
        <v>57</v>
      </c>
      <c r="H224" s="37">
        <v>20</v>
      </c>
      <c r="I224" s="65">
        <v>73951.562407518344</v>
      </c>
      <c r="J224" s="65">
        <v>72591.901433302701</v>
      </c>
      <c r="K224" s="65">
        <v>71797.936431227281</v>
      </c>
      <c r="L224" s="65">
        <v>71446.514596182416</v>
      </c>
      <c r="M224" s="65">
        <v>71706.311296670858</v>
      </c>
      <c r="N224" s="65">
        <v>73454.077401675779</v>
      </c>
      <c r="O224" s="65">
        <v>79176.785786614826</v>
      </c>
      <c r="P224" s="65">
        <v>86180.541013757262</v>
      </c>
      <c r="Q224" s="65">
        <v>90849.38533254707</v>
      </c>
      <c r="R224" s="65">
        <v>93062.491825402496</v>
      </c>
      <c r="S224" s="65">
        <v>95963.382676749039</v>
      </c>
      <c r="T224" s="65">
        <v>97709.29052578703</v>
      </c>
      <c r="U224" s="65">
        <v>96196.37170657258</v>
      </c>
      <c r="V224" s="65">
        <v>97767.830758423035</v>
      </c>
      <c r="W224" s="65">
        <v>101518.7325099408</v>
      </c>
      <c r="X224" s="65">
        <v>103137.45084248429</v>
      </c>
      <c r="Y224" s="65">
        <v>102931.53951124947</v>
      </c>
      <c r="Z224" s="65">
        <v>100345.32925276154</v>
      </c>
      <c r="AA224" s="65">
        <v>96789.068927096028</v>
      </c>
      <c r="AB224" s="65">
        <v>93721.321807122556</v>
      </c>
      <c r="AC224" s="65">
        <v>89698.184523960823</v>
      </c>
      <c r="AD224" s="65">
        <v>84063.483985295505</v>
      </c>
      <c r="AE224" s="65">
        <v>79155.411244339834</v>
      </c>
      <c r="AF224" s="65">
        <v>76498.591285786853</v>
      </c>
      <c r="AG224" s="38">
        <f>+SUM(I224:AF224)*H224</f>
        <v>41994269.94164937</v>
      </c>
    </row>
    <row r="225" spans="2:33" ht="14.4" x14ac:dyDescent="0.25">
      <c r="B225">
        <f t="shared" si="78"/>
        <v>8</v>
      </c>
      <c r="C225">
        <f t="shared" si="79"/>
        <v>2030</v>
      </c>
      <c r="D225" t="str">
        <f t="shared" si="94"/>
        <v>82030SA</v>
      </c>
      <c r="E225" s="68">
        <v>47696</v>
      </c>
      <c r="F225" s="73"/>
      <c r="G225" s="39" t="s">
        <v>60</v>
      </c>
      <c r="H225" s="39">
        <v>5</v>
      </c>
      <c r="I225" s="65">
        <v>74387.228044621676</v>
      </c>
      <c r="J225" s="65">
        <v>72950.213457319973</v>
      </c>
      <c r="K225" s="65">
        <v>71995.36320483782</v>
      </c>
      <c r="L225" s="65">
        <v>71506.802114966529</v>
      </c>
      <c r="M225" s="65">
        <v>71592.822660672944</v>
      </c>
      <c r="N225" s="65">
        <v>72445.397150497418</v>
      </c>
      <c r="O225" s="65">
        <v>76604.299396765738</v>
      </c>
      <c r="P225" s="65">
        <v>80908.377576204584</v>
      </c>
      <c r="Q225" s="65">
        <v>83832.278170949881</v>
      </c>
      <c r="R225" s="65">
        <v>85890.009392775319</v>
      </c>
      <c r="S225" s="65">
        <v>88497.945003077533</v>
      </c>
      <c r="T225" s="65">
        <v>89478.156297260939</v>
      </c>
      <c r="U225" s="65">
        <v>87996.96413379944</v>
      </c>
      <c r="V225" s="65">
        <v>87262.520370081067</v>
      </c>
      <c r="W225" s="65">
        <v>87714.627793083433</v>
      </c>
      <c r="X225" s="65">
        <v>88698.695768153149</v>
      </c>
      <c r="Y225" s="65">
        <v>89335.678135047172</v>
      </c>
      <c r="Z225" s="65">
        <v>89938.87252480301</v>
      </c>
      <c r="AA225" s="65">
        <v>89242.500635581979</v>
      </c>
      <c r="AB225" s="65">
        <v>87453.619899959143</v>
      </c>
      <c r="AC225" s="65">
        <v>84340.860827283846</v>
      </c>
      <c r="AD225" s="65">
        <v>79183.467548057612</v>
      </c>
      <c r="AE225" s="65">
        <v>74852.564329157074</v>
      </c>
      <c r="AF225" s="65">
        <v>72446.065933108926</v>
      </c>
      <c r="AG225" s="40">
        <f>+SUM(I225:AF225)*H225</f>
        <v>9792776.6518403329</v>
      </c>
    </row>
    <row r="226" spans="2:33" ht="14.4" x14ac:dyDescent="0.25">
      <c r="B226">
        <f t="shared" si="78"/>
        <v>8</v>
      </c>
      <c r="C226">
        <f t="shared" si="79"/>
        <v>2030</v>
      </c>
      <c r="D226" t="str">
        <f t="shared" si="94"/>
        <v>82030DO</v>
      </c>
      <c r="E226" s="68">
        <v>47696</v>
      </c>
      <c r="F226" s="73"/>
      <c r="G226" s="41" t="s">
        <v>58</v>
      </c>
      <c r="H226" s="41">
        <v>4</v>
      </c>
      <c r="I226" s="65">
        <v>67094.636586650871</v>
      </c>
      <c r="J226" s="65">
        <v>65837.296188946071</v>
      </c>
      <c r="K226" s="65">
        <v>64963.368491506088</v>
      </c>
      <c r="L226" s="65">
        <v>64417.694323896954</v>
      </c>
      <c r="M226" s="65">
        <v>64152.761209908596</v>
      </c>
      <c r="N226" s="65">
        <v>63791.286049478607</v>
      </c>
      <c r="O226" s="65">
        <v>63728.527010733727</v>
      </c>
      <c r="P226" s="65">
        <v>64052.737747545019</v>
      </c>
      <c r="Q226" s="65">
        <v>64407.084790157634</v>
      </c>
      <c r="R226" s="65">
        <v>65255.666388453814</v>
      </c>
      <c r="S226" s="65">
        <v>66932.249036153633</v>
      </c>
      <c r="T226" s="65">
        <v>69190.42949003182</v>
      </c>
      <c r="U226" s="65">
        <v>70596.578994152995</v>
      </c>
      <c r="V226" s="65">
        <v>71449.358927714173</v>
      </c>
      <c r="W226" s="65">
        <v>72850.374041073781</v>
      </c>
      <c r="X226" s="65">
        <v>74062.333068943204</v>
      </c>
      <c r="Y226" s="65">
        <v>75641.413450551598</v>
      </c>
      <c r="Z226" s="65">
        <v>77472.981726735903</v>
      </c>
      <c r="AA226" s="65">
        <v>78012.545854123615</v>
      </c>
      <c r="AB226" s="65">
        <v>77026.452148435113</v>
      </c>
      <c r="AC226" s="65">
        <v>74402.472747081527</v>
      </c>
      <c r="AD226" s="65">
        <v>71461.810111043538</v>
      </c>
      <c r="AE226" s="65">
        <v>68905.121054817064</v>
      </c>
      <c r="AF226" s="65">
        <v>67072.966414238093</v>
      </c>
      <c r="AG226" s="40">
        <f>+SUM(I226:AF226)*H226</f>
        <v>6651112.5834094919</v>
      </c>
    </row>
    <row r="227" spans="2:33" ht="14.4" x14ac:dyDescent="0.25">
      <c r="B227">
        <f t="shared" si="78"/>
        <v>8</v>
      </c>
      <c r="C227">
        <f t="shared" si="79"/>
        <v>2030</v>
      </c>
      <c r="D227" t="str">
        <f t="shared" si="94"/>
        <v>82030FE</v>
      </c>
      <c r="E227" s="68">
        <v>47696</v>
      </c>
      <c r="F227" s="73"/>
      <c r="G227" s="42" t="s">
        <v>59</v>
      </c>
      <c r="H227" s="42">
        <v>2</v>
      </c>
      <c r="I227" s="65">
        <v>66200.574659717808</v>
      </c>
      <c r="J227" s="65">
        <v>65053.926352402836</v>
      </c>
      <c r="K227" s="65">
        <v>64262.598735019346</v>
      </c>
      <c r="L227" s="65">
        <v>63759.201758775445</v>
      </c>
      <c r="M227" s="65">
        <v>63657.127584972746</v>
      </c>
      <c r="N227" s="65">
        <v>63689.681425019415</v>
      </c>
      <c r="O227" s="65">
        <v>64237.8138285799</v>
      </c>
      <c r="P227" s="65">
        <v>64825.834430268093</v>
      </c>
      <c r="Q227" s="65">
        <v>65203.214908379508</v>
      </c>
      <c r="R227" s="65">
        <v>66065.102266985428</v>
      </c>
      <c r="S227" s="65">
        <v>67731.168820028281</v>
      </c>
      <c r="T227" s="65">
        <v>69874.515488939418</v>
      </c>
      <c r="U227" s="65">
        <v>71131.986854944902</v>
      </c>
      <c r="V227" s="65">
        <v>71830.745742228275</v>
      </c>
      <c r="W227" s="65">
        <v>73359.369094182883</v>
      </c>
      <c r="X227" s="65">
        <v>74637.218908129158</v>
      </c>
      <c r="Y227" s="65">
        <v>76254.269122197176</v>
      </c>
      <c r="Z227" s="65">
        <v>77882.779324006435</v>
      </c>
      <c r="AA227" s="65">
        <v>78042.266891039748</v>
      </c>
      <c r="AB227" s="65">
        <v>77047.954590982292</v>
      </c>
      <c r="AC227" s="65">
        <v>74493.010719501937</v>
      </c>
      <c r="AD227" s="65">
        <v>71489.417914362333</v>
      </c>
      <c r="AE227" s="65">
        <v>68958.469705388372</v>
      </c>
      <c r="AF227" s="65">
        <v>67165.045910325891</v>
      </c>
      <c r="AG227" s="43">
        <f>+SUM(I227:AF227)*H227</f>
        <v>3333706.5900727552</v>
      </c>
    </row>
    <row r="228" spans="2:33" ht="15" thickBot="1" x14ac:dyDescent="0.3">
      <c r="B228">
        <f t="shared" si="78"/>
        <v>8</v>
      </c>
      <c r="C228">
        <f t="shared" si="79"/>
        <v>2030</v>
      </c>
      <c r="D228" t="str">
        <f>+_xlfn.CONCAT(E228,G228)</f>
        <v>47696TOTAL</v>
      </c>
      <c r="E228" s="68">
        <v>47696</v>
      </c>
      <c r="F228" s="61"/>
      <c r="G228" s="44" t="s">
        <v>10</v>
      </c>
      <c r="H228" s="44">
        <f>+SUM(H224:H227)</f>
        <v>31</v>
      </c>
      <c r="I228" s="45">
        <f t="shared" ref="I228:AF228" si="95">+SUMPRODUCT(I224:I227,$H224:$H227)</f>
        <v>2251747.084039514</v>
      </c>
      <c r="J228" s="45">
        <f t="shared" si="95"/>
        <v>2210046.1334132436</v>
      </c>
      <c r="K228" s="45">
        <f t="shared" si="95"/>
        <v>2184314.2160847979</v>
      </c>
      <c r="L228" s="45">
        <f t="shared" si="95"/>
        <v>2171653.4833116196</v>
      </c>
      <c r="M228" s="45">
        <f t="shared" si="95"/>
        <v>2176015.6392463618</v>
      </c>
      <c r="N228" s="45">
        <f t="shared" si="95"/>
        <v>2213853.0408339561</v>
      </c>
      <c r="O228" s="45">
        <f t="shared" si="95"/>
        <v>2349946.9484162196</v>
      </c>
      <c r="P228" s="45">
        <f t="shared" si="95"/>
        <v>2514015.3280068841</v>
      </c>
      <c r="Q228" s="45">
        <f t="shared" si="95"/>
        <v>2624183.8664830807</v>
      </c>
      <c r="R228" s="45">
        <f t="shared" si="95"/>
        <v>2683852.7535597128</v>
      </c>
      <c r="S228" s="45">
        <f t="shared" si="95"/>
        <v>2764948.7123350394</v>
      </c>
      <c r="T228" s="45">
        <f t="shared" si="95"/>
        <v>2818087.3409400512</v>
      </c>
      <c r="U228" s="45">
        <f t="shared" si="95"/>
        <v>2788562.5444869502</v>
      </c>
      <c r="V228" s="45">
        <f t="shared" si="95"/>
        <v>2821128.1442141794</v>
      </c>
      <c r="W228" s="45">
        <f t="shared" si="95"/>
        <v>2907068.0235168939</v>
      </c>
      <c r="X228" s="45">
        <f t="shared" si="95"/>
        <v>2951766.2657824834</v>
      </c>
      <c r="Y228" s="45">
        <f t="shared" si="95"/>
        <v>2960383.3729468258</v>
      </c>
      <c r="Z228" s="45">
        <f t="shared" si="95"/>
        <v>2922258.4332342027</v>
      </c>
      <c r="AA228" s="45">
        <f t="shared" si="95"/>
        <v>2850128.5989184044</v>
      </c>
      <c r="AB228" s="45">
        <f t="shared" si="95"/>
        <v>2773896.253417952</v>
      </c>
      <c r="AC228" s="45">
        <f t="shared" si="95"/>
        <v>2662263.9070429658</v>
      </c>
      <c r="AD228" s="45">
        <f t="shared" si="95"/>
        <v>2506013.0937190973</v>
      </c>
      <c r="AE228" s="45">
        <f t="shared" si="95"/>
        <v>2370908.4701626273</v>
      </c>
      <c r="AF228" s="45">
        <f t="shared" si="95"/>
        <v>2294824.1128588859</v>
      </c>
      <c r="AG228" s="46">
        <f>SUM(I228:AF228)</f>
        <v>61771865.766971938</v>
      </c>
    </row>
    <row r="229" spans="2:33" ht="14.4" x14ac:dyDescent="0.25">
      <c r="B229">
        <f t="shared" si="78"/>
        <v>9</v>
      </c>
      <c r="C229">
        <f t="shared" si="79"/>
        <v>2030</v>
      </c>
      <c r="D229" t="str">
        <f t="shared" ref="D229:D232" si="96">+_xlfn.CONCAT(B229:C229,G229)</f>
        <v>92030OR</v>
      </c>
      <c r="E229" s="67">
        <v>47727</v>
      </c>
      <c r="F229" s="72">
        <f>+AG233</f>
        <v>60283096.873119034</v>
      </c>
      <c r="G229" s="37" t="s">
        <v>57</v>
      </c>
      <c r="H229" s="37">
        <v>21</v>
      </c>
      <c r="I229" s="65">
        <v>74052.314213517893</v>
      </c>
      <c r="J229" s="65">
        <v>72690.64218822449</v>
      </c>
      <c r="K229" s="65">
        <v>71895.385066907125</v>
      </c>
      <c r="L229" s="65">
        <v>71543.457231468827</v>
      </c>
      <c r="M229" s="65">
        <v>71803.568314993361</v>
      </c>
      <c r="N229" s="65">
        <v>73555.523205247489</v>
      </c>
      <c r="O229" s="65">
        <v>79025.057825586089</v>
      </c>
      <c r="P229" s="65">
        <v>85584.485391682974</v>
      </c>
      <c r="Q229" s="65">
        <v>90572.342068678641</v>
      </c>
      <c r="R229" s="65">
        <v>93021.788444039121</v>
      </c>
      <c r="S229" s="65">
        <v>96327.051411686756</v>
      </c>
      <c r="T229" s="65">
        <v>98471.641153294055</v>
      </c>
      <c r="U229" s="65">
        <v>96498.990425081414</v>
      </c>
      <c r="V229" s="65">
        <v>97693.020702216294</v>
      </c>
      <c r="W229" s="65">
        <v>101498.35039527199</v>
      </c>
      <c r="X229" s="65">
        <v>102922.37463861282</v>
      </c>
      <c r="Y229" s="65">
        <v>103000.89767963231</v>
      </c>
      <c r="Z229" s="65">
        <v>100616.95917285187</v>
      </c>
      <c r="AA229" s="65">
        <v>96918.622747875779</v>
      </c>
      <c r="AB229" s="65">
        <v>93846.780763983479</v>
      </c>
      <c r="AC229" s="65">
        <v>89817.868136458506</v>
      </c>
      <c r="AD229" s="65">
        <v>84174.985135261682</v>
      </c>
      <c r="AE229" s="65">
        <v>79259.766428896386</v>
      </c>
      <c r="AF229" s="65">
        <v>76599.037226968154</v>
      </c>
      <c r="AG229" s="38">
        <f>+SUM(I229:AF229)*H229</f>
        <v>44129209.109337188</v>
      </c>
    </row>
    <row r="230" spans="2:33" ht="14.4" x14ac:dyDescent="0.25">
      <c r="B230">
        <f t="shared" si="78"/>
        <v>9</v>
      </c>
      <c r="C230">
        <f t="shared" si="79"/>
        <v>2030</v>
      </c>
      <c r="D230" t="str">
        <f t="shared" si="96"/>
        <v>92030SA</v>
      </c>
      <c r="E230" s="68">
        <v>47727</v>
      </c>
      <c r="F230" s="73"/>
      <c r="G230" s="39" t="s">
        <v>60</v>
      </c>
      <c r="H230" s="39">
        <v>4</v>
      </c>
      <c r="I230" s="65">
        <v>74463.535886132639</v>
      </c>
      <c r="J230" s="65">
        <v>73024.914785967383</v>
      </c>
      <c r="K230" s="65">
        <v>72069.178936593366</v>
      </c>
      <c r="L230" s="65">
        <v>71580.477952490066</v>
      </c>
      <c r="M230" s="65">
        <v>71666.019466053534</v>
      </c>
      <c r="N230" s="65">
        <v>72520.526449931654</v>
      </c>
      <c r="O230" s="65">
        <v>76421.561851025559</v>
      </c>
      <c r="P230" s="65">
        <v>80275.921205581224</v>
      </c>
      <c r="Q230" s="65">
        <v>83514.884313758783</v>
      </c>
      <c r="R230" s="65">
        <v>85807.783299252813</v>
      </c>
      <c r="S230" s="65">
        <v>88817.586796336487</v>
      </c>
      <c r="T230" s="65">
        <v>90195.128204048495</v>
      </c>
      <c r="U230" s="65">
        <v>88255.642162903139</v>
      </c>
      <c r="V230" s="65">
        <v>87142.094967159574</v>
      </c>
      <c r="W230" s="65">
        <v>87644.749811561473</v>
      </c>
      <c r="X230" s="65">
        <v>88433.320174012653</v>
      </c>
      <c r="Y230" s="65">
        <v>89356.11215188248</v>
      </c>
      <c r="Z230" s="65">
        <v>90166.413760864118</v>
      </c>
      <c r="AA230" s="65">
        <v>89332.201837084373</v>
      </c>
      <c r="AB230" s="65">
        <v>87543.037008768413</v>
      </c>
      <c r="AC230" s="65">
        <v>84427.765742254196</v>
      </c>
      <c r="AD230" s="65">
        <v>79265.335748608515</v>
      </c>
      <c r="AE230" s="65">
        <v>74930.091227358993</v>
      </c>
      <c r="AF230" s="65">
        <v>72520.707834609711</v>
      </c>
      <c r="AG230" s="40">
        <f>+SUM(I230:AF230)*H230</f>
        <v>7837499.9662969587</v>
      </c>
    </row>
    <row r="231" spans="2:33" ht="14.4" x14ac:dyDescent="0.25">
      <c r="B231">
        <f t="shared" si="78"/>
        <v>9</v>
      </c>
      <c r="C231">
        <f t="shared" si="79"/>
        <v>2030</v>
      </c>
      <c r="D231" t="str">
        <f t="shared" si="96"/>
        <v>92030DO</v>
      </c>
      <c r="E231" s="68">
        <v>47727</v>
      </c>
      <c r="F231" s="73"/>
      <c r="G231" s="41" t="s">
        <v>58</v>
      </c>
      <c r="H231" s="41">
        <v>5</v>
      </c>
      <c r="I231" s="65">
        <v>67162.18784246796</v>
      </c>
      <c r="J231" s="65">
        <v>65903.337400696459</v>
      </c>
      <c r="K231" s="65">
        <v>65027.815432301257</v>
      </c>
      <c r="L231" s="65">
        <v>64481.642434579575</v>
      </c>
      <c r="M231" s="65">
        <v>64216.329877345612</v>
      </c>
      <c r="N231" s="65">
        <v>63857.138787497432</v>
      </c>
      <c r="O231" s="65">
        <v>63533.188250193372</v>
      </c>
      <c r="P231" s="65">
        <v>63402.714357411824</v>
      </c>
      <c r="Q231" s="65">
        <v>64069.586504427854</v>
      </c>
      <c r="R231" s="65">
        <v>65152.30450695609</v>
      </c>
      <c r="S231" s="65">
        <v>67230.150318127402</v>
      </c>
      <c r="T231" s="65">
        <v>69887.343472357374</v>
      </c>
      <c r="U231" s="65">
        <v>70837.73340909995</v>
      </c>
      <c r="V231" s="65">
        <v>71311.539686637669</v>
      </c>
      <c r="W231" s="65">
        <v>72764.381925274676</v>
      </c>
      <c r="X231" s="65">
        <v>73781.499055644061</v>
      </c>
      <c r="Y231" s="65">
        <v>75647.824147097577</v>
      </c>
      <c r="Z231" s="65">
        <v>77688.548043607647</v>
      </c>
      <c r="AA231" s="65">
        <v>78090.458069731219</v>
      </c>
      <c r="AB231" s="65">
        <v>77104.543775778628</v>
      </c>
      <c r="AC231" s="65">
        <v>74478.146036745267</v>
      </c>
      <c r="AD231" s="65">
        <v>71534.58051917507</v>
      </c>
      <c r="AE231" s="65">
        <v>68974.475322638202</v>
      </c>
      <c r="AF231" s="65">
        <v>67140.090321186726</v>
      </c>
      <c r="AG231" s="40">
        <f>+SUM(I231:AF231)*H231</f>
        <v>8316387.7974848961</v>
      </c>
    </row>
    <row r="232" spans="2:33" ht="14.4" x14ac:dyDescent="0.25">
      <c r="B232">
        <f t="shared" si="78"/>
        <v>9</v>
      </c>
      <c r="C232">
        <f t="shared" si="79"/>
        <v>2030</v>
      </c>
      <c r="D232" t="str">
        <f t="shared" si="96"/>
        <v>92030FE</v>
      </c>
      <c r="E232" s="68">
        <v>47727</v>
      </c>
      <c r="F232" s="73"/>
      <c r="G232" s="42" t="s">
        <v>59</v>
      </c>
      <c r="H232" s="42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0</v>
      </c>
      <c r="AA232" s="65">
        <v>0</v>
      </c>
      <c r="AB232" s="65">
        <v>0</v>
      </c>
      <c r="AC232" s="65">
        <v>0</v>
      </c>
      <c r="AD232" s="65">
        <v>0</v>
      </c>
      <c r="AE232" s="65">
        <v>0</v>
      </c>
      <c r="AF232" s="65">
        <v>0</v>
      </c>
      <c r="AG232" s="43">
        <f>+SUM(I232:AF232)*H232</f>
        <v>0</v>
      </c>
    </row>
    <row r="233" spans="2:33" ht="15" thickBot="1" x14ac:dyDescent="0.3">
      <c r="B233">
        <f t="shared" si="78"/>
        <v>9</v>
      </c>
      <c r="C233">
        <f t="shared" si="79"/>
        <v>2030</v>
      </c>
      <c r="D233" t="str">
        <f>+_xlfn.CONCAT(E233,G233)</f>
        <v>47727TOTAL</v>
      </c>
      <c r="E233" s="68">
        <v>47727</v>
      </c>
      <c r="F233" s="61"/>
      <c r="G233" s="44" t="s">
        <v>10</v>
      </c>
      <c r="H233" s="44">
        <f>+SUM(H229:H232)</f>
        <v>30</v>
      </c>
      <c r="I233" s="45">
        <f t="shared" ref="I233:AF233" si="97">+SUMPRODUCT(I229:I232,$H229:$H232)</f>
        <v>2188763.6812407463</v>
      </c>
      <c r="J233" s="45">
        <f t="shared" si="97"/>
        <v>2148119.8321000659</v>
      </c>
      <c r="K233" s="45">
        <f t="shared" si="97"/>
        <v>2123218.8793129292</v>
      </c>
      <c r="L233" s="45">
        <f t="shared" si="97"/>
        <v>2111142.7258437038</v>
      </c>
      <c r="M233" s="45">
        <f t="shared" si="97"/>
        <v>2115620.6618658029</v>
      </c>
      <c r="N233" s="45">
        <f t="shared" si="97"/>
        <v>2154033.7870474108</v>
      </c>
      <c r="O233" s="45">
        <f t="shared" si="97"/>
        <v>2282878.4029923771</v>
      </c>
      <c r="P233" s="45">
        <f t="shared" si="97"/>
        <v>2435391.4498347268</v>
      </c>
      <c r="Q233" s="45">
        <f t="shared" si="97"/>
        <v>2556426.6532194261</v>
      </c>
      <c r="R233" s="45">
        <f t="shared" si="97"/>
        <v>2622450.2130566137</v>
      </c>
      <c r="S233" s="45">
        <f t="shared" si="97"/>
        <v>2714289.1784214047</v>
      </c>
      <c r="T233" s="45">
        <f t="shared" si="97"/>
        <v>2778121.6943971557</v>
      </c>
      <c r="U233" s="45">
        <f t="shared" si="97"/>
        <v>2733690.0346238217</v>
      </c>
      <c r="V233" s="45">
        <f t="shared" si="97"/>
        <v>2756679.513048369</v>
      </c>
      <c r="W233" s="45">
        <f t="shared" si="97"/>
        <v>2845866.2671733312</v>
      </c>
      <c r="X233" s="45">
        <f t="shared" si="97"/>
        <v>2884010.6433851402</v>
      </c>
      <c r="Y233" s="45">
        <f t="shared" si="97"/>
        <v>2898682.4206152963</v>
      </c>
      <c r="Z233" s="45">
        <f t="shared" si="97"/>
        <v>2862064.5378913837</v>
      </c>
      <c r="AA233" s="45">
        <f t="shared" si="97"/>
        <v>2783072.1754023847</v>
      </c>
      <c r="AB233" s="45">
        <f t="shared" si="97"/>
        <v>2706477.26295762</v>
      </c>
      <c r="AC233" s="45">
        <f t="shared" si="97"/>
        <v>2596277.0240183715</v>
      </c>
      <c r="AD233" s="45">
        <f t="shared" si="97"/>
        <v>2442408.9334308049</v>
      </c>
      <c r="AE233" s="45">
        <f t="shared" si="97"/>
        <v>2309047.836529451</v>
      </c>
      <c r="AF233" s="45">
        <f t="shared" si="97"/>
        <v>2234363.0647107037</v>
      </c>
      <c r="AG233" s="46">
        <f>SUM(I233:AF233)</f>
        <v>60283096.873119034</v>
      </c>
    </row>
    <row r="234" spans="2:33" ht="14.4" x14ac:dyDescent="0.25">
      <c r="B234">
        <f t="shared" si="78"/>
        <v>10</v>
      </c>
      <c r="C234">
        <f t="shared" si="79"/>
        <v>2030</v>
      </c>
      <c r="D234" t="str">
        <f t="shared" ref="D234:D237" si="98">+_xlfn.CONCAT(B234:C234,G234)</f>
        <v>102030OR</v>
      </c>
      <c r="E234" s="67">
        <v>47757</v>
      </c>
      <c r="F234" s="72">
        <f>+AG238</f>
        <v>62527547.386626519</v>
      </c>
      <c r="G234" s="37" t="s">
        <v>57</v>
      </c>
      <c r="H234" s="37">
        <v>22</v>
      </c>
      <c r="I234" s="65">
        <v>74103.438153896102</v>
      </c>
      <c r="J234" s="65">
        <v>72738.689903822742</v>
      </c>
      <c r="K234" s="65">
        <v>71941.468036983875</v>
      </c>
      <c r="L234" s="65">
        <v>71588.670816472746</v>
      </c>
      <c r="M234" s="65">
        <v>71849.408257931223</v>
      </c>
      <c r="N234" s="65">
        <v>73623.214713394482</v>
      </c>
      <c r="O234" s="65">
        <v>79164.179027462364</v>
      </c>
      <c r="P234" s="65">
        <v>86059.950201050786</v>
      </c>
      <c r="Q234" s="65">
        <v>91263.875104665305</v>
      </c>
      <c r="R234" s="65">
        <v>93333.38574374163</v>
      </c>
      <c r="S234" s="65">
        <v>96596.558875003378</v>
      </c>
      <c r="T234" s="65">
        <v>98307.728398102161</v>
      </c>
      <c r="U234" s="65">
        <v>96460.597018691493</v>
      </c>
      <c r="V234" s="65">
        <v>98065.361118972243</v>
      </c>
      <c r="W234" s="65">
        <v>101716.04639446997</v>
      </c>
      <c r="X234" s="65">
        <v>103560.94036699046</v>
      </c>
      <c r="Y234" s="65">
        <v>103502.01488627895</v>
      </c>
      <c r="Z234" s="65">
        <v>100864.78991078964</v>
      </c>
      <c r="AA234" s="65">
        <v>97019.566590247967</v>
      </c>
      <c r="AB234" s="65">
        <v>93941.277707048677</v>
      </c>
      <c r="AC234" s="65">
        <v>89903.633761111123</v>
      </c>
      <c r="AD234" s="65">
        <v>84247.947432859582</v>
      </c>
      <c r="AE234" s="65">
        <v>79321.702504068628</v>
      </c>
      <c r="AF234" s="65">
        <v>76654.787508628346</v>
      </c>
      <c r="AG234" s="38">
        <f>+SUM(I234:AF234)*H234</f>
        <v>46328243.113519043</v>
      </c>
    </row>
    <row r="235" spans="2:33" ht="14.4" x14ac:dyDescent="0.25">
      <c r="B235">
        <f t="shared" si="78"/>
        <v>10</v>
      </c>
      <c r="C235">
        <f t="shared" si="79"/>
        <v>2030</v>
      </c>
      <c r="D235" t="str">
        <f t="shared" si="98"/>
        <v>102030SA</v>
      </c>
      <c r="E235" s="68">
        <v>47757</v>
      </c>
      <c r="F235" s="73"/>
      <c r="G235" s="39" t="s">
        <v>60</v>
      </c>
      <c r="H235" s="39">
        <v>4</v>
      </c>
      <c r="I235" s="65">
        <v>74532.440987969327</v>
      </c>
      <c r="J235" s="65">
        <v>73090.202178188352</v>
      </c>
      <c r="K235" s="65">
        <v>72131.46728733748</v>
      </c>
      <c r="L235" s="65">
        <v>71641.364909298572</v>
      </c>
      <c r="M235" s="65">
        <v>71727.194263598882</v>
      </c>
      <c r="N235" s="65">
        <v>72602.366268748738</v>
      </c>
      <c r="O235" s="65">
        <v>76572.444028538579</v>
      </c>
      <c r="P235" s="65">
        <v>80758.75426879045</v>
      </c>
      <c r="Q235" s="65">
        <v>84212.113635050904</v>
      </c>
      <c r="R235" s="65">
        <v>86126.024593882787</v>
      </c>
      <c r="S235" s="65">
        <v>89094.222335217986</v>
      </c>
      <c r="T235" s="65">
        <v>90036.700480763873</v>
      </c>
      <c r="U235" s="65">
        <v>88221.496293880075</v>
      </c>
      <c r="V235" s="65">
        <v>87513.50017420415</v>
      </c>
      <c r="W235" s="65">
        <v>87855.562879944322</v>
      </c>
      <c r="X235" s="65">
        <v>89063.622105894116</v>
      </c>
      <c r="Y235" s="65">
        <v>89850.816016717581</v>
      </c>
      <c r="Z235" s="65">
        <v>90413.833832896984</v>
      </c>
      <c r="AA235" s="65">
        <v>89437.76508002945</v>
      </c>
      <c r="AB235" s="65">
        <v>87643.363089350474</v>
      </c>
      <c r="AC235" s="65">
        <v>84520.176304703273</v>
      </c>
      <c r="AD235" s="65">
        <v>79344.967168048344</v>
      </c>
      <c r="AE235" s="65">
        <v>74998.485703878905</v>
      </c>
      <c r="AF235" s="65">
        <v>72582.9875104682</v>
      </c>
      <c r="AG235" s="40">
        <f>+SUM(I235:AF235)*H235</f>
        <v>7855887.4855896067</v>
      </c>
    </row>
    <row r="236" spans="2:33" ht="14.4" x14ac:dyDescent="0.25">
      <c r="B236">
        <f t="shared" si="78"/>
        <v>10</v>
      </c>
      <c r="C236">
        <f t="shared" si="79"/>
        <v>2030</v>
      </c>
      <c r="D236" t="str">
        <f t="shared" si="98"/>
        <v>102030DO</v>
      </c>
      <c r="E236" s="68">
        <v>47757</v>
      </c>
      <c r="F236" s="73"/>
      <c r="G236" s="41" t="s">
        <v>58</v>
      </c>
      <c r="H236" s="41">
        <v>4</v>
      </c>
      <c r="I236" s="65">
        <v>67237.203204046484</v>
      </c>
      <c r="J236" s="65">
        <v>65974.37701851051</v>
      </c>
      <c r="K236" s="65">
        <v>65096.36023314148</v>
      </c>
      <c r="L236" s="65">
        <v>64548.394949138914</v>
      </c>
      <c r="M236" s="65">
        <v>64282.262571248139</v>
      </c>
      <c r="N236" s="65">
        <v>63940.013639369899</v>
      </c>
      <c r="O236" s="65">
        <v>63676.085388215703</v>
      </c>
      <c r="P236" s="65">
        <v>63871.444609883045</v>
      </c>
      <c r="Q236" s="65">
        <v>64748.205638031381</v>
      </c>
      <c r="R236" s="65">
        <v>65450.407551101067</v>
      </c>
      <c r="S236" s="65">
        <v>67486.369977216003</v>
      </c>
      <c r="T236" s="65">
        <v>69713.221367230304</v>
      </c>
      <c r="U236" s="65">
        <v>70794.927729879259</v>
      </c>
      <c r="V236" s="65">
        <v>71678.048203985541</v>
      </c>
      <c r="W236" s="65">
        <v>72970.330746089137</v>
      </c>
      <c r="X236" s="65">
        <v>74408.090839676152</v>
      </c>
      <c r="Y236" s="65">
        <v>76140.51702981611</v>
      </c>
      <c r="Z236" s="65">
        <v>77936.192020372662</v>
      </c>
      <c r="AA236" s="65">
        <v>78199.506123967833</v>
      </c>
      <c r="AB236" s="65">
        <v>77209.277421750317</v>
      </c>
      <c r="AC236" s="65">
        <v>74574.018984253446</v>
      </c>
      <c r="AD236" s="65">
        <v>71620.825670880979</v>
      </c>
      <c r="AE236" s="65">
        <v>69052.656015510554</v>
      </c>
      <c r="AF236" s="65">
        <v>67212.755766139599</v>
      </c>
      <c r="AG236" s="40">
        <f>+SUM(I236:AF236)*H236</f>
        <v>6671285.9707978191</v>
      </c>
    </row>
    <row r="237" spans="2:33" ht="14.4" x14ac:dyDescent="0.25">
      <c r="B237">
        <f t="shared" si="78"/>
        <v>10</v>
      </c>
      <c r="C237">
        <f t="shared" si="79"/>
        <v>2030</v>
      </c>
      <c r="D237" t="str">
        <f t="shared" si="98"/>
        <v>102030FE</v>
      </c>
      <c r="E237" s="68">
        <v>47757</v>
      </c>
      <c r="F237" s="73"/>
      <c r="G237" s="42" t="s">
        <v>59</v>
      </c>
      <c r="H237" s="42">
        <v>1</v>
      </c>
      <c r="I237" s="65">
        <v>66347.628964118543</v>
      </c>
      <c r="J237" s="65">
        <v>65196.010512801455</v>
      </c>
      <c r="K237" s="65">
        <v>64401.226621991242</v>
      </c>
      <c r="L237" s="65">
        <v>63895.72576697568</v>
      </c>
      <c r="M237" s="65">
        <v>63793.164384720614</v>
      </c>
      <c r="N237" s="65">
        <v>63845.481953661576</v>
      </c>
      <c r="O237" s="65">
        <v>64195.370329492798</v>
      </c>
      <c r="P237" s="65">
        <v>64657.268384908006</v>
      </c>
      <c r="Q237" s="65">
        <v>65558.197392898495</v>
      </c>
      <c r="R237" s="65">
        <v>66274.257725875737</v>
      </c>
      <c r="S237" s="65">
        <v>68300.512827018014</v>
      </c>
      <c r="T237" s="65">
        <v>70411.33868569498</v>
      </c>
      <c r="U237" s="65">
        <v>71343.026313921291</v>
      </c>
      <c r="V237" s="65">
        <v>72071.039871702669</v>
      </c>
      <c r="W237" s="65">
        <v>73491.365053226953</v>
      </c>
      <c r="X237" s="65">
        <v>74995.674084756814</v>
      </c>
      <c r="Y237" s="65">
        <v>76765.625168439117</v>
      </c>
      <c r="Z237" s="65">
        <v>78357.351391269171</v>
      </c>
      <c r="AA237" s="65">
        <v>78238.292027033531</v>
      </c>
      <c r="AB237" s="65">
        <v>77239.788339568244</v>
      </c>
      <c r="AC237" s="65">
        <v>74672.846583766514</v>
      </c>
      <c r="AD237" s="65">
        <v>71655.397654276487</v>
      </c>
      <c r="AE237" s="65">
        <v>69112.673829225343</v>
      </c>
      <c r="AF237" s="65">
        <v>67311.552852710593</v>
      </c>
      <c r="AG237" s="43">
        <f>+SUM(I237:AF237)*H237</f>
        <v>1672130.816720054</v>
      </c>
    </row>
    <row r="238" spans="2:33" ht="15" thickBot="1" x14ac:dyDescent="0.3">
      <c r="B238">
        <f t="shared" si="78"/>
        <v>10</v>
      </c>
      <c r="C238">
        <f t="shared" si="79"/>
        <v>2030</v>
      </c>
      <c r="D238" t="str">
        <f>+_xlfn.CONCAT(E238,G238)</f>
        <v>47757TOTAL</v>
      </c>
      <c r="E238" s="68">
        <v>47757</v>
      </c>
      <c r="F238" s="61"/>
      <c r="G238" s="44" t="s">
        <v>10</v>
      </c>
      <c r="H238" s="44">
        <f>+SUM(H234:H237)</f>
        <v>31</v>
      </c>
      <c r="I238" s="45">
        <f t="shared" ref="I238:AF238" si="99">+SUMPRODUCT(I234:I237,$H234:$H237)</f>
        <v>2263701.8451178963</v>
      </c>
      <c r="J238" s="45">
        <f t="shared" si="99"/>
        <v>2221705.5051836972</v>
      </c>
      <c r="K238" s="45">
        <f t="shared" si="99"/>
        <v>2196024.8335175519</v>
      </c>
      <c r="L238" s="45">
        <f t="shared" si="99"/>
        <v>2183605.5231631259</v>
      </c>
      <c r="M238" s="45">
        <f t="shared" si="99"/>
        <v>2188517.973398596</v>
      </c>
      <c r="N238" s="45">
        <f t="shared" si="99"/>
        <v>2229725.7252808143</v>
      </c>
      <c r="O238" s="45">
        <f t="shared" si="99"/>
        <v>2366801.4266006821</v>
      </c>
      <c r="P238" s="45">
        <f t="shared" si="99"/>
        <v>2536496.968322719</v>
      </c>
      <c r="Q238" s="45">
        <f t="shared" si="99"/>
        <v>2669204.7267878642</v>
      </c>
      <c r="R238" s="45">
        <f t="shared" si="99"/>
        <v>2725914.4726681272</v>
      </c>
      <c r="S238" s="45">
        <f t="shared" si="99"/>
        <v>2819747.1773268282</v>
      </c>
      <c r="T238" s="45">
        <f t="shared" si="99"/>
        <v>2872181.0508359196</v>
      </c>
      <c r="U238" s="45">
        <f t="shared" si="99"/>
        <v>2829541.8568201717</v>
      </c>
      <c r="V238" s="45">
        <f t="shared" si="99"/>
        <v>2866275.1780018508</v>
      </c>
      <c r="W238" s="45">
        <f t="shared" si="99"/>
        <v>2954547.9602357005</v>
      </c>
      <c r="X238" s="45">
        <f t="shared" si="99"/>
        <v>3007223.2139408286</v>
      </c>
      <c r="Y238" s="45">
        <f t="shared" si="99"/>
        <v>3017775.2848527106</v>
      </c>
      <c r="Z238" s="45">
        <f t="shared" si="99"/>
        <v>2970782.83284172</v>
      </c>
      <c r="AA238" s="45">
        <f t="shared" si="99"/>
        <v>2883217.841828478</v>
      </c>
      <c r="AB238" s="45">
        <f t="shared" si="99"/>
        <v>2803358.4599390426</v>
      </c>
      <c r="AC238" s="45">
        <f t="shared" si="99"/>
        <v>2688929.5704840375</v>
      </c>
      <c r="AD238" s="45">
        <f t="shared" si="99"/>
        <v>2528973.4125329042</v>
      </c>
      <c r="AE238" s="45">
        <f t="shared" si="99"/>
        <v>2390394.6957962927</v>
      </c>
      <c r="AF238" s="45">
        <f t="shared" si="99"/>
        <v>2312899.8511489653</v>
      </c>
      <c r="AG238" s="46">
        <f>SUM(I238:AF238)</f>
        <v>62527547.386626519</v>
      </c>
    </row>
    <row r="239" spans="2:33" ht="14.4" x14ac:dyDescent="0.25">
      <c r="B239">
        <f t="shared" si="78"/>
        <v>11</v>
      </c>
      <c r="C239">
        <f t="shared" si="79"/>
        <v>2030</v>
      </c>
      <c r="D239" t="str">
        <f t="shared" ref="D239:D242" si="100">+_xlfn.CONCAT(B239:C239,G239)</f>
        <v>112030OR</v>
      </c>
      <c r="E239" s="67">
        <v>47788</v>
      </c>
      <c r="F239" s="72">
        <f>+AG243</f>
        <v>59926306.302673876</v>
      </c>
      <c r="G239" s="37" t="s">
        <v>57</v>
      </c>
      <c r="H239" s="37">
        <v>19</v>
      </c>
      <c r="I239" s="65">
        <v>74095.677030638995</v>
      </c>
      <c r="J239" s="65">
        <v>72728.195813121027</v>
      </c>
      <c r="K239" s="65">
        <v>71929.235241250979</v>
      </c>
      <c r="L239" s="65">
        <v>71575.642280820844</v>
      </c>
      <c r="M239" s="65">
        <v>71837.144451533444</v>
      </c>
      <c r="N239" s="65">
        <v>73627.551206909571</v>
      </c>
      <c r="O239" s="65">
        <v>79373.567109074429</v>
      </c>
      <c r="P239" s="65">
        <v>86529.483325301131</v>
      </c>
      <c r="Q239" s="65">
        <v>91815.762484528372</v>
      </c>
      <c r="R239" s="65">
        <v>94024.713954292762</v>
      </c>
      <c r="S239" s="65">
        <v>97091.012057741609</v>
      </c>
      <c r="T239" s="65">
        <v>98667.488643189019</v>
      </c>
      <c r="U239" s="65">
        <v>96721.845602002402</v>
      </c>
      <c r="V239" s="65">
        <v>98112.81417359547</v>
      </c>
      <c r="W239" s="65">
        <v>101543.36433526619</v>
      </c>
      <c r="X239" s="65">
        <v>103161.94753090067</v>
      </c>
      <c r="Y239" s="65">
        <v>103621.8686931808</v>
      </c>
      <c r="Z239" s="65">
        <v>100935.64772227894</v>
      </c>
      <c r="AA239" s="65">
        <v>97058.604545684007</v>
      </c>
      <c r="AB239" s="65">
        <v>93974.065160638187</v>
      </c>
      <c r="AC239" s="65">
        <v>89928.218319861669</v>
      </c>
      <c r="AD239" s="65">
        <v>84260.619262011474</v>
      </c>
      <c r="AE239" s="65">
        <v>79324.025248230915</v>
      </c>
      <c r="AF239" s="65">
        <v>76651.511586846085</v>
      </c>
      <c r="AG239" s="38">
        <f>+SUM(I239:AF239)*H239</f>
        <v>40063210.109799087</v>
      </c>
    </row>
    <row r="240" spans="2:33" ht="14.4" x14ac:dyDescent="0.25">
      <c r="B240">
        <f t="shared" si="78"/>
        <v>11</v>
      </c>
      <c r="C240">
        <f t="shared" si="79"/>
        <v>2030</v>
      </c>
      <c r="D240" t="str">
        <f t="shared" si="100"/>
        <v>112030SA</v>
      </c>
      <c r="E240" s="68">
        <v>47788</v>
      </c>
      <c r="F240" s="73"/>
      <c r="G240" s="39" t="s">
        <v>60</v>
      </c>
      <c r="H240" s="39">
        <v>5</v>
      </c>
      <c r="I240" s="65">
        <v>74529.235790397564</v>
      </c>
      <c r="J240" s="65">
        <v>73083.897425400821</v>
      </c>
      <c r="K240" s="65">
        <v>72122.644449799176</v>
      </c>
      <c r="L240" s="65">
        <v>71631.400865551521</v>
      </c>
      <c r="M240" s="65">
        <v>71717.458776438143</v>
      </c>
      <c r="N240" s="65">
        <v>72607.550199437945</v>
      </c>
      <c r="O240" s="65">
        <v>76779.057737949988</v>
      </c>
      <c r="P240" s="65">
        <v>81220.570972781265</v>
      </c>
      <c r="Q240" s="65">
        <v>84753.7827494136</v>
      </c>
      <c r="R240" s="65">
        <v>86807.267675473311</v>
      </c>
      <c r="S240" s="65">
        <v>89578.119884854459</v>
      </c>
      <c r="T240" s="65">
        <v>90384.075066488309</v>
      </c>
      <c r="U240" s="65">
        <v>88469.744087521496</v>
      </c>
      <c r="V240" s="65">
        <v>87543.599241075877</v>
      </c>
      <c r="W240" s="65">
        <v>87660.306918332062</v>
      </c>
      <c r="X240" s="65">
        <v>88640.941579985723</v>
      </c>
      <c r="Y240" s="65">
        <v>89948.69204832532</v>
      </c>
      <c r="Z240" s="65">
        <v>90468.465675620449</v>
      </c>
      <c r="AA240" s="65">
        <v>89465.75829847873</v>
      </c>
      <c r="AB240" s="65">
        <v>87667.00713498985</v>
      </c>
      <c r="AC240" s="65">
        <v>84537.198504624219</v>
      </c>
      <c r="AD240" s="65">
        <v>79351.18079010013</v>
      </c>
      <c r="AE240" s="65">
        <v>74995.204688013837</v>
      </c>
      <c r="AF240" s="65">
        <v>72574.431772648997</v>
      </c>
      <c r="AG240" s="40">
        <f>+SUM(I240:AF240)*H240</f>
        <v>9832687.9616685137</v>
      </c>
    </row>
    <row r="241" spans="2:33" ht="14.4" x14ac:dyDescent="0.25">
      <c r="B241">
        <f t="shared" si="78"/>
        <v>11</v>
      </c>
      <c r="C241">
        <f t="shared" si="79"/>
        <v>2030</v>
      </c>
      <c r="D241" t="str">
        <f t="shared" si="100"/>
        <v>112030DO</v>
      </c>
      <c r="E241" s="68">
        <v>47788</v>
      </c>
      <c r="F241" s="73"/>
      <c r="G241" s="41" t="s">
        <v>58</v>
      </c>
      <c r="H241" s="41">
        <v>4</v>
      </c>
      <c r="I241" s="65">
        <v>67241.997368901866</v>
      </c>
      <c r="J241" s="65">
        <v>65975.744603179075</v>
      </c>
      <c r="K241" s="65">
        <v>65095.626032106404</v>
      </c>
      <c r="L241" s="65">
        <v>64546.083525783135</v>
      </c>
      <c r="M241" s="65">
        <v>64279.250502898009</v>
      </c>
      <c r="N241" s="65">
        <v>63948.636013075891</v>
      </c>
      <c r="O241" s="65">
        <v>63878.520991328674</v>
      </c>
      <c r="P241" s="65">
        <v>64323.995494667601</v>
      </c>
      <c r="Q241" s="65">
        <v>65276.97593445336</v>
      </c>
      <c r="R241" s="65">
        <v>66117.672428436286</v>
      </c>
      <c r="S241" s="65">
        <v>67956.203215951362</v>
      </c>
      <c r="T241" s="65">
        <v>70050.62187825836</v>
      </c>
      <c r="U241" s="65">
        <v>71039.127579472726</v>
      </c>
      <c r="V241" s="65">
        <v>71707.328175053321</v>
      </c>
      <c r="W241" s="65">
        <v>72774.298865365359</v>
      </c>
      <c r="X241" s="65">
        <v>73985.598729940277</v>
      </c>
      <c r="Y241" s="65">
        <v>76240.090717415209</v>
      </c>
      <c r="Z241" s="65">
        <v>77994.289993335144</v>
      </c>
      <c r="AA241" s="65">
        <v>78233.819564540492</v>
      </c>
      <c r="AB241" s="65">
        <v>77239.797505737923</v>
      </c>
      <c r="AC241" s="65">
        <v>74596.870838195362</v>
      </c>
      <c r="AD241" s="65">
        <v>71635.249992452838</v>
      </c>
      <c r="AE241" s="65">
        <v>69060.095767935913</v>
      </c>
      <c r="AF241" s="65">
        <v>67215.354972920308</v>
      </c>
      <c r="AG241" s="40">
        <f>+SUM(I241:AF241)*H241</f>
        <v>6681653.0027656201</v>
      </c>
    </row>
    <row r="242" spans="2:33" ht="14.4" x14ac:dyDescent="0.25">
      <c r="B242">
        <f t="shared" si="78"/>
        <v>11</v>
      </c>
      <c r="C242">
        <f t="shared" si="79"/>
        <v>2030</v>
      </c>
      <c r="D242" t="str">
        <f t="shared" si="100"/>
        <v>112030FE</v>
      </c>
      <c r="E242" s="68">
        <v>47788</v>
      </c>
      <c r="F242" s="73"/>
      <c r="G242" s="42" t="s">
        <v>59</v>
      </c>
      <c r="H242" s="42">
        <v>2</v>
      </c>
      <c r="I242" s="65">
        <v>66334.792393737633</v>
      </c>
      <c r="J242" s="65">
        <v>65180.497160451217</v>
      </c>
      <c r="K242" s="65">
        <v>64383.934798725946</v>
      </c>
      <c r="L242" s="65">
        <v>63877.233099685036</v>
      </c>
      <c r="M242" s="65">
        <v>63774.68297442334</v>
      </c>
      <c r="N242" s="65">
        <v>63840.505811142444</v>
      </c>
      <c r="O242" s="65">
        <v>64386.626642011106</v>
      </c>
      <c r="P242" s="65">
        <v>65098.669182782513</v>
      </c>
      <c r="Q242" s="65">
        <v>66075.273016930587</v>
      </c>
      <c r="R242" s="65">
        <v>66929.324728335792</v>
      </c>
      <c r="S242" s="65">
        <v>68757.069089922297</v>
      </c>
      <c r="T242" s="65">
        <v>70734.464748964572</v>
      </c>
      <c r="U242" s="65">
        <v>71572.316041818398</v>
      </c>
      <c r="V242" s="65">
        <v>72084.652199699398</v>
      </c>
      <c r="W242" s="65">
        <v>73280.714446548969</v>
      </c>
      <c r="X242" s="65">
        <v>74558.962679603574</v>
      </c>
      <c r="Y242" s="65">
        <v>76851.236819989339</v>
      </c>
      <c r="Z242" s="65">
        <v>78400.972484457889</v>
      </c>
      <c r="AA242" s="65">
        <v>78256.179416775703</v>
      </c>
      <c r="AB242" s="65">
        <v>77254.519550044119</v>
      </c>
      <c r="AC242" s="65">
        <v>74681.054893301203</v>
      </c>
      <c r="AD242" s="65">
        <v>71655.92325364353</v>
      </c>
      <c r="AE242" s="65">
        <v>69106.734110991034</v>
      </c>
      <c r="AF242" s="65">
        <v>67301.274676345784</v>
      </c>
      <c r="AG242" s="43">
        <f>+SUM(I242:AF242)*H242</f>
        <v>3348755.2284406619</v>
      </c>
    </row>
    <row r="243" spans="2:33" ht="15" thickBot="1" x14ac:dyDescent="0.3">
      <c r="B243">
        <f t="shared" si="78"/>
        <v>11</v>
      </c>
      <c r="C243">
        <f t="shared" si="79"/>
        <v>2030</v>
      </c>
      <c r="D243" t="str">
        <f>+_xlfn.CONCAT(E243,G243)</f>
        <v>47788TOTAL</v>
      </c>
      <c r="E243" s="68">
        <v>47788</v>
      </c>
      <c r="F243" s="61"/>
      <c r="G243" s="44" t="s">
        <v>10</v>
      </c>
      <c r="H243" s="44">
        <f>+SUM(H239:H242)</f>
        <v>30</v>
      </c>
      <c r="I243" s="45">
        <f t="shared" ref="I243:AF243" si="101">+SUMPRODUCT(I239:I242,$H239:$H242)</f>
        <v>2182101.6167972116</v>
      </c>
      <c r="J243" s="45">
        <f t="shared" si="101"/>
        <v>2141519.1803099224</v>
      </c>
      <c r="K243" s="45">
        <f t="shared" si="101"/>
        <v>2116419.0655586421</v>
      </c>
      <c r="L243" s="45">
        <f t="shared" si="101"/>
        <v>2104033.0079658562</v>
      </c>
      <c r="M243" s="45">
        <f t="shared" si="101"/>
        <v>2108159.4064217648</v>
      </c>
      <c r="N243" s="45">
        <f t="shared" si="101"/>
        <v>2145436.7796030599</v>
      </c>
      <c r="O243" s="45">
        <f t="shared" si="101"/>
        <v>2276280.401011501</v>
      </c>
      <c r="P243" s="45">
        <f t="shared" si="101"/>
        <v>2437656.358388863</v>
      </c>
      <c r="Q243" s="45">
        <f t="shared" si="101"/>
        <v>2561526.8507247814</v>
      </c>
      <c r="R243" s="45">
        <f t="shared" si="101"/>
        <v>2618835.2426793454</v>
      </c>
      <c r="S243" s="45">
        <f t="shared" si="101"/>
        <v>2701958.779565013</v>
      </c>
      <c r="T243" s="45">
        <f t="shared" si="101"/>
        <v>2748274.0765639953</v>
      </c>
      <c r="U243" s="45">
        <f t="shared" si="101"/>
        <v>2707364.9292771807</v>
      </c>
      <c r="V243" s="45">
        <f t="shared" si="101"/>
        <v>2732860.0826033051</v>
      </c>
      <c r="W243" s="45">
        <f t="shared" si="101"/>
        <v>2805284.0813162774</v>
      </c>
      <c r="X243" s="45">
        <f t="shared" si="101"/>
        <v>2848342.0312660094</v>
      </c>
      <c r="Y243" s="45">
        <f t="shared" si="101"/>
        <v>2877221.8019217011</v>
      </c>
      <c r="Z243" s="45">
        <f t="shared" si="101"/>
        <v>2838898.7400436588</v>
      </c>
      <c r="AA243" s="45">
        <f t="shared" si="101"/>
        <v>2760889.914952103</v>
      </c>
      <c r="AB243" s="45">
        <f t="shared" si="101"/>
        <v>2687310.5028501144</v>
      </c>
      <c r="AC243" s="45">
        <f t="shared" si="101"/>
        <v>2579071.7337398762</v>
      </c>
      <c r="AD243" s="45">
        <f t="shared" si="101"/>
        <v>2427560.5164058171</v>
      </c>
      <c r="AE243" s="45">
        <f t="shared" si="101"/>
        <v>2296586.3544501821</v>
      </c>
      <c r="AF243" s="45">
        <f t="shared" si="101"/>
        <v>2222714.8482576935</v>
      </c>
      <c r="AG243" s="46">
        <f>SUM(I243:AF243)</f>
        <v>59926306.302673876</v>
      </c>
    </row>
    <row r="244" spans="2:33" ht="14.4" x14ac:dyDescent="0.25">
      <c r="B244">
        <f t="shared" si="78"/>
        <v>12</v>
      </c>
      <c r="C244">
        <f t="shared" si="79"/>
        <v>2030</v>
      </c>
      <c r="D244" t="str">
        <f t="shared" ref="D244:D247" si="102">+_xlfn.CONCAT(B244:C244,G244)</f>
        <v>122030OR</v>
      </c>
      <c r="E244" s="67">
        <v>47818</v>
      </c>
      <c r="F244" s="72">
        <f>+AG248</f>
        <v>61879257.88554401</v>
      </c>
      <c r="G244" s="37" t="s">
        <v>57</v>
      </c>
      <c r="H244" s="37">
        <v>21</v>
      </c>
      <c r="I244" s="65">
        <v>74097.255957914676</v>
      </c>
      <c r="J244" s="65">
        <v>72731.32333556471</v>
      </c>
      <c r="K244" s="65">
        <v>71933.426122068893</v>
      </c>
      <c r="L244" s="65">
        <v>71580.997504278115</v>
      </c>
      <c r="M244" s="65">
        <v>71840.740487141913</v>
      </c>
      <c r="N244" s="65">
        <v>73603.173380984619</v>
      </c>
      <c r="O244" s="65">
        <v>79142.600214624399</v>
      </c>
      <c r="P244" s="65">
        <v>85440.741949229021</v>
      </c>
      <c r="Q244" s="65">
        <v>90416.924496773921</v>
      </c>
      <c r="R244" s="65">
        <v>92567.196888478691</v>
      </c>
      <c r="S244" s="65">
        <v>96109.14919800662</v>
      </c>
      <c r="T244" s="65">
        <v>97804.228481931204</v>
      </c>
      <c r="U244" s="65">
        <v>95894.01757464229</v>
      </c>
      <c r="V244" s="65">
        <v>97498.55710173001</v>
      </c>
      <c r="W244" s="65">
        <v>100684.89943580047</v>
      </c>
      <c r="X244" s="65">
        <v>102711.33336520658</v>
      </c>
      <c r="Y244" s="65">
        <v>103112.08345866838</v>
      </c>
      <c r="Z244" s="65">
        <v>100806.30842768383</v>
      </c>
      <c r="AA244" s="65">
        <v>97019.58550897747</v>
      </c>
      <c r="AB244" s="65">
        <v>93941.434917709863</v>
      </c>
      <c r="AC244" s="65">
        <v>89902.292064800858</v>
      </c>
      <c r="AD244" s="65">
        <v>84244.879877593659</v>
      </c>
      <c r="AE244" s="65">
        <v>79316.905151337007</v>
      </c>
      <c r="AF244" s="65">
        <v>76648.69910313774</v>
      </c>
      <c r="AG244" s="38">
        <f>+SUM(I244:AF244)*H244</f>
        <v>44080023.83408998</v>
      </c>
    </row>
    <row r="245" spans="2:33" ht="14.4" x14ac:dyDescent="0.25">
      <c r="B245">
        <f t="shared" si="78"/>
        <v>12</v>
      </c>
      <c r="C245">
        <f t="shared" si="79"/>
        <v>2030</v>
      </c>
      <c r="D245" t="str">
        <f t="shared" si="102"/>
        <v>122030SA</v>
      </c>
      <c r="E245" s="68">
        <v>47818</v>
      </c>
      <c r="F245" s="73"/>
      <c r="G245" s="39" t="s">
        <v>60</v>
      </c>
      <c r="H245" s="39">
        <v>4</v>
      </c>
      <c r="I245" s="65">
        <v>74521.361460200802</v>
      </c>
      <c r="J245" s="65">
        <v>73078.421108751092</v>
      </c>
      <c r="K245" s="65">
        <v>72120.069055155938</v>
      </c>
      <c r="L245" s="65">
        <v>71630.688673925848</v>
      </c>
      <c r="M245" s="65">
        <v>71715.60801744269</v>
      </c>
      <c r="N245" s="65">
        <v>72579.352179270907</v>
      </c>
      <c r="O245" s="65">
        <v>76548.217092906736</v>
      </c>
      <c r="P245" s="65">
        <v>80135.669837499823</v>
      </c>
      <c r="Q245" s="65">
        <v>83360.401274979027</v>
      </c>
      <c r="R245" s="65">
        <v>85355.484487241818</v>
      </c>
      <c r="S245" s="65">
        <v>88601.50136329644</v>
      </c>
      <c r="T245" s="65">
        <v>89528.546819783835</v>
      </c>
      <c r="U245" s="65">
        <v>87651.891265243903</v>
      </c>
      <c r="V245" s="65">
        <v>86943.170232256074</v>
      </c>
      <c r="W245" s="65">
        <v>86817.981731570937</v>
      </c>
      <c r="X245" s="65">
        <v>88206.587900021419</v>
      </c>
      <c r="Y245" s="65">
        <v>89454.232707197036</v>
      </c>
      <c r="Z245" s="65">
        <v>90351.197928724694</v>
      </c>
      <c r="AA245" s="65">
        <v>89433.739532588806</v>
      </c>
      <c r="AB245" s="65">
        <v>87641.853692177872</v>
      </c>
      <c r="AC245" s="65">
        <v>84519.008221069045</v>
      </c>
      <c r="AD245" s="65">
        <v>79342.854478416528</v>
      </c>
      <c r="AE245" s="65">
        <v>74995.644418276846</v>
      </c>
      <c r="AF245" s="65">
        <v>72578.809573304316</v>
      </c>
      <c r="AG245" s="40">
        <f>+SUM(I245:AF245)*H245</f>
        <v>7828449.1722052107</v>
      </c>
    </row>
    <row r="246" spans="2:33" ht="14.4" x14ac:dyDescent="0.25">
      <c r="B246">
        <f t="shared" si="78"/>
        <v>12</v>
      </c>
      <c r="C246">
        <f t="shared" si="79"/>
        <v>2030</v>
      </c>
      <c r="D246" t="str">
        <f t="shared" si="102"/>
        <v>122030DO</v>
      </c>
      <c r="E246" s="68">
        <v>47818</v>
      </c>
      <c r="F246" s="73"/>
      <c r="G246" s="41" t="s">
        <v>58</v>
      </c>
      <c r="H246" s="41">
        <v>4</v>
      </c>
      <c r="I246" s="65">
        <v>67245.536779843926</v>
      </c>
      <c r="J246" s="65">
        <v>65981.82623362595</v>
      </c>
      <c r="K246" s="65">
        <v>65102.818845404719</v>
      </c>
      <c r="L246" s="65">
        <v>64554.495690660224</v>
      </c>
      <c r="M246" s="65">
        <v>64288.095952555384</v>
      </c>
      <c r="N246" s="65">
        <v>63935.56723351113</v>
      </c>
      <c r="O246" s="65">
        <v>63670.076632341283</v>
      </c>
      <c r="P246" s="65">
        <v>63264.098613770722</v>
      </c>
      <c r="Q246" s="65">
        <v>63912.230202616302</v>
      </c>
      <c r="R246" s="65">
        <v>64696.297840353298</v>
      </c>
      <c r="S246" s="65">
        <v>67011.522425239498</v>
      </c>
      <c r="T246" s="65">
        <v>69223.968111696522</v>
      </c>
      <c r="U246" s="65">
        <v>70244.192890434686</v>
      </c>
      <c r="V246" s="65">
        <v>71125.284273046345</v>
      </c>
      <c r="W246" s="65">
        <v>71951.553323994944</v>
      </c>
      <c r="X246" s="65">
        <v>73570.475820803782</v>
      </c>
      <c r="Y246" s="65">
        <v>75764.691405719263</v>
      </c>
      <c r="Z246" s="65">
        <v>77895.100146499593</v>
      </c>
      <c r="AA246" s="65">
        <v>78216.734972800448</v>
      </c>
      <c r="AB246" s="65">
        <v>77226.960669941836</v>
      </c>
      <c r="AC246" s="65">
        <v>74590.230702144807</v>
      </c>
      <c r="AD246" s="65">
        <v>71635.171000786213</v>
      </c>
      <c r="AE246" s="65">
        <v>69064.967138008331</v>
      </c>
      <c r="AF246" s="65">
        <v>67223.580609827797</v>
      </c>
      <c r="AG246" s="40">
        <f>+SUM(I246:AF246)*H246</f>
        <v>6645581.9100625068</v>
      </c>
    </row>
    <row r="247" spans="2:33" ht="14.4" x14ac:dyDescent="0.25">
      <c r="B247">
        <f t="shared" si="78"/>
        <v>12</v>
      </c>
      <c r="C247">
        <f t="shared" si="79"/>
        <v>2030</v>
      </c>
      <c r="D247" t="str">
        <f t="shared" si="102"/>
        <v>122030FE</v>
      </c>
      <c r="E247" s="68">
        <v>47818</v>
      </c>
      <c r="F247" s="73"/>
      <c r="G247" s="42" t="s">
        <v>59</v>
      </c>
      <c r="H247" s="42">
        <v>2</v>
      </c>
      <c r="I247" s="65">
        <v>66265.089881648804</v>
      </c>
      <c r="J247" s="65">
        <v>65113.661193938358</v>
      </c>
      <c r="K247" s="65">
        <v>64317.882594179333</v>
      </c>
      <c r="L247" s="65">
        <v>63813.442947478121</v>
      </c>
      <c r="M247" s="65">
        <v>63706.310616705247</v>
      </c>
      <c r="N247" s="65">
        <v>63730.427757457925</v>
      </c>
      <c r="O247" s="65">
        <v>64060.855697762279</v>
      </c>
      <c r="P247" s="65">
        <v>63914.69045737305</v>
      </c>
      <c r="Q247" s="65">
        <v>64586.74936462511</v>
      </c>
      <c r="R247" s="65">
        <v>65381.688195569994</v>
      </c>
      <c r="S247" s="65">
        <v>67682.40594876674</v>
      </c>
      <c r="T247" s="65">
        <v>69769.43467759373</v>
      </c>
      <c r="U247" s="65">
        <v>70638.43327136102</v>
      </c>
      <c r="V247" s="65">
        <v>71363.359066743316</v>
      </c>
      <c r="W247" s="65">
        <v>72318.111599988319</v>
      </c>
      <c r="X247" s="65">
        <v>74005.089459084425</v>
      </c>
      <c r="Y247" s="65">
        <v>76231.59218707899</v>
      </c>
      <c r="Z247" s="65">
        <v>78169.597635193524</v>
      </c>
      <c r="AA247" s="65">
        <v>78109.905717628979</v>
      </c>
      <c r="AB247" s="65">
        <v>77123.27190503059</v>
      </c>
      <c r="AC247" s="65">
        <v>74556.486138981039</v>
      </c>
      <c r="AD247" s="65">
        <v>71542.650467668864</v>
      </c>
      <c r="AE247" s="65">
        <v>69000.054117427135</v>
      </c>
      <c r="AF247" s="65">
        <v>67200.293693869258</v>
      </c>
      <c r="AG247" s="43">
        <f>+SUM(I247:AF247)*H247</f>
        <v>3325202.9691863088</v>
      </c>
    </row>
    <row r="248" spans="2:33" ht="15.45" customHeight="1" thickBot="1" x14ac:dyDescent="0.3">
      <c r="D248" t="str">
        <f>+_xlfn.CONCAT(E248,G248)</f>
        <v>47818TOTAL</v>
      </c>
      <c r="E248" s="68">
        <v>47818</v>
      </c>
      <c r="F248" s="74"/>
      <c r="G248" s="44" t="s">
        <v>10</v>
      </c>
      <c r="H248" s="44">
        <f>+SUM(H244:H247)</f>
        <v>31</v>
      </c>
      <c r="I248" s="45">
        <f t="shared" ref="I248:AF248" si="103">+SUMPRODUCT(I244:I247,$H244:$H247)</f>
        <v>2255640.1478396845</v>
      </c>
      <c r="J248" s="45">
        <f t="shared" si="103"/>
        <v>2213826.1018042439</v>
      </c>
      <c r="K248" s="45">
        <f t="shared" si="103"/>
        <v>2188129.265354048</v>
      </c>
      <c r="L248" s="45">
        <f t="shared" si="103"/>
        <v>2175568.5709431409</v>
      </c>
      <c r="M248" s="45">
        <f t="shared" si="103"/>
        <v>2180082.987343383</v>
      </c>
      <c r="N248" s="45">
        <f t="shared" si="103"/>
        <v>2219187.1741667208</v>
      </c>
      <c r="O248" s="45">
        <f t="shared" si="103"/>
        <v>2350989.4908036287</v>
      </c>
      <c r="P248" s="45">
        <f t="shared" si="103"/>
        <v>2495684.0356536377</v>
      </c>
      <c r="Q248" s="45">
        <f t="shared" si="103"/>
        <v>2617019.4390718839</v>
      </c>
      <c r="R248" s="45">
        <f t="shared" si="103"/>
        <v>2674881.6403595731</v>
      </c>
      <c r="S248" s="45">
        <f t="shared" si="103"/>
        <v>2776109.0402098163</v>
      </c>
      <c r="T248" s="45">
        <f t="shared" si="103"/>
        <v>2828437.7272016639</v>
      </c>
      <c r="U248" s="45">
        <f t="shared" si="103"/>
        <v>2786635.5722329244</v>
      </c>
      <c r="V248" s="45">
        <f t="shared" si="103"/>
        <v>2822470.2352910265</v>
      </c>
      <c r="W248" s="45">
        <f t="shared" si="103"/>
        <v>2894097.2515740502</v>
      </c>
      <c r="X248" s="45">
        <f t="shared" si="103"/>
        <v>2952056.4344708081</v>
      </c>
      <c r="Y248" s="45">
        <f t="shared" si="103"/>
        <v>2978692.633457859</v>
      </c>
      <c r="Z248" s="45">
        <f t="shared" si="103"/>
        <v>2946256.8645526445</v>
      </c>
      <c r="AA248" s="45">
        <f t="shared" si="103"/>
        <v>2864233.0051453421</v>
      </c>
      <c r="AB248" s="45">
        <f t="shared" si="103"/>
        <v>2786491.9345304472</v>
      </c>
      <c r="AC248" s="45">
        <f t="shared" si="103"/>
        <v>2673498.0613316353</v>
      </c>
      <c r="AD248" s="45">
        <f t="shared" si="103"/>
        <v>2516139.8802816155</v>
      </c>
      <c r="AE248" s="45">
        <f t="shared" si="103"/>
        <v>2379897.5626380723</v>
      </c>
      <c r="AF248" s="45">
        <f t="shared" si="103"/>
        <v>2303232.8292861599</v>
      </c>
      <c r="AG248" s="46">
        <f>SUM(I248:AF248)</f>
        <v>61879257.88554401</v>
      </c>
    </row>
  </sheetData>
  <protectedRanges>
    <protectedRange algorithmName="SHA-512" hashValue="ddMXVrQS0fgB43c0atEM6OKu6oDWAMpeJLqJjfuwWmQe8OHAIs2JeDVHZWeRY9WToyZdUZnhWoqdJcb06CPmZw==" saltValue="nLR4AFgxssXjR1gopeih9Q==" spinCount="100000" sqref="E1:AG5" name="Rango2_1_2_2"/>
    <protectedRange algorithmName="SHA-512" hashValue="ddMXVrQS0fgB43c0atEM6OKu6oDWAMpeJLqJjfuwWmQe8OHAIs2JeDVHZWeRY9WToyZdUZnhWoqdJcb06CPmZw==" saltValue="nLR4AFgxssXjR1gopeih9Q==" spinCount="100000" sqref="E493:AG493 E489:H492 AG489:AG492 E498:AG498 AG494:AG497 E503:AG503 AG499:AG502 E508:AG508 AG504:AG507 E513:AG513 AG509:AG512 E518:AG518 AG514:AG517 E523:AG523 AG519:AG522 E528:AG528 AG524:AG527 E533:AG533 AG529:AG532 E538:AG538 AG534:AG537 E543:AG543 AG539:AG542 E548:AG548 E544:H547 AG544:AG547 E494:H497 E499:H502 E504:H507 E509:H512 E514:H517 E519:H522 E524:H527 E529:H532 E534:H537 E539:H542 E13:AG13 E9:H12 AG9:AG12 E18:AG18 AG14:AG17 E23:AG23 AG19:AG22 E28:AG28 AG24:AG27 E33:AG33 AG29:AG32 E38:AG38 AG34:AG37 E43:AG43 AG39:AG42 E48:AG48 AG44:AG47 E53:AG53 AG49:AG52 E58:AG58 AG54:AG57 E63:AG63 AG59:AG62 E68:AG68 E64:H67 AG64:AG67 E14:H17 E19:H22 E24:H27 E29:H32 E34:H37 E39:H42 E44:H47 E49:H52 E54:H57 E59:H62 E73:AG73 E69:H72 AG69:AG72 E78:AG78 AG74:AG77 E83:AG83 AG79:AG82 E88:AG88 AG84:AG87 E93:AG93 AG89:AG92 E98:AG98 AG94:AG97 E103:AG103 AG99:AG102 E108:AG108 AG104:AG107 E113:AG113 AG109:AG112 E118:AG118 AG114:AG117 E123:AG123 AG119:AG122 E128:AG128 E124:H127 AG124:AG127 E74:H77 E79:H82 E84:H87 E89:H92 E94:H97 E99:H102 E104:H107 E109:H112 E114:H117 E119:H122 E133:AG133 E129:H132 AG129:AG132 E138:AG138 AG134:AG137 E143:AG143 AG139:AG142 E148:AG148 AG144:AG147 E153:AG153 AG149:AG152 E158:AG158 AG154:AG157 E163:AG163 AG159:AG162 E168:AG168 AG164:AG167 E173:AG173 AG169:AG172 E178:AG178 AG174:AG177 E183:AG183 AG179:AG182 E188:AG188 E184:H187 AG184:AG187 E134:H137 E139:H142 E144:H147 E149:H152 E154:H157 E159:H162 E164:H167 E169:H172 E174:H177 E179:H182 E193:AG193 E189:H192 AG189:AG192 E198:AG198 AG194:AG197 E203:AG203 AG199:AG202 E208:AG208 AG204:AG207 E213:AG213 AG209:AG212 E218:AG218 AG214:AG217 E223:AG223 AG219:AG222 E228:AG228 AG224:AG227 E233:AG233 AG229:AG232 E238:AG238 AG234:AG237 E243:AG243 AG239:AG242 E248:AG248 E244:H247 AG244:AG247 E194:H197 E199:H202 E204:H207 E209:H212 E214:H217 E219:H222 E224:H227 E229:H232 E234:H237 E239:H242 E253:AG253 E249:H252 AG249:AG252 E258:AG258 AG254:AG257 E263:AG263 AG259:AG262 E268:AG268 AG264:AG267 E273:AG273 AG269:AG272 E278:AG278 AG274:AG277 E283:AG283 AG279:AG282 E288:AG288 AG284:AG287 E293:AG293 AG289:AG292 E298:AG298 AG294:AG297 E303:AG303 AG299:AG302 E308:AG308 E304:H307 AG304:AG307 E254:H257 E259:H262 E264:H267 E269:H272 E274:H277 E279:H282 E284:H287 E289:H292 E294:H297 E299:H302 E313:AG313 E309:H312 AG309:AG312 E318:AG318 AG314:AG317 E323:AG323 AG319:AG322 E328:AG328 AG324:AG327 E333:AG333 AG329:AG332 E338:AG338 AG334:AG337 E343:AG343 AG339:AG342 E348:AG348 AG344:AG347 E353:AG353 AG349:AG352 E358:AG358 AG354:AG357 E363:AG363 AG359:AG362 E368:AG368 E364:H367 AG364:AG367 E314:H317 E319:H322 E324:H327 E329:H332 E334:H337 E339:H342 E344:H347 E349:H352 E354:H357 E359:H362 E373:AG373 E369:H372 AG369:AG372 E378:AG378 AG374:AG377 E383:AG383 AG379:AG382 E388:AG388 AG384:AG387 E393:AG393 AG389:AG392 E398:AG398 AG394:AG397 E403:AG403 AG399:AG402 E408:AG408 AG404:AG407 E413:AG413 AG409:AG412 E418:AG418 AG414:AG417 E423:AG423 AG419:AG422 E428:AG428 E424:H427 AG424:AG427 E374:H377 E379:H382 E384:H387 E389:H392 E394:H397 E399:H402 E404:H407 E409:H412 E414:H417 E419:H422 E433:AG433 E429:H432 AG429:AG432 E438:AG438 AG434:AG437 E443:AG443 AG439:AG442 E448:AG448 AG444:AG447 E453:AG453 AG449:AG452 E458:AG458 AG454:AG457 E463:AG463 AG459:AG462 E468:AG468 AG464:AG467 E473:AG473 AG469:AG472 E478:AG478 AG474:AG477 E483:AG483 AG479:AG482 E488:AG488 E484:H487 AG484:AG487 E434:H437 E439:H442 E444:H447 E449:H452 E454:H457 E459:H462 E464:H467 E469:H472 E474:H477 E479:H482" name="Rango2_1_2"/>
  </protectedRanges>
  <autoFilter ref="D8:AG248" xr:uid="{A4417EE0-3581-4D15-BFC8-A3F213F19E9D}"/>
  <mergeCells count="54">
    <mergeCell ref="G7:H7"/>
    <mergeCell ref="E1:AG1"/>
    <mergeCell ref="E2:AG2"/>
    <mergeCell ref="E3:AG3"/>
    <mergeCell ref="E4:AG4"/>
    <mergeCell ref="E5:AG5"/>
    <mergeCell ref="F9:F12"/>
    <mergeCell ref="F14:F17"/>
    <mergeCell ref="F19:F22"/>
    <mergeCell ref="F24:F27"/>
    <mergeCell ref="F29:F32"/>
    <mergeCell ref="F59:F62"/>
    <mergeCell ref="F64:F68"/>
    <mergeCell ref="F69:F72"/>
    <mergeCell ref="F74:F77"/>
    <mergeCell ref="F79:F82"/>
    <mergeCell ref="F34:F37"/>
    <mergeCell ref="F39:F42"/>
    <mergeCell ref="F44:F47"/>
    <mergeCell ref="F49:F52"/>
    <mergeCell ref="F54:F57"/>
    <mergeCell ref="F109:F112"/>
    <mergeCell ref="F114:F117"/>
    <mergeCell ref="F119:F122"/>
    <mergeCell ref="F124:F128"/>
    <mergeCell ref="F129:F132"/>
    <mergeCell ref="F84:F87"/>
    <mergeCell ref="F89:F92"/>
    <mergeCell ref="F94:F97"/>
    <mergeCell ref="F99:F102"/>
    <mergeCell ref="F104:F107"/>
    <mergeCell ref="F159:F162"/>
    <mergeCell ref="F164:F167"/>
    <mergeCell ref="F169:F172"/>
    <mergeCell ref="F174:F177"/>
    <mergeCell ref="F179:F182"/>
    <mergeCell ref="F134:F137"/>
    <mergeCell ref="F139:F142"/>
    <mergeCell ref="F144:F147"/>
    <mergeCell ref="F149:F152"/>
    <mergeCell ref="F154:F157"/>
    <mergeCell ref="F234:F237"/>
    <mergeCell ref="F239:F242"/>
    <mergeCell ref="F244:F248"/>
    <mergeCell ref="F184:F188"/>
    <mergeCell ref="F189:F192"/>
    <mergeCell ref="F194:F197"/>
    <mergeCell ref="F199:F202"/>
    <mergeCell ref="F204:F207"/>
    <mergeCell ref="F209:F212"/>
    <mergeCell ref="F214:F217"/>
    <mergeCell ref="F219:F222"/>
    <mergeCell ref="F224:F227"/>
    <mergeCell ref="F229:F2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B9E0-570C-4BD2-862F-73DF10C54850}">
  <sheetPr>
    <pageSetUpPr fitToPage="1"/>
  </sheetPr>
  <dimension ref="A1:IU85"/>
  <sheetViews>
    <sheetView showGridLines="0" tabSelected="1" view="pageBreakPreview" topLeftCell="A43" zoomScaleNormal="85" zoomScaleSheetLayoutView="100" workbookViewId="0">
      <selection sqref="A1:I73"/>
    </sheetView>
  </sheetViews>
  <sheetFormatPr baseColWidth="10" defaultColWidth="0" defaultRowHeight="0" customHeight="1" zeroHeight="1" x14ac:dyDescent="0.3"/>
  <cols>
    <col min="1" max="1" width="5.44140625" style="18" customWidth="1"/>
    <col min="2" max="2" width="1" style="18" customWidth="1"/>
    <col min="3" max="3" width="19" style="18" customWidth="1"/>
    <col min="4" max="4" width="23.5546875" style="18" customWidth="1"/>
    <col min="5" max="5" width="19.5546875" style="18" customWidth="1"/>
    <col min="6" max="6" width="22.5546875" style="18" bestFit="1" customWidth="1"/>
    <col min="7" max="7" width="16.5546875" style="18" customWidth="1"/>
    <col min="8" max="8" width="1.44140625" style="18" customWidth="1"/>
    <col min="9" max="9" width="8.44140625" style="18" customWidth="1"/>
    <col min="10" max="10" width="1.5546875" style="18" hidden="1" customWidth="1"/>
    <col min="11" max="255" width="3.44140625" style="18" hidden="1" customWidth="1"/>
    <col min="256" max="16384" width="5.5546875" style="18" hidden="1"/>
  </cols>
  <sheetData>
    <row r="1" spans="1:12" s="17" customFormat="1" ht="26.25" customHeight="1" x14ac:dyDescent="0.25">
      <c r="A1" s="15"/>
      <c r="B1" s="15"/>
      <c r="C1" s="70" t="s">
        <v>64</v>
      </c>
      <c r="D1" s="70"/>
      <c r="E1" s="70"/>
      <c r="F1" s="70"/>
      <c r="G1" s="70"/>
      <c r="H1" s="16"/>
      <c r="I1" s="16"/>
    </row>
    <row r="2" spans="1:12" ht="34.5" customHeight="1" x14ac:dyDescent="0.3">
      <c r="C2" s="70" t="s">
        <v>66</v>
      </c>
      <c r="D2" s="70"/>
      <c r="E2" s="70"/>
      <c r="F2" s="70"/>
      <c r="G2" s="70"/>
      <c r="H2" s="16"/>
      <c r="I2" s="16"/>
    </row>
    <row r="3" spans="1:12" ht="17.399999999999999" x14ac:dyDescent="0.35">
      <c r="C3" s="19" t="s">
        <v>0</v>
      </c>
      <c r="D3" s="20" t="s">
        <v>1</v>
      </c>
    </row>
    <row r="4" spans="1:12" ht="17.399999999999999" x14ac:dyDescent="0.35">
      <c r="C4" s="21" t="s">
        <v>2</v>
      </c>
      <c r="D4" s="22" t="s">
        <v>3</v>
      </c>
    </row>
    <row r="5" spans="1:12" ht="17.399999999999999" x14ac:dyDescent="0.35">
      <c r="C5" s="21" t="s">
        <v>4</v>
      </c>
      <c r="D5" s="36"/>
      <c r="E5" s="35"/>
      <c r="F5" s="35"/>
      <c r="G5" s="35"/>
    </row>
    <row r="6" spans="1:12" ht="17.399999999999999" x14ac:dyDescent="0.35">
      <c r="C6" s="21"/>
      <c r="D6" s="36"/>
      <c r="E6" s="35"/>
      <c r="F6" s="35"/>
      <c r="G6" s="35"/>
    </row>
    <row r="7" spans="1:12" ht="17.399999999999999" x14ac:dyDescent="0.35">
      <c r="B7" s="23"/>
      <c r="C7" s="19"/>
      <c r="D7" s="20"/>
      <c r="E7" s="20"/>
    </row>
    <row r="8" spans="1:12" ht="19.5" customHeight="1" x14ac:dyDescent="0.3">
      <c r="C8"/>
      <c r="D8"/>
      <c r="E8"/>
      <c r="F8"/>
      <c r="G8"/>
      <c r="H8" s="63"/>
      <c r="I8" s="63"/>
      <c r="J8" s="63"/>
      <c r="K8" s="24"/>
      <c r="L8" s="24"/>
    </row>
    <row r="9" spans="1:12" ht="49.5" customHeight="1" x14ac:dyDescent="0.3">
      <c r="C9" s="51" t="s">
        <v>5</v>
      </c>
      <c r="D9" s="30" t="s">
        <v>6</v>
      </c>
      <c r="E9" s="51" t="s">
        <v>7</v>
      </c>
      <c r="F9" s="51" t="s">
        <v>8</v>
      </c>
      <c r="G9" s="51" t="s">
        <v>9</v>
      </c>
      <c r="H9" s="63"/>
      <c r="I9" s="63"/>
      <c r="J9" s="63"/>
      <c r="K9" s="24"/>
      <c r="L9" s="24"/>
    </row>
    <row r="10" spans="1:12" ht="17.399999999999999" x14ac:dyDescent="0.3">
      <c r="C10" s="52">
        <v>46388</v>
      </c>
      <c r="D10" s="32">
        <f>+_xlfn.XLOOKUP(_xlfn.CONCAT(C10,"TOTAL"),'Cantidades horarias PROD 02'!D:D,'Cantidades horarias PROD 02'!AG:AG)</f>
        <v>3065513.8931167866</v>
      </c>
      <c r="E10" s="29">
        <v>1</v>
      </c>
      <c r="F10" s="32">
        <f t="shared" ref="F10:F57" si="0">ROUND(D10*$E10,2)</f>
        <v>3065513.89</v>
      </c>
      <c r="G10" s="71"/>
      <c r="H10" s="63"/>
      <c r="I10" s="63"/>
      <c r="J10" s="63"/>
      <c r="K10" s="24"/>
      <c r="L10" s="24"/>
    </row>
    <row r="11" spans="1:12" ht="17.399999999999999" x14ac:dyDescent="0.3">
      <c r="C11" s="52">
        <v>46419</v>
      </c>
      <c r="D11" s="32">
        <f>+_xlfn.XLOOKUP(_xlfn.CONCAT(C11,"TOTAL"),'Cantidades horarias PROD 02'!D:D,'Cantidades horarias PROD 02'!AG:AG)</f>
        <v>2787686.369838756</v>
      </c>
      <c r="E11" s="29">
        <v>1</v>
      </c>
      <c r="F11" s="32">
        <f t="shared" si="0"/>
        <v>2787686.37</v>
      </c>
      <c r="G11" s="71"/>
      <c r="H11" s="63"/>
      <c r="I11" s="63"/>
      <c r="J11" s="63"/>
      <c r="K11" s="24"/>
      <c r="L11" s="24"/>
    </row>
    <row r="12" spans="1:12" ht="19.5" customHeight="1" x14ac:dyDescent="0.3">
      <c r="C12" s="52">
        <v>46447</v>
      </c>
      <c r="D12" s="32">
        <f>+_xlfn.XLOOKUP(_xlfn.CONCAT(C12,"TOTAL"),'Cantidades horarias PROD 02'!D:D,'Cantidades horarias PROD 02'!AG:AG)</f>
        <v>3260243.7129053334</v>
      </c>
      <c r="E12" s="29">
        <v>1</v>
      </c>
      <c r="F12" s="32">
        <f t="shared" si="0"/>
        <v>3260243.71</v>
      </c>
      <c r="G12" s="71"/>
      <c r="H12" s="63"/>
      <c r="I12" s="63"/>
      <c r="J12" s="63"/>
      <c r="K12" s="24"/>
      <c r="L12" s="24"/>
    </row>
    <row r="13" spans="1:12" ht="16.5" customHeight="1" x14ac:dyDescent="0.3">
      <c r="C13" s="52">
        <v>46478</v>
      </c>
      <c r="D13" s="32">
        <f>+_xlfn.XLOOKUP(_xlfn.CONCAT(C13,"TOTAL"),'Cantidades horarias PROD 02'!D:D,'Cantidades horarias PROD 02'!AG:AG)</f>
        <v>4045630.7247706582</v>
      </c>
      <c r="E13" s="29">
        <v>1</v>
      </c>
      <c r="F13" s="32">
        <f t="shared" si="0"/>
        <v>4045630.72</v>
      </c>
      <c r="G13" s="71"/>
      <c r="H13" s="26"/>
      <c r="I13" s="25"/>
      <c r="J13" s="25"/>
    </row>
    <row r="14" spans="1:12" ht="17.399999999999999" x14ac:dyDescent="0.3">
      <c r="C14" s="52">
        <v>46508</v>
      </c>
      <c r="D14" s="32">
        <f>+_xlfn.XLOOKUP(_xlfn.CONCAT(C14,"TOTAL"),'Cantidades horarias PROD 02'!D:D,'Cantidades horarias PROD 02'!AG:AG)</f>
        <v>4895874.0389043558</v>
      </c>
      <c r="E14" s="29">
        <v>1</v>
      </c>
      <c r="F14" s="32">
        <f t="shared" si="0"/>
        <v>4895874.04</v>
      </c>
      <c r="G14" s="71"/>
      <c r="H14" s="26"/>
      <c r="I14" s="25"/>
      <c r="J14" s="25"/>
    </row>
    <row r="15" spans="1:12" ht="17.399999999999999" x14ac:dyDescent="0.3">
      <c r="C15" s="52">
        <v>46539</v>
      </c>
      <c r="D15" s="32">
        <f>+_xlfn.XLOOKUP(_xlfn.CONCAT(C15,"TOTAL"),'Cantidades horarias PROD 02'!D:D,'Cantidades horarias PROD 02'!AG:AG)</f>
        <v>5151912.7736623567</v>
      </c>
      <c r="E15" s="29">
        <v>1</v>
      </c>
      <c r="F15" s="32">
        <f t="shared" si="0"/>
        <v>5151912.7699999996</v>
      </c>
      <c r="G15" s="71"/>
      <c r="H15" s="26"/>
      <c r="I15" s="25"/>
      <c r="J15" s="25"/>
    </row>
    <row r="16" spans="1:12" ht="17.399999999999999" x14ac:dyDescent="0.3">
      <c r="C16" s="52">
        <v>46569</v>
      </c>
      <c r="D16" s="32">
        <f>+_xlfn.XLOOKUP(_xlfn.CONCAT(C16,"TOTAL"),'Cantidades horarias PROD 02'!D:D,'Cantidades horarias PROD 02'!AG:AG)</f>
        <v>5223724.7403012868</v>
      </c>
      <c r="E16" s="29">
        <v>1</v>
      </c>
      <c r="F16" s="32">
        <f t="shared" si="0"/>
        <v>5223724.74</v>
      </c>
      <c r="G16" s="71"/>
      <c r="I16" s="25"/>
      <c r="J16" s="25"/>
    </row>
    <row r="17" spans="3:12" ht="17.399999999999999" x14ac:dyDescent="0.3">
      <c r="C17" s="52">
        <v>46600</v>
      </c>
      <c r="D17" s="32">
        <f>+_xlfn.XLOOKUP(_xlfn.CONCAT(C17,"TOTAL"),'Cantidades horarias PROD 02'!D:D,'Cantidades horarias PROD 02'!AG:AG)</f>
        <v>4262962.5509618176</v>
      </c>
      <c r="E17" s="29">
        <v>1</v>
      </c>
      <c r="F17" s="32">
        <f t="shared" si="0"/>
        <v>4262962.55</v>
      </c>
      <c r="G17" s="71"/>
      <c r="H17" s="25"/>
      <c r="I17" s="25"/>
      <c r="J17" s="25"/>
    </row>
    <row r="18" spans="3:12" ht="17.399999999999999" x14ac:dyDescent="0.3">
      <c r="C18" s="52">
        <v>46631</v>
      </c>
      <c r="D18" s="32">
        <f>+_xlfn.XLOOKUP(_xlfn.CONCAT(C18,"TOTAL"),'Cantidades horarias PROD 02'!D:D,'Cantidades horarias PROD 02'!AG:AG)</f>
        <v>4192126.6097457674</v>
      </c>
      <c r="E18" s="29">
        <v>1</v>
      </c>
      <c r="F18" s="32">
        <f t="shared" si="0"/>
        <v>4192126.61</v>
      </c>
      <c r="G18" s="71"/>
    </row>
    <row r="19" spans="3:12" ht="17.399999999999999" x14ac:dyDescent="0.3">
      <c r="C19" s="52">
        <v>46661</v>
      </c>
      <c r="D19" s="32">
        <f>+_xlfn.XLOOKUP(_xlfn.CONCAT(C19,"TOTAL"),'Cantidades horarias PROD 02'!D:D,'Cantidades horarias PROD 02'!AG:AG)</f>
        <v>4154381.0243290365</v>
      </c>
      <c r="E19" s="29">
        <v>1</v>
      </c>
      <c r="F19" s="32">
        <f t="shared" si="0"/>
        <v>4154381.02</v>
      </c>
      <c r="G19" s="71"/>
    </row>
    <row r="20" spans="3:12" ht="15" customHeight="1" x14ac:dyDescent="0.3">
      <c r="C20" s="52">
        <v>46692</v>
      </c>
      <c r="D20" s="32">
        <f>+_xlfn.XLOOKUP(_xlfn.CONCAT(C20,"TOTAL"),'Cantidades horarias PROD 02'!D:D,'Cantidades horarias PROD 02'!AG:AG)</f>
        <v>4343197.6571849808</v>
      </c>
      <c r="E20" s="29">
        <v>1</v>
      </c>
      <c r="F20" s="32">
        <f t="shared" si="0"/>
        <v>4343197.66</v>
      </c>
      <c r="G20" s="71"/>
    </row>
    <row r="21" spans="3:12" ht="15" customHeight="1" x14ac:dyDescent="0.3">
      <c r="C21" s="52">
        <v>46722</v>
      </c>
      <c r="D21" s="32">
        <f>+_xlfn.XLOOKUP(_xlfn.CONCAT(C21,"TOTAL"),'Cantidades horarias PROD 02'!D:D,'Cantidades horarias PROD 02'!AG:AG)</f>
        <v>4433241.8852167251</v>
      </c>
      <c r="E21" s="29">
        <v>1</v>
      </c>
      <c r="F21" s="32">
        <f t="shared" si="0"/>
        <v>4433241.8899999997</v>
      </c>
      <c r="G21" s="71"/>
    </row>
    <row r="22" spans="3:12" ht="17.399999999999999" x14ac:dyDescent="0.3">
      <c r="C22" s="52">
        <v>46753</v>
      </c>
      <c r="D22" s="32">
        <f>+_xlfn.XLOOKUP(_xlfn.CONCAT(C22,"TOTAL"),'Cantidades horarias PROD 02'!D:D,'Cantidades horarias PROD 02'!AG:AG)</f>
        <v>4335092.6803200012</v>
      </c>
      <c r="E22" s="29">
        <v>1</v>
      </c>
      <c r="F22" s="32">
        <f t="shared" si="0"/>
        <v>4335092.68</v>
      </c>
      <c r="G22" s="71"/>
      <c r="H22" s="63"/>
      <c r="I22" s="63"/>
      <c r="J22" s="63"/>
      <c r="K22" s="24"/>
      <c r="L22" s="24"/>
    </row>
    <row r="23" spans="3:12" ht="17.399999999999999" x14ac:dyDescent="0.3">
      <c r="C23" s="52">
        <v>46784</v>
      </c>
      <c r="D23" s="32">
        <f>+_xlfn.XLOOKUP(_xlfn.CONCAT(C23,"TOTAL"),'Cantidades horarias PROD 02'!D:D,'Cantidades horarias PROD 02'!AG:AG)</f>
        <v>3885279.8515199996</v>
      </c>
      <c r="E23" s="29">
        <v>1</v>
      </c>
      <c r="F23" s="32">
        <f t="shared" si="0"/>
        <v>3885279.85</v>
      </c>
      <c r="G23" s="71"/>
      <c r="H23" s="63"/>
      <c r="I23" s="63"/>
      <c r="J23" s="63"/>
      <c r="K23" s="24"/>
      <c r="L23" s="24"/>
    </row>
    <row r="24" spans="3:12" ht="19.5" customHeight="1" x14ac:dyDescent="0.3">
      <c r="C24" s="52">
        <v>46813</v>
      </c>
      <c r="D24" s="32">
        <f>+_xlfn.XLOOKUP(_xlfn.CONCAT(C24,"TOTAL"),'Cantidades horarias PROD 02'!D:D,'Cantidades horarias PROD 02'!AG:AG)</f>
        <v>4121216.1590400003</v>
      </c>
      <c r="E24" s="29">
        <v>1</v>
      </c>
      <c r="F24" s="32">
        <f t="shared" si="0"/>
        <v>4121216.16</v>
      </c>
      <c r="G24" s="71"/>
      <c r="H24" s="63"/>
      <c r="I24" s="63"/>
      <c r="J24" s="63"/>
      <c r="K24" s="24"/>
      <c r="L24" s="24"/>
    </row>
    <row r="25" spans="3:12" ht="16.5" customHeight="1" x14ac:dyDescent="0.3">
      <c r="C25" s="52">
        <v>46844</v>
      </c>
      <c r="D25" s="32">
        <f>+_xlfn.XLOOKUP(_xlfn.CONCAT(C25,"TOTAL"),'Cantidades horarias PROD 02'!D:D,'Cantidades horarias PROD 02'!AG:AG)</f>
        <v>4204112.6995200021</v>
      </c>
      <c r="E25" s="29">
        <v>1</v>
      </c>
      <c r="F25" s="32">
        <f t="shared" si="0"/>
        <v>4204112.7</v>
      </c>
      <c r="G25" s="71"/>
      <c r="H25" s="26"/>
      <c r="I25" s="25"/>
      <c r="J25" s="25"/>
    </row>
    <row r="26" spans="3:12" ht="17.399999999999999" x14ac:dyDescent="0.3">
      <c r="C26" s="52">
        <v>46874</v>
      </c>
      <c r="D26" s="32">
        <f>+_xlfn.XLOOKUP(_xlfn.CONCAT(C26,"TOTAL"),'Cantidades horarias PROD 02'!D:D,'Cantidades horarias PROD 02'!AG:AG)</f>
        <v>4403167.8019199977</v>
      </c>
      <c r="E26" s="29">
        <v>1</v>
      </c>
      <c r="F26" s="32">
        <f t="shared" si="0"/>
        <v>4403167.8</v>
      </c>
      <c r="G26" s="71"/>
      <c r="H26" s="26"/>
      <c r="I26" s="25"/>
      <c r="J26" s="25"/>
    </row>
    <row r="27" spans="3:12" ht="17.399999999999999" x14ac:dyDescent="0.3">
      <c r="C27" s="52">
        <v>46905</v>
      </c>
      <c r="D27" s="32">
        <f>+_xlfn.XLOOKUP(_xlfn.CONCAT(C27,"TOTAL"),'Cantidades horarias PROD 02'!D:D,'Cantidades horarias PROD 02'!AG:AG)</f>
        <v>4581541.8547199983</v>
      </c>
      <c r="E27" s="29">
        <v>1</v>
      </c>
      <c r="F27" s="32">
        <f t="shared" si="0"/>
        <v>4581541.8499999996</v>
      </c>
      <c r="G27" s="71"/>
      <c r="H27" s="26"/>
      <c r="I27" s="25"/>
      <c r="J27" s="25"/>
    </row>
    <row r="28" spans="3:12" ht="17.399999999999999" x14ac:dyDescent="0.3">
      <c r="C28" s="52">
        <v>46935</v>
      </c>
      <c r="D28" s="32">
        <f>+_xlfn.XLOOKUP(_xlfn.CONCAT(C28,"TOTAL"),'Cantidades horarias PROD 02'!D:D,'Cantidades horarias PROD 02'!AG:AG)</f>
        <v>4596190.931520001</v>
      </c>
      <c r="E28" s="29">
        <v>1</v>
      </c>
      <c r="F28" s="32">
        <f t="shared" si="0"/>
        <v>4596190.93</v>
      </c>
      <c r="G28" s="71"/>
      <c r="I28" s="25"/>
      <c r="J28" s="25"/>
    </row>
    <row r="29" spans="3:12" ht="17.399999999999999" x14ac:dyDescent="0.3">
      <c r="C29" s="52">
        <v>46966</v>
      </c>
      <c r="D29" s="32">
        <f>+_xlfn.XLOOKUP(_xlfn.CONCAT(C29,"TOTAL"),'Cantidades horarias PROD 02'!D:D,'Cantidades horarias PROD 02'!AG:AG)</f>
        <v>4477447.2383999983</v>
      </c>
      <c r="E29" s="29">
        <v>1</v>
      </c>
      <c r="F29" s="32">
        <f t="shared" si="0"/>
        <v>4477447.24</v>
      </c>
      <c r="G29" s="71"/>
      <c r="H29" s="25"/>
      <c r="I29" s="25"/>
      <c r="J29" s="25"/>
    </row>
    <row r="30" spans="3:12" ht="17.399999999999999" x14ac:dyDescent="0.3">
      <c r="C30" s="52">
        <v>46997</v>
      </c>
      <c r="D30" s="32">
        <f>+_xlfn.XLOOKUP(_xlfn.CONCAT(C30,"TOTAL"),'Cantidades horarias PROD 02'!D:D,'Cantidades horarias PROD 02'!AG:AG)</f>
        <v>4329233.0496000024</v>
      </c>
      <c r="E30" s="29">
        <v>1</v>
      </c>
      <c r="F30" s="32">
        <f t="shared" si="0"/>
        <v>4329233.05</v>
      </c>
      <c r="G30" s="71"/>
    </row>
    <row r="31" spans="3:12" ht="17.399999999999999" x14ac:dyDescent="0.3">
      <c r="C31" s="52">
        <v>47027</v>
      </c>
      <c r="D31" s="32">
        <f>+_xlfn.XLOOKUP(_xlfn.CONCAT(C31,"TOTAL"),'Cantidades horarias PROD 02'!D:D,'Cantidades horarias PROD 02'!AG:AG)</f>
        <v>4282183.6617599996</v>
      </c>
      <c r="E31" s="29">
        <v>1</v>
      </c>
      <c r="F31" s="32">
        <f t="shared" si="0"/>
        <v>4282183.66</v>
      </c>
      <c r="G31" s="71"/>
    </row>
    <row r="32" spans="3:12" ht="15" customHeight="1" x14ac:dyDescent="0.3">
      <c r="C32" s="52">
        <v>47058</v>
      </c>
      <c r="D32" s="32">
        <f>+_xlfn.XLOOKUP(_xlfn.CONCAT(C32,"TOTAL"),'Cantidades horarias PROD 02'!D:D,'Cantidades horarias PROD 02'!AG:AG)</f>
        <v>4418161.5628800001</v>
      </c>
      <c r="E32" s="29">
        <v>1</v>
      </c>
      <c r="F32" s="32">
        <f t="shared" si="0"/>
        <v>4418161.5599999996</v>
      </c>
      <c r="G32" s="71"/>
    </row>
    <row r="33" spans="3:12" ht="15" customHeight="1" x14ac:dyDescent="0.3">
      <c r="C33" s="52">
        <v>47088</v>
      </c>
      <c r="D33" s="32">
        <f>+_xlfn.XLOOKUP(_xlfn.CONCAT(C33,"TOTAL"),'Cantidades horarias PROD 02'!D:D,'Cantidades horarias PROD 02'!AG:AG)</f>
        <v>4434534.0604800014</v>
      </c>
      <c r="E33" s="29">
        <v>1</v>
      </c>
      <c r="F33" s="32">
        <f t="shared" si="0"/>
        <v>4434534.0599999996</v>
      </c>
      <c r="G33" s="71"/>
    </row>
    <row r="34" spans="3:12" ht="17.399999999999999" x14ac:dyDescent="0.3">
      <c r="C34" s="52">
        <v>47119</v>
      </c>
      <c r="D34" s="32">
        <f>+_xlfn.XLOOKUP(_xlfn.CONCAT(C34,"TOTAL"),'Cantidades horarias PROD 02'!D:D,'Cantidades horarias PROD 02'!AG:AG)</f>
        <v>4504550.2388801994</v>
      </c>
      <c r="E34" s="29">
        <v>1</v>
      </c>
      <c r="F34" s="32">
        <f t="shared" si="0"/>
        <v>4504550.24</v>
      </c>
      <c r="G34" s="71"/>
      <c r="H34" s="63"/>
      <c r="I34" s="63"/>
      <c r="J34" s="63"/>
      <c r="K34" s="24"/>
      <c r="L34" s="24"/>
    </row>
    <row r="35" spans="3:12" ht="17.399999999999999" x14ac:dyDescent="0.3">
      <c r="C35" s="52">
        <v>47150</v>
      </c>
      <c r="D35" s="32">
        <f>+_xlfn.XLOOKUP(_xlfn.CONCAT(C35,"TOTAL"),'Cantidades horarias PROD 02'!D:D,'Cantidades horarias PROD 02'!AG:AG)</f>
        <v>4039949.4079391984</v>
      </c>
      <c r="E35" s="29">
        <v>1</v>
      </c>
      <c r="F35" s="32">
        <f t="shared" si="0"/>
        <v>4039949.41</v>
      </c>
      <c r="G35" s="71"/>
      <c r="H35" s="63"/>
      <c r="I35" s="63"/>
      <c r="J35" s="63"/>
      <c r="K35" s="24"/>
      <c r="L35" s="24"/>
    </row>
    <row r="36" spans="3:12" ht="19.5" customHeight="1" x14ac:dyDescent="0.3">
      <c r="C36" s="52">
        <v>47178</v>
      </c>
      <c r="D36" s="32">
        <f>+_xlfn.XLOOKUP(_xlfn.CONCAT(C36,"TOTAL"),'Cantidades horarias PROD 02'!D:D,'Cantidades horarias PROD 02'!AG:AG)</f>
        <v>4282472.7039474016</v>
      </c>
      <c r="E36" s="29">
        <v>1</v>
      </c>
      <c r="F36" s="32">
        <f t="shared" si="0"/>
        <v>4282472.7</v>
      </c>
      <c r="G36" s="71"/>
      <c r="H36" s="63"/>
      <c r="I36" s="63"/>
      <c r="J36" s="63"/>
      <c r="K36" s="24"/>
      <c r="L36" s="24"/>
    </row>
    <row r="37" spans="3:12" ht="16.5" customHeight="1" x14ac:dyDescent="0.3">
      <c r="C37" s="52">
        <v>47209</v>
      </c>
      <c r="D37" s="32">
        <f>+_xlfn.XLOOKUP(_xlfn.CONCAT(C37,"TOTAL"),'Cantidades horarias PROD 02'!D:D,'Cantidades horarias PROD 02'!AG:AG)</f>
        <v>4350791.4665652001</v>
      </c>
      <c r="E37" s="29">
        <v>1</v>
      </c>
      <c r="F37" s="32">
        <f t="shared" si="0"/>
        <v>4350791.47</v>
      </c>
      <c r="G37" s="71"/>
      <c r="H37" s="26"/>
      <c r="I37" s="25"/>
      <c r="J37" s="25"/>
    </row>
    <row r="38" spans="3:12" ht="17.399999999999999" x14ac:dyDescent="0.3">
      <c r="C38" s="52">
        <v>47239</v>
      </c>
      <c r="D38" s="32">
        <f>+_xlfn.XLOOKUP(_xlfn.CONCAT(C38,"TOTAL"),'Cantidades horarias PROD 02'!D:D,'Cantidades horarias PROD 02'!AG:AG)</f>
        <v>4547768.9208282055</v>
      </c>
      <c r="E38" s="29">
        <v>1</v>
      </c>
      <c r="F38" s="32">
        <f t="shared" si="0"/>
        <v>4547768.92</v>
      </c>
      <c r="G38" s="71"/>
      <c r="H38" s="26"/>
      <c r="I38" s="25"/>
      <c r="J38" s="25"/>
    </row>
    <row r="39" spans="3:12" ht="17.399999999999999" x14ac:dyDescent="0.3">
      <c r="C39" s="52">
        <v>47270</v>
      </c>
      <c r="D39" s="32">
        <f>+_xlfn.XLOOKUP(_xlfn.CONCAT(C39,"TOTAL"),'Cantidades horarias PROD 02'!D:D,'Cantidades horarias PROD 02'!AG:AG)</f>
        <v>4771342.4870592002</v>
      </c>
      <c r="E39" s="29">
        <v>1</v>
      </c>
      <c r="F39" s="32">
        <f t="shared" si="0"/>
        <v>4771342.49</v>
      </c>
      <c r="G39" s="71"/>
      <c r="H39" s="26"/>
      <c r="I39" s="25"/>
      <c r="J39" s="25"/>
    </row>
    <row r="40" spans="3:12" ht="17.399999999999999" x14ac:dyDescent="0.3">
      <c r="C40" s="52">
        <v>47300</v>
      </c>
      <c r="D40" s="32">
        <f>+_xlfn.XLOOKUP(_xlfn.CONCAT(C40,"TOTAL"),'Cantidades horarias PROD 02'!D:D,'Cantidades horarias PROD 02'!AG:AG)</f>
        <v>4775498.1295541991</v>
      </c>
      <c r="E40" s="29">
        <v>1</v>
      </c>
      <c r="F40" s="32">
        <f t="shared" si="0"/>
        <v>4775498.13</v>
      </c>
      <c r="G40" s="71"/>
      <c r="I40" s="25"/>
      <c r="J40" s="25"/>
    </row>
    <row r="41" spans="3:12" ht="17.399999999999999" x14ac:dyDescent="0.3">
      <c r="C41" s="52">
        <v>47331</v>
      </c>
      <c r="D41" s="32">
        <f>+_xlfn.XLOOKUP(_xlfn.CONCAT(C41,"TOTAL"),'Cantidades horarias PROD 02'!D:D,'Cantidades horarias PROD 02'!AG:AG)</f>
        <v>4591153.8284760006</v>
      </c>
      <c r="E41" s="29">
        <v>1</v>
      </c>
      <c r="F41" s="32">
        <f t="shared" si="0"/>
        <v>4591153.83</v>
      </c>
      <c r="G41" s="71"/>
      <c r="H41" s="25"/>
      <c r="I41" s="25"/>
      <c r="J41" s="25"/>
    </row>
    <row r="42" spans="3:12" ht="17.399999999999999" x14ac:dyDescent="0.3">
      <c r="C42" s="52">
        <v>47362</v>
      </c>
      <c r="D42" s="32">
        <f>+_xlfn.XLOOKUP(_xlfn.CONCAT(C42,"TOTAL"),'Cantidades horarias PROD 02'!D:D,'Cantidades horarias PROD 02'!AG:AG)</f>
        <v>4365086.8767480021</v>
      </c>
      <c r="E42" s="29">
        <v>1</v>
      </c>
      <c r="F42" s="32">
        <f t="shared" si="0"/>
        <v>4365086.88</v>
      </c>
      <c r="G42" s="71"/>
    </row>
    <row r="43" spans="3:12" ht="17.399999999999999" x14ac:dyDescent="0.3">
      <c r="C43" s="52">
        <v>47392</v>
      </c>
      <c r="D43" s="32">
        <f>+_xlfn.XLOOKUP(_xlfn.CONCAT(C43,"TOTAL"),'Cantidades horarias PROD 02'!D:D,'Cantidades horarias PROD 02'!AG:AG)</f>
        <v>4423598.3230775995</v>
      </c>
      <c r="E43" s="29">
        <v>1</v>
      </c>
      <c r="F43" s="32">
        <f t="shared" si="0"/>
        <v>4423598.32</v>
      </c>
      <c r="G43" s="71"/>
    </row>
    <row r="44" spans="3:12" ht="15" customHeight="1" x14ac:dyDescent="0.3">
      <c r="C44" s="52">
        <v>47423</v>
      </c>
      <c r="D44" s="32">
        <f>+_xlfn.XLOOKUP(_xlfn.CONCAT(C44,"TOTAL"),'Cantidades horarias PROD 02'!D:D,'Cantidades horarias PROD 02'!AG:AG)</f>
        <v>4514025.1037688004</v>
      </c>
      <c r="E44" s="29">
        <v>1</v>
      </c>
      <c r="F44" s="32">
        <f t="shared" si="0"/>
        <v>4514025.0999999996</v>
      </c>
      <c r="G44" s="71"/>
    </row>
    <row r="45" spans="3:12" ht="15" customHeight="1" x14ac:dyDescent="0.3">
      <c r="C45" s="52">
        <v>47453</v>
      </c>
      <c r="D45" s="32">
        <f>+_xlfn.XLOOKUP(_xlfn.CONCAT(C45,"TOTAL"),'Cantidades horarias PROD 02'!D:D,'Cantidades horarias PROD 02'!AG:AG)</f>
        <v>4510700.5897728028</v>
      </c>
      <c r="E45" s="29">
        <v>1</v>
      </c>
      <c r="F45" s="32">
        <f t="shared" si="0"/>
        <v>4510700.59</v>
      </c>
      <c r="G45" s="71"/>
    </row>
    <row r="46" spans="3:12" ht="17.399999999999999" x14ac:dyDescent="0.3">
      <c r="C46" s="52">
        <v>47484</v>
      </c>
      <c r="D46" s="32">
        <f>+_xlfn.XLOOKUP(_xlfn.CONCAT(C46,"TOTAL"),'Cantidades horarias PROD 02'!D:D,'Cantidades horarias PROD 02'!AG:AG)</f>
        <v>4555635.9069614401</v>
      </c>
      <c r="E46" s="29">
        <v>1</v>
      </c>
      <c r="F46" s="32">
        <f t="shared" si="0"/>
        <v>4555635.91</v>
      </c>
      <c r="G46" s="71"/>
      <c r="H46" s="63"/>
      <c r="I46" s="63"/>
      <c r="J46" s="63"/>
      <c r="K46" s="24"/>
      <c r="L46" s="24"/>
    </row>
    <row r="47" spans="3:12" ht="17.399999999999999" x14ac:dyDescent="0.3">
      <c r="C47" s="52">
        <v>47515</v>
      </c>
      <c r="D47" s="32">
        <f>+_xlfn.XLOOKUP(_xlfn.CONCAT(C47,"TOTAL"),'Cantidades horarias PROD 02'!D:D,'Cantidades horarias PROD 02'!AG:AG)</f>
        <v>4157898.9968476826</v>
      </c>
      <c r="E47" s="29">
        <v>1</v>
      </c>
      <c r="F47" s="32">
        <f t="shared" si="0"/>
        <v>4157899</v>
      </c>
      <c r="G47" s="71"/>
      <c r="H47" s="63"/>
      <c r="I47" s="63"/>
      <c r="J47" s="63"/>
      <c r="K47" s="24"/>
      <c r="L47" s="24"/>
    </row>
    <row r="48" spans="3:12" ht="19.5" customHeight="1" x14ac:dyDescent="0.3">
      <c r="C48" s="52">
        <v>47543</v>
      </c>
      <c r="D48" s="32">
        <f>+_xlfn.XLOOKUP(_xlfn.CONCAT(C48,"TOTAL"),'Cantidades horarias PROD 02'!D:D,'Cantidades horarias PROD 02'!AG:AG)</f>
        <v>4261166.4477614397</v>
      </c>
      <c r="E48" s="29">
        <v>1</v>
      </c>
      <c r="F48" s="32">
        <f t="shared" si="0"/>
        <v>4261166.45</v>
      </c>
      <c r="G48" s="71"/>
      <c r="H48" s="63"/>
      <c r="I48" s="63"/>
      <c r="J48" s="63"/>
      <c r="K48" s="24"/>
      <c r="L48" s="24"/>
    </row>
    <row r="49" spans="3:10" ht="16.5" customHeight="1" x14ac:dyDescent="0.3">
      <c r="C49" s="52">
        <v>47574</v>
      </c>
      <c r="D49" s="32">
        <f>+_xlfn.XLOOKUP(_xlfn.CONCAT(C49,"TOTAL"),'Cantidades horarias PROD 02'!D:D,'Cantidades horarias PROD 02'!AG:AG)</f>
        <v>4330741.7454588031</v>
      </c>
      <c r="E49" s="29">
        <v>1</v>
      </c>
      <c r="F49" s="32">
        <f t="shared" si="0"/>
        <v>4330741.75</v>
      </c>
      <c r="G49" s="71"/>
      <c r="H49" s="26"/>
      <c r="I49" s="25"/>
      <c r="J49" s="25"/>
    </row>
    <row r="50" spans="3:10" ht="17.399999999999999" x14ac:dyDescent="0.3">
      <c r="C50" s="52">
        <v>47604</v>
      </c>
      <c r="D50" s="32">
        <f>+_xlfn.XLOOKUP(_xlfn.CONCAT(C50,"TOTAL"),'Cantidades horarias PROD 02'!D:D,'Cantidades horarias PROD 02'!AG:AG)</f>
        <v>4635905.2020010846</v>
      </c>
      <c r="E50" s="29">
        <v>1</v>
      </c>
      <c r="F50" s="32">
        <f t="shared" si="0"/>
        <v>4635905.2</v>
      </c>
      <c r="G50" s="71"/>
      <c r="H50" s="26"/>
      <c r="I50" s="25"/>
      <c r="J50" s="25"/>
    </row>
    <row r="51" spans="3:10" ht="17.399999999999999" x14ac:dyDescent="0.3">
      <c r="C51" s="52">
        <v>47635</v>
      </c>
      <c r="D51" s="32">
        <f>+_xlfn.XLOOKUP(_xlfn.CONCAT(C51,"TOTAL"),'Cantidades horarias PROD 02'!D:D,'Cantidades horarias PROD 02'!AG:AG)</f>
        <v>4820240.9332501218</v>
      </c>
      <c r="E51" s="29">
        <v>1</v>
      </c>
      <c r="F51" s="32">
        <f t="shared" si="0"/>
        <v>4820240.93</v>
      </c>
      <c r="G51" s="71"/>
      <c r="H51" s="26"/>
      <c r="I51" s="25"/>
      <c r="J51" s="25"/>
    </row>
    <row r="52" spans="3:10" ht="17.399999999999999" x14ac:dyDescent="0.3">
      <c r="C52" s="52">
        <v>47665</v>
      </c>
      <c r="D52" s="32">
        <f>+_xlfn.XLOOKUP(_xlfn.CONCAT(C52,"TOTAL"),'Cantidades horarias PROD 02'!D:D,'Cantidades horarias PROD 02'!AG:AG)</f>
        <v>4795270.4697735608</v>
      </c>
      <c r="E52" s="29">
        <v>1</v>
      </c>
      <c r="F52" s="32">
        <f t="shared" si="0"/>
        <v>4795270.47</v>
      </c>
      <c r="G52" s="71"/>
      <c r="I52" s="25"/>
      <c r="J52" s="25"/>
    </row>
    <row r="53" spans="3:10" ht="17.399999999999999" x14ac:dyDescent="0.3">
      <c r="C53" s="52">
        <v>47696</v>
      </c>
      <c r="D53" s="32">
        <f>+_xlfn.XLOOKUP(_xlfn.CONCAT(C53,"TOTAL"),'Cantidades horarias PROD 02'!D:D,'Cantidades horarias PROD 02'!AG:AG)</f>
        <v>4646200.3718029177</v>
      </c>
      <c r="E53" s="29">
        <v>1</v>
      </c>
      <c r="F53" s="32">
        <f t="shared" si="0"/>
        <v>4646200.37</v>
      </c>
      <c r="G53" s="71"/>
      <c r="H53" s="25"/>
      <c r="I53" s="25"/>
      <c r="J53" s="25"/>
    </row>
    <row r="54" spans="3:10" ht="17.399999999999999" x14ac:dyDescent="0.3">
      <c r="C54" s="52">
        <v>47727</v>
      </c>
      <c r="D54" s="32">
        <f>+_xlfn.XLOOKUP(_xlfn.CONCAT(C54,"TOTAL"),'Cantidades horarias PROD 02'!D:D,'Cantidades horarias PROD 02'!AG:AG)</f>
        <v>4385012.8530983059</v>
      </c>
      <c r="E54" s="29">
        <v>1</v>
      </c>
      <c r="F54" s="32">
        <f t="shared" si="0"/>
        <v>4385012.8499999996</v>
      </c>
      <c r="G54" s="71"/>
    </row>
    <row r="55" spans="3:10" ht="17.399999999999999" x14ac:dyDescent="0.3">
      <c r="C55" s="52">
        <v>47757</v>
      </c>
      <c r="D55" s="32">
        <f>+_xlfn.XLOOKUP(_xlfn.CONCAT(C55,"TOTAL"),'Cantidades horarias PROD 02'!D:D,'Cantidades horarias PROD 02'!AG:AG)</f>
        <v>4425789.4531502388</v>
      </c>
      <c r="E55" s="29">
        <v>1</v>
      </c>
      <c r="F55" s="32">
        <f t="shared" si="0"/>
        <v>4425789.45</v>
      </c>
      <c r="G55" s="71"/>
    </row>
    <row r="56" spans="3:10" ht="15" customHeight="1" x14ac:dyDescent="0.3">
      <c r="C56" s="52">
        <v>47788</v>
      </c>
      <c r="D56" s="32">
        <f>+_xlfn.XLOOKUP(_xlfn.CONCAT(C56,"TOTAL"),'Cantidades horarias PROD 02'!D:D,'Cantidades horarias PROD 02'!AG:AG)</f>
        <v>4548111.4287277209</v>
      </c>
      <c r="E56" s="29">
        <v>1</v>
      </c>
      <c r="F56" s="32">
        <f t="shared" si="0"/>
        <v>4548111.43</v>
      </c>
      <c r="G56" s="71"/>
    </row>
    <row r="57" spans="3:10" ht="15" customHeight="1" x14ac:dyDescent="0.3">
      <c r="C57" s="52">
        <v>47818</v>
      </c>
      <c r="D57" s="32">
        <f>+_xlfn.XLOOKUP(_xlfn.CONCAT(C57,"TOTAL"),'Cantidades horarias PROD 02'!D:D,'Cantidades horarias PROD 02'!AG:AG)</f>
        <v>4585005.3906493234</v>
      </c>
      <c r="E57" s="29">
        <v>1</v>
      </c>
      <c r="F57" s="32">
        <f t="shared" si="0"/>
        <v>4585005.3899999997</v>
      </c>
      <c r="G57" s="71"/>
    </row>
    <row r="58" spans="3:10" ht="17.399999999999999" x14ac:dyDescent="0.35">
      <c r="C58" s="47" t="s">
        <v>10</v>
      </c>
      <c r="D58" s="48">
        <f>SUM(D10:D57)</f>
        <v>209708574.80871734</v>
      </c>
      <c r="E58" s="50">
        <f>IFERROR(F58/D58,0)</f>
        <v>0.99999999991074562</v>
      </c>
      <c r="F58" s="48">
        <f>SUM(F10:F57)</f>
        <v>209708574.78999993</v>
      </c>
      <c r="G58" s="49">
        <f>+(+SUM(F10:F21)*G10+SUM(F22:F33)*G22+SUM(F34:F45)*G34+SUM(F46:F57)*G46)/F58</f>
        <v>0</v>
      </c>
    </row>
    <row r="59" spans="3:10" ht="17.399999999999999" x14ac:dyDescent="0.35">
      <c r="C59" s="66"/>
      <c r="D59" s="31"/>
      <c r="E59" s="34"/>
      <c r="F59" s="31"/>
      <c r="G59" s="33"/>
    </row>
    <row r="60" spans="3:10" ht="17.399999999999999" x14ac:dyDescent="0.35">
      <c r="C60" s="27" t="s">
        <v>11</v>
      </c>
      <c r="D60" s="31"/>
      <c r="E60" s="34"/>
      <c r="F60" s="31"/>
      <c r="G60" s="33"/>
    </row>
    <row r="61" spans="3:10" ht="17.399999999999999" x14ac:dyDescent="0.35">
      <c r="C61" s="28" t="s">
        <v>68</v>
      </c>
      <c r="D61" s="31"/>
      <c r="E61" s="34"/>
      <c r="F61" s="31"/>
      <c r="G61" s="33"/>
    </row>
    <row r="62" spans="3:10" ht="16.95" customHeight="1" x14ac:dyDescent="0.35">
      <c r="C62" s="28" t="s">
        <v>12</v>
      </c>
      <c r="D62" s="31"/>
      <c r="E62" s="34"/>
      <c r="F62" s="31"/>
      <c r="G62" s="33"/>
    </row>
    <row r="63" spans="3:10" ht="16.95" customHeight="1" x14ac:dyDescent="0.35">
      <c r="C63" s="28"/>
      <c r="D63" s="31"/>
      <c r="E63" s="34"/>
      <c r="F63" s="31"/>
      <c r="G63" s="33"/>
    </row>
    <row r="64" spans="3:10" ht="16.95" customHeight="1" x14ac:dyDescent="0.35">
      <c r="C64" s="28"/>
      <c r="D64" s="31"/>
      <c r="E64" s="34"/>
      <c r="F64" s="31"/>
      <c r="G64" s="33"/>
    </row>
    <row r="65" spans="3:8" ht="16.95" customHeight="1" x14ac:dyDescent="0.35">
      <c r="C65" s="28"/>
      <c r="D65" s="31"/>
      <c r="E65" s="34"/>
      <c r="F65" s="31"/>
      <c r="G65" s="33"/>
    </row>
    <row r="66" spans="3:8" ht="17.399999999999999" x14ac:dyDescent="0.35">
      <c r="C66" s="54" t="s">
        <v>13</v>
      </c>
      <c r="D66" s="26"/>
      <c r="E66" s="26"/>
      <c r="F66" s="26"/>
      <c r="G66" s="26"/>
    </row>
    <row r="67" spans="3:8" ht="17.399999999999999" x14ac:dyDescent="0.35">
      <c r="C67" s="22" t="s">
        <v>14</v>
      </c>
      <c r="D67" s="26"/>
      <c r="E67" s="26"/>
      <c r="F67" s="26"/>
      <c r="G67" s="26"/>
    </row>
    <row r="68" spans="3:8" ht="17.399999999999999" x14ac:dyDescent="0.35">
      <c r="C68" s="21" t="s">
        <v>63</v>
      </c>
    </row>
    <row r="69" spans="3:8" ht="16.8" hidden="1" x14ac:dyDescent="0.3">
      <c r="C69" s="69"/>
      <c r="D69" s="69"/>
      <c r="E69" s="69"/>
      <c r="F69" s="69"/>
      <c r="G69" s="69"/>
    </row>
    <row r="70" spans="3:8" ht="16.8" hidden="1" x14ac:dyDescent="0.3">
      <c r="C70" s="69"/>
      <c r="D70" s="69"/>
      <c r="E70" s="69"/>
      <c r="F70" s="69"/>
      <c r="G70" s="69"/>
    </row>
    <row r="71" spans="3:8" ht="16.8" x14ac:dyDescent="0.3">
      <c r="E71" s="35"/>
      <c r="F71" s="53"/>
      <c r="G71" s="53"/>
    </row>
    <row r="72" spans="3:8" ht="16.8" x14ac:dyDescent="0.3">
      <c r="D72" s="55"/>
      <c r="E72" s="35"/>
      <c r="F72" s="35"/>
      <c r="G72" s="35"/>
    </row>
    <row r="73" spans="3:8" ht="16.95" customHeight="1" x14ac:dyDescent="0.35">
      <c r="F73" s="35"/>
      <c r="G73" s="35"/>
      <c r="H73" s="22"/>
    </row>
    <row r="74" spans="3:8" ht="0" hidden="1" customHeight="1" x14ac:dyDescent="0.35">
      <c r="C74" s="22" t="s">
        <v>15</v>
      </c>
    </row>
    <row r="75" spans="3:8" ht="0" hidden="1" customHeight="1" x14ac:dyDescent="0.35">
      <c r="G75" s="22"/>
    </row>
    <row r="76" spans="3:8" ht="0" hidden="1" customHeight="1" x14ac:dyDescent="0.35">
      <c r="C76" s="27" t="s">
        <v>11</v>
      </c>
      <c r="D76" s="26"/>
      <c r="E76" s="26"/>
      <c r="F76" s="26"/>
      <c r="G76" s="26"/>
    </row>
    <row r="77" spans="3:8" ht="0" hidden="1" customHeight="1" x14ac:dyDescent="0.3">
      <c r="C77" s="28" t="s">
        <v>62</v>
      </c>
      <c r="D77" s="26"/>
      <c r="E77" s="26"/>
      <c r="F77" s="26"/>
      <c r="G77" s="26"/>
    </row>
    <row r="78" spans="3:8" ht="0" hidden="1" customHeight="1" x14ac:dyDescent="0.3">
      <c r="C78" s="28" t="s">
        <v>12</v>
      </c>
    </row>
    <row r="79" spans="3:8" ht="0" hidden="1" customHeight="1" x14ac:dyDescent="0.3">
      <c r="C79" s="69"/>
      <c r="D79" s="69"/>
      <c r="E79" s="69"/>
      <c r="F79" s="69"/>
      <c r="G79" s="69"/>
    </row>
    <row r="80" spans="3:8" ht="0" hidden="1" customHeight="1" x14ac:dyDescent="0.3">
      <c r="C80" s="69"/>
      <c r="D80" s="69"/>
      <c r="E80" s="69"/>
      <c r="F80" s="69"/>
      <c r="G80" s="69"/>
    </row>
    <row r="81" spans="3:7" ht="0" hidden="1" customHeight="1" x14ac:dyDescent="0.3">
      <c r="E81" s="35"/>
      <c r="F81" s="53"/>
      <c r="G81" s="53"/>
    </row>
    <row r="82" spans="3:7" ht="0" hidden="1" customHeight="1" x14ac:dyDescent="0.35">
      <c r="C82" s="54" t="s">
        <v>13</v>
      </c>
      <c r="D82" s="55"/>
      <c r="E82" s="35"/>
      <c r="F82" s="35"/>
      <c r="G82" s="35"/>
    </row>
    <row r="83" spans="3:7" ht="0" hidden="1" customHeight="1" x14ac:dyDescent="0.35">
      <c r="C83" s="22" t="s">
        <v>14</v>
      </c>
      <c r="F83" s="35"/>
      <c r="G83" s="35"/>
    </row>
    <row r="84" spans="3:7" ht="0" hidden="1" customHeight="1" x14ac:dyDescent="0.35">
      <c r="C84" s="22" t="s">
        <v>15</v>
      </c>
    </row>
    <row r="85" spans="3:7" ht="0" hidden="1" customHeight="1" x14ac:dyDescent="0.35">
      <c r="G85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D10:D57" name="Rango1"/>
    <protectedRange algorithmName="SHA-512" hashValue="ae/Js8yeMw6wHjGREqu83BjAYnjwv1NHxpvnTe57rDwDMNDPGlnZwgp89HjM7G0cg/2ItV/6+CjQlsfmX7La6g==" saltValue="fv5wd7mgDmwpGOJN+Z7vlA==" spinCount="100000" sqref="E10:E57 C10:C57" name="Rango1_2"/>
    <protectedRange algorithmName="SHA-512" hashValue="ae/Js8yeMw6wHjGREqu83BjAYnjwv1NHxpvnTe57rDwDMNDPGlnZwgp89HjM7G0cg/2ItV/6+CjQlsfmX7La6g==" saltValue="fv5wd7mgDmwpGOJN+Z7vlA==" spinCount="100000" sqref="G10:G57" name="Rango1_1_1_2"/>
  </protectedRanges>
  <mergeCells count="8">
    <mergeCell ref="C79:G80"/>
    <mergeCell ref="C69:G70"/>
    <mergeCell ref="G46:G57"/>
    <mergeCell ref="C1:G1"/>
    <mergeCell ref="C2:G2"/>
    <mergeCell ref="G10:G21"/>
    <mergeCell ref="G22:G33"/>
    <mergeCell ref="G34:G45"/>
  </mergeCells>
  <dataValidations disablePrompts="1" count="1">
    <dataValidation type="textLength" allowBlank="1" showInputMessage="1" showErrorMessage="1" errorTitle="SOLO 2 DECIMALES" error="Por favor introduzca un valor con maximo 2 decimales" sqref="E10:E57" xr:uid="{1E9D1C99-DD42-4CFD-B71A-2457B927B4F1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71C2-2755-4BE7-8A07-52E9EEF245DD}">
  <dimension ref="A1:AG248"/>
  <sheetViews>
    <sheetView showGridLines="0" topLeftCell="E224" zoomScaleNormal="100" workbookViewId="0">
      <selection activeCell="I231" sqref="I231"/>
    </sheetView>
  </sheetViews>
  <sheetFormatPr baseColWidth="10" defaultColWidth="11.44140625" defaultRowHeight="13.2" x14ac:dyDescent="0.25"/>
  <cols>
    <col min="1" max="3" width="11.44140625" hidden="1" customWidth="1"/>
    <col min="4" max="4" width="10.33203125" hidden="1" customWidth="1"/>
    <col min="6" max="6" width="13.6640625" bestFit="1" customWidth="1"/>
    <col min="9" max="9" width="14.44140625" bestFit="1" customWidth="1"/>
    <col min="10" max="32" width="11.77734375" bestFit="1" customWidth="1"/>
    <col min="33" max="33" width="14.44140625" bestFit="1" customWidth="1"/>
    <col min="34" max="34" width="2.44140625" customWidth="1"/>
  </cols>
  <sheetData>
    <row r="1" spans="2:33" ht="23.4" x14ac:dyDescent="0.25">
      <c r="E1" s="76" t="s">
        <v>16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2:33" ht="23.4" x14ac:dyDescent="0.25">
      <c r="E2" s="76" t="s">
        <v>61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spans="2:33" ht="23.4" x14ac:dyDescent="0.25">
      <c r="E3" s="76" t="s">
        <v>3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2:33" ht="23.4" x14ac:dyDescent="0.25"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spans="2:33" ht="23.4" x14ac:dyDescent="0.25">
      <c r="E5" s="76" t="s">
        <v>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</row>
    <row r="6" spans="2:33" ht="23.4" x14ac:dyDescent="0.25">
      <c r="E6" s="56"/>
      <c r="F6" s="57"/>
      <c r="G6" s="57"/>
      <c r="H6" s="58"/>
      <c r="I6" s="62"/>
      <c r="J6" s="5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</row>
    <row r="7" spans="2:33" ht="15" thickBot="1" x14ac:dyDescent="0.3">
      <c r="E7" s="60"/>
      <c r="F7" s="60"/>
      <c r="G7" s="75"/>
      <c r="H7" s="75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</row>
    <row r="8" spans="2:33" ht="29.4" thickBot="1" x14ac:dyDescent="0.3">
      <c r="B8" s="63" t="s">
        <v>45</v>
      </c>
      <c r="C8" s="63" t="s">
        <v>55</v>
      </c>
      <c r="D8" s="63" t="s">
        <v>56</v>
      </c>
      <c r="E8" s="8"/>
      <c r="F8" s="9" t="s">
        <v>17</v>
      </c>
      <c r="G8" s="9" t="s">
        <v>18</v>
      </c>
      <c r="H8" s="10" t="s">
        <v>19</v>
      </c>
      <c r="I8" s="11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2" t="s">
        <v>27</v>
      </c>
      <c r="Q8" s="12" t="s">
        <v>28</v>
      </c>
      <c r="R8" s="12" t="s">
        <v>29</v>
      </c>
      <c r="S8" s="12" t="s">
        <v>30</v>
      </c>
      <c r="T8" s="12" t="s">
        <v>31</v>
      </c>
      <c r="U8" s="12" t="s">
        <v>32</v>
      </c>
      <c r="V8" s="12" t="s">
        <v>33</v>
      </c>
      <c r="W8" s="12" t="s">
        <v>34</v>
      </c>
      <c r="X8" s="12" t="s">
        <v>35</v>
      </c>
      <c r="Y8" s="12" t="s">
        <v>36</v>
      </c>
      <c r="Z8" s="12" t="s">
        <v>37</v>
      </c>
      <c r="AA8" s="12" t="s">
        <v>38</v>
      </c>
      <c r="AB8" s="12" t="s">
        <v>39</v>
      </c>
      <c r="AC8" s="12" t="s">
        <v>40</v>
      </c>
      <c r="AD8" s="12" t="s">
        <v>41</v>
      </c>
      <c r="AE8" s="12" t="s">
        <v>42</v>
      </c>
      <c r="AF8" s="13" t="s">
        <v>43</v>
      </c>
      <c r="AG8" s="14" t="s">
        <v>10</v>
      </c>
    </row>
    <row r="9" spans="2:33" ht="14.4" x14ac:dyDescent="0.25">
      <c r="B9">
        <f>+MONTH(E9)</f>
        <v>1</v>
      </c>
      <c r="C9">
        <f>+YEAR(E9)</f>
        <v>2027</v>
      </c>
      <c r="D9" t="str">
        <f>+_xlfn.CONCAT(B9:C9,G9)</f>
        <v>12027OR</v>
      </c>
      <c r="E9" s="67">
        <v>46388</v>
      </c>
      <c r="F9" s="72">
        <f>+AG13</f>
        <v>3065513.8931167866</v>
      </c>
      <c r="G9" s="37" t="s">
        <v>57</v>
      </c>
      <c r="H9" s="37">
        <v>19</v>
      </c>
      <c r="I9" s="65">
        <v>4120.3143724687989</v>
      </c>
      <c r="J9" s="65">
        <v>4120.3143724687989</v>
      </c>
      <c r="K9" s="65">
        <v>4120.3143724687989</v>
      </c>
      <c r="L9" s="65">
        <v>4120.3143724687989</v>
      </c>
      <c r="M9" s="65">
        <v>4120.3143724687989</v>
      </c>
      <c r="N9" s="65">
        <v>4120.3143724687989</v>
      </c>
      <c r="O9" s="65">
        <v>4120.3143724687989</v>
      </c>
      <c r="P9" s="65">
        <v>4120.3143724687989</v>
      </c>
      <c r="Q9" s="65">
        <v>4120.3143724687989</v>
      </c>
      <c r="R9" s="65">
        <v>4120.3143724687989</v>
      </c>
      <c r="S9" s="65">
        <v>4120.3143724687989</v>
      </c>
      <c r="T9" s="65">
        <v>4120.3143724687989</v>
      </c>
      <c r="U9" s="65">
        <v>4120.3143724687989</v>
      </c>
      <c r="V9" s="65">
        <v>4120.3143724687989</v>
      </c>
      <c r="W9" s="65">
        <v>4120.3143724687989</v>
      </c>
      <c r="X9" s="65">
        <v>4120.3143724687989</v>
      </c>
      <c r="Y9" s="65">
        <v>4120.3143724687989</v>
      </c>
      <c r="Z9" s="65">
        <v>4120.3143724687989</v>
      </c>
      <c r="AA9" s="65">
        <v>4120.3143724687989</v>
      </c>
      <c r="AB9" s="65">
        <v>4120.3143724687989</v>
      </c>
      <c r="AC9" s="65">
        <v>4120.3143724687989</v>
      </c>
      <c r="AD9" s="65">
        <v>4120.3143724687989</v>
      </c>
      <c r="AE9" s="65">
        <v>4120.3143724687989</v>
      </c>
      <c r="AF9" s="65">
        <v>4120.3143724687989</v>
      </c>
      <c r="AG9" s="38">
        <f>ROUND(SUM(I9:AF9)*H9,2)</f>
        <v>1878863.35</v>
      </c>
    </row>
    <row r="10" spans="2:33" ht="14.4" x14ac:dyDescent="0.25">
      <c r="B10">
        <f t="shared" ref="B10:B67" si="0">+MONTH(E10)</f>
        <v>1</v>
      </c>
      <c r="C10">
        <f t="shared" ref="C10:C67" si="1">+YEAR(E10)</f>
        <v>2027</v>
      </c>
      <c r="D10" t="str">
        <f t="shared" ref="D10:D12" si="2">+_xlfn.CONCAT(B10:C10,G10)</f>
        <v>12027SA</v>
      </c>
      <c r="E10" s="68">
        <v>46388</v>
      </c>
      <c r="F10" s="73"/>
      <c r="G10" s="39" t="s">
        <v>60</v>
      </c>
      <c r="H10" s="39">
        <v>5</v>
      </c>
      <c r="I10" s="65">
        <v>4120.3143724687989</v>
      </c>
      <c r="J10" s="65">
        <v>4120.3143724687989</v>
      </c>
      <c r="K10" s="65">
        <v>4120.3143724687989</v>
      </c>
      <c r="L10" s="65">
        <v>4120.3143724687989</v>
      </c>
      <c r="M10" s="65">
        <v>4120.3143724687989</v>
      </c>
      <c r="N10" s="65">
        <v>4120.3143724687989</v>
      </c>
      <c r="O10" s="65">
        <v>4120.3143724687989</v>
      </c>
      <c r="P10" s="65">
        <v>4120.3143724687989</v>
      </c>
      <c r="Q10" s="65">
        <v>4120.3143724687989</v>
      </c>
      <c r="R10" s="65">
        <v>4120.3143724687989</v>
      </c>
      <c r="S10" s="65">
        <v>4120.3143724687989</v>
      </c>
      <c r="T10" s="65">
        <v>4120.3143724687989</v>
      </c>
      <c r="U10" s="65">
        <v>4120.3143724687989</v>
      </c>
      <c r="V10" s="65">
        <v>4120.3143724687989</v>
      </c>
      <c r="W10" s="65">
        <v>4120.3143724687989</v>
      </c>
      <c r="X10" s="65">
        <v>4120.3143724687989</v>
      </c>
      <c r="Y10" s="65">
        <v>4120.3143724687989</v>
      </c>
      <c r="Z10" s="65">
        <v>4120.3143724687989</v>
      </c>
      <c r="AA10" s="65">
        <v>4120.3143724687989</v>
      </c>
      <c r="AB10" s="65">
        <v>4120.3143724687989</v>
      </c>
      <c r="AC10" s="65">
        <v>4120.3143724687989</v>
      </c>
      <c r="AD10" s="65">
        <v>4120.3143724687989</v>
      </c>
      <c r="AE10" s="65">
        <v>4120.3143724687989</v>
      </c>
      <c r="AF10" s="65">
        <v>4120.3143724687989</v>
      </c>
      <c r="AG10" s="40">
        <f>ROUND(SUM(I10:AF10)*H10,2)</f>
        <v>494437.72</v>
      </c>
    </row>
    <row r="11" spans="2:33" ht="14.4" x14ac:dyDescent="0.25">
      <c r="B11">
        <f t="shared" si="0"/>
        <v>1</v>
      </c>
      <c r="C11">
        <f t="shared" si="1"/>
        <v>2027</v>
      </c>
      <c r="D11" t="str">
        <f t="shared" si="2"/>
        <v>12027DO</v>
      </c>
      <c r="E11" s="68">
        <v>46388</v>
      </c>
      <c r="F11" s="73"/>
      <c r="G11" s="41" t="s">
        <v>58</v>
      </c>
      <c r="H11" s="41">
        <v>5</v>
      </c>
      <c r="I11" s="65">
        <v>4120.3143724687989</v>
      </c>
      <c r="J11" s="65">
        <v>4120.3143724687989</v>
      </c>
      <c r="K11" s="65">
        <v>4120.3143724687989</v>
      </c>
      <c r="L11" s="65">
        <v>4120.3143724687989</v>
      </c>
      <c r="M11" s="65">
        <v>4120.3143724687989</v>
      </c>
      <c r="N11" s="65">
        <v>4120.3143724687989</v>
      </c>
      <c r="O11" s="65">
        <v>4120.3143724687989</v>
      </c>
      <c r="P11" s="65">
        <v>4120.3143724687989</v>
      </c>
      <c r="Q11" s="65">
        <v>4120.3143724687989</v>
      </c>
      <c r="R11" s="65">
        <v>4120.3143724687989</v>
      </c>
      <c r="S11" s="65">
        <v>4120.3143724687989</v>
      </c>
      <c r="T11" s="65">
        <v>4120.3143724687989</v>
      </c>
      <c r="U11" s="65">
        <v>4120.3143724687989</v>
      </c>
      <c r="V11" s="65">
        <v>4120.3143724687989</v>
      </c>
      <c r="W11" s="65">
        <v>4120.3143724687989</v>
      </c>
      <c r="X11" s="65">
        <v>4120.3143724687989</v>
      </c>
      <c r="Y11" s="65">
        <v>4120.3143724687989</v>
      </c>
      <c r="Z11" s="65">
        <v>4120.3143724687989</v>
      </c>
      <c r="AA11" s="65">
        <v>4120.3143724687989</v>
      </c>
      <c r="AB11" s="65">
        <v>4120.3143724687989</v>
      </c>
      <c r="AC11" s="65">
        <v>4120.3143724687989</v>
      </c>
      <c r="AD11" s="65">
        <v>4120.3143724687989</v>
      </c>
      <c r="AE11" s="65">
        <v>4120.3143724687989</v>
      </c>
      <c r="AF11" s="65">
        <v>4120.3143724687989</v>
      </c>
      <c r="AG11" s="40">
        <f>ROUND(SUM(I11:AF11)*H11,2)</f>
        <v>494437.72</v>
      </c>
    </row>
    <row r="12" spans="2:33" ht="14.4" x14ac:dyDescent="0.25">
      <c r="B12">
        <f t="shared" si="0"/>
        <v>1</v>
      </c>
      <c r="C12">
        <f t="shared" si="1"/>
        <v>2027</v>
      </c>
      <c r="D12" t="str">
        <f t="shared" si="2"/>
        <v>12027FE</v>
      </c>
      <c r="E12" s="68">
        <v>46388</v>
      </c>
      <c r="F12" s="73"/>
      <c r="G12" s="42" t="s">
        <v>59</v>
      </c>
      <c r="H12" s="42">
        <v>2</v>
      </c>
      <c r="I12" s="65">
        <v>4120.3143724687989</v>
      </c>
      <c r="J12" s="65">
        <v>4120.3143724687989</v>
      </c>
      <c r="K12" s="65">
        <v>4120.3143724687989</v>
      </c>
      <c r="L12" s="65">
        <v>4120.3143724687989</v>
      </c>
      <c r="M12" s="65">
        <v>4120.3143724687989</v>
      </c>
      <c r="N12" s="65">
        <v>4120.3143724687989</v>
      </c>
      <c r="O12" s="65">
        <v>4120.3143724687989</v>
      </c>
      <c r="P12" s="65">
        <v>4120.3143724687989</v>
      </c>
      <c r="Q12" s="65">
        <v>4120.3143724687989</v>
      </c>
      <c r="R12" s="65">
        <v>4120.3143724687989</v>
      </c>
      <c r="S12" s="65">
        <v>4120.3143724687989</v>
      </c>
      <c r="T12" s="65">
        <v>4120.3143724687989</v>
      </c>
      <c r="U12" s="65">
        <v>4120.3143724687989</v>
      </c>
      <c r="V12" s="65">
        <v>4120.3143724687989</v>
      </c>
      <c r="W12" s="65">
        <v>4120.3143724687989</v>
      </c>
      <c r="X12" s="65">
        <v>4120.3143724687989</v>
      </c>
      <c r="Y12" s="65">
        <v>4120.3143724687989</v>
      </c>
      <c r="Z12" s="65">
        <v>4120.3143724687989</v>
      </c>
      <c r="AA12" s="65">
        <v>4120.3143724687989</v>
      </c>
      <c r="AB12" s="65">
        <v>4120.3143724687989</v>
      </c>
      <c r="AC12" s="65">
        <v>4120.3143724687989</v>
      </c>
      <c r="AD12" s="65">
        <v>4120.3143724687989</v>
      </c>
      <c r="AE12" s="65">
        <v>4120.3143724687989</v>
      </c>
      <c r="AF12" s="65">
        <v>4120.3143724687989</v>
      </c>
      <c r="AG12" s="43">
        <f>ROUND(SUM(I12:AF12)*H12,2)</f>
        <v>197775.09</v>
      </c>
    </row>
    <row r="13" spans="2:33" ht="15" thickBot="1" x14ac:dyDescent="0.3">
      <c r="B13">
        <f t="shared" si="0"/>
        <v>1</v>
      </c>
      <c r="C13">
        <f t="shared" si="1"/>
        <v>2027</v>
      </c>
      <c r="D13" t="str">
        <f>+_xlfn.CONCAT(E13,G13)</f>
        <v>46388TOTAL</v>
      </c>
      <c r="E13" s="68">
        <v>46388</v>
      </c>
      <c r="F13" s="61"/>
      <c r="G13" s="44" t="s">
        <v>10</v>
      </c>
      <c r="H13" s="44">
        <f>+SUM(H9:H12)</f>
        <v>31</v>
      </c>
      <c r="I13" s="45">
        <f t="shared" ref="I13:AF13" si="3">+SUMPRODUCT(I9:I12,$H9:$H12)</f>
        <v>127729.74554653275</v>
      </c>
      <c r="J13" s="45">
        <f t="shared" si="3"/>
        <v>127729.74554653275</v>
      </c>
      <c r="K13" s="45">
        <f t="shared" si="3"/>
        <v>127729.74554653275</v>
      </c>
      <c r="L13" s="45">
        <f t="shared" si="3"/>
        <v>127729.74554653275</v>
      </c>
      <c r="M13" s="45">
        <f t="shared" si="3"/>
        <v>127729.74554653275</v>
      </c>
      <c r="N13" s="45">
        <f t="shared" si="3"/>
        <v>127729.74554653275</v>
      </c>
      <c r="O13" s="45">
        <f t="shared" si="3"/>
        <v>127729.74554653275</v>
      </c>
      <c r="P13" s="45">
        <f t="shared" si="3"/>
        <v>127729.74554653275</v>
      </c>
      <c r="Q13" s="45">
        <f t="shared" si="3"/>
        <v>127729.74554653275</v>
      </c>
      <c r="R13" s="45">
        <f t="shared" si="3"/>
        <v>127729.74554653275</v>
      </c>
      <c r="S13" s="45">
        <f t="shared" si="3"/>
        <v>127729.74554653275</v>
      </c>
      <c r="T13" s="45">
        <f t="shared" si="3"/>
        <v>127729.74554653275</v>
      </c>
      <c r="U13" s="45">
        <f t="shared" si="3"/>
        <v>127729.74554653275</v>
      </c>
      <c r="V13" s="45">
        <f t="shared" si="3"/>
        <v>127729.74554653275</v>
      </c>
      <c r="W13" s="45">
        <f t="shared" si="3"/>
        <v>127729.74554653275</v>
      </c>
      <c r="X13" s="45">
        <f t="shared" si="3"/>
        <v>127729.74554653275</v>
      </c>
      <c r="Y13" s="45">
        <f t="shared" si="3"/>
        <v>127729.74554653275</v>
      </c>
      <c r="Z13" s="45">
        <f t="shared" si="3"/>
        <v>127729.74554653275</v>
      </c>
      <c r="AA13" s="45">
        <f t="shared" si="3"/>
        <v>127729.74554653275</v>
      </c>
      <c r="AB13" s="45">
        <f t="shared" si="3"/>
        <v>127729.74554653275</v>
      </c>
      <c r="AC13" s="45">
        <f t="shared" si="3"/>
        <v>127729.74554653275</v>
      </c>
      <c r="AD13" s="45">
        <f t="shared" si="3"/>
        <v>127729.74554653275</v>
      </c>
      <c r="AE13" s="45">
        <f t="shared" si="3"/>
        <v>127729.74554653275</v>
      </c>
      <c r="AF13" s="45">
        <f t="shared" si="3"/>
        <v>127729.74554653275</v>
      </c>
      <c r="AG13" s="46">
        <f>SUM(I13:AF13)</f>
        <v>3065513.8931167866</v>
      </c>
    </row>
    <row r="14" spans="2:33" ht="14.4" x14ac:dyDescent="0.25">
      <c r="B14">
        <f t="shared" si="0"/>
        <v>2</v>
      </c>
      <c r="C14">
        <f t="shared" si="1"/>
        <v>2027</v>
      </c>
      <c r="D14" t="str">
        <f t="shared" ref="D14:D17" si="4">+_xlfn.CONCAT(B14:C14,G14)</f>
        <v>22027OR</v>
      </c>
      <c r="E14" s="67">
        <v>46419</v>
      </c>
      <c r="F14" s="72">
        <f>+AG18</f>
        <v>2787686.369838756</v>
      </c>
      <c r="G14" s="37" t="s">
        <v>57</v>
      </c>
      <c r="H14" s="37">
        <v>20</v>
      </c>
      <c r="I14" s="65">
        <v>4148.3428122600544</v>
      </c>
      <c r="J14" s="65">
        <v>4148.3428122600544</v>
      </c>
      <c r="K14" s="65">
        <v>4148.3428122600544</v>
      </c>
      <c r="L14" s="65">
        <v>4148.3428122600544</v>
      </c>
      <c r="M14" s="65">
        <v>4148.3428122600544</v>
      </c>
      <c r="N14" s="65">
        <v>4148.3428122600544</v>
      </c>
      <c r="O14" s="65">
        <v>4148.3428122600544</v>
      </c>
      <c r="P14" s="65">
        <v>4148.3428122600544</v>
      </c>
      <c r="Q14" s="65">
        <v>4148.3428122600544</v>
      </c>
      <c r="R14" s="65">
        <v>4148.3428122600544</v>
      </c>
      <c r="S14" s="65">
        <v>4148.3428122600544</v>
      </c>
      <c r="T14" s="65">
        <v>4148.3428122600544</v>
      </c>
      <c r="U14" s="65">
        <v>4148.3428122600544</v>
      </c>
      <c r="V14" s="65">
        <v>4148.3428122600544</v>
      </c>
      <c r="W14" s="65">
        <v>4148.3428122600544</v>
      </c>
      <c r="X14" s="65">
        <v>4148.3428122600544</v>
      </c>
      <c r="Y14" s="65">
        <v>4148.3428122600544</v>
      </c>
      <c r="Z14" s="65">
        <v>4148.3428122600544</v>
      </c>
      <c r="AA14" s="65">
        <v>4148.3428122600544</v>
      </c>
      <c r="AB14" s="65">
        <v>4148.3428122600544</v>
      </c>
      <c r="AC14" s="65">
        <v>4148.3428122600544</v>
      </c>
      <c r="AD14" s="65">
        <v>4148.3428122600544</v>
      </c>
      <c r="AE14" s="65">
        <v>4148.3428122600544</v>
      </c>
      <c r="AF14" s="65">
        <v>4148.3428122600544</v>
      </c>
      <c r="AG14" s="38">
        <f>+SUM(I14:AF14)*H14</f>
        <v>1991204.5498848266</v>
      </c>
    </row>
    <row r="15" spans="2:33" ht="14.4" x14ac:dyDescent="0.25">
      <c r="B15">
        <f t="shared" si="0"/>
        <v>2</v>
      </c>
      <c r="C15">
        <f t="shared" si="1"/>
        <v>2027</v>
      </c>
      <c r="D15" t="str">
        <f t="shared" si="4"/>
        <v>22027SA</v>
      </c>
      <c r="E15" s="68">
        <v>46419</v>
      </c>
      <c r="F15" s="73"/>
      <c r="G15" s="39" t="s">
        <v>60</v>
      </c>
      <c r="H15" s="39">
        <v>4</v>
      </c>
      <c r="I15" s="65">
        <v>4148.3428122600526</v>
      </c>
      <c r="J15" s="65">
        <v>4148.3428122600526</v>
      </c>
      <c r="K15" s="65">
        <v>4148.3428122600526</v>
      </c>
      <c r="L15" s="65">
        <v>4148.3428122600526</v>
      </c>
      <c r="M15" s="65">
        <v>4148.3428122600526</v>
      </c>
      <c r="N15" s="65">
        <v>4148.3428122600526</v>
      </c>
      <c r="O15" s="65">
        <v>4148.3428122600526</v>
      </c>
      <c r="P15" s="65">
        <v>4148.3428122600526</v>
      </c>
      <c r="Q15" s="65">
        <v>4148.3428122600526</v>
      </c>
      <c r="R15" s="65">
        <v>4148.3428122600526</v>
      </c>
      <c r="S15" s="65">
        <v>4148.3428122600526</v>
      </c>
      <c r="T15" s="65">
        <v>4148.3428122600526</v>
      </c>
      <c r="U15" s="65">
        <v>4148.3428122600526</v>
      </c>
      <c r="V15" s="65">
        <v>4148.3428122600526</v>
      </c>
      <c r="W15" s="65">
        <v>4148.3428122600526</v>
      </c>
      <c r="X15" s="65">
        <v>4148.3428122600526</v>
      </c>
      <c r="Y15" s="65">
        <v>4148.3428122600526</v>
      </c>
      <c r="Z15" s="65">
        <v>4148.3428122600526</v>
      </c>
      <c r="AA15" s="65">
        <v>4148.3428122600526</v>
      </c>
      <c r="AB15" s="65">
        <v>4148.3428122600526</v>
      </c>
      <c r="AC15" s="65">
        <v>4148.3428122600526</v>
      </c>
      <c r="AD15" s="65">
        <v>4148.3428122600526</v>
      </c>
      <c r="AE15" s="65">
        <v>4148.3428122600526</v>
      </c>
      <c r="AF15" s="65">
        <v>4148.3428122600526</v>
      </c>
      <c r="AG15" s="40">
        <f>+SUM(I15:AF15)*H15</f>
        <v>398240.90997696528</v>
      </c>
    </row>
    <row r="16" spans="2:33" ht="14.4" x14ac:dyDescent="0.25">
      <c r="B16">
        <f t="shared" si="0"/>
        <v>2</v>
      </c>
      <c r="C16">
        <f t="shared" si="1"/>
        <v>2027</v>
      </c>
      <c r="D16" t="str">
        <f t="shared" si="4"/>
        <v>22027DO</v>
      </c>
      <c r="E16" s="68">
        <v>46419</v>
      </c>
      <c r="F16" s="73"/>
      <c r="G16" s="41" t="s">
        <v>58</v>
      </c>
      <c r="H16" s="41">
        <v>4</v>
      </c>
      <c r="I16" s="65">
        <v>4148.3428122600526</v>
      </c>
      <c r="J16" s="65">
        <v>4148.3428122600526</v>
      </c>
      <c r="K16" s="65">
        <v>4148.3428122600526</v>
      </c>
      <c r="L16" s="65">
        <v>4148.3428122600526</v>
      </c>
      <c r="M16" s="65">
        <v>4148.3428122600526</v>
      </c>
      <c r="N16" s="65">
        <v>4148.3428122600526</v>
      </c>
      <c r="O16" s="65">
        <v>4148.3428122600526</v>
      </c>
      <c r="P16" s="65">
        <v>4148.3428122600526</v>
      </c>
      <c r="Q16" s="65">
        <v>4148.3428122600526</v>
      </c>
      <c r="R16" s="65">
        <v>4148.3428122600526</v>
      </c>
      <c r="S16" s="65">
        <v>4148.3428122600526</v>
      </c>
      <c r="T16" s="65">
        <v>4148.3428122600526</v>
      </c>
      <c r="U16" s="65">
        <v>4148.3428122600526</v>
      </c>
      <c r="V16" s="65">
        <v>4148.3428122600526</v>
      </c>
      <c r="W16" s="65">
        <v>4148.3428122600526</v>
      </c>
      <c r="X16" s="65">
        <v>4148.3428122600526</v>
      </c>
      <c r="Y16" s="65">
        <v>4148.3428122600526</v>
      </c>
      <c r="Z16" s="65">
        <v>4148.3428122600526</v>
      </c>
      <c r="AA16" s="65">
        <v>4148.3428122600526</v>
      </c>
      <c r="AB16" s="65">
        <v>4148.3428122600526</v>
      </c>
      <c r="AC16" s="65">
        <v>4148.3428122600526</v>
      </c>
      <c r="AD16" s="65">
        <v>4148.3428122600526</v>
      </c>
      <c r="AE16" s="65">
        <v>4148.3428122600526</v>
      </c>
      <c r="AF16" s="65">
        <v>4148.3428122600526</v>
      </c>
      <c r="AG16" s="40">
        <f>+SUM(I16:AF16)*H16</f>
        <v>398240.90997696528</v>
      </c>
    </row>
    <row r="17" spans="2:33" ht="14.4" x14ac:dyDescent="0.25">
      <c r="B17">
        <f t="shared" si="0"/>
        <v>2</v>
      </c>
      <c r="C17">
        <f t="shared" si="1"/>
        <v>2027</v>
      </c>
      <c r="D17" t="str">
        <f t="shared" si="4"/>
        <v>22027FE</v>
      </c>
      <c r="E17" s="68">
        <v>46419</v>
      </c>
      <c r="F17" s="73"/>
      <c r="G17" s="42" t="s">
        <v>59</v>
      </c>
      <c r="H17" s="42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43">
        <f>+SUM(I17:AF17)*H17</f>
        <v>0</v>
      </c>
    </row>
    <row r="18" spans="2:33" ht="15" thickBot="1" x14ac:dyDescent="0.3">
      <c r="B18">
        <f t="shared" si="0"/>
        <v>2</v>
      </c>
      <c r="C18">
        <f t="shared" si="1"/>
        <v>2027</v>
      </c>
      <c r="D18" t="str">
        <f>+_xlfn.CONCAT(E18,G18)</f>
        <v>46419TOTAL</v>
      </c>
      <c r="E18" s="68">
        <v>46419</v>
      </c>
      <c r="F18" s="61"/>
      <c r="G18" s="44" t="s">
        <v>10</v>
      </c>
      <c r="H18" s="44">
        <f>+SUM(H14:H17)</f>
        <v>28</v>
      </c>
      <c r="I18" s="45">
        <f t="shared" ref="I18:AF18" si="5">+SUMPRODUCT(I14:I17,$H14:$H17)</f>
        <v>116153.5987432815</v>
      </c>
      <c r="J18" s="45">
        <f t="shared" si="5"/>
        <v>116153.5987432815</v>
      </c>
      <c r="K18" s="45">
        <f t="shared" si="5"/>
        <v>116153.5987432815</v>
      </c>
      <c r="L18" s="45">
        <f t="shared" si="5"/>
        <v>116153.5987432815</v>
      </c>
      <c r="M18" s="45">
        <f t="shared" si="5"/>
        <v>116153.5987432815</v>
      </c>
      <c r="N18" s="45">
        <f t="shared" si="5"/>
        <v>116153.5987432815</v>
      </c>
      <c r="O18" s="45">
        <f t="shared" si="5"/>
        <v>116153.5987432815</v>
      </c>
      <c r="P18" s="45">
        <f t="shared" si="5"/>
        <v>116153.5987432815</v>
      </c>
      <c r="Q18" s="45">
        <f t="shared" si="5"/>
        <v>116153.5987432815</v>
      </c>
      <c r="R18" s="45">
        <f t="shared" si="5"/>
        <v>116153.5987432815</v>
      </c>
      <c r="S18" s="45">
        <f t="shared" si="5"/>
        <v>116153.5987432815</v>
      </c>
      <c r="T18" s="45">
        <f t="shared" si="5"/>
        <v>116153.5987432815</v>
      </c>
      <c r="U18" s="45">
        <f t="shared" si="5"/>
        <v>116153.5987432815</v>
      </c>
      <c r="V18" s="45">
        <f t="shared" si="5"/>
        <v>116153.5987432815</v>
      </c>
      <c r="W18" s="45">
        <f t="shared" si="5"/>
        <v>116153.5987432815</v>
      </c>
      <c r="X18" s="45">
        <f t="shared" si="5"/>
        <v>116153.5987432815</v>
      </c>
      <c r="Y18" s="45">
        <f t="shared" si="5"/>
        <v>116153.5987432815</v>
      </c>
      <c r="Z18" s="45">
        <f t="shared" si="5"/>
        <v>116153.5987432815</v>
      </c>
      <c r="AA18" s="45">
        <f t="shared" si="5"/>
        <v>116153.5987432815</v>
      </c>
      <c r="AB18" s="45">
        <f t="shared" si="5"/>
        <v>116153.5987432815</v>
      </c>
      <c r="AC18" s="45">
        <f t="shared" si="5"/>
        <v>116153.5987432815</v>
      </c>
      <c r="AD18" s="45">
        <f t="shared" si="5"/>
        <v>116153.5987432815</v>
      </c>
      <c r="AE18" s="45">
        <f t="shared" si="5"/>
        <v>116153.5987432815</v>
      </c>
      <c r="AF18" s="45">
        <f t="shared" si="5"/>
        <v>116153.5987432815</v>
      </c>
      <c r="AG18" s="46">
        <f>SUM(I18:AF18)</f>
        <v>2787686.369838756</v>
      </c>
    </row>
    <row r="19" spans="2:33" ht="14.4" x14ac:dyDescent="0.25">
      <c r="B19">
        <f t="shared" si="0"/>
        <v>3</v>
      </c>
      <c r="C19">
        <f t="shared" si="1"/>
        <v>2027</v>
      </c>
      <c r="D19" t="str">
        <f t="shared" ref="D19:D22" si="6">+_xlfn.CONCAT(B19:C19,G19)</f>
        <v>32027OR</v>
      </c>
      <c r="E19" s="67">
        <v>46447</v>
      </c>
      <c r="F19" s="72">
        <f>+AG23</f>
        <v>3260243.7129053334</v>
      </c>
      <c r="G19" s="37" t="s">
        <v>57</v>
      </c>
      <c r="H19" s="37">
        <v>20</v>
      </c>
      <c r="I19" s="65">
        <v>4382.0480012168464</v>
      </c>
      <c r="J19" s="65">
        <v>4382.0480012168464</v>
      </c>
      <c r="K19" s="65">
        <v>4382.0480012168464</v>
      </c>
      <c r="L19" s="65">
        <v>4382.0480012168464</v>
      </c>
      <c r="M19" s="65">
        <v>4382.0480012168464</v>
      </c>
      <c r="N19" s="65">
        <v>4382.0480012168464</v>
      </c>
      <c r="O19" s="65">
        <v>4382.0480012168464</v>
      </c>
      <c r="P19" s="65">
        <v>4382.0480012168464</v>
      </c>
      <c r="Q19" s="65">
        <v>4382.0480012168464</v>
      </c>
      <c r="R19" s="65">
        <v>4382.0480012168464</v>
      </c>
      <c r="S19" s="65">
        <v>4382.0480012168464</v>
      </c>
      <c r="T19" s="65">
        <v>4382.0480012168464</v>
      </c>
      <c r="U19" s="65">
        <v>4382.0480012168464</v>
      </c>
      <c r="V19" s="65">
        <v>4382.0480012168464</v>
      </c>
      <c r="W19" s="65">
        <v>4382.0480012168464</v>
      </c>
      <c r="X19" s="65">
        <v>4382.0480012168464</v>
      </c>
      <c r="Y19" s="65">
        <v>4382.0480012168464</v>
      </c>
      <c r="Z19" s="65">
        <v>4382.0480012168464</v>
      </c>
      <c r="AA19" s="65">
        <v>4382.0480012168464</v>
      </c>
      <c r="AB19" s="65">
        <v>4382.0480012168464</v>
      </c>
      <c r="AC19" s="65">
        <v>4382.0480012168464</v>
      </c>
      <c r="AD19" s="65">
        <v>4382.0480012168464</v>
      </c>
      <c r="AE19" s="65">
        <v>4382.0480012168464</v>
      </c>
      <c r="AF19" s="65">
        <v>4382.0480012168464</v>
      </c>
      <c r="AG19" s="38">
        <f>+SUM(I19:AF19)*H19</f>
        <v>2103383.0405840855</v>
      </c>
    </row>
    <row r="20" spans="2:33" ht="14.4" x14ac:dyDescent="0.25">
      <c r="B20">
        <f t="shared" si="0"/>
        <v>3</v>
      </c>
      <c r="C20">
        <f t="shared" si="1"/>
        <v>2027</v>
      </c>
      <c r="D20" t="str">
        <f t="shared" si="6"/>
        <v>32027SA</v>
      </c>
      <c r="E20" s="68">
        <v>46447</v>
      </c>
      <c r="F20" s="73"/>
      <c r="G20" s="39" t="s">
        <v>60</v>
      </c>
      <c r="H20" s="39">
        <v>4</v>
      </c>
      <c r="I20" s="65">
        <v>4382.0480012168473</v>
      </c>
      <c r="J20" s="65">
        <v>4382.0480012168473</v>
      </c>
      <c r="K20" s="65">
        <v>4382.0480012168473</v>
      </c>
      <c r="L20" s="65">
        <v>4382.0480012168473</v>
      </c>
      <c r="M20" s="65">
        <v>4382.0480012168473</v>
      </c>
      <c r="N20" s="65">
        <v>4382.0480012168473</v>
      </c>
      <c r="O20" s="65">
        <v>4382.0480012168473</v>
      </c>
      <c r="P20" s="65">
        <v>4382.0480012168473</v>
      </c>
      <c r="Q20" s="65">
        <v>4382.0480012168473</v>
      </c>
      <c r="R20" s="65">
        <v>4382.0480012168473</v>
      </c>
      <c r="S20" s="65">
        <v>4382.0480012168473</v>
      </c>
      <c r="T20" s="65">
        <v>4382.0480012168473</v>
      </c>
      <c r="U20" s="65">
        <v>4382.0480012168473</v>
      </c>
      <c r="V20" s="65">
        <v>4382.0480012168473</v>
      </c>
      <c r="W20" s="65">
        <v>4382.0480012168473</v>
      </c>
      <c r="X20" s="65">
        <v>4382.0480012168473</v>
      </c>
      <c r="Y20" s="65">
        <v>4382.0480012168473</v>
      </c>
      <c r="Z20" s="65">
        <v>4382.0480012168473</v>
      </c>
      <c r="AA20" s="65">
        <v>4382.0480012168473</v>
      </c>
      <c r="AB20" s="65">
        <v>4382.0480012168473</v>
      </c>
      <c r="AC20" s="65">
        <v>4382.0480012168473</v>
      </c>
      <c r="AD20" s="65">
        <v>4382.0480012168473</v>
      </c>
      <c r="AE20" s="65">
        <v>4382.0480012168473</v>
      </c>
      <c r="AF20" s="65">
        <v>4382.0480012168473</v>
      </c>
      <c r="AG20" s="40">
        <f>+SUM(I20:AF20)*H20</f>
        <v>420676.60811681714</v>
      </c>
    </row>
    <row r="21" spans="2:33" ht="14.4" x14ac:dyDescent="0.25">
      <c r="B21">
        <f t="shared" si="0"/>
        <v>3</v>
      </c>
      <c r="C21">
        <f t="shared" si="1"/>
        <v>2027</v>
      </c>
      <c r="D21" t="str">
        <f t="shared" si="6"/>
        <v>32027DO</v>
      </c>
      <c r="E21" s="68">
        <v>46447</v>
      </c>
      <c r="F21" s="73"/>
      <c r="G21" s="41" t="s">
        <v>58</v>
      </c>
      <c r="H21" s="41">
        <v>4</v>
      </c>
      <c r="I21" s="65">
        <v>4382.0480012168473</v>
      </c>
      <c r="J21" s="65">
        <v>4382.0480012168473</v>
      </c>
      <c r="K21" s="65">
        <v>4382.0480012168473</v>
      </c>
      <c r="L21" s="65">
        <v>4382.0480012168473</v>
      </c>
      <c r="M21" s="65">
        <v>4382.0480012168473</v>
      </c>
      <c r="N21" s="65">
        <v>4382.0480012168473</v>
      </c>
      <c r="O21" s="65">
        <v>4382.0480012168473</v>
      </c>
      <c r="P21" s="65">
        <v>4382.0480012168473</v>
      </c>
      <c r="Q21" s="65">
        <v>4382.0480012168473</v>
      </c>
      <c r="R21" s="65">
        <v>4382.0480012168473</v>
      </c>
      <c r="S21" s="65">
        <v>4382.0480012168473</v>
      </c>
      <c r="T21" s="65">
        <v>4382.0480012168473</v>
      </c>
      <c r="U21" s="65">
        <v>4382.0480012168473</v>
      </c>
      <c r="V21" s="65">
        <v>4382.0480012168473</v>
      </c>
      <c r="W21" s="65">
        <v>4382.0480012168473</v>
      </c>
      <c r="X21" s="65">
        <v>4382.0480012168473</v>
      </c>
      <c r="Y21" s="65">
        <v>4382.0480012168473</v>
      </c>
      <c r="Z21" s="65">
        <v>4382.0480012168473</v>
      </c>
      <c r="AA21" s="65">
        <v>4382.0480012168473</v>
      </c>
      <c r="AB21" s="65">
        <v>4382.0480012168473</v>
      </c>
      <c r="AC21" s="65">
        <v>4382.0480012168473</v>
      </c>
      <c r="AD21" s="65">
        <v>4382.0480012168473</v>
      </c>
      <c r="AE21" s="65">
        <v>4382.0480012168473</v>
      </c>
      <c r="AF21" s="65">
        <v>4382.0480012168473</v>
      </c>
      <c r="AG21" s="40">
        <f>+SUM(I21:AF21)*H21</f>
        <v>420676.60811681714</v>
      </c>
    </row>
    <row r="22" spans="2:33" ht="14.4" x14ac:dyDescent="0.25">
      <c r="B22">
        <f t="shared" si="0"/>
        <v>3</v>
      </c>
      <c r="C22">
        <f t="shared" si="1"/>
        <v>2027</v>
      </c>
      <c r="D22" t="str">
        <f t="shared" si="6"/>
        <v>32027FE</v>
      </c>
      <c r="E22" s="68">
        <v>46447</v>
      </c>
      <c r="F22" s="73"/>
      <c r="G22" s="42" t="s">
        <v>59</v>
      </c>
      <c r="H22" s="42">
        <v>3</v>
      </c>
      <c r="I22" s="65">
        <v>4382.0480012168473</v>
      </c>
      <c r="J22" s="65">
        <v>4382.0480012168473</v>
      </c>
      <c r="K22" s="65">
        <v>4382.0480012168473</v>
      </c>
      <c r="L22" s="65">
        <v>4382.0480012168473</v>
      </c>
      <c r="M22" s="65">
        <v>4382.0480012168473</v>
      </c>
      <c r="N22" s="65">
        <v>4382.0480012168473</v>
      </c>
      <c r="O22" s="65">
        <v>4382.0480012168473</v>
      </c>
      <c r="P22" s="65">
        <v>4382.0480012168473</v>
      </c>
      <c r="Q22" s="65">
        <v>4382.0480012168473</v>
      </c>
      <c r="R22" s="65">
        <v>4382.0480012168473</v>
      </c>
      <c r="S22" s="65">
        <v>4382.0480012168473</v>
      </c>
      <c r="T22" s="65">
        <v>4382.0480012168473</v>
      </c>
      <c r="U22" s="65">
        <v>4382.0480012168473</v>
      </c>
      <c r="V22" s="65">
        <v>4382.0480012168473</v>
      </c>
      <c r="W22" s="65">
        <v>4382.0480012168473</v>
      </c>
      <c r="X22" s="65">
        <v>4382.0480012168473</v>
      </c>
      <c r="Y22" s="65">
        <v>4382.0480012168473</v>
      </c>
      <c r="Z22" s="65">
        <v>4382.0480012168473</v>
      </c>
      <c r="AA22" s="65">
        <v>4382.0480012168473</v>
      </c>
      <c r="AB22" s="65">
        <v>4382.0480012168473</v>
      </c>
      <c r="AC22" s="65">
        <v>4382.0480012168473</v>
      </c>
      <c r="AD22" s="65">
        <v>4382.0480012168473</v>
      </c>
      <c r="AE22" s="65">
        <v>4382.0480012168473</v>
      </c>
      <c r="AF22" s="65">
        <v>4382.0480012168473</v>
      </c>
      <c r="AG22" s="43">
        <f>+SUM(I22:AF22)*H22</f>
        <v>315507.45608761284</v>
      </c>
    </row>
    <row r="23" spans="2:33" ht="15" thickBot="1" x14ac:dyDescent="0.3">
      <c r="B23">
        <f t="shared" si="0"/>
        <v>3</v>
      </c>
      <c r="C23">
        <f t="shared" si="1"/>
        <v>2027</v>
      </c>
      <c r="D23" t="str">
        <f>+_xlfn.CONCAT(E23,G23)</f>
        <v>46447TOTAL</v>
      </c>
      <c r="E23" s="68">
        <v>46447</v>
      </c>
      <c r="F23" s="61"/>
      <c r="G23" s="44" t="s">
        <v>10</v>
      </c>
      <c r="H23" s="44">
        <f>+SUM(H19:H22)</f>
        <v>31</v>
      </c>
      <c r="I23" s="45">
        <f t="shared" ref="I23:AF23" si="7">+SUMPRODUCT(I19:I22,$H19:$H22)</f>
        <v>135843.48803772227</v>
      </c>
      <c r="J23" s="45">
        <f t="shared" si="7"/>
        <v>135843.48803772227</v>
      </c>
      <c r="K23" s="45">
        <f t="shared" si="7"/>
        <v>135843.48803772227</v>
      </c>
      <c r="L23" s="45">
        <f t="shared" si="7"/>
        <v>135843.48803772227</v>
      </c>
      <c r="M23" s="45">
        <f t="shared" si="7"/>
        <v>135843.48803772227</v>
      </c>
      <c r="N23" s="45">
        <f t="shared" si="7"/>
        <v>135843.48803772227</v>
      </c>
      <c r="O23" s="45">
        <f t="shared" si="7"/>
        <v>135843.48803772227</v>
      </c>
      <c r="P23" s="45">
        <f t="shared" si="7"/>
        <v>135843.48803772227</v>
      </c>
      <c r="Q23" s="45">
        <f t="shared" si="7"/>
        <v>135843.48803772227</v>
      </c>
      <c r="R23" s="45">
        <f t="shared" si="7"/>
        <v>135843.48803772227</v>
      </c>
      <c r="S23" s="45">
        <f t="shared" si="7"/>
        <v>135843.48803772227</v>
      </c>
      <c r="T23" s="45">
        <f t="shared" si="7"/>
        <v>135843.48803772227</v>
      </c>
      <c r="U23" s="45">
        <f t="shared" si="7"/>
        <v>135843.48803772227</v>
      </c>
      <c r="V23" s="45">
        <f t="shared" si="7"/>
        <v>135843.48803772227</v>
      </c>
      <c r="W23" s="45">
        <f t="shared" si="7"/>
        <v>135843.48803772227</v>
      </c>
      <c r="X23" s="45">
        <f t="shared" si="7"/>
        <v>135843.48803772227</v>
      </c>
      <c r="Y23" s="45">
        <f t="shared" si="7"/>
        <v>135843.48803772227</v>
      </c>
      <c r="Z23" s="45">
        <f t="shared" si="7"/>
        <v>135843.48803772227</v>
      </c>
      <c r="AA23" s="45">
        <f t="shared" si="7"/>
        <v>135843.48803772227</v>
      </c>
      <c r="AB23" s="45">
        <f t="shared" si="7"/>
        <v>135843.48803772227</v>
      </c>
      <c r="AC23" s="45">
        <f t="shared" si="7"/>
        <v>135843.48803772227</v>
      </c>
      <c r="AD23" s="45">
        <f t="shared" si="7"/>
        <v>135843.48803772227</v>
      </c>
      <c r="AE23" s="45">
        <f t="shared" si="7"/>
        <v>135843.48803772227</v>
      </c>
      <c r="AF23" s="45">
        <f t="shared" si="7"/>
        <v>135843.48803772227</v>
      </c>
      <c r="AG23" s="46">
        <f>SUM(I23:AF23)</f>
        <v>3260243.7129053334</v>
      </c>
    </row>
    <row r="24" spans="2:33" ht="14.4" x14ac:dyDescent="0.25">
      <c r="B24">
        <f t="shared" si="0"/>
        <v>4</v>
      </c>
      <c r="C24">
        <f t="shared" si="1"/>
        <v>2027</v>
      </c>
      <c r="D24" t="str">
        <f t="shared" ref="D24:D27" si="8">+_xlfn.CONCAT(B24:C24,G24)</f>
        <v>42027OR</v>
      </c>
      <c r="E24" s="67">
        <v>46478</v>
      </c>
      <c r="F24" s="72">
        <f>+AG28</f>
        <v>4045630.7247706582</v>
      </c>
      <c r="G24" s="37" t="s">
        <v>57</v>
      </c>
      <c r="H24" s="37">
        <v>22</v>
      </c>
      <c r="I24" s="65">
        <v>5618.9315621814712</v>
      </c>
      <c r="J24" s="65">
        <v>5618.9315621814712</v>
      </c>
      <c r="K24" s="65">
        <v>5618.9315621814712</v>
      </c>
      <c r="L24" s="65">
        <v>5618.9315621814712</v>
      </c>
      <c r="M24" s="65">
        <v>5618.9315621814712</v>
      </c>
      <c r="N24" s="65">
        <v>5618.9315621814712</v>
      </c>
      <c r="O24" s="65">
        <v>5618.9315621814712</v>
      </c>
      <c r="P24" s="65">
        <v>5618.9315621814712</v>
      </c>
      <c r="Q24" s="65">
        <v>5618.9315621814712</v>
      </c>
      <c r="R24" s="65">
        <v>5618.9315621814712</v>
      </c>
      <c r="S24" s="65">
        <v>5618.9315621814712</v>
      </c>
      <c r="T24" s="65">
        <v>5618.9315621814712</v>
      </c>
      <c r="U24" s="65">
        <v>5618.9315621814712</v>
      </c>
      <c r="V24" s="65">
        <v>5618.9315621814712</v>
      </c>
      <c r="W24" s="65">
        <v>5618.9315621814712</v>
      </c>
      <c r="X24" s="65">
        <v>5618.9315621814712</v>
      </c>
      <c r="Y24" s="65">
        <v>5618.9315621814712</v>
      </c>
      <c r="Z24" s="65">
        <v>5618.9315621814712</v>
      </c>
      <c r="AA24" s="65">
        <v>5618.9315621814712</v>
      </c>
      <c r="AB24" s="65">
        <v>5618.9315621814712</v>
      </c>
      <c r="AC24" s="65">
        <v>5618.9315621814712</v>
      </c>
      <c r="AD24" s="65">
        <v>5618.9315621814712</v>
      </c>
      <c r="AE24" s="65">
        <v>5618.9315621814712</v>
      </c>
      <c r="AF24" s="65">
        <v>5618.9315621814712</v>
      </c>
      <c r="AG24" s="38">
        <f>+SUM(I24:AF24)*H24</f>
        <v>2966795.8648318183</v>
      </c>
    </row>
    <row r="25" spans="2:33" ht="14.4" x14ac:dyDescent="0.25">
      <c r="B25">
        <f t="shared" si="0"/>
        <v>4</v>
      </c>
      <c r="C25">
        <f t="shared" si="1"/>
        <v>2027</v>
      </c>
      <c r="D25" t="str">
        <f t="shared" si="8"/>
        <v>42027SA</v>
      </c>
      <c r="E25" s="68">
        <v>46478</v>
      </c>
      <c r="F25" s="73"/>
      <c r="G25" s="39" t="s">
        <v>60</v>
      </c>
      <c r="H25" s="39">
        <v>4</v>
      </c>
      <c r="I25" s="65">
        <v>5618.9315621814685</v>
      </c>
      <c r="J25" s="65">
        <v>5618.9315621814685</v>
      </c>
      <c r="K25" s="65">
        <v>5618.9315621814685</v>
      </c>
      <c r="L25" s="65">
        <v>5618.9315621814685</v>
      </c>
      <c r="M25" s="65">
        <v>5618.9315621814685</v>
      </c>
      <c r="N25" s="65">
        <v>5618.9315621814685</v>
      </c>
      <c r="O25" s="65">
        <v>5618.9315621814685</v>
      </c>
      <c r="P25" s="65">
        <v>5618.9315621814685</v>
      </c>
      <c r="Q25" s="65">
        <v>5618.9315621814685</v>
      </c>
      <c r="R25" s="65">
        <v>5618.9315621814685</v>
      </c>
      <c r="S25" s="65">
        <v>5618.9315621814685</v>
      </c>
      <c r="T25" s="65">
        <v>5618.9315621814685</v>
      </c>
      <c r="U25" s="65">
        <v>5618.9315621814685</v>
      </c>
      <c r="V25" s="65">
        <v>5618.9315621814685</v>
      </c>
      <c r="W25" s="65">
        <v>5618.9315621814685</v>
      </c>
      <c r="X25" s="65">
        <v>5618.9315621814685</v>
      </c>
      <c r="Y25" s="65">
        <v>5618.9315621814685</v>
      </c>
      <c r="Z25" s="65">
        <v>5618.9315621814685</v>
      </c>
      <c r="AA25" s="65">
        <v>5618.9315621814685</v>
      </c>
      <c r="AB25" s="65">
        <v>5618.9315621814685</v>
      </c>
      <c r="AC25" s="65">
        <v>5618.9315621814685</v>
      </c>
      <c r="AD25" s="65">
        <v>5618.9315621814685</v>
      </c>
      <c r="AE25" s="65">
        <v>5618.9315621814685</v>
      </c>
      <c r="AF25" s="65">
        <v>5618.9315621814685</v>
      </c>
      <c r="AG25" s="40">
        <f>+SUM(I25:AF25)*H25</f>
        <v>539417.42996942124</v>
      </c>
    </row>
    <row r="26" spans="2:33" ht="14.4" x14ac:dyDescent="0.25">
      <c r="B26">
        <f t="shared" si="0"/>
        <v>4</v>
      </c>
      <c r="C26">
        <f t="shared" si="1"/>
        <v>2027</v>
      </c>
      <c r="D26" t="str">
        <f t="shared" si="8"/>
        <v>42027DO</v>
      </c>
      <c r="E26" s="68">
        <v>46478</v>
      </c>
      <c r="F26" s="73"/>
      <c r="G26" s="41" t="s">
        <v>58</v>
      </c>
      <c r="H26" s="41">
        <v>4</v>
      </c>
      <c r="I26" s="65">
        <v>5618.9315621814685</v>
      </c>
      <c r="J26" s="65">
        <v>5618.9315621814685</v>
      </c>
      <c r="K26" s="65">
        <v>5618.9315621814685</v>
      </c>
      <c r="L26" s="65">
        <v>5618.9315621814685</v>
      </c>
      <c r="M26" s="65">
        <v>5618.9315621814685</v>
      </c>
      <c r="N26" s="65">
        <v>5618.9315621814685</v>
      </c>
      <c r="O26" s="65">
        <v>5618.9315621814685</v>
      </c>
      <c r="P26" s="65">
        <v>5618.9315621814685</v>
      </c>
      <c r="Q26" s="65">
        <v>5618.9315621814685</v>
      </c>
      <c r="R26" s="65">
        <v>5618.9315621814685</v>
      </c>
      <c r="S26" s="65">
        <v>5618.9315621814685</v>
      </c>
      <c r="T26" s="65">
        <v>5618.9315621814685</v>
      </c>
      <c r="U26" s="65">
        <v>5618.9315621814685</v>
      </c>
      <c r="V26" s="65">
        <v>5618.9315621814685</v>
      </c>
      <c r="W26" s="65">
        <v>5618.9315621814685</v>
      </c>
      <c r="X26" s="65">
        <v>5618.9315621814685</v>
      </c>
      <c r="Y26" s="65">
        <v>5618.9315621814685</v>
      </c>
      <c r="Z26" s="65">
        <v>5618.9315621814685</v>
      </c>
      <c r="AA26" s="65">
        <v>5618.9315621814685</v>
      </c>
      <c r="AB26" s="65">
        <v>5618.9315621814685</v>
      </c>
      <c r="AC26" s="65">
        <v>5618.9315621814685</v>
      </c>
      <c r="AD26" s="65">
        <v>5618.9315621814685</v>
      </c>
      <c r="AE26" s="65">
        <v>5618.9315621814685</v>
      </c>
      <c r="AF26" s="65">
        <v>5618.9315621814685</v>
      </c>
      <c r="AG26" s="40">
        <f>+SUM(I26:AF26)*H26</f>
        <v>539417.42996942124</v>
      </c>
    </row>
    <row r="27" spans="2:33" ht="14.4" x14ac:dyDescent="0.25">
      <c r="B27">
        <f t="shared" si="0"/>
        <v>4</v>
      </c>
      <c r="C27">
        <f t="shared" si="1"/>
        <v>2027</v>
      </c>
      <c r="D27" t="str">
        <f t="shared" si="8"/>
        <v>42027FE</v>
      </c>
      <c r="E27" s="68">
        <v>46478</v>
      </c>
      <c r="F27" s="73"/>
      <c r="G27" s="42" t="s">
        <v>59</v>
      </c>
      <c r="H27" s="42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43">
        <f>+SUM(I27:AF27)*H27</f>
        <v>0</v>
      </c>
    </row>
    <row r="28" spans="2:33" ht="15" thickBot="1" x14ac:dyDescent="0.3">
      <c r="B28">
        <f t="shared" si="0"/>
        <v>4</v>
      </c>
      <c r="C28">
        <f t="shared" si="1"/>
        <v>2027</v>
      </c>
      <c r="D28" t="str">
        <f>+_xlfn.CONCAT(E28,G28)</f>
        <v>46478TOTAL</v>
      </c>
      <c r="E28" s="68">
        <v>46478</v>
      </c>
      <c r="F28" s="61"/>
      <c r="G28" s="44" t="s">
        <v>10</v>
      </c>
      <c r="H28" s="44">
        <f>+SUM(H24:H27)</f>
        <v>30</v>
      </c>
      <c r="I28" s="45">
        <f t="shared" ref="I28:AF28" si="9">+SUMPRODUCT(I24:I27,$H24:$H27)</f>
        <v>168567.9468654441</v>
      </c>
      <c r="J28" s="45">
        <f t="shared" si="9"/>
        <v>168567.9468654441</v>
      </c>
      <c r="K28" s="45">
        <f t="shared" si="9"/>
        <v>168567.9468654441</v>
      </c>
      <c r="L28" s="45">
        <f t="shared" si="9"/>
        <v>168567.9468654441</v>
      </c>
      <c r="M28" s="45">
        <f t="shared" si="9"/>
        <v>168567.9468654441</v>
      </c>
      <c r="N28" s="45">
        <f t="shared" si="9"/>
        <v>168567.9468654441</v>
      </c>
      <c r="O28" s="45">
        <f t="shared" si="9"/>
        <v>168567.9468654441</v>
      </c>
      <c r="P28" s="45">
        <f t="shared" si="9"/>
        <v>168567.9468654441</v>
      </c>
      <c r="Q28" s="45">
        <f t="shared" si="9"/>
        <v>168567.9468654441</v>
      </c>
      <c r="R28" s="45">
        <f t="shared" si="9"/>
        <v>168567.9468654441</v>
      </c>
      <c r="S28" s="45">
        <f t="shared" si="9"/>
        <v>168567.9468654441</v>
      </c>
      <c r="T28" s="45">
        <f t="shared" si="9"/>
        <v>168567.9468654441</v>
      </c>
      <c r="U28" s="45">
        <f t="shared" si="9"/>
        <v>168567.9468654441</v>
      </c>
      <c r="V28" s="45">
        <f t="shared" si="9"/>
        <v>168567.9468654441</v>
      </c>
      <c r="W28" s="45">
        <f t="shared" si="9"/>
        <v>168567.9468654441</v>
      </c>
      <c r="X28" s="45">
        <f t="shared" si="9"/>
        <v>168567.9468654441</v>
      </c>
      <c r="Y28" s="45">
        <f t="shared" si="9"/>
        <v>168567.9468654441</v>
      </c>
      <c r="Z28" s="45">
        <f t="shared" si="9"/>
        <v>168567.9468654441</v>
      </c>
      <c r="AA28" s="45">
        <f t="shared" si="9"/>
        <v>168567.9468654441</v>
      </c>
      <c r="AB28" s="45">
        <f t="shared" si="9"/>
        <v>168567.9468654441</v>
      </c>
      <c r="AC28" s="45">
        <f t="shared" si="9"/>
        <v>168567.9468654441</v>
      </c>
      <c r="AD28" s="45">
        <f t="shared" si="9"/>
        <v>168567.9468654441</v>
      </c>
      <c r="AE28" s="45">
        <f t="shared" si="9"/>
        <v>168567.9468654441</v>
      </c>
      <c r="AF28" s="45">
        <f t="shared" si="9"/>
        <v>168567.9468654441</v>
      </c>
      <c r="AG28" s="46">
        <f>SUM(I28:AF28)</f>
        <v>4045630.7247706582</v>
      </c>
    </row>
    <row r="29" spans="2:33" ht="14.4" x14ac:dyDescent="0.25">
      <c r="B29">
        <f t="shared" si="0"/>
        <v>5</v>
      </c>
      <c r="C29">
        <f t="shared" si="1"/>
        <v>2027</v>
      </c>
      <c r="D29" t="str">
        <f t="shared" ref="D29:D32" si="10">+_xlfn.CONCAT(B29:C29,G29)</f>
        <v>52027OR</v>
      </c>
      <c r="E29" s="67">
        <v>46508</v>
      </c>
      <c r="F29" s="72">
        <f>+AG33</f>
        <v>4895874.0389043558</v>
      </c>
      <c r="G29" s="37" t="s">
        <v>57</v>
      </c>
      <c r="H29" s="37">
        <v>19</v>
      </c>
      <c r="I29" s="65">
        <v>6580.4758587424139</v>
      </c>
      <c r="J29" s="65">
        <v>6580.4758587424139</v>
      </c>
      <c r="K29" s="65">
        <v>6580.4758587424139</v>
      </c>
      <c r="L29" s="65">
        <v>6580.4758587424139</v>
      </c>
      <c r="M29" s="65">
        <v>6580.4758587424139</v>
      </c>
      <c r="N29" s="65">
        <v>6580.4758587424139</v>
      </c>
      <c r="O29" s="65">
        <v>6580.4758587424139</v>
      </c>
      <c r="P29" s="65">
        <v>6580.4758587424139</v>
      </c>
      <c r="Q29" s="65">
        <v>6580.4758587424139</v>
      </c>
      <c r="R29" s="65">
        <v>6580.4758587424139</v>
      </c>
      <c r="S29" s="65">
        <v>6580.4758587424139</v>
      </c>
      <c r="T29" s="65">
        <v>6580.4758587424139</v>
      </c>
      <c r="U29" s="65">
        <v>6580.4758587424139</v>
      </c>
      <c r="V29" s="65">
        <v>6580.4758587424139</v>
      </c>
      <c r="W29" s="65">
        <v>6580.4758587424139</v>
      </c>
      <c r="X29" s="65">
        <v>6580.4758587424139</v>
      </c>
      <c r="Y29" s="65">
        <v>6580.4758587424139</v>
      </c>
      <c r="Z29" s="65">
        <v>6580.4758587424139</v>
      </c>
      <c r="AA29" s="65">
        <v>6580.4758587424139</v>
      </c>
      <c r="AB29" s="65">
        <v>6580.4758587424139</v>
      </c>
      <c r="AC29" s="65">
        <v>6580.4758587424139</v>
      </c>
      <c r="AD29" s="65">
        <v>6580.4758587424139</v>
      </c>
      <c r="AE29" s="65">
        <v>6580.4758587424139</v>
      </c>
      <c r="AF29" s="65">
        <v>6580.4758587424139</v>
      </c>
      <c r="AG29" s="38">
        <f>+SUM(I29:AF29)*H29</f>
        <v>3000696.9915865394</v>
      </c>
    </row>
    <row r="30" spans="2:33" ht="14.4" x14ac:dyDescent="0.25">
      <c r="B30">
        <f t="shared" si="0"/>
        <v>5</v>
      </c>
      <c r="C30">
        <f t="shared" si="1"/>
        <v>2027</v>
      </c>
      <c r="D30" t="str">
        <f t="shared" si="10"/>
        <v>52027SA</v>
      </c>
      <c r="E30" s="68">
        <v>46508</v>
      </c>
      <c r="F30" s="73"/>
      <c r="G30" s="39" t="s">
        <v>60</v>
      </c>
      <c r="H30" s="39">
        <v>4</v>
      </c>
      <c r="I30" s="65">
        <v>6580.4758587424112</v>
      </c>
      <c r="J30" s="65">
        <v>6580.4758587424112</v>
      </c>
      <c r="K30" s="65">
        <v>6580.4758587424112</v>
      </c>
      <c r="L30" s="65">
        <v>6580.4758587424112</v>
      </c>
      <c r="M30" s="65">
        <v>6580.4758587424112</v>
      </c>
      <c r="N30" s="65">
        <v>6580.4758587424112</v>
      </c>
      <c r="O30" s="65">
        <v>6580.4758587424112</v>
      </c>
      <c r="P30" s="65">
        <v>6580.4758587424112</v>
      </c>
      <c r="Q30" s="65">
        <v>6580.4758587424112</v>
      </c>
      <c r="R30" s="65">
        <v>6580.4758587424112</v>
      </c>
      <c r="S30" s="65">
        <v>6580.4758587424112</v>
      </c>
      <c r="T30" s="65">
        <v>6580.4758587424112</v>
      </c>
      <c r="U30" s="65">
        <v>6580.4758587424112</v>
      </c>
      <c r="V30" s="65">
        <v>6580.4758587424112</v>
      </c>
      <c r="W30" s="65">
        <v>6580.4758587424112</v>
      </c>
      <c r="X30" s="65">
        <v>6580.4758587424112</v>
      </c>
      <c r="Y30" s="65">
        <v>6580.4758587424112</v>
      </c>
      <c r="Z30" s="65">
        <v>6580.4758587424112</v>
      </c>
      <c r="AA30" s="65">
        <v>6580.4758587424112</v>
      </c>
      <c r="AB30" s="65">
        <v>6580.4758587424112</v>
      </c>
      <c r="AC30" s="65">
        <v>6580.4758587424112</v>
      </c>
      <c r="AD30" s="65">
        <v>6580.4758587424112</v>
      </c>
      <c r="AE30" s="65">
        <v>6580.4758587424112</v>
      </c>
      <c r="AF30" s="65">
        <v>6580.4758587424112</v>
      </c>
      <c r="AG30" s="40">
        <f>+SUM(I30:AF30)*H30</f>
        <v>631725.68243927148</v>
      </c>
    </row>
    <row r="31" spans="2:33" ht="14.4" x14ac:dyDescent="0.25">
      <c r="B31">
        <f t="shared" si="0"/>
        <v>5</v>
      </c>
      <c r="C31">
        <f t="shared" si="1"/>
        <v>2027</v>
      </c>
      <c r="D31" t="str">
        <f t="shared" si="10"/>
        <v>52027DO</v>
      </c>
      <c r="E31" s="68">
        <v>46508</v>
      </c>
      <c r="F31" s="73"/>
      <c r="G31" s="41" t="s">
        <v>58</v>
      </c>
      <c r="H31" s="41">
        <v>5</v>
      </c>
      <c r="I31" s="65">
        <v>6580.4758587424121</v>
      </c>
      <c r="J31" s="65">
        <v>6580.4758587424121</v>
      </c>
      <c r="K31" s="65">
        <v>6580.4758587424121</v>
      </c>
      <c r="L31" s="65">
        <v>6580.4758587424121</v>
      </c>
      <c r="M31" s="65">
        <v>6580.4758587424121</v>
      </c>
      <c r="N31" s="65">
        <v>6580.4758587424121</v>
      </c>
      <c r="O31" s="65">
        <v>6580.4758587424121</v>
      </c>
      <c r="P31" s="65">
        <v>6580.4758587424121</v>
      </c>
      <c r="Q31" s="65">
        <v>6580.4758587424121</v>
      </c>
      <c r="R31" s="65">
        <v>6580.4758587424121</v>
      </c>
      <c r="S31" s="65">
        <v>6580.4758587424121</v>
      </c>
      <c r="T31" s="65">
        <v>6580.4758587424121</v>
      </c>
      <c r="U31" s="65">
        <v>6580.4758587424121</v>
      </c>
      <c r="V31" s="65">
        <v>6580.4758587424121</v>
      </c>
      <c r="W31" s="65">
        <v>6580.4758587424121</v>
      </c>
      <c r="X31" s="65">
        <v>6580.4758587424121</v>
      </c>
      <c r="Y31" s="65">
        <v>6580.4758587424121</v>
      </c>
      <c r="Z31" s="65">
        <v>6580.4758587424121</v>
      </c>
      <c r="AA31" s="65">
        <v>6580.4758587424121</v>
      </c>
      <c r="AB31" s="65">
        <v>6580.4758587424121</v>
      </c>
      <c r="AC31" s="65">
        <v>6580.4758587424121</v>
      </c>
      <c r="AD31" s="65">
        <v>6580.4758587424121</v>
      </c>
      <c r="AE31" s="65">
        <v>6580.4758587424121</v>
      </c>
      <c r="AF31" s="65">
        <v>6580.4758587424121</v>
      </c>
      <c r="AG31" s="40">
        <f>+SUM(I31:AF31)*H31</f>
        <v>789657.10304908932</v>
      </c>
    </row>
    <row r="32" spans="2:33" ht="14.4" x14ac:dyDescent="0.25">
      <c r="B32">
        <f t="shared" si="0"/>
        <v>5</v>
      </c>
      <c r="C32">
        <f t="shared" si="1"/>
        <v>2027</v>
      </c>
      <c r="D32" t="str">
        <f t="shared" si="10"/>
        <v>52027FE</v>
      </c>
      <c r="E32" s="68">
        <v>46508</v>
      </c>
      <c r="F32" s="73"/>
      <c r="G32" s="42" t="s">
        <v>59</v>
      </c>
      <c r="H32" s="42">
        <v>3</v>
      </c>
      <c r="I32" s="65">
        <v>6580.4758587424112</v>
      </c>
      <c r="J32" s="65">
        <v>6580.4758587424112</v>
      </c>
      <c r="K32" s="65">
        <v>6580.4758587424112</v>
      </c>
      <c r="L32" s="65">
        <v>6580.4758587424112</v>
      </c>
      <c r="M32" s="65">
        <v>6580.4758587424112</v>
      </c>
      <c r="N32" s="65">
        <v>6580.4758587424112</v>
      </c>
      <c r="O32" s="65">
        <v>6580.4758587424112</v>
      </c>
      <c r="P32" s="65">
        <v>6580.4758587424112</v>
      </c>
      <c r="Q32" s="65">
        <v>6580.4758587424112</v>
      </c>
      <c r="R32" s="65">
        <v>6580.4758587424112</v>
      </c>
      <c r="S32" s="65">
        <v>6580.4758587424112</v>
      </c>
      <c r="T32" s="65">
        <v>6580.4758587424112</v>
      </c>
      <c r="U32" s="65">
        <v>6580.4758587424112</v>
      </c>
      <c r="V32" s="65">
        <v>6580.4758587424112</v>
      </c>
      <c r="W32" s="65">
        <v>6580.4758587424112</v>
      </c>
      <c r="X32" s="65">
        <v>6580.4758587424112</v>
      </c>
      <c r="Y32" s="65">
        <v>6580.4758587424112</v>
      </c>
      <c r="Z32" s="65">
        <v>6580.4758587424112</v>
      </c>
      <c r="AA32" s="65">
        <v>6580.4758587424112</v>
      </c>
      <c r="AB32" s="65">
        <v>6580.4758587424112</v>
      </c>
      <c r="AC32" s="65">
        <v>6580.4758587424112</v>
      </c>
      <c r="AD32" s="65">
        <v>6580.4758587424112</v>
      </c>
      <c r="AE32" s="65">
        <v>6580.4758587424112</v>
      </c>
      <c r="AF32" s="65">
        <v>6580.4758587424112</v>
      </c>
      <c r="AG32" s="43">
        <f>+SUM(I32:AF32)*H32</f>
        <v>473794.26182945364</v>
      </c>
    </row>
    <row r="33" spans="2:33" ht="15" thickBot="1" x14ac:dyDescent="0.3">
      <c r="B33">
        <f t="shared" si="0"/>
        <v>5</v>
      </c>
      <c r="C33">
        <f t="shared" si="1"/>
        <v>2027</v>
      </c>
      <c r="D33" t="str">
        <f>+_xlfn.CONCAT(E33,G33)</f>
        <v>46508TOTAL</v>
      </c>
      <c r="E33" s="68">
        <v>46508</v>
      </c>
      <c r="F33" s="61"/>
      <c r="G33" s="44" t="s">
        <v>10</v>
      </c>
      <c r="H33" s="44">
        <f>+SUM(H29:H32)</f>
        <v>31</v>
      </c>
      <c r="I33" s="45">
        <f t="shared" ref="I33:AF33" si="11">+SUMPRODUCT(I29:I32,$H29:$H32)</f>
        <v>203994.75162101482</v>
      </c>
      <c r="J33" s="45">
        <f t="shared" si="11"/>
        <v>203994.75162101482</v>
      </c>
      <c r="K33" s="45">
        <f t="shared" si="11"/>
        <v>203994.75162101482</v>
      </c>
      <c r="L33" s="45">
        <f t="shared" si="11"/>
        <v>203994.75162101482</v>
      </c>
      <c r="M33" s="45">
        <f t="shared" si="11"/>
        <v>203994.75162101482</v>
      </c>
      <c r="N33" s="45">
        <f t="shared" si="11"/>
        <v>203994.75162101482</v>
      </c>
      <c r="O33" s="45">
        <f t="shared" si="11"/>
        <v>203994.75162101482</v>
      </c>
      <c r="P33" s="45">
        <f t="shared" si="11"/>
        <v>203994.75162101482</v>
      </c>
      <c r="Q33" s="45">
        <f t="shared" si="11"/>
        <v>203994.75162101482</v>
      </c>
      <c r="R33" s="45">
        <f t="shared" si="11"/>
        <v>203994.75162101482</v>
      </c>
      <c r="S33" s="45">
        <f t="shared" si="11"/>
        <v>203994.75162101482</v>
      </c>
      <c r="T33" s="45">
        <f t="shared" si="11"/>
        <v>203994.75162101482</v>
      </c>
      <c r="U33" s="45">
        <f t="shared" si="11"/>
        <v>203994.75162101482</v>
      </c>
      <c r="V33" s="45">
        <f t="shared" si="11"/>
        <v>203994.75162101482</v>
      </c>
      <c r="W33" s="45">
        <f t="shared" si="11"/>
        <v>203994.75162101482</v>
      </c>
      <c r="X33" s="45">
        <f t="shared" si="11"/>
        <v>203994.75162101482</v>
      </c>
      <c r="Y33" s="45">
        <f t="shared" si="11"/>
        <v>203994.75162101482</v>
      </c>
      <c r="Z33" s="45">
        <f t="shared" si="11"/>
        <v>203994.75162101482</v>
      </c>
      <c r="AA33" s="45">
        <f t="shared" si="11"/>
        <v>203994.75162101482</v>
      </c>
      <c r="AB33" s="45">
        <f t="shared" si="11"/>
        <v>203994.75162101482</v>
      </c>
      <c r="AC33" s="45">
        <f t="shared" si="11"/>
        <v>203994.75162101482</v>
      </c>
      <c r="AD33" s="45">
        <f t="shared" si="11"/>
        <v>203994.75162101482</v>
      </c>
      <c r="AE33" s="45">
        <f t="shared" si="11"/>
        <v>203994.75162101482</v>
      </c>
      <c r="AF33" s="45">
        <f t="shared" si="11"/>
        <v>203994.75162101482</v>
      </c>
      <c r="AG33" s="46">
        <f>SUM(I33:AF33)</f>
        <v>4895874.0389043558</v>
      </c>
    </row>
    <row r="34" spans="2:33" ht="14.4" x14ac:dyDescent="0.25">
      <c r="B34">
        <f t="shared" si="0"/>
        <v>6</v>
      </c>
      <c r="C34">
        <f t="shared" si="1"/>
        <v>2027</v>
      </c>
      <c r="D34" t="str">
        <f t="shared" ref="D34:D37" si="12">+_xlfn.CONCAT(B34:C34,G34)</f>
        <v>62027OR</v>
      </c>
      <c r="E34" s="67">
        <v>46539</v>
      </c>
      <c r="F34" s="72">
        <f>+AG38</f>
        <v>5151912.7736623567</v>
      </c>
      <c r="G34" s="37" t="s">
        <v>57</v>
      </c>
      <c r="H34" s="37">
        <v>21</v>
      </c>
      <c r="I34" s="65">
        <v>7155.4344078643817</v>
      </c>
      <c r="J34" s="65">
        <v>7155.4344078643817</v>
      </c>
      <c r="K34" s="65">
        <v>7155.4344078643817</v>
      </c>
      <c r="L34" s="65">
        <v>7155.4344078643817</v>
      </c>
      <c r="M34" s="65">
        <v>7155.4344078643817</v>
      </c>
      <c r="N34" s="65">
        <v>7155.4344078643817</v>
      </c>
      <c r="O34" s="65">
        <v>7155.4344078643817</v>
      </c>
      <c r="P34" s="65">
        <v>7155.4344078643817</v>
      </c>
      <c r="Q34" s="65">
        <v>7155.4344078643817</v>
      </c>
      <c r="R34" s="65">
        <v>7155.4344078643817</v>
      </c>
      <c r="S34" s="65">
        <v>7155.4344078643817</v>
      </c>
      <c r="T34" s="65">
        <v>7155.4344078643817</v>
      </c>
      <c r="U34" s="65">
        <v>7155.4344078643817</v>
      </c>
      <c r="V34" s="65">
        <v>7155.4344078643817</v>
      </c>
      <c r="W34" s="65">
        <v>7155.4344078643817</v>
      </c>
      <c r="X34" s="65">
        <v>7155.4344078643817</v>
      </c>
      <c r="Y34" s="65">
        <v>7155.4344078643817</v>
      </c>
      <c r="Z34" s="65">
        <v>7155.4344078643817</v>
      </c>
      <c r="AA34" s="65">
        <v>7155.4344078643817</v>
      </c>
      <c r="AB34" s="65">
        <v>7155.4344078643817</v>
      </c>
      <c r="AC34" s="65">
        <v>7155.4344078643817</v>
      </c>
      <c r="AD34" s="65">
        <v>7155.4344078643817</v>
      </c>
      <c r="AE34" s="65">
        <v>7155.4344078643817</v>
      </c>
      <c r="AF34" s="65">
        <v>7155.4344078643817</v>
      </c>
      <c r="AG34" s="38">
        <f>+SUM(I34:AF34)*H34</f>
        <v>3606338.9415636472</v>
      </c>
    </row>
    <row r="35" spans="2:33" ht="14.4" x14ac:dyDescent="0.25">
      <c r="B35">
        <f t="shared" si="0"/>
        <v>6</v>
      </c>
      <c r="C35">
        <f t="shared" si="1"/>
        <v>2027</v>
      </c>
      <c r="D35" t="str">
        <f t="shared" si="12"/>
        <v>62027SA</v>
      </c>
      <c r="E35" s="68">
        <v>46539</v>
      </c>
      <c r="F35" s="73"/>
      <c r="G35" s="39" t="s">
        <v>60</v>
      </c>
      <c r="H35" s="39">
        <v>4</v>
      </c>
      <c r="I35" s="65">
        <v>7155.4344078643844</v>
      </c>
      <c r="J35" s="65">
        <v>7155.4344078643844</v>
      </c>
      <c r="K35" s="65">
        <v>7155.4344078643844</v>
      </c>
      <c r="L35" s="65">
        <v>7155.4344078643844</v>
      </c>
      <c r="M35" s="65">
        <v>7155.4344078643844</v>
      </c>
      <c r="N35" s="65">
        <v>7155.4344078643844</v>
      </c>
      <c r="O35" s="65">
        <v>7155.4344078643844</v>
      </c>
      <c r="P35" s="65">
        <v>7155.4344078643844</v>
      </c>
      <c r="Q35" s="65">
        <v>7155.4344078643844</v>
      </c>
      <c r="R35" s="65">
        <v>7155.4344078643844</v>
      </c>
      <c r="S35" s="65">
        <v>7155.4344078643844</v>
      </c>
      <c r="T35" s="65">
        <v>7155.4344078643844</v>
      </c>
      <c r="U35" s="65">
        <v>7155.4344078643844</v>
      </c>
      <c r="V35" s="65">
        <v>7155.4344078643844</v>
      </c>
      <c r="W35" s="65">
        <v>7155.4344078643844</v>
      </c>
      <c r="X35" s="65">
        <v>7155.4344078643844</v>
      </c>
      <c r="Y35" s="65">
        <v>7155.4344078643844</v>
      </c>
      <c r="Z35" s="65">
        <v>7155.4344078643844</v>
      </c>
      <c r="AA35" s="65">
        <v>7155.4344078643844</v>
      </c>
      <c r="AB35" s="65">
        <v>7155.4344078643844</v>
      </c>
      <c r="AC35" s="65">
        <v>7155.4344078643844</v>
      </c>
      <c r="AD35" s="65">
        <v>7155.4344078643844</v>
      </c>
      <c r="AE35" s="65">
        <v>7155.4344078643844</v>
      </c>
      <c r="AF35" s="65">
        <v>7155.4344078643844</v>
      </c>
      <c r="AG35" s="40">
        <f>+SUM(I35:AF35)*H35</f>
        <v>686921.70315498055</v>
      </c>
    </row>
    <row r="36" spans="2:33" ht="14.4" x14ac:dyDescent="0.25">
      <c r="B36">
        <f t="shared" si="0"/>
        <v>6</v>
      </c>
      <c r="C36">
        <f t="shared" si="1"/>
        <v>2027</v>
      </c>
      <c r="D36" t="str">
        <f t="shared" si="12"/>
        <v>62027DO</v>
      </c>
      <c r="E36" s="68">
        <v>46539</v>
      </c>
      <c r="F36" s="73"/>
      <c r="G36" s="41" t="s">
        <v>58</v>
      </c>
      <c r="H36" s="41">
        <v>4</v>
      </c>
      <c r="I36" s="65">
        <v>7155.4344078643844</v>
      </c>
      <c r="J36" s="65">
        <v>7155.4344078643844</v>
      </c>
      <c r="K36" s="65">
        <v>7155.4344078643844</v>
      </c>
      <c r="L36" s="65">
        <v>7155.4344078643844</v>
      </c>
      <c r="M36" s="65">
        <v>7155.4344078643844</v>
      </c>
      <c r="N36" s="65">
        <v>7155.4344078643844</v>
      </c>
      <c r="O36" s="65">
        <v>7155.4344078643844</v>
      </c>
      <c r="P36" s="65">
        <v>7155.4344078643844</v>
      </c>
      <c r="Q36" s="65">
        <v>7155.4344078643844</v>
      </c>
      <c r="R36" s="65">
        <v>7155.4344078643844</v>
      </c>
      <c r="S36" s="65">
        <v>7155.4344078643844</v>
      </c>
      <c r="T36" s="65">
        <v>7155.4344078643844</v>
      </c>
      <c r="U36" s="65">
        <v>7155.4344078643844</v>
      </c>
      <c r="V36" s="65">
        <v>7155.4344078643844</v>
      </c>
      <c r="W36" s="65">
        <v>7155.4344078643844</v>
      </c>
      <c r="X36" s="65">
        <v>7155.4344078643844</v>
      </c>
      <c r="Y36" s="65">
        <v>7155.4344078643844</v>
      </c>
      <c r="Z36" s="65">
        <v>7155.4344078643844</v>
      </c>
      <c r="AA36" s="65">
        <v>7155.4344078643844</v>
      </c>
      <c r="AB36" s="65">
        <v>7155.4344078643844</v>
      </c>
      <c r="AC36" s="65">
        <v>7155.4344078643844</v>
      </c>
      <c r="AD36" s="65">
        <v>7155.4344078643844</v>
      </c>
      <c r="AE36" s="65">
        <v>7155.4344078643844</v>
      </c>
      <c r="AF36" s="65">
        <v>7155.4344078643844</v>
      </c>
      <c r="AG36" s="40">
        <f>+SUM(I36:AF36)*H36</f>
        <v>686921.70315498055</v>
      </c>
    </row>
    <row r="37" spans="2:33" ht="14.4" x14ac:dyDescent="0.25">
      <c r="B37">
        <f t="shared" si="0"/>
        <v>6</v>
      </c>
      <c r="C37">
        <f t="shared" si="1"/>
        <v>2027</v>
      </c>
      <c r="D37" t="str">
        <f t="shared" si="12"/>
        <v>62027FE</v>
      </c>
      <c r="E37" s="68">
        <v>46539</v>
      </c>
      <c r="F37" s="73"/>
      <c r="G37" s="42" t="s">
        <v>59</v>
      </c>
      <c r="H37" s="42">
        <v>1</v>
      </c>
      <c r="I37" s="65">
        <v>7155.4344078643844</v>
      </c>
      <c r="J37" s="65">
        <v>7155.4344078643844</v>
      </c>
      <c r="K37" s="65">
        <v>7155.4344078643844</v>
      </c>
      <c r="L37" s="65">
        <v>7155.4344078643844</v>
      </c>
      <c r="M37" s="65">
        <v>7155.4344078643844</v>
      </c>
      <c r="N37" s="65">
        <v>7155.4344078643844</v>
      </c>
      <c r="O37" s="65">
        <v>7155.4344078643844</v>
      </c>
      <c r="P37" s="65">
        <v>7155.4344078643844</v>
      </c>
      <c r="Q37" s="65">
        <v>7155.4344078643844</v>
      </c>
      <c r="R37" s="65">
        <v>7155.4344078643844</v>
      </c>
      <c r="S37" s="65">
        <v>7155.4344078643844</v>
      </c>
      <c r="T37" s="65">
        <v>7155.4344078643844</v>
      </c>
      <c r="U37" s="65">
        <v>7155.4344078643844</v>
      </c>
      <c r="V37" s="65">
        <v>7155.4344078643844</v>
      </c>
      <c r="W37" s="65">
        <v>7155.4344078643844</v>
      </c>
      <c r="X37" s="65">
        <v>7155.4344078643844</v>
      </c>
      <c r="Y37" s="65">
        <v>7155.4344078643844</v>
      </c>
      <c r="Z37" s="65">
        <v>7155.4344078643844</v>
      </c>
      <c r="AA37" s="65">
        <v>7155.4344078643844</v>
      </c>
      <c r="AB37" s="65">
        <v>7155.4344078643844</v>
      </c>
      <c r="AC37" s="65">
        <v>7155.4344078643844</v>
      </c>
      <c r="AD37" s="65">
        <v>7155.4344078643844</v>
      </c>
      <c r="AE37" s="65">
        <v>7155.4344078643844</v>
      </c>
      <c r="AF37" s="65">
        <v>7155.4344078643844</v>
      </c>
      <c r="AG37" s="43">
        <f>+SUM(I37:AF37)*H37</f>
        <v>171730.42578874514</v>
      </c>
    </row>
    <row r="38" spans="2:33" ht="15" thickBot="1" x14ac:dyDescent="0.3">
      <c r="B38">
        <f t="shared" si="0"/>
        <v>6</v>
      </c>
      <c r="C38">
        <f t="shared" si="1"/>
        <v>2027</v>
      </c>
      <c r="D38" t="str">
        <f>+_xlfn.CONCAT(E38,G38)</f>
        <v>46539TOTAL</v>
      </c>
      <c r="E38" s="68">
        <v>46539</v>
      </c>
      <c r="F38" s="61"/>
      <c r="G38" s="44" t="s">
        <v>10</v>
      </c>
      <c r="H38" s="44">
        <f>+SUM(H34:H37)</f>
        <v>30</v>
      </c>
      <c r="I38" s="45">
        <f t="shared" ref="I38:AF38" si="13">+SUMPRODUCT(I34:I37,$H34:$H37)</f>
        <v>214663.03223593146</v>
      </c>
      <c r="J38" s="45">
        <f t="shared" si="13"/>
        <v>214663.03223593146</v>
      </c>
      <c r="K38" s="45">
        <f t="shared" si="13"/>
        <v>214663.03223593146</v>
      </c>
      <c r="L38" s="45">
        <f t="shared" si="13"/>
        <v>214663.03223593146</v>
      </c>
      <c r="M38" s="45">
        <f t="shared" si="13"/>
        <v>214663.03223593146</v>
      </c>
      <c r="N38" s="45">
        <f t="shared" si="13"/>
        <v>214663.03223593146</v>
      </c>
      <c r="O38" s="45">
        <f t="shared" si="13"/>
        <v>214663.03223593146</v>
      </c>
      <c r="P38" s="45">
        <f t="shared" si="13"/>
        <v>214663.03223593146</v>
      </c>
      <c r="Q38" s="45">
        <f t="shared" si="13"/>
        <v>214663.03223593146</v>
      </c>
      <c r="R38" s="45">
        <f t="shared" si="13"/>
        <v>214663.03223593146</v>
      </c>
      <c r="S38" s="45">
        <f t="shared" si="13"/>
        <v>214663.03223593146</v>
      </c>
      <c r="T38" s="45">
        <f t="shared" si="13"/>
        <v>214663.03223593146</v>
      </c>
      <c r="U38" s="45">
        <f t="shared" si="13"/>
        <v>214663.03223593146</v>
      </c>
      <c r="V38" s="45">
        <f t="shared" si="13"/>
        <v>214663.03223593146</v>
      </c>
      <c r="W38" s="45">
        <f t="shared" si="13"/>
        <v>214663.03223593146</v>
      </c>
      <c r="X38" s="45">
        <f t="shared" si="13"/>
        <v>214663.03223593146</v>
      </c>
      <c r="Y38" s="45">
        <f t="shared" si="13"/>
        <v>214663.03223593146</v>
      </c>
      <c r="Z38" s="45">
        <f t="shared" si="13"/>
        <v>214663.03223593146</v>
      </c>
      <c r="AA38" s="45">
        <f t="shared" si="13"/>
        <v>214663.03223593146</v>
      </c>
      <c r="AB38" s="45">
        <f t="shared" si="13"/>
        <v>214663.03223593146</v>
      </c>
      <c r="AC38" s="45">
        <f t="shared" si="13"/>
        <v>214663.03223593146</v>
      </c>
      <c r="AD38" s="45">
        <f t="shared" si="13"/>
        <v>214663.03223593146</v>
      </c>
      <c r="AE38" s="45">
        <f t="shared" si="13"/>
        <v>214663.03223593146</v>
      </c>
      <c r="AF38" s="45">
        <f t="shared" si="13"/>
        <v>214663.03223593146</v>
      </c>
      <c r="AG38" s="46">
        <f>SUM(I38:AF38)</f>
        <v>5151912.7736623567</v>
      </c>
    </row>
    <row r="39" spans="2:33" ht="14.4" x14ac:dyDescent="0.25">
      <c r="B39">
        <f t="shared" si="0"/>
        <v>7</v>
      </c>
      <c r="C39">
        <f t="shared" si="1"/>
        <v>2027</v>
      </c>
      <c r="D39" t="str">
        <f t="shared" ref="D39:D42" si="14">+_xlfn.CONCAT(B39:C39,G39)</f>
        <v>72027OR</v>
      </c>
      <c r="E39" s="67">
        <v>46569</v>
      </c>
      <c r="F39" s="72">
        <f>+AG43</f>
        <v>5223724.7403012868</v>
      </c>
      <c r="G39" s="37" t="s">
        <v>57</v>
      </c>
      <c r="H39" s="37">
        <v>20</v>
      </c>
      <c r="I39" s="65">
        <v>7021.1354036307584</v>
      </c>
      <c r="J39" s="65">
        <v>7021.1354036307584</v>
      </c>
      <c r="K39" s="65">
        <v>7021.1354036307584</v>
      </c>
      <c r="L39" s="65">
        <v>7021.1354036307584</v>
      </c>
      <c r="M39" s="65">
        <v>7021.1354036307584</v>
      </c>
      <c r="N39" s="65">
        <v>7021.1354036307584</v>
      </c>
      <c r="O39" s="65">
        <v>7021.1354036307584</v>
      </c>
      <c r="P39" s="65">
        <v>7021.1354036307584</v>
      </c>
      <c r="Q39" s="65">
        <v>7021.1354036307584</v>
      </c>
      <c r="R39" s="65">
        <v>7021.1354036307584</v>
      </c>
      <c r="S39" s="65">
        <v>7021.1354036307584</v>
      </c>
      <c r="T39" s="65">
        <v>7021.1354036307584</v>
      </c>
      <c r="U39" s="65">
        <v>7021.1354036307584</v>
      </c>
      <c r="V39" s="65">
        <v>7021.1354036307584</v>
      </c>
      <c r="W39" s="65">
        <v>7021.1354036307584</v>
      </c>
      <c r="X39" s="65">
        <v>7021.1354036307584</v>
      </c>
      <c r="Y39" s="65">
        <v>7021.1354036307584</v>
      </c>
      <c r="Z39" s="65">
        <v>7021.1354036307584</v>
      </c>
      <c r="AA39" s="65">
        <v>7021.1354036307584</v>
      </c>
      <c r="AB39" s="65">
        <v>7021.1354036307584</v>
      </c>
      <c r="AC39" s="65">
        <v>7021.1354036307584</v>
      </c>
      <c r="AD39" s="65">
        <v>7021.1354036307584</v>
      </c>
      <c r="AE39" s="65">
        <v>7021.1354036307584</v>
      </c>
      <c r="AF39" s="65">
        <v>7021.1354036307584</v>
      </c>
      <c r="AG39" s="38">
        <f>+SUM(I39:AF39)*H39</f>
        <v>3370144.9937427645</v>
      </c>
    </row>
    <row r="40" spans="2:33" ht="14.4" x14ac:dyDescent="0.25">
      <c r="B40">
        <f t="shared" si="0"/>
        <v>7</v>
      </c>
      <c r="C40">
        <f t="shared" si="1"/>
        <v>2027</v>
      </c>
      <c r="D40" t="str">
        <f t="shared" si="14"/>
        <v>72027SA</v>
      </c>
      <c r="E40" s="68">
        <v>46569</v>
      </c>
      <c r="F40" s="73"/>
      <c r="G40" s="39" t="s">
        <v>60</v>
      </c>
      <c r="H40" s="39">
        <v>5</v>
      </c>
      <c r="I40" s="65">
        <v>7021.1354036307575</v>
      </c>
      <c r="J40" s="65">
        <v>7021.1354036307575</v>
      </c>
      <c r="K40" s="65">
        <v>7021.1354036307575</v>
      </c>
      <c r="L40" s="65">
        <v>7021.1354036307575</v>
      </c>
      <c r="M40" s="65">
        <v>7021.1354036307575</v>
      </c>
      <c r="N40" s="65">
        <v>7021.1354036307575</v>
      </c>
      <c r="O40" s="65">
        <v>7021.1354036307575</v>
      </c>
      <c r="P40" s="65">
        <v>7021.1354036307575</v>
      </c>
      <c r="Q40" s="65">
        <v>7021.1354036307575</v>
      </c>
      <c r="R40" s="65">
        <v>7021.1354036307575</v>
      </c>
      <c r="S40" s="65">
        <v>7021.1354036307575</v>
      </c>
      <c r="T40" s="65">
        <v>7021.1354036307575</v>
      </c>
      <c r="U40" s="65">
        <v>7021.1354036307575</v>
      </c>
      <c r="V40" s="65">
        <v>7021.1354036307575</v>
      </c>
      <c r="W40" s="65">
        <v>7021.1354036307575</v>
      </c>
      <c r="X40" s="65">
        <v>7021.1354036307575</v>
      </c>
      <c r="Y40" s="65">
        <v>7021.1354036307575</v>
      </c>
      <c r="Z40" s="65">
        <v>7021.1354036307575</v>
      </c>
      <c r="AA40" s="65">
        <v>7021.1354036307575</v>
      </c>
      <c r="AB40" s="65">
        <v>7021.1354036307575</v>
      </c>
      <c r="AC40" s="65">
        <v>7021.1354036307575</v>
      </c>
      <c r="AD40" s="65">
        <v>7021.1354036307575</v>
      </c>
      <c r="AE40" s="65">
        <v>7021.1354036307575</v>
      </c>
      <c r="AF40" s="65">
        <v>7021.1354036307575</v>
      </c>
      <c r="AG40" s="40">
        <f>+SUM(I40:AF40)*H40</f>
        <v>842536.24843569112</v>
      </c>
    </row>
    <row r="41" spans="2:33" ht="14.4" x14ac:dyDescent="0.25">
      <c r="B41">
        <f t="shared" si="0"/>
        <v>7</v>
      </c>
      <c r="C41">
        <f t="shared" si="1"/>
        <v>2027</v>
      </c>
      <c r="D41" t="str">
        <f t="shared" si="14"/>
        <v>72027DO</v>
      </c>
      <c r="E41" s="68">
        <v>46569</v>
      </c>
      <c r="F41" s="73"/>
      <c r="G41" s="41" t="s">
        <v>58</v>
      </c>
      <c r="H41" s="41">
        <v>4</v>
      </c>
      <c r="I41" s="65">
        <v>7021.1354036307566</v>
      </c>
      <c r="J41" s="65">
        <v>7021.1354036307566</v>
      </c>
      <c r="K41" s="65">
        <v>7021.1354036307566</v>
      </c>
      <c r="L41" s="65">
        <v>7021.1354036307566</v>
      </c>
      <c r="M41" s="65">
        <v>7021.1354036307566</v>
      </c>
      <c r="N41" s="65">
        <v>7021.1354036307566</v>
      </c>
      <c r="O41" s="65">
        <v>7021.1354036307566</v>
      </c>
      <c r="P41" s="65">
        <v>7021.1354036307566</v>
      </c>
      <c r="Q41" s="65">
        <v>7021.1354036307566</v>
      </c>
      <c r="R41" s="65">
        <v>7021.1354036307566</v>
      </c>
      <c r="S41" s="65">
        <v>7021.1354036307566</v>
      </c>
      <c r="T41" s="65">
        <v>7021.1354036307566</v>
      </c>
      <c r="U41" s="65">
        <v>7021.1354036307566</v>
      </c>
      <c r="V41" s="65">
        <v>7021.1354036307566</v>
      </c>
      <c r="W41" s="65">
        <v>7021.1354036307566</v>
      </c>
      <c r="X41" s="65">
        <v>7021.1354036307566</v>
      </c>
      <c r="Y41" s="65">
        <v>7021.1354036307566</v>
      </c>
      <c r="Z41" s="65">
        <v>7021.1354036307566</v>
      </c>
      <c r="AA41" s="65">
        <v>7021.1354036307566</v>
      </c>
      <c r="AB41" s="65">
        <v>7021.1354036307566</v>
      </c>
      <c r="AC41" s="65">
        <v>7021.1354036307566</v>
      </c>
      <c r="AD41" s="65">
        <v>7021.1354036307566</v>
      </c>
      <c r="AE41" s="65">
        <v>7021.1354036307566</v>
      </c>
      <c r="AF41" s="65">
        <v>7021.1354036307566</v>
      </c>
      <c r="AG41" s="40">
        <f>+SUM(I41:AF41)*H41</f>
        <v>674028.99874855287</v>
      </c>
    </row>
    <row r="42" spans="2:33" ht="14.4" x14ac:dyDescent="0.25">
      <c r="B42">
        <f t="shared" si="0"/>
        <v>7</v>
      </c>
      <c r="C42">
        <f t="shared" si="1"/>
        <v>2027</v>
      </c>
      <c r="D42" t="str">
        <f t="shared" si="14"/>
        <v>72027FE</v>
      </c>
      <c r="E42" s="68">
        <v>46569</v>
      </c>
      <c r="F42" s="73"/>
      <c r="G42" s="42" t="s">
        <v>59</v>
      </c>
      <c r="H42" s="42">
        <v>2</v>
      </c>
      <c r="I42" s="65">
        <v>7021.1354036307566</v>
      </c>
      <c r="J42" s="65">
        <v>7021.1354036307566</v>
      </c>
      <c r="K42" s="65">
        <v>7021.1354036307566</v>
      </c>
      <c r="L42" s="65">
        <v>7021.1354036307566</v>
      </c>
      <c r="M42" s="65">
        <v>7021.1354036307566</v>
      </c>
      <c r="N42" s="65">
        <v>7021.1354036307566</v>
      </c>
      <c r="O42" s="65">
        <v>7021.1354036307566</v>
      </c>
      <c r="P42" s="65">
        <v>7021.1354036307566</v>
      </c>
      <c r="Q42" s="65">
        <v>7021.1354036307566</v>
      </c>
      <c r="R42" s="65">
        <v>7021.1354036307566</v>
      </c>
      <c r="S42" s="65">
        <v>7021.1354036307566</v>
      </c>
      <c r="T42" s="65">
        <v>7021.1354036307566</v>
      </c>
      <c r="U42" s="65">
        <v>7021.1354036307566</v>
      </c>
      <c r="V42" s="65">
        <v>7021.1354036307566</v>
      </c>
      <c r="W42" s="65">
        <v>7021.1354036307566</v>
      </c>
      <c r="X42" s="65">
        <v>7021.1354036307566</v>
      </c>
      <c r="Y42" s="65">
        <v>7021.1354036307566</v>
      </c>
      <c r="Z42" s="65">
        <v>7021.1354036307566</v>
      </c>
      <c r="AA42" s="65">
        <v>7021.1354036307566</v>
      </c>
      <c r="AB42" s="65">
        <v>7021.1354036307566</v>
      </c>
      <c r="AC42" s="65">
        <v>7021.1354036307566</v>
      </c>
      <c r="AD42" s="65">
        <v>7021.1354036307566</v>
      </c>
      <c r="AE42" s="65">
        <v>7021.1354036307566</v>
      </c>
      <c r="AF42" s="65">
        <v>7021.1354036307566</v>
      </c>
      <c r="AG42" s="43">
        <f>+SUM(I42:AF42)*H42</f>
        <v>337014.49937427643</v>
      </c>
    </row>
    <row r="43" spans="2:33" ht="15" thickBot="1" x14ac:dyDescent="0.3">
      <c r="B43">
        <f t="shared" si="0"/>
        <v>7</v>
      </c>
      <c r="C43">
        <f t="shared" si="1"/>
        <v>2027</v>
      </c>
      <c r="D43" t="str">
        <f>+_xlfn.CONCAT(E43,G43)</f>
        <v>46569TOTAL</v>
      </c>
      <c r="E43" s="68">
        <v>46569</v>
      </c>
      <c r="F43" s="61"/>
      <c r="G43" s="44" t="s">
        <v>10</v>
      </c>
      <c r="H43" s="44">
        <f>+SUM(H39:H42)</f>
        <v>31</v>
      </c>
      <c r="I43" s="45">
        <f t="shared" ref="I43:AF43" si="15">+SUMPRODUCT(I39:I42,$H39:$H42)</f>
        <v>217655.19751255354</v>
      </c>
      <c r="J43" s="45">
        <f t="shared" si="15"/>
        <v>217655.19751255354</v>
      </c>
      <c r="K43" s="45">
        <f t="shared" si="15"/>
        <v>217655.19751255354</v>
      </c>
      <c r="L43" s="45">
        <f t="shared" si="15"/>
        <v>217655.19751255354</v>
      </c>
      <c r="M43" s="45">
        <f t="shared" si="15"/>
        <v>217655.19751255354</v>
      </c>
      <c r="N43" s="45">
        <f t="shared" si="15"/>
        <v>217655.19751255354</v>
      </c>
      <c r="O43" s="45">
        <f t="shared" si="15"/>
        <v>217655.19751255354</v>
      </c>
      <c r="P43" s="45">
        <f t="shared" si="15"/>
        <v>217655.19751255354</v>
      </c>
      <c r="Q43" s="45">
        <f t="shared" si="15"/>
        <v>217655.19751255354</v>
      </c>
      <c r="R43" s="45">
        <f t="shared" si="15"/>
        <v>217655.19751255354</v>
      </c>
      <c r="S43" s="45">
        <f t="shared" si="15"/>
        <v>217655.19751255354</v>
      </c>
      <c r="T43" s="45">
        <f t="shared" si="15"/>
        <v>217655.19751255354</v>
      </c>
      <c r="U43" s="45">
        <f t="shared" si="15"/>
        <v>217655.19751255354</v>
      </c>
      <c r="V43" s="45">
        <f t="shared" si="15"/>
        <v>217655.19751255354</v>
      </c>
      <c r="W43" s="45">
        <f t="shared" si="15"/>
        <v>217655.19751255354</v>
      </c>
      <c r="X43" s="45">
        <f t="shared" si="15"/>
        <v>217655.19751255354</v>
      </c>
      <c r="Y43" s="45">
        <f t="shared" si="15"/>
        <v>217655.19751255354</v>
      </c>
      <c r="Z43" s="45">
        <f t="shared" si="15"/>
        <v>217655.19751255354</v>
      </c>
      <c r="AA43" s="45">
        <f t="shared" si="15"/>
        <v>217655.19751255354</v>
      </c>
      <c r="AB43" s="45">
        <f t="shared" si="15"/>
        <v>217655.19751255354</v>
      </c>
      <c r="AC43" s="45">
        <f t="shared" si="15"/>
        <v>217655.19751255354</v>
      </c>
      <c r="AD43" s="45">
        <f t="shared" si="15"/>
        <v>217655.19751255354</v>
      </c>
      <c r="AE43" s="45">
        <f t="shared" si="15"/>
        <v>217655.19751255354</v>
      </c>
      <c r="AF43" s="45">
        <f t="shared" si="15"/>
        <v>217655.19751255354</v>
      </c>
      <c r="AG43" s="46">
        <f>SUM(I43:AF43)</f>
        <v>5223724.7403012868</v>
      </c>
    </row>
    <row r="44" spans="2:33" ht="14.4" x14ac:dyDescent="0.25">
      <c r="B44">
        <f t="shared" si="0"/>
        <v>8</v>
      </c>
      <c r="C44">
        <f t="shared" si="1"/>
        <v>2027</v>
      </c>
      <c r="D44" t="str">
        <f t="shared" ref="D44:D47" si="16">+_xlfn.CONCAT(B44:C44,G44)</f>
        <v>82027OR</v>
      </c>
      <c r="E44" s="67">
        <v>46600</v>
      </c>
      <c r="F44" s="72">
        <f>+AG48</f>
        <v>4262962.5509618176</v>
      </c>
      <c r="G44" s="37" t="s">
        <v>57</v>
      </c>
      <c r="H44" s="37">
        <v>21</v>
      </c>
      <c r="I44" s="65">
        <v>5729.78837494868</v>
      </c>
      <c r="J44" s="65">
        <v>5729.78837494868</v>
      </c>
      <c r="K44" s="65">
        <v>5729.78837494868</v>
      </c>
      <c r="L44" s="65">
        <v>5729.78837494868</v>
      </c>
      <c r="M44" s="65">
        <v>5729.78837494868</v>
      </c>
      <c r="N44" s="65">
        <v>5729.78837494868</v>
      </c>
      <c r="O44" s="65">
        <v>5729.78837494868</v>
      </c>
      <c r="P44" s="65">
        <v>5729.78837494868</v>
      </c>
      <c r="Q44" s="65">
        <v>5729.78837494868</v>
      </c>
      <c r="R44" s="65">
        <v>5729.78837494868</v>
      </c>
      <c r="S44" s="65">
        <v>5729.78837494868</v>
      </c>
      <c r="T44" s="65">
        <v>5729.78837494868</v>
      </c>
      <c r="U44" s="65">
        <v>5729.78837494868</v>
      </c>
      <c r="V44" s="65">
        <v>5729.78837494868</v>
      </c>
      <c r="W44" s="65">
        <v>5729.78837494868</v>
      </c>
      <c r="X44" s="65">
        <v>5729.78837494868</v>
      </c>
      <c r="Y44" s="65">
        <v>5729.78837494868</v>
      </c>
      <c r="Z44" s="65">
        <v>5729.78837494868</v>
      </c>
      <c r="AA44" s="65">
        <v>5729.78837494868</v>
      </c>
      <c r="AB44" s="65">
        <v>5729.78837494868</v>
      </c>
      <c r="AC44" s="65">
        <v>5729.78837494868</v>
      </c>
      <c r="AD44" s="65">
        <v>5729.78837494868</v>
      </c>
      <c r="AE44" s="65">
        <v>5729.78837494868</v>
      </c>
      <c r="AF44" s="65">
        <v>5729.78837494868</v>
      </c>
      <c r="AG44" s="38">
        <f>+SUM(I44:AF44)*H44</f>
        <v>2887813.3409741349</v>
      </c>
    </row>
    <row r="45" spans="2:33" ht="14.4" x14ac:dyDescent="0.25">
      <c r="B45">
        <f t="shared" si="0"/>
        <v>8</v>
      </c>
      <c r="C45">
        <f t="shared" si="1"/>
        <v>2027</v>
      </c>
      <c r="D45" t="str">
        <f t="shared" si="16"/>
        <v>82027SA</v>
      </c>
      <c r="E45" s="68">
        <v>46600</v>
      </c>
      <c r="F45" s="73"/>
      <c r="G45" s="39" t="s">
        <v>60</v>
      </c>
      <c r="H45" s="39">
        <v>3</v>
      </c>
      <c r="I45" s="65">
        <v>5729.7883749486818</v>
      </c>
      <c r="J45" s="65">
        <v>5729.7883749486818</v>
      </c>
      <c r="K45" s="65">
        <v>5729.7883749486818</v>
      </c>
      <c r="L45" s="65">
        <v>5729.7883749486818</v>
      </c>
      <c r="M45" s="65">
        <v>5729.7883749486818</v>
      </c>
      <c r="N45" s="65">
        <v>5729.7883749486818</v>
      </c>
      <c r="O45" s="65">
        <v>5729.7883749486818</v>
      </c>
      <c r="P45" s="65">
        <v>5729.7883749486818</v>
      </c>
      <c r="Q45" s="65">
        <v>5729.7883749486818</v>
      </c>
      <c r="R45" s="65">
        <v>5729.7883749486818</v>
      </c>
      <c r="S45" s="65">
        <v>5729.7883749486818</v>
      </c>
      <c r="T45" s="65">
        <v>5729.7883749486818</v>
      </c>
      <c r="U45" s="65">
        <v>5729.7883749486818</v>
      </c>
      <c r="V45" s="65">
        <v>5729.7883749486818</v>
      </c>
      <c r="W45" s="65">
        <v>5729.7883749486818</v>
      </c>
      <c r="X45" s="65">
        <v>5729.7883749486818</v>
      </c>
      <c r="Y45" s="65">
        <v>5729.7883749486818</v>
      </c>
      <c r="Z45" s="65">
        <v>5729.7883749486818</v>
      </c>
      <c r="AA45" s="65">
        <v>5729.7883749486818</v>
      </c>
      <c r="AB45" s="65">
        <v>5729.7883749486818</v>
      </c>
      <c r="AC45" s="65">
        <v>5729.7883749486818</v>
      </c>
      <c r="AD45" s="65">
        <v>5729.7883749486818</v>
      </c>
      <c r="AE45" s="65">
        <v>5729.7883749486818</v>
      </c>
      <c r="AF45" s="65">
        <v>5729.7883749486818</v>
      </c>
      <c r="AG45" s="40">
        <f>+SUM(I45:AF45)*H45</f>
        <v>412544.76299630501</v>
      </c>
    </row>
    <row r="46" spans="2:33" ht="14.4" x14ac:dyDescent="0.25">
      <c r="B46">
        <f t="shared" si="0"/>
        <v>8</v>
      </c>
      <c r="C46">
        <f t="shared" si="1"/>
        <v>2027</v>
      </c>
      <c r="D46" t="str">
        <f t="shared" si="16"/>
        <v>82027DO</v>
      </c>
      <c r="E46" s="68">
        <v>46600</v>
      </c>
      <c r="F46" s="73"/>
      <c r="G46" s="41" t="s">
        <v>58</v>
      </c>
      <c r="H46" s="41">
        <v>5</v>
      </c>
      <c r="I46" s="65">
        <v>5729.7883749486818</v>
      </c>
      <c r="J46" s="65">
        <v>5729.7883749486818</v>
      </c>
      <c r="K46" s="65">
        <v>5729.7883749486818</v>
      </c>
      <c r="L46" s="65">
        <v>5729.7883749486818</v>
      </c>
      <c r="M46" s="65">
        <v>5729.7883749486818</v>
      </c>
      <c r="N46" s="65">
        <v>5729.7883749486818</v>
      </c>
      <c r="O46" s="65">
        <v>5729.7883749486818</v>
      </c>
      <c r="P46" s="65">
        <v>5729.7883749486818</v>
      </c>
      <c r="Q46" s="65">
        <v>5729.7883749486818</v>
      </c>
      <c r="R46" s="65">
        <v>5729.7883749486818</v>
      </c>
      <c r="S46" s="65">
        <v>5729.7883749486818</v>
      </c>
      <c r="T46" s="65">
        <v>5729.7883749486818</v>
      </c>
      <c r="U46" s="65">
        <v>5729.7883749486818</v>
      </c>
      <c r="V46" s="65">
        <v>5729.7883749486818</v>
      </c>
      <c r="W46" s="65">
        <v>5729.7883749486818</v>
      </c>
      <c r="X46" s="65">
        <v>5729.7883749486818</v>
      </c>
      <c r="Y46" s="65">
        <v>5729.7883749486818</v>
      </c>
      <c r="Z46" s="65">
        <v>5729.7883749486818</v>
      </c>
      <c r="AA46" s="65">
        <v>5729.7883749486818</v>
      </c>
      <c r="AB46" s="65">
        <v>5729.7883749486818</v>
      </c>
      <c r="AC46" s="65">
        <v>5729.7883749486818</v>
      </c>
      <c r="AD46" s="65">
        <v>5729.7883749486818</v>
      </c>
      <c r="AE46" s="65">
        <v>5729.7883749486818</v>
      </c>
      <c r="AF46" s="65">
        <v>5729.7883749486818</v>
      </c>
      <c r="AG46" s="40">
        <f>+SUM(I46:AF46)*H46</f>
        <v>687574.60499384161</v>
      </c>
    </row>
    <row r="47" spans="2:33" ht="14.4" x14ac:dyDescent="0.25">
      <c r="B47">
        <f t="shared" si="0"/>
        <v>8</v>
      </c>
      <c r="C47">
        <f t="shared" si="1"/>
        <v>2027</v>
      </c>
      <c r="D47" t="str">
        <f t="shared" si="16"/>
        <v>82027FE</v>
      </c>
      <c r="E47" s="68">
        <v>46600</v>
      </c>
      <c r="F47" s="73"/>
      <c r="G47" s="42" t="s">
        <v>59</v>
      </c>
      <c r="H47" s="42">
        <v>2</v>
      </c>
      <c r="I47" s="65">
        <v>5729.7883749486818</v>
      </c>
      <c r="J47" s="65">
        <v>5729.7883749486818</v>
      </c>
      <c r="K47" s="65">
        <v>5729.7883749486818</v>
      </c>
      <c r="L47" s="65">
        <v>5729.7883749486818</v>
      </c>
      <c r="M47" s="65">
        <v>5729.7883749486818</v>
      </c>
      <c r="N47" s="65">
        <v>5729.7883749486818</v>
      </c>
      <c r="O47" s="65">
        <v>5729.7883749486818</v>
      </c>
      <c r="P47" s="65">
        <v>5729.7883749486818</v>
      </c>
      <c r="Q47" s="65">
        <v>5729.7883749486818</v>
      </c>
      <c r="R47" s="65">
        <v>5729.7883749486818</v>
      </c>
      <c r="S47" s="65">
        <v>5729.7883749486818</v>
      </c>
      <c r="T47" s="65">
        <v>5729.7883749486818</v>
      </c>
      <c r="U47" s="65">
        <v>5729.7883749486818</v>
      </c>
      <c r="V47" s="65">
        <v>5729.7883749486818</v>
      </c>
      <c r="W47" s="65">
        <v>5729.7883749486818</v>
      </c>
      <c r="X47" s="65">
        <v>5729.7883749486818</v>
      </c>
      <c r="Y47" s="65">
        <v>5729.7883749486818</v>
      </c>
      <c r="Z47" s="65">
        <v>5729.7883749486818</v>
      </c>
      <c r="AA47" s="65">
        <v>5729.7883749486818</v>
      </c>
      <c r="AB47" s="65">
        <v>5729.7883749486818</v>
      </c>
      <c r="AC47" s="65">
        <v>5729.7883749486818</v>
      </c>
      <c r="AD47" s="65">
        <v>5729.7883749486818</v>
      </c>
      <c r="AE47" s="65">
        <v>5729.7883749486818</v>
      </c>
      <c r="AF47" s="65">
        <v>5729.7883749486818</v>
      </c>
      <c r="AG47" s="43">
        <f>+SUM(I47:AF47)*H47</f>
        <v>275029.84199753666</v>
      </c>
    </row>
    <row r="48" spans="2:33" ht="15" thickBot="1" x14ac:dyDescent="0.3">
      <c r="B48">
        <f t="shared" si="0"/>
        <v>8</v>
      </c>
      <c r="C48">
        <f t="shared" si="1"/>
        <v>2027</v>
      </c>
      <c r="D48" t="str">
        <f>+_xlfn.CONCAT(E48,G48)</f>
        <v>46600TOTAL</v>
      </c>
      <c r="E48" s="68">
        <v>46600</v>
      </c>
      <c r="F48" s="61"/>
      <c r="G48" s="44" t="s">
        <v>10</v>
      </c>
      <c r="H48" s="44">
        <f>+SUM(H44:H47)</f>
        <v>31</v>
      </c>
      <c r="I48" s="45">
        <f t="shared" ref="I48:AF48" si="17">+SUMPRODUCT(I44:I47,$H44:$H47)</f>
        <v>177623.4396234091</v>
      </c>
      <c r="J48" s="45">
        <f t="shared" si="17"/>
        <v>177623.4396234091</v>
      </c>
      <c r="K48" s="45">
        <f t="shared" si="17"/>
        <v>177623.4396234091</v>
      </c>
      <c r="L48" s="45">
        <f t="shared" si="17"/>
        <v>177623.4396234091</v>
      </c>
      <c r="M48" s="45">
        <f t="shared" si="17"/>
        <v>177623.4396234091</v>
      </c>
      <c r="N48" s="45">
        <f t="shared" si="17"/>
        <v>177623.4396234091</v>
      </c>
      <c r="O48" s="45">
        <f t="shared" si="17"/>
        <v>177623.4396234091</v>
      </c>
      <c r="P48" s="45">
        <f t="shared" si="17"/>
        <v>177623.4396234091</v>
      </c>
      <c r="Q48" s="45">
        <f t="shared" si="17"/>
        <v>177623.4396234091</v>
      </c>
      <c r="R48" s="45">
        <f t="shared" si="17"/>
        <v>177623.4396234091</v>
      </c>
      <c r="S48" s="45">
        <f t="shared" si="17"/>
        <v>177623.4396234091</v>
      </c>
      <c r="T48" s="45">
        <f t="shared" si="17"/>
        <v>177623.4396234091</v>
      </c>
      <c r="U48" s="45">
        <f t="shared" si="17"/>
        <v>177623.4396234091</v>
      </c>
      <c r="V48" s="45">
        <f t="shared" si="17"/>
        <v>177623.4396234091</v>
      </c>
      <c r="W48" s="45">
        <f t="shared" si="17"/>
        <v>177623.4396234091</v>
      </c>
      <c r="X48" s="45">
        <f t="shared" si="17"/>
        <v>177623.4396234091</v>
      </c>
      <c r="Y48" s="45">
        <f t="shared" si="17"/>
        <v>177623.4396234091</v>
      </c>
      <c r="Z48" s="45">
        <f t="shared" si="17"/>
        <v>177623.4396234091</v>
      </c>
      <c r="AA48" s="45">
        <f t="shared" si="17"/>
        <v>177623.4396234091</v>
      </c>
      <c r="AB48" s="45">
        <f t="shared" si="17"/>
        <v>177623.4396234091</v>
      </c>
      <c r="AC48" s="45">
        <f t="shared" si="17"/>
        <v>177623.4396234091</v>
      </c>
      <c r="AD48" s="45">
        <f t="shared" si="17"/>
        <v>177623.4396234091</v>
      </c>
      <c r="AE48" s="45">
        <f t="shared" si="17"/>
        <v>177623.4396234091</v>
      </c>
      <c r="AF48" s="45">
        <f t="shared" si="17"/>
        <v>177623.4396234091</v>
      </c>
      <c r="AG48" s="46">
        <f>SUM(I48:AF48)</f>
        <v>4262962.5509618176</v>
      </c>
    </row>
    <row r="49" spans="2:33" ht="14.4" x14ac:dyDescent="0.25">
      <c r="B49">
        <f t="shared" si="0"/>
        <v>9</v>
      </c>
      <c r="C49">
        <f t="shared" si="1"/>
        <v>2027</v>
      </c>
      <c r="D49" t="str">
        <f t="shared" ref="D49:D52" si="18">+_xlfn.CONCAT(B49:C49,G49)</f>
        <v>92027OR</v>
      </c>
      <c r="E49" s="67">
        <v>46631</v>
      </c>
      <c r="F49" s="72">
        <f>+AG53</f>
        <v>4192126.6097457674</v>
      </c>
      <c r="G49" s="37" t="s">
        <v>57</v>
      </c>
      <c r="H49" s="37">
        <v>22</v>
      </c>
      <c r="I49" s="65">
        <v>5822.398069091344</v>
      </c>
      <c r="J49" s="65">
        <v>5822.398069091344</v>
      </c>
      <c r="K49" s="65">
        <v>5822.398069091344</v>
      </c>
      <c r="L49" s="65">
        <v>5822.398069091344</v>
      </c>
      <c r="M49" s="65">
        <v>5822.398069091344</v>
      </c>
      <c r="N49" s="65">
        <v>5822.398069091344</v>
      </c>
      <c r="O49" s="65">
        <v>5822.398069091344</v>
      </c>
      <c r="P49" s="65">
        <v>5822.398069091344</v>
      </c>
      <c r="Q49" s="65">
        <v>5822.398069091344</v>
      </c>
      <c r="R49" s="65">
        <v>5822.398069091344</v>
      </c>
      <c r="S49" s="65">
        <v>5822.398069091344</v>
      </c>
      <c r="T49" s="65">
        <v>5822.398069091344</v>
      </c>
      <c r="U49" s="65">
        <v>5822.398069091344</v>
      </c>
      <c r="V49" s="65">
        <v>5822.398069091344</v>
      </c>
      <c r="W49" s="65">
        <v>5822.398069091344</v>
      </c>
      <c r="X49" s="65">
        <v>5822.398069091344</v>
      </c>
      <c r="Y49" s="65">
        <v>5822.398069091344</v>
      </c>
      <c r="Z49" s="65">
        <v>5822.398069091344</v>
      </c>
      <c r="AA49" s="65">
        <v>5822.398069091344</v>
      </c>
      <c r="AB49" s="65">
        <v>5822.398069091344</v>
      </c>
      <c r="AC49" s="65">
        <v>5822.398069091344</v>
      </c>
      <c r="AD49" s="65">
        <v>5822.398069091344</v>
      </c>
      <c r="AE49" s="65">
        <v>5822.398069091344</v>
      </c>
      <c r="AF49" s="65">
        <v>5822.398069091344</v>
      </c>
      <c r="AG49" s="38">
        <f>+SUM(I49:AF49)*H49</f>
        <v>3074226.1804802297</v>
      </c>
    </row>
    <row r="50" spans="2:33" ht="14.4" x14ac:dyDescent="0.25">
      <c r="B50">
        <f t="shared" si="0"/>
        <v>9</v>
      </c>
      <c r="C50">
        <f t="shared" si="1"/>
        <v>2027</v>
      </c>
      <c r="D50" t="str">
        <f t="shared" si="18"/>
        <v>92027SA</v>
      </c>
      <c r="E50" s="68">
        <v>46631</v>
      </c>
      <c r="F50" s="73"/>
      <c r="G50" s="39" t="s">
        <v>60</v>
      </c>
      <c r="H50" s="39">
        <v>4</v>
      </c>
      <c r="I50" s="65">
        <v>5822.398069091344</v>
      </c>
      <c r="J50" s="65">
        <v>5822.398069091344</v>
      </c>
      <c r="K50" s="65">
        <v>5822.398069091344</v>
      </c>
      <c r="L50" s="65">
        <v>5822.398069091344</v>
      </c>
      <c r="M50" s="65">
        <v>5822.398069091344</v>
      </c>
      <c r="N50" s="65">
        <v>5822.398069091344</v>
      </c>
      <c r="O50" s="65">
        <v>5822.398069091344</v>
      </c>
      <c r="P50" s="65">
        <v>5822.398069091344</v>
      </c>
      <c r="Q50" s="65">
        <v>5822.398069091344</v>
      </c>
      <c r="R50" s="65">
        <v>5822.398069091344</v>
      </c>
      <c r="S50" s="65">
        <v>5822.398069091344</v>
      </c>
      <c r="T50" s="65">
        <v>5822.398069091344</v>
      </c>
      <c r="U50" s="65">
        <v>5822.398069091344</v>
      </c>
      <c r="V50" s="65">
        <v>5822.398069091344</v>
      </c>
      <c r="W50" s="65">
        <v>5822.398069091344</v>
      </c>
      <c r="X50" s="65">
        <v>5822.398069091344</v>
      </c>
      <c r="Y50" s="65">
        <v>5822.398069091344</v>
      </c>
      <c r="Z50" s="65">
        <v>5822.398069091344</v>
      </c>
      <c r="AA50" s="65">
        <v>5822.398069091344</v>
      </c>
      <c r="AB50" s="65">
        <v>5822.398069091344</v>
      </c>
      <c r="AC50" s="65">
        <v>5822.398069091344</v>
      </c>
      <c r="AD50" s="65">
        <v>5822.398069091344</v>
      </c>
      <c r="AE50" s="65">
        <v>5822.398069091344</v>
      </c>
      <c r="AF50" s="65">
        <v>5822.398069091344</v>
      </c>
      <c r="AG50" s="40">
        <f>+SUM(I50:AF50)*H50</f>
        <v>558950.214632769</v>
      </c>
    </row>
    <row r="51" spans="2:33" ht="14.4" x14ac:dyDescent="0.25">
      <c r="B51">
        <f t="shared" si="0"/>
        <v>9</v>
      </c>
      <c r="C51">
        <f t="shared" si="1"/>
        <v>2027</v>
      </c>
      <c r="D51" t="str">
        <f t="shared" si="18"/>
        <v>92027DO</v>
      </c>
      <c r="E51" s="68">
        <v>46631</v>
      </c>
      <c r="F51" s="73"/>
      <c r="G51" s="41" t="s">
        <v>58</v>
      </c>
      <c r="H51" s="41">
        <v>4</v>
      </c>
      <c r="I51" s="65">
        <v>5822.398069091344</v>
      </c>
      <c r="J51" s="65">
        <v>5822.398069091344</v>
      </c>
      <c r="K51" s="65">
        <v>5822.398069091344</v>
      </c>
      <c r="L51" s="65">
        <v>5822.398069091344</v>
      </c>
      <c r="M51" s="65">
        <v>5822.398069091344</v>
      </c>
      <c r="N51" s="65">
        <v>5822.398069091344</v>
      </c>
      <c r="O51" s="65">
        <v>5822.398069091344</v>
      </c>
      <c r="P51" s="65">
        <v>5822.398069091344</v>
      </c>
      <c r="Q51" s="65">
        <v>5822.398069091344</v>
      </c>
      <c r="R51" s="65">
        <v>5822.398069091344</v>
      </c>
      <c r="S51" s="65">
        <v>5822.398069091344</v>
      </c>
      <c r="T51" s="65">
        <v>5822.398069091344</v>
      </c>
      <c r="U51" s="65">
        <v>5822.398069091344</v>
      </c>
      <c r="V51" s="65">
        <v>5822.398069091344</v>
      </c>
      <c r="W51" s="65">
        <v>5822.398069091344</v>
      </c>
      <c r="X51" s="65">
        <v>5822.398069091344</v>
      </c>
      <c r="Y51" s="65">
        <v>5822.398069091344</v>
      </c>
      <c r="Z51" s="65">
        <v>5822.398069091344</v>
      </c>
      <c r="AA51" s="65">
        <v>5822.398069091344</v>
      </c>
      <c r="AB51" s="65">
        <v>5822.398069091344</v>
      </c>
      <c r="AC51" s="65">
        <v>5822.398069091344</v>
      </c>
      <c r="AD51" s="65">
        <v>5822.398069091344</v>
      </c>
      <c r="AE51" s="65">
        <v>5822.398069091344</v>
      </c>
      <c r="AF51" s="65">
        <v>5822.398069091344</v>
      </c>
      <c r="AG51" s="40">
        <f>+SUM(I51:AF51)*H51</f>
        <v>558950.214632769</v>
      </c>
    </row>
    <row r="52" spans="2:33" ht="14.4" x14ac:dyDescent="0.25">
      <c r="B52">
        <f t="shared" si="0"/>
        <v>9</v>
      </c>
      <c r="C52">
        <f t="shared" si="1"/>
        <v>2027</v>
      </c>
      <c r="D52" t="str">
        <f t="shared" si="18"/>
        <v>92027FE</v>
      </c>
      <c r="E52" s="68">
        <v>46631</v>
      </c>
      <c r="F52" s="73"/>
      <c r="G52" s="42" t="s">
        <v>59</v>
      </c>
      <c r="H52" s="42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43">
        <f>+SUM(I52:AF52)*H52</f>
        <v>0</v>
      </c>
    </row>
    <row r="53" spans="2:33" ht="15" thickBot="1" x14ac:dyDescent="0.3">
      <c r="B53">
        <f t="shared" si="0"/>
        <v>9</v>
      </c>
      <c r="C53">
        <f t="shared" si="1"/>
        <v>2027</v>
      </c>
      <c r="D53" t="str">
        <f>+_xlfn.CONCAT(E53,G53)</f>
        <v>46631TOTAL</v>
      </c>
      <c r="E53" s="68">
        <v>46631</v>
      </c>
      <c r="F53" s="61"/>
      <c r="G53" s="44" t="s">
        <v>10</v>
      </c>
      <c r="H53" s="44">
        <f>+SUM(H49:H52)</f>
        <v>30</v>
      </c>
      <c r="I53" s="45">
        <f t="shared" ref="I53:AF53" si="19">+SUMPRODUCT(I49:I52,$H49:$H52)</f>
        <v>174671.94207274032</v>
      </c>
      <c r="J53" s="45">
        <f t="shared" si="19"/>
        <v>174671.94207274032</v>
      </c>
      <c r="K53" s="45">
        <f t="shared" si="19"/>
        <v>174671.94207274032</v>
      </c>
      <c r="L53" s="45">
        <f t="shared" si="19"/>
        <v>174671.94207274032</v>
      </c>
      <c r="M53" s="45">
        <f t="shared" si="19"/>
        <v>174671.94207274032</v>
      </c>
      <c r="N53" s="45">
        <f t="shared" si="19"/>
        <v>174671.94207274032</v>
      </c>
      <c r="O53" s="45">
        <f t="shared" si="19"/>
        <v>174671.94207274032</v>
      </c>
      <c r="P53" s="45">
        <f t="shared" si="19"/>
        <v>174671.94207274032</v>
      </c>
      <c r="Q53" s="45">
        <f t="shared" si="19"/>
        <v>174671.94207274032</v>
      </c>
      <c r="R53" s="45">
        <f t="shared" si="19"/>
        <v>174671.94207274032</v>
      </c>
      <c r="S53" s="45">
        <f t="shared" si="19"/>
        <v>174671.94207274032</v>
      </c>
      <c r="T53" s="45">
        <f t="shared" si="19"/>
        <v>174671.94207274032</v>
      </c>
      <c r="U53" s="45">
        <f t="shared" si="19"/>
        <v>174671.94207274032</v>
      </c>
      <c r="V53" s="45">
        <f t="shared" si="19"/>
        <v>174671.94207274032</v>
      </c>
      <c r="W53" s="45">
        <f t="shared" si="19"/>
        <v>174671.94207274032</v>
      </c>
      <c r="X53" s="45">
        <f t="shared" si="19"/>
        <v>174671.94207274032</v>
      </c>
      <c r="Y53" s="45">
        <f t="shared" si="19"/>
        <v>174671.94207274032</v>
      </c>
      <c r="Z53" s="45">
        <f t="shared" si="19"/>
        <v>174671.94207274032</v>
      </c>
      <c r="AA53" s="45">
        <f t="shared" si="19"/>
        <v>174671.94207274032</v>
      </c>
      <c r="AB53" s="45">
        <f t="shared" si="19"/>
        <v>174671.94207274032</v>
      </c>
      <c r="AC53" s="45">
        <f t="shared" si="19"/>
        <v>174671.94207274032</v>
      </c>
      <c r="AD53" s="45">
        <f t="shared" si="19"/>
        <v>174671.94207274032</v>
      </c>
      <c r="AE53" s="45">
        <f t="shared" si="19"/>
        <v>174671.94207274032</v>
      </c>
      <c r="AF53" s="45">
        <f t="shared" si="19"/>
        <v>174671.94207274032</v>
      </c>
      <c r="AG53" s="46">
        <f>SUM(I53:AF53)</f>
        <v>4192126.6097457674</v>
      </c>
    </row>
    <row r="54" spans="2:33" ht="14.4" x14ac:dyDescent="0.25">
      <c r="B54">
        <f t="shared" si="0"/>
        <v>10</v>
      </c>
      <c r="C54">
        <f t="shared" si="1"/>
        <v>2027</v>
      </c>
      <c r="D54" t="str">
        <f t="shared" ref="D54:D57" si="20">+_xlfn.CONCAT(B54:C54,G54)</f>
        <v>102027OR</v>
      </c>
      <c r="E54" s="67">
        <v>46661</v>
      </c>
      <c r="F54" s="72">
        <f>+AG58</f>
        <v>4154381.0243290365</v>
      </c>
      <c r="G54" s="37" t="s">
        <v>57</v>
      </c>
      <c r="H54" s="37">
        <v>20</v>
      </c>
      <c r="I54" s="65">
        <v>5583.8454628078462</v>
      </c>
      <c r="J54" s="65">
        <v>5583.8454628078462</v>
      </c>
      <c r="K54" s="65">
        <v>5583.8454628078462</v>
      </c>
      <c r="L54" s="65">
        <v>5583.8454628078462</v>
      </c>
      <c r="M54" s="65">
        <v>5583.8454628078462</v>
      </c>
      <c r="N54" s="65">
        <v>5583.8454628078462</v>
      </c>
      <c r="O54" s="65">
        <v>5583.8454628078462</v>
      </c>
      <c r="P54" s="65">
        <v>5583.8454628078462</v>
      </c>
      <c r="Q54" s="65">
        <v>5583.8454628078462</v>
      </c>
      <c r="R54" s="65">
        <v>5583.8454628078462</v>
      </c>
      <c r="S54" s="65">
        <v>5583.8454628078462</v>
      </c>
      <c r="T54" s="65">
        <v>5583.8454628078462</v>
      </c>
      <c r="U54" s="65">
        <v>5583.8454628078462</v>
      </c>
      <c r="V54" s="65">
        <v>5583.8454628078462</v>
      </c>
      <c r="W54" s="65">
        <v>5583.8454628078462</v>
      </c>
      <c r="X54" s="65">
        <v>5583.8454628078462</v>
      </c>
      <c r="Y54" s="65">
        <v>5583.8454628078462</v>
      </c>
      <c r="Z54" s="65">
        <v>5583.8454628078462</v>
      </c>
      <c r="AA54" s="65">
        <v>5583.8454628078462</v>
      </c>
      <c r="AB54" s="65">
        <v>5583.8454628078462</v>
      </c>
      <c r="AC54" s="65">
        <v>5583.8454628078462</v>
      </c>
      <c r="AD54" s="65">
        <v>5583.8454628078462</v>
      </c>
      <c r="AE54" s="65">
        <v>5583.8454628078462</v>
      </c>
      <c r="AF54" s="65">
        <v>5583.8454628078462</v>
      </c>
      <c r="AG54" s="38">
        <f>+SUM(I54:AF54)*H54</f>
        <v>2680245.8221477661</v>
      </c>
    </row>
    <row r="55" spans="2:33" ht="14.4" x14ac:dyDescent="0.25">
      <c r="B55">
        <f t="shared" si="0"/>
        <v>10</v>
      </c>
      <c r="C55">
        <f t="shared" si="1"/>
        <v>2027</v>
      </c>
      <c r="D55" t="str">
        <f t="shared" si="20"/>
        <v>102027SA</v>
      </c>
      <c r="E55" s="68">
        <v>46661</v>
      </c>
      <c r="F55" s="73"/>
      <c r="G55" s="39" t="s">
        <v>60</v>
      </c>
      <c r="H55" s="39">
        <v>5</v>
      </c>
      <c r="I55" s="65">
        <v>5583.8454628078443</v>
      </c>
      <c r="J55" s="65">
        <v>5583.8454628078443</v>
      </c>
      <c r="K55" s="65">
        <v>5583.8454628078443</v>
      </c>
      <c r="L55" s="65">
        <v>5583.8454628078443</v>
      </c>
      <c r="M55" s="65">
        <v>5583.8454628078443</v>
      </c>
      <c r="N55" s="65">
        <v>5583.8454628078443</v>
      </c>
      <c r="O55" s="65">
        <v>5583.8454628078443</v>
      </c>
      <c r="P55" s="65">
        <v>5583.8454628078443</v>
      </c>
      <c r="Q55" s="65">
        <v>5583.8454628078443</v>
      </c>
      <c r="R55" s="65">
        <v>5583.8454628078443</v>
      </c>
      <c r="S55" s="65">
        <v>5583.8454628078443</v>
      </c>
      <c r="T55" s="65">
        <v>5583.8454628078443</v>
      </c>
      <c r="U55" s="65">
        <v>5583.8454628078443</v>
      </c>
      <c r="V55" s="65">
        <v>5583.8454628078443</v>
      </c>
      <c r="W55" s="65">
        <v>5583.8454628078443</v>
      </c>
      <c r="X55" s="65">
        <v>5583.8454628078443</v>
      </c>
      <c r="Y55" s="65">
        <v>5583.8454628078443</v>
      </c>
      <c r="Z55" s="65">
        <v>5583.8454628078443</v>
      </c>
      <c r="AA55" s="65">
        <v>5583.8454628078443</v>
      </c>
      <c r="AB55" s="65">
        <v>5583.8454628078443</v>
      </c>
      <c r="AC55" s="65">
        <v>5583.8454628078443</v>
      </c>
      <c r="AD55" s="65">
        <v>5583.8454628078443</v>
      </c>
      <c r="AE55" s="65">
        <v>5583.8454628078443</v>
      </c>
      <c r="AF55" s="65">
        <v>5583.8454628078443</v>
      </c>
      <c r="AG55" s="40">
        <f>+SUM(I55:AF55)*H55</f>
        <v>670061.45553694153</v>
      </c>
    </row>
    <row r="56" spans="2:33" ht="14.4" x14ac:dyDescent="0.25">
      <c r="B56">
        <f t="shared" si="0"/>
        <v>10</v>
      </c>
      <c r="C56">
        <f t="shared" si="1"/>
        <v>2027</v>
      </c>
      <c r="D56" t="str">
        <f t="shared" si="20"/>
        <v>102027DO</v>
      </c>
      <c r="E56" s="68">
        <v>46661</v>
      </c>
      <c r="F56" s="73"/>
      <c r="G56" s="41" t="s">
        <v>58</v>
      </c>
      <c r="H56" s="41">
        <v>5</v>
      </c>
      <c r="I56" s="65">
        <v>5583.8454628078443</v>
      </c>
      <c r="J56" s="65">
        <v>5583.8454628078443</v>
      </c>
      <c r="K56" s="65">
        <v>5583.8454628078443</v>
      </c>
      <c r="L56" s="65">
        <v>5583.8454628078443</v>
      </c>
      <c r="M56" s="65">
        <v>5583.8454628078443</v>
      </c>
      <c r="N56" s="65">
        <v>5583.8454628078443</v>
      </c>
      <c r="O56" s="65">
        <v>5583.8454628078443</v>
      </c>
      <c r="P56" s="65">
        <v>5583.8454628078443</v>
      </c>
      <c r="Q56" s="65">
        <v>5583.8454628078443</v>
      </c>
      <c r="R56" s="65">
        <v>5583.8454628078443</v>
      </c>
      <c r="S56" s="65">
        <v>5583.8454628078443</v>
      </c>
      <c r="T56" s="65">
        <v>5583.8454628078443</v>
      </c>
      <c r="U56" s="65">
        <v>5583.8454628078443</v>
      </c>
      <c r="V56" s="65">
        <v>5583.8454628078443</v>
      </c>
      <c r="W56" s="65">
        <v>5583.8454628078443</v>
      </c>
      <c r="X56" s="65">
        <v>5583.8454628078443</v>
      </c>
      <c r="Y56" s="65">
        <v>5583.8454628078443</v>
      </c>
      <c r="Z56" s="65">
        <v>5583.8454628078443</v>
      </c>
      <c r="AA56" s="65">
        <v>5583.8454628078443</v>
      </c>
      <c r="AB56" s="65">
        <v>5583.8454628078443</v>
      </c>
      <c r="AC56" s="65">
        <v>5583.8454628078443</v>
      </c>
      <c r="AD56" s="65">
        <v>5583.8454628078443</v>
      </c>
      <c r="AE56" s="65">
        <v>5583.8454628078443</v>
      </c>
      <c r="AF56" s="65">
        <v>5583.8454628078443</v>
      </c>
      <c r="AG56" s="40">
        <f>+SUM(I56:AF56)*H56</f>
        <v>670061.45553694153</v>
      </c>
    </row>
    <row r="57" spans="2:33" ht="14.4" x14ac:dyDescent="0.25">
      <c r="B57">
        <f t="shared" si="0"/>
        <v>10</v>
      </c>
      <c r="C57">
        <f t="shared" si="1"/>
        <v>2027</v>
      </c>
      <c r="D57" t="str">
        <f t="shared" si="20"/>
        <v>102027FE</v>
      </c>
      <c r="E57" s="68">
        <v>46661</v>
      </c>
      <c r="F57" s="73"/>
      <c r="G57" s="42" t="s">
        <v>59</v>
      </c>
      <c r="H57" s="42">
        <v>1</v>
      </c>
      <c r="I57" s="65">
        <v>5583.8454628078443</v>
      </c>
      <c r="J57" s="65">
        <v>5583.8454628078443</v>
      </c>
      <c r="K57" s="65">
        <v>5583.8454628078443</v>
      </c>
      <c r="L57" s="65">
        <v>5583.8454628078443</v>
      </c>
      <c r="M57" s="65">
        <v>5583.8454628078443</v>
      </c>
      <c r="N57" s="65">
        <v>5583.8454628078443</v>
      </c>
      <c r="O57" s="65">
        <v>5583.8454628078443</v>
      </c>
      <c r="P57" s="65">
        <v>5583.8454628078443</v>
      </c>
      <c r="Q57" s="65">
        <v>5583.8454628078443</v>
      </c>
      <c r="R57" s="65">
        <v>5583.8454628078443</v>
      </c>
      <c r="S57" s="65">
        <v>5583.8454628078443</v>
      </c>
      <c r="T57" s="65">
        <v>5583.8454628078443</v>
      </c>
      <c r="U57" s="65">
        <v>5583.8454628078443</v>
      </c>
      <c r="V57" s="65">
        <v>5583.8454628078443</v>
      </c>
      <c r="W57" s="65">
        <v>5583.8454628078443</v>
      </c>
      <c r="X57" s="65">
        <v>5583.8454628078443</v>
      </c>
      <c r="Y57" s="65">
        <v>5583.8454628078443</v>
      </c>
      <c r="Z57" s="65">
        <v>5583.8454628078443</v>
      </c>
      <c r="AA57" s="65">
        <v>5583.8454628078443</v>
      </c>
      <c r="AB57" s="65">
        <v>5583.8454628078443</v>
      </c>
      <c r="AC57" s="65">
        <v>5583.8454628078443</v>
      </c>
      <c r="AD57" s="65">
        <v>5583.8454628078443</v>
      </c>
      <c r="AE57" s="65">
        <v>5583.8454628078443</v>
      </c>
      <c r="AF57" s="65">
        <v>5583.8454628078443</v>
      </c>
      <c r="AG57" s="43">
        <f>+SUM(I57:AF57)*H57</f>
        <v>134012.2911073883</v>
      </c>
    </row>
    <row r="58" spans="2:33" ht="15" thickBot="1" x14ac:dyDescent="0.3">
      <c r="B58">
        <f t="shared" si="0"/>
        <v>10</v>
      </c>
      <c r="C58">
        <f t="shared" si="1"/>
        <v>2027</v>
      </c>
      <c r="D58" t="str">
        <f>+_xlfn.CONCAT(E58,G58)</f>
        <v>46661TOTAL</v>
      </c>
      <c r="E58" s="68">
        <v>46661</v>
      </c>
      <c r="F58" s="61"/>
      <c r="G58" s="44" t="s">
        <v>10</v>
      </c>
      <c r="H58" s="44">
        <f>+SUM(H54:H57)</f>
        <v>31</v>
      </c>
      <c r="I58" s="45">
        <f t="shared" ref="I58:AF58" si="21">+SUMPRODUCT(I54:I57,$H54:$H57)</f>
        <v>173099.20934704319</v>
      </c>
      <c r="J58" s="45">
        <f t="shared" si="21"/>
        <v>173099.20934704319</v>
      </c>
      <c r="K58" s="45">
        <f t="shared" si="21"/>
        <v>173099.20934704319</v>
      </c>
      <c r="L58" s="45">
        <f t="shared" si="21"/>
        <v>173099.20934704319</v>
      </c>
      <c r="M58" s="45">
        <f t="shared" si="21"/>
        <v>173099.20934704319</v>
      </c>
      <c r="N58" s="45">
        <f t="shared" si="21"/>
        <v>173099.20934704319</v>
      </c>
      <c r="O58" s="45">
        <f t="shared" si="21"/>
        <v>173099.20934704319</v>
      </c>
      <c r="P58" s="45">
        <f t="shared" si="21"/>
        <v>173099.20934704319</v>
      </c>
      <c r="Q58" s="45">
        <f t="shared" si="21"/>
        <v>173099.20934704319</v>
      </c>
      <c r="R58" s="45">
        <f t="shared" si="21"/>
        <v>173099.20934704319</v>
      </c>
      <c r="S58" s="45">
        <f t="shared" si="21"/>
        <v>173099.20934704319</v>
      </c>
      <c r="T58" s="45">
        <f t="shared" si="21"/>
        <v>173099.20934704319</v>
      </c>
      <c r="U58" s="45">
        <f t="shared" si="21"/>
        <v>173099.20934704319</v>
      </c>
      <c r="V58" s="45">
        <f t="shared" si="21"/>
        <v>173099.20934704319</v>
      </c>
      <c r="W58" s="45">
        <f t="shared" si="21"/>
        <v>173099.20934704319</v>
      </c>
      <c r="X58" s="45">
        <f t="shared" si="21"/>
        <v>173099.20934704319</v>
      </c>
      <c r="Y58" s="45">
        <f t="shared" si="21"/>
        <v>173099.20934704319</v>
      </c>
      <c r="Z58" s="45">
        <f t="shared" si="21"/>
        <v>173099.20934704319</v>
      </c>
      <c r="AA58" s="45">
        <f t="shared" si="21"/>
        <v>173099.20934704319</v>
      </c>
      <c r="AB58" s="45">
        <f t="shared" si="21"/>
        <v>173099.20934704319</v>
      </c>
      <c r="AC58" s="45">
        <f t="shared" si="21"/>
        <v>173099.20934704319</v>
      </c>
      <c r="AD58" s="45">
        <f t="shared" si="21"/>
        <v>173099.20934704319</v>
      </c>
      <c r="AE58" s="45">
        <f t="shared" si="21"/>
        <v>173099.20934704319</v>
      </c>
      <c r="AF58" s="45">
        <f t="shared" si="21"/>
        <v>173099.20934704319</v>
      </c>
      <c r="AG58" s="46">
        <f>SUM(I58:AF58)</f>
        <v>4154381.0243290365</v>
      </c>
    </row>
    <row r="59" spans="2:33" ht="14.4" x14ac:dyDescent="0.25">
      <c r="B59">
        <f t="shared" si="0"/>
        <v>11</v>
      </c>
      <c r="C59">
        <f t="shared" si="1"/>
        <v>2027</v>
      </c>
      <c r="D59" t="str">
        <f t="shared" ref="D59:D62" si="22">+_xlfn.CONCAT(B59:C59,G59)</f>
        <v>112027OR</v>
      </c>
      <c r="E59" s="67">
        <v>46692</v>
      </c>
      <c r="F59" s="72">
        <f>+AG63</f>
        <v>4343197.6571849808</v>
      </c>
      <c r="G59" s="37" t="s">
        <v>57</v>
      </c>
      <c r="H59" s="37">
        <v>20</v>
      </c>
      <c r="I59" s="65">
        <v>6032.2189683124734</v>
      </c>
      <c r="J59" s="65">
        <v>6032.2189683124734</v>
      </c>
      <c r="K59" s="65">
        <v>6032.2189683124734</v>
      </c>
      <c r="L59" s="65">
        <v>6032.2189683124734</v>
      </c>
      <c r="M59" s="65">
        <v>6032.2189683124734</v>
      </c>
      <c r="N59" s="65">
        <v>6032.2189683124734</v>
      </c>
      <c r="O59" s="65">
        <v>6032.2189683124734</v>
      </c>
      <c r="P59" s="65">
        <v>6032.2189683124734</v>
      </c>
      <c r="Q59" s="65">
        <v>6032.2189683124734</v>
      </c>
      <c r="R59" s="65">
        <v>6032.2189683124734</v>
      </c>
      <c r="S59" s="65">
        <v>6032.2189683124734</v>
      </c>
      <c r="T59" s="65">
        <v>6032.2189683124734</v>
      </c>
      <c r="U59" s="65">
        <v>6032.2189683124734</v>
      </c>
      <c r="V59" s="65">
        <v>6032.2189683124734</v>
      </c>
      <c r="W59" s="65">
        <v>6032.2189683124734</v>
      </c>
      <c r="X59" s="65">
        <v>6032.2189683124734</v>
      </c>
      <c r="Y59" s="65">
        <v>6032.2189683124734</v>
      </c>
      <c r="Z59" s="65">
        <v>6032.2189683124734</v>
      </c>
      <c r="AA59" s="65">
        <v>6032.2189683124734</v>
      </c>
      <c r="AB59" s="65">
        <v>6032.2189683124734</v>
      </c>
      <c r="AC59" s="65">
        <v>6032.2189683124734</v>
      </c>
      <c r="AD59" s="65">
        <v>6032.2189683124734</v>
      </c>
      <c r="AE59" s="65">
        <v>6032.2189683124734</v>
      </c>
      <c r="AF59" s="65">
        <v>6032.2189683124734</v>
      </c>
      <c r="AG59" s="38">
        <f>+SUM(I59:AF59)*H59</f>
        <v>2895465.1047899863</v>
      </c>
    </row>
    <row r="60" spans="2:33" ht="14.4" x14ac:dyDescent="0.25">
      <c r="B60">
        <f t="shared" si="0"/>
        <v>11</v>
      </c>
      <c r="C60">
        <f t="shared" si="1"/>
        <v>2027</v>
      </c>
      <c r="D60" t="str">
        <f t="shared" si="22"/>
        <v>112027SA</v>
      </c>
      <c r="E60" s="68">
        <v>46692</v>
      </c>
      <c r="F60" s="73"/>
      <c r="G60" s="39" t="s">
        <v>60</v>
      </c>
      <c r="H60" s="39">
        <v>4</v>
      </c>
      <c r="I60" s="65">
        <v>6032.2189683124725</v>
      </c>
      <c r="J60" s="65">
        <v>6032.2189683124725</v>
      </c>
      <c r="K60" s="65">
        <v>6032.2189683124725</v>
      </c>
      <c r="L60" s="65">
        <v>6032.2189683124725</v>
      </c>
      <c r="M60" s="65">
        <v>6032.2189683124725</v>
      </c>
      <c r="N60" s="65">
        <v>6032.2189683124725</v>
      </c>
      <c r="O60" s="65">
        <v>6032.2189683124725</v>
      </c>
      <c r="P60" s="65">
        <v>6032.2189683124725</v>
      </c>
      <c r="Q60" s="65">
        <v>6032.2189683124725</v>
      </c>
      <c r="R60" s="65">
        <v>6032.2189683124725</v>
      </c>
      <c r="S60" s="65">
        <v>6032.2189683124725</v>
      </c>
      <c r="T60" s="65">
        <v>6032.2189683124725</v>
      </c>
      <c r="U60" s="65">
        <v>6032.2189683124725</v>
      </c>
      <c r="V60" s="65">
        <v>6032.2189683124725</v>
      </c>
      <c r="W60" s="65">
        <v>6032.2189683124725</v>
      </c>
      <c r="X60" s="65">
        <v>6032.2189683124725</v>
      </c>
      <c r="Y60" s="65">
        <v>6032.2189683124725</v>
      </c>
      <c r="Z60" s="65">
        <v>6032.2189683124725</v>
      </c>
      <c r="AA60" s="65">
        <v>6032.2189683124725</v>
      </c>
      <c r="AB60" s="65">
        <v>6032.2189683124725</v>
      </c>
      <c r="AC60" s="65">
        <v>6032.2189683124725</v>
      </c>
      <c r="AD60" s="65">
        <v>6032.2189683124725</v>
      </c>
      <c r="AE60" s="65">
        <v>6032.2189683124725</v>
      </c>
      <c r="AF60" s="65">
        <v>6032.2189683124725</v>
      </c>
      <c r="AG60" s="40">
        <f>+SUM(I60:AF60)*H60</f>
        <v>579093.0209579973</v>
      </c>
    </row>
    <row r="61" spans="2:33" ht="14.4" x14ac:dyDescent="0.25">
      <c r="B61">
        <f t="shared" si="0"/>
        <v>11</v>
      </c>
      <c r="C61">
        <f t="shared" si="1"/>
        <v>2027</v>
      </c>
      <c r="D61" t="str">
        <f t="shared" si="22"/>
        <v>112027DO</v>
      </c>
      <c r="E61" s="68">
        <v>46692</v>
      </c>
      <c r="F61" s="73"/>
      <c r="G61" s="41" t="s">
        <v>58</v>
      </c>
      <c r="H61" s="41">
        <v>4</v>
      </c>
      <c r="I61" s="65">
        <v>6032.2189683124725</v>
      </c>
      <c r="J61" s="65">
        <v>6032.2189683124725</v>
      </c>
      <c r="K61" s="65">
        <v>6032.2189683124725</v>
      </c>
      <c r="L61" s="65">
        <v>6032.2189683124725</v>
      </c>
      <c r="M61" s="65">
        <v>6032.2189683124725</v>
      </c>
      <c r="N61" s="65">
        <v>6032.2189683124725</v>
      </c>
      <c r="O61" s="65">
        <v>6032.2189683124725</v>
      </c>
      <c r="P61" s="65">
        <v>6032.2189683124725</v>
      </c>
      <c r="Q61" s="65">
        <v>6032.2189683124725</v>
      </c>
      <c r="R61" s="65">
        <v>6032.2189683124725</v>
      </c>
      <c r="S61" s="65">
        <v>6032.2189683124725</v>
      </c>
      <c r="T61" s="65">
        <v>6032.2189683124725</v>
      </c>
      <c r="U61" s="65">
        <v>6032.2189683124725</v>
      </c>
      <c r="V61" s="65">
        <v>6032.2189683124725</v>
      </c>
      <c r="W61" s="65">
        <v>6032.2189683124725</v>
      </c>
      <c r="X61" s="65">
        <v>6032.2189683124725</v>
      </c>
      <c r="Y61" s="65">
        <v>6032.2189683124725</v>
      </c>
      <c r="Z61" s="65">
        <v>6032.2189683124725</v>
      </c>
      <c r="AA61" s="65">
        <v>6032.2189683124725</v>
      </c>
      <c r="AB61" s="65">
        <v>6032.2189683124725</v>
      </c>
      <c r="AC61" s="65">
        <v>6032.2189683124725</v>
      </c>
      <c r="AD61" s="65">
        <v>6032.2189683124725</v>
      </c>
      <c r="AE61" s="65">
        <v>6032.2189683124725</v>
      </c>
      <c r="AF61" s="65">
        <v>6032.2189683124725</v>
      </c>
      <c r="AG61" s="40">
        <f>+SUM(I61:AF61)*H61</f>
        <v>579093.0209579973</v>
      </c>
    </row>
    <row r="62" spans="2:33" ht="14.4" x14ac:dyDescent="0.25">
      <c r="B62">
        <f t="shared" si="0"/>
        <v>11</v>
      </c>
      <c r="C62">
        <f t="shared" si="1"/>
        <v>2027</v>
      </c>
      <c r="D62" t="str">
        <f t="shared" si="22"/>
        <v>112027FE</v>
      </c>
      <c r="E62" s="68">
        <v>46692</v>
      </c>
      <c r="F62" s="73"/>
      <c r="G62" s="42" t="s">
        <v>59</v>
      </c>
      <c r="H62" s="42">
        <v>2</v>
      </c>
      <c r="I62" s="65">
        <v>6032.2189683124725</v>
      </c>
      <c r="J62" s="65">
        <v>6032.2189683124725</v>
      </c>
      <c r="K62" s="65">
        <v>6032.2189683124725</v>
      </c>
      <c r="L62" s="65">
        <v>6032.2189683124725</v>
      </c>
      <c r="M62" s="65">
        <v>6032.2189683124725</v>
      </c>
      <c r="N62" s="65">
        <v>6032.2189683124725</v>
      </c>
      <c r="O62" s="65">
        <v>6032.2189683124725</v>
      </c>
      <c r="P62" s="65">
        <v>6032.2189683124725</v>
      </c>
      <c r="Q62" s="65">
        <v>6032.2189683124725</v>
      </c>
      <c r="R62" s="65">
        <v>6032.2189683124725</v>
      </c>
      <c r="S62" s="65">
        <v>6032.2189683124725</v>
      </c>
      <c r="T62" s="65">
        <v>6032.2189683124725</v>
      </c>
      <c r="U62" s="65">
        <v>6032.2189683124725</v>
      </c>
      <c r="V62" s="65">
        <v>6032.2189683124725</v>
      </c>
      <c r="W62" s="65">
        <v>6032.2189683124725</v>
      </c>
      <c r="X62" s="65">
        <v>6032.2189683124725</v>
      </c>
      <c r="Y62" s="65">
        <v>6032.2189683124725</v>
      </c>
      <c r="Z62" s="65">
        <v>6032.2189683124725</v>
      </c>
      <c r="AA62" s="65">
        <v>6032.2189683124725</v>
      </c>
      <c r="AB62" s="65">
        <v>6032.2189683124725</v>
      </c>
      <c r="AC62" s="65">
        <v>6032.2189683124725</v>
      </c>
      <c r="AD62" s="65">
        <v>6032.2189683124725</v>
      </c>
      <c r="AE62" s="65">
        <v>6032.2189683124725</v>
      </c>
      <c r="AF62" s="65">
        <v>6032.2189683124725</v>
      </c>
      <c r="AG62" s="43">
        <f>+SUM(I62:AF62)*H62</f>
        <v>289546.51047899865</v>
      </c>
    </row>
    <row r="63" spans="2:33" ht="15" thickBot="1" x14ac:dyDescent="0.3">
      <c r="B63">
        <f t="shared" si="0"/>
        <v>11</v>
      </c>
      <c r="C63">
        <f t="shared" si="1"/>
        <v>2027</v>
      </c>
      <c r="D63" t="str">
        <f>+_xlfn.CONCAT(E63,G63)</f>
        <v>46692TOTAL</v>
      </c>
      <c r="E63" s="68">
        <v>46692</v>
      </c>
      <c r="F63" s="61"/>
      <c r="G63" s="44" t="s">
        <v>10</v>
      </c>
      <c r="H63" s="44">
        <f>+SUM(H59:H62)</f>
        <v>30</v>
      </c>
      <c r="I63" s="45">
        <f t="shared" ref="I63:AF63" si="23">+SUMPRODUCT(I59:I62,$H59:$H62)</f>
        <v>180966.5690493742</v>
      </c>
      <c r="J63" s="45">
        <f t="shared" si="23"/>
        <v>180966.5690493742</v>
      </c>
      <c r="K63" s="45">
        <f t="shared" si="23"/>
        <v>180966.5690493742</v>
      </c>
      <c r="L63" s="45">
        <f t="shared" si="23"/>
        <v>180966.5690493742</v>
      </c>
      <c r="M63" s="45">
        <f t="shared" si="23"/>
        <v>180966.5690493742</v>
      </c>
      <c r="N63" s="45">
        <f t="shared" si="23"/>
        <v>180966.5690493742</v>
      </c>
      <c r="O63" s="45">
        <f t="shared" si="23"/>
        <v>180966.5690493742</v>
      </c>
      <c r="P63" s="45">
        <f t="shared" si="23"/>
        <v>180966.5690493742</v>
      </c>
      <c r="Q63" s="45">
        <f t="shared" si="23"/>
        <v>180966.5690493742</v>
      </c>
      <c r="R63" s="45">
        <f t="shared" si="23"/>
        <v>180966.5690493742</v>
      </c>
      <c r="S63" s="45">
        <f t="shared" si="23"/>
        <v>180966.5690493742</v>
      </c>
      <c r="T63" s="45">
        <f t="shared" si="23"/>
        <v>180966.5690493742</v>
      </c>
      <c r="U63" s="45">
        <f t="shared" si="23"/>
        <v>180966.5690493742</v>
      </c>
      <c r="V63" s="45">
        <f t="shared" si="23"/>
        <v>180966.5690493742</v>
      </c>
      <c r="W63" s="45">
        <f t="shared" si="23"/>
        <v>180966.5690493742</v>
      </c>
      <c r="X63" s="45">
        <f t="shared" si="23"/>
        <v>180966.5690493742</v>
      </c>
      <c r="Y63" s="45">
        <f t="shared" si="23"/>
        <v>180966.5690493742</v>
      </c>
      <c r="Z63" s="45">
        <f t="shared" si="23"/>
        <v>180966.5690493742</v>
      </c>
      <c r="AA63" s="45">
        <f t="shared" si="23"/>
        <v>180966.5690493742</v>
      </c>
      <c r="AB63" s="45">
        <f t="shared" si="23"/>
        <v>180966.5690493742</v>
      </c>
      <c r="AC63" s="45">
        <f t="shared" si="23"/>
        <v>180966.5690493742</v>
      </c>
      <c r="AD63" s="45">
        <f t="shared" si="23"/>
        <v>180966.5690493742</v>
      </c>
      <c r="AE63" s="45">
        <f t="shared" si="23"/>
        <v>180966.5690493742</v>
      </c>
      <c r="AF63" s="45">
        <f t="shared" si="23"/>
        <v>180966.5690493742</v>
      </c>
      <c r="AG63" s="46">
        <f>SUM(I63:AF63)</f>
        <v>4343197.6571849808</v>
      </c>
    </row>
    <row r="64" spans="2:33" ht="14.4" x14ac:dyDescent="0.25">
      <c r="B64">
        <f t="shared" si="0"/>
        <v>12</v>
      </c>
      <c r="C64">
        <f t="shared" si="1"/>
        <v>2027</v>
      </c>
      <c r="D64" t="str">
        <f t="shared" ref="D64:D67" si="24">+_xlfn.CONCAT(B64:C64,G64)</f>
        <v>122027OR</v>
      </c>
      <c r="E64" s="67">
        <v>46722</v>
      </c>
      <c r="F64" s="72">
        <f>+AG68</f>
        <v>4433241.8852167251</v>
      </c>
      <c r="G64" s="37" t="s">
        <v>57</v>
      </c>
      <c r="H64" s="37">
        <v>22</v>
      </c>
      <c r="I64" s="65">
        <v>5958.6584478719424</v>
      </c>
      <c r="J64" s="65">
        <v>5958.6584478719424</v>
      </c>
      <c r="K64" s="65">
        <v>5958.6584478719424</v>
      </c>
      <c r="L64" s="65">
        <v>5958.6584478719424</v>
      </c>
      <c r="M64" s="65">
        <v>5958.6584478719424</v>
      </c>
      <c r="N64" s="65">
        <v>5958.6584478719424</v>
      </c>
      <c r="O64" s="65">
        <v>5958.6584478719424</v>
      </c>
      <c r="P64" s="65">
        <v>5958.6584478719424</v>
      </c>
      <c r="Q64" s="65">
        <v>5958.6584478719424</v>
      </c>
      <c r="R64" s="65">
        <v>5958.6584478719424</v>
      </c>
      <c r="S64" s="65">
        <v>5958.6584478719424</v>
      </c>
      <c r="T64" s="65">
        <v>5958.6584478719424</v>
      </c>
      <c r="U64" s="65">
        <v>5958.6584478719424</v>
      </c>
      <c r="V64" s="65">
        <v>5958.6584478719424</v>
      </c>
      <c r="W64" s="65">
        <v>5958.6584478719424</v>
      </c>
      <c r="X64" s="65">
        <v>5958.6584478719424</v>
      </c>
      <c r="Y64" s="65">
        <v>5958.6584478719424</v>
      </c>
      <c r="Z64" s="65">
        <v>5958.6584478719424</v>
      </c>
      <c r="AA64" s="65">
        <v>5958.6584478719424</v>
      </c>
      <c r="AB64" s="65">
        <v>5958.6584478719424</v>
      </c>
      <c r="AC64" s="65">
        <v>5958.6584478719424</v>
      </c>
      <c r="AD64" s="65">
        <v>5958.6584478719424</v>
      </c>
      <c r="AE64" s="65">
        <v>5958.6584478719424</v>
      </c>
      <c r="AF64" s="65">
        <v>5958.6584478719424</v>
      </c>
      <c r="AG64" s="38">
        <f>+SUM(I64:AF64)*H64</f>
        <v>3146171.6604763865</v>
      </c>
    </row>
    <row r="65" spans="2:33" ht="14.4" x14ac:dyDescent="0.25">
      <c r="B65">
        <f t="shared" si="0"/>
        <v>12</v>
      </c>
      <c r="C65">
        <f t="shared" si="1"/>
        <v>2027</v>
      </c>
      <c r="D65" t="str">
        <f t="shared" si="24"/>
        <v>122027SA</v>
      </c>
      <c r="E65" s="68">
        <v>46722</v>
      </c>
      <c r="F65" s="73"/>
      <c r="G65" s="39" t="s">
        <v>60</v>
      </c>
      <c r="H65" s="39">
        <v>3</v>
      </c>
      <c r="I65" s="65">
        <v>5958.6584478719406</v>
      </c>
      <c r="J65" s="65">
        <v>5958.6584478719406</v>
      </c>
      <c r="K65" s="65">
        <v>5958.6584478719406</v>
      </c>
      <c r="L65" s="65">
        <v>5958.6584478719406</v>
      </c>
      <c r="M65" s="65">
        <v>5958.6584478719406</v>
      </c>
      <c r="N65" s="65">
        <v>5958.6584478719406</v>
      </c>
      <c r="O65" s="65">
        <v>5958.6584478719406</v>
      </c>
      <c r="P65" s="65">
        <v>5958.6584478719406</v>
      </c>
      <c r="Q65" s="65">
        <v>5958.6584478719406</v>
      </c>
      <c r="R65" s="65">
        <v>5958.6584478719406</v>
      </c>
      <c r="S65" s="65">
        <v>5958.6584478719406</v>
      </c>
      <c r="T65" s="65">
        <v>5958.6584478719406</v>
      </c>
      <c r="U65" s="65">
        <v>5958.6584478719406</v>
      </c>
      <c r="V65" s="65">
        <v>5958.6584478719406</v>
      </c>
      <c r="W65" s="65">
        <v>5958.6584478719406</v>
      </c>
      <c r="X65" s="65">
        <v>5958.6584478719406</v>
      </c>
      <c r="Y65" s="65">
        <v>5958.6584478719406</v>
      </c>
      <c r="Z65" s="65">
        <v>5958.6584478719406</v>
      </c>
      <c r="AA65" s="65">
        <v>5958.6584478719406</v>
      </c>
      <c r="AB65" s="65">
        <v>5958.6584478719406</v>
      </c>
      <c r="AC65" s="65">
        <v>5958.6584478719406</v>
      </c>
      <c r="AD65" s="65">
        <v>5958.6584478719406</v>
      </c>
      <c r="AE65" s="65">
        <v>5958.6584478719406</v>
      </c>
      <c r="AF65" s="65">
        <v>5958.6584478719406</v>
      </c>
      <c r="AG65" s="40">
        <f>+SUM(I65:AF65)*H65</f>
        <v>429023.40824677987</v>
      </c>
    </row>
    <row r="66" spans="2:33" ht="14.4" x14ac:dyDescent="0.25">
      <c r="B66">
        <f t="shared" si="0"/>
        <v>12</v>
      </c>
      <c r="C66">
        <f t="shared" si="1"/>
        <v>2027</v>
      </c>
      <c r="D66" t="str">
        <f t="shared" si="24"/>
        <v>122027DO</v>
      </c>
      <c r="E66" s="68">
        <v>46722</v>
      </c>
      <c r="F66" s="73"/>
      <c r="G66" s="41" t="s">
        <v>58</v>
      </c>
      <c r="H66" s="41">
        <v>4</v>
      </c>
      <c r="I66" s="65">
        <v>5958.6584478719406</v>
      </c>
      <c r="J66" s="65">
        <v>5958.6584478719406</v>
      </c>
      <c r="K66" s="65">
        <v>5958.6584478719406</v>
      </c>
      <c r="L66" s="65">
        <v>5958.6584478719406</v>
      </c>
      <c r="M66" s="65">
        <v>5958.6584478719406</v>
      </c>
      <c r="N66" s="65">
        <v>5958.6584478719406</v>
      </c>
      <c r="O66" s="65">
        <v>5958.6584478719406</v>
      </c>
      <c r="P66" s="65">
        <v>5958.6584478719406</v>
      </c>
      <c r="Q66" s="65">
        <v>5958.6584478719406</v>
      </c>
      <c r="R66" s="65">
        <v>5958.6584478719406</v>
      </c>
      <c r="S66" s="65">
        <v>5958.6584478719406</v>
      </c>
      <c r="T66" s="65">
        <v>5958.6584478719406</v>
      </c>
      <c r="U66" s="65">
        <v>5958.6584478719406</v>
      </c>
      <c r="V66" s="65">
        <v>5958.6584478719406</v>
      </c>
      <c r="W66" s="65">
        <v>5958.6584478719406</v>
      </c>
      <c r="X66" s="65">
        <v>5958.6584478719406</v>
      </c>
      <c r="Y66" s="65">
        <v>5958.6584478719406</v>
      </c>
      <c r="Z66" s="65">
        <v>5958.6584478719406</v>
      </c>
      <c r="AA66" s="65">
        <v>5958.6584478719406</v>
      </c>
      <c r="AB66" s="65">
        <v>5958.6584478719406</v>
      </c>
      <c r="AC66" s="65">
        <v>5958.6584478719406</v>
      </c>
      <c r="AD66" s="65">
        <v>5958.6584478719406</v>
      </c>
      <c r="AE66" s="65">
        <v>5958.6584478719406</v>
      </c>
      <c r="AF66" s="65">
        <v>5958.6584478719406</v>
      </c>
      <c r="AG66" s="40">
        <f>+SUM(I66:AF66)*H66</f>
        <v>572031.2109957065</v>
      </c>
    </row>
    <row r="67" spans="2:33" ht="14.4" x14ac:dyDescent="0.25">
      <c r="B67">
        <f t="shared" si="0"/>
        <v>12</v>
      </c>
      <c r="C67">
        <f t="shared" si="1"/>
        <v>2027</v>
      </c>
      <c r="D67" t="str">
        <f t="shared" si="24"/>
        <v>122027FE</v>
      </c>
      <c r="E67" s="68">
        <v>46722</v>
      </c>
      <c r="F67" s="73"/>
      <c r="G67" s="42" t="s">
        <v>59</v>
      </c>
      <c r="H67" s="42">
        <v>2</v>
      </c>
      <c r="I67" s="65">
        <v>5958.6584478719406</v>
      </c>
      <c r="J67" s="65">
        <v>5958.6584478719406</v>
      </c>
      <c r="K67" s="65">
        <v>5958.6584478719406</v>
      </c>
      <c r="L67" s="65">
        <v>5958.6584478719406</v>
      </c>
      <c r="M67" s="65">
        <v>5958.6584478719406</v>
      </c>
      <c r="N67" s="65">
        <v>5958.6584478719406</v>
      </c>
      <c r="O67" s="65">
        <v>5958.6584478719406</v>
      </c>
      <c r="P67" s="65">
        <v>5958.6584478719406</v>
      </c>
      <c r="Q67" s="65">
        <v>5958.6584478719406</v>
      </c>
      <c r="R67" s="65">
        <v>5958.6584478719406</v>
      </c>
      <c r="S67" s="65">
        <v>5958.6584478719406</v>
      </c>
      <c r="T67" s="65">
        <v>5958.6584478719406</v>
      </c>
      <c r="U67" s="65">
        <v>5958.6584478719406</v>
      </c>
      <c r="V67" s="65">
        <v>5958.6584478719406</v>
      </c>
      <c r="W67" s="65">
        <v>5958.6584478719406</v>
      </c>
      <c r="X67" s="65">
        <v>5958.6584478719406</v>
      </c>
      <c r="Y67" s="65">
        <v>5958.6584478719406</v>
      </c>
      <c r="Z67" s="65">
        <v>5958.6584478719406</v>
      </c>
      <c r="AA67" s="65">
        <v>5958.6584478719406</v>
      </c>
      <c r="AB67" s="65">
        <v>5958.6584478719406</v>
      </c>
      <c r="AC67" s="65">
        <v>5958.6584478719406</v>
      </c>
      <c r="AD67" s="65">
        <v>5958.6584478719406</v>
      </c>
      <c r="AE67" s="65">
        <v>5958.6584478719406</v>
      </c>
      <c r="AF67" s="65">
        <v>5958.6584478719406</v>
      </c>
      <c r="AG67" s="43">
        <f>+SUM(I67:AF67)*H67</f>
        <v>286015.60549785325</v>
      </c>
    </row>
    <row r="68" spans="2:33" ht="15" thickBot="1" x14ac:dyDescent="0.3">
      <c r="D68" t="str">
        <f>+_xlfn.CONCAT(E68,G68)</f>
        <v>46722TOTAL</v>
      </c>
      <c r="E68" s="68">
        <v>46722</v>
      </c>
      <c r="F68" s="74"/>
      <c r="G68" s="44" t="s">
        <v>10</v>
      </c>
      <c r="H68" s="44">
        <f>+SUM(H64:H67)</f>
        <v>31</v>
      </c>
      <c r="I68" s="45">
        <f t="shared" ref="I68:AF68" si="25">+SUMPRODUCT(I64:I67,$H64:$H67)</f>
        <v>184718.41188403018</v>
      </c>
      <c r="J68" s="45">
        <f t="shared" si="25"/>
        <v>184718.41188403018</v>
      </c>
      <c r="K68" s="45">
        <f t="shared" si="25"/>
        <v>184718.41188403018</v>
      </c>
      <c r="L68" s="45">
        <f t="shared" si="25"/>
        <v>184718.41188403018</v>
      </c>
      <c r="M68" s="45">
        <f t="shared" si="25"/>
        <v>184718.41188403018</v>
      </c>
      <c r="N68" s="45">
        <f t="shared" si="25"/>
        <v>184718.41188403018</v>
      </c>
      <c r="O68" s="45">
        <f t="shared" si="25"/>
        <v>184718.41188403018</v>
      </c>
      <c r="P68" s="45">
        <f t="shared" si="25"/>
        <v>184718.41188403018</v>
      </c>
      <c r="Q68" s="45">
        <f t="shared" si="25"/>
        <v>184718.41188403018</v>
      </c>
      <c r="R68" s="45">
        <f t="shared" si="25"/>
        <v>184718.41188403018</v>
      </c>
      <c r="S68" s="45">
        <f t="shared" si="25"/>
        <v>184718.41188403018</v>
      </c>
      <c r="T68" s="45">
        <f t="shared" si="25"/>
        <v>184718.41188403018</v>
      </c>
      <c r="U68" s="45">
        <f t="shared" si="25"/>
        <v>184718.41188403018</v>
      </c>
      <c r="V68" s="45">
        <f t="shared" si="25"/>
        <v>184718.41188403018</v>
      </c>
      <c r="W68" s="45">
        <f t="shared" si="25"/>
        <v>184718.41188403018</v>
      </c>
      <c r="X68" s="45">
        <f t="shared" si="25"/>
        <v>184718.41188403018</v>
      </c>
      <c r="Y68" s="45">
        <f t="shared" si="25"/>
        <v>184718.41188403018</v>
      </c>
      <c r="Z68" s="45">
        <f t="shared" si="25"/>
        <v>184718.41188403018</v>
      </c>
      <c r="AA68" s="45">
        <f t="shared" si="25"/>
        <v>184718.41188403018</v>
      </c>
      <c r="AB68" s="45">
        <f t="shared" si="25"/>
        <v>184718.41188403018</v>
      </c>
      <c r="AC68" s="45">
        <f t="shared" si="25"/>
        <v>184718.41188403018</v>
      </c>
      <c r="AD68" s="45">
        <f t="shared" si="25"/>
        <v>184718.41188403018</v>
      </c>
      <c r="AE68" s="45">
        <f t="shared" si="25"/>
        <v>184718.41188403018</v>
      </c>
      <c r="AF68" s="45">
        <f t="shared" si="25"/>
        <v>184718.41188403018</v>
      </c>
      <c r="AG68" s="46">
        <f>SUM(I68:AF68)</f>
        <v>4433241.8852167251</v>
      </c>
    </row>
    <row r="69" spans="2:33" ht="14.4" x14ac:dyDescent="0.25">
      <c r="B69">
        <f>+MONTH(E69)</f>
        <v>1</v>
      </c>
      <c r="C69">
        <f>+YEAR(E69)</f>
        <v>2028</v>
      </c>
      <c r="D69" t="str">
        <f>+_xlfn.CONCAT(B69:C69,G69)</f>
        <v>12028OR</v>
      </c>
      <c r="E69" s="67">
        <v>46753</v>
      </c>
      <c r="F69" s="72">
        <f>+AG73</f>
        <v>4335092.6803200012</v>
      </c>
      <c r="G69" s="37" t="s">
        <v>57</v>
      </c>
      <c r="H69" s="37">
        <v>20</v>
      </c>
      <c r="I69" s="65">
        <v>5826.7374735483891</v>
      </c>
      <c r="J69" s="65">
        <v>5826.7374735483891</v>
      </c>
      <c r="K69" s="65">
        <v>5826.7374735483891</v>
      </c>
      <c r="L69" s="65">
        <v>5826.7374735483891</v>
      </c>
      <c r="M69" s="65">
        <v>5826.7374735483891</v>
      </c>
      <c r="N69" s="65">
        <v>5826.7374735483891</v>
      </c>
      <c r="O69" s="65">
        <v>5826.7374735483891</v>
      </c>
      <c r="P69" s="65">
        <v>5826.7374735483891</v>
      </c>
      <c r="Q69" s="65">
        <v>5826.7374735483891</v>
      </c>
      <c r="R69" s="65">
        <v>5826.7374735483891</v>
      </c>
      <c r="S69" s="65">
        <v>5826.7374735483891</v>
      </c>
      <c r="T69" s="65">
        <v>5826.7374735483891</v>
      </c>
      <c r="U69" s="65">
        <v>5826.7374735483891</v>
      </c>
      <c r="V69" s="65">
        <v>5826.7374735483891</v>
      </c>
      <c r="W69" s="65">
        <v>5826.7374735483891</v>
      </c>
      <c r="X69" s="65">
        <v>5826.7374735483891</v>
      </c>
      <c r="Y69" s="65">
        <v>5826.7374735483891</v>
      </c>
      <c r="Z69" s="65">
        <v>5826.7374735483891</v>
      </c>
      <c r="AA69" s="65">
        <v>5826.7374735483891</v>
      </c>
      <c r="AB69" s="65">
        <v>5826.7374735483891</v>
      </c>
      <c r="AC69" s="65">
        <v>5826.7374735483891</v>
      </c>
      <c r="AD69" s="65">
        <v>5826.7374735483891</v>
      </c>
      <c r="AE69" s="65">
        <v>5826.7374735483891</v>
      </c>
      <c r="AF69" s="65">
        <v>5826.7374735483891</v>
      </c>
      <c r="AG69" s="38">
        <f>ROUND(SUM(I69:AF69)*H69,2)</f>
        <v>2796833.99</v>
      </c>
    </row>
    <row r="70" spans="2:33" ht="14.4" x14ac:dyDescent="0.25">
      <c r="B70">
        <f t="shared" ref="B70:B127" si="26">+MONTH(E70)</f>
        <v>1</v>
      </c>
      <c r="C70">
        <f t="shared" ref="C70:C127" si="27">+YEAR(E70)</f>
        <v>2028</v>
      </c>
      <c r="D70" t="str">
        <f t="shared" ref="D70:D72" si="28">+_xlfn.CONCAT(B70:C70,G70)</f>
        <v>12028SA</v>
      </c>
      <c r="E70" s="68">
        <v>46753</v>
      </c>
      <c r="F70" s="73"/>
      <c r="G70" s="39" t="s">
        <v>60</v>
      </c>
      <c r="H70" s="39">
        <v>4</v>
      </c>
      <c r="I70" s="65">
        <v>5826.7374735483872</v>
      </c>
      <c r="J70" s="65">
        <v>5826.7374735483872</v>
      </c>
      <c r="K70" s="65">
        <v>5826.7374735483872</v>
      </c>
      <c r="L70" s="65">
        <v>5826.7374735483872</v>
      </c>
      <c r="M70" s="65">
        <v>5826.7374735483872</v>
      </c>
      <c r="N70" s="65">
        <v>5826.7374735483872</v>
      </c>
      <c r="O70" s="65">
        <v>5826.7374735483872</v>
      </c>
      <c r="P70" s="65">
        <v>5826.7374735483872</v>
      </c>
      <c r="Q70" s="65">
        <v>5826.7374735483872</v>
      </c>
      <c r="R70" s="65">
        <v>5826.7374735483872</v>
      </c>
      <c r="S70" s="65">
        <v>5826.7374735483872</v>
      </c>
      <c r="T70" s="65">
        <v>5826.7374735483872</v>
      </c>
      <c r="U70" s="65">
        <v>5826.7374735483872</v>
      </c>
      <c r="V70" s="65">
        <v>5826.7374735483872</v>
      </c>
      <c r="W70" s="65">
        <v>5826.7374735483872</v>
      </c>
      <c r="X70" s="65">
        <v>5826.7374735483872</v>
      </c>
      <c r="Y70" s="65">
        <v>5826.7374735483872</v>
      </c>
      <c r="Z70" s="65">
        <v>5826.7374735483872</v>
      </c>
      <c r="AA70" s="65">
        <v>5826.7374735483872</v>
      </c>
      <c r="AB70" s="65">
        <v>5826.7374735483872</v>
      </c>
      <c r="AC70" s="65">
        <v>5826.7374735483872</v>
      </c>
      <c r="AD70" s="65">
        <v>5826.7374735483872</v>
      </c>
      <c r="AE70" s="65">
        <v>5826.7374735483872</v>
      </c>
      <c r="AF70" s="65">
        <v>5826.7374735483872</v>
      </c>
      <c r="AG70" s="40">
        <f>ROUND(SUM(I70:AF70)*H70,2)</f>
        <v>559366.80000000005</v>
      </c>
    </row>
    <row r="71" spans="2:33" ht="14.4" x14ac:dyDescent="0.25">
      <c r="B71">
        <f t="shared" si="26"/>
        <v>1</v>
      </c>
      <c r="C71">
        <f t="shared" si="27"/>
        <v>2028</v>
      </c>
      <c r="D71" t="str">
        <f t="shared" si="28"/>
        <v>12028DO</v>
      </c>
      <c r="E71" s="68">
        <v>46753</v>
      </c>
      <c r="F71" s="73"/>
      <c r="G71" s="41" t="s">
        <v>58</v>
      </c>
      <c r="H71" s="41">
        <v>5</v>
      </c>
      <c r="I71" s="65">
        <v>5826.7374735483872</v>
      </c>
      <c r="J71" s="65">
        <v>5826.7374735483872</v>
      </c>
      <c r="K71" s="65">
        <v>5826.7374735483872</v>
      </c>
      <c r="L71" s="65">
        <v>5826.7374735483872</v>
      </c>
      <c r="M71" s="65">
        <v>5826.7374735483872</v>
      </c>
      <c r="N71" s="65">
        <v>5826.7374735483872</v>
      </c>
      <c r="O71" s="65">
        <v>5826.7374735483872</v>
      </c>
      <c r="P71" s="65">
        <v>5826.7374735483872</v>
      </c>
      <c r="Q71" s="65">
        <v>5826.7374735483872</v>
      </c>
      <c r="R71" s="65">
        <v>5826.7374735483872</v>
      </c>
      <c r="S71" s="65">
        <v>5826.7374735483872</v>
      </c>
      <c r="T71" s="65">
        <v>5826.7374735483872</v>
      </c>
      <c r="U71" s="65">
        <v>5826.7374735483872</v>
      </c>
      <c r="V71" s="65">
        <v>5826.7374735483872</v>
      </c>
      <c r="W71" s="65">
        <v>5826.7374735483872</v>
      </c>
      <c r="X71" s="65">
        <v>5826.7374735483872</v>
      </c>
      <c r="Y71" s="65">
        <v>5826.7374735483872</v>
      </c>
      <c r="Z71" s="65">
        <v>5826.7374735483872</v>
      </c>
      <c r="AA71" s="65">
        <v>5826.7374735483872</v>
      </c>
      <c r="AB71" s="65">
        <v>5826.7374735483872</v>
      </c>
      <c r="AC71" s="65">
        <v>5826.7374735483872</v>
      </c>
      <c r="AD71" s="65">
        <v>5826.7374735483872</v>
      </c>
      <c r="AE71" s="65">
        <v>5826.7374735483872</v>
      </c>
      <c r="AF71" s="65">
        <v>5826.7374735483872</v>
      </c>
      <c r="AG71" s="40">
        <f>ROUND(SUM(I71:AF71)*H71,2)</f>
        <v>699208.5</v>
      </c>
    </row>
    <row r="72" spans="2:33" ht="14.4" x14ac:dyDescent="0.25">
      <c r="B72">
        <f t="shared" si="26"/>
        <v>1</v>
      </c>
      <c r="C72">
        <f t="shared" si="27"/>
        <v>2028</v>
      </c>
      <c r="D72" t="str">
        <f t="shared" si="28"/>
        <v>12028FE</v>
      </c>
      <c r="E72" s="68">
        <v>46753</v>
      </c>
      <c r="F72" s="73"/>
      <c r="G72" s="42" t="s">
        <v>59</v>
      </c>
      <c r="H72" s="42">
        <v>2</v>
      </c>
      <c r="I72" s="65">
        <v>5826.7374735483872</v>
      </c>
      <c r="J72" s="65">
        <v>5826.7374735483872</v>
      </c>
      <c r="K72" s="65">
        <v>5826.7374735483872</v>
      </c>
      <c r="L72" s="65">
        <v>5826.7374735483872</v>
      </c>
      <c r="M72" s="65">
        <v>5826.7374735483872</v>
      </c>
      <c r="N72" s="65">
        <v>5826.7374735483872</v>
      </c>
      <c r="O72" s="65">
        <v>5826.7374735483872</v>
      </c>
      <c r="P72" s="65">
        <v>5826.7374735483872</v>
      </c>
      <c r="Q72" s="65">
        <v>5826.7374735483872</v>
      </c>
      <c r="R72" s="65">
        <v>5826.7374735483872</v>
      </c>
      <c r="S72" s="65">
        <v>5826.7374735483872</v>
      </c>
      <c r="T72" s="65">
        <v>5826.7374735483872</v>
      </c>
      <c r="U72" s="65">
        <v>5826.7374735483872</v>
      </c>
      <c r="V72" s="65">
        <v>5826.7374735483872</v>
      </c>
      <c r="W72" s="65">
        <v>5826.7374735483872</v>
      </c>
      <c r="X72" s="65">
        <v>5826.7374735483872</v>
      </c>
      <c r="Y72" s="65">
        <v>5826.7374735483872</v>
      </c>
      <c r="Z72" s="65">
        <v>5826.7374735483872</v>
      </c>
      <c r="AA72" s="65">
        <v>5826.7374735483872</v>
      </c>
      <c r="AB72" s="65">
        <v>5826.7374735483872</v>
      </c>
      <c r="AC72" s="65">
        <v>5826.7374735483872</v>
      </c>
      <c r="AD72" s="65">
        <v>5826.7374735483872</v>
      </c>
      <c r="AE72" s="65">
        <v>5826.7374735483872</v>
      </c>
      <c r="AF72" s="65">
        <v>5826.7374735483872</v>
      </c>
      <c r="AG72" s="43">
        <f>ROUND(SUM(I72:AF72)*H72,2)</f>
        <v>279683.40000000002</v>
      </c>
    </row>
    <row r="73" spans="2:33" ht="15" thickBot="1" x14ac:dyDescent="0.3">
      <c r="B73">
        <f t="shared" si="26"/>
        <v>1</v>
      </c>
      <c r="C73">
        <f t="shared" si="27"/>
        <v>2028</v>
      </c>
      <c r="D73" t="str">
        <f>+_xlfn.CONCAT(E73,G73)</f>
        <v>46753TOTAL</v>
      </c>
      <c r="E73" s="68">
        <v>46753</v>
      </c>
      <c r="F73" s="61"/>
      <c r="G73" s="44" t="s">
        <v>10</v>
      </c>
      <c r="H73" s="44">
        <f>+SUM(H69:H72)</f>
        <v>31</v>
      </c>
      <c r="I73" s="45">
        <f t="shared" ref="I73:AF73" si="29">+SUMPRODUCT(I69:I72,$H69:$H72)</f>
        <v>180628.86168000003</v>
      </c>
      <c r="J73" s="45">
        <f t="shared" si="29"/>
        <v>180628.86168000003</v>
      </c>
      <c r="K73" s="45">
        <f t="shared" si="29"/>
        <v>180628.86168000003</v>
      </c>
      <c r="L73" s="45">
        <f t="shared" si="29"/>
        <v>180628.86168000003</v>
      </c>
      <c r="M73" s="45">
        <f t="shared" si="29"/>
        <v>180628.86168000003</v>
      </c>
      <c r="N73" s="45">
        <f t="shared" si="29"/>
        <v>180628.86168000003</v>
      </c>
      <c r="O73" s="45">
        <f t="shared" si="29"/>
        <v>180628.86168000003</v>
      </c>
      <c r="P73" s="45">
        <f t="shared" si="29"/>
        <v>180628.86168000003</v>
      </c>
      <c r="Q73" s="45">
        <f t="shared" si="29"/>
        <v>180628.86168000003</v>
      </c>
      <c r="R73" s="45">
        <f t="shared" si="29"/>
        <v>180628.86168000003</v>
      </c>
      <c r="S73" s="45">
        <f t="shared" si="29"/>
        <v>180628.86168000003</v>
      </c>
      <c r="T73" s="45">
        <f t="shared" si="29"/>
        <v>180628.86168000003</v>
      </c>
      <c r="U73" s="45">
        <f t="shared" si="29"/>
        <v>180628.86168000003</v>
      </c>
      <c r="V73" s="45">
        <f t="shared" si="29"/>
        <v>180628.86168000003</v>
      </c>
      <c r="W73" s="45">
        <f t="shared" si="29"/>
        <v>180628.86168000003</v>
      </c>
      <c r="X73" s="45">
        <f t="shared" si="29"/>
        <v>180628.86168000003</v>
      </c>
      <c r="Y73" s="45">
        <f t="shared" si="29"/>
        <v>180628.86168000003</v>
      </c>
      <c r="Z73" s="45">
        <f t="shared" si="29"/>
        <v>180628.86168000003</v>
      </c>
      <c r="AA73" s="45">
        <f t="shared" si="29"/>
        <v>180628.86168000003</v>
      </c>
      <c r="AB73" s="45">
        <f t="shared" si="29"/>
        <v>180628.86168000003</v>
      </c>
      <c r="AC73" s="45">
        <f t="shared" si="29"/>
        <v>180628.86168000003</v>
      </c>
      <c r="AD73" s="45">
        <f t="shared" si="29"/>
        <v>180628.86168000003</v>
      </c>
      <c r="AE73" s="45">
        <f t="shared" si="29"/>
        <v>180628.86168000003</v>
      </c>
      <c r="AF73" s="45">
        <f t="shared" si="29"/>
        <v>180628.86168000003</v>
      </c>
      <c r="AG73" s="46">
        <f>SUM(I73:AF73)</f>
        <v>4335092.6803200012</v>
      </c>
    </row>
    <row r="74" spans="2:33" ht="14.4" x14ac:dyDescent="0.25">
      <c r="B74">
        <f t="shared" si="26"/>
        <v>2</v>
      </c>
      <c r="C74">
        <f t="shared" si="27"/>
        <v>2028</v>
      </c>
      <c r="D74" t="str">
        <f t="shared" ref="D74:D77" si="30">+_xlfn.CONCAT(B74:C74,G74)</f>
        <v>22028OR</v>
      </c>
      <c r="E74" s="67">
        <v>46784</v>
      </c>
      <c r="F74" s="72">
        <f>+AG78</f>
        <v>3885279.8515199996</v>
      </c>
      <c r="G74" s="37" t="s">
        <v>57</v>
      </c>
      <c r="H74" s="37">
        <v>21</v>
      </c>
      <c r="I74" s="65">
        <v>5582.2986372413761</v>
      </c>
      <c r="J74" s="65">
        <v>5582.2986372413761</v>
      </c>
      <c r="K74" s="65">
        <v>5582.2986372413761</v>
      </c>
      <c r="L74" s="65">
        <v>5582.2986372413761</v>
      </c>
      <c r="M74" s="65">
        <v>5582.2986372413761</v>
      </c>
      <c r="N74" s="65">
        <v>5582.2986372413761</v>
      </c>
      <c r="O74" s="65">
        <v>5582.2986372413761</v>
      </c>
      <c r="P74" s="65">
        <v>5582.2986372413761</v>
      </c>
      <c r="Q74" s="65">
        <v>5582.2986372413761</v>
      </c>
      <c r="R74" s="65">
        <v>5582.2986372413761</v>
      </c>
      <c r="S74" s="65">
        <v>5582.2986372413761</v>
      </c>
      <c r="T74" s="65">
        <v>5582.2986372413761</v>
      </c>
      <c r="U74" s="65">
        <v>5582.2986372413761</v>
      </c>
      <c r="V74" s="65">
        <v>5582.2986372413761</v>
      </c>
      <c r="W74" s="65">
        <v>5582.2986372413761</v>
      </c>
      <c r="X74" s="65">
        <v>5582.2986372413761</v>
      </c>
      <c r="Y74" s="65">
        <v>5582.2986372413761</v>
      </c>
      <c r="Z74" s="65">
        <v>5582.2986372413761</v>
      </c>
      <c r="AA74" s="65">
        <v>5582.2986372413761</v>
      </c>
      <c r="AB74" s="65">
        <v>5582.2986372413761</v>
      </c>
      <c r="AC74" s="65">
        <v>5582.2986372413761</v>
      </c>
      <c r="AD74" s="65">
        <v>5582.2986372413761</v>
      </c>
      <c r="AE74" s="65">
        <v>5582.2986372413761</v>
      </c>
      <c r="AF74" s="65">
        <v>5582.2986372413761</v>
      </c>
      <c r="AG74" s="38">
        <f>+SUM(I74:AF74)*H74</f>
        <v>2813478.5131696523</v>
      </c>
    </row>
    <row r="75" spans="2:33" ht="14.4" x14ac:dyDescent="0.25">
      <c r="B75">
        <f t="shared" si="26"/>
        <v>2</v>
      </c>
      <c r="C75">
        <f t="shared" si="27"/>
        <v>2028</v>
      </c>
      <c r="D75" t="str">
        <f t="shared" si="30"/>
        <v>22028SA</v>
      </c>
      <c r="E75" s="68">
        <v>46784</v>
      </c>
      <c r="F75" s="73"/>
      <c r="G75" s="39" t="s">
        <v>60</v>
      </c>
      <c r="H75" s="39">
        <v>4</v>
      </c>
      <c r="I75" s="65">
        <v>5582.2986372413789</v>
      </c>
      <c r="J75" s="65">
        <v>5582.2986372413789</v>
      </c>
      <c r="K75" s="65">
        <v>5582.2986372413789</v>
      </c>
      <c r="L75" s="65">
        <v>5582.2986372413789</v>
      </c>
      <c r="M75" s="65">
        <v>5582.2986372413789</v>
      </c>
      <c r="N75" s="65">
        <v>5582.2986372413789</v>
      </c>
      <c r="O75" s="65">
        <v>5582.2986372413789</v>
      </c>
      <c r="P75" s="65">
        <v>5582.2986372413789</v>
      </c>
      <c r="Q75" s="65">
        <v>5582.2986372413789</v>
      </c>
      <c r="R75" s="65">
        <v>5582.2986372413789</v>
      </c>
      <c r="S75" s="65">
        <v>5582.2986372413789</v>
      </c>
      <c r="T75" s="65">
        <v>5582.2986372413789</v>
      </c>
      <c r="U75" s="65">
        <v>5582.2986372413789</v>
      </c>
      <c r="V75" s="65">
        <v>5582.2986372413789</v>
      </c>
      <c r="W75" s="65">
        <v>5582.2986372413789</v>
      </c>
      <c r="X75" s="65">
        <v>5582.2986372413789</v>
      </c>
      <c r="Y75" s="65">
        <v>5582.2986372413789</v>
      </c>
      <c r="Z75" s="65">
        <v>5582.2986372413789</v>
      </c>
      <c r="AA75" s="65">
        <v>5582.2986372413789</v>
      </c>
      <c r="AB75" s="65">
        <v>5582.2986372413789</v>
      </c>
      <c r="AC75" s="65">
        <v>5582.2986372413789</v>
      </c>
      <c r="AD75" s="65">
        <v>5582.2986372413789</v>
      </c>
      <c r="AE75" s="65">
        <v>5582.2986372413789</v>
      </c>
      <c r="AF75" s="65">
        <v>5582.2986372413789</v>
      </c>
      <c r="AG75" s="40">
        <f>+SUM(I75:AF75)*H75</f>
        <v>535900.66917517211</v>
      </c>
    </row>
    <row r="76" spans="2:33" ht="14.4" x14ac:dyDescent="0.25">
      <c r="B76">
        <f t="shared" si="26"/>
        <v>2</v>
      </c>
      <c r="C76">
        <f t="shared" si="27"/>
        <v>2028</v>
      </c>
      <c r="D76" t="str">
        <f t="shared" si="30"/>
        <v>22028DO</v>
      </c>
      <c r="E76" s="68">
        <v>46784</v>
      </c>
      <c r="F76" s="73"/>
      <c r="G76" s="41" t="s">
        <v>58</v>
      </c>
      <c r="H76" s="41">
        <v>4</v>
      </c>
      <c r="I76" s="65">
        <v>5582.2986372413789</v>
      </c>
      <c r="J76" s="65">
        <v>5582.2986372413789</v>
      </c>
      <c r="K76" s="65">
        <v>5582.2986372413789</v>
      </c>
      <c r="L76" s="65">
        <v>5582.2986372413789</v>
      </c>
      <c r="M76" s="65">
        <v>5582.2986372413789</v>
      </c>
      <c r="N76" s="65">
        <v>5582.2986372413789</v>
      </c>
      <c r="O76" s="65">
        <v>5582.2986372413789</v>
      </c>
      <c r="P76" s="65">
        <v>5582.2986372413789</v>
      </c>
      <c r="Q76" s="65">
        <v>5582.2986372413789</v>
      </c>
      <c r="R76" s="65">
        <v>5582.2986372413789</v>
      </c>
      <c r="S76" s="65">
        <v>5582.2986372413789</v>
      </c>
      <c r="T76" s="65">
        <v>5582.2986372413789</v>
      </c>
      <c r="U76" s="65">
        <v>5582.2986372413789</v>
      </c>
      <c r="V76" s="65">
        <v>5582.2986372413789</v>
      </c>
      <c r="W76" s="65">
        <v>5582.2986372413789</v>
      </c>
      <c r="X76" s="65">
        <v>5582.2986372413789</v>
      </c>
      <c r="Y76" s="65">
        <v>5582.2986372413789</v>
      </c>
      <c r="Z76" s="65">
        <v>5582.2986372413789</v>
      </c>
      <c r="AA76" s="65">
        <v>5582.2986372413789</v>
      </c>
      <c r="AB76" s="65">
        <v>5582.2986372413789</v>
      </c>
      <c r="AC76" s="65">
        <v>5582.2986372413789</v>
      </c>
      <c r="AD76" s="65">
        <v>5582.2986372413789</v>
      </c>
      <c r="AE76" s="65">
        <v>5582.2986372413789</v>
      </c>
      <c r="AF76" s="65">
        <v>5582.2986372413789</v>
      </c>
      <c r="AG76" s="40">
        <f>+SUM(I76:AF76)*H76</f>
        <v>535900.66917517211</v>
      </c>
    </row>
    <row r="77" spans="2:33" ht="14.4" x14ac:dyDescent="0.25">
      <c r="B77">
        <f t="shared" si="26"/>
        <v>2</v>
      </c>
      <c r="C77">
        <f t="shared" si="27"/>
        <v>2028</v>
      </c>
      <c r="D77" t="str">
        <f t="shared" si="30"/>
        <v>22028FE</v>
      </c>
      <c r="E77" s="68">
        <v>46784</v>
      </c>
      <c r="F77" s="73"/>
      <c r="G77" s="42" t="s">
        <v>59</v>
      </c>
      <c r="H77" s="42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43">
        <f>+SUM(I77:AF77)*H77</f>
        <v>0</v>
      </c>
    </row>
    <row r="78" spans="2:33" ht="15" thickBot="1" x14ac:dyDescent="0.3">
      <c r="B78">
        <f t="shared" si="26"/>
        <v>2</v>
      </c>
      <c r="C78">
        <f t="shared" si="27"/>
        <v>2028</v>
      </c>
      <c r="D78" t="str">
        <f>+_xlfn.CONCAT(E78,G78)</f>
        <v>46784TOTAL</v>
      </c>
      <c r="E78" s="68">
        <v>46784</v>
      </c>
      <c r="F78" s="61"/>
      <c r="G78" s="44" t="s">
        <v>10</v>
      </c>
      <c r="H78" s="44">
        <f>+SUM(H74:H77)</f>
        <v>29</v>
      </c>
      <c r="I78" s="45">
        <f t="shared" ref="I78:AF78" si="31">+SUMPRODUCT(I74:I77,$H74:$H77)</f>
        <v>161886.66047999993</v>
      </c>
      <c r="J78" s="45">
        <f t="shared" si="31"/>
        <v>161886.66047999993</v>
      </c>
      <c r="K78" s="45">
        <f t="shared" si="31"/>
        <v>161886.66047999993</v>
      </c>
      <c r="L78" s="45">
        <f t="shared" si="31"/>
        <v>161886.66047999993</v>
      </c>
      <c r="M78" s="45">
        <f t="shared" si="31"/>
        <v>161886.66047999993</v>
      </c>
      <c r="N78" s="45">
        <f t="shared" si="31"/>
        <v>161886.66047999993</v>
      </c>
      <c r="O78" s="45">
        <f t="shared" si="31"/>
        <v>161886.66047999993</v>
      </c>
      <c r="P78" s="45">
        <f t="shared" si="31"/>
        <v>161886.66047999993</v>
      </c>
      <c r="Q78" s="45">
        <f t="shared" si="31"/>
        <v>161886.66047999993</v>
      </c>
      <c r="R78" s="45">
        <f t="shared" si="31"/>
        <v>161886.66047999993</v>
      </c>
      <c r="S78" s="45">
        <f t="shared" si="31"/>
        <v>161886.66047999993</v>
      </c>
      <c r="T78" s="45">
        <f t="shared" si="31"/>
        <v>161886.66047999993</v>
      </c>
      <c r="U78" s="45">
        <f t="shared" si="31"/>
        <v>161886.66047999993</v>
      </c>
      <c r="V78" s="45">
        <f t="shared" si="31"/>
        <v>161886.66047999993</v>
      </c>
      <c r="W78" s="45">
        <f t="shared" si="31"/>
        <v>161886.66047999993</v>
      </c>
      <c r="X78" s="45">
        <f t="shared" si="31"/>
        <v>161886.66047999993</v>
      </c>
      <c r="Y78" s="45">
        <f t="shared" si="31"/>
        <v>161886.66047999993</v>
      </c>
      <c r="Z78" s="45">
        <f t="shared" si="31"/>
        <v>161886.66047999993</v>
      </c>
      <c r="AA78" s="45">
        <f t="shared" si="31"/>
        <v>161886.66047999993</v>
      </c>
      <c r="AB78" s="45">
        <f t="shared" si="31"/>
        <v>161886.66047999993</v>
      </c>
      <c r="AC78" s="45">
        <f t="shared" si="31"/>
        <v>161886.66047999993</v>
      </c>
      <c r="AD78" s="45">
        <f t="shared" si="31"/>
        <v>161886.66047999993</v>
      </c>
      <c r="AE78" s="45">
        <f t="shared" si="31"/>
        <v>161886.66047999993</v>
      </c>
      <c r="AF78" s="45">
        <f t="shared" si="31"/>
        <v>161886.66047999993</v>
      </c>
      <c r="AG78" s="46">
        <f>SUM(I78:AF78)</f>
        <v>3885279.8515199996</v>
      </c>
    </row>
    <row r="79" spans="2:33" ht="14.4" x14ac:dyDescent="0.25">
      <c r="B79">
        <f t="shared" si="26"/>
        <v>3</v>
      </c>
      <c r="C79">
        <f t="shared" si="27"/>
        <v>2028</v>
      </c>
      <c r="D79" t="str">
        <f t="shared" ref="D79:D82" si="32">+_xlfn.CONCAT(B79:C79,G79)</f>
        <v>32028OR</v>
      </c>
      <c r="E79" s="67">
        <v>46813</v>
      </c>
      <c r="F79" s="72">
        <f>+AG83</f>
        <v>4121216.1590400003</v>
      </c>
      <c r="G79" s="37" t="s">
        <v>57</v>
      </c>
      <c r="H79" s="37">
        <v>22</v>
      </c>
      <c r="I79" s="65">
        <v>5539.2690309677419</v>
      </c>
      <c r="J79" s="65">
        <v>5539.2690309677419</v>
      </c>
      <c r="K79" s="65">
        <v>5539.2690309677419</v>
      </c>
      <c r="L79" s="65">
        <v>5539.2690309677419</v>
      </c>
      <c r="M79" s="65">
        <v>5539.2690309677419</v>
      </c>
      <c r="N79" s="65">
        <v>5539.2690309677419</v>
      </c>
      <c r="O79" s="65">
        <v>5539.2690309677419</v>
      </c>
      <c r="P79" s="65">
        <v>5539.2690309677419</v>
      </c>
      <c r="Q79" s="65">
        <v>5539.2690309677419</v>
      </c>
      <c r="R79" s="65">
        <v>5539.2690309677419</v>
      </c>
      <c r="S79" s="65">
        <v>5539.2690309677419</v>
      </c>
      <c r="T79" s="65">
        <v>5539.2690309677419</v>
      </c>
      <c r="U79" s="65">
        <v>5539.2690309677419</v>
      </c>
      <c r="V79" s="65">
        <v>5539.2690309677419</v>
      </c>
      <c r="W79" s="65">
        <v>5539.2690309677419</v>
      </c>
      <c r="X79" s="65">
        <v>5539.2690309677419</v>
      </c>
      <c r="Y79" s="65">
        <v>5539.2690309677419</v>
      </c>
      <c r="Z79" s="65">
        <v>5539.2690309677419</v>
      </c>
      <c r="AA79" s="65">
        <v>5539.2690309677419</v>
      </c>
      <c r="AB79" s="65">
        <v>5539.2690309677419</v>
      </c>
      <c r="AC79" s="65">
        <v>5539.2690309677419</v>
      </c>
      <c r="AD79" s="65">
        <v>5539.2690309677419</v>
      </c>
      <c r="AE79" s="65">
        <v>5539.2690309677419</v>
      </c>
      <c r="AF79" s="65">
        <v>5539.2690309677419</v>
      </c>
      <c r="AG79" s="38">
        <f>+SUM(I79:AF79)*H79</f>
        <v>2924734.0483509675</v>
      </c>
    </row>
    <row r="80" spans="2:33" ht="14.4" x14ac:dyDescent="0.25">
      <c r="B80">
        <f t="shared" si="26"/>
        <v>3</v>
      </c>
      <c r="C80">
        <f t="shared" si="27"/>
        <v>2028</v>
      </c>
      <c r="D80" t="str">
        <f t="shared" si="32"/>
        <v>32028SA</v>
      </c>
      <c r="E80" s="68">
        <v>46813</v>
      </c>
      <c r="F80" s="73"/>
      <c r="G80" s="39" t="s">
        <v>60</v>
      </c>
      <c r="H80" s="39">
        <v>4</v>
      </c>
      <c r="I80" s="65">
        <v>5539.2690309677419</v>
      </c>
      <c r="J80" s="65">
        <v>5539.2690309677419</v>
      </c>
      <c r="K80" s="65">
        <v>5539.2690309677419</v>
      </c>
      <c r="L80" s="65">
        <v>5539.2690309677419</v>
      </c>
      <c r="M80" s="65">
        <v>5539.2690309677419</v>
      </c>
      <c r="N80" s="65">
        <v>5539.2690309677419</v>
      </c>
      <c r="O80" s="65">
        <v>5539.2690309677419</v>
      </c>
      <c r="P80" s="65">
        <v>5539.2690309677419</v>
      </c>
      <c r="Q80" s="65">
        <v>5539.2690309677419</v>
      </c>
      <c r="R80" s="65">
        <v>5539.2690309677419</v>
      </c>
      <c r="S80" s="65">
        <v>5539.2690309677419</v>
      </c>
      <c r="T80" s="65">
        <v>5539.2690309677419</v>
      </c>
      <c r="U80" s="65">
        <v>5539.2690309677419</v>
      </c>
      <c r="V80" s="65">
        <v>5539.2690309677419</v>
      </c>
      <c r="W80" s="65">
        <v>5539.2690309677419</v>
      </c>
      <c r="X80" s="65">
        <v>5539.2690309677419</v>
      </c>
      <c r="Y80" s="65">
        <v>5539.2690309677419</v>
      </c>
      <c r="Z80" s="65">
        <v>5539.2690309677419</v>
      </c>
      <c r="AA80" s="65">
        <v>5539.2690309677419</v>
      </c>
      <c r="AB80" s="65">
        <v>5539.2690309677419</v>
      </c>
      <c r="AC80" s="65">
        <v>5539.2690309677419</v>
      </c>
      <c r="AD80" s="65">
        <v>5539.2690309677419</v>
      </c>
      <c r="AE80" s="65">
        <v>5539.2690309677419</v>
      </c>
      <c r="AF80" s="65">
        <v>5539.2690309677419</v>
      </c>
      <c r="AG80" s="40">
        <f>+SUM(I80:AF80)*H80</f>
        <v>531769.82697290322</v>
      </c>
    </row>
    <row r="81" spans="2:33" ht="14.4" x14ac:dyDescent="0.25">
      <c r="B81">
        <f t="shared" si="26"/>
        <v>3</v>
      </c>
      <c r="C81">
        <f t="shared" si="27"/>
        <v>2028</v>
      </c>
      <c r="D81" t="str">
        <f t="shared" si="32"/>
        <v>32028DO</v>
      </c>
      <c r="E81" s="68">
        <v>46813</v>
      </c>
      <c r="F81" s="73"/>
      <c r="G81" s="41" t="s">
        <v>58</v>
      </c>
      <c r="H81" s="41">
        <v>4</v>
      </c>
      <c r="I81" s="65">
        <v>5539.2690309677419</v>
      </c>
      <c r="J81" s="65">
        <v>5539.2690309677419</v>
      </c>
      <c r="K81" s="65">
        <v>5539.2690309677419</v>
      </c>
      <c r="L81" s="65">
        <v>5539.2690309677419</v>
      </c>
      <c r="M81" s="65">
        <v>5539.2690309677419</v>
      </c>
      <c r="N81" s="65">
        <v>5539.2690309677419</v>
      </c>
      <c r="O81" s="65">
        <v>5539.2690309677419</v>
      </c>
      <c r="P81" s="65">
        <v>5539.2690309677419</v>
      </c>
      <c r="Q81" s="65">
        <v>5539.2690309677419</v>
      </c>
      <c r="R81" s="65">
        <v>5539.2690309677419</v>
      </c>
      <c r="S81" s="65">
        <v>5539.2690309677419</v>
      </c>
      <c r="T81" s="65">
        <v>5539.2690309677419</v>
      </c>
      <c r="U81" s="65">
        <v>5539.2690309677419</v>
      </c>
      <c r="V81" s="65">
        <v>5539.2690309677419</v>
      </c>
      <c r="W81" s="65">
        <v>5539.2690309677419</v>
      </c>
      <c r="X81" s="65">
        <v>5539.2690309677419</v>
      </c>
      <c r="Y81" s="65">
        <v>5539.2690309677419</v>
      </c>
      <c r="Z81" s="65">
        <v>5539.2690309677419</v>
      </c>
      <c r="AA81" s="65">
        <v>5539.2690309677419</v>
      </c>
      <c r="AB81" s="65">
        <v>5539.2690309677419</v>
      </c>
      <c r="AC81" s="65">
        <v>5539.2690309677419</v>
      </c>
      <c r="AD81" s="65">
        <v>5539.2690309677419</v>
      </c>
      <c r="AE81" s="65">
        <v>5539.2690309677419</v>
      </c>
      <c r="AF81" s="65">
        <v>5539.2690309677419</v>
      </c>
      <c r="AG81" s="40">
        <f>+SUM(I81:AF81)*H81</f>
        <v>531769.82697290322</v>
      </c>
    </row>
    <row r="82" spans="2:33" ht="14.4" x14ac:dyDescent="0.25">
      <c r="B82">
        <f t="shared" si="26"/>
        <v>3</v>
      </c>
      <c r="C82">
        <f t="shared" si="27"/>
        <v>2028</v>
      </c>
      <c r="D82" t="str">
        <f t="shared" si="32"/>
        <v>32028FE</v>
      </c>
      <c r="E82" s="68">
        <v>46813</v>
      </c>
      <c r="F82" s="73"/>
      <c r="G82" s="42" t="s">
        <v>59</v>
      </c>
      <c r="H82" s="42">
        <v>1</v>
      </c>
      <c r="I82" s="65">
        <v>5539.2690309677419</v>
      </c>
      <c r="J82" s="65">
        <v>5539.2690309677419</v>
      </c>
      <c r="K82" s="65">
        <v>5539.2690309677419</v>
      </c>
      <c r="L82" s="65">
        <v>5539.2690309677419</v>
      </c>
      <c r="M82" s="65">
        <v>5539.2690309677419</v>
      </c>
      <c r="N82" s="65">
        <v>5539.2690309677419</v>
      </c>
      <c r="O82" s="65">
        <v>5539.2690309677419</v>
      </c>
      <c r="P82" s="65">
        <v>5539.2690309677419</v>
      </c>
      <c r="Q82" s="65">
        <v>5539.2690309677419</v>
      </c>
      <c r="R82" s="65">
        <v>5539.2690309677419</v>
      </c>
      <c r="S82" s="65">
        <v>5539.2690309677419</v>
      </c>
      <c r="T82" s="65">
        <v>5539.2690309677419</v>
      </c>
      <c r="U82" s="65">
        <v>5539.2690309677419</v>
      </c>
      <c r="V82" s="65">
        <v>5539.2690309677419</v>
      </c>
      <c r="W82" s="65">
        <v>5539.2690309677419</v>
      </c>
      <c r="X82" s="65">
        <v>5539.2690309677419</v>
      </c>
      <c r="Y82" s="65">
        <v>5539.2690309677419</v>
      </c>
      <c r="Z82" s="65">
        <v>5539.2690309677419</v>
      </c>
      <c r="AA82" s="65">
        <v>5539.2690309677419</v>
      </c>
      <c r="AB82" s="65">
        <v>5539.2690309677419</v>
      </c>
      <c r="AC82" s="65">
        <v>5539.2690309677419</v>
      </c>
      <c r="AD82" s="65">
        <v>5539.2690309677419</v>
      </c>
      <c r="AE82" s="65">
        <v>5539.2690309677419</v>
      </c>
      <c r="AF82" s="65">
        <v>5539.2690309677419</v>
      </c>
      <c r="AG82" s="43">
        <f>+SUM(I82:AF82)*H82</f>
        <v>132942.4567432258</v>
      </c>
    </row>
    <row r="83" spans="2:33" ht="15" thickBot="1" x14ac:dyDescent="0.3">
      <c r="B83">
        <f t="shared" si="26"/>
        <v>3</v>
      </c>
      <c r="C83">
        <f t="shared" si="27"/>
        <v>2028</v>
      </c>
      <c r="D83" t="str">
        <f>+_xlfn.CONCAT(E83,G83)</f>
        <v>46813TOTAL</v>
      </c>
      <c r="E83" s="68">
        <v>46813</v>
      </c>
      <c r="F83" s="61"/>
      <c r="G83" s="44" t="s">
        <v>10</v>
      </c>
      <c r="H83" s="44">
        <f>+SUM(H79:H82)</f>
        <v>31</v>
      </c>
      <c r="I83" s="45">
        <f t="shared" ref="I83:AF83" si="33">+SUMPRODUCT(I79:I82,$H79:$H82)</f>
        <v>171717.33996000001</v>
      </c>
      <c r="J83" s="45">
        <f t="shared" si="33"/>
        <v>171717.33996000001</v>
      </c>
      <c r="K83" s="45">
        <f t="shared" si="33"/>
        <v>171717.33996000001</v>
      </c>
      <c r="L83" s="45">
        <f t="shared" si="33"/>
        <v>171717.33996000001</v>
      </c>
      <c r="M83" s="45">
        <f t="shared" si="33"/>
        <v>171717.33996000001</v>
      </c>
      <c r="N83" s="45">
        <f t="shared" si="33"/>
        <v>171717.33996000001</v>
      </c>
      <c r="O83" s="45">
        <f t="shared" si="33"/>
        <v>171717.33996000001</v>
      </c>
      <c r="P83" s="45">
        <f t="shared" si="33"/>
        <v>171717.33996000001</v>
      </c>
      <c r="Q83" s="45">
        <f t="shared" si="33"/>
        <v>171717.33996000001</v>
      </c>
      <c r="R83" s="45">
        <f t="shared" si="33"/>
        <v>171717.33996000001</v>
      </c>
      <c r="S83" s="45">
        <f t="shared" si="33"/>
        <v>171717.33996000001</v>
      </c>
      <c r="T83" s="45">
        <f t="shared" si="33"/>
        <v>171717.33996000001</v>
      </c>
      <c r="U83" s="45">
        <f t="shared" si="33"/>
        <v>171717.33996000001</v>
      </c>
      <c r="V83" s="45">
        <f t="shared" si="33"/>
        <v>171717.33996000001</v>
      </c>
      <c r="W83" s="45">
        <f t="shared" si="33"/>
        <v>171717.33996000001</v>
      </c>
      <c r="X83" s="45">
        <f t="shared" si="33"/>
        <v>171717.33996000001</v>
      </c>
      <c r="Y83" s="45">
        <f t="shared" si="33"/>
        <v>171717.33996000001</v>
      </c>
      <c r="Z83" s="45">
        <f t="shared" si="33"/>
        <v>171717.33996000001</v>
      </c>
      <c r="AA83" s="45">
        <f t="shared" si="33"/>
        <v>171717.33996000001</v>
      </c>
      <c r="AB83" s="45">
        <f t="shared" si="33"/>
        <v>171717.33996000001</v>
      </c>
      <c r="AC83" s="45">
        <f t="shared" si="33"/>
        <v>171717.33996000001</v>
      </c>
      <c r="AD83" s="45">
        <f t="shared" si="33"/>
        <v>171717.33996000001</v>
      </c>
      <c r="AE83" s="45">
        <f t="shared" si="33"/>
        <v>171717.33996000001</v>
      </c>
      <c r="AF83" s="45">
        <f t="shared" si="33"/>
        <v>171717.33996000001</v>
      </c>
      <c r="AG83" s="46">
        <f>SUM(I83:AF83)</f>
        <v>4121216.1590400003</v>
      </c>
    </row>
    <row r="84" spans="2:33" ht="14.4" x14ac:dyDescent="0.25">
      <c r="B84">
        <f t="shared" si="26"/>
        <v>4</v>
      </c>
      <c r="C84">
        <f t="shared" si="27"/>
        <v>2028</v>
      </c>
      <c r="D84" t="str">
        <f t="shared" ref="D84:D87" si="34">+_xlfn.CONCAT(B84:C84,G84)</f>
        <v>42028OR</v>
      </c>
      <c r="E84" s="67">
        <v>46844</v>
      </c>
      <c r="F84" s="72">
        <f>+AG88</f>
        <v>4204112.6995200021</v>
      </c>
      <c r="G84" s="37" t="s">
        <v>57</v>
      </c>
      <c r="H84" s="37">
        <v>18</v>
      </c>
      <c r="I84" s="65">
        <v>5839.0454160000036</v>
      </c>
      <c r="J84" s="65">
        <v>5839.0454160000036</v>
      </c>
      <c r="K84" s="65">
        <v>5839.0454160000036</v>
      </c>
      <c r="L84" s="65">
        <v>5839.0454160000036</v>
      </c>
      <c r="M84" s="65">
        <v>5839.0454160000036</v>
      </c>
      <c r="N84" s="65">
        <v>5839.0454160000036</v>
      </c>
      <c r="O84" s="65">
        <v>5839.0454160000036</v>
      </c>
      <c r="P84" s="65">
        <v>5839.0454160000036</v>
      </c>
      <c r="Q84" s="65">
        <v>5839.0454160000036</v>
      </c>
      <c r="R84" s="65">
        <v>5839.0454160000036</v>
      </c>
      <c r="S84" s="65">
        <v>5839.0454160000036</v>
      </c>
      <c r="T84" s="65">
        <v>5839.0454160000036</v>
      </c>
      <c r="U84" s="65">
        <v>5839.0454160000036</v>
      </c>
      <c r="V84" s="65">
        <v>5839.0454160000036</v>
      </c>
      <c r="W84" s="65">
        <v>5839.0454160000036</v>
      </c>
      <c r="X84" s="65">
        <v>5839.0454160000036</v>
      </c>
      <c r="Y84" s="65">
        <v>5839.0454160000036</v>
      </c>
      <c r="Z84" s="65">
        <v>5839.0454160000036</v>
      </c>
      <c r="AA84" s="65">
        <v>5839.0454160000036</v>
      </c>
      <c r="AB84" s="65">
        <v>5839.0454160000036</v>
      </c>
      <c r="AC84" s="65">
        <v>5839.0454160000036</v>
      </c>
      <c r="AD84" s="65">
        <v>5839.0454160000036</v>
      </c>
      <c r="AE84" s="65">
        <v>5839.0454160000036</v>
      </c>
      <c r="AF84" s="65">
        <v>5839.0454160000036</v>
      </c>
      <c r="AG84" s="38">
        <f>+SUM(I84:AF84)*H84</f>
        <v>2522467.6197120021</v>
      </c>
    </row>
    <row r="85" spans="2:33" ht="14.4" x14ac:dyDescent="0.25">
      <c r="B85">
        <f t="shared" si="26"/>
        <v>4</v>
      </c>
      <c r="C85">
        <f t="shared" si="27"/>
        <v>2028</v>
      </c>
      <c r="D85" t="str">
        <f t="shared" si="34"/>
        <v>42028SA</v>
      </c>
      <c r="E85" s="68">
        <v>46844</v>
      </c>
      <c r="F85" s="73"/>
      <c r="G85" s="39" t="s">
        <v>60</v>
      </c>
      <c r="H85" s="39">
        <v>5</v>
      </c>
      <c r="I85" s="65">
        <v>5839.0454160000008</v>
      </c>
      <c r="J85" s="65">
        <v>5839.0454160000008</v>
      </c>
      <c r="K85" s="65">
        <v>5839.0454160000008</v>
      </c>
      <c r="L85" s="65">
        <v>5839.0454160000008</v>
      </c>
      <c r="M85" s="65">
        <v>5839.0454160000008</v>
      </c>
      <c r="N85" s="65">
        <v>5839.0454160000008</v>
      </c>
      <c r="O85" s="65">
        <v>5839.0454160000008</v>
      </c>
      <c r="P85" s="65">
        <v>5839.0454160000008</v>
      </c>
      <c r="Q85" s="65">
        <v>5839.0454160000008</v>
      </c>
      <c r="R85" s="65">
        <v>5839.0454160000008</v>
      </c>
      <c r="S85" s="65">
        <v>5839.0454160000008</v>
      </c>
      <c r="T85" s="65">
        <v>5839.0454160000008</v>
      </c>
      <c r="U85" s="65">
        <v>5839.0454160000008</v>
      </c>
      <c r="V85" s="65">
        <v>5839.0454160000008</v>
      </c>
      <c r="W85" s="65">
        <v>5839.0454160000008</v>
      </c>
      <c r="X85" s="65">
        <v>5839.0454160000008</v>
      </c>
      <c r="Y85" s="65">
        <v>5839.0454160000008</v>
      </c>
      <c r="Z85" s="65">
        <v>5839.0454160000008</v>
      </c>
      <c r="AA85" s="65">
        <v>5839.0454160000008</v>
      </c>
      <c r="AB85" s="65">
        <v>5839.0454160000008</v>
      </c>
      <c r="AC85" s="65">
        <v>5839.0454160000008</v>
      </c>
      <c r="AD85" s="65">
        <v>5839.0454160000008</v>
      </c>
      <c r="AE85" s="65">
        <v>5839.0454160000008</v>
      </c>
      <c r="AF85" s="65">
        <v>5839.0454160000008</v>
      </c>
      <c r="AG85" s="40">
        <f>+SUM(I85:AF85)*H85</f>
        <v>700685.44992000051</v>
      </c>
    </row>
    <row r="86" spans="2:33" ht="14.4" x14ac:dyDescent="0.25">
      <c r="B86">
        <f t="shared" si="26"/>
        <v>4</v>
      </c>
      <c r="C86">
        <f t="shared" si="27"/>
        <v>2028</v>
      </c>
      <c r="D86" t="str">
        <f t="shared" si="34"/>
        <v>42028DO</v>
      </c>
      <c r="E86" s="68">
        <v>46844</v>
      </c>
      <c r="F86" s="73"/>
      <c r="G86" s="41" t="s">
        <v>58</v>
      </c>
      <c r="H86" s="41">
        <v>5</v>
      </c>
      <c r="I86" s="65">
        <v>5839.0454160000008</v>
      </c>
      <c r="J86" s="65">
        <v>5839.0454160000008</v>
      </c>
      <c r="K86" s="65">
        <v>5839.0454160000008</v>
      </c>
      <c r="L86" s="65">
        <v>5839.0454160000008</v>
      </c>
      <c r="M86" s="65">
        <v>5839.0454160000008</v>
      </c>
      <c r="N86" s="65">
        <v>5839.0454160000008</v>
      </c>
      <c r="O86" s="65">
        <v>5839.0454160000008</v>
      </c>
      <c r="P86" s="65">
        <v>5839.0454160000008</v>
      </c>
      <c r="Q86" s="65">
        <v>5839.0454160000008</v>
      </c>
      <c r="R86" s="65">
        <v>5839.0454160000008</v>
      </c>
      <c r="S86" s="65">
        <v>5839.0454160000008</v>
      </c>
      <c r="T86" s="65">
        <v>5839.0454160000008</v>
      </c>
      <c r="U86" s="65">
        <v>5839.0454160000008</v>
      </c>
      <c r="V86" s="65">
        <v>5839.0454160000008</v>
      </c>
      <c r="W86" s="65">
        <v>5839.0454160000008</v>
      </c>
      <c r="X86" s="65">
        <v>5839.0454160000008</v>
      </c>
      <c r="Y86" s="65">
        <v>5839.0454160000008</v>
      </c>
      <c r="Z86" s="65">
        <v>5839.0454160000008</v>
      </c>
      <c r="AA86" s="65">
        <v>5839.0454160000008</v>
      </c>
      <c r="AB86" s="65">
        <v>5839.0454160000008</v>
      </c>
      <c r="AC86" s="65">
        <v>5839.0454160000008</v>
      </c>
      <c r="AD86" s="65">
        <v>5839.0454160000008</v>
      </c>
      <c r="AE86" s="65">
        <v>5839.0454160000008</v>
      </c>
      <c r="AF86" s="65">
        <v>5839.0454160000008</v>
      </c>
      <c r="AG86" s="40">
        <f>+SUM(I86:AF86)*H86</f>
        <v>700685.44992000051</v>
      </c>
    </row>
    <row r="87" spans="2:33" ht="14.4" x14ac:dyDescent="0.25">
      <c r="B87">
        <f t="shared" si="26"/>
        <v>4</v>
      </c>
      <c r="C87">
        <f t="shared" si="27"/>
        <v>2028</v>
      </c>
      <c r="D87" t="str">
        <f t="shared" si="34"/>
        <v>42028FE</v>
      </c>
      <c r="E87" s="68">
        <v>46844</v>
      </c>
      <c r="F87" s="73"/>
      <c r="G87" s="42" t="s">
        <v>59</v>
      </c>
      <c r="H87" s="42">
        <v>2</v>
      </c>
      <c r="I87" s="65">
        <v>5839.0454160000008</v>
      </c>
      <c r="J87" s="65">
        <v>5839.0454160000008</v>
      </c>
      <c r="K87" s="65">
        <v>5839.0454160000008</v>
      </c>
      <c r="L87" s="65">
        <v>5839.0454160000008</v>
      </c>
      <c r="M87" s="65">
        <v>5839.0454160000008</v>
      </c>
      <c r="N87" s="65">
        <v>5839.0454160000008</v>
      </c>
      <c r="O87" s="65">
        <v>5839.0454160000008</v>
      </c>
      <c r="P87" s="65">
        <v>5839.0454160000008</v>
      </c>
      <c r="Q87" s="65">
        <v>5839.0454160000008</v>
      </c>
      <c r="R87" s="65">
        <v>5839.0454160000008</v>
      </c>
      <c r="S87" s="65">
        <v>5839.0454160000008</v>
      </c>
      <c r="T87" s="65">
        <v>5839.0454160000008</v>
      </c>
      <c r="U87" s="65">
        <v>5839.0454160000008</v>
      </c>
      <c r="V87" s="65">
        <v>5839.0454160000008</v>
      </c>
      <c r="W87" s="65">
        <v>5839.0454160000008</v>
      </c>
      <c r="X87" s="65">
        <v>5839.0454160000008</v>
      </c>
      <c r="Y87" s="65">
        <v>5839.0454160000008</v>
      </c>
      <c r="Z87" s="65">
        <v>5839.0454160000008</v>
      </c>
      <c r="AA87" s="65">
        <v>5839.0454160000008</v>
      </c>
      <c r="AB87" s="65">
        <v>5839.0454160000008</v>
      </c>
      <c r="AC87" s="65">
        <v>5839.0454160000008</v>
      </c>
      <c r="AD87" s="65">
        <v>5839.0454160000008</v>
      </c>
      <c r="AE87" s="65">
        <v>5839.0454160000008</v>
      </c>
      <c r="AF87" s="65">
        <v>5839.0454160000008</v>
      </c>
      <c r="AG87" s="43">
        <f>+SUM(I87:AF87)*H87</f>
        <v>280274.17996800022</v>
      </c>
    </row>
    <row r="88" spans="2:33" ht="15" thickBot="1" x14ac:dyDescent="0.3">
      <c r="B88">
        <f t="shared" si="26"/>
        <v>4</v>
      </c>
      <c r="C88">
        <f t="shared" si="27"/>
        <v>2028</v>
      </c>
      <c r="D88" t="str">
        <f>+_xlfn.CONCAT(E88,G88)</f>
        <v>46844TOTAL</v>
      </c>
      <c r="E88" s="68">
        <v>46844</v>
      </c>
      <c r="F88" s="61"/>
      <c r="G88" s="44" t="s">
        <v>10</v>
      </c>
      <c r="H88" s="44">
        <f>+SUM(H84:H87)</f>
        <v>30</v>
      </c>
      <c r="I88" s="45">
        <f t="shared" ref="I88:AF88" si="35">+SUMPRODUCT(I84:I87,$H84:$H87)</f>
        <v>175171.36248000007</v>
      </c>
      <c r="J88" s="45">
        <f t="shared" si="35"/>
        <v>175171.36248000007</v>
      </c>
      <c r="K88" s="45">
        <f t="shared" si="35"/>
        <v>175171.36248000007</v>
      </c>
      <c r="L88" s="45">
        <f t="shared" si="35"/>
        <v>175171.36248000007</v>
      </c>
      <c r="M88" s="45">
        <f t="shared" si="35"/>
        <v>175171.36248000007</v>
      </c>
      <c r="N88" s="45">
        <f t="shared" si="35"/>
        <v>175171.36248000007</v>
      </c>
      <c r="O88" s="45">
        <f t="shared" si="35"/>
        <v>175171.36248000007</v>
      </c>
      <c r="P88" s="45">
        <f t="shared" si="35"/>
        <v>175171.36248000007</v>
      </c>
      <c r="Q88" s="45">
        <f t="shared" si="35"/>
        <v>175171.36248000007</v>
      </c>
      <c r="R88" s="45">
        <f t="shared" si="35"/>
        <v>175171.36248000007</v>
      </c>
      <c r="S88" s="45">
        <f t="shared" si="35"/>
        <v>175171.36248000007</v>
      </c>
      <c r="T88" s="45">
        <f t="shared" si="35"/>
        <v>175171.36248000007</v>
      </c>
      <c r="U88" s="45">
        <f t="shared" si="35"/>
        <v>175171.36248000007</v>
      </c>
      <c r="V88" s="45">
        <f t="shared" si="35"/>
        <v>175171.36248000007</v>
      </c>
      <c r="W88" s="45">
        <f t="shared" si="35"/>
        <v>175171.36248000007</v>
      </c>
      <c r="X88" s="45">
        <f t="shared" si="35"/>
        <v>175171.36248000007</v>
      </c>
      <c r="Y88" s="45">
        <f t="shared" si="35"/>
        <v>175171.36248000007</v>
      </c>
      <c r="Z88" s="45">
        <f t="shared" si="35"/>
        <v>175171.36248000007</v>
      </c>
      <c r="AA88" s="45">
        <f t="shared" si="35"/>
        <v>175171.36248000007</v>
      </c>
      <c r="AB88" s="45">
        <f t="shared" si="35"/>
        <v>175171.36248000007</v>
      </c>
      <c r="AC88" s="45">
        <f t="shared" si="35"/>
        <v>175171.36248000007</v>
      </c>
      <c r="AD88" s="45">
        <f t="shared" si="35"/>
        <v>175171.36248000007</v>
      </c>
      <c r="AE88" s="45">
        <f t="shared" si="35"/>
        <v>175171.36248000007</v>
      </c>
      <c r="AF88" s="45">
        <f t="shared" si="35"/>
        <v>175171.36248000007</v>
      </c>
      <c r="AG88" s="46">
        <f>SUM(I88:AF88)</f>
        <v>4204112.6995200021</v>
      </c>
    </row>
    <row r="89" spans="2:33" ht="14.4" x14ac:dyDescent="0.25">
      <c r="B89">
        <f t="shared" si="26"/>
        <v>5</v>
      </c>
      <c r="C89">
        <f t="shared" si="27"/>
        <v>2028</v>
      </c>
      <c r="D89" t="str">
        <f t="shared" ref="D89:D92" si="36">+_xlfn.CONCAT(B89:C89,G89)</f>
        <v>52028OR</v>
      </c>
      <c r="E89" s="67">
        <v>46874</v>
      </c>
      <c r="F89" s="72">
        <f>+AG93</f>
        <v>4403167.8019199977</v>
      </c>
      <c r="G89" s="37" t="s">
        <v>57</v>
      </c>
      <c r="H89" s="37">
        <v>21</v>
      </c>
      <c r="I89" s="65">
        <v>5918.2362929032251</v>
      </c>
      <c r="J89" s="65">
        <v>5918.2362929032251</v>
      </c>
      <c r="K89" s="65">
        <v>5918.2362929032251</v>
      </c>
      <c r="L89" s="65">
        <v>5918.2362929032251</v>
      </c>
      <c r="M89" s="65">
        <v>5918.2362929032251</v>
      </c>
      <c r="N89" s="65">
        <v>5918.2362929032251</v>
      </c>
      <c r="O89" s="65">
        <v>5918.2362929032251</v>
      </c>
      <c r="P89" s="65">
        <v>5918.2362929032251</v>
      </c>
      <c r="Q89" s="65">
        <v>5918.2362929032251</v>
      </c>
      <c r="R89" s="65">
        <v>5918.2362929032251</v>
      </c>
      <c r="S89" s="65">
        <v>5918.2362929032251</v>
      </c>
      <c r="T89" s="65">
        <v>5918.2362929032251</v>
      </c>
      <c r="U89" s="65">
        <v>5918.2362929032251</v>
      </c>
      <c r="V89" s="65">
        <v>5918.2362929032251</v>
      </c>
      <c r="W89" s="65">
        <v>5918.2362929032251</v>
      </c>
      <c r="X89" s="65">
        <v>5918.2362929032251</v>
      </c>
      <c r="Y89" s="65">
        <v>5918.2362929032251</v>
      </c>
      <c r="Z89" s="65">
        <v>5918.2362929032251</v>
      </c>
      <c r="AA89" s="65">
        <v>5918.2362929032251</v>
      </c>
      <c r="AB89" s="65">
        <v>5918.2362929032251</v>
      </c>
      <c r="AC89" s="65">
        <v>5918.2362929032251</v>
      </c>
      <c r="AD89" s="65">
        <v>5918.2362929032251</v>
      </c>
      <c r="AE89" s="65">
        <v>5918.2362929032251</v>
      </c>
      <c r="AF89" s="65">
        <v>5918.2362929032251</v>
      </c>
      <c r="AG89" s="38">
        <f>+SUM(I89:AF89)*H89</f>
        <v>2982791.0916232257</v>
      </c>
    </row>
    <row r="90" spans="2:33" ht="14.4" x14ac:dyDescent="0.25">
      <c r="B90">
        <f t="shared" si="26"/>
        <v>5</v>
      </c>
      <c r="C90">
        <f t="shared" si="27"/>
        <v>2028</v>
      </c>
      <c r="D90" t="str">
        <f t="shared" si="36"/>
        <v>52028SA</v>
      </c>
      <c r="E90" s="68">
        <v>46874</v>
      </c>
      <c r="F90" s="73"/>
      <c r="G90" s="39" t="s">
        <v>60</v>
      </c>
      <c r="H90" s="39">
        <v>4</v>
      </c>
      <c r="I90" s="65">
        <v>5918.2362929032261</v>
      </c>
      <c r="J90" s="65">
        <v>5918.2362929032261</v>
      </c>
      <c r="K90" s="65">
        <v>5918.2362929032261</v>
      </c>
      <c r="L90" s="65">
        <v>5918.2362929032261</v>
      </c>
      <c r="M90" s="65">
        <v>5918.2362929032261</v>
      </c>
      <c r="N90" s="65">
        <v>5918.2362929032261</v>
      </c>
      <c r="O90" s="65">
        <v>5918.2362929032261</v>
      </c>
      <c r="P90" s="65">
        <v>5918.2362929032261</v>
      </c>
      <c r="Q90" s="65">
        <v>5918.2362929032261</v>
      </c>
      <c r="R90" s="65">
        <v>5918.2362929032261</v>
      </c>
      <c r="S90" s="65">
        <v>5918.2362929032261</v>
      </c>
      <c r="T90" s="65">
        <v>5918.2362929032261</v>
      </c>
      <c r="U90" s="65">
        <v>5918.2362929032261</v>
      </c>
      <c r="V90" s="65">
        <v>5918.2362929032261</v>
      </c>
      <c r="W90" s="65">
        <v>5918.2362929032261</v>
      </c>
      <c r="X90" s="65">
        <v>5918.2362929032261</v>
      </c>
      <c r="Y90" s="65">
        <v>5918.2362929032261</v>
      </c>
      <c r="Z90" s="65">
        <v>5918.2362929032261</v>
      </c>
      <c r="AA90" s="65">
        <v>5918.2362929032261</v>
      </c>
      <c r="AB90" s="65">
        <v>5918.2362929032261</v>
      </c>
      <c r="AC90" s="65">
        <v>5918.2362929032261</v>
      </c>
      <c r="AD90" s="65">
        <v>5918.2362929032261</v>
      </c>
      <c r="AE90" s="65">
        <v>5918.2362929032261</v>
      </c>
      <c r="AF90" s="65">
        <v>5918.2362929032261</v>
      </c>
      <c r="AG90" s="40">
        <f>+SUM(I90:AF90)*H90</f>
        <v>568150.68411870964</v>
      </c>
    </row>
    <row r="91" spans="2:33" ht="14.4" x14ac:dyDescent="0.25">
      <c r="B91">
        <f t="shared" si="26"/>
        <v>5</v>
      </c>
      <c r="C91">
        <f t="shared" si="27"/>
        <v>2028</v>
      </c>
      <c r="D91" t="str">
        <f t="shared" si="36"/>
        <v>52028DO</v>
      </c>
      <c r="E91" s="68">
        <v>46874</v>
      </c>
      <c r="F91" s="73"/>
      <c r="G91" s="41" t="s">
        <v>58</v>
      </c>
      <c r="H91" s="41">
        <v>4</v>
      </c>
      <c r="I91" s="65">
        <v>5918.2362929032261</v>
      </c>
      <c r="J91" s="65">
        <v>5918.2362929032261</v>
      </c>
      <c r="K91" s="65">
        <v>5918.2362929032261</v>
      </c>
      <c r="L91" s="65">
        <v>5918.2362929032261</v>
      </c>
      <c r="M91" s="65">
        <v>5918.2362929032261</v>
      </c>
      <c r="N91" s="65">
        <v>5918.2362929032261</v>
      </c>
      <c r="O91" s="65">
        <v>5918.2362929032261</v>
      </c>
      <c r="P91" s="65">
        <v>5918.2362929032261</v>
      </c>
      <c r="Q91" s="65">
        <v>5918.2362929032261</v>
      </c>
      <c r="R91" s="65">
        <v>5918.2362929032261</v>
      </c>
      <c r="S91" s="65">
        <v>5918.2362929032261</v>
      </c>
      <c r="T91" s="65">
        <v>5918.2362929032261</v>
      </c>
      <c r="U91" s="65">
        <v>5918.2362929032261</v>
      </c>
      <c r="V91" s="65">
        <v>5918.2362929032261</v>
      </c>
      <c r="W91" s="65">
        <v>5918.2362929032261</v>
      </c>
      <c r="X91" s="65">
        <v>5918.2362929032261</v>
      </c>
      <c r="Y91" s="65">
        <v>5918.2362929032261</v>
      </c>
      <c r="Z91" s="65">
        <v>5918.2362929032261</v>
      </c>
      <c r="AA91" s="65">
        <v>5918.2362929032261</v>
      </c>
      <c r="AB91" s="65">
        <v>5918.2362929032261</v>
      </c>
      <c r="AC91" s="65">
        <v>5918.2362929032261</v>
      </c>
      <c r="AD91" s="65">
        <v>5918.2362929032261</v>
      </c>
      <c r="AE91" s="65">
        <v>5918.2362929032261</v>
      </c>
      <c r="AF91" s="65">
        <v>5918.2362929032261</v>
      </c>
      <c r="AG91" s="40">
        <f>+SUM(I91:AF91)*H91</f>
        <v>568150.68411870964</v>
      </c>
    </row>
    <row r="92" spans="2:33" ht="14.4" x14ac:dyDescent="0.25">
      <c r="B92">
        <f t="shared" si="26"/>
        <v>5</v>
      </c>
      <c r="C92">
        <f t="shared" si="27"/>
        <v>2028</v>
      </c>
      <c r="D92" t="str">
        <f t="shared" si="36"/>
        <v>52028FE</v>
      </c>
      <c r="E92" s="68">
        <v>46874</v>
      </c>
      <c r="F92" s="73"/>
      <c r="G92" s="42" t="s">
        <v>59</v>
      </c>
      <c r="H92" s="42">
        <v>2</v>
      </c>
      <c r="I92" s="65">
        <v>5918.2362929032261</v>
      </c>
      <c r="J92" s="65">
        <v>5918.2362929032261</v>
      </c>
      <c r="K92" s="65">
        <v>5918.2362929032261</v>
      </c>
      <c r="L92" s="65">
        <v>5918.2362929032261</v>
      </c>
      <c r="M92" s="65">
        <v>5918.2362929032261</v>
      </c>
      <c r="N92" s="65">
        <v>5918.2362929032261</v>
      </c>
      <c r="O92" s="65">
        <v>5918.2362929032261</v>
      </c>
      <c r="P92" s="65">
        <v>5918.2362929032261</v>
      </c>
      <c r="Q92" s="65">
        <v>5918.2362929032261</v>
      </c>
      <c r="R92" s="65">
        <v>5918.2362929032261</v>
      </c>
      <c r="S92" s="65">
        <v>5918.2362929032261</v>
      </c>
      <c r="T92" s="65">
        <v>5918.2362929032261</v>
      </c>
      <c r="U92" s="65">
        <v>5918.2362929032261</v>
      </c>
      <c r="V92" s="65">
        <v>5918.2362929032261</v>
      </c>
      <c r="W92" s="65">
        <v>5918.2362929032261</v>
      </c>
      <c r="X92" s="65">
        <v>5918.2362929032261</v>
      </c>
      <c r="Y92" s="65">
        <v>5918.2362929032261</v>
      </c>
      <c r="Z92" s="65">
        <v>5918.2362929032261</v>
      </c>
      <c r="AA92" s="65">
        <v>5918.2362929032261</v>
      </c>
      <c r="AB92" s="65">
        <v>5918.2362929032261</v>
      </c>
      <c r="AC92" s="65">
        <v>5918.2362929032261</v>
      </c>
      <c r="AD92" s="65">
        <v>5918.2362929032261</v>
      </c>
      <c r="AE92" s="65">
        <v>5918.2362929032261</v>
      </c>
      <c r="AF92" s="65">
        <v>5918.2362929032261</v>
      </c>
      <c r="AG92" s="43">
        <f>+SUM(I92:AF92)*H92</f>
        <v>284075.34205935482</v>
      </c>
    </row>
    <row r="93" spans="2:33" ht="15" thickBot="1" x14ac:dyDescent="0.3">
      <c r="B93">
        <f t="shared" si="26"/>
        <v>5</v>
      </c>
      <c r="C93">
        <f t="shared" si="27"/>
        <v>2028</v>
      </c>
      <c r="D93" t="str">
        <f>+_xlfn.CONCAT(E93,G93)</f>
        <v>46874TOTAL</v>
      </c>
      <c r="E93" s="68">
        <v>46874</v>
      </c>
      <c r="F93" s="61"/>
      <c r="G93" s="44" t="s">
        <v>10</v>
      </c>
      <c r="H93" s="44">
        <f>+SUM(H89:H92)</f>
        <v>31</v>
      </c>
      <c r="I93" s="45">
        <f t="shared" ref="I93:AF93" si="37">+SUMPRODUCT(I89:I92,$H89:$H92)</f>
        <v>183465.32507999998</v>
      </c>
      <c r="J93" s="45">
        <f t="shared" si="37"/>
        <v>183465.32507999998</v>
      </c>
      <c r="K93" s="45">
        <f t="shared" si="37"/>
        <v>183465.32507999998</v>
      </c>
      <c r="L93" s="45">
        <f t="shared" si="37"/>
        <v>183465.32507999998</v>
      </c>
      <c r="M93" s="45">
        <f t="shared" si="37"/>
        <v>183465.32507999998</v>
      </c>
      <c r="N93" s="45">
        <f t="shared" si="37"/>
        <v>183465.32507999998</v>
      </c>
      <c r="O93" s="45">
        <f t="shared" si="37"/>
        <v>183465.32507999998</v>
      </c>
      <c r="P93" s="45">
        <f t="shared" si="37"/>
        <v>183465.32507999998</v>
      </c>
      <c r="Q93" s="45">
        <f t="shared" si="37"/>
        <v>183465.32507999998</v>
      </c>
      <c r="R93" s="45">
        <f t="shared" si="37"/>
        <v>183465.32507999998</v>
      </c>
      <c r="S93" s="45">
        <f t="shared" si="37"/>
        <v>183465.32507999998</v>
      </c>
      <c r="T93" s="45">
        <f t="shared" si="37"/>
        <v>183465.32507999998</v>
      </c>
      <c r="U93" s="45">
        <f t="shared" si="37"/>
        <v>183465.32507999998</v>
      </c>
      <c r="V93" s="45">
        <f t="shared" si="37"/>
        <v>183465.32507999998</v>
      </c>
      <c r="W93" s="45">
        <f t="shared" si="37"/>
        <v>183465.32507999998</v>
      </c>
      <c r="X93" s="45">
        <f t="shared" si="37"/>
        <v>183465.32507999998</v>
      </c>
      <c r="Y93" s="45">
        <f t="shared" si="37"/>
        <v>183465.32507999998</v>
      </c>
      <c r="Z93" s="45">
        <f t="shared" si="37"/>
        <v>183465.32507999998</v>
      </c>
      <c r="AA93" s="45">
        <f t="shared" si="37"/>
        <v>183465.32507999998</v>
      </c>
      <c r="AB93" s="45">
        <f t="shared" si="37"/>
        <v>183465.32507999998</v>
      </c>
      <c r="AC93" s="45">
        <f t="shared" si="37"/>
        <v>183465.32507999998</v>
      </c>
      <c r="AD93" s="45">
        <f t="shared" si="37"/>
        <v>183465.32507999998</v>
      </c>
      <c r="AE93" s="45">
        <f t="shared" si="37"/>
        <v>183465.32507999998</v>
      </c>
      <c r="AF93" s="45">
        <f t="shared" si="37"/>
        <v>183465.32507999998</v>
      </c>
      <c r="AG93" s="46">
        <f>SUM(I93:AF93)</f>
        <v>4403167.8019199977</v>
      </c>
    </row>
    <row r="94" spans="2:33" ht="14.4" x14ac:dyDescent="0.25">
      <c r="B94">
        <f t="shared" si="26"/>
        <v>6</v>
      </c>
      <c r="C94">
        <f t="shared" si="27"/>
        <v>2028</v>
      </c>
      <c r="D94" t="str">
        <f t="shared" ref="D94:D97" si="38">+_xlfn.CONCAT(B94:C94,G94)</f>
        <v>62028OR</v>
      </c>
      <c r="E94" s="67">
        <v>46905</v>
      </c>
      <c r="F94" s="72">
        <f>+AG98</f>
        <v>4581541.8547199983</v>
      </c>
      <c r="G94" s="37" t="s">
        <v>57</v>
      </c>
      <c r="H94" s="37">
        <v>20</v>
      </c>
      <c r="I94" s="65">
        <v>6363.2525759999999</v>
      </c>
      <c r="J94" s="65">
        <v>6363.2525759999999</v>
      </c>
      <c r="K94" s="65">
        <v>6363.2525759999999</v>
      </c>
      <c r="L94" s="65">
        <v>6363.2525759999999</v>
      </c>
      <c r="M94" s="65">
        <v>6363.2525759999999</v>
      </c>
      <c r="N94" s="65">
        <v>6363.2525759999999</v>
      </c>
      <c r="O94" s="65">
        <v>6363.2525759999999</v>
      </c>
      <c r="P94" s="65">
        <v>6363.2525759999999</v>
      </c>
      <c r="Q94" s="65">
        <v>6363.2525759999999</v>
      </c>
      <c r="R94" s="65">
        <v>6363.2525759999999</v>
      </c>
      <c r="S94" s="65">
        <v>6363.2525759999999</v>
      </c>
      <c r="T94" s="65">
        <v>6363.2525759999999</v>
      </c>
      <c r="U94" s="65">
        <v>6363.2525759999999</v>
      </c>
      <c r="V94" s="65">
        <v>6363.2525759999999</v>
      </c>
      <c r="W94" s="65">
        <v>6363.2525759999999</v>
      </c>
      <c r="X94" s="65">
        <v>6363.2525759999999</v>
      </c>
      <c r="Y94" s="65">
        <v>6363.2525759999999</v>
      </c>
      <c r="Z94" s="65">
        <v>6363.2525759999999</v>
      </c>
      <c r="AA94" s="65">
        <v>6363.2525759999999</v>
      </c>
      <c r="AB94" s="65">
        <v>6363.2525759999999</v>
      </c>
      <c r="AC94" s="65">
        <v>6363.2525759999999</v>
      </c>
      <c r="AD94" s="65">
        <v>6363.2525759999999</v>
      </c>
      <c r="AE94" s="65">
        <v>6363.2525759999999</v>
      </c>
      <c r="AF94" s="65">
        <v>6363.2525759999999</v>
      </c>
      <c r="AG94" s="38">
        <f>+SUM(I94:AF94)*H94</f>
        <v>3054361.23648</v>
      </c>
    </row>
    <row r="95" spans="2:33" ht="14.4" x14ac:dyDescent="0.25">
      <c r="B95">
        <f t="shared" si="26"/>
        <v>6</v>
      </c>
      <c r="C95">
        <f t="shared" si="27"/>
        <v>2028</v>
      </c>
      <c r="D95" t="str">
        <f t="shared" si="38"/>
        <v>62028SA</v>
      </c>
      <c r="E95" s="68">
        <v>46905</v>
      </c>
      <c r="F95" s="73"/>
      <c r="G95" s="39" t="s">
        <v>60</v>
      </c>
      <c r="H95" s="39">
        <v>4</v>
      </c>
      <c r="I95" s="65">
        <v>6363.2525760000008</v>
      </c>
      <c r="J95" s="65">
        <v>6363.2525760000008</v>
      </c>
      <c r="K95" s="65">
        <v>6363.2525760000008</v>
      </c>
      <c r="L95" s="65">
        <v>6363.2525760000008</v>
      </c>
      <c r="M95" s="65">
        <v>6363.2525760000008</v>
      </c>
      <c r="N95" s="65">
        <v>6363.2525760000008</v>
      </c>
      <c r="O95" s="65">
        <v>6363.2525760000008</v>
      </c>
      <c r="P95" s="65">
        <v>6363.2525760000008</v>
      </c>
      <c r="Q95" s="65">
        <v>6363.2525760000008</v>
      </c>
      <c r="R95" s="65">
        <v>6363.2525760000008</v>
      </c>
      <c r="S95" s="65">
        <v>6363.2525760000008</v>
      </c>
      <c r="T95" s="65">
        <v>6363.2525760000008</v>
      </c>
      <c r="U95" s="65">
        <v>6363.2525760000008</v>
      </c>
      <c r="V95" s="65">
        <v>6363.2525760000008</v>
      </c>
      <c r="W95" s="65">
        <v>6363.2525760000008</v>
      </c>
      <c r="X95" s="65">
        <v>6363.2525760000008</v>
      </c>
      <c r="Y95" s="65">
        <v>6363.2525760000008</v>
      </c>
      <c r="Z95" s="65">
        <v>6363.2525760000008</v>
      </c>
      <c r="AA95" s="65">
        <v>6363.2525760000008</v>
      </c>
      <c r="AB95" s="65">
        <v>6363.2525760000008</v>
      </c>
      <c r="AC95" s="65">
        <v>6363.2525760000008</v>
      </c>
      <c r="AD95" s="65">
        <v>6363.2525760000008</v>
      </c>
      <c r="AE95" s="65">
        <v>6363.2525760000008</v>
      </c>
      <c r="AF95" s="65">
        <v>6363.2525760000008</v>
      </c>
      <c r="AG95" s="40">
        <f>+SUM(I95:AF95)*H95</f>
        <v>610872.24729600002</v>
      </c>
    </row>
    <row r="96" spans="2:33" ht="14.4" x14ac:dyDescent="0.25">
      <c r="B96">
        <f t="shared" si="26"/>
        <v>6</v>
      </c>
      <c r="C96">
        <f t="shared" si="27"/>
        <v>2028</v>
      </c>
      <c r="D96" t="str">
        <f t="shared" si="38"/>
        <v>62028DO</v>
      </c>
      <c r="E96" s="68">
        <v>46905</v>
      </c>
      <c r="F96" s="73"/>
      <c r="G96" s="41" t="s">
        <v>58</v>
      </c>
      <c r="H96" s="41">
        <v>4</v>
      </c>
      <c r="I96" s="65">
        <v>6363.2525760000008</v>
      </c>
      <c r="J96" s="65">
        <v>6363.2525760000008</v>
      </c>
      <c r="K96" s="65">
        <v>6363.2525760000008</v>
      </c>
      <c r="L96" s="65">
        <v>6363.2525760000008</v>
      </c>
      <c r="M96" s="65">
        <v>6363.2525760000008</v>
      </c>
      <c r="N96" s="65">
        <v>6363.2525760000008</v>
      </c>
      <c r="O96" s="65">
        <v>6363.2525760000008</v>
      </c>
      <c r="P96" s="65">
        <v>6363.2525760000008</v>
      </c>
      <c r="Q96" s="65">
        <v>6363.2525760000008</v>
      </c>
      <c r="R96" s="65">
        <v>6363.2525760000008</v>
      </c>
      <c r="S96" s="65">
        <v>6363.2525760000008</v>
      </c>
      <c r="T96" s="65">
        <v>6363.2525760000008</v>
      </c>
      <c r="U96" s="65">
        <v>6363.2525760000008</v>
      </c>
      <c r="V96" s="65">
        <v>6363.2525760000008</v>
      </c>
      <c r="W96" s="65">
        <v>6363.2525760000008</v>
      </c>
      <c r="X96" s="65">
        <v>6363.2525760000008</v>
      </c>
      <c r="Y96" s="65">
        <v>6363.2525760000008</v>
      </c>
      <c r="Z96" s="65">
        <v>6363.2525760000008</v>
      </c>
      <c r="AA96" s="65">
        <v>6363.2525760000008</v>
      </c>
      <c r="AB96" s="65">
        <v>6363.2525760000008</v>
      </c>
      <c r="AC96" s="65">
        <v>6363.2525760000008</v>
      </c>
      <c r="AD96" s="65">
        <v>6363.2525760000008</v>
      </c>
      <c r="AE96" s="65">
        <v>6363.2525760000008</v>
      </c>
      <c r="AF96" s="65">
        <v>6363.2525760000008</v>
      </c>
      <c r="AG96" s="40">
        <f>+SUM(I96:AF96)*H96</f>
        <v>610872.24729600002</v>
      </c>
    </row>
    <row r="97" spans="2:33" ht="14.4" x14ac:dyDescent="0.25">
      <c r="B97">
        <f t="shared" si="26"/>
        <v>6</v>
      </c>
      <c r="C97">
        <f t="shared" si="27"/>
        <v>2028</v>
      </c>
      <c r="D97" t="str">
        <f t="shared" si="38"/>
        <v>62028FE</v>
      </c>
      <c r="E97" s="68">
        <v>46905</v>
      </c>
      <c r="F97" s="73"/>
      <c r="G97" s="42" t="s">
        <v>59</v>
      </c>
      <c r="H97" s="42">
        <v>2</v>
      </c>
      <c r="I97" s="65">
        <v>6363.2525760000008</v>
      </c>
      <c r="J97" s="65">
        <v>6363.2525760000008</v>
      </c>
      <c r="K97" s="65">
        <v>6363.2525760000008</v>
      </c>
      <c r="L97" s="65">
        <v>6363.2525760000008</v>
      </c>
      <c r="M97" s="65">
        <v>6363.2525760000008</v>
      </c>
      <c r="N97" s="65">
        <v>6363.2525760000008</v>
      </c>
      <c r="O97" s="65">
        <v>6363.2525760000008</v>
      </c>
      <c r="P97" s="65">
        <v>6363.2525760000008</v>
      </c>
      <c r="Q97" s="65">
        <v>6363.2525760000008</v>
      </c>
      <c r="R97" s="65">
        <v>6363.2525760000008</v>
      </c>
      <c r="S97" s="65">
        <v>6363.2525760000008</v>
      </c>
      <c r="T97" s="65">
        <v>6363.2525760000008</v>
      </c>
      <c r="U97" s="65">
        <v>6363.2525760000008</v>
      </c>
      <c r="V97" s="65">
        <v>6363.2525760000008</v>
      </c>
      <c r="W97" s="65">
        <v>6363.2525760000008</v>
      </c>
      <c r="X97" s="65">
        <v>6363.2525760000008</v>
      </c>
      <c r="Y97" s="65">
        <v>6363.2525760000008</v>
      </c>
      <c r="Z97" s="65">
        <v>6363.2525760000008</v>
      </c>
      <c r="AA97" s="65">
        <v>6363.2525760000008</v>
      </c>
      <c r="AB97" s="65">
        <v>6363.2525760000008</v>
      </c>
      <c r="AC97" s="65">
        <v>6363.2525760000008</v>
      </c>
      <c r="AD97" s="65">
        <v>6363.2525760000008</v>
      </c>
      <c r="AE97" s="65">
        <v>6363.2525760000008</v>
      </c>
      <c r="AF97" s="65">
        <v>6363.2525760000008</v>
      </c>
      <c r="AG97" s="43">
        <f>+SUM(I97:AF97)*H97</f>
        <v>305436.12364800001</v>
      </c>
    </row>
    <row r="98" spans="2:33" ht="15" thickBot="1" x14ac:dyDescent="0.3">
      <c r="B98">
        <f t="shared" si="26"/>
        <v>6</v>
      </c>
      <c r="C98">
        <f t="shared" si="27"/>
        <v>2028</v>
      </c>
      <c r="D98" t="str">
        <f>+_xlfn.CONCAT(E98,G98)</f>
        <v>46905TOTAL</v>
      </c>
      <c r="E98" s="68">
        <v>46905</v>
      </c>
      <c r="F98" s="61"/>
      <c r="G98" s="44" t="s">
        <v>10</v>
      </c>
      <c r="H98" s="44">
        <f>+SUM(H94:H97)</f>
        <v>30</v>
      </c>
      <c r="I98" s="45">
        <f t="shared" ref="I98:AF98" si="39">+SUMPRODUCT(I94:I97,$H94:$H97)</f>
        <v>190897.57728</v>
      </c>
      <c r="J98" s="45">
        <f t="shared" si="39"/>
        <v>190897.57728</v>
      </c>
      <c r="K98" s="45">
        <f t="shared" si="39"/>
        <v>190897.57728</v>
      </c>
      <c r="L98" s="45">
        <f t="shared" si="39"/>
        <v>190897.57728</v>
      </c>
      <c r="M98" s="45">
        <f t="shared" si="39"/>
        <v>190897.57728</v>
      </c>
      <c r="N98" s="45">
        <f t="shared" si="39"/>
        <v>190897.57728</v>
      </c>
      <c r="O98" s="45">
        <f t="shared" si="39"/>
        <v>190897.57728</v>
      </c>
      <c r="P98" s="45">
        <f t="shared" si="39"/>
        <v>190897.57728</v>
      </c>
      <c r="Q98" s="45">
        <f t="shared" si="39"/>
        <v>190897.57728</v>
      </c>
      <c r="R98" s="45">
        <f t="shared" si="39"/>
        <v>190897.57728</v>
      </c>
      <c r="S98" s="45">
        <f t="shared" si="39"/>
        <v>190897.57728</v>
      </c>
      <c r="T98" s="45">
        <f t="shared" si="39"/>
        <v>190897.57728</v>
      </c>
      <c r="U98" s="45">
        <f t="shared" si="39"/>
        <v>190897.57728</v>
      </c>
      <c r="V98" s="45">
        <f t="shared" si="39"/>
        <v>190897.57728</v>
      </c>
      <c r="W98" s="45">
        <f t="shared" si="39"/>
        <v>190897.57728</v>
      </c>
      <c r="X98" s="45">
        <f t="shared" si="39"/>
        <v>190897.57728</v>
      </c>
      <c r="Y98" s="45">
        <f t="shared" si="39"/>
        <v>190897.57728</v>
      </c>
      <c r="Z98" s="45">
        <f t="shared" si="39"/>
        <v>190897.57728</v>
      </c>
      <c r="AA98" s="45">
        <f t="shared" si="39"/>
        <v>190897.57728</v>
      </c>
      <c r="AB98" s="45">
        <f t="shared" si="39"/>
        <v>190897.57728</v>
      </c>
      <c r="AC98" s="45">
        <f t="shared" si="39"/>
        <v>190897.57728</v>
      </c>
      <c r="AD98" s="45">
        <f t="shared" si="39"/>
        <v>190897.57728</v>
      </c>
      <c r="AE98" s="45">
        <f t="shared" si="39"/>
        <v>190897.57728</v>
      </c>
      <c r="AF98" s="45">
        <f t="shared" si="39"/>
        <v>190897.57728</v>
      </c>
      <c r="AG98" s="46">
        <f>SUM(I98:AF98)</f>
        <v>4581541.8547199983</v>
      </c>
    </row>
    <row r="99" spans="2:33" ht="14.4" x14ac:dyDescent="0.25">
      <c r="B99">
        <f t="shared" si="26"/>
        <v>7</v>
      </c>
      <c r="C99">
        <f t="shared" si="27"/>
        <v>2028</v>
      </c>
      <c r="D99" t="str">
        <f t="shared" ref="D99:D102" si="40">+_xlfn.CONCAT(B99:C99,G99)</f>
        <v>72028OR</v>
      </c>
      <c r="E99" s="67">
        <v>46935</v>
      </c>
      <c r="F99" s="72">
        <f>+AG103</f>
        <v>4596190.931520001</v>
      </c>
      <c r="G99" s="37" t="s">
        <v>57</v>
      </c>
      <c r="H99" s="37">
        <v>19</v>
      </c>
      <c r="I99" s="65">
        <v>6177.6759832258085</v>
      </c>
      <c r="J99" s="65">
        <v>6177.6759832258085</v>
      </c>
      <c r="K99" s="65">
        <v>6177.6759832258085</v>
      </c>
      <c r="L99" s="65">
        <v>6177.6759832258085</v>
      </c>
      <c r="M99" s="65">
        <v>6177.6759832258085</v>
      </c>
      <c r="N99" s="65">
        <v>6177.6759832258085</v>
      </c>
      <c r="O99" s="65">
        <v>6177.6759832258085</v>
      </c>
      <c r="P99" s="65">
        <v>6177.6759832258085</v>
      </c>
      <c r="Q99" s="65">
        <v>6177.6759832258085</v>
      </c>
      <c r="R99" s="65">
        <v>6177.6759832258085</v>
      </c>
      <c r="S99" s="65">
        <v>6177.6759832258085</v>
      </c>
      <c r="T99" s="65">
        <v>6177.6759832258085</v>
      </c>
      <c r="U99" s="65">
        <v>6177.6759832258085</v>
      </c>
      <c r="V99" s="65">
        <v>6177.6759832258085</v>
      </c>
      <c r="W99" s="65">
        <v>6177.6759832258085</v>
      </c>
      <c r="X99" s="65">
        <v>6177.6759832258085</v>
      </c>
      <c r="Y99" s="65">
        <v>6177.6759832258085</v>
      </c>
      <c r="Z99" s="65">
        <v>6177.6759832258085</v>
      </c>
      <c r="AA99" s="65">
        <v>6177.6759832258085</v>
      </c>
      <c r="AB99" s="65">
        <v>6177.6759832258085</v>
      </c>
      <c r="AC99" s="65">
        <v>6177.6759832258085</v>
      </c>
      <c r="AD99" s="65">
        <v>6177.6759832258085</v>
      </c>
      <c r="AE99" s="65">
        <v>6177.6759832258085</v>
      </c>
      <c r="AF99" s="65">
        <v>6177.6759832258085</v>
      </c>
      <c r="AG99" s="38">
        <f>+SUM(I99:AF99)*H99</f>
        <v>2817020.2483509691</v>
      </c>
    </row>
    <row r="100" spans="2:33" ht="14.4" x14ac:dyDescent="0.25">
      <c r="B100">
        <f t="shared" si="26"/>
        <v>7</v>
      </c>
      <c r="C100">
        <f t="shared" si="27"/>
        <v>2028</v>
      </c>
      <c r="D100" t="str">
        <f t="shared" si="40"/>
        <v>72028SA</v>
      </c>
      <c r="E100" s="68">
        <v>46935</v>
      </c>
      <c r="F100" s="73"/>
      <c r="G100" s="39" t="s">
        <v>60</v>
      </c>
      <c r="H100" s="39">
        <v>5</v>
      </c>
      <c r="I100" s="65">
        <v>6177.6759832258067</v>
      </c>
      <c r="J100" s="65">
        <v>6177.6759832258067</v>
      </c>
      <c r="K100" s="65">
        <v>6177.6759832258067</v>
      </c>
      <c r="L100" s="65">
        <v>6177.6759832258067</v>
      </c>
      <c r="M100" s="65">
        <v>6177.6759832258067</v>
      </c>
      <c r="N100" s="65">
        <v>6177.6759832258067</v>
      </c>
      <c r="O100" s="65">
        <v>6177.6759832258067</v>
      </c>
      <c r="P100" s="65">
        <v>6177.6759832258067</v>
      </c>
      <c r="Q100" s="65">
        <v>6177.6759832258067</v>
      </c>
      <c r="R100" s="65">
        <v>6177.6759832258067</v>
      </c>
      <c r="S100" s="65">
        <v>6177.6759832258067</v>
      </c>
      <c r="T100" s="65">
        <v>6177.6759832258067</v>
      </c>
      <c r="U100" s="65">
        <v>6177.6759832258067</v>
      </c>
      <c r="V100" s="65">
        <v>6177.6759832258067</v>
      </c>
      <c r="W100" s="65">
        <v>6177.6759832258067</v>
      </c>
      <c r="X100" s="65">
        <v>6177.6759832258067</v>
      </c>
      <c r="Y100" s="65">
        <v>6177.6759832258067</v>
      </c>
      <c r="Z100" s="65">
        <v>6177.6759832258067</v>
      </c>
      <c r="AA100" s="65">
        <v>6177.6759832258067</v>
      </c>
      <c r="AB100" s="65">
        <v>6177.6759832258067</v>
      </c>
      <c r="AC100" s="65">
        <v>6177.6759832258067</v>
      </c>
      <c r="AD100" s="65">
        <v>6177.6759832258067</v>
      </c>
      <c r="AE100" s="65">
        <v>6177.6759832258067</v>
      </c>
      <c r="AF100" s="65">
        <v>6177.6759832258067</v>
      </c>
      <c r="AG100" s="40">
        <f>+SUM(I100:AF100)*H100</f>
        <v>741321.11798709712</v>
      </c>
    </row>
    <row r="101" spans="2:33" ht="14.4" x14ac:dyDescent="0.25">
      <c r="B101">
        <f t="shared" si="26"/>
        <v>7</v>
      </c>
      <c r="C101">
        <f t="shared" si="27"/>
        <v>2028</v>
      </c>
      <c r="D101" t="str">
        <f t="shared" si="40"/>
        <v>72028DO</v>
      </c>
      <c r="E101" s="68">
        <v>46935</v>
      </c>
      <c r="F101" s="73"/>
      <c r="G101" s="41" t="s">
        <v>58</v>
      </c>
      <c r="H101" s="41">
        <v>5</v>
      </c>
      <c r="I101" s="65">
        <v>6177.6759832258067</v>
      </c>
      <c r="J101" s="65">
        <v>6177.6759832258067</v>
      </c>
      <c r="K101" s="65">
        <v>6177.6759832258067</v>
      </c>
      <c r="L101" s="65">
        <v>6177.6759832258067</v>
      </c>
      <c r="M101" s="65">
        <v>6177.6759832258067</v>
      </c>
      <c r="N101" s="65">
        <v>6177.6759832258067</v>
      </c>
      <c r="O101" s="65">
        <v>6177.6759832258067</v>
      </c>
      <c r="P101" s="65">
        <v>6177.6759832258067</v>
      </c>
      <c r="Q101" s="65">
        <v>6177.6759832258067</v>
      </c>
      <c r="R101" s="65">
        <v>6177.6759832258067</v>
      </c>
      <c r="S101" s="65">
        <v>6177.6759832258067</v>
      </c>
      <c r="T101" s="65">
        <v>6177.6759832258067</v>
      </c>
      <c r="U101" s="65">
        <v>6177.6759832258067</v>
      </c>
      <c r="V101" s="65">
        <v>6177.6759832258067</v>
      </c>
      <c r="W101" s="65">
        <v>6177.6759832258067</v>
      </c>
      <c r="X101" s="65">
        <v>6177.6759832258067</v>
      </c>
      <c r="Y101" s="65">
        <v>6177.6759832258067</v>
      </c>
      <c r="Z101" s="65">
        <v>6177.6759832258067</v>
      </c>
      <c r="AA101" s="65">
        <v>6177.6759832258067</v>
      </c>
      <c r="AB101" s="65">
        <v>6177.6759832258067</v>
      </c>
      <c r="AC101" s="65">
        <v>6177.6759832258067</v>
      </c>
      <c r="AD101" s="65">
        <v>6177.6759832258067</v>
      </c>
      <c r="AE101" s="65">
        <v>6177.6759832258067</v>
      </c>
      <c r="AF101" s="65">
        <v>6177.6759832258067</v>
      </c>
      <c r="AG101" s="40">
        <f>+SUM(I101:AF101)*H101</f>
        <v>741321.11798709712</v>
      </c>
    </row>
    <row r="102" spans="2:33" ht="14.4" x14ac:dyDescent="0.25">
      <c r="B102">
        <f t="shared" si="26"/>
        <v>7</v>
      </c>
      <c r="C102">
        <f t="shared" si="27"/>
        <v>2028</v>
      </c>
      <c r="D102" t="str">
        <f t="shared" si="40"/>
        <v>72028FE</v>
      </c>
      <c r="E102" s="68">
        <v>46935</v>
      </c>
      <c r="F102" s="73"/>
      <c r="G102" s="42" t="s">
        <v>59</v>
      </c>
      <c r="H102" s="42">
        <v>2</v>
      </c>
      <c r="I102" s="65">
        <v>6177.6759832258067</v>
      </c>
      <c r="J102" s="65">
        <v>6177.6759832258067</v>
      </c>
      <c r="K102" s="65">
        <v>6177.6759832258067</v>
      </c>
      <c r="L102" s="65">
        <v>6177.6759832258067</v>
      </c>
      <c r="M102" s="65">
        <v>6177.6759832258067</v>
      </c>
      <c r="N102" s="65">
        <v>6177.6759832258067</v>
      </c>
      <c r="O102" s="65">
        <v>6177.6759832258067</v>
      </c>
      <c r="P102" s="65">
        <v>6177.6759832258067</v>
      </c>
      <c r="Q102" s="65">
        <v>6177.6759832258067</v>
      </c>
      <c r="R102" s="65">
        <v>6177.6759832258067</v>
      </c>
      <c r="S102" s="65">
        <v>6177.6759832258067</v>
      </c>
      <c r="T102" s="65">
        <v>6177.6759832258067</v>
      </c>
      <c r="U102" s="65">
        <v>6177.6759832258067</v>
      </c>
      <c r="V102" s="65">
        <v>6177.6759832258067</v>
      </c>
      <c r="W102" s="65">
        <v>6177.6759832258067</v>
      </c>
      <c r="X102" s="65">
        <v>6177.6759832258067</v>
      </c>
      <c r="Y102" s="65">
        <v>6177.6759832258067</v>
      </c>
      <c r="Z102" s="65">
        <v>6177.6759832258067</v>
      </c>
      <c r="AA102" s="65">
        <v>6177.6759832258067</v>
      </c>
      <c r="AB102" s="65">
        <v>6177.6759832258067</v>
      </c>
      <c r="AC102" s="65">
        <v>6177.6759832258067</v>
      </c>
      <c r="AD102" s="65">
        <v>6177.6759832258067</v>
      </c>
      <c r="AE102" s="65">
        <v>6177.6759832258067</v>
      </c>
      <c r="AF102" s="65">
        <v>6177.6759832258067</v>
      </c>
      <c r="AG102" s="43">
        <f>+SUM(I102:AF102)*H102</f>
        <v>296528.44719483884</v>
      </c>
    </row>
    <row r="103" spans="2:33" ht="15" thickBot="1" x14ac:dyDescent="0.3">
      <c r="B103">
        <f t="shared" si="26"/>
        <v>7</v>
      </c>
      <c r="C103">
        <f t="shared" si="27"/>
        <v>2028</v>
      </c>
      <c r="D103" t="str">
        <f>+_xlfn.CONCAT(E103,G103)</f>
        <v>46935TOTAL</v>
      </c>
      <c r="E103" s="68">
        <v>46935</v>
      </c>
      <c r="F103" s="61"/>
      <c r="G103" s="44" t="s">
        <v>10</v>
      </c>
      <c r="H103" s="44">
        <f>+SUM(H99:H102)</f>
        <v>31</v>
      </c>
      <c r="I103" s="45">
        <f t="shared" ref="I103:AF103" si="41">+SUMPRODUCT(I99:I102,$H99:$H102)</f>
        <v>191507.95548000003</v>
      </c>
      <c r="J103" s="45">
        <f t="shared" si="41"/>
        <v>191507.95548000003</v>
      </c>
      <c r="K103" s="45">
        <f t="shared" si="41"/>
        <v>191507.95548000003</v>
      </c>
      <c r="L103" s="45">
        <f t="shared" si="41"/>
        <v>191507.95548000003</v>
      </c>
      <c r="M103" s="45">
        <f t="shared" si="41"/>
        <v>191507.95548000003</v>
      </c>
      <c r="N103" s="45">
        <f t="shared" si="41"/>
        <v>191507.95548000003</v>
      </c>
      <c r="O103" s="45">
        <f t="shared" si="41"/>
        <v>191507.95548000003</v>
      </c>
      <c r="P103" s="45">
        <f t="shared" si="41"/>
        <v>191507.95548000003</v>
      </c>
      <c r="Q103" s="45">
        <f t="shared" si="41"/>
        <v>191507.95548000003</v>
      </c>
      <c r="R103" s="45">
        <f t="shared" si="41"/>
        <v>191507.95548000003</v>
      </c>
      <c r="S103" s="45">
        <f t="shared" si="41"/>
        <v>191507.95548000003</v>
      </c>
      <c r="T103" s="45">
        <f t="shared" si="41"/>
        <v>191507.95548000003</v>
      </c>
      <c r="U103" s="45">
        <f t="shared" si="41"/>
        <v>191507.95548000003</v>
      </c>
      <c r="V103" s="45">
        <f t="shared" si="41"/>
        <v>191507.95548000003</v>
      </c>
      <c r="W103" s="45">
        <f t="shared" si="41"/>
        <v>191507.95548000003</v>
      </c>
      <c r="X103" s="45">
        <f t="shared" si="41"/>
        <v>191507.95548000003</v>
      </c>
      <c r="Y103" s="45">
        <f t="shared" si="41"/>
        <v>191507.95548000003</v>
      </c>
      <c r="Z103" s="45">
        <f t="shared" si="41"/>
        <v>191507.95548000003</v>
      </c>
      <c r="AA103" s="45">
        <f t="shared" si="41"/>
        <v>191507.95548000003</v>
      </c>
      <c r="AB103" s="45">
        <f t="shared" si="41"/>
        <v>191507.95548000003</v>
      </c>
      <c r="AC103" s="45">
        <f t="shared" si="41"/>
        <v>191507.95548000003</v>
      </c>
      <c r="AD103" s="45">
        <f t="shared" si="41"/>
        <v>191507.95548000003</v>
      </c>
      <c r="AE103" s="45">
        <f t="shared" si="41"/>
        <v>191507.95548000003</v>
      </c>
      <c r="AF103" s="45">
        <f t="shared" si="41"/>
        <v>191507.95548000003</v>
      </c>
      <c r="AG103" s="46">
        <f>SUM(I103:AF103)</f>
        <v>4596190.931520001</v>
      </c>
    </row>
    <row r="104" spans="2:33" ht="14.4" x14ac:dyDescent="0.25">
      <c r="B104">
        <f t="shared" si="26"/>
        <v>8</v>
      </c>
      <c r="C104">
        <f t="shared" si="27"/>
        <v>2028</v>
      </c>
      <c r="D104" t="str">
        <f t="shared" ref="D104:D107" si="42">+_xlfn.CONCAT(B104:C104,G104)</f>
        <v>82028OR</v>
      </c>
      <c r="E104" s="67">
        <v>46966</v>
      </c>
      <c r="F104" s="72">
        <f>+AG108</f>
        <v>4477447.2383999983</v>
      </c>
      <c r="G104" s="37" t="s">
        <v>57</v>
      </c>
      <c r="H104" s="37">
        <v>21</v>
      </c>
      <c r="I104" s="65">
        <v>6018.0742451612905</v>
      </c>
      <c r="J104" s="65">
        <v>6018.0742451612905</v>
      </c>
      <c r="K104" s="65">
        <v>6018.0742451612905</v>
      </c>
      <c r="L104" s="65">
        <v>6018.0742451612905</v>
      </c>
      <c r="M104" s="65">
        <v>6018.0742451612905</v>
      </c>
      <c r="N104" s="65">
        <v>6018.0742451612905</v>
      </c>
      <c r="O104" s="65">
        <v>6018.0742451612905</v>
      </c>
      <c r="P104" s="65">
        <v>6018.0742451612905</v>
      </c>
      <c r="Q104" s="65">
        <v>6018.0742451612905</v>
      </c>
      <c r="R104" s="65">
        <v>6018.0742451612905</v>
      </c>
      <c r="S104" s="65">
        <v>6018.0742451612905</v>
      </c>
      <c r="T104" s="65">
        <v>6018.0742451612905</v>
      </c>
      <c r="U104" s="65">
        <v>6018.0742451612905</v>
      </c>
      <c r="V104" s="65">
        <v>6018.0742451612905</v>
      </c>
      <c r="W104" s="65">
        <v>6018.0742451612905</v>
      </c>
      <c r="X104" s="65">
        <v>6018.0742451612905</v>
      </c>
      <c r="Y104" s="65">
        <v>6018.0742451612905</v>
      </c>
      <c r="Z104" s="65">
        <v>6018.0742451612905</v>
      </c>
      <c r="AA104" s="65">
        <v>6018.0742451612905</v>
      </c>
      <c r="AB104" s="65">
        <v>6018.0742451612905</v>
      </c>
      <c r="AC104" s="65">
        <v>6018.0742451612905</v>
      </c>
      <c r="AD104" s="65">
        <v>6018.0742451612905</v>
      </c>
      <c r="AE104" s="65">
        <v>6018.0742451612905</v>
      </c>
      <c r="AF104" s="65">
        <v>6018.0742451612905</v>
      </c>
      <c r="AG104" s="38">
        <f>+SUM(I104:AF104)*H104</f>
        <v>3033109.4195612906</v>
      </c>
    </row>
    <row r="105" spans="2:33" ht="14.4" x14ac:dyDescent="0.25">
      <c r="B105">
        <f t="shared" si="26"/>
        <v>8</v>
      </c>
      <c r="C105">
        <f t="shared" si="27"/>
        <v>2028</v>
      </c>
      <c r="D105" t="str">
        <f t="shared" si="42"/>
        <v>82028SA</v>
      </c>
      <c r="E105" s="68">
        <v>46966</v>
      </c>
      <c r="F105" s="73"/>
      <c r="G105" s="39" t="s">
        <v>60</v>
      </c>
      <c r="H105" s="39">
        <v>4</v>
      </c>
      <c r="I105" s="65">
        <v>6018.0742451612905</v>
      </c>
      <c r="J105" s="65">
        <v>6018.0742451612905</v>
      </c>
      <c r="K105" s="65">
        <v>6018.0742451612905</v>
      </c>
      <c r="L105" s="65">
        <v>6018.0742451612905</v>
      </c>
      <c r="M105" s="65">
        <v>6018.0742451612905</v>
      </c>
      <c r="N105" s="65">
        <v>6018.0742451612905</v>
      </c>
      <c r="O105" s="65">
        <v>6018.0742451612905</v>
      </c>
      <c r="P105" s="65">
        <v>6018.0742451612905</v>
      </c>
      <c r="Q105" s="65">
        <v>6018.0742451612905</v>
      </c>
      <c r="R105" s="65">
        <v>6018.0742451612905</v>
      </c>
      <c r="S105" s="65">
        <v>6018.0742451612905</v>
      </c>
      <c r="T105" s="65">
        <v>6018.0742451612905</v>
      </c>
      <c r="U105" s="65">
        <v>6018.0742451612905</v>
      </c>
      <c r="V105" s="65">
        <v>6018.0742451612905</v>
      </c>
      <c r="W105" s="65">
        <v>6018.0742451612905</v>
      </c>
      <c r="X105" s="65">
        <v>6018.0742451612905</v>
      </c>
      <c r="Y105" s="65">
        <v>6018.0742451612905</v>
      </c>
      <c r="Z105" s="65">
        <v>6018.0742451612905</v>
      </c>
      <c r="AA105" s="65">
        <v>6018.0742451612905</v>
      </c>
      <c r="AB105" s="65">
        <v>6018.0742451612905</v>
      </c>
      <c r="AC105" s="65">
        <v>6018.0742451612905</v>
      </c>
      <c r="AD105" s="65">
        <v>6018.0742451612905</v>
      </c>
      <c r="AE105" s="65">
        <v>6018.0742451612905</v>
      </c>
      <c r="AF105" s="65">
        <v>6018.0742451612905</v>
      </c>
      <c r="AG105" s="40">
        <f>+SUM(I105:AF105)*H105</f>
        <v>577735.12753548392</v>
      </c>
    </row>
    <row r="106" spans="2:33" ht="14.4" x14ac:dyDescent="0.25">
      <c r="B106">
        <f t="shared" si="26"/>
        <v>8</v>
      </c>
      <c r="C106">
        <f t="shared" si="27"/>
        <v>2028</v>
      </c>
      <c r="D106" t="str">
        <f t="shared" si="42"/>
        <v>82028DO</v>
      </c>
      <c r="E106" s="68">
        <v>46966</v>
      </c>
      <c r="F106" s="73"/>
      <c r="G106" s="41" t="s">
        <v>58</v>
      </c>
      <c r="H106" s="41">
        <v>4</v>
      </c>
      <c r="I106" s="65">
        <v>6018.0742451612905</v>
      </c>
      <c r="J106" s="65">
        <v>6018.0742451612905</v>
      </c>
      <c r="K106" s="65">
        <v>6018.0742451612905</v>
      </c>
      <c r="L106" s="65">
        <v>6018.0742451612905</v>
      </c>
      <c r="M106" s="65">
        <v>6018.0742451612905</v>
      </c>
      <c r="N106" s="65">
        <v>6018.0742451612905</v>
      </c>
      <c r="O106" s="65">
        <v>6018.0742451612905</v>
      </c>
      <c r="P106" s="65">
        <v>6018.0742451612905</v>
      </c>
      <c r="Q106" s="65">
        <v>6018.0742451612905</v>
      </c>
      <c r="R106" s="65">
        <v>6018.0742451612905</v>
      </c>
      <c r="S106" s="65">
        <v>6018.0742451612905</v>
      </c>
      <c r="T106" s="65">
        <v>6018.0742451612905</v>
      </c>
      <c r="U106" s="65">
        <v>6018.0742451612905</v>
      </c>
      <c r="V106" s="65">
        <v>6018.0742451612905</v>
      </c>
      <c r="W106" s="65">
        <v>6018.0742451612905</v>
      </c>
      <c r="X106" s="65">
        <v>6018.0742451612905</v>
      </c>
      <c r="Y106" s="65">
        <v>6018.0742451612905</v>
      </c>
      <c r="Z106" s="65">
        <v>6018.0742451612905</v>
      </c>
      <c r="AA106" s="65">
        <v>6018.0742451612905</v>
      </c>
      <c r="AB106" s="65">
        <v>6018.0742451612905</v>
      </c>
      <c r="AC106" s="65">
        <v>6018.0742451612905</v>
      </c>
      <c r="AD106" s="65">
        <v>6018.0742451612905</v>
      </c>
      <c r="AE106" s="65">
        <v>6018.0742451612905</v>
      </c>
      <c r="AF106" s="65">
        <v>6018.0742451612905</v>
      </c>
      <c r="AG106" s="40">
        <f>+SUM(I106:AF106)*H106</f>
        <v>577735.12753548392</v>
      </c>
    </row>
    <row r="107" spans="2:33" ht="14.4" x14ac:dyDescent="0.25">
      <c r="B107">
        <f t="shared" si="26"/>
        <v>8</v>
      </c>
      <c r="C107">
        <f t="shared" si="27"/>
        <v>2028</v>
      </c>
      <c r="D107" t="str">
        <f t="shared" si="42"/>
        <v>82028FE</v>
      </c>
      <c r="E107" s="68">
        <v>46966</v>
      </c>
      <c r="F107" s="73"/>
      <c r="G107" s="42" t="s">
        <v>59</v>
      </c>
      <c r="H107" s="42">
        <v>2</v>
      </c>
      <c r="I107" s="65">
        <v>6018.0742451612905</v>
      </c>
      <c r="J107" s="65">
        <v>6018.0742451612905</v>
      </c>
      <c r="K107" s="65">
        <v>6018.0742451612905</v>
      </c>
      <c r="L107" s="65">
        <v>6018.0742451612905</v>
      </c>
      <c r="M107" s="65">
        <v>6018.0742451612905</v>
      </c>
      <c r="N107" s="65">
        <v>6018.0742451612905</v>
      </c>
      <c r="O107" s="65">
        <v>6018.0742451612905</v>
      </c>
      <c r="P107" s="65">
        <v>6018.0742451612905</v>
      </c>
      <c r="Q107" s="65">
        <v>6018.0742451612905</v>
      </c>
      <c r="R107" s="65">
        <v>6018.0742451612905</v>
      </c>
      <c r="S107" s="65">
        <v>6018.0742451612905</v>
      </c>
      <c r="T107" s="65">
        <v>6018.0742451612905</v>
      </c>
      <c r="U107" s="65">
        <v>6018.0742451612905</v>
      </c>
      <c r="V107" s="65">
        <v>6018.0742451612905</v>
      </c>
      <c r="W107" s="65">
        <v>6018.0742451612905</v>
      </c>
      <c r="X107" s="65">
        <v>6018.0742451612905</v>
      </c>
      <c r="Y107" s="65">
        <v>6018.0742451612905</v>
      </c>
      <c r="Z107" s="65">
        <v>6018.0742451612905</v>
      </c>
      <c r="AA107" s="65">
        <v>6018.0742451612905</v>
      </c>
      <c r="AB107" s="65">
        <v>6018.0742451612905</v>
      </c>
      <c r="AC107" s="65">
        <v>6018.0742451612905</v>
      </c>
      <c r="AD107" s="65">
        <v>6018.0742451612905</v>
      </c>
      <c r="AE107" s="65">
        <v>6018.0742451612905</v>
      </c>
      <c r="AF107" s="65">
        <v>6018.0742451612905</v>
      </c>
      <c r="AG107" s="43">
        <f>+SUM(I107:AF107)*H107</f>
        <v>288867.56376774196</v>
      </c>
    </row>
    <row r="108" spans="2:33" ht="15" thickBot="1" x14ac:dyDescent="0.3">
      <c r="B108">
        <f t="shared" si="26"/>
        <v>8</v>
      </c>
      <c r="C108">
        <f t="shared" si="27"/>
        <v>2028</v>
      </c>
      <c r="D108" t="str">
        <f>+_xlfn.CONCAT(E108,G108)</f>
        <v>46966TOTAL</v>
      </c>
      <c r="E108" s="68">
        <v>46966</v>
      </c>
      <c r="F108" s="61"/>
      <c r="G108" s="44" t="s">
        <v>10</v>
      </c>
      <c r="H108" s="44">
        <f>+SUM(H104:H107)</f>
        <v>31</v>
      </c>
      <c r="I108" s="45">
        <f t="shared" ref="I108:AF108" si="43">+SUMPRODUCT(I104:I107,$H104:$H107)</f>
        <v>186560.30160000001</v>
      </c>
      <c r="J108" s="45">
        <f t="shared" si="43"/>
        <v>186560.30160000001</v>
      </c>
      <c r="K108" s="45">
        <f t="shared" si="43"/>
        <v>186560.30160000001</v>
      </c>
      <c r="L108" s="45">
        <f t="shared" si="43"/>
        <v>186560.30160000001</v>
      </c>
      <c r="M108" s="45">
        <f t="shared" si="43"/>
        <v>186560.30160000001</v>
      </c>
      <c r="N108" s="45">
        <f t="shared" si="43"/>
        <v>186560.30160000001</v>
      </c>
      <c r="O108" s="45">
        <f t="shared" si="43"/>
        <v>186560.30160000001</v>
      </c>
      <c r="P108" s="45">
        <f t="shared" si="43"/>
        <v>186560.30160000001</v>
      </c>
      <c r="Q108" s="45">
        <f t="shared" si="43"/>
        <v>186560.30160000001</v>
      </c>
      <c r="R108" s="45">
        <f t="shared" si="43"/>
        <v>186560.30160000001</v>
      </c>
      <c r="S108" s="45">
        <f t="shared" si="43"/>
        <v>186560.30160000001</v>
      </c>
      <c r="T108" s="45">
        <f t="shared" si="43"/>
        <v>186560.30160000001</v>
      </c>
      <c r="U108" s="45">
        <f t="shared" si="43"/>
        <v>186560.30160000001</v>
      </c>
      <c r="V108" s="45">
        <f t="shared" si="43"/>
        <v>186560.30160000001</v>
      </c>
      <c r="W108" s="45">
        <f t="shared" si="43"/>
        <v>186560.30160000001</v>
      </c>
      <c r="X108" s="45">
        <f t="shared" si="43"/>
        <v>186560.30160000001</v>
      </c>
      <c r="Y108" s="45">
        <f t="shared" si="43"/>
        <v>186560.30160000001</v>
      </c>
      <c r="Z108" s="45">
        <f t="shared" si="43"/>
        <v>186560.30160000001</v>
      </c>
      <c r="AA108" s="45">
        <f t="shared" si="43"/>
        <v>186560.30160000001</v>
      </c>
      <c r="AB108" s="45">
        <f t="shared" si="43"/>
        <v>186560.30160000001</v>
      </c>
      <c r="AC108" s="45">
        <f t="shared" si="43"/>
        <v>186560.30160000001</v>
      </c>
      <c r="AD108" s="45">
        <f t="shared" si="43"/>
        <v>186560.30160000001</v>
      </c>
      <c r="AE108" s="45">
        <f t="shared" si="43"/>
        <v>186560.30160000001</v>
      </c>
      <c r="AF108" s="45">
        <f t="shared" si="43"/>
        <v>186560.30160000001</v>
      </c>
      <c r="AG108" s="46">
        <f>SUM(I108:AF108)</f>
        <v>4477447.2383999983</v>
      </c>
    </row>
    <row r="109" spans="2:33" ht="14.4" x14ac:dyDescent="0.25">
      <c r="B109">
        <f t="shared" si="26"/>
        <v>9</v>
      </c>
      <c r="C109">
        <f t="shared" si="27"/>
        <v>2028</v>
      </c>
      <c r="D109" t="str">
        <f t="shared" ref="D109:D112" si="44">+_xlfn.CONCAT(B109:C109,G109)</f>
        <v>92028OR</v>
      </c>
      <c r="E109" s="67">
        <v>46997</v>
      </c>
      <c r="F109" s="72">
        <f>+AG113</f>
        <v>4329233.0496000024</v>
      </c>
      <c r="G109" s="37" t="s">
        <v>57</v>
      </c>
      <c r="H109" s="37">
        <v>21</v>
      </c>
      <c r="I109" s="65">
        <v>6012.8236800000004</v>
      </c>
      <c r="J109" s="65">
        <v>6012.8236800000004</v>
      </c>
      <c r="K109" s="65">
        <v>6012.8236800000004</v>
      </c>
      <c r="L109" s="65">
        <v>6012.8236800000004</v>
      </c>
      <c r="M109" s="65">
        <v>6012.8236800000004</v>
      </c>
      <c r="N109" s="65">
        <v>6012.8236800000004</v>
      </c>
      <c r="O109" s="65">
        <v>6012.8236800000004</v>
      </c>
      <c r="P109" s="65">
        <v>6012.8236800000004</v>
      </c>
      <c r="Q109" s="65">
        <v>6012.8236800000004</v>
      </c>
      <c r="R109" s="65">
        <v>6012.8236800000004</v>
      </c>
      <c r="S109" s="65">
        <v>6012.8236800000004</v>
      </c>
      <c r="T109" s="65">
        <v>6012.8236800000004</v>
      </c>
      <c r="U109" s="65">
        <v>6012.8236800000004</v>
      </c>
      <c r="V109" s="65">
        <v>6012.8236800000004</v>
      </c>
      <c r="W109" s="65">
        <v>6012.8236800000004</v>
      </c>
      <c r="X109" s="65">
        <v>6012.8236800000004</v>
      </c>
      <c r="Y109" s="65">
        <v>6012.8236800000004</v>
      </c>
      <c r="Z109" s="65">
        <v>6012.8236800000004</v>
      </c>
      <c r="AA109" s="65">
        <v>6012.8236800000004</v>
      </c>
      <c r="AB109" s="65">
        <v>6012.8236800000004</v>
      </c>
      <c r="AC109" s="65">
        <v>6012.8236800000004</v>
      </c>
      <c r="AD109" s="65">
        <v>6012.8236800000004</v>
      </c>
      <c r="AE109" s="65">
        <v>6012.8236800000004</v>
      </c>
      <c r="AF109" s="65">
        <v>6012.8236800000004</v>
      </c>
      <c r="AG109" s="38">
        <f>+SUM(I109:AF109)*H109</f>
        <v>3030463.13472</v>
      </c>
    </row>
    <row r="110" spans="2:33" ht="14.4" x14ac:dyDescent="0.25">
      <c r="B110">
        <f t="shared" si="26"/>
        <v>9</v>
      </c>
      <c r="C110">
        <f t="shared" si="27"/>
        <v>2028</v>
      </c>
      <c r="D110" t="str">
        <f t="shared" si="44"/>
        <v>92028SA</v>
      </c>
      <c r="E110" s="68">
        <v>46997</v>
      </c>
      <c r="F110" s="73"/>
      <c r="G110" s="39" t="s">
        <v>60</v>
      </c>
      <c r="H110" s="39">
        <v>5</v>
      </c>
      <c r="I110" s="65">
        <v>6012.8236799999995</v>
      </c>
      <c r="J110" s="65">
        <v>6012.8236799999995</v>
      </c>
      <c r="K110" s="65">
        <v>6012.8236799999995</v>
      </c>
      <c r="L110" s="65">
        <v>6012.8236799999995</v>
      </c>
      <c r="M110" s="65">
        <v>6012.8236799999995</v>
      </c>
      <c r="N110" s="65">
        <v>6012.8236799999995</v>
      </c>
      <c r="O110" s="65">
        <v>6012.8236799999995</v>
      </c>
      <c r="P110" s="65">
        <v>6012.8236799999995</v>
      </c>
      <c r="Q110" s="65">
        <v>6012.8236799999995</v>
      </c>
      <c r="R110" s="65">
        <v>6012.8236799999995</v>
      </c>
      <c r="S110" s="65">
        <v>6012.8236799999995</v>
      </c>
      <c r="T110" s="65">
        <v>6012.8236799999995</v>
      </c>
      <c r="U110" s="65">
        <v>6012.8236799999995</v>
      </c>
      <c r="V110" s="65">
        <v>6012.8236799999995</v>
      </c>
      <c r="W110" s="65">
        <v>6012.8236799999995</v>
      </c>
      <c r="X110" s="65">
        <v>6012.8236799999995</v>
      </c>
      <c r="Y110" s="65">
        <v>6012.8236799999995</v>
      </c>
      <c r="Z110" s="65">
        <v>6012.8236799999995</v>
      </c>
      <c r="AA110" s="65">
        <v>6012.8236799999995</v>
      </c>
      <c r="AB110" s="65">
        <v>6012.8236799999995</v>
      </c>
      <c r="AC110" s="65">
        <v>6012.8236799999995</v>
      </c>
      <c r="AD110" s="65">
        <v>6012.8236799999995</v>
      </c>
      <c r="AE110" s="65">
        <v>6012.8236799999995</v>
      </c>
      <c r="AF110" s="65">
        <v>6012.8236799999995</v>
      </c>
      <c r="AG110" s="40">
        <f>+SUM(I110:AF110)*H110</f>
        <v>721538.84160000004</v>
      </c>
    </row>
    <row r="111" spans="2:33" ht="14.4" x14ac:dyDescent="0.25">
      <c r="B111">
        <f t="shared" si="26"/>
        <v>9</v>
      </c>
      <c r="C111">
        <f t="shared" si="27"/>
        <v>2028</v>
      </c>
      <c r="D111" t="str">
        <f t="shared" si="44"/>
        <v>92028DO</v>
      </c>
      <c r="E111" s="68">
        <v>46997</v>
      </c>
      <c r="F111" s="73"/>
      <c r="G111" s="41" t="s">
        <v>58</v>
      </c>
      <c r="H111" s="41">
        <v>4</v>
      </c>
      <c r="I111" s="65">
        <v>6012.8236799999995</v>
      </c>
      <c r="J111" s="65">
        <v>6012.8236799999995</v>
      </c>
      <c r="K111" s="65">
        <v>6012.8236799999995</v>
      </c>
      <c r="L111" s="65">
        <v>6012.8236799999995</v>
      </c>
      <c r="M111" s="65">
        <v>6012.8236799999995</v>
      </c>
      <c r="N111" s="65">
        <v>6012.8236799999995</v>
      </c>
      <c r="O111" s="65">
        <v>6012.8236799999995</v>
      </c>
      <c r="P111" s="65">
        <v>6012.8236799999995</v>
      </c>
      <c r="Q111" s="65">
        <v>6012.8236799999995</v>
      </c>
      <c r="R111" s="65">
        <v>6012.8236799999995</v>
      </c>
      <c r="S111" s="65">
        <v>6012.8236799999995</v>
      </c>
      <c r="T111" s="65">
        <v>6012.8236799999995</v>
      </c>
      <c r="U111" s="65">
        <v>6012.8236799999995</v>
      </c>
      <c r="V111" s="65">
        <v>6012.8236799999995</v>
      </c>
      <c r="W111" s="65">
        <v>6012.8236799999995</v>
      </c>
      <c r="X111" s="65">
        <v>6012.8236799999995</v>
      </c>
      <c r="Y111" s="65">
        <v>6012.8236799999995</v>
      </c>
      <c r="Z111" s="65">
        <v>6012.8236799999995</v>
      </c>
      <c r="AA111" s="65">
        <v>6012.8236799999995</v>
      </c>
      <c r="AB111" s="65">
        <v>6012.8236799999995</v>
      </c>
      <c r="AC111" s="65">
        <v>6012.8236799999995</v>
      </c>
      <c r="AD111" s="65">
        <v>6012.8236799999995</v>
      </c>
      <c r="AE111" s="65">
        <v>6012.8236799999995</v>
      </c>
      <c r="AF111" s="65">
        <v>6012.8236799999995</v>
      </c>
      <c r="AG111" s="40">
        <f>+SUM(I111:AF111)*H111</f>
        <v>577231.07328000001</v>
      </c>
    </row>
    <row r="112" spans="2:33" ht="14.4" x14ac:dyDescent="0.25">
      <c r="B112">
        <f t="shared" si="26"/>
        <v>9</v>
      </c>
      <c r="C112">
        <f t="shared" si="27"/>
        <v>2028</v>
      </c>
      <c r="D112" t="str">
        <f t="shared" si="44"/>
        <v>92028FE</v>
      </c>
      <c r="E112" s="68">
        <v>46997</v>
      </c>
      <c r="F112" s="73"/>
      <c r="G112" s="42" t="s">
        <v>59</v>
      </c>
      <c r="H112" s="42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r="AF112" s="65">
        <v>0</v>
      </c>
      <c r="AG112" s="43">
        <f>+SUM(I112:AF112)*H112</f>
        <v>0</v>
      </c>
    </row>
    <row r="113" spans="2:33" ht="15" thickBot="1" x14ac:dyDescent="0.3">
      <c r="B113">
        <f t="shared" si="26"/>
        <v>9</v>
      </c>
      <c r="C113">
        <f t="shared" si="27"/>
        <v>2028</v>
      </c>
      <c r="D113" t="str">
        <f>+_xlfn.CONCAT(E113,G113)</f>
        <v>46997TOTAL</v>
      </c>
      <c r="E113" s="68">
        <v>46997</v>
      </c>
      <c r="F113" s="61"/>
      <c r="G113" s="44" t="s">
        <v>10</v>
      </c>
      <c r="H113" s="44">
        <f>+SUM(H109:H112)</f>
        <v>30</v>
      </c>
      <c r="I113" s="45">
        <f t="shared" ref="I113:AF113" si="45">+SUMPRODUCT(I109:I112,$H109:$H112)</f>
        <v>180384.71040000001</v>
      </c>
      <c r="J113" s="45">
        <f t="shared" si="45"/>
        <v>180384.71040000001</v>
      </c>
      <c r="K113" s="45">
        <f t="shared" si="45"/>
        <v>180384.71040000001</v>
      </c>
      <c r="L113" s="45">
        <f t="shared" si="45"/>
        <v>180384.71040000001</v>
      </c>
      <c r="M113" s="45">
        <f t="shared" si="45"/>
        <v>180384.71040000001</v>
      </c>
      <c r="N113" s="45">
        <f t="shared" si="45"/>
        <v>180384.71040000001</v>
      </c>
      <c r="O113" s="45">
        <f t="shared" si="45"/>
        <v>180384.71040000001</v>
      </c>
      <c r="P113" s="45">
        <f t="shared" si="45"/>
        <v>180384.71040000001</v>
      </c>
      <c r="Q113" s="45">
        <f t="shared" si="45"/>
        <v>180384.71040000001</v>
      </c>
      <c r="R113" s="45">
        <f t="shared" si="45"/>
        <v>180384.71040000001</v>
      </c>
      <c r="S113" s="45">
        <f t="shared" si="45"/>
        <v>180384.71040000001</v>
      </c>
      <c r="T113" s="45">
        <f t="shared" si="45"/>
        <v>180384.71040000001</v>
      </c>
      <c r="U113" s="45">
        <f t="shared" si="45"/>
        <v>180384.71040000001</v>
      </c>
      <c r="V113" s="45">
        <f t="shared" si="45"/>
        <v>180384.71040000001</v>
      </c>
      <c r="W113" s="45">
        <f t="shared" si="45"/>
        <v>180384.71040000001</v>
      </c>
      <c r="X113" s="45">
        <f t="shared" si="45"/>
        <v>180384.71040000001</v>
      </c>
      <c r="Y113" s="45">
        <f t="shared" si="45"/>
        <v>180384.71040000001</v>
      </c>
      <c r="Z113" s="45">
        <f t="shared" si="45"/>
        <v>180384.71040000001</v>
      </c>
      <c r="AA113" s="45">
        <f t="shared" si="45"/>
        <v>180384.71040000001</v>
      </c>
      <c r="AB113" s="45">
        <f t="shared" si="45"/>
        <v>180384.71040000001</v>
      </c>
      <c r="AC113" s="45">
        <f t="shared" si="45"/>
        <v>180384.71040000001</v>
      </c>
      <c r="AD113" s="45">
        <f t="shared" si="45"/>
        <v>180384.71040000001</v>
      </c>
      <c r="AE113" s="45">
        <f t="shared" si="45"/>
        <v>180384.71040000001</v>
      </c>
      <c r="AF113" s="45">
        <f t="shared" si="45"/>
        <v>180384.71040000001</v>
      </c>
      <c r="AG113" s="46">
        <f>SUM(I113:AF113)</f>
        <v>4329233.0496000024</v>
      </c>
    </row>
    <row r="114" spans="2:33" ht="14.4" x14ac:dyDescent="0.25">
      <c r="B114">
        <f t="shared" si="26"/>
        <v>10</v>
      </c>
      <c r="C114">
        <f t="shared" si="27"/>
        <v>2028</v>
      </c>
      <c r="D114" t="str">
        <f t="shared" ref="D114:D117" si="46">+_xlfn.CONCAT(B114:C114,G114)</f>
        <v>102028OR</v>
      </c>
      <c r="E114" s="67">
        <v>47027</v>
      </c>
      <c r="F114" s="72">
        <f>+AG118</f>
        <v>4282183.6617599996</v>
      </c>
      <c r="G114" s="37" t="s">
        <v>57</v>
      </c>
      <c r="H114" s="37">
        <v>21</v>
      </c>
      <c r="I114" s="65">
        <v>5755.623201290321</v>
      </c>
      <c r="J114" s="65">
        <v>5755.623201290321</v>
      </c>
      <c r="K114" s="65">
        <v>5755.623201290321</v>
      </c>
      <c r="L114" s="65">
        <v>5755.623201290321</v>
      </c>
      <c r="M114" s="65">
        <v>5755.623201290321</v>
      </c>
      <c r="N114" s="65">
        <v>5755.623201290321</v>
      </c>
      <c r="O114" s="65">
        <v>5755.623201290321</v>
      </c>
      <c r="P114" s="65">
        <v>5755.623201290321</v>
      </c>
      <c r="Q114" s="65">
        <v>5755.623201290321</v>
      </c>
      <c r="R114" s="65">
        <v>5755.623201290321</v>
      </c>
      <c r="S114" s="65">
        <v>5755.623201290321</v>
      </c>
      <c r="T114" s="65">
        <v>5755.623201290321</v>
      </c>
      <c r="U114" s="65">
        <v>5755.623201290321</v>
      </c>
      <c r="V114" s="65">
        <v>5755.623201290321</v>
      </c>
      <c r="W114" s="65">
        <v>5755.623201290321</v>
      </c>
      <c r="X114" s="65">
        <v>5755.623201290321</v>
      </c>
      <c r="Y114" s="65">
        <v>5755.623201290321</v>
      </c>
      <c r="Z114" s="65">
        <v>5755.623201290321</v>
      </c>
      <c r="AA114" s="65">
        <v>5755.623201290321</v>
      </c>
      <c r="AB114" s="65">
        <v>5755.623201290321</v>
      </c>
      <c r="AC114" s="65">
        <v>5755.623201290321</v>
      </c>
      <c r="AD114" s="65">
        <v>5755.623201290321</v>
      </c>
      <c r="AE114" s="65">
        <v>5755.623201290321</v>
      </c>
      <c r="AF114" s="65">
        <v>5755.623201290321</v>
      </c>
      <c r="AG114" s="38">
        <f>+SUM(I114:AF114)*H114</f>
        <v>2900834.0934503218</v>
      </c>
    </row>
    <row r="115" spans="2:33" ht="14.4" x14ac:dyDescent="0.25">
      <c r="B115">
        <f t="shared" si="26"/>
        <v>10</v>
      </c>
      <c r="C115">
        <f t="shared" si="27"/>
        <v>2028</v>
      </c>
      <c r="D115" t="str">
        <f t="shared" si="46"/>
        <v>102028SA</v>
      </c>
      <c r="E115" s="68">
        <v>47027</v>
      </c>
      <c r="F115" s="73"/>
      <c r="G115" s="39" t="s">
        <v>60</v>
      </c>
      <c r="H115" s="39">
        <v>4</v>
      </c>
      <c r="I115" s="65">
        <v>5755.623201290322</v>
      </c>
      <c r="J115" s="65">
        <v>5755.623201290322</v>
      </c>
      <c r="K115" s="65">
        <v>5755.623201290322</v>
      </c>
      <c r="L115" s="65">
        <v>5755.623201290322</v>
      </c>
      <c r="M115" s="65">
        <v>5755.623201290322</v>
      </c>
      <c r="N115" s="65">
        <v>5755.623201290322</v>
      </c>
      <c r="O115" s="65">
        <v>5755.623201290322</v>
      </c>
      <c r="P115" s="65">
        <v>5755.623201290322</v>
      </c>
      <c r="Q115" s="65">
        <v>5755.623201290322</v>
      </c>
      <c r="R115" s="65">
        <v>5755.623201290322</v>
      </c>
      <c r="S115" s="65">
        <v>5755.623201290322</v>
      </c>
      <c r="T115" s="65">
        <v>5755.623201290322</v>
      </c>
      <c r="U115" s="65">
        <v>5755.623201290322</v>
      </c>
      <c r="V115" s="65">
        <v>5755.623201290322</v>
      </c>
      <c r="W115" s="65">
        <v>5755.623201290322</v>
      </c>
      <c r="X115" s="65">
        <v>5755.623201290322</v>
      </c>
      <c r="Y115" s="65">
        <v>5755.623201290322</v>
      </c>
      <c r="Z115" s="65">
        <v>5755.623201290322</v>
      </c>
      <c r="AA115" s="65">
        <v>5755.623201290322</v>
      </c>
      <c r="AB115" s="65">
        <v>5755.623201290322</v>
      </c>
      <c r="AC115" s="65">
        <v>5755.623201290322</v>
      </c>
      <c r="AD115" s="65">
        <v>5755.623201290322</v>
      </c>
      <c r="AE115" s="65">
        <v>5755.623201290322</v>
      </c>
      <c r="AF115" s="65">
        <v>5755.623201290322</v>
      </c>
      <c r="AG115" s="40">
        <f>+SUM(I115:AF115)*H115</f>
        <v>552539.82732387085</v>
      </c>
    </row>
    <row r="116" spans="2:33" ht="14.4" x14ac:dyDescent="0.25">
      <c r="B116">
        <f t="shared" si="26"/>
        <v>10</v>
      </c>
      <c r="C116">
        <f t="shared" si="27"/>
        <v>2028</v>
      </c>
      <c r="D116" t="str">
        <f t="shared" si="46"/>
        <v>102028DO</v>
      </c>
      <c r="E116" s="68">
        <v>47027</v>
      </c>
      <c r="F116" s="73"/>
      <c r="G116" s="41" t="s">
        <v>58</v>
      </c>
      <c r="H116" s="41">
        <v>5</v>
      </c>
      <c r="I116" s="65">
        <v>5755.623201290322</v>
      </c>
      <c r="J116" s="65">
        <v>5755.623201290322</v>
      </c>
      <c r="K116" s="65">
        <v>5755.623201290322</v>
      </c>
      <c r="L116" s="65">
        <v>5755.623201290322</v>
      </c>
      <c r="M116" s="65">
        <v>5755.623201290322</v>
      </c>
      <c r="N116" s="65">
        <v>5755.623201290322</v>
      </c>
      <c r="O116" s="65">
        <v>5755.623201290322</v>
      </c>
      <c r="P116" s="65">
        <v>5755.623201290322</v>
      </c>
      <c r="Q116" s="65">
        <v>5755.623201290322</v>
      </c>
      <c r="R116" s="65">
        <v>5755.623201290322</v>
      </c>
      <c r="S116" s="65">
        <v>5755.623201290322</v>
      </c>
      <c r="T116" s="65">
        <v>5755.623201290322</v>
      </c>
      <c r="U116" s="65">
        <v>5755.623201290322</v>
      </c>
      <c r="V116" s="65">
        <v>5755.623201290322</v>
      </c>
      <c r="W116" s="65">
        <v>5755.623201290322</v>
      </c>
      <c r="X116" s="65">
        <v>5755.623201290322</v>
      </c>
      <c r="Y116" s="65">
        <v>5755.623201290322</v>
      </c>
      <c r="Z116" s="65">
        <v>5755.623201290322</v>
      </c>
      <c r="AA116" s="65">
        <v>5755.623201290322</v>
      </c>
      <c r="AB116" s="65">
        <v>5755.623201290322</v>
      </c>
      <c r="AC116" s="65">
        <v>5755.623201290322</v>
      </c>
      <c r="AD116" s="65">
        <v>5755.623201290322</v>
      </c>
      <c r="AE116" s="65">
        <v>5755.623201290322</v>
      </c>
      <c r="AF116" s="65">
        <v>5755.623201290322</v>
      </c>
      <c r="AG116" s="40">
        <f>+SUM(I116:AF116)*H116</f>
        <v>690674.78415483853</v>
      </c>
    </row>
    <row r="117" spans="2:33" ht="14.4" x14ac:dyDescent="0.25">
      <c r="B117">
        <f t="shared" si="26"/>
        <v>10</v>
      </c>
      <c r="C117">
        <f t="shared" si="27"/>
        <v>2028</v>
      </c>
      <c r="D117" t="str">
        <f t="shared" si="46"/>
        <v>102028FE</v>
      </c>
      <c r="E117" s="68">
        <v>47027</v>
      </c>
      <c r="F117" s="73"/>
      <c r="G117" s="42" t="s">
        <v>59</v>
      </c>
      <c r="H117" s="42">
        <v>1</v>
      </c>
      <c r="I117" s="65">
        <v>5755.623201290322</v>
      </c>
      <c r="J117" s="65">
        <v>5755.623201290322</v>
      </c>
      <c r="K117" s="65">
        <v>5755.623201290322</v>
      </c>
      <c r="L117" s="65">
        <v>5755.623201290322</v>
      </c>
      <c r="M117" s="65">
        <v>5755.623201290322</v>
      </c>
      <c r="N117" s="65">
        <v>5755.623201290322</v>
      </c>
      <c r="O117" s="65">
        <v>5755.623201290322</v>
      </c>
      <c r="P117" s="65">
        <v>5755.623201290322</v>
      </c>
      <c r="Q117" s="65">
        <v>5755.623201290322</v>
      </c>
      <c r="R117" s="65">
        <v>5755.623201290322</v>
      </c>
      <c r="S117" s="65">
        <v>5755.623201290322</v>
      </c>
      <c r="T117" s="65">
        <v>5755.623201290322</v>
      </c>
      <c r="U117" s="65">
        <v>5755.623201290322</v>
      </c>
      <c r="V117" s="65">
        <v>5755.623201290322</v>
      </c>
      <c r="W117" s="65">
        <v>5755.623201290322</v>
      </c>
      <c r="X117" s="65">
        <v>5755.623201290322</v>
      </c>
      <c r="Y117" s="65">
        <v>5755.623201290322</v>
      </c>
      <c r="Z117" s="65">
        <v>5755.623201290322</v>
      </c>
      <c r="AA117" s="65">
        <v>5755.623201290322</v>
      </c>
      <c r="AB117" s="65">
        <v>5755.623201290322</v>
      </c>
      <c r="AC117" s="65">
        <v>5755.623201290322</v>
      </c>
      <c r="AD117" s="65">
        <v>5755.623201290322</v>
      </c>
      <c r="AE117" s="65">
        <v>5755.623201290322</v>
      </c>
      <c r="AF117" s="65">
        <v>5755.623201290322</v>
      </c>
      <c r="AG117" s="43">
        <f>+SUM(I117:AF117)*H117</f>
        <v>138134.95683096771</v>
      </c>
    </row>
    <row r="118" spans="2:33" ht="15" thickBot="1" x14ac:dyDescent="0.3">
      <c r="B118">
        <f t="shared" si="26"/>
        <v>10</v>
      </c>
      <c r="C118">
        <f t="shared" si="27"/>
        <v>2028</v>
      </c>
      <c r="D118" t="str">
        <f>+_xlfn.CONCAT(E118,G118)</f>
        <v>47027TOTAL</v>
      </c>
      <c r="E118" s="68">
        <v>47027</v>
      </c>
      <c r="F118" s="61"/>
      <c r="G118" s="44" t="s">
        <v>10</v>
      </c>
      <c r="H118" s="44">
        <f>+SUM(H114:H117)</f>
        <v>31</v>
      </c>
      <c r="I118" s="45">
        <f t="shared" ref="I118:AF118" si="47">+SUMPRODUCT(I114:I117,$H114:$H117)</f>
        <v>178424.31923999995</v>
      </c>
      <c r="J118" s="45">
        <f t="shared" si="47"/>
        <v>178424.31923999995</v>
      </c>
      <c r="K118" s="45">
        <f t="shared" si="47"/>
        <v>178424.31923999995</v>
      </c>
      <c r="L118" s="45">
        <f t="shared" si="47"/>
        <v>178424.31923999995</v>
      </c>
      <c r="M118" s="45">
        <f t="shared" si="47"/>
        <v>178424.31923999995</v>
      </c>
      <c r="N118" s="45">
        <f t="shared" si="47"/>
        <v>178424.31923999995</v>
      </c>
      <c r="O118" s="45">
        <f t="shared" si="47"/>
        <v>178424.31923999995</v>
      </c>
      <c r="P118" s="45">
        <f t="shared" si="47"/>
        <v>178424.31923999995</v>
      </c>
      <c r="Q118" s="45">
        <f t="shared" si="47"/>
        <v>178424.31923999995</v>
      </c>
      <c r="R118" s="45">
        <f t="shared" si="47"/>
        <v>178424.31923999995</v>
      </c>
      <c r="S118" s="45">
        <f t="shared" si="47"/>
        <v>178424.31923999995</v>
      </c>
      <c r="T118" s="45">
        <f t="shared" si="47"/>
        <v>178424.31923999995</v>
      </c>
      <c r="U118" s="45">
        <f t="shared" si="47"/>
        <v>178424.31923999995</v>
      </c>
      <c r="V118" s="45">
        <f t="shared" si="47"/>
        <v>178424.31923999995</v>
      </c>
      <c r="W118" s="45">
        <f t="shared" si="47"/>
        <v>178424.31923999995</v>
      </c>
      <c r="X118" s="45">
        <f t="shared" si="47"/>
        <v>178424.31923999995</v>
      </c>
      <c r="Y118" s="45">
        <f t="shared" si="47"/>
        <v>178424.31923999995</v>
      </c>
      <c r="Z118" s="45">
        <f t="shared" si="47"/>
        <v>178424.31923999995</v>
      </c>
      <c r="AA118" s="45">
        <f t="shared" si="47"/>
        <v>178424.31923999995</v>
      </c>
      <c r="AB118" s="45">
        <f t="shared" si="47"/>
        <v>178424.31923999995</v>
      </c>
      <c r="AC118" s="45">
        <f t="shared" si="47"/>
        <v>178424.31923999995</v>
      </c>
      <c r="AD118" s="45">
        <f t="shared" si="47"/>
        <v>178424.31923999995</v>
      </c>
      <c r="AE118" s="45">
        <f t="shared" si="47"/>
        <v>178424.31923999995</v>
      </c>
      <c r="AF118" s="45">
        <f t="shared" si="47"/>
        <v>178424.31923999995</v>
      </c>
      <c r="AG118" s="46">
        <f>SUM(I118:AF118)</f>
        <v>4282183.6617599996</v>
      </c>
    </row>
    <row r="119" spans="2:33" ht="14.4" x14ac:dyDescent="0.25">
      <c r="B119">
        <f t="shared" si="26"/>
        <v>11</v>
      </c>
      <c r="C119">
        <f t="shared" si="27"/>
        <v>2028</v>
      </c>
      <c r="D119" t="str">
        <f t="shared" ref="D119:D122" si="48">+_xlfn.CONCAT(B119:C119,G119)</f>
        <v>112028OR</v>
      </c>
      <c r="E119" s="67">
        <v>47058</v>
      </c>
      <c r="F119" s="72">
        <f>+AG123</f>
        <v>4418161.5628800001</v>
      </c>
      <c r="G119" s="37" t="s">
        <v>57</v>
      </c>
      <c r="H119" s="37">
        <v>20</v>
      </c>
      <c r="I119" s="65">
        <v>6136.3355040000015</v>
      </c>
      <c r="J119" s="65">
        <v>6136.3355040000015</v>
      </c>
      <c r="K119" s="65">
        <v>6136.3355040000015</v>
      </c>
      <c r="L119" s="65">
        <v>6136.3355040000015</v>
      </c>
      <c r="M119" s="65">
        <v>6136.3355040000015</v>
      </c>
      <c r="N119" s="65">
        <v>6136.3355040000015</v>
      </c>
      <c r="O119" s="65">
        <v>6136.3355040000015</v>
      </c>
      <c r="P119" s="65">
        <v>6136.3355040000015</v>
      </c>
      <c r="Q119" s="65">
        <v>6136.3355040000015</v>
      </c>
      <c r="R119" s="65">
        <v>6136.3355040000015</v>
      </c>
      <c r="S119" s="65">
        <v>6136.3355040000015</v>
      </c>
      <c r="T119" s="65">
        <v>6136.3355040000015</v>
      </c>
      <c r="U119" s="65">
        <v>6136.3355040000015</v>
      </c>
      <c r="V119" s="65">
        <v>6136.3355040000015</v>
      </c>
      <c r="W119" s="65">
        <v>6136.3355040000015</v>
      </c>
      <c r="X119" s="65">
        <v>6136.3355040000015</v>
      </c>
      <c r="Y119" s="65">
        <v>6136.3355040000015</v>
      </c>
      <c r="Z119" s="65">
        <v>6136.3355040000015</v>
      </c>
      <c r="AA119" s="65">
        <v>6136.3355040000015</v>
      </c>
      <c r="AB119" s="65">
        <v>6136.3355040000015</v>
      </c>
      <c r="AC119" s="65">
        <v>6136.3355040000015</v>
      </c>
      <c r="AD119" s="65">
        <v>6136.3355040000015</v>
      </c>
      <c r="AE119" s="65">
        <v>6136.3355040000015</v>
      </c>
      <c r="AF119" s="65">
        <v>6136.3355040000015</v>
      </c>
      <c r="AG119" s="38">
        <f>+SUM(I119:AF119)*H119</f>
        <v>2945441.0419199998</v>
      </c>
    </row>
    <row r="120" spans="2:33" ht="14.4" x14ac:dyDescent="0.25">
      <c r="B120">
        <f t="shared" si="26"/>
        <v>11</v>
      </c>
      <c r="C120">
        <f t="shared" si="27"/>
        <v>2028</v>
      </c>
      <c r="D120" t="str">
        <f t="shared" si="48"/>
        <v>112028SA</v>
      </c>
      <c r="E120" s="68">
        <v>47058</v>
      </c>
      <c r="F120" s="73"/>
      <c r="G120" s="39" t="s">
        <v>60</v>
      </c>
      <c r="H120" s="39">
        <v>4</v>
      </c>
      <c r="I120" s="65">
        <v>6136.3355040000006</v>
      </c>
      <c r="J120" s="65">
        <v>6136.3355040000006</v>
      </c>
      <c r="K120" s="65">
        <v>6136.3355040000006</v>
      </c>
      <c r="L120" s="65">
        <v>6136.3355040000006</v>
      </c>
      <c r="M120" s="65">
        <v>6136.3355040000006</v>
      </c>
      <c r="N120" s="65">
        <v>6136.3355040000006</v>
      </c>
      <c r="O120" s="65">
        <v>6136.3355040000006</v>
      </c>
      <c r="P120" s="65">
        <v>6136.3355040000006</v>
      </c>
      <c r="Q120" s="65">
        <v>6136.3355040000006</v>
      </c>
      <c r="R120" s="65">
        <v>6136.3355040000006</v>
      </c>
      <c r="S120" s="65">
        <v>6136.3355040000006</v>
      </c>
      <c r="T120" s="65">
        <v>6136.3355040000006</v>
      </c>
      <c r="U120" s="65">
        <v>6136.3355040000006</v>
      </c>
      <c r="V120" s="65">
        <v>6136.3355040000006</v>
      </c>
      <c r="W120" s="65">
        <v>6136.3355040000006</v>
      </c>
      <c r="X120" s="65">
        <v>6136.3355040000006</v>
      </c>
      <c r="Y120" s="65">
        <v>6136.3355040000006</v>
      </c>
      <c r="Z120" s="65">
        <v>6136.3355040000006</v>
      </c>
      <c r="AA120" s="65">
        <v>6136.3355040000006</v>
      </c>
      <c r="AB120" s="65">
        <v>6136.3355040000006</v>
      </c>
      <c r="AC120" s="65">
        <v>6136.3355040000006</v>
      </c>
      <c r="AD120" s="65">
        <v>6136.3355040000006</v>
      </c>
      <c r="AE120" s="65">
        <v>6136.3355040000006</v>
      </c>
      <c r="AF120" s="65">
        <v>6136.3355040000006</v>
      </c>
      <c r="AG120" s="40">
        <f>+SUM(I120:AF120)*H120</f>
        <v>589088.208384</v>
      </c>
    </row>
    <row r="121" spans="2:33" ht="14.4" x14ac:dyDescent="0.25">
      <c r="B121">
        <f t="shared" si="26"/>
        <v>11</v>
      </c>
      <c r="C121">
        <f t="shared" si="27"/>
        <v>2028</v>
      </c>
      <c r="D121" t="str">
        <f t="shared" si="48"/>
        <v>112028DO</v>
      </c>
      <c r="E121" s="68">
        <v>47058</v>
      </c>
      <c r="F121" s="73"/>
      <c r="G121" s="41" t="s">
        <v>58</v>
      </c>
      <c r="H121" s="41">
        <v>4</v>
      </c>
      <c r="I121" s="65">
        <v>6136.3355040000006</v>
      </c>
      <c r="J121" s="65">
        <v>6136.3355040000006</v>
      </c>
      <c r="K121" s="65">
        <v>6136.3355040000006</v>
      </c>
      <c r="L121" s="65">
        <v>6136.3355040000006</v>
      </c>
      <c r="M121" s="65">
        <v>6136.3355040000006</v>
      </c>
      <c r="N121" s="65">
        <v>6136.3355040000006</v>
      </c>
      <c r="O121" s="65">
        <v>6136.3355040000006</v>
      </c>
      <c r="P121" s="65">
        <v>6136.3355040000006</v>
      </c>
      <c r="Q121" s="65">
        <v>6136.3355040000006</v>
      </c>
      <c r="R121" s="65">
        <v>6136.3355040000006</v>
      </c>
      <c r="S121" s="65">
        <v>6136.3355040000006</v>
      </c>
      <c r="T121" s="65">
        <v>6136.3355040000006</v>
      </c>
      <c r="U121" s="65">
        <v>6136.3355040000006</v>
      </c>
      <c r="V121" s="65">
        <v>6136.3355040000006</v>
      </c>
      <c r="W121" s="65">
        <v>6136.3355040000006</v>
      </c>
      <c r="X121" s="65">
        <v>6136.3355040000006</v>
      </c>
      <c r="Y121" s="65">
        <v>6136.3355040000006</v>
      </c>
      <c r="Z121" s="65">
        <v>6136.3355040000006</v>
      </c>
      <c r="AA121" s="65">
        <v>6136.3355040000006</v>
      </c>
      <c r="AB121" s="65">
        <v>6136.3355040000006</v>
      </c>
      <c r="AC121" s="65">
        <v>6136.3355040000006</v>
      </c>
      <c r="AD121" s="65">
        <v>6136.3355040000006</v>
      </c>
      <c r="AE121" s="65">
        <v>6136.3355040000006</v>
      </c>
      <c r="AF121" s="65">
        <v>6136.3355040000006</v>
      </c>
      <c r="AG121" s="40">
        <f>+SUM(I121:AF121)*H121</f>
        <v>589088.208384</v>
      </c>
    </row>
    <row r="122" spans="2:33" ht="14.4" x14ac:dyDescent="0.25">
      <c r="B122">
        <f t="shared" si="26"/>
        <v>11</v>
      </c>
      <c r="C122">
        <f t="shared" si="27"/>
        <v>2028</v>
      </c>
      <c r="D122" t="str">
        <f t="shared" si="48"/>
        <v>112028FE</v>
      </c>
      <c r="E122" s="68">
        <v>47058</v>
      </c>
      <c r="F122" s="73"/>
      <c r="G122" s="42" t="s">
        <v>59</v>
      </c>
      <c r="H122" s="42">
        <v>2</v>
      </c>
      <c r="I122" s="65">
        <v>6136.3355040000006</v>
      </c>
      <c r="J122" s="65">
        <v>6136.3355040000006</v>
      </c>
      <c r="K122" s="65">
        <v>6136.3355040000006</v>
      </c>
      <c r="L122" s="65">
        <v>6136.3355040000006</v>
      </c>
      <c r="M122" s="65">
        <v>6136.3355040000006</v>
      </c>
      <c r="N122" s="65">
        <v>6136.3355040000006</v>
      </c>
      <c r="O122" s="65">
        <v>6136.3355040000006</v>
      </c>
      <c r="P122" s="65">
        <v>6136.3355040000006</v>
      </c>
      <c r="Q122" s="65">
        <v>6136.3355040000006</v>
      </c>
      <c r="R122" s="65">
        <v>6136.3355040000006</v>
      </c>
      <c r="S122" s="65">
        <v>6136.3355040000006</v>
      </c>
      <c r="T122" s="65">
        <v>6136.3355040000006</v>
      </c>
      <c r="U122" s="65">
        <v>6136.3355040000006</v>
      </c>
      <c r="V122" s="65">
        <v>6136.3355040000006</v>
      </c>
      <c r="W122" s="65">
        <v>6136.3355040000006</v>
      </c>
      <c r="X122" s="65">
        <v>6136.3355040000006</v>
      </c>
      <c r="Y122" s="65">
        <v>6136.3355040000006</v>
      </c>
      <c r="Z122" s="65">
        <v>6136.3355040000006</v>
      </c>
      <c r="AA122" s="65">
        <v>6136.3355040000006</v>
      </c>
      <c r="AB122" s="65">
        <v>6136.3355040000006</v>
      </c>
      <c r="AC122" s="65">
        <v>6136.3355040000006</v>
      </c>
      <c r="AD122" s="65">
        <v>6136.3355040000006</v>
      </c>
      <c r="AE122" s="65">
        <v>6136.3355040000006</v>
      </c>
      <c r="AF122" s="65">
        <v>6136.3355040000006</v>
      </c>
      <c r="AG122" s="43">
        <f>+SUM(I122:AF122)*H122</f>
        <v>294544.104192</v>
      </c>
    </row>
    <row r="123" spans="2:33" ht="15" thickBot="1" x14ac:dyDescent="0.3">
      <c r="B123">
        <f t="shared" si="26"/>
        <v>11</v>
      </c>
      <c r="C123">
        <f t="shared" si="27"/>
        <v>2028</v>
      </c>
      <c r="D123" t="str">
        <f>+_xlfn.CONCAT(E123,G123)</f>
        <v>47058TOTAL</v>
      </c>
      <c r="E123" s="68">
        <v>47058</v>
      </c>
      <c r="F123" s="61"/>
      <c r="G123" s="44" t="s">
        <v>10</v>
      </c>
      <c r="H123" s="44">
        <f>+SUM(H119:H122)</f>
        <v>30</v>
      </c>
      <c r="I123" s="45">
        <f t="shared" ref="I123:AF123" si="49">+SUMPRODUCT(I119:I122,$H119:$H122)</f>
        <v>184090.06512000004</v>
      </c>
      <c r="J123" s="45">
        <f t="shared" si="49"/>
        <v>184090.06512000004</v>
      </c>
      <c r="K123" s="45">
        <f t="shared" si="49"/>
        <v>184090.06512000004</v>
      </c>
      <c r="L123" s="45">
        <f t="shared" si="49"/>
        <v>184090.06512000004</v>
      </c>
      <c r="M123" s="45">
        <f t="shared" si="49"/>
        <v>184090.06512000004</v>
      </c>
      <c r="N123" s="45">
        <f t="shared" si="49"/>
        <v>184090.06512000004</v>
      </c>
      <c r="O123" s="45">
        <f t="shared" si="49"/>
        <v>184090.06512000004</v>
      </c>
      <c r="P123" s="45">
        <f t="shared" si="49"/>
        <v>184090.06512000004</v>
      </c>
      <c r="Q123" s="45">
        <f t="shared" si="49"/>
        <v>184090.06512000004</v>
      </c>
      <c r="R123" s="45">
        <f t="shared" si="49"/>
        <v>184090.06512000004</v>
      </c>
      <c r="S123" s="45">
        <f t="shared" si="49"/>
        <v>184090.06512000004</v>
      </c>
      <c r="T123" s="45">
        <f t="shared" si="49"/>
        <v>184090.06512000004</v>
      </c>
      <c r="U123" s="45">
        <f t="shared" si="49"/>
        <v>184090.06512000004</v>
      </c>
      <c r="V123" s="45">
        <f t="shared" si="49"/>
        <v>184090.06512000004</v>
      </c>
      <c r="W123" s="45">
        <f t="shared" si="49"/>
        <v>184090.06512000004</v>
      </c>
      <c r="X123" s="45">
        <f t="shared" si="49"/>
        <v>184090.06512000004</v>
      </c>
      <c r="Y123" s="45">
        <f t="shared" si="49"/>
        <v>184090.06512000004</v>
      </c>
      <c r="Z123" s="45">
        <f t="shared" si="49"/>
        <v>184090.06512000004</v>
      </c>
      <c r="AA123" s="45">
        <f t="shared" si="49"/>
        <v>184090.06512000004</v>
      </c>
      <c r="AB123" s="45">
        <f t="shared" si="49"/>
        <v>184090.06512000004</v>
      </c>
      <c r="AC123" s="45">
        <f t="shared" si="49"/>
        <v>184090.06512000004</v>
      </c>
      <c r="AD123" s="45">
        <f t="shared" si="49"/>
        <v>184090.06512000004</v>
      </c>
      <c r="AE123" s="45">
        <f t="shared" si="49"/>
        <v>184090.06512000004</v>
      </c>
      <c r="AF123" s="45">
        <f t="shared" si="49"/>
        <v>184090.06512000004</v>
      </c>
      <c r="AG123" s="46">
        <f>SUM(I123:AF123)</f>
        <v>4418161.5628800001</v>
      </c>
    </row>
    <row r="124" spans="2:33" ht="14.4" x14ac:dyDescent="0.25">
      <c r="B124">
        <f t="shared" si="26"/>
        <v>12</v>
      </c>
      <c r="C124">
        <f t="shared" si="27"/>
        <v>2028</v>
      </c>
      <c r="D124" t="str">
        <f t="shared" ref="D124:D127" si="50">+_xlfn.CONCAT(B124:C124,G124)</f>
        <v>122028OR</v>
      </c>
      <c r="E124" s="67">
        <v>47088</v>
      </c>
      <c r="F124" s="72">
        <f>+AG128</f>
        <v>4434534.0604800014</v>
      </c>
      <c r="G124" s="37" t="s">
        <v>57</v>
      </c>
      <c r="H124" s="37">
        <v>19</v>
      </c>
      <c r="I124" s="65">
        <v>5960.3952425806465</v>
      </c>
      <c r="J124" s="65">
        <v>5960.3952425806465</v>
      </c>
      <c r="K124" s="65">
        <v>5960.3952425806465</v>
      </c>
      <c r="L124" s="65">
        <v>5960.3952425806465</v>
      </c>
      <c r="M124" s="65">
        <v>5960.3952425806465</v>
      </c>
      <c r="N124" s="65">
        <v>5960.3952425806465</v>
      </c>
      <c r="O124" s="65">
        <v>5960.3952425806465</v>
      </c>
      <c r="P124" s="65">
        <v>5960.3952425806465</v>
      </c>
      <c r="Q124" s="65">
        <v>5960.3952425806465</v>
      </c>
      <c r="R124" s="65">
        <v>5960.3952425806465</v>
      </c>
      <c r="S124" s="65">
        <v>5960.3952425806465</v>
      </c>
      <c r="T124" s="65">
        <v>5960.3952425806465</v>
      </c>
      <c r="U124" s="65">
        <v>5960.3952425806465</v>
      </c>
      <c r="V124" s="65">
        <v>5960.3952425806465</v>
      </c>
      <c r="W124" s="65">
        <v>5960.3952425806465</v>
      </c>
      <c r="X124" s="65">
        <v>5960.3952425806465</v>
      </c>
      <c r="Y124" s="65">
        <v>5960.3952425806465</v>
      </c>
      <c r="Z124" s="65">
        <v>5960.3952425806465</v>
      </c>
      <c r="AA124" s="65">
        <v>5960.3952425806465</v>
      </c>
      <c r="AB124" s="65">
        <v>5960.3952425806465</v>
      </c>
      <c r="AC124" s="65">
        <v>5960.3952425806465</v>
      </c>
      <c r="AD124" s="65">
        <v>5960.3952425806465</v>
      </c>
      <c r="AE124" s="65">
        <v>5960.3952425806465</v>
      </c>
      <c r="AF124" s="65">
        <v>5960.3952425806465</v>
      </c>
      <c r="AG124" s="38">
        <f>+SUM(I124:AF124)*H124</f>
        <v>2717940.2306167753</v>
      </c>
    </row>
    <row r="125" spans="2:33" ht="14.4" x14ac:dyDescent="0.25">
      <c r="B125">
        <f t="shared" si="26"/>
        <v>12</v>
      </c>
      <c r="C125">
        <f t="shared" si="27"/>
        <v>2028</v>
      </c>
      <c r="D125" t="str">
        <f t="shared" si="50"/>
        <v>122028SA</v>
      </c>
      <c r="E125" s="68">
        <v>47088</v>
      </c>
      <c r="F125" s="73"/>
      <c r="G125" s="39" t="s">
        <v>60</v>
      </c>
      <c r="H125" s="39">
        <v>5</v>
      </c>
      <c r="I125" s="65">
        <v>5960.3952425806447</v>
      </c>
      <c r="J125" s="65">
        <v>5960.3952425806447</v>
      </c>
      <c r="K125" s="65">
        <v>5960.3952425806447</v>
      </c>
      <c r="L125" s="65">
        <v>5960.3952425806447</v>
      </c>
      <c r="M125" s="65">
        <v>5960.3952425806447</v>
      </c>
      <c r="N125" s="65">
        <v>5960.3952425806447</v>
      </c>
      <c r="O125" s="65">
        <v>5960.3952425806447</v>
      </c>
      <c r="P125" s="65">
        <v>5960.3952425806447</v>
      </c>
      <c r="Q125" s="65">
        <v>5960.3952425806447</v>
      </c>
      <c r="R125" s="65">
        <v>5960.3952425806447</v>
      </c>
      <c r="S125" s="65">
        <v>5960.3952425806447</v>
      </c>
      <c r="T125" s="65">
        <v>5960.3952425806447</v>
      </c>
      <c r="U125" s="65">
        <v>5960.3952425806447</v>
      </c>
      <c r="V125" s="65">
        <v>5960.3952425806447</v>
      </c>
      <c r="W125" s="65">
        <v>5960.3952425806447</v>
      </c>
      <c r="X125" s="65">
        <v>5960.3952425806447</v>
      </c>
      <c r="Y125" s="65">
        <v>5960.3952425806447</v>
      </c>
      <c r="Z125" s="65">
        <v>5960.3952425806447</v>
      </c>
      <c r="AA125" s="65">
        <v>5960.3952425806447</v>
      </c>
      <c r="AB125" s="65">
        <v>5960.3952425806447</v>
      </c>
      <c r="AC125" s="65">
        <v>5960.3952425806447</v>
      </c>
      <c r="AD125" s="65">
        <v>5960.3952425806447</v>
      </c>
      <c r="AE125" s="65">
        <v>5960.3952425806447</v>
      </c>
      <c r="AF125" s="65">
        <v>5960.3952425806447</v>
      </c>
      <c r="AG125" s="40">
        <f>+SUM(I125:AF125)*H125</f>
        <v>715247.42910967767</v>
      </c>
    </row>
    <row r="126" spans="2:33" ht="14.4" x14ac:dyDescent="0.25">
      <c r="B126">
        <f t="shared" si="26"/>
        <v>12</v>
      </c>
      <c r="C126">
        <f t="shared" si="27"/>
        <v>2028</v>
      </c>
      <c r="D126" t="str">
        <f t="shared" si="50"/>
        <v>122028DO</v>
      </c>
      <c r="E126" s="68">
        <v>47088</v>
      </c>
      <c r="F126" s="73"/>
      <c r="G126" s="41" t="s">
        <v>58</v>
      </c>
      <c r="H126" s="41">
        <v>5</v>
      </c>
      <c r="I126" s="65">
        <v>5960.3952425806447</v>
      </c>
      <c r="J126" s="65">
        <v>5960.3952425806447</v>
      </c>
      <c r="K126" s="65">
        <v>5960.3952425806447</v>
      </c>
      <c r="L126" s="65">
        <v>5960.3952425806447</v>
      </c>
      <c r="M126" s="65">
        <v>5960.3952425806447</v>
      </c>
      <c r="N126" s="65">
        <v>5960.3952425806447</v>
      </c>
      <c r="O126" s="65">
        <v>5960.3952425806447</v>
      </c>
      <c r="P126" s="65">
        <v>5960.3952425806447</v>
      </c>
      <c r="Q126" s="65">
        <v>5960.3952425806447</v>
      </c>
      <c r="R126" s="65">
        <v>5960.3952425806447</v>
      </c>
      <c r="S126" s="65">
        <v>5960.3952425806447</v>
      </c>
      <c r="T126" s="65">
        <v>5960.3952425806447</v>
      </c>
      <c r="U126" s="65">
        <v>5960.3952425806447</v>
      </c>
      <c r="V126" s="65">
        <v>5960.3952425806447</v>
      </c>
      <c r="W126" s="65">
        <v>5960.3952425806447</v>
      </c>
      <c r="X126" s="65">
        <v>5960.3952425806447</v>
      </c>
      <c r="Y126" s="65">
        <v>5960.3952425806447</v>
      </c>
      <c r="Z126" s="65">
        <v>5960.3952425806447</v>
      </c>
      <c r="AA126" s="65">
        <v>5960.3952425806447</v>
      </c>
      <c r="AB126" s="65">
        <v>5960.3952425806447</v>
      </c>
      <c r="AC126" s="65">
        <v>5960.3952425806447</v>
      </c>
      <c r="AD126" s="65">
        <v>5960.3952425806447</v>
      </c>
      <c r="AE126" s="65">
        <v>5960.3952425806447</v>
      </c>
      <c r="AF126" s="65">
        <v>5960.3952425806447</v>
      </c>
      <c r="AG126" s="40">
        <f>+SUM(I126:AF126)*H126</f>
        <v>715247.42910967767</v>
      </c>
    </row>
    <row r="127" spans="2:33" ht="14.4" x14ac:dyDescent="0.25">
      <c r="B127">
        <f t="shared" si="26"/>
        <v>12</v>
      </c>
      <c r="C127">
        <f t="shared" si="27"/>
        <v>2028</v>
      </c>
      <c r="D127" t="str">
        <f t="shared" si="50"/>
        <v>122028FE</v>
      </c>
      <c r="E127" s="68">
        <v>47088</v>
      </c>
      <c r="F127" s="73"/>
      <c r="G127" s="42" t="s">
        <v>59</v>
      </c>
      <c r="H127" s="42">
        <v>2</v>
      </c>
      <c r="I127" s="65">
        <v>5960.3952425806447</v>
      </c>
      <c r="J127" s="65">
        <v>5960.3952425806447</v>
      </c>
      <c r="K127" s="65">
        <v>5960.3952425806447</v>
      </c>
      <c r="L127" s="65">
        <v>5960.3952425806447</v>
      </c>
      <c r="M127" s="65">
        <v>5960.3952425806447</v>
      </c>
      <c r="N127" s="65">
        <v>5960.3952425806447</v>
      </c>
      <c r="O127" s="65">
        <v>5960.3952425806447</v>
      </c>
      <c r="P127" s="65">
        <v>5960.3952425806447</v>
      </c>
      <c r="Q127" s="65">
        <v>5960.3952425806447</v>
      </c>
      <c r="R127" s="65">
        <v>5960.3952425806447</v>
      </c>
      <c r="S127" s="65">
        <v>5960.3952425806447</v>
      </c>
      <c r="T127" s="65">
        <v>5960.3952425806447</v>
      </c>
      <c r="U127" s="65">
        <v>5960.3952425806447</v>
      </c>
      <c r="V127" s="65">
        <v>5960.3952425806447</v>
      </c>
      <c r="W127" s="65">
        <v>5960.3952425806447</v>
      </c>
      <c r="X127" s="65">
        <v>5960.3952425806447</v>
      </c>
      <c r="Y127" s="65">
        <v>5960.3952425806447</v>
      </c>
      <c r="Z127" s="65">
        <v>5960.3952425806447</v>
      </c>
      <c r="AA127" s="65">
        <v>5960.3952425806447</v>
      </c>
      <c r="AB127" s="65">
        <v>5960.3952425806447</v>
      </c>
      <c r="AC127" s="65">
        <v>5960.3952425806447</v>
      </c>
      <c r="AD127" s="65">
        <v>5960.3952425806447</v>
      </c>
      <c r="AE127" s="65">
        <v>5960.3952425806447</v>
      </c>
      <c r="AF127" s="65">
        <v>5960.3952425806447</v>
      </c>
      <c r="AG127" s="43">
        <f>+SUM(I127:AF127)*H127</f>
        <v>286098.97164387105</v>
      </c>
    </row>
    <row r="128" spans="2:33" ht="15" thickBot="1" x14ac:dyDescent="0.3">
      <c r="D128" t="str">
        <f>+_xlfn.CONCAT(E128,G128)</f>
        <v>47088TOTAL</v>
      </c>
      <c r="E128" s="68">
        <v>47088</v>
      </c>
      <c r="F128" s="74"/>
      <c r="G128" s="44" t="s">
        <v>10</v>
      </c>
      <c r="H128" s="44">
        <f>+SUM(H124:H127)</f>
        <v>31</v>
      </c>
      <c r="I128" s="45">
        <f t="shared" ref="I128:AF128" si="51">+SUMPRODUCT(I124:I127,$H124:$H127)</f>
        <v>184772.25252000001</v>
      </c>
      <c r="J128" s="45">
        <f t="shared" si="51"/>
        <v>184772.25252000001</v>
      </c>
      <c r="K128" s="45">
        <f t="shared" si="51"/>
        <v>184772.25252000001</v>
      </c>
      <c r="L128" s="45">
        <f t="shared" si="51"/>
        <v>184772.25252000001</v>
      </c>
      <c r="M128" s="45">
        <f t="shared" si="51"/>
        <v>184772.25252000001</v>
      </c>
      <c r="N128" s="45">
        <f t="shared" si="51"/>
        <v>184772.25252000001</v>
      </c>
      <c r="O128" s="45">
        <f t="shared" si="51"/>
        <v>184772.25252000001</v>
      </c>
      <c r="P128" s="45">
        <f t="shared" si="51"/>
        <v>184772.25252000001</v>
      </c>
      <c r="Q128" s="45">
        <f t="shared" si="51"/>
        <v>184772.25252000001</v>
      </c>
      <c r="R128" s="45">
        <f t="shared" si="51"/>
        <v>184772.25252000001</v>
      </c>
      <c r="S128" s="45">
        <f t="shared" si="51"/>
        <v>184772.25252000001</v>
      </c>
      <c r="T128" s="45">
        <f t="shared" si="51"/>
        <v>184772.25252000001</v>
      </c>
      <c r="U128" s="45">
        <f t="shared" si="51"/>
        <v>184772.25252000001</v>
      </c>
      <c r="V128" s="45">
        <f t="shared" si="51"/>
        <v>184772.25252000001</v>
      </c>
      <c r="W128" s="45">
        <f t="shared" si="51"/>
        <v>184772.25252000001</v>
      </c>
      <c r="X128" s="45">
        <f t="shared" si="51"/>
        <v>184772.25252000001</v>
      </c>
      <c r="Y128" s="45">
        <f t="shared" si="51"/>
        <v>184772.25252000001</v>
      </c>
      <c r="Z128" s="45">
        <f t="shared" si="51"/>
        <v>184772.25252000001</v>
      </c>
      <c r="AA128" s="45">
        <f t="shared" si="51"/>
        <v>184772.25252000001</v>
      </c>
      <c r="AB128" s="45">
        <f t="shared" si="51"/>
        <v>184772.25252000001</v>
      </c>
      <c r="AC128" s="45">
        <f t="shared" si="51"/>
        <v>184772.25252000001</v>
      </c>
      <c r="AD128" s="45">
        <f t="shared" si="51"/>
        <v>184772.25252000001</v>
      </c>
      <c r="AE128" s="45">
        <f t="shared" si="51"/>
        <v>184772.25252000001</v>
      </c>
      <c r="AF128" s="45">
        <f t="shared" si="51"/>
        <v>184772.25252000001</v>
      </c>
      <c r="AG128" s="46">
        <f>SUM(I128:AF128)</f>
        <v>4434534.0604800014</v>
      </c>
    </row>
    <row r="129" spans="2:33" ht="14.4" x14ac:dyDescent="0.25">
      <c r="B129">
        <f>+MONTH(E129)</f>
        <v>1</v>
      </c>
      <c r="C129">
        <f>+YEAR(E129)</f>
        <v>2029</v>
      </c>
      <c r="D129" t="str">
        <f>+_xlfn.CONCAT(B129:C129,G129)</f>
        <v>12029OR</v>
      </c>
      <c r="E129" s="67">
        <v>47119</v>
      </c>
      <c r="F129" s="72">
        <f>+AG133</f>
        <v>4504550.2388801994</v>
      </c>
      <c r="G129" s="37" t="s">
        <v>57</v>
      </c>
      <c r="H129" s="37">
        <v>21</v>
      </c>
      <c r="I129" s="65">
        <v>6054.5030092475799</v>
      </c>
      <c r="J129" s="65">
        <v>6054.5030092475799</v>
      </c>
      <c r="K129" s="65">
        <v>6054.5030092475799</v>
      </c>
      <c r="L129" s="65">
        <v>6054.5030092475799</v>
      </c>
      <c r="M129" s="65">
        <v>6054.5030092475799</v>
      </c>
      <c r="N129" s="65">
        <v>6054.5030092475799</v>
      </c>
      <c r="O129" s="65">
        <v>6054.5030092475799</v>
      </c>
      <c r="P129" s="65">
        <v>6054.5030092475799</v>
      </c>
      <c r="Q129" s="65">
        <v>6054.5030092475799</v>
      </c>
      <c r="R129" s="65">
        <v>6054.5030092475799</v>
      </c>
      <c r="S129" s="65">
        <v>6054.5030092475799</v>
      </c>
      <c r="T129" s="65">
        <v>6054.5030092475799</v>
      </c>
      <c r="U129" s="65">
        <v>6054.5030092475799</v>
      </c>
      <c r="V129" s="65">
        <v>6054.5030092475799</v>
      </c>
      <c r="W129" s="65">
        <v>6054.5030092475799</v>
      </c>
      <c r="X129" s="65">
        <v>6054.5030092475799</v>
      </c>
      <c r="Y129" s="65">
        <v>6054.5030092475799</v>
      </c>
      <c r="Z129" s="65">
        <v>6054.5030092475799</v>
      </c>
      <c r="AA129" s="65">
        <v>6054.5030092475799</v>
      </c>
      <c r="AB129" s="65">
        <v>6054.5030092475799</v>
      </c>
      <c r="AC129" s="65">
        <v>6054.5030092475799</v>
      </c>
      <c r="AD129" s="65">
        <v>6054.5030092475799</v>
      </c>
      <c r="AE129" s="65">
        <v>6054.5030092475799</v>
      </c>
      <c r="AF129" s="65">
        <v>6054.5030092475799</v>
      </c>
      <c r="AG129" s="38">
        <f>ROUND(SUM(I129:AF129)*H129,2)</f>
        <v>3051469.52</v>
      </c>
    </row>
    <row r="130" spans="2:33" ht="14.4" x14ac:dyDescent="0.25">
      <c r="B130">
        <f t="shared" ref="B130:B187" si="52">+MONTH(E130)</f>
        <v>1</v>
      </c>
      <c r="C130">
        <f t="shared" ref="C130:C187" si="53">+YEAR(E130)</f>
        <v>2029</v>
      </c>
      <c r="D130" t="str">
        <f t="shared" ref="D130:D132" si="54">+_xlfn.CONCAT(B130:C130,G130)</f>
        <v>12029SA</v>
      </c>
      <c r="E130" s="68">
        <v>47119</v>
      </c>
      <c r="F130" s="73"/>
      <c r="G130" s="39" t="s">
        <v>60</v>
      </c>
      <c r="H130" s="39">
        <v>4</v>
      </c>
      <c r="I130" s="65">
        <v>6054.5030092475799</v>
      </c>
      <c r="J130" s="65">
        <v>6054.5030092475799</v>
      </c>
      <c r="K130" s="65">
        <v>6054.5030092475799</v>
      </c>
      <c r="L130" s="65">
        <v>6054.5030092475799</v>
      </c>
      <c r="M130" s="65">
        <v>6054.5030092475799</v>
      </c>
      <c r="N130" s="65">
        <v>6054.5030092475799</v>
      </c>
      <c r="O130" s="65">
        <v>6054.5030092475799</v>
      </c>
      <c r="P130" s="65">
        <v>6054.5030092475799</v>
      </c>
      <c r="Q130" s="65">
        <v>6054.5030092475799</v>
      </c>
      <c r="R130" s="65">
        <v>6054.5030092475799</v>
      </c>
      <c r="S130" s="65">
        <v>6054.5030092475799</v>
      </c>
      <c r="T130" s="65">
        <v>6054.5030092475799</v>
      </c>
      <c r="U130" s="65">
        <v>6054.5030092475799</v>
      </c>
      <c r="V130" s="65">
        <v>6054.5030092475799</v>
      </c>
      <c r="W130" s="65">
        <v>6054.5030092475799</v>
      </c>
      <c r="X130" s="65">
        <v>6054.5030092475799</v>
      </c>
      <c r="Y130" s="65">
        <v>6054.5030092475799</v>
      </c>
      <c r="Z130" s="65">
        <v>6054.5030092475799</v>
      </c>
      <c r="AA130" s="65">
        <v>6054.5030092475799</v>
      </c>
      <c r="AB130" s="65">
        <v>6054.5030092475799</v>
      </c>
      <c r="AC130" s="65">
        <v>6054.5030092475799</v>
      </c>
      <c r="AD130" s="65">
        <v>6054.5030092475799</v>
      </c>
      <c r="AE130" s="65">
        <v>6054.5030092475799</v>
      </c>
      <c r="AF130" s="65">
        <v>6054.5030092475799</v>
      </c>
      <c r="AG130" s="40">
        <f>ROUND(SUM(I130:AF130)*H130,2)</f>
        <v>581232.29</v>
      </c>
    </row>
    <row r="131" spans="2:33" ht="14.4" x14ac:dyDescent="0.25">
      <c r="B131">
        <f t="shared" si="52"/>
        <v>1</v>
      </c>
      <c r="C131">
        <f t="shared" si="53"/>
        <v>2029</v>
      </c>
      <c r="D131" t="str">
        <f t="shared" si="54"/>
        <v>12029DO</v>
      </c>
      <c r="E131" s="68">
        <v>47119</v>
      </c>
      <c r="F131" s="73"/>
      <c r="G131" s="41" t="s">
        <v>58</v>
      </c>
      <c r="H131" s="41">
        <v>4</v>
      </c>
      <c r="I131" s="65">
        <v>6054.5030092475799</v>
      </c>
      <c r="J131" s="65">
        <v>6054.5030092475799</v>
      </c>
      <c r="K131" s="65">
        <v>6054.5030092475799</v>
      </c>
      <c r="L131" s="65">
        <v>6054.5030092475799</v>
      </c>
      <c r="M131" s="65">
        <v>6054.5030092475799</v>
      </c>
      <c r="N131" s="65">
        <v>6054.5030092475799</v>
      </c>
      <c r="O131" s="65">
        <v>6054.5030092475799</v>
      </c>
      <c r="P131" s="65">
        <v>6054.5030092475799</v>
      </c>
      <c r="Q131" s="65">
        <v>6054.5030092475799</v>
      </c>
      <c r="R131" s="65">
        <v>6054.5030092475799</v>
      </c>
      <c r="S131" s="65">
        <v>6054.5030092475799</v>
      </c>
      <c r="T131" s="65">
        <v>6054.5030092475799</v>
      </c>
      <c r="U131" s="65">
        <v>6054.5030092475799</v>
      </c>
      <c r="V131" s="65">
        <v>6054.5030092475799</v>
      </c>
      <c r="W131" s="65">
        <v>6054.5030092475799</v>
      </c>
      <c r="X131" s="65">
        <v>6054.5030092475799</v>
      </c>
      <c r="Y131" s="65">
        <v>6054.5030092475799</v>
      </c>
      <c r="Z131" s="65">
        <v>6054.5030092475799</v>
      </c>
      <c r="AA131" s="65">
        <v>6054.5030092475799</v>
      </c>
      <c r="AB131" s="65">
        <v>6054.5030092475799</v>
      </c>
      <c r="AC131" s="65">
        <v>6054.5030092475799</v>
      </c>
      <c r="AD131" s="65">
        <v>6054.5030092475799</v>
      </c>
      <c r="AE131" s="65">
        <v>6054.5030092475799</v>
      </c>
      <c r="AF131" s="65">
        <v>6054.5030092475799</v>
      </c>
      <c r="AG131" s="40">
        <f>ROUND(SUM(I131:AF131)*H131,2)</f>
        <v>581232.29</v>
      </c>
    </row>
    <row r="132" spans="2:33" ht="14.4" x14ac:dyDescent="0.25">
      <c r="B132">
        <f t="shared" si="52"/>
        <v>1</v>
      </c>
      <c r="C132">
        <f t="shared" si="53"/>
        <v>2029</v>
      </c>
      <c r="D132" t="str">
        <f t="shared" si="54"/>
        <v>12029FE</v>
      </c>
      <c r="E132" s="68">
        <v>47119</v>
      </c>
      <c r="F132" s="73"/>
      <c r="G132" s="42" t="s">
        <v>59</v>
      </c>
      <c r="H132" s="42">
        <v>2</v>
      </c>
      <c r="I132" s="65">
        <v>6054.5030092475799</v>
      </c>
      <c r="J132" s="65">
        <v>6054.5030092475799</v>
      </c>
      <c r="K132" s="65">
        <v>6054.5030092475799</v>
      </c>
      <c r="L132" s="65">
        <v>6054.5030092475799</v>
      </c>
      <c r="M132" s="65">
        <v>6054.5030092475799</v>
      </c>
      <c r="N132" s="65">
        <v>6054.5030092475799</v>
      </c>
      <c r="O132" s="65">
        <v>6054.5030092475799</v>
      </c>
      <c r="P132" s="65">
        <v>6054.5030092475799</v>
      </c>
      <c r="Q132" s="65">
        <v>6054.5030092475799</v>
      </c>
      <c r="R132" s="65">
        <v>6054.5030092475799</v>
      </c>
      <c r="S132" s="65">
        <v>6054.5030092475799</v>
      </c>
      <c r="T132" s="65">
        <v>6054.5030092475799</v>
      </c>
      <c r="U132" s="65">
        <v>6054.5030092475799</v>
      </c>
      <c r="V132" s="65">
        <v>6054.5030092475799</v>
      </c>
      <c r="W132" s="65">
        <v>6054.5030092475799</v>
      </c>
      <c r="X132" s="65">
        <v>6054.5030092475799</v>
      </c>
      <c r="Y132" s="65">
        <v>6054.5030092475799</v>
      </c>
      <c r="Z132" s="65">
        <v>6054.5030092475799</v>
      </c>
      <c r="AA132" s="65">
        <v>6054.5030092475799</v>
      </c>
      <c r="AB132" s="65">
        <v>6054.5030092475799</v>
      </c>
      <c r="AC132" s="65">
        <v>6054.5030092475799</v>
      </c>
      <c r="AD132" s="65">
        <v>6054.5030092475799</v>
      </c>
      <c r="AE132" s="65">
        <v>6054.5030092475799</v>
      </c>
      <c r="AF132" s="65">
        <v>6054.5030092475799</v>
      </c>
      <c r="AG132" s="43">
        <f>ROUND(SUM(I132:AF132)*H132,2)</f>
        <v>290616.14</v>
      </c>
    </row>
    <row r="133" spans="2:33" ht="15" thickBot="1" x14ac:dyDescent="0.3">
      <c r="B133">
        <f t="shared" si="52"/>
        <v>1</v>
      </c>
      <c r="C133">
        <f t="shared" si="53"/>
        <v>2029</v>
      </c>
      <c r="D133" t="str">
        <f>+_xlfn.CONCAT(E133,G133)</f>
        <v>47119TOTAL</v>
      </c>
      <c r="E133" s="68">
        <v>47119</v>
      </c>
      <c r="F133" s="61"/>
      <c r="G133" s="44" t="s">
        <v>10</v>
      </c>
      <c r="H133" s="44">
        <f>+SUM(H129:H132)</f>
        <v>31</v>
      </c>
      <c r="I133" s="45">
        <f t="shared" ref="I133:AF133" si="55">+SUMPRODUCT(I129:I132,$H129:$H132)</f>
        <v>187689.59328667496</v>
      </c>
      <c r="J133" s="45">
        <f t="shared" si="55"/>
        <v>187689.59328667496</v>
      </c>
      <c r="K133" s="45">
        <f t="shared" si="55"/>
        <v>187689.59328667496</v>
      </c>
      <c r="L133" s="45">
        <f t="shared" si="55"/>
        <v>187689.59328667496</v>
      </c>
      <c r="M133" s="45">
        <f t="shared" si="55"/>
        <v>187689.59328667496</v>
      </c>
      <c r="N133" s="45">
        <f t="shared" si="55"/>
        <v>187689.59328667496</v>
      </c>
      <c r="O133" s="45">
        <f t="shared" si="55"/>
        <v>187689.59328667496</v>
      </c>
      <c r="P133" s="45">
        <f t="shared" si="55"/>
        <v>187689.59328667496</v>
      </c>
      <c r="Q133" s="45">
        <f t="shared" si="55"/>
        <v>187689.59328667496</v>
      </c>
      <c r="R133" s="45">
        <f t="shared" si="55"/>
        <v>187689.59328667496</v>
      </c>
      <c r="S133" s="45">
        <f t="shared" si="55"/>
        <v>187689.59328667496</v>
      </c>
      <c r="T133" s="45">
        <f t="shared" si="55"/>
        <v>187689.59328667496</v>
      </c>
      <c r="U133" s="45">
        <f t="shared" si="55"/>
        <v>187689.59328667496</v>
      </c>
      <c r="V133" s="45">
        <f t="shared" si="55"/>
        <v>187689.59328667496</v>
      </c>
      <c r="W133" s="45">
        <f t="shared" si="55"/>
        <v>187689.59328667496</v>
      </c>
      <c r="X133" s="45">
        <f t="shared" si="55"/>
        <v>187689.59328667496</v>
      </c>
      <c r="Y133" s="45">
        <f t="shared" si="55"/>
        <v>187689.59328667496</v>
      </c>
      <c r="Z133" s="45">
        <f t="shared" si="55"/>
        <v>187689.59328667496</v>
      </c>
      <c r="AA133" s="45">
        <f t="shared" si="55"/>
        <v>187689.59328667496</v>
      </c>
      <c r="AB133" s="45">
        <f t="shared" si="55"/>
        <v>187689.59328667496</v>
      </c>
      <c r="AC133" s="45">
        <f t="shared" si="55"/>
        <v>187689.59328667496</v>
      </c>
      <c r="AD133" s="45">
        <f t="shared" si="55"/>
        <v>187689.59328667496</v>
      </c>
      <c r="AE133" s="45">
        <f t="shared" si="55"/>
        <v>187689.59328667496</v>
      </c>
      <c r="AF133" s="45">
        <f t="shared" si="55"/>
        <v>187689.59328667496</v>
      </c>
      <c r="AG133" s="46">
        <f>SUM(I133:AF133)</f>
        <v>4504550.2388801994</v>
      </c>
    </row>
    <row r="134" spans="2:33" ht="14.4" x14ac:dyDescent="0.25">
      <c r="B134">
        <f t="shared" si="52"/>
        <v>2</v>
      </c>
      <c r="C134">
        <f t="shared" si="53"/>
        <v>2029</v>
      </c>
      <c r="D134" t="str">
        <f t="shared" ref="D134:D137" si="56">+_xlfn.CONCAT(B134:C134,G134)</f>
        <v>22029OR</v>
      </c>
      <c r="E134" s="67">
        <v>47150</v>
      </c>
      <c r="F134" s="72">
        <f>+AG138</f>
        <v>4039949.4079391984</v>
      </c>
      <c r="G134" s="37" t="s">
        <v>57</v>
      </c>
      <c r="H134" s="37">
        <v>20</v>
      </c>
      <c r="I134" s="65">
        <v>6011.8294761000006</v>
      </c>
      <c r="J134" s="65">
        <v>6011.8294761000006</v>
      </c>
      <c r="K134" s="65">
        <v>6011.8294761000006</v>
      </c>
      <c r="L134" s="65">
        <v>6011.8294761000006</v>
      </c>
      <c r="M134" s="65">
        <v>6011.8294761000006</v>
      </c>
      <c r="N134" s="65">
        <v>6011.8294761000006</v>
      </c>
      <c r="O134" s="65">
        <v>6011.8294761000006</v>
      </c>
      <c r="P134" s="65">
        <v>6011.8294761000006</v>
      </c>
      <c r="Q134" s="65">
        <v>6011.8294761000006</v>
      </c>
      <c r="R134" s="65">
        <v>6011.8294761000006</v>
      </c>
      <c r="S134" s="65">
        <v>6011.8294761000006</v>
      </c>
      <c r="T134" s="65">
        <v>6011.8294761000006</v>
      </c>
      <c r="U134" s="65">
        <v>6011.8294761000006</v>
      </c>
      <c r="V134" s="65">
        <v>6011.8294761000006</v>
      </c>
      <c r="W134" s="65">
        <v>6011.8294761000006</v>
      </c>
      <c r="X134" s="65">
        <v>6011.8294761000006</v>
      </c>
      <c r="Y134" s="65">
        <v>6011.8294761000006</v>
      </c>
      <c r="Z134" s="65">
        <v>6011.8294761000006</v>
      </c>
      <c r="AA134" s="65">
        <v>6011.8294761000006</v>
      </c>
      <c r="AB134" s="65">
        <v>6011.8294761000006</v>
      </c>
      <c r="AC134" s="65">
        <v>6011.8294761000006</v>
      </c>
      <c r="AD134" s="65">
        <v>6011.8294761000006</v>
      </c>
      <c r="AE134" s="65">
        <v>6011.8294761000006</v>
      </c>
      <c r="AF134" s="65">
        <v>6011.8294761000006</v>
      </c>
      <c r="AG134" s="38">
        <f>+SUM(I134:AF134)*H134</f>
        <v>2885678.1485280013</v>
      </c>
    </row>
    <row r="135" spans="2:33" ht="14.4" x14ac:dyDescent="0.25">
      <c r="B135">
        <f t="shared" si="52"/>
        <v>2</v>
      </c>
      <c r="C135">
        <f t="shared" si="53"/>
        <v>2029</v>
      </c>
      <c r="D135" t="str">
        <f t="shared" si="56"/>
        <v>22029SA</v>
      </c>
      <c r="E135" s="68">
        <v>47150</v>
      </c>
      <c r="F135" s="73"/>
      <c r="G135" s="39" t="s">
        <v>60</v>
      </c>
      <c r="H135" s="39">
        <v>4</v>
      </c>
      <c r="I135" s="65">
        <v>6011.8294761000006</v>
      </c>
      <c r="J135" s="65">
        <v>6011.8294761000006</v>
      </c>
      <c r="K135" s="65">
        <v>6011.8294761000006</v>
      </c>
      <c r="L135" s="65">
        <v>6011.8294761000006</v>
      </c>
      <c r="M135" s="65">
        <v>6011.8294761000006</v>
      </c>
      <c r="N135" s="65">
        <v>6011.8294761000006</v>
      </c>
      <c r="O135" s="65">
        <v>6011.8294761000006</v>
      </c>
      <c r="P135" s="65">
        <v>6011.8294761000006</v>
      </c>
      <c r="Q135" s="65">
        <v>6011.8294761000006</v>
      </c>
      <c r="R135" s="65">
        <v>6011.8294761000006</v>
      </c>
      <c r="S135" s="65">
        <v>6011.8294761000006</v>
      </c>
      <c r="T135" s="65">
        <v>6011.8294761000006</v>
      </c>
      <c r="U135" s="65">
        <v>6011.8294761000006</v>
      </c>
      <c r="V135" s="65">
        <v>6011.8294761000006</v>
      </c>
      <c r="W135" s="65">
        <v>6011.8294761000006</v>
      </c>
      <c r="X135" s="65">
        <v>6011.8294761000006</v>
      </c>
      <c r="Y135" s="65">
        <v>6011.8294761000006</v>
      </c>
      <c r="Z135" s="65">
        <v>6011.8294761000006</v>
      </c>
      <c r="AA135" s="65">
        <v>6011.8294761000006</v>
      </c>
      <c r="AB135" s="65">
        <v>6011.8294761000006</v>
      </c>
      <c r="AC135" s="65">
        <v>6011.8294761000006</v>
      </c>
      <c r="AD135" s="65">
        <v>6011.8294761000006</v>
      </c>
      <c r="AE135" s="65">
        <v>6011.8294761000006</v>
      </c>
      <c r="AF135" s="65">
        <v>6011.8294761000006</v>
      </c>
      <c r="AG135" s="40">
        <f>+SUM(I135:AF135)*H135</f>
        <v>577135.62970560021</v>
      </c>
    </row>
    <row r="136" spans="2:33" ht="14.4" x14ac:dyDescent="0.25">
      <c r="B136">
        <f t="shared" si="52"/>
        <v>2</v>
      </c>
      <c r="C136">
        <f t="shared" si="53"/>
        <v>2029</v>
      </c>
      <c r="D136" t="str">
        <f t="shared" si="56"/>
        <v>22029DO</v>
      </c>
      <c r="E136" s="68">
        <v>47150</v>
      </c>
      <c r="F136" s="73"/>
      <c r="G136" s="41" t="s">
        <v>58</v>
      </c>
      <c r="H136" s="41">
        <v>4</v>
      </c>
      <c r="I136" s="65">
        <v>6011.8294761000006</v>
      </c>
      <c r="J136" s="65">
        <v>6011.8294761000006</v>
      </c>
      <c r="K136" s="65">
        <v>6011.8294761000006</v>
      </c>
      <c r="L136" s="65">
        <v>6011.8294761000006</v>
      </c>
      <c r="M136" s="65">
        <v>6011.8294761000006</v>
      </c>
      <c r="N136" s="65">
        <v>6011.8294761000006</v>
      </c>
      <c r="O136" s="65">
        <v>6011.8294761000006</v>
      </c>
      <c r="P136" s="65">
        <v>6011.8294761000006</v>
      </c>
      <c r="Q136" s="65">
        <v>6011.8294761000006</v>
      </c>
      <c r="R136" s="65">
        <v>6011.8294761000006</v>
      </c>
      <c r="S136" s="65">
        <v>6011.8294761000006</v>
      </c>
      <c r="T136" s="65">
        <v>6011.8294761000006</v>
      </c>
      <c r="U136" s="65">
        <v>6011.8294761000006</v>
      </c>
      <c r="V136" s="65">
        <v>6011.8294761000006</v>
      </c>
      <c r="W136" s="65">
        <v>6011.8294761000006</v>
      </c>
      <c r="X136" s="65">
        <v>6011.8294761000006</v>
      </c>
      <c r="Y136" s="65">
        <v>6011.8294761000006</v>
      </c>
      <c r="Z136" s="65">
        <v>6011.8294761000006</v>
      </c>
      <c r="AA136" s="65">
        <v>6011.8294761000006</v>
      </c>
      <c r="AB136" s="65">
        <v>6011.8294761000006</v>
      </c>
      <c r="AC136" s="65">
        <v>6011.8294761000006</v>
      </c>
      <c r="AD136" s="65">
        <v>6011.8294761000006</v>
      </c>
      <c r="AE136" s="65">
        <v>6011.8294761000006</v>
      </c>
      <c r="AF136" s="65">
        <v>6011.8294761000006</v>
      </c>
      <c r="AG136" s="40">
        <f>+SUM(I136:AF136)*H136</f>
        <v>577135.62970560021</v>
      </c>
    </row>
    <row r="137" spans="2:33" ht="14.4" x14ac:dyDescent="0.25">
      <c r="B137">
        <f t="shared" si="52"/>
        <v>2</v>
      </c>
      <c r="C137">
        <f t="shared" si="53"/>
        <v>2029</v>
      </c>
      <c r="D137" t="str">
        <f t="shared" si="56"/>
        <v>22029FE</v>
      </c>
      <c r="E137" s="68">
        <v>47150</v>
      </c>
      <c r="F137" s="73"/>
      <c r="G137" s="42" t="s">
        <v>59</v>
      </c>
      <c r="H137" s="42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  <c r="AG137" s="43">
        <f>+SUM(I137:AF137)*H137</f>
        <v>0</v>
      </c>
    </row>
    <row r="138" spans="2:33" ht="15" thickBot="1" x14ac:dyDescent="0.3">
      <c r="B138">
        <f t="shared" si="52"/>
        <v>2</v>
      </c>
      <c r="C138">
        <f t="shared" si="53"/>
        <v>2029</v>
      </c>
      <c r="D138" t="str">
        <f>+_xlfn.CONCAT(E138,G138)</f>
        <v>47150TOTAL</v>
      </c>
      <c r="E138" s="68">
        <v>47150</v>
      </c>
      <c r="F138" s="61"/>
      <c r="G138" s="44" t="s">
        <v>10</v>
      </c>
      <c r="H138" s="44">
        <f>+SUM(H134:H137)</f>
        <v>28</v>
      </c>
      <c r="I138" s="45">
        <f t="shared" ref="I138:AF138" si="57">+SUMPRODUCT(I134:I137,$H134:$H137)</f>
        <v>168331.22533080002</v>
      </c>
      <c r="J138" s="45">
        <f t="shared" si="57"/>
        <v>168331.22533080002</v>
      </c>
      <c r="K138" s="45">
        <f t="shared" si="57"/>
        <v>168331.22533080002</v>
      </c>
      <c r="L138" s="45">
        <f t="shared" si="57"/>
        <v>168331.22533080002</v>
      </c>
      <c r="M138" s="45">
        <f t="shared" si="57"/>
        <v>168331.22533080002</v>
      </c>
      <c r="N138" s="45">
        <f t="shared" si="57"/>
        <v>168331.22533080002</v>
      </c>
      <c r="O138" s="45">
        <f t="shared" si="57"/>
        <v>168331.22533080002</v>
      </c>
      <c r="P138" s="45">
        <f t="shared" si="57"/>
        <v>168331.22533080002</v>
      </c>
      <c r="Q138" s="45">
        <f t="shared" si="57"/>
        <v>168331.22533080002</v>
      </c>
      <c r="R138" s="45">
        <f t="shared" si="57"/>
        <v>168331.22533080002</v>
      </c>
      <c r="S138" s="45">
        <f t="shared" si="57"/>
        <v>168331.22533080002</v>
      </c>
      <c r="T138" s="45">
        <f t="shared" si="57"/>
        <v>168331.22533080002</v>
      </c>
      <c r="U138" s="45">
        <f t="shared" si="57"/>
        <v>168331.22533080002</v>
      </c>
      <c r="V138" s="45">
        <f t="shared" si="57"/>
        <v>168331.22533080002</v>
      </c>
      <c r="W138" s="45">
        <f t="shared" si="57"/>
        <v>168331.22533080002</v>
      </c>
      <c r="X138" s="45">
        <f t="shared" si="57"/>
        <v>168331.22533080002</v>
      </c>
      <c r="Y138" s="45">
        <f t="shared" si="57"/>
        <v>168331.22533080002</v>
      </c>
      <c r="Z138" s="45">
        <f t="shared" si="57"/>
        <v>168331.22533080002</v>
      </c>
      <c r="AA138" s="45">
        <f t="shared" si="57"/>
        <v>168331.22533080002</v>
      </c>
      <c r="AB138" s="45">
        <f t="shared" si="57"/>
        <v>168331.22533080002</v>
      </c>
      <c r="AC138" s="45">
        <f t="shared" si="57"/>
        <v>168331.22533080002</v>
      </c>
      <c r="AD138" s="45">
        <f t="shared" si="57"/>
        <v>168331.22533080002</v>
      </c>
      <c r="AE138" s="45">
        <f t="shared" si="57"/>
        <v>168331.22533080002</v>
      </c>
      <c r="AF138" s="45">
        <f t="shared" si="57"/>
        <v>168331.22533080002</v>
      </c>
      <c r="AG138" s="46">
        <f>SUM(I138:AF138)</f>
        <v>4039949.4079391984</v>
      </c>
    </row>
    <row r="139" spans="2:33" ht="14.4" x14ac:dyDescent="0.25">
      <c r="B139">
        <f t="shared" si="52"/>
        <v>3</v>
      </c>
      <c r="C139">
        <f t="shared" si="53"/>
        <v>2029</v>
      </c>
      <c r="D139" t="str">
        <f t="shared" ref="D139:D142" si="58">+_xlfn.CONCAT(B139:C139,G139)</f>
        <v>32029OR</v>
      </c>
      <c r="E139" s="67">
        <v>47178</v>
      </c>
      <c r="F139" s="72">
        <f>+AG143</f>
        <v>4282472.7039474016</v>
      </c>
      <c r="G139" s="37" t="s">
        <v>57</v>
      </c>
      <c r="H139" s="37">
        <v>19</v>
      </c>
      <c r="I139" s="65">
        <v>5756.0116988540349</v>
      </c>
      <c r="J139" s="65">
        <v>5756.0116988540349</v>
      </c>
      <c r="K139" s="65">
        <v>5756.0116988540349</v>
      </c>
      <c r="L139" s="65">
        <v>5756.0116988540349</v>
      </c>
      <c r="M139" s="65">
        <v>5756.0116988540349</v>
      </c>
      <c r="N139" s="65">
        <v>5756.0116988540349</v>
      </c>
      <c r="O139" s="65">
        <v>5756.0116988540349</v>
      </c>
      <c r="P139" s="65">
        <v>5756.0116988540349</v>
      </c>
      <c r="Q139" s="65">
        <v>5756.0116988540349</v>
      </c>
      <c r="R139" s="65">
        <v>5756.0116988540349</v>
      </c>
      <c r="S139" s="65">
        <v>5756.0116988540349</v>
      </c>
      <c r="T139" s="65">
        <v>5756.0116988540349</v>
      </c>
      <c r="U139" s="65">
        <v>5756.0116988540349</v>
      </c>
      <c r="V139" s="65">
        <v>5756.0116988540349</v>
      </c>
      <c r="W139" s="65">
        <v>5756.0116988540349</v>
      </c>
      <c r="X139" s="65">
        <v>5756.0116988540349</v>
      </c>
      <c r="Y139" s="65">
        <v>5756.0116988540349</v>
      </c>
      <c r="Z139" s="65">
        <v>5756.0116988540349</v>
      </c>
      <c r="AA139" s="65">
        <v>5756.0116988540349</v>
      </c>
      <c r="AB139" s="65">
        <v>5756.0116988540349</v>
      </c>
      <c r="AC139" s="65">
        <v>5756.0116988540349</v>
      </c>
      <c r="AD139" s="65">
        <v>5756.0116988540349</v>
      </c>
      <c r="AE139" s="65">
        <v>5756.0116988540349</v>
      </c>
      <c r="AF139" s="65">
        <v>5756.0116988540349</v>
      </c>
      <c r="AG139" s="38">
        <f>+SUM(I139:AF139)*H139</f>
        <v>2624741.3346774401</v>
      </c>
    </row>
    <row r="140" spans="2:33" ht="14.4" x14ac:dyDescent="0.25">
      <c r="B140">
        <f t="shared" si="52"/>
        <v>3</v>
      </c>
      <c r="C140">
        <f t="shared" si="53"/>
        <v>2029</v>
      </c>
      <c r="D140" t="str">
        <f t="shared" si="58"/>
        <v>32029SA</v>
      </c>
      <c r="E140" s="68">
        <v>47178</v>
      </c>
      <c r="F140" s="73"/>
      <c r="G140" s="39" t="s">
        <v>60</v>
      </c>
      <c r="H140" s="39">
        <v>5</v>
      </c>
      <c r="I140" s="65">
        <v>5756.0116988540321</v>
      </c>
      <c r="J140" s="65">
        <v>5756.0116988540321</v>
      </c>
      <c r="K140" s="65">
        <v>5756.0116988540321</v>
      </c>
      <c r="L140" s="65">
        <v>5756.0116988540321</v>
      </c>
      <c r="M140" s="65">
        <v>5756.0116988540321</v>
      </c>
      <c r="N140" s="65">
        <v>5756.0116988540321</v>
      </c>
      <c r="O140" s="65">
        <v>5756.0116988540321</v>
      </c>
      <c r="P140" s="65">
        <v>5756.0116988540321</v>
      </c>
      <c r="Q140" s="65">
        <v>5756.0116988540321</v>
      </c>
      <c r="R140" s="65">
        <v>5756.0116988540321</v>
      </c>
      <c r="S140" s="65">
        <v>5756.0116988540321</v>
      </c>
      <c r="T140" s="65">
        <v>5756.0116988540321</v>
      </c>
      <c r="U140" s="65">
        <v>5756.0116988540321</v>
      </c>
      <c r="V140" s="65">
        <v>5756.0116988540321</v>
      </c>
      <c r="W140" s="65">
        <v>5756.0116988540321</v>
      </c>
      <c r="X140" s="65">
        <v>5756.0116988540321</v>
      </c>
      <c r="Y140" s="65">
        <v>5756.0116988540321</v>
      </c>
      <c r="Z140" s="65">
        <v>5756.0116988540321</v>
      </c>
      <c r="AA140" s="65">
        <v>5756.0116988540321</v>
      </c>
      <c r="AB140" s="65">
        <v>5756.0116988540321</v>
      </c>
      <c r="AC140" s="65">
        <v>5756.0116988540321</v>
      </c>
      <c r="AD140" s="65">
        <v>5756.0116988540321</v>
      </c>
      <c r="AE140" s="65">
        <v>5756.0116988540321</v>
      </c>
      <c r="AF140" s="65">
        <v>5756.0116988540321</v>
      </c>
      <c r="AG140" s="40">
        <f>+SUM(I140:AF140)*H140</f>
        <v>690721.40386248427</v>
      </c>
    </row>
    <row r="141" spans="2:33" ht="14.4" x14ac:dyDescent="0.25">
      <c r="B141">
        <f t="shared" si="52"/>
        <v>3</v>
      </c>
      <c r="C141">
        <f t="shared" si="53"/>
        <v>2029</v>
      </c>
      <c r="D141" t="str">
        <f t="shared" si="58"/>
        <v>32029DO</v>
      </c>
      <c r="E141" s="68">
        <v>47178</v>
      </c>
      <c r="F141" s="73"/>
      <c r="G141" s="41" t="s">
        <v>58</v>
      </c>
      <c r="H141" s="41">
        <v>4</v>
      </c>
      <c r="I141" s="65">
        <v>5756.0116988540321</v>
      </c>
      <c r="J141" s="65">
        <v>5756.0116988540321</v>
      </c>
      <c r="K141" s="65">
        <v>5756.0116988540321</v>
      </c>
      <c r="L141" s="65">
        <v>5756.0116988540321</v>
      </c>
      <c r="M141" s="65">
        <v>5756.0116988540321</v>
      </c>
      <c r="N141" s="65">
        <v>5756.0116988540321</v>
      </c>
      <c r="O141" s="65">
        <v>5756.0116988540321</v>
      </c>
      <c r="P141" s="65">
        <v>5756.0116988540321</v>
      </c>
      <c r="Q141" s="65">
        <v>5756.0116988540321</v>
      </c>
      <c r="R141" s="65">
        <v>5756.0116988540321</v>
      </c>
      <c r="S141" s="65">
        <v>5756.0116988540321</v>
      </c>
      <c r="T141" s="65">
        <v>5756.0116988540321</v>
      </c>
      <c r="U141" s="65">
        <v>5756.0116988540321</v>
      </c>
      <c r="V141" s="65">
        <v>5756.0116988540321</v>
      </c>
      <c r="W141" s="65">
        <v>5756.0116988540321</v>
      </c>
      <c r="X141" s="65">
        <v>5756.0116988540321</v>
      </c>
      <c r="Y141" s="65">
        <v>5756.0116988540321</v>
      </c>
      <c r="Z141" s="65">
        <v>5756.0116988540321</v>
      </c>
      <c r="AA141" s="65">
        <v>5756.0116988540321</v>
      </c>
      <c r="AB141" s="65">
        <v>5756.0116988540321</v>
      </c>
      <c r="AC141" s="65">
        <v>5756.0116988540321</v>
      </c>
      <c r="AD141" s="65">
        <v>5756.0116988540321</v>
      </c>
      <c r="AE141" s="65">
        <v>5756.0116988540321</v>
      </c>
      <c r="AF141" s="65">
        <v>5756.0116988540321</v>
      </c>
      <c r="AG141" s="40">
        <f>+SUM(I141:AF141)*H141</f>
        <v>552577.12308998744</v>
      </c>
    </row>
    <row r="142" spans="2:33" ht="14.4" x14ac:dyDescent="0.25">
      <c r="B142">
        <f t="shared" si="52"/>
        <v>3</v>
      </c>
      <c r="C142">
        <f t="shared" si="53"/>
        <v>2029</v>
      </c>
      <c r="D142" t="str">
        <f t="shared" si="58"/>
        <v>32029FE</v>
      </c>
      <c r="E142" s="68">
        <v>47178</v>
      </c>
      <c r="F142" s="73"/>
      <c r="G142" s="42" t="s">
        <v>59</v>
      </c>
      <c r="H142" s="42">
        <v>3</v>
      </c>
      <c r="I142" s="65">
        <v>5756.0116988540321</v>
      </c>
      <c r="J142" s="65">
        <v>5756.0116988540321</v>
      </c>
      <c r="K142" s="65">
        <v>5756.0116988540321</v>
      </c>
      <c r="L142" s="65">
        <v>5756.0116988540321</v>
      </c>
      <c r="M142" s="65">
        <v>5756.0116988540321</v>
      </c>
      <c r="N142" s="65">
        <v>5756.0116988540321</v>
      </c>
      <c r="O142" s="65">
        <v>5756.0116988540321</v>
      </c>
      <c r="P142" s="65">
        <v>5756.0116988540321</v>
      </c>
      <c r="Q142" s="65">
        <v>5756.0116988540321</v>
      </c>
      <c r="R142" s="65">
        <v>5756.0116988540321</v>
      </c>
      <c r="S142" s="65">
        <v>5756.0116988540321</v>
      </c>
      <c r="T142" s="65">
        <v>5756.0116988540321</v>
      </c>
      <c r="U142" s="65">
        <v>5756.0116988540321</v>
      </c>
      <c r="V142" s="65">
        <v>5756.0116988540321</v>
      </c>
      <c r="W142" s="65">
        <v>5756.0116988540321</v>
      </c>
      <c r="X142" s="65">
        <v>5756.0116988540321</v>
      </c>
      <c r="Y142" s="65">
        <v>5756.0116988540321</v>
      </c>
      <c r="Z142" s="65">
        <v>5756.0116988540321</v>
      </c>
      <c r="AA142" s="65">
        <v>5756.0116988540321</v>
      </c>
      <c r="AB142" s="65">
        <v>5756.0116988540321</v>
      </c>
      <c r="AC142" s="65">
        <v>5756.0116988540321</v>
      </c>
      <c r="AD142" s="65">
        <v>5756.0116988540321</v>
      </c>
      <c r="AE142" s="65">
        <v>5756.0116988540321</v>
      </c>
      <c r="AF142" s="65">
        <v>5756.0116988540321</v>
      </c>
      <c r="AG142" s="43">
        <f>+SUM(I142:AF142)*H142</f>
        <v>414432.84231749061</v>
      </c>
    </row>
    <row r="143" spans="2:33" ht="15" thickBot="1" x14ac:dyDescent="0.3">
      <c r="B143">
        <f t="shared" si="52"/>
        <v>3</v>
      </c>
      <c r="C143">
        <f t="shared" si="53"/>
        <v>2029</v>
      </c>
      <c r="D143" t="str">
        <f>+_xlfn.CONCAT(E143,G143)</f>
        <v>47178TOTAL</v>
      </c>
      <c r="E143" s="68">
        <v>47178</v>
      </c>
      <c r="F143" s="61"/>
      <c r="G143" s="44" t="s">
        <v>10</v>
      </c>
      <c r="H143" s="44">
        <f>+SUM(H139:H142)</f>
        <v>31</v>
      </c>
      <c r="I143" s="45">
        <f t="shared" ref="I143:AF143" si="59">+SUMPRODUCT(I139:I142,$H139:$H142)</f>
        <v>178436.36266447505</v>
      </c>
      <c r="J143" s="45">
        <f t="shared" si="59"/>
        <v>178436.36266447505</v>
      </c>
      <c r="K143" s="45">
        <f t="shared" si="59"/>
        <v>178436.36266447505</v>
      </c>
      <c r="L143" s="45">
        <f t="shared" si="59"/>
        <v>178436.36266447505</v>
      </c>
      <c r="M143" s="45">
        <f t="shared" si="59"/>
        <v>178436.36266447505</v>
      </c>
      <c r="N143" s="45">
        <f t="shared" si="59"/>
        <v>178436.36266447505</v>
      </c>
      <c r="O143" s="45">
        <f t="shared" si="59"/>
        <v>178436.36266447505</v>
      </c>
      <c r="P143" s="45">
        <f t="shared" si="59"/>
        <v>178436.36266447505</v>
      </c>
      <c r="Q143" s="45">
        <f t="shared" si="59"/>
        <v>178436.36266447505</v>
      </c>
      <c r="R143" s="45">
        <f t="shared" si="59"/>
        <v>178436.36266447505</v>
      </c>
      <c r="S143" s="45">
        <f t="shared" si="59"/>
        <v>178436.36266447505</v>
      </c>
      <c r="T143" s="45">
        <f t="shared" si="59"/>
        <v>178436.36266447505</v>
      </c>
      <c r="U143" s="45">
        <f t="shared" si="59"/>
        <v>178436.36266447505</v>
      </c>
      <c r="V143" s="45">
        <f t="shared" si="59"/>
        <v>178436.36266447505</v>
      </c>
      <c r="W143" s="45">
        <f t="shared" si="59"/>
        <v>178436.36266447505</v>
      </c>
      <c r="X143" s="45">
        <f t="shared" si="59"/>
        <v>178436.36266447505</v>
      </c>
      <c r="Y143" s="45">
        <f t="shared" si="59"/>
        <v>178436.36266447505</v>
      </c>
      <c r="Z143" s="45">
        <f t="shared" si="59"/>
        <v>178436.36266447505</v>
      </c>
      <c r="AA143" s="45">
        <f t="shared" si="59"/>
        <v>178436.36266447505</v>
      </c>
      <c r="AB143" s="45">
        <f t="shared" si="59"/>
        <v>178436.36266447505</v>
      </c>
      <c r="AC143" s="45">
        <f t="shared" si="59"/>
        <v>178436.36266447505</v>
      </c>
      <c r="AD143" s="45">
        <f t="shared" si="59"/>
        <v>178436.36266447505</v>
      </c>
      <c r="AE143" s="45">
        <f t="shared" si="59"/>
        <v>178436.36266447505</v>
      </c>
      <c r="AF143" s="45">
        <f t="shared" si="59"/>
        <v>178436.36266447505</v>
      </c>
      <c r="AG143" s="46">
        <f>SUM(I143:AF143)</f>
        <v>4282472.7039474016</v>
      </c>
    </row>
    <row r="144" spans="2:33" ht="14.4" x14ac:dyDescent="0.25">
      <c r="B144">
        <f t="shared" si="52"/>
        <v>4</v>
      </c>
      <c r="C144">
        <f t="shared" si="53"/>
        <v>2029</v>
      </c>
      <c r="D144" t="str">
        <f t="shared" ref="D144:D147" si="60">+_xlfn.CONCAT(B144:C144,G144)</f>
        <v>42029OR</v>
      </c>
      <c r="E144" s="67">
        <v>47209</v>
      </c>
      <c r="F144" s="72">
        <f>+AG148</f>
        <v>4350791.4665652001</v>
      </c>
      <c r="G144" s="37" t="s">
        <v>57</v>
      </c>
      <c r="H144" s="37">
        <v>21</v>
      </c>
      <c r="I144" s="65">
        <v>6042.7659257850009</v>
      </c>
      <c r="J144" s="65">
        <v>6042.7659257850009</v>
      </c>
      <c r="K144" s="65">
        <v>6042.7659257850009</v>
      </c>
      <c r="L144" s="65">
        <v>6042.7659257850009</v>
      </c>
      <c r="M144" s="65">
        <v>6042.7659257850009</v>
      </c>
      <c r="N144" s="65">
        <v>6042.7659257850009</v>
      </c>
      <c r="O144" s="65">
        <v>6042.7659257850009</v>
      </c>
      <c r="P144" s="65">
        <v>6042.7659257850009</v>
      </c>
      <c r="Q144" s="65">
        <v>6042.7659257850009</v>
      </c>
      <c r="R144" s="65">
        <v>6042.7659257850009</v>
      </c>
      <c r="S144" s="65">
        <v>6042.7659257850009</v>
      </c>
      <c r="T144" s="65">
        <v>6042.7659257850009</v>
      </c>
      <c r="U144" s="65">
        <v>6042.7659257850009</v>
      </c>
      <c r="V144" s="65">
        <v>6042.7659257850009</v>
      </c>
      <c r="W144" s="65">
        <v>6042.7659257850009</v>
      </c>
      <c r="X144" s="65">
        <v>6042.7659257850009</v>
      </c>
      <c r="Y144" s="65">
        <v>6042.7659257850009</v>
      </c>
      <c r="Z144" s="65">
        <v>6042.7659257850009</v>
      </c>
      <c r="AA144" s="65">
        <v>6042.7659257850009</v>
      </c>
      <c r="AB144" s="65">
        <v>6042.7659257850009</v>
      </c>
      <c r="AC144" s="65">
        <v>6042.7659257850009</v>
      </c>
      <c r="AD144" s="65">
        <v>6042.7659257850009</v>
      </c>
      <c r="AE144" s="65">
        <v>6042.7659257850009</v>
      </c>
      <c r="AF144" s="65">
        <v>6042.7659257850009</v>
      </c>
      <c r="AG144" s="38">
        <f>+SUM(I144:AF144)*H144</f>
        <v>3045554.0265956409</v>
      </c>
    </row>
    <row r="145" spans="2:33" ht="14.4" x14ac:dyDescent="0.25">
      <c r="B145">
        <f t="shared" si="52"/>
        <v>4</v>
      </c>
      <c r="C145">
        <f t="shared" si="53"/>
        <v>2029</v>
      </c>
      <c r="D145" t="str">
        <f t="shared" si="60"/>
        <v>42029SA</v>
      </c>
      <c r="E145" s="68">
        <v>47209</v>
      </c>
      <c r="F145" s="73"/>
      <c r="G145" s="39" t="s">
        <v>60</v>
      </c>
      <c r="H145" s="39">
        <v>4</v>
      </c>
      <c r="I145" s="65">
        <v>6042.7659257849991</v>
      </c>
      <c r="J145" s="65">
        <v>6042.7659257849991</v>
      </c>
      <c r="K145" s="65">
        <v>6042.7659257849991</v>
      </c>
      <c r="L145" s="65">
        <v>6042.7659257849991</v>
      </c>
      <c r="M145" s="65">
        <v>6042.7659257849991</v>
      </c>
      <c r="N145" s="65">
        <v>6042.7659257849991</v>
      </c>
      <c r="O145" s="65">
        <v>6042.7659257849991</v>
      </c>
      <c r="P145" s="65">
        <v>6042.7659257849991</v>
      </c>
      <c r="Q145" s="65">
        <v>6042.7659257849991</v>
      </c>
      <c r="R145" s="65">
        <v>6042.7659257849991</v>
      </c>
      <c r="S145" s="65">
        <v>6042.7659257849991</v>
      </c>
      <c r="T145" s="65">
        <v>6042.7659257849991</v>
      </c>
      <c r="U145" s="65">
        <v>6042.7659257849991</v>
      </c>
      <c r="V145" s="65">
        <v>6042.7659257849991</v>
      </c>
      <c r="W145" s="65">
        <v>6042.7659257849991</v>
      </c>
      <c r="X145" s="65">
        <v>6042.7659257849991</v>
      </c>
      <c r="Y145" s="65">
        <v>6042.7659257849991</v>
      </c>
      <c r="Z145" s="65">
        <v>6042.7659257849991</v>
      </c>
      <c r="AA145" s="65">
        <v>6042.7659257849991</v>
      </c>
      <c r="AB145" s="65">
        <v>6042.7659257849991</v>
      </c>
      <c r="AC145" s="65">
        <v>6042.7659257849991</v>
      </c>
      <c r="AD145" s="65">
        <v>6042.7659257849991</v>
      </c>
      <c r="AE145" s="65">
        <v>6042.7659257849991</v>
      </c>
      <c r="AF145" s="65">
        <v>6042.7659257849991</v>
      </c>
      <c r="AG145" s="40">
        <f>+SUM(I145:AF145)*H145</f>
        <v>580105.52887536015</v>
      </c>
    </row>
    <row r="146" spans="2:33" ht="14.4" x14ac:dyDescent="0.25">
      <c r="B146">
        <f t="shared" si="52"/>
        <v>4</v>
      </c>
      <c r="C146">
        <f t="shared" si="53"/>
        <v>2029</v>
      </c>
      <c r="D146" t="str">
        <f t="shared" si="60"/>
        <v>42029DO</v>
      </c>
      <c r="E146" s="68">
        <v>47209</v>
      </c>
      <c r="F146" s="73"/>
      <c r="G146" s="41" t="s">
        <v>58</v>
      </c>
      <c r="H146" s="41">
        <v>4</v>
      </c>
      <c r="I146" s="65">
        <v>6042.7659257849991</v>
      </c>
      <c r="J146" s="65">
        <v>6042.7659257849991</v>
      </c>
      <c r="K146" s="65">
        <v>6042.7659257849991</v>
      </c>
      <c r="L146" s="65">
        <v>6042.7659257849991</v>
      </c>
      <c r="M146" s="65">
        <v>6042.7659257849991</v>
      </c>
      <c r="N146" s="65">
        <v>6042.7659257849991</v>
      </c>
      <c r="O146" s="65">
        <v>6042.7659257849991</v>
      </c>
      <c r="P146" s="65">
        <v>6042.7659257849991</v>
      </c>
      <c r="Q146" s="65">
        <v>6042.7659257849991</v>
      </c>
      <c r="R146" s="65">
        <v>6042.7659257849991</v>
      </c>
      <c r="S146" s="65">
        <v>6042.7659257849991</v>
      </c>
      <c r="T146" s="65">
        <v>6042.7659257849991</v>
      </c>
      <c r="U146" s="65">
        <v>6042.7659257849991</v>
      </c>
      <c r="V146" s="65">
        <v>6042.7659257849991</v>
      </c>
      <c r="W146" s="65">
        <v>6042.7659257849991</v>
      </c>
      <c r="X146" s="65">
        <v>6042.7659257849991</v>
      </c>
      <c r="Y146" s="65">
        <v>6042.7659257849991</v>
      </c>
      <c r="Z146" s="65">
        <v>6042.7659257849991</v>
      </c>
      <c r="AA146" s="65">
        <v>6042.7659257849991</v>
      </c>
      <c r="AB146" s="65">
        <v>6042.7659257849991</v>
      </c>
      <c r="AC146" s="65">
        <v>6042.7659257849991</v>
      </c>
      <c r="AD146" s="65">
        <v>6042.7659257849991</v>
      </c>
      <c r="AE146" s="65">
        <v>6042.7659257849991</v>
      </c>
      <c r="AF146" s="65">
        <v>6042.7659257849991</v>
      </c>
      <c r="AG146" s="40">
        <f>+SUM(I146:AF146)*H146</f>
        <v>580105.52887536015</v>
      </c>
    </row>
    <row r="147" spans="2:33" ht="14.4" x14ac:dyDescent="0.25">
      <c r="B147">
        <f t="shared" si="52"/>
        <v>4</v>
      </c>
      <c r="C147">
        <f t="shared" si="53"/>
        <v>2029</v>
      </c>
      <c r="D147" t="str">
        <f t="shared" si="60"/>
        <v>42029FE</v>
      </c>
      <c r="E147" s="68">
        <v>47209</v>
      </c>
      <c r="F147" s="73"/>
      <c r="G147" s="42" t="s">
        <v>59</v>
      </c>
      <c r="H147" s="42">
        <v>1</v>
      </c>
      <c r="I147" s="65">
        <v>6042.7659257849991</v>
      </c>
      <c r="J147" s="65">
        <v>6042.7659257849991</v>
      </c>
      <c r="K147" s="65">
        <v>6042.7659257849991</v>
      </c>
      <c r="L147" s="65">
        <v>6042.7659257849991</v>
      </c>
      <c r="M147" s="65">
        <v>6042.7659257849991</v>
      </c>
      <c r="N147" s="65">
        <v>6042.7659257849991</v>
      </c>
      <c r="O147" s="65">
        <v>6042.7659257849991</v>
      </c>
      <c r="P147" s="65">
        <v>6042.7659257849991</v>
      </c>
      <c r="Q147" s="65">
        <v>6042.7659257849991</v>
      </c>
      <c r="R147" s="65">
        <v>6042.7659257849991</v>
      </c>
      <c r="S147" s="65">
        <v>6042.7659257849991</v>
      </c>
      <c r="T147" s="65">
        <v>6042.7659257849991</v>
      </c>
      <c r="U147" s="65">
        <v>6042.7659257849991</v>
      </c>
      <c r="V147" s="65">
        <v>6042.7659257849991</v>
      </c>
      <c r="W147" s="65">
        <v>6042.7659257849991</v>
      </c>
      <c r="X147" s="65">
        <v>6042.7659257849991</v>
      </c>
      <c r="Y147" s="65">
        <v>6042.7659257849991</v>
      </c>
      <c r="Z147" s="65">
        <v>6042.7659257849991</v>
      </c>
      <c r="AA147" s="65">
        <v>6042.7659257849991</v>
      </c>
      <c r="AB147" s="65">
        <v>6042.7659257849991</v>
      </c>
      <c r="AC147" s="65">
        <v>6042.7659257849991</v>
      </c>
      <c r="AD147" s="65">
        <v>6042.7659257849991</v>
      </c>
      <c r="AE147" s="65">
        <v>6042.7659257849991</v>
      </c>
      <c r="AF147" s="65">
        <v>6042.7659257849991</v>
      </c>
      <c r="AG147" s="43">
        <f>+SUM(I147:AF147)*H147</f>
        <v>145026.38221884004</v>
      </c>
    </row>
    <row r="148" spans="2:33" ht="15" thickBot="1" x14ac:dyDescent="0.3">
      <c r="B148">
        <f t="shared" si="52"/>
        <v>4</v>
      </c>
      <c r="C148">
        <f t="shared" si="53"/>
        <v>2029</v>
      </c>
      <c r="D148" t="str">
        <f>+_xlfn.CONCAT(E148,G148)</f>
        <v>47209TOTAL</v>
      </c>
      <c r="E148" s="68">
        <v>47209</v>
      </c>
      <c r="F148" s="61"/>
      <c r="G148" s="44" t="s">
        <v>10</v>
      </c>
      <c r="H148" s="44">
        <f>+SUM(H144:H147)</f>
        <v>30</v>
      </c>
      <c r="I148" s="45">
        <f t="shared" ref="I148:AF148" si="61">+SUMPRODUCT(I144:I147,$H144:$H147)</f>
        <v>181282.97777355002</v>
      </c>
      <c r="J148" s="45">
        <f t="shared" si="61"/>
        <v>181282.97777355002</v>
      </c>
      <c r="K148" s="45">
        <f t="shared" si="61"/>
        <v>181282.97777355002</v>
      </c>
      <c r="L148" s="45">
        <f t="shared" si="61"/>
        <v>181282.97777355002</v>
      </c>
      <c r="M148" s="45">
        <f t="shared" si="61"/>
        <v>181282.97777355002</v>
      </c>
      <c r="N148" s="45">
        <f t="shared" si="61"/>
        <v>181282.97777355002</v>
      </c>
      <c r="O148" s="45">
        <f t="shared" si="61"/>
        <v>181282.97777355002</v>
      </c>
      <c r="P148" s="45">
        <f t="shared" si="61"/>
        <v>181282.97777355002</v>
      </c>
      <c r="Q148" s="45">
        <f t="shared" si="61"/>
        <v>181282.97777355002</v>
      </c>
      <c r="R148" s="45">
        <f t="shared" si="61"/>
        <v>181282.97777355002</v>
      </c>
      <c r="S148" s="45">
        <f t="shared" si="61"/>
        <v>181282.97777355002</v>
      </c>
      <c r="T148" s="45">
        <f t="shared" si="61"/>
        <v>181282.97777355002</v>
      </c>
      <c r="U148" s="45">
        <f t="shared" si="61"/>
        <v>181282.97777355002</v>
      </c>
      <c r="V148" s="45">
        <f t="shared" si="61"/>
        <v>181282.97777355002</v>
      </c>
      <c r="W148" s="45">
        <f t="shared" si="61"/>
        <v>181282.97777355002</v>
      </c>
      <c r="X148" s="45">
        <f t="shared" si="61"/>
        <v>181282.97777355002</v>
      </c>
      <c r="Y148" s="45">
        <f t="shared" si="61"/>
        <v>181282.97777355002</v>
      </c>
      <c r="Z148" s="45">
        <f t="shared" si="61"/>
        <v>181282.97777355002</v>
      </c>
      <c r="AA148" s="45">
        <f t="shared" si="61"/>
        <v>181282.97777355002</v>
      </c>
      <c r="AB148" s="45">
        <f t="shared" si="61"/>
        <v>181282.97777355002</v>
      </c>
      <c r="AC148" s="45">
        <f t="shared" si="61"/>
        <v>181282.97777355002</v>
      </c>
      <c r="AD148" s="45">
        <f t="shared" si="61"/>
        <v>181282.97777355002</v>
      </c>
      <c r="AE148" s="45">
        <f t="shared" si="61"/>
        <v>181282.97777355002</v>
      </c>
      <c r="AF148" s="45">
        <f t="shared" si="61"/>
        <v>181282.97777355002</v>
      </c>
      <c r="AG148" s="46">
        <f>SUM(I148:AF148)</f>
        <v>4350791.4665652001</v>
      </c>
    </row>
    <row r="149" spans="2:33" ht="14.4" x14ac:dyDescent="0.25">
      <c r="B149">
        <f t="shared" si="52"/>
        <v>5</v>
      </c>
      <c r="C149">
        <f t="shared" si="53"/>
        <v>2029</v>
      </c>
      <c r="D149" t="str">
        <f t="shared" ref="D149:D152" si="62">+_xlfn.CONCAT(B149:C149,G149)</f>
        <v>52029OR</v>
      </c>
      <c r="E149" s="67">
        <v>47239</v>
      </c>
      <c r="F149" s="72">
        <f>+AG153</f>
        <v>4547768.9208282055</v>
      </c>
      <c r="G149" s="37" t="s">
        <v>57</v>
      </c>
      <c r="H149" s="37">
        <v>21</v>
      </c>
      <c r="I149" s="65">
        <v>6112.592635521778</v>
      </c>
      <c r="J149" s="65">
        <v>6112.592635521778</v>
      </c>
      <c r="K149" s="65">
        <v>6112.592635521778</v>
      </c>
      <c r="L149" s="65">
        <v>6112.592635521778</v>
      </c>
      <c r="M149" s="65">
        <v>6112.592635521778</v>
      </c>
      <c r="N149" s="65">
        <v>6112.592635521778</v>
      </c>
      <c r="O149" s="65">
        <v>6112.592635521778</v>
      </c>
      <c r="P149" s="65">
        <v>6112.592635521778</v>
      </c>
      <c r="Q149" s="65">
        <v>6112.592635521778</v>
      </c>
      <c r="R149" s="65">
        <v>6112.592635521778</v>
      </c>
      <c r="S149" s="65">
        <v>6112.592635521778</v>
      </c>
      <c r="T149" s="65">
        <v>6112.592635521778</v>
      </c>
      <c r="U149" s="65">
        <v>6112.592635521778</v>
      </c>
      <c r="V149" s="65">
        <v>6112.592635521778</v>
      </c>
      <c r="W149" s="65">
        <v>6112.592635521778</v>
      </c>
      <c r="X149" s="65">
        <v>6112.592635521778</v>
      </c>
      <c r="Y149" s="65">
        <v>6112.592635521778</v>
      </c>
      <c r="Z149" s="65">
        <v>6112.592635521778</v>
      </c>
      <c r="AA149" s="65">
        <v>6112.592635521778</v>
      </c>
      <c r="AB149" s="65">
        <v>6112.592635521778</v>
      </c>
      <c r="AC149" s="65">
        <v>6112.592635521778</v>
      </c>
      <c r="AD149" s="65">
        <v>6112.592635521778</v>
      </c>
      <c r="AE149" s="65">
        <v>6112.592635521778</v>
      </c>
      <c r="AF149" s="65">
        <v>6112.592635521778</v>
      </c>
      <c r="AG149" s="38">
        <f>+SUM(I149:AF149)*H149</f>
        <v>3080746.6883029775</v>
      </c>
    </row>
    <row r="150" spans="2:33" ht="14.4" x14ac:dyDescent="0.25">
      <c r="B150">
        <f t="shared" si="52"/>
        <v>5</v>
      </c>
      <c r="C150">
        <f t="shared" si="53"/>
        <v>2029</v>
      </c>
      <c r="D150" t="str">
        <f t="shared" si="62"/>
        <v>52029SA</v>
      </c>
      <c r="E150" s="68">
        <v>47239</v>
      </c>
      <c r="F150" s="73"/>
      <c r="G150" s="39" t="s">
        <v>60</v>
      </c>
      <c r="H150" s="39">
        <v>4</v>
      </c>
      <c r="I150" s="65">
        <v>6112.5926355217753</v>
      </c>
      <c r="J150" s="65">
        <v>6112.5926355217753</v>
      </c>
      <c r="K150" s="65">
        <v>6112.5926355217753</v>
      </c>
      <c r="L150" s="65">
        <v>6112.5926355217753</v>
      </c>
      <c r="M150" s="65">
        <v>6112.5926355217753</v>
      </c>
      <c r="N150" s="65">
        <v>6112.5926355217753</v>
      </c>
      <c r="O150" s="65">
        <v>6112.5926355217753</v>
      </c>
      <c r="P150" s="65">
        <v>6112.5926355217753</v>
      </c>
      <c r="Q150" s="65">
        <v>6112.5926355217753</v>
      </c>
      <c r="R150" s="65">
        <v>6112.5926355217753</v>
      </c>
      <c r="S150" s="65">
        <v>6112.5926355217753</v>
      </c>
      <c r="T150" s="65">
        <v>6112.5926355217753</v>
      </c>
      <c r="U150" s="65">
        <v>6112.5926355217753</v>
      </c>
      <c r="V150" s="65">
        <v>6112.5926355217753</v>
      </c>
      <c r="W150" s="65">
        <v>6112.5926355217753</v>
      </c>
      <c r="X150" s="65">
        <v>6112.5926355217753</v>
      </c>
      <c r="Y150" s="65">
        <v>6112.5926355217753</v>
      </c>
      <c r="Z150" s="65">
        <v>6112.5926355217753</v>
      </c>
      <c r="AA150" s="65">
        <v>6112.5926355217753</v>
      </c>
      <c r="AB150" s="65">
        <v>6112.5926355217753</v>
      </c>
      <c r="AC150" s="65">
        <v>6112.5926355217753</v>
      </c>
      <c r="AD150" s="65">
        <v>6112.5926355217753</v>
      </c>
      <c r="AE150" s="65">
        <v>6112.5926355217753</v>
      </c>
      <c r="AF150" s="65">
        <v>6112.5926355217753</v>
      </c>
      <c r="AG150" s="40">
        <f>+SUM(I150:AF150)*H150</f>
        <v>586808.89301009069</v>
      </c>
    </row>
    <row r="151" spans="2:33" ht="14.4" x14ac:dyDescent="0.25">
      <c r="B151">
        <f t="shared" si="52"/>
        <v>5</v>
      </c>
      <c r="C151">
        <f t="shared" si="53"/>
        <v>2029</v>
      </c>
      <c r="D151" t="str">
        <f t="shared" si="62"/>
        <v>52029DO</v>
      </c>
      <c r="E151" s="68">
        <v>47239</v>
      </c>
      <c r="F151" s="73"/>
      <c r="G151" s="41" t="s">
        <v>58</v>
      </c>
      <c r="H151" s="41">
        <v>4</v>
      </c>
      <c r="I151" s="65">
        <v>6112.5926355217753</v>
      </c>
      <c r="J151" s="65">
        <v>6112.5926355217753</v>
      </c>
      <c r="K151" s="65">
        <v>6112.5926355217753</v>
      </c>
      <c r="L151" s="65">
        <v>6112.5926355217753</v>
      </c>
      <c r="M151" s="65">
        <v>6112.5926355217753</v>
      </c>
      <c r="N151" s="65">
        <v>6112.5926355217753</v>
      </c>
      <c r="O151" s="65">
        <v>6112.5926355217753</v>
      </c>
      <c r="P151" s="65">
        <v>6112.5926355217753</v>
      </c>
      <c r="Q151" s="65">
        <v>6112.5926355217753</v>
      </c>
      <c r="R151" s="65">
        <v>6112.5926355217753</v>
      </c>
      <c r="S151" s="65">
        <v>6112.5926355217753</v>
      </c>
      <c r="T151" s="65">
        <v>6112.5926355217753</v>
      </c>
      <c r="U151" s="65">
        <v>6112.5926355217753</v>
      </c>
      <c r="V151" s="65">
        <v>6112.5926355217753</v>
      </c>
      <c r="W151" s="65">
        <v>6112.5926355217753</v>
      </c>
      <c r="X151" s="65">
        <v>6112.5926355217753</v>
      </c>
      <c r="Y151" s="65">
        <v>6112.5926355217753</v>
      </c>
      <c r="Z151" s="65">
        <v>6112.5926355217753</v>
      </c>
      <c r="AA151" s="65">
        <v>6112.5926355217753</v>
      </c>
      <c r="AB151" s="65">
        <v>6112.5926355217753</v>
      </c>
      <c r="AC151" s="65">
        <v>6112.5926355217753</v>
      </c>
      <c r="AD151" s="65">
        <v>6112.5926355217753</v>
      </c>
      <c r="AE151" s="65">
        <v>6112.5926355217753</v>
      </c>
      <c r="AF151" s="65">
        <v>6112.5926355217753</v>
      </c>
      <c r="AG151" s="40">
        <f>+SUM(I151:AF151)*H151</f>
        <v>586808.89301009069</v>
      </c>
    </row>
    <row r="152" spans="2:33" ht="14.4" x14ac:dyDescent="0.25">
      <c r="B152">
        <f t="shared" si="52"/>
        <v>5</v>
      </c>
      <c r="C152">
        <f t="shared" si="53"/>
        <v>2029</v>
      </c>
      <c r="D152" t="str">
        <f t="shared" si="62"/>
        <v>52029FE</v>
      </c>
      <c r="E152" s="68">
        <v>47239</v>
      </c>
      <c r="F152" s="73"/>
      <c r="G152" s="42" t="s">
        <v>59</v>
      </c>
      <c r="H152" s="42">
        <v>2</v>
      </c>
      <c r="I152" s="65">
        <v>6112.5926355217753</v>
      </c>
      <c r="J152" s="65">
        <v>6112.5926355217753</v>
      </c>
      <c r="K152" s="65">
        <v>6112.5926355217753</v>
      </c>
      <c r="L152" s="65">
        <v>6112.5926355217753</v>
      </c>
      <c r="M152" s="65">
        <v>6112.5926355217753</v>
      </c>
      <c r="N152" s="65">
        <v>6112.5926355217753</v>
      </c>
      <c r="O152" s="65">
        <v>6112.5926355217753</v>
      </c>
      <c r="P152" s="65">
        <v>6112.5926355217753</v>
      </c>
      <c r="Q152" s="65">
        <v>6112.5926355217753</v>
      </c>
      <c r="R152" s="65">
        <v>6112.5926355217753</v>
      </c>
      <c r="S152" s="65">
        <v>6112.5926355217753</v>
      </c>
      <c r="T152" s="65">
        <v>6112.5926355217753</v>
      </c>
      <c r="U152" s="65">
        <v>6112.5926355217753</v>
      </c>
      <c r="V152" s="65">
        <v>6112.5926355217753</v>
      </c>
      <c r="W152" s="65">
        <v>6112.5926355217753</v>
      </c>
      <c r="X152" s="65">
        <v>6112.5926355217753</v>
      </c>
      <c r="Y152" s="65">
        <v>6112.5926355217753</v>
      </c>
      <c r="Z152" s="65">
        <v>6112.5926355217753</v>
      </c>
      <c r="AA152" s="65">
        <v>6112.5926355217753</v>
      </c>
      <c r="AB152" s="65">
        <v>6112.5926355217753</v>
      </c>
      <c r="AC152" s="65">
        <v>6112.5926355217753</v>
      </c>
      <c r="AD152" s="65">
        <v>6112.5926355217753</v>
      </c>
      <c r="AE152" s="65">
        <v>6112.5926355217753</v>
      </c>
      <c r="AF152" s="65">
        <v>6112.5926355217753</v>
      </c>
      <c r="AG152" s="43">
        <f>+SUM(I152:AF152)*H152</f>
        <v>293404.44650504534</v>
      </c>
    </row>
    <row r="153" spans="2:33" ht="15" thickBot="1" x14ac:dyDescent="0.3">
      <c r="B153">
        <f t="shared" si="52"/>
        <v>5</v>
      </c>
      <c r="C153">
        <f t="shared" si="53"/>
        <v>2029</v>
      </c>
      <c r="D153" t="str">
        <f>+_xlfn.CONCAT(E153,G153)</f>
        <v>47239TOTAL</v>
      </c>
      <c r="E153" s="68">
        <v>47239</v>
      </c>
      <c r="F153" s="61"/>
      <c r="G153" s="44" t="s">
        <v>10</v>
      </c>
      <c r="H153" s="44">
        <f>+SUM(H149:H152)</f>
        <v>31</v>
      </c>
      <c r="I153" s="45">
        <f t="shared" ref="I153:AF153" si="63">+SUMPRODUCT(I149:I152,$H149:$H152)</f>
        <v>189490.37170117511</v>
      </c>
      <c r="J153" s="45">
        <f t="shared" si="63"/>
        <v>189490.37170117511</v>
      </c>
      <c r="K153" s="45">
        <f t="shared" si="63"/>
        <v>189490.37170117511</v>
      </c>
      <c r="L153" s="45">
        <f t="shared" si="63"/>
        <v>189490.37170117511</v>
      </c>
      <c r="M153" s="45">
        <f t="shared" si="63"/>
        <v>189490.37170117511</v>
      </c>
      <c r="N153" s="45">
        <f t="shared" si="63"/>
        <v>189490.37170117511</v>
      </c>
      <c r="O153" s="45">
        <f t="shared" si="63"/>
        <v>189490.37170117511</v>
      </c>
      <c r="P153" s="45">
        <f t="shared" si="63"/>
        <v>189490.37170117511</v>
      </c>
      <c r="Q153" s="45">
        <f t="shared" si="63"/>
        <v>189490.37170117511</v>
      </c>
      <c r="R153" s="45">
        <f t="shared" si="63"/>
        <v>189490.37170117511</v>
      </c>
      <c r="S153" s="45">
        <f t="shared" si="63"/>
        <v>189490.37170117511</v>
      </c>
      <c r="T153" s="45">
        <f t="shared" si="63"/>
        <v>189490.37170117511</v>
      </c>
      <c r="U153" s="45">
        <f t="shared" si="63"/>
        <v>189490.37170117511</v>
      </c>
      <c r="V153" s="45">
        <f t="shared" si="63"/>
        <v>189490.37170117511</v>
      </c>
      <c r="W153" s="45">
        <f t="shared" si="63"/>
        <v>189490.37170117511</v>
      </c>
      <c r="X153" s="45">
        <f t="shared" si="63"/>
        <v>189490.37170117511</v>
      </c>
      <c r="Y153" s="45">
        <f t="shared" si="63"/>
        <v>189490.37170117511</v>
      </c>
      <c r="Z153" s="45">
        <f t="shared" si="63"/>
        <v>189490.37170117511</v>
      </c>
      <c r="AA153" s="45">
        <f t="shared" si="63"/>
        <v>189490.37170117511</v>
      </c>
      <c r="AB153" s="45">
        <f t="shared" si="63"/>
        <v>189490.37170117511</v>
      </c>
      <c r="AC153" s="45">
        <f t="shared" si="63"/>
        <v>189490.37170117511</v>
      </c>
      <c r="AD153" s="45">
        <f t="shared" si="63"/>
        <v>189490.37170117511</v>
      </c>
      <c r="AE153" s="45">
        <f t="shared" si="63"/>
        <v>189490.37170117511</v>
      </c>
      <c r="AF153" s="45">
        <f t="shared" si="63"/>
        <v>189490.37170117511</v>
      </c>
      <c r="AG153" s="46">
        <f>SUM(I153:AF153)</f>
        <v>4547768.9208282055</v>
      </c>
    </row>
    <row r="154" spans="2:33" ht="14.4" x14ac:dyDescent="0.25">
      <c r="B154">
        <f t="shared" si="52"/>
        <v>6</v>
      </c>
      <c r="C154">
        <f t="shared" si="53"/>
        <v>2029</v>
      </c>
      <c r="D154" t="str">
        <f t="shared" ref="D154:D157" si="64">+_xlfn.CONCAT(B154:C154,G154)</f>
        <v>62029OR</v>
      </c>
      <c r="E154" s="67">
        <v>47270</v>
      </c>
      <c r="F154" s="72">
        <f>+AG158</f>
        <v>4771342.4870592002</v>
      </c>
      <c r="G154" s="37" t="s">
        <v>57</v>
      </c>
      <c r="H154" s="37">
        <v>20</v>
      </c>
      <c r="I154" s="65">
        <v>6626.8645653599988</v>
      </c>
      <c r="J154" s="65">
        <v>6626.8645653599988</v>
      </c>
      <c r="K154" s="65">
        <v>6626.8645653599988</v>
      </c>
      <c r="L154" s="65">
        <v>6626.8645653599988</v>
      </c>
      <c r="M154" s="65">
        <v>6626.8645653599988</v>
      </c>
      <c r="N154" s="65">
        <v>6626.8645653599988</v>
      </c>
      <c r="O154" s="65">
        <v>6626.8645653599988</v>
      </c>
      <c r="P154" s="65">
        <v>6626.8645653599988</v>
      </c>
      <c r="Q154" s="65">
        <v>6626.8645653599988</v>
      </c>
      <c r="R154" s="65">
        <v>6626.8645653599988</v>
      </c>
      <c r="S154" s="65">
        <v>6626.8645653599988</v>
      </c>
      <c r="T154" s="65">
        <v>6626.8645653599988</v>
      </c>
      <c r="U154" s="65">
        <v>6626.8645653599988</v>
      </c>
      <c r="V154" s="65">
        <v>6626.8645653599988</v>
      </c>
      <c r="W154" s="65">
        <v>6626.8645653599988</v>
      </c>
      <c r="X154" s="65">
        <v>6626.8645653599988</v>
      </c>
      <c r="Y154" s="65">
        <v>6626.8645653599988</v>
      </c>
      <c r="Z154" s="65">
        <v>6626.8645653599988</v>
      </c>
      <c r="AA154" s="65">
        <v>6626.8645653599988</v>
      </c>
      <c r="AB154" s="65">
        <v>6626.8645653599988</v>
      </c>
      <c r="AC154" s="65">
        <v>6626.8645653599988</v>
      </c>
      <c r="AD154" s="65">
        <v>6626.8645653599988</v>
      </c>
      <c r="AE154" s="65">
        <v>6626.8645653599988</v>
      </c>
      <c r="AF154" s="65">
        <v>6626.8645653599988</v>
      </c>
      <c r="AG154" s="38">
        <f>+SUM(I154:AF154)*H154</f>
        <v>3180894.9913728</v>
      </c>
    </row>
    <row r="155" spans="2:33" ht="14.4" x14ac:dyDescent="0.25">
      <c r="B155">
        <f t="shared" si="52"/>
        <v>6</v>
      </c>
      <c r="C155">
        <f t="shared" si="53"/>
        <v>2029</v>
      </c>
      <c r="D155" t="str">
        <f t="shared" si="64"/>
        <v>62029SA</v>
      </c>
      <c r="E155" s="68">
        <v>47270</v>
      </c>
      <c r="F155" s="73"/>
      <c r="G155" s="39" t="s">
        <v>60</v>
      </c>
      <c r="H155" s="39">
        <v>5</v>
      </c>
      <c r="I155" s="65">
        <v>6626.8645653600006</v>
      </c>
      <c r="J155" s="65">
        <v>6626.8645653600006</v>
      </c>
      <c r="K155" s="65">
        <v>6626.8645653600006</v>
      </c>
      <c r="L155" s="65">
        <v>6626.8645653600006</v>
      </c>
      <c r="M155" s="65">
        <v>6626.8645653600006</v>
      </c>
      <c r="N155" s="65">
        <v>6626.8645653600006</v>
      </c>
      <c r="O155" s="65">
        <v>6626.8645653600006</v>
      </c>
      <c r="P155" s="65">
        <v>6626.8645653600006</v>
      </c>
      <c r="Q155" s="65">
        <v>6626.8645653600006</v>
      </c>
      <c r="R155" s="65">
        <v>6626.8645653600006</v>
      </c>
      <c r="S155" s="65">
        <v>6626.8645653600006</v>
      </c>
      <c r="T155" s="65">
        <v>6626.8645653600006</v>
      </c>
      <c r="U155" s="65">
        <v>6626.8645653600006</v>
      </c>
      <c r="V155" s="65">
        <v>6626.8645653600006</v>
      </c>
      <c r="W155" s="65">
        <v>6626.8645653600006</v>
      </c>
      <c r="X155" s="65">
        <v>6626.8645653600006</v>
      </c>
      <c r="Y155" s="65">
        <v>6626.8645653600006</v>
      </c>
      <c r="Z155" s="65">
        <v>6626.8645653600006</v>
      </c>
      <c r="AA155" s="65">
        <v>6626.8645653600006</v>
      </c>
      <c r="AB155" s="65">
        <v>6626.8645653600006</v>
      </c>
      <c r="AC155" s="65">
        <v>6626.8645653600006</v>
      </c>
      <c r="AD155" s="65">
        <v>6626.8645653600006</v>
      </c>
      <c r="AE155" s="65">
        <v>6626.8645653600006</v>
      </c>
      <c r="AF155" s="65">
        <v>6626.8645653600006</v>
      </c>
      <c r="AG155" s="40">
        <f>+SUM(I155:AF155)*H155</f>
        <v>795223.74784320011</v>
      </c>
    </row>
    <row r="156" spans="2:33" ht="14.4" x14ac:dyDescent="0.25">
      <c r="B156">
        <f t="shared" si="52"/>
        <v>6</v>
      </c>
      <c r="C156">
        <f t="shared" si="53"/>
        <v>2029</v>
      </c>
      <c r="D156" t="str">
        <f t="shared" si="64"/>
        <v>62029DO</v>
      </c>
      <c r="E156" s="68">
        <v>47270</v>
      </c>
      <c r="F156" s="73"/>
      <c r="G156" s="41" t="s">
        <v>58</v>
      </c>
      <c r="H156" s="41">
        <v>4</v>
      </c>
      <c r="I156" s="65">
        <v>6626.8645653600006</v>
      </c>
      <c r="J156" s="65">
        <v>6626.8645653600006</v>
      </c>
      <c r="K156" s="65">
        <v>6626.8645653600006</v>
      </c>
      <c r="L156" s="65">
        <v>6626.8645653600006</v>
      </c>
      <c r="M156" s="65">
        <v>6626.8645653600006</v>
      </c>
      <c r="N156" s="65">
        <v>6626.8645653600006</v>
      </c>
      <c r="O156" s="65">
        <v>6626.8645653600006</v>
      </c>
      <c r="P156" s="65">
        <v>6626.8645653600006</v>
      </c>
      <c r="Q156" s="65">
        <v>6626.8645653600006</v>
      </c>
      <c r="R156" s="65">
        <v>6626.8645653600006</v>
      </c>
      <c r="S156" s="65">
        <v>6626.8645653600006</v>
      </c>
      <c r="T156" s="65">
        <v>6626.8645653600006</v>
      </c>
      <c r="U156" s="65">
        <v>6626.8645653600006</v>
      </c>
      <c r="V156" s="65">
        <v>6626.8645653600006</v>
      </c>
      <c r="W156" s="65">
        <v>6626.8645653600006</v>
      </c>
      <c r="X156" s="65">
        <v>6626.8645653600006</v>
      </c>
      <c r="Y156" s="65">
        <v>6626.8645653600006</v>
      </c>
      <c r="Z156" s="65">
        <v>6626.8645653600006</v>
      </c>
      <c r="AA156" s="65">
        <v>6626.8645653600006</v>
      </c>
      <c r="AB156" s="65">
        <v>6626.8645653600006</v>
      </c>
      <c r="AC156" s="65">
        <v>6626.8645653600006</v>
      </c>
      <c r="AD156" s="65">
        <v>6626.8645653600006</v>
      </c>
      <c r="AE156" s="65">
        <v>6626.8645653600006</v>
      </c>
      <c r="AF156" s="65">
        <v>6626.8645653600006</v>
      </c>
      <c r="AG156" s="40">
        <f>+SUM(I156:AF156)*H156</f>
        <v>636178.99827456009</v>
      </c>
    </row>
    <row r="157" spans="2:33" ht="14.4" x14ac:dyDescent="0.25">
      <c r="B157">
        <f t="shared" si="52"/>
        <v>6</v>
      </c>
      <c r="C157">
        <f t="shared" si="53"/>
        <v>2029</v>
      </c>
      <c r="D157" t="str">
        <f t="shared" si="64"/>
        <v>62029FE</v>
      </c>
      <c r="E157" s="68">
        <v>47270</v>
      </c>
      <c r="F157" s="73"/>
      <c r="G157" s="42" t="s">
        <v>59</v>
      </c>
      <c r="H157" s="42">
        <v>1</v>
      </c>
      <c r="I157" s="65">
        <v>6626.8645653600006</v>
      </c>
      <c r="J157" s="65">
        <v>6626.8645653600006</v>
      </c>
      <c r="K157" s="65">
        <v>6626.8645653600006</v>
      </c>
      <c r="L157" s="65">
        <v>6626.8645653600006</v>
      </c>
      <c r="M157" s="65">
        <v>6626.8645653600006</v>
      </c>
      <c r="N157" s="65">
        <v>6626.8645653600006</v>
      </c>
      <c r="O157" s="65">
        <v>6626.8645653600006</v>
      </c>
      <c r="P157" s="65">
        <v>6626.8645653600006</v>
      </c>
      <c r="Q157" s="65">
        <v>6626.8645653600006</v>
      </c>
      <c r="R157" s="65">
        <v>6626.8645653600006</v>
      </c>
      <c r="S157" s="65">
        <v>6626.8645653600006</v>
      </c>
      <c r="T157" s="65">
        <v>6626.8645653600006</v>
      </c>
      <c r="U157" s="65">
        <v>6626.8645653600006</v>
      </c>
      <c r="V157" s="65">
        <v>6626.8645653600006</v>
      </c>
      <c r="W157" s="65">
        <v>6626.8645653600006</v>
      </c>
      <c r="X157" s="65">
        <v>6626.8645653600006</v>
      </c>
      <c r="Y157" s="65">
        <v>6626.8645653600006</v>
      </c>
      <c r="Z157" s="65">
        <v>6626.8645653600006</v>
      </c>
      <c r="AA157" s="65">
        <v>6626.8645653600006</v>
      </c>
      <c r="AB157" s="65">
        <v>6626.8645653600006</v>
      </c>
      <c r="AC157" s="65">
        <v>6626.8645653600006</v>
      </c>
      <c r="AD157" s="65">
        <v>6626.8645653600006</v>
      </c>
      <c r="AE157" s="65">
        <v>6626.8645653600006</v>
      </c>
      <c r="AF157" s="65">
        <v>6626.8645653600006</v>
      </c>
      <c r="AG157" s="43">
        <f>+SUM(I157:AF157)*H157</f>
        <v>159044.74956864002</v>
      </c>
    </row>
    <row r="158" spans="2:33" ht="15" thickBot="1" x14ac:dyDescent="0.3">
      <c r="B158">
        <f t="shared" si="52"/>
        <v>6</v>
      </c>
      <c r="C158">
        <f t="shared" si="53"/>
        <v>2029</v>
      </c>
      <c r="D158" t="str">
        <f>+_xlfn.CONCAT(E158,G158)</f>
        <v>47270TOTAL</v>
      </c>
      <c r="E158" s="68">
        <v>47270</v>
      </c>
      <c r="F158" s="61"/>
      <c r="G158" s="44" t="s">
        <v>10</v>
      </c>
      <c r="H158" s="44">
        <f>+SUM(H154:H157)</f>
        <v>30</v>
      </c>
      <c r="I158" s="45">
        <f t="shared" ref="I158:AF158" si="65">+SUMPRODUCT(I154:I157,$H154:$H157)</f>
        <v>198805.9369608</v>
      </c>
      <c r="J158" s="45">
        <f t="shared" si="65"/>
        <v>198805.9369608</v>
      </c>
      <c r="K158" s="45">
        <f t="shared" si="65"/>
        <v>198805.9369608</v>
      </c>
      <c r="L158" s="45">
        <f t="shared" si="65"/>
        <v>198805.9369608</v>
      </c>
      <c r="M158" s="45">
        <f t="shared" si="65"/>
        <v>198805.9369608</v>
      </c>
      <c r="N158" s="45">
        <f t="shared" si="65"/>
        <v>198805.9369608</v>
      </c>
      <c r="O158" s="45">
        <f t="shared" si="65"/>
        <v>198805.9369608</v>
      </c>
      <c r="P158" s="45">
        <f t="shared" si="65"/>
        <v>198805.9369608</v>
      </c>
      <c r="Q158" s="45">
        <f t="shared" si="65"/>
        <v>198805.9369608</v>
      </c>
      <c r="R158" s="45">
        <f t="shared" si="65"/>
        <v>198805.9369608</v>
      </c>
      <c r="S158" s="45">
        <f t="shared" si="65"/>
        <v>198805.9369608</v>
      </c>
      <c r="T158" s="45">
        <f t="shared" si="65"/>
        <v>198805.9369608</v>
      </c>
      <c r="U158" s="45">
        <f t="shared" si="65"/>
        <v>198805.9369608</v>
      </c>
      <c r="V158" s="45">
        <f t="shared" si="65"/>
        <v>198805.9369608</v>
      </c>
      <c r="W158" s="45">
        <f t="shared" si="65"/>
        <v>198805.9369608</v>
      </c>
      <c r="X158" s="45">
        <f t="shared" si="65"/>
        <v>198805.9369608</v>
      </c>
      <c r="Y158" s="45">
        <f t="shared" si="65"/>
        <v>198805.9369608</v>
      </c>
      <c r="Z158" s="45">
        <f t="shared" si="65"/>
        <v>198805.9369608</v>
      </c>
      <c r="AA158" s="45">
        <f t="shared" si="65"/>
        <v>198805.9369608</v>
      </c>
      <c r="AB158" s="45">
        <f t="shared" si="65"/>
        <v>198805.9369608</v>
      </c>
      <c r="AC158" s="45">
        <f t="shared" si="65"/>
        <v>198805.9369608</v>
      </c>
      <c r="AD158" s="45">
        <f t="shared" si="65"/>
        <v>198805.9369608</v>
      </c>
      <c r="AE158" s="45">
        <f t="shared" si="65"/>
        <v>198805.9369608</v>
      </c>
      <c r="AF158" s="45">
        <f t="shared" si="65"/>
        <v>198805.9369608</v>
      </c>
      <c r="AG158" s="46">
        <f>SUM(I158:AF158)</f>
        <v>4771342.4870592002</v>
      </c>
    </row>
    <row r="159" spans="2:33" ht="14.4" x14ac:dyDescent="0.25">
      <c r="B159">
        <f t="shared" si="52"/>
        <v>7</v>
      </c>
      <c r="C159">
        <f t="shared" si="53"/>
        <v>2029</v>
      </c>
      <c r="D159" t="str">
        <f t="shared" ref="D159:D162" si="66">+_xlfn.CONCAT(B159:C159,G159)</f>
        <v>72029OR</v>
      </c>
      <c r="E159" s="67">
        <v>47300</v>
      </c>
      <c r="F159" s="72">
        <f>+AG163</f>
        <v>4775498.1295541991</v>
      </c>
      <c r="G159" s="37" t="s">
        <v>57</v>
      </c>
      <c r="H159" s="37">
        <v>20</v>
      </c>
      <c r="I159" s="65">
        <v>6418.6802816588724</v>
      </c>
      <c r="J159" s="65">
        <v>6418.6802816588724</v>
      </c>
      <c r="K159" s="65">
        <v>6418.6802816588724</v>
      </c>
      <c r="L159" s="65">
        <v>6418.6802816588724</v>
      </c>
      <c r="M159" s="65">
        <v>6418.6802816588724</v>
      </c>
      <c r="N159" s="65">
        <v>6418.6802816588724</v>
      </c>
      <c r="O159" s="65">
        <v>6418.6802816588724</v>
      </c>
      <c r="P159" s="65">
        <v>6418.6802816588724</v>
      </c>
      <c r="Q159" s="65">
        <v>6418.6802816588724</v>
      </c>
      <c r="R159" s="65">
        <v>6418.6802816588724</v>
      </c>
      <c r="S159" s="65">
        <v>6418.6802816588724</v>
      </c>
      <c r="T159" s="65">
        <v>6418.6802816588724</v>
      </c>
      <c r="U159" s="65">
        <v>6418.6802816588724</v>
      </c>
      <c r="V159" s="65">
        <v>6418.6802816588724</v>
      </c>
      <c r="W159" s="65">
        <v>6418.6802816588724</v>
      </c>
      <c r="X159" s="65">
        <v>6418.6802816588724</v>
      </c>
      <c r="Y159" s="65">
        <v>6418.6802816588724</v>
      </c>
      <c r="Z159" s="65">
        <v>6418.6802816588724</v>
      </c>
      <c r="AA159" s="65">
        <v>6418.6802816588724</v>
      </c>
      <c r="AB159" s="65">
        <v>6418.6802816588724</v>
      </c>
      <c r="AC159" s="65">
        <v>6418.6802816588724</v>
      </c>
      <c r="AD159" s="65">
        <v>6418.6802816588724</v>
      </c>
      <c r="AE159" s="65">
        <v>6418.6802816588724</v>
      </c>
      <c r="AF159" s="65">
        <v>6418.6802816588724</v>
      </c>
      <c r="AG159" s="38">
        <f>+SUM(I159:AF159)*H159</f>
        <v>3080966.5351962587</v>
      </c>
    </row>
    <row r="160" spans="2:33" ht="14.4" x14ac:dyDescent="0.25">
      <c r="B160">
        <f t="shared" si="52"/>
        <v>7</v>
      </c>
      <c r="C160">
        <f t="shared" si="53"/>
        <v>2029</v>
      </c>
      <c r="D160" t="str">
        <f t="shared" si="66"/>
        <v>72029SA</v>
      </c>
      <c r="E160" s="68">
        <v>47300</v>
      </c>
      <c r="F160" s="73"/>
      <c r="G160" s="39" t="s">
        <v>60</v>
      </c>
      <c r="H160" s="39">
        <v>4</v>
      </c>
      <c r="I160" s="65">
        <v>6418.6802816588706</v>
      </c>
      <c r="J160" s="65">
        <v>6418.6802816588706</v>
      </c>
      <c r="K160" s="65">
        <v>6418.6802816588706</v>
      </c>
      <c r="L160" s="65">
        <v>6418.6802816588706</v>
      </c>
      <c r="M160" s="65">
        <v>6418.6802816588706</v>
      </c>
      <c r="N160" s="65">
        <v>6418.6802816588706</v>
      </c>
      <c r="O160" s="65">
        <v>6418.6802816588706</v>
      </c>
      <c r="P160" s="65">
        <v>6418.6802816588706</v>
      </c>
      <c r="Q160" s="65">
        <v>6418.6802816588706</v>
      </c>
      <c r="R160" s="65">
        <v>6418.6802816588706</v>
      </c>
      <c r="S160" s="65">
        <v>6418.6802816588706</v>
      </c>
      <c r="T160" s="65">
        <v>6418.6802816588706</v>
      </c>
      <c r="U160" s="65">
        <v>6418.6802816588706</v>
      </c>
      <c r="V160" s="65">
        <v>6418.6802816588706</v>
      </c>
      <c r="W160" s="65">
        <v>6418.6802816588706</v>
      </c>
      <c r="X160" s="65">
        <v>6418.6802816588706</v>
      </c>
      <c r="Y160" s="65">
        <v>6418.6802816588706</v>
      </c>
      <c r="Z160" s="65">
        <v>6418.6802816588706</v>
      </c>
      <c r="AA160" s="65">
        <v>6418.6802816588706</v>
      </c>
      <c r="AB160" s="65">
        <v>6418.6802816588706</v>
      </c>
      <c r="AC160" s="65">
        <v>6418.6802816588706</v>
      </c>
      <c r="AD160" s="65">
        <v>6418.6802816588706</v>
      </c>
      <c r="AE160" s="65">
        <v>6418.6802816588706</v>
      </c>
      <c r="AF160" s="65">
        <v>6418.6802816588706</v>
      </c>
      <c r="AG160" s="40">
        <f>+SUM(I160:AF160)*H160</f>
        <v>616193.30703925155</v>
      </c>
    </row>
    <row r="161" spans="2:33" ht="14.4" x14ac:dyDescent="0.25">
      <c r="B161">
        <f t="shared" si="52"/>
        <v>7</v>
      </c>
      <c r="C161">
        <f t="shared" si="53"/>
        <v>2029</v>
      </c>
      <c r="D161" t="str">
        <f t="shared" si="66"/>
        <v>72029DO</v>
      </c>
      <c r="E161" s="68">
        <v>47300</v>
      </c>
      <c r="F161" s="73"/>
      <c r="G161" s="41" t="s">
        <v>58</v>
      </c>
      <c r="H161" s="41">
        <v>5</v>
      </c>
      <c r="I161" s="65">
        <v>6418.6802816588706</v>
      </c>
      <c r="J161" s="65">
        <v>6418.6802816588706</v>
      </c>
      <c r="K161" s="65">
        <v>6418.6802816588706</v>
      </c>
      <c r="L161" s="65">
        <v>6418.6802816588706</v>
      </c>
      <c r="M161" s="65">
        <v>6418.6802816588706</v>
      </c>
      <c r="N161" s="65">
        <v>6418.6802816588706</v>
      </c>
      <c r="O161" s="65">
        <v>6418.6802816588706</v>
      </c>
      <c r="P161" s="65">
        <v>6418.6802816588706</v>
      </c>
      <c r="Q161" s="65">
        <v>6418.6802816588706</v>
      </c>
      <c r="R161" s="65">
        <v>6418.6802816588706</v>
      </c>
      <c r="S161" s="65">
        <v>6418.6802816588706</v>
      </c>
      <c r="T161" s="65">
        <v>6418.6802816588706</v>
      </c>
      <c r="U161" s="65">
        <v>6418.6802816588706</v>
      </c>
      <c r="V161" s="65">
        <v>6418.6802816588706</v>
      </c>
      <c r="W161" s="65">
        <v>6418.6802816588706</v>
      </c>
      <c r="X161" s="65">
        <v>6418.6802816588706</v>
      </c>
      <c r="Y161" s="65">
        <v>6418.6802816588706</v>
      </c>
      <c r="Z161" s="65">
        <v>6418.6802816588706</v>
      </c>
      <c r="AA161" s="65">
        <v>6418.6802816588706</v>
      </c>
      <c r="AB161" s="65">
        <v>6418.6802816588706</v>
      </c>
      <c r="AC161" s="65">
        <v>6418.6802816588706</v>
      </c>
      <c r="AD161" s="65">
        <v>6418.6802816588706</v>
      </c>
      <c r="AE161" s="65">
        <v>6418.6802816588706</v>
      </c>
      <c r="AF161" s="65">
        <v>6418.6802816588706</v>
      </c>
      <c r="AG161" s="40">
        <f>+SUM(I161:AF161)*H161</f>
        <v>770241.63379906444</v>
      </c>
    </row>
    <row r="162" spans="2:33" ht="14.4" x14ac:dyDescent="0.25">
      <c r="B162">
        <f t="shared" si="52"/>
        <v>7</v>
      </c>
      <c r="C162">
        <f t="shared" si="53"/>
        <v>2029</v>
      </c>
      <c r="D162" t="str">
        <f t="shared" si="66"/>
        <v>72029FE</v>
      </c>
      <c r="E162" s="68">
        <v>47300</v>
      </c>
      <c r="F162" s="73"/>
      <c r="G162" s="42" t="s">
        <v>59</v>
      </c>
      <c r="H162" s="42">
        <v>2</v>
      </c>
      <c r="I162" s="65">
        <v>6418.6802816588706</v>
      </c>
      <c r="J162" s="65">
        <v>6418.6802816588706</v>
      </c>
      <c r="K162" s="65">
        <v>6418.6802816588706</v>
      </c>
      <c r="L162" s="65">
        <v>6418.6802816588706</v>
      </c>
      <c r="M162" s="65">
        <v>6418.6802816588706</v>
      </c>
      <c r="N162" s="65">
        <v>6418.6802816588706</v>
      </c>
      <c r="O162" s="65">
        <v>6418.6802816588706</v>
      </c>
      <c r="P162" s="65">
        <v>6418.6802816588706</v>
      </c>
      <c r="Q162" s="65">
        <v>6418.6802816588706</v>
      </c>
      <c r="R162" s="65">
        <v>6418.6802816588706</v>
      </c>
      <c r="S162" s="65">
        <v>6418.6802816588706</v>
      </c>
      <c r="T162" s="65">
        <v>6418.6802816588706</v>
      </c>
      <c r="U162" s="65">
        <v>6418.6802816588706</v>
      </c>
      <c r="V162" s="65">
        <v>6418.6802816588706</v>
      </c>
      <c r="W162" s="65">
        <v>6418.6802816588706</v>
      </c>
      <c r="X162" s="65">
        <v>6418.6802816588706</v>
      </c>
      <c r="Y162" s="65">
        <v>6418.6802816588706</v>
      </c>
      <c r="Z162" s="65">
        <v>6418.6802816588706</v>
      </c>
      <c r="AA162" s="65">
        <v>6418.6802816588706</v>
      </c>
      <c r="AB162" s="65">
        <v>6418.6802816588706</v>
      </c>
      <c r="AC162" s="65">
        <v>6418.6802816588706</v>
      </c>
      <c r="AD162" s="65">
        <v>6418.6802816588706</v>
      </c>
      <c r="AE162" s="65">
        <v>6418.6802816588706</v>
      </c>
      <c r="AF162" s="65">
        <v>6418.6802816588706</v>
      </c>
      <c r="AG162" s="43">
        <f>+SUM(I162:AF162)*H162</f>
        <v>308096.65351962578</v>
      </c>
    </row>
    <row r="163" spans="2:33" ht="15" thickBot="1" x14ac:dyDescent="0.3">
      <c r="B163">
        <f t="shared" si="52"/>
        <v>7</v>
      </c>
      <c r="C163">
        <f t="shared" si="53"/>
        <v>2029</v>
      </c>
      <c r="D163" t="str">
        <f>+_xlfn.CONCAT(E163,G163)</f>
        <v>47300TOTAL</v>
      </c>
      <c r="E163" s="68">
        <v>47300</v>
      </c>
      <c r="F163" s="61"/>
      <c r="G163" s="44" t="s">
        <v>10</v>
      </c>
      <c r="H163" s="44">
        <f>+SUM(H159:H162)</f>
        <v>31</v>
      </c>
      <c r="I163" s="45">
        <f t="shared" ref="I163:AF163" si="67">+SUMPRODUCT(I159:I162,$H159:$H162)</f>
        <v>198979.08873142503</v>
      </c>
      <c r="J163" s="45">
        <f t="shared" si="67"/>
        <v>198979.08873142503</v>
      </c>
      <c r="K163" s="45">
        <f t="shared" si="67"/>
        <v>198979.08873142503</v>
      </c>
      <c r="L163" s="45">
        <f t="shared" si="67"/>
        <v>198979.08873142503</v>
      </c>
      <c r="M163" s="45">
        <f t="shared" si="67"/>
        <v>198979.08873142503</v>
      </c>
      <c r="N163" s="45">
        <f t="shared" si="67"/>
        <v>198979.08873142503</v>
      </c>
      <c r="O163" s="45">
        <f t="shared" si="67"/>
        <v>198979.08873142503</v>
      </c>
      <c r="P163" s="45">
        <f t="shared" si="67"/>
        <v>198979.08873142503</v>
      </c>
      <c r="Q163" s="45">
        <f t="shared" si="67"/>
        <v>198979.08873142503</v>
      </c>
      <c r="R163" s="45">
        <f t="shared" si="67"/>
        <v>198979.08873142503</v>
      </c>
      <c r="S163" s="45">
        <f t="shared" si="67"/>
        <v>198979.08873142503</v>
      </c>
      <c r="T163" s="45">
        <f t="shared" si="67"/>
        <v>198979.08873142503</v>
      </c>
      <c r="U163" s="45">
        <f t="shared" si="67"/>
        <v>198979.08873142503</v>
      </c>
      <c r="V163" s="45">
        <f t="shared" si="67"/>
        <v>198979.08873142503</v>
      </c>
      <c r="W163" s="45">
        <f t="shared" si="67"/>
        <v>198979.08873142503</v>
      </c>
      <c r="X163" s="45">
        <f t="shared" si="67"/>
        <v>198979.08873142503</v>
      </c>
      <c r="Y163" s="45">
        <f t="shared" si="67"/>
        <v>198979.08873142503</v>
      </c>
      <c r="Z163" s="45">
        <f t="shared" si="67"/>
        <v>198979.08873142503</v>
      </c>
      <c r="AA163" s="45">
        <f t="shared" si="67"/>
        <v>198979.08873142503</v>
      </c>
      <c r="AB163" s="45">
        <f t="shared" si="67"/>
        <v>198979.08873142503</v>
      </c>
      <c r="AC163" s="45">
        <f t="shared" si="67"/>
        <v>198979.08873142503</v>
      </c>
      <c r="AD163" s="45">
        <f t="shared" si="67"/>
        <v>198979.08873142503</v>
      </c>
      <c r="AE163" s="45">
        <f t="shared" si="67"/>
        <v>198979.08873142503</v>
      </c>
      <c r="AF163" s="45">
        <f t="shared" si="67"/>
        <v>198979.08873142503</v>
      </c>
      <c r="AG163" s="46">
        <f>SUM(I163:AF163)</f>
        <v>4775498.1295541991</v>
      </c>
    </row>
    <row r="164" spans="2:33" ht="14.4" x14ac:dyDescent="0.25">
      <c r="B164">
        <f t="shared" si="52"/>
        <v>8</v>
      </c>
      <c r="C164">
        <f t="shared" si="53"/>
        <v>2029</v>
      </c>
      <c r="D164" t="str">
        <f t="shared" ref="D164:D167" si="68">+_xlfn.CONCAT(B164:C164,G164)</f>
        <v>82029OR</v>
      </c>
      <c r="E164" s="67">
        <v>47331</v>
      </c>
      <c r="F164" s="72">
        <f>+AG168</f>
        <v>4591153.8284760006</v>
      </c>
      <c r="G164" s="37" t="s">
        <v>57</v>
      </c>
      <c r="H164" s="37">
        <v>21</v>
      </c>
      <c r="I164" s="65">
        <v>6170.9056834354842</v>
      </c>
      <c r="J164" s="65">
        <v>6170.9056834354842</v>
      </c>
      <c r="K164" s="65">
        <v>6170.9056834354842</v>
      </c>
      <c r="L164" s="65">
        <v>6170.9056834354842</v>
      </c>
      <c r="M164" s="65">
        <v>6170.9056834354842</v>
      </c>
      <c r="N164" s="65">
        <v>6170.9056834354842</v>
      </c>
      <c r="O164" s="65">
        <v>6170.9056834354842</v>
      </c>
      <c r="P164" s="65">
        <v>6170.9056834354842</v>
      </c>
      <c r="Q164" s="65">
        <v>6170.9056834354842</v>
      </c>
      <c r="R164" s="65">
        <v>6170.9056834354842</v>
      </c>
      <c r="S164" s="65">
        <v>6170.9056834354842</v>
      </c>
      <c r="T164" s="65">
        <v>6170.9056834354842</v>
      </c>
      <c r="U164" s="65">
        <v>6170.9056834354842</v>
      </c>
      <c r="V164" s="65">
        <v>6170.9056834354842</v>
      </c>
      <c r="W164" s="65">
        <v>6170.9056834354842</v>
      </c>
      <c r="X164" s="65">
        <v>6170.9056834354842</v>
      </c>
      <c r="Y164" s="65">
        <v>6170.9056834354842</v>
      </c>
      <c r="Z164" s="65">
        <v>6170.9056834354842</v>
      </c>
      <c r="AA164" s="65">
        <v>6170.9056834354842</v>
      </c>
      <c r="AB164" s="65">
        <v>6170.9056834354842</v>
      </c>
      <c r="AC164" s="65">
        <v>6170.9056834354842</v>
      </c>
      <c r="AD164" s="65">
        <v>6170.9056834354842</v>
      </c>
      <c r="AE164" s="65">
        <v>6170.9056834354842</v>
      </c>
      <c r="AF164" s="65">
        <v>6170.9056834354842</v>
      </c>
      <c r="AG164" s="38">
        <f>+SUM(I164:AF164)*H164</f>
        <v>3110136.4644514835</v>
      </c>
    </row>
    <row r="165" spans="2:33" ht="14.4" x14ac:dyDescent="0.25">
      <c r="B165">
        <f t="shared" si="52"/>
        <v>8</v>
      </c>
      <c r="C165">
        <f t="shared" si="53"/>
        <v>2029</v>
      </c>
      <c r="D165" t="str">
        <f t="shared" si="68"/>
        <v>82029SA</v>
      </c>
      <c r="E165" s="68">
        <v>47331</v>
      </c>
      <c r="F165" s="73"/>
      <c r="G165" s="39" t="s">
        <v>60</v>
      </c>
      <c r="H165" s="39">
        <v>4</v>
      </c>
      <c r="I165" s="65">
        <v>6170.9056834354842</v>
      </c>
      <c r="J165" s="65">
        <v>6170.9056834354842</v>
      </c>
      <c r="K165" s="65">
        <v>6170.9056834354842</v>
      </c>
      <c r="L165" s="65">
        <v>6170.9056834354842</v>
      </c>
      <c r="M165" s="65">
        <v>6170.9056834354842</v>
      </c>
      <c r="N165" s="65">
        <v>6170.9056834354842</v>
      </c>
      <c r="O165" s="65">
        <v>6170.9056834354842</v>
      </c>
      <c r="P165" s="65">
        <v>6170.9056834354842</v>
      </c>
      <c r="Q165" s="65">
        <v>6170.9056834354842</v>
      </c>
      <c r="R165" s="65">
        <v>6170.9056834354842</v>
      </c>
      <c r="S165" s="65">
        <v>6170.9056834354842</v>
      </c>
      <c r="T165" s="65">
        <v>6170.9056834354842</v>
      </c>
      <c r="U165" s="65">
        <v>6170.9056834354842</v>
      </c>
      <c r="V165" s="65">
        <v>6170.9056834354842</v>
      </c>
      <c r="W165" s="65">
        <v>6170.9056834354842</v>
      </c>
      <c r="X165" s="65">
        <v>6170.9056834354842</v>
      </c>
      <c r="Y165" s="65">
        <v>6170.9056834354842</v>
      </c>
      <c r="Z165" s="65">
        <v>6170.9056834354842</v>
      </c>
      <c r="AA165" s="65">
        <v>6170.9056834354842</v>
      </c>
      <c r="AB165" s="65">
        <v>6170.9056834354842</v>
      </c>
      <c r="AC165" s="65">
        <v>6170.9056834354842</v>
      </c>
      <c r="AD165" s="65">
        <v>6170.9056834354842</v>
      </c>
      <c r="AE165" s="65">
        <v>6170.9056834354842</v>
      </c>
      <c r="AF165" s="65">
        <v>6170.9056834354842</v>
      </c>
      <c r="AG165" s="40">
        <f>+SUM(I165:AF165)*H165</f>
        <v>592406.94560980634</v>
      </c>
    </row>
    <row r="166" spans="2:33" ht="14.4" x14ac:dyDescent="0.25">
      <c r="B166">
        <f t="shared" si="52"/>
        <v>8</v>
      </c>
      <c r="C166">
        <f t="shared" si="53"/>
        <v>2029</v>
      </c>
      <c r="D166" t="str">
        <f t="shared" si="68"/>
        <v>82029DO</v>
      </c>
      <c r="E166" s="68">
        <v>47331</v>
      </c>
      <c r="F166" s="73"/>
      <c r="G166" s="41" t="s">
        <v>58</v>
      </c>
      <c r="H166" s="41">
        <v>4</v>
      </c>
      <c r="I166" s="65">
        <v>6170.9056834354842</v>
      </c>
      <c r="J166" s="65">
        <v>6170.9056834354842</v>
      </c>
      <c r="K166" s="65">
        <v>6170.9056834354842</v>
      </c>
      <c r="L166" s="65">
        <v>6170.9056834354842</v>
      </c>
      <c r="M166" s="65">
        <v>6170.9056834354842</v>
      </c>
      <c r="N166" s="65">
        <v>6170.9056834354842</v>
      </c>
      <c r="O166" s="65">
        <v>6170.9056834354842</v>
      </c>
      <c r="P166" s="65">
        <v>6170.9056834354842</v>
      </c>
      <c r="Q166" s="65">
        <v>6170.9056834354842</v>
      </c>
      <c r="R166" s="65">
        <v>6170.9056834354842</v>
      </c>
      <c r="S166" s="65">
        <v>6170.9056834354842</v>
      </c>
      <c r="T166" s="65">
        <v>6170.9056834354842</v>
      </c>
      <c r="U166" s="65">
        <v>6170.9056834354842</v>
      </c>
      <c r="V166" s="65">
        <v>6170.9056834354842</v>
      </c>
      <c r="W166" s="65">
        <v>6170.9056834354842</v>
      </c>
      <c r="X166" s="65">
        <v>6170.9056834354842</v>
      </c>
      <c r="Y166" s="65">
        <v>6170.9056834354842</v>
      </c>
      <c r="Z166" s="65">
        <v>6170.9056834354842</v>
      </c>
      <c r="AA166" s="65">
        <v>6170.9056834354842</v>
      </c>
      <c r="AB166" s="65">
        <v>6170.9056834354842</v>
      </c>
      <c r="AC166" s="65">
        <v>6170.9056834354842</v>
      </c>
      <c r="AD166" s="65">
        <v>6170.9056834354842</v>
      </c>
      <c r="AE166" s="65">
        <v>6170.9056834354842</v>
      </c>
      <c r="AF166" s="65">
        <v>6170.9056834354842</v>
      </c>
      <c r="AG166" s="40">
        <f>+SUM(I166:AF166)*H166</f>
        <v>592406.94560980634</v>
      </c>
    </row>
    <row r="167" spans="2:33" ht="14.4" x14ac:dyDescent="0.25">
      <c r="B167">
        <f t="shared" si="52"/>
        <v>8</v>
      </c>
      <c r="C167">
        <f t="shared" si="53"/>
        <v>2029</v>
      </c>
      <c r="D167" t="str">
        <f t="shared" si="68"/>
        <v>82029FE</v>
      </c>
      <c r="E167" s="68">
        <v>47331</v>
      </c>
      <c r="F167" s="73"/>
      <c r="G167" s="42" t="s">
        <v>59</v>
      </c>
      <c r="H167" s="42">
        <v>2</v>
      </c>
      <c r="I167" s="65">
        <v>6170.9056834354842</v>
      </c>
      <c r="J167" s="65">
        <v>6170.9056834354842</v>
      </c>
      <c r="K167" s="65">
        <v>6170.9056834354842</v>
      </c>
      <c r="L167" s="65">
        <v>6170.9056834354842</v>
      </c>
      <c r="M167" s="65">
        <v>6170.9056834354842</v>
      </c>
      <c r="N167" s="65">
        <v>6170.9056834354842</v>
      </c>
      <c r="O167" s="65">
        <v>6170.9056834354842</v>
      </c>
      <c r="P167" s="65">
        <v>6170.9056834354842</v>
      </c>
      <c r="Q167" s="65">
        <v>6170.9056834354842</v>
      </c>
      <c r="R167" s="65">
        <v>6170.9056834354842</v>
      </c>
      <c r="S167" s="65">
        <v>6170.9056834354842</v>
      </c>
      <c r="T167" s="65">
        <v>6170.9056834354842</v>
      </c>
      <c r="U167" s="65">
        <v>6170.9056834354842</v>
      </c>
      <c r="V167" s="65">
        <v>6170.9056834354842</v>
      </c>
      <c r="W167" s="65">
        <v>6170.9056834354842</v>
      </c>
      <c r="X167" s="65">
        <v>6170.9056834354842</v>
      </c>
      <c r="Y167" s="65">
        <v>6170.9056834354842</v>
      </c>
      <c r="Z167" s="65">
        <v>6170.9056834354842</v>
      </c>
      <c r="AA167" s="65">
        <v>6170.9056834354842</v>
      </c>
      <c r="AB167" s="65">
        <v>6170.9056834354842</v>
      </c>
      <c r="AC167" s="65">
        <v>6170.9056834354842</v>
      </c>
      <c r="AD167" s="65">
        <v>6170.9056834354842</v>
      </c>
      <c r="AE167" s="65">
        <v>6170.9056834354842</v>
      </c>
      <c r="AF167" s="65">
        <v>6170.9056834354842</v>
      </c>
      <c r="AG167" s="43">
        <f>+SUM(I167:AF167)*H167</f>
        <v>296203.47280490317</v>
      </c>
    </row>
    <row r="168" spans="2:33" ht="15" thickBot="1" x14ac:dyDescent="0.3">
      <c r="B168">
        <f t="shared" si="52"/>
        <v>8</v>
      </c>
      <c r="C168">
        <f t="shared" si="53"/>
        <v>2029</v>
      </c>
      <c r="D168" t="str">
        <f>+_xlfn.CONCAT(E168,G168)</f>
        <v>47331TOTAL</v>
      </c>
      <c r="E168" s="68">
        <v>47331</v>
      </c>
      <c r="F168" s="61"/>
      <c r="G168" s="44" t="s">
        <v>10</v>
      </c>
      <c r="H168" s="44">
        <f>+SUM(H164:H167)</f>
        <v>31</v>
      </c>
      <c r="I168" s="45">
        <f t="shared" ref="I168:AF168" si="69">+SUMPRODUCT(I164:I167,$H164:$H167)</f>
        <v>191298.07618650002</v>
      </c>
      <c r="J168" s="45">
        <f t="shared" si="69"/>
        <v>191298.07618650002</v>
      </c>
      <c r="K168" s="45">
        <f t="shared" si="69"/>
        <v>191298.07618650002</v>
      </c>
      <c r="L168" s="45">
        <f t="shared" si="69"/>
        <v>191298.07618650002</v>
      </c>
      <c r="M168" s="45">
        <f t="shared" si="69"/>
        <v>191298.07618650002</v>
      </c>
      <c r="N168" s="45">
        <f t="shared" si="69"/>
        <v>191298.07618650002</v>
      </c>
      <c r="O168" s="45">
        <f t="shared" si="69"/>
        <v>191298.07618650002</v>
      </c>
      <c r="P168" s="45">
        <f t="shared" si="69"/>
        <v>191298.07618650002</v>
      </c>
      <c r="Q168" s="45">
        <f t="shared" si="69"/>
        <v>191298.07618650002</v>
      </c>
      <c r="R168" s="45">
        <f t="shared" si="69"/>
        <v>191298.07618650002</v>
      </c>
      <c r="S168" s="45">
        <f t="shared" si="69"/>
        <v>191298.07618650002</v>
      </c>
      <c r="T168" s="45">
        <f t="shared" si="69"/>
        <v>191298.07618650002</v>
      </c>
      <c r="U168" s="45">
        <f t="shared" si="69"/>
        <v>191298.07618650002</v>
      </c>
      <c r="V168" s="45">
        <f t="shared" si="69"/>
        <v>191298.07618650002</v>
      </c>
      <c r="W168" s="45">
        <f t="shared" si="69"/>
        <v>191298.07618650002</v>
      </c>
      <c r="X168" s="45">
        <f t="shared" si="69"/>
        <v>191298.07618650002</v>
      </c>
      <c r="Y168" s="45">
        <f t="shared" si="69"/>
        <v>191298.07618650002</v>
      </c>
      <c r="Z168" s="45">
        <f t="shared" si="69"/>
        <v>191298.07618650002</v>
      </c>
      <c r="AA168" s="45">
        <f t="shared" si="69"/>
        <v>191298.07618650002</v>
      </c>
      <c r="AB168" s="45">
        <f t="shared" si="69"/>
        <v>191298.07618650002</v>
      </c>
      <c r="AC168" s="45">
        <f t="shared" si="69"/>
        <v>191298.07618650002</v>
      </c>
      <c r="AD168" s="45">
        <f t="shared" si="69"/>
        <v>191298.07618650002</v>
      </c>
      <c r="AE168" s="45">
        <f t="shared" si="69"/>
        <v>191298.07618650002</v>
      </c>
      <c r="AF168" s="45">
        <f t="shared" si="69"/>
        <v>191298.07618650002</v>
      </c>
      <c r="AG168" s="46">
        <f>SUM(I168:AF168)</f>
        <v>4591153.8284760006</v>
      </c>
    </row>
    <row r="169" spans="2:33" ht="14.4" x14ac:dyDescent="0.25">
      <c r="B169">
        <f t="shared" si="52"/>
        <v>9</v>
      </c>
      <c r="C169">
        <f t="shared" si="53"/>
        <v>2029</v>
      </c>
      <c r="D169" t="str">
        <f t="shared" ref="D169:D172" si="70">+_xlfn.CONCAT(B169:C169,G169)</f>
        <v>92029OR</v>
      </c>
      <c r="E169" s="67">
        <v>47362</v>
      </c>
      <c r="F169" s="72">
        <f>+AG173</f>
        <v>4365086.8767480021</v>
      </c>
      <c r="G169" s="37" t="s">
        <v>57</v>
      </c>
      <c r="H169" s="37">
        <v>20</v>
      </c>
      <c r="I169" s="65">
        <v>6062.6206621500014</v>
      </c>
      <c r="J169" s="65">
        <v>6062.6206621500014</v>
      </c>
      <c r="K169" s="65">
        <v>6062.6206621500014</v>
      </c>
      <c r="L169" s="65">
        <v>6062.6206621500014</v>
      </c>
      <c r="M169" s="65">
        <v>6062.6206621500014</v>
      </c>
      <c r="N169" s="65">
        <v>6062.6206621500014</v>
      </c>
      <c r="O169" s="65">
        <v>6062.6206621500014</v>
      </c>
      <c r="P169" s="65">
        <v>6062.6206621500014</v>
      </c>
      <c r="Q169" s="65">
        <v>6062.6206621500014</v>
      </c>
      <c r="R169" s="65">
        <v>6062.6206621500014</v>
      </c>
      <c r="S169" s="65">
        <v>6062.6206621500014</v>
      </c>
      <c r="T169" s="65">
        <v>6062.6206621500014</v>
      </c>
      <c r="U169" s="65">
        <v>6062.6206621500014</v>
      </c>
      <c r="V169" s="65">
        <v>6062.6206621500014</v>
      </c>
      <c r="W169" s="65">
        <v>6062.6206621500014</v>
      </c>
      <c r="X169" s="65">
        <v>6062.6206621500014</v>
      </c>
      <c r="Y169" s="65">
        <v>6062.6206621500014</v>
      </c>
      <c r="Z169" s="65">
        <v>6062.6206621500014</v>
      </c>
      <c r="AA169" s="65">
        <v>6062.6206621500014</v>
      </c>
      <c r="AB169" s="65">
        <v>6062.6206621500014</v>
      </c>
      <c r="AC169" s="65">
        <v>6062.6206621500014</v>
      </c>
      <c r="AD169" s="65">
        <v>6062.6206621500014</v>
      </c>
      <c r="AE169" s="65">
        <v>6062.6206621500014</v>
      </c>
      <c r="AF169" s="65">
        <v>6062.6206621500014</v>
      </c>
      <c r="AG169" s="38">
        <f>+SUM(I169:AF169)*H169</f>
        <v>2910057.9178320006</v>
      </c>
    </row>
    <row r="170" spans="2:33" ht="14.4" x14ac:dyDescent="0.25">
      <c r="B170">
        <f t="shared" si="52"/>
        <v>9</v>
      </c>
      <c r="C170">
        <f t="shared" si="53"/>
        <v>2029</v>
      </c>
      <c r="D170" t="str">
        <f t="shared" si="70"/>
        <v>92029SA</v>
      </c>
      <c r="E170" s="68">
        <v>47362</v>
      </c>
      <c r="F170" s="73"/>
      <c r="G170" s="39" t="s">
        <v>60</v>
      </c>
      <c r="H170" s="39">
        <v>5</v>
      </c>
      <c r="I170" s="65">
        <v>6062.6206621500005</v>
      </c>
      <c r="J170" s="65">
        <v>6062.6206621500005</v>
      </c>
      <c r="K170" s="65">
        <v>6062.6206621500005</v>
      </c>
      <c r="L170" s="65">
        <v>6062.6206621500005</v>
      </c>
      <c r="M170" s="65">
        <v>6062.6206621500005</v>
      </c>
      <c r="N170" s="65">
        <v>6062.6206621500005</v>
      </c>
      <c r="O170" s="65">
        <v>6062.6206621500005</v>
      </c>
      <c r="P170" s="65">
        <v>6062.6206621500005</v>
      </c>
      <c r="Q170" s="65">
        <v>6062.6206621500005</v>
      </c>
      <c r="R170" s="65">
        <v>6062.6206621500005</v>
      </c>
      <c r="S170" s="65">
        <v>6062.6206621500005</v>
      </c>
      <c r="T170" s="65">
        <v>6062.6206621500005</v>
      </c>
      <c r="U170" s="65">
        <v>6062.6206621500005</v>
      </c>
      <c r="V170" s="65">
        <v>6062.6206621500005</v>
      </c>
      <c r="W170" s="65">
        <v>6062.6206621500005</v>
      </c>
      <c r="X170" s="65">
        <v>6062.6206621500005</v>
      </c>
      <c r="Y170" s="65">
        <v>6062.6206621500005</v>
      </c>
      <c r="Z170" s="65">
        <v>6062.6206621500005</v>
      </c>
      <c r="AA170" s="65">
        <v>6062.6206621500005</v>
      </c>
      <c r="AB170" s="65">
        <v>6062.6206621500005</v>
      </c>
      <c r="AC170" s="65">
        <v>6062.6206621500005</v>
      </c>
      <c r="AD170" s="65">
        <v>6062.6206621500005</v>
      </c>
      <c r="AE170" s="65">
        <v>6062.6206621500005</v>
      </c>
      <c r="AF170" s="65">
        <v>6062.6206621500005</v>
      </c>
      <c r="AG170" s="40">
        <f>+SUM(I170:AF170)*H170</f>
        <v>727514.47945800016</v>
      </c>
    </row>
    <row r="171" spans="2:33" ht="14.4" x14ac:dyDescent="0.25">
      <c r="B171">
        <f t="shared" si="52"/>
        <v>9</v>
      </c>
      <c r="C171">
        <f t="shared" si="53"/>
        <v>2029</v>
      </c>
      <c r="D171" t="str">
        <f t="shared" si="70"/>
        <v>92029DO</v>
      </c>
      <c r="E171" s="68">
        <v>47362</v>
      </c>
      <c r="F171" s="73"/>
      <c r="G171" s="41" t="s">
        <v>58</v>
      </c>
      <c r="H171" s="41">
        <v>5</v>
      </c>
      <c r="I171" s="65">
        <v>6062.6206621500005</v>
      </c>
      <c r="J171" s="65">
        <v>6062.6206621500005</v>
      </c>
      <c r="K171" s="65">
        <v>6062.6206621500005</v>
      </c>
      <c r="L171" s="65">
        <v>6062.6206621500005</v>
      </c>
      <c r="M171" s="65">
        <v>6062.6206621500005</v>
      </c>
      <c r="N171" s="65">
        <v>6062.6206621500005</v>
      </c>
      <c r="O171" s="65">
        <v>6062.6206621500005</v>
      </c>
      <c r="P171" s="65">
        <v>6062.6206621500005</v>
      </c>
      <c r="Q171" s="65">
        <v>6062.6206621500005</v>
      </c>
      <c r="R171" s="65">
        <v>6062.6206621500005</v>
      </c>
      <c r="S171" s="65">
        <v>6062.6206621500005</v>
      </c>
      <c r="T171" s="65">
        <v>6062.6206621500005</v>
      </c>
      <c r="U171" s="65">
        <v>6062.6206621500005</v>
      </c>
      <c r="V171" s="65">
        <v>6062.6206621500005</v>
      </c>
      <c r="W171" s="65">
        <v>6062.6206621500005</v>
      </c>
      <c r="X171" s="65">
        <v>6062.6206621500005</v>
      </c>
      <c r="Y171" s="65">
        <v>6062.6206621500005</v>
      </c>
      <c r="Z171" s="65">
        <v>6062.6206621500005</v>
      </c>
      <c r="AA171" s="65">
        <v>6062.6206621500005</v>
      </c>
      <c r="AB171" s="65">
        <v>6062.6206621500005</v>
      </c>
      <c r="AC171" s="65">
        <v>6062.6206621500005</v>
      </c>
      <c r="AD171" s="65">
        <v>6062.6206621500005</v>
      </c>
      <c r="AE171" s="65">
        <v>6062.6206621500005</v>
      </c>
      <c r="AF171" s="65">
        <v>6062.6206621500005</v>
      </c>
      <c r="AG171" s="40">
        <f>+SUM(I171:AF171)*H171</f>
        <v>727514.47945800016</v>
      </c>
    </row>
    <row r="172" spans="2:33" ht="14.4" x14ac:dyDescent="0.25">
      <c r="B172">
        <f t="shared" si="52"/>
        <v>9</v>
      </c>
      <c r="C172">
        <f t="shared" si="53"/>
        <v>2029</v>
      </c>
      <c r="D172" t="str">
        <f t="shared" si="70"/>
        <v>92029FE</v>
      </c>
      <c r="E172" s="68">
        <v>47362</v>
      </c>
      <c r="F172" s="73"/>
      <c r="G172" s="42" t="s">
        <v>59</v>
      </c>
      <c r="H172" s="42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  <c r="AG172" s="43">
        <f>+SUM(I172:AF172)*H172</f>
        <v>0</v>
      </c>
    </row>
    <row r="173" spans="2:33" ht="15" thickBot="1" x14ac:dyDescent="0.3">
      <c r="B173">
        <f t="shared" si="52"/>
        <v>9</v>
      </c>
      <c r="C173">
        <f t="shared" si="53"/>
        <v>2029</v>
      </c>
      <c r="D173" t="str">
        <f>+_xlfn.CONCAT(E173,G173)</f>
        <v>47362TOTAL</v>
      </c>
      <c r="E173" s="68">
        <v>47362</v>
      </c>
      <c r="F173" s="61"/>
      <c r="G173" s="44" t="s">
        <v>10</v>
      </c>
      <c r="H173" s="44">
        <f>+SUM(H169:H172)</f>
        <v>30</v>
      </c>
      <c r="I173" s="45">
        <f t="shared" ref="I173:AF173" si="71">+SUMPRODUCT(I169:I172,$H169:$H172)</f>
        <v>181878.61986450004</v>
      </c>
      <c r="J173" s="45">
        <f t="shared" si="71"/>
        <v>181878.61986450004</v>
      </c>
      <c r="K173" s="45">
        <f t="shared" si="71"/>
        <v>181878.61986450004</v>
      </c>
      <c r="L173" s="45">
        <f t="shared" si="71"/>
        <v>181878.61986450004</v>
      </c>
      <c r="M173" s="45">
        <f t="shared" si="71"/>
        <v>181878.61986450004</v>
      </c>
      <c r="N173" s="45">
        <f t="shared" si="71"/>
        <v>181878.61986450004</v>
      </c>
      <c r="O173" s="45">
        <f t="shared" si="71"/>
        <v>181878.61986450004</v>
      </c>
      <c r="P173" s="45">
        <f t="shared" si="71"/>
        <v>181878.61986450004</v>
      </c>
      <c r="Q173" s="45">
        <f t="shared" si="71"/>
        <v>181878.61986450004</v>
      </c>
      <c r="R173" s="45">
        <f t="shared" si="71"/>
        <v>181878.61986450004</v>
      </c>
      <c r="S173" s="45">
        <f t="shared" si="71"/>
        <v>181878.61986450004</v>
      </c>
      <c r="T173" s="45">
        <f t="shared" si="71"/>
        <v>181878.61986450004</v>
      </c>
      <c r="U173" s="45">
        <f t="shared" si="71"/>
        <v>181878.61986450004</v>
      </c>
      <c r="V173" s="45">
        <f t="shared" si="71"/>
        <v>181878.61986450004</v>
      </c>
      <c r="W173" s="45">
        <f t="shared" si="71"/>
        <v>181878.61986450004</v>
      </c>
      <c r="X173" s="45">
        <f t="shared" si="71"/>
        <v>181878.61986450004</v>
      </c>
      <c r="Y173" s="45">
        <f t="shared" si="71"/>
        <v>181878.61986450004</v>
      </c>
      <c r="Z173" s="45">
        <f t="shared" si="71"/>
        <v>181878.61986450004</v>
      </c>
      <c r="AA173" s="45">
        <f t="shared" si="71"/>
        <v>181878.61986450004</v>
      </c>
      <c r="AB173" s="45">
        <f t="shared" si="71"/>
        <v>181878.61986450004</v>
      </c>
      <c r="AC173" s="45">
        <f t="shared" si="71"/>
        <v>181878.61986450004</v>
      </c>
      <c r="AD173" s="45">
        <f t="shared" si="71"/>
        <v>181878.61986450004</v>
      </c>
      <c r="AE173" s="45">
        <f t="shared" si="71"/>
        <v>181878.61986450004</v>
      </c>
      <c r="AF173" s="45">
        <f t="shared" si="71"/>
        <v>181878.61986450004</v>
      </c>
      <c r="AG173" s="46">
        <f>SUM(I173:AF173)</f>
        <v>4365086.8767480021</v>
      </c>
    </row>
    <row r="174" spans="2:33" ht="14.4" x14ac:dyDescent="0.25">
      <c r="B174">
        <f t="shared" si="52"/>
        <v>10</v>
      </c>
      <c r="C174">
        <f t="shared" si="53"/>
        <v>2029</v>
      </c>
      <c r="D174" t="str">
        <f t="shared" ref="D174:D177" si="72">+_xlfn.CONCAT(B174:C174,G174)</f>
        <v>102029OR</v>
      </c>
      <c r="E174" s="67">
        <v>47392</v>
      </c>
      <c r="F174" s="72">
        <f>+AG178</f>
        <v>4423598.3230775995</v>
      </c>
      <c r="G174" s="37" t="s">
        <v>57</v>
      </c>
      <c r="H174" s="37">
        <v>22</v>
      </c>
      <c r="I174" s="65">
        <v>5945.696670803226</v>
      </c>
      <c r="J174" s="65">
        <v>5945.696670803226</v>
      </c>
      <c r="K174" s="65">
        <v>5945.696670803226</v>
      </c>
      <c r="L174" s="65">
        <v>5945.696670803226</v>
      </c>
      <c r="M174" s="65">
        <v>5945.696670803226</v>
      </c>
      <c r="N174" s="65">
        <v>5945.696670803226</v>
      </c>
      <c r="O174" s="65">
        <v>5945.696670803226</v>
      </c>
      <c r="P174" s="65">
        <v>5945.696670803226</v>
      </c>
      <c r="Q174" s="65">
        <v>5945.696670803226</v>
      </c>
      <c r="R174" s="65">
        <v>5945.696670803226</v>
      </c>
      <c r="S174" s="65">
        <v>5945.696670803226</v>
      </c>
      <c r="T174" s="65">
        <v>5945.696670803226</v>
      </c>
      <c r="U174" s="65">
        <v>5945.696670803226</v>
      </c>
      <c r="V174" s="65">
        <v>5945.696670803226</v>
      </c>
      <c r="W174" s="65">
        <v>5945.696670803226</v>
      </c>
      <c r="X174" s="65">
        <v>5945.696670803226</v>
      </c>
      <c r="Y174" s="65">
        <v>5945.696670803226</v>
      </c>
      <c r="Z174" s="65">
        <v>5945.696670803226</v>
      </c>
      <c r="AA174" s="65">
        <v>5945.696670803226</v>
      </c>
      <c r="AB174" s="65">
        <v>5945.696670803226</v>
      </c>
      <c r="AC174" s="65">
        <v>5945.696670803226</v>
      </c>
      <c r="AD174" s="65">
        <v>5945.696670803226</v>
      </c>
      <c r="AE174" s="65">
        <v>5945.696670803226</v>
      </c>
      <c r="AF174" s="65">
        <v>5945.696670803226</v>
      </c>
      <c r="AG174" s="38">
        <f>+SUM(I174:AF174)*H174</f>
        <v>3139327.8421841031</v>
      </c>
    </row>
    <row r="175" spans="2:33" ht="14.4" x14ac:dyDescent="0.25">
      <c r="B175">
        <f t="shared" si="52"/>
        <v>10</v>
      </c>
      <c r="C175">
        <f t="shared" si="53"/>
        <v>2029</v>
      </c>
      <c r="D175" t="str">
        <f t="shared" si="72"/>
        <v>102029SA</v>
      </c>
      <c r="E175" s="68">
        <v>47392</v>
      </c>
      <c r="F175" s="73"/>
      <c r="G175" s="39" t="s">
        <v>60</v>
      </c>
      <c r="H175" s="39">
        <v>4</v>
      </c>
      <c r="I175" s="65">
        <v>5945.696670803226</v>
      </c>
      <c r="J175" s="65">
        <v>5945.696670803226</v>
      </c>
      <c r="K175" s="65">
        <v>5945.696670803226</v>
      </c>
      <c r="L175" s="65">
        <v>5945.696670803226</v>
      </c>
      <c r="M175" s="65">
        <v>5945.696670803226</v>
      </c>
      <c r="N175" s="65">
        <v>5945.696670803226</v>
      </c>
      <c r="O175" s="65">
        <v>5945.696670803226</v>
      </c>
      <c r="P175" s="65">
        <v>5945.696670803226</v>
      </c>
      <c r="Q175" s="65">
        <v>5945.696670803226</v>
      </c>
      <c r="R175" s="65">
        <v>5945.696670803226</v>
      </c>
      <c r="S175" s="65">
        <v>5945.696670803226</v>
      </c>
      <c r="T175" s="65">
        <v>5945.696670803226</v>
      </c>
      <c r="U175" s="65">
        <v>5945.696670803226</v>
      </c>
      <c r="V175" s="65">
        <v>5945.696670803226</v>
      </c>
      <c r="W175" s="65">
        <v>5945.696670803226</v>
      </c>
      <c r="X175" s="65">
        <v>5945.696670803226</v>
      </c>
      <c r="Y175" s="65">
        <v>5945.696670803226</v>
      </c>
      <c r="Z175" s="65">
        <v>5945.696670803226</v>
      </c>
      <c r="AA175" s="65">
        <v>5945.696670803226</v>
      </c>
      <c r="AB175" s="65">
        <v>5945.696670803226</v>
      </c>
      <c r="AC175" s="65">
        <v>5945.696670803226</v>
      </c>
      <c r="AD175" s="65">
        <v>5945.696670803226</v>
      </c>
      <c r="AE175" s="65">
        <v>5945.696670803226</v>
      </c>
      <c r="AF175" s="65">
        <v>5945.696670803226</v>
      </c>
      <c r="AG175" s="40">
        <f>+SUM(I175:AF175)*H175</f>
        <v>570786.88039710966</v>
      </c>
    </row>
    <row r="176" spans="2:33" ht="14.4" x14ac:dyDescent="0.25">
      <c r="B176">
        <f t="shared" si="52"/>
        <v>10</v>
      </c>
      <c r="C176">
        <f t="shared" si="53"/>
        <v>2029</v>
      </c>
      <c r="D176" t="str">
        <f t="shared" si="72"/>
        <v>102029DO</v>
      </c>
      <c r="E176" s="68">
        <v>47392</v>
      </c>
      <c r="F176" s="73"/>
      <c r="G176" s="41" t="s">
        <v>58</v>
      </c>
      <c r="H176" s="41">
        <v>4</v>
      </c>
      <c r="I176" s="65">
        <v>5945.696670803226</v>
      </c>
      <c r="J176" s="65">
        <v>5945.696670803226</v>
      </c>
      <c r="K176" s="65">
        <v>5945.696670803226</v>
      </c>
      <c r="L176" s="65">
        <v>5945.696670803226</v>
      </c>
      <c r="M176" s="65">
        <v>5945.696670803226</v>
      </c>
      <c r="N176" s="65">
        <v>5945.696670803226</v>
      </c>
      <c r="O176" s="65">
        <v>5945.696670803226</v>
      </c>
      <c r="P176" s="65">
        <v>5945.696670803226</v>
      </c>
      <c r="Q176" s="65">
        <v>5945.696670803226</v>
      </c>
      <c r="R176" s="65">
        <v>5945.696670803226</v>
      </c>
      <c r="S176" s="65">
        <v>5945.696670803226</v>
      </c>
      <c r="T176" s="65">
        <v>5945.696670803226</v>
      </c>
      <c r="U176" s="65">
        <v>5945.696670803226</v>
      </c>
      <c r="V176" s="65">
        <v>5945.696670803226</v>
      </c>
      <c r="W176" s="65">
        <v>5945.696670803226</v>
      </c>
      <c r="X176" s="65">
        <v>5945.696670803226</v>
      </c>
      <c r="Y176" s="65">
        <v>5945.696670803226</v>
      </c>
      <c r="Z176" s="65">
        <v>5945.696670803226</v>
      </c>
      <c r="AA176" s="65">
        <v>5945.696670803226</v>
      </c>
      <c r="AB176" s="65">
        <v>5945.696670803226</v>
      </c>
      <c r="AC176" s="65">
        <v>5945.696670803226</v>
      </c>
      <c r="AD176" s="65">
        <v>5945.696670803226</v>
      </c>
      <c r="AE176" s="65">
        <v>5945.696670803226</v>
      </c>
      <c r="AF176" s="65">
        <v>5945.696670803226</v>
      </c>
      <c r="AG176" s="40">
        <f>+SUM(I176:AF176)*H176</f>
        <v>570786.88039710966</v>
      </c>
    </row>
    <row r="177" spans="2:33" ht="14.4" x14ac:dyDescent="0.25">
      <c r="B177">
        <f t="shared" si="52"/>
        <v>10</v>
      </c>
      <c r="C177">
        <f t="shared" si="53"/>
        <v>2029</v>
      </c>
      <c r="D177" t="str">
        <f t="shared" si="72"/>
        <v>102029FE</v>
      </c>
      <c r="E177" s="68">
        <v>47392</v>
      </c>
      <c r="F177" s="73"/>
      <c r="G177" s="42" t="s">
        <v>59</v>
      </c>
      <c r="H177" s="42">
        <v>1</v>
      </c>
      <c r="I177" s="65">
        <v>5945.696670803226</v>
      </c>
      <c r="J177" s="65">
        <v>5945.696670803226</v>
      </c>
      <c r="K177" s="65">
        <v>5945.696670803226</v>
      </c>
      <c r="L177" s="65">
        <v>5945.696670803226</v>
      </c>
      <c r="M177" s="65">
        <v>5945.696670803226</v>
      </c>
      <c r="N177" s="65">
        <v>5945.696670803226</v>
      </c>
      <c r="O177" s="65">
        <v>5945.696670803226</v>
      </c>
      <c r="P177" s="65">
        <v>5945.696670803226</v>
      </c>
      <c r="Q177" s="65">
        <v>5945.696670803226</v>
      </c>
      <c r="R177" s="65">
        <v>5945.696670803226</v>
      </c>
      <c r="S177" s="65">
        <v>5945.696670803226</v>
      </c>
      <c r="T177" s="65">
        <v>5945.696670803226</v>
      </c>
      <c r="U177" s="65">
        <v>5945.696670803226</v>
      </c>
      <c r="V177" s="65">
        <v>5945.696670803226</v>
      </c>
      <c r="W177" s="65">
        <v>5945.696670803226</v>
      </c>
      <c r="X177" s="65">
        <v>5945.696670803226</v>
      </c>
      <c r="Y177" s="65">
        <v>5945.696670803226</v>
      </c>
      <c r="Z177" s="65">
        <v>5945.696670803226</v>
      </c>
      <c r="AA177" s="65">
        <v>5945.696670803226</v>
      </c>
      <c r="AB177" s="65">
        <v>5945.696670803226</v>
      </c>
      <c r="AC177" s="65">
        <v>5945.696670803226</v>
      </c>
      <c r="AD177" s="65">
        <v>5945.696670803226</v>
      </c>
      <c r="AE177" s="65">
        <v>5945.696670803226</v>
      </c>
      <c r="AF177" s="65">
        <v>5945.696670803226</v>
      </c>
      <c r="AG177" s="43">
        <f>+SUM(I177:AF177)*H177</f>
        <v>142696.72009927742</v>
      </c>
    </row>
    <row r="178" spans="2:33" ht="15" thickBot="1" x14ac:dyDescent="0.3">
      <c r="B178">
        <f t="shared" si="52"/>
        <v>10</v>
      </c>
      <c r="C178">
        <f t="shared" si="53"/>
        <v>2029</v>
      </c>
      <c r="D178" t="str">
        <f>+_xlfn.CONCAT(E178,G178)</f>
        <v>47392TOTAL</v>
      </c>
      <c r="E178" s="68">
        <v>47392</v>
      </c>
      <c r="F178" s="61"/>
      <c r="G178" s="44" t="s">
        <v>10</v>
      </c>
      <c r="H178" s="44">
        <f>+SUM(H174:H177)</f>
        <v>31</v>
      </c>
      <c r="I178" s="45">
        <f t="shared" ref="I178:AF178" si="73">+SUMPRODUCT(I174:I177,$H174:$H177)</f>
        <v>184316.59679489999</v>
      </c>
      <c r="J178" s="45">
        <f t="shared" si="73"/>
        <v>184316.59679489999</v>
      </c>
      <c r="K178" s="45">
        <f t="shared" si="73"/>
        <v>184316.59679489999</v>
      </c>
      <c r="L178" s="45">
        <f t="shared" si="73"/>
        <v>184316.59679489999</v>
      </c>
      <c r="M178" s="45">
        <f t="shared" si="73"/>
        <v>184316.59679489999</v>
      </c>
      <c r="N178" s="45">
        <f t="shared" si="73"/>
        <v>184316.59679489999</v>
      </c>
      <c r="O178" s="45">
        <f t="shared" si="73"/>
        <v>184316.59679489999</v>
      </c>
      <c r="P178" s="45">
        <f t="shared" si="73"/>
        <v>184316.59679489999</v>
      </c>
      <c r="Q178" s="45">
        <f t="shared" si="73"/>
        <v>184316.59679489999</v>
      </c>
      <c r="R178" s="45">
        <f t="shared" si="73"/>
        <v>184316.59679489999</v>
      </c>
      <c r="S178" s="45">
        <f t="shared" si="73"/>
        <v>184316.59679489999</v>
      </c>
      <c r="T178" s="45">
        <f t="shared" si="73"/>
        <v>184316.59679489999</v>
      </c>
      <c r="U178" s="45">
        <f t="shared" si="73"/>
        <v>184316.59679489999</v>
      </c>
      <c r="V178" s="45">
        <f t="shared" si="73"/>
        <v>184316.59679489999</v>
      </c>
      <c r="W178" s="45">
        <f t="shared" si="73"/>
        <v>184316.59679489999</v>
      </c>
      <c r="X178" s="45">
        <f t="shared" si="73"/>
        <v>184316.59679489999</v>
      </c>
      <c r="Y178" s="45">
        <f t="shared" si="73"/>
        <v>184316.59679489999</v>
      </c>
      <c r="Z178" s="45">
        <f t="shared" si="73"/>
        <v>184316.59679489999</v>
      </c>
      <c r="AA178" s="45">
        <f t="shared" si="73"/>
        <v>184316.59679489999</v>
      </c>
      <c r="AB178" s="45">
        <f t="shared" si="73"/>
        <v>184316.59679489999</v>
      </c>
      <c r="AC178" s="45">
        <f t="shared" si="73"/>
        <v>184316.59679489999</v>
      </c>
      <c r="AD178" s="45">
        <f t="shared" si="73"/>
        <v>184316.59679489999</v>
      </c>
      <c r="AE178" s="45">
        <f t="shared" si="73"/>
        <v>184316.59679489999</v>
      </c>
      <c r="AF178" s="45">
        <f t="shared" si="73"/>
        <v>184316.59679489999</v>
      </c>
      <c r="AG178" s="46">
        <f>SUM(I178:AF178)</f>
        <v>4423598.3230775995</v>
      </c>
    </row>
    <row r="179" spans="2:33" ht="14.4" x14ac:dyDescent="0.25">
      <c r="B179">
        <f t="shared" si="52"/>
        <v>11</v>
      </c>
      <c r="C179">
        <f t="shared" si="53"/>
        <v>2029</v>
      </c>
      <c r="D179" t="str">
        <f t="shared" ref="D179:D182" si="74">+_xlfn.CONCAT(B179:C179,G179)</f>
        <v>112029OR</v>
      </c>
      <c r="E179" s="67">
        <v>47423</v>
      </c>
      <c r="F179" s="72">
        <f>+AG183</f>
        <v>4514025.1037688004</v>
      </c>
      <c r="G179" s="37" t="s">
        <v>57</v>
      </c>
      <c r="H179" s="37">
        <v>20</v>
      </c>
      <c r="I179" s="65">
        <v>6269.4793107900014</v>
      </c>
      <c r="J179" s="65">
        <v>6269.4793107900014</v>
      </c>
      <c r="K179" s="65">
        <v>6269.4793107900014</v>
      </c>
      <c r="L179" s="65">
        <v>6269.4793107900014</v>
      </c>
      <c r="M179" s="65">
        <v>6269.4793107900014</v>
      </c>
      <c r="N179" s="65">
        <v>6269.4793107900014</v>
      </c>
      <c r="O179" s="65">
        <v>6269.4793107900014</v>
      </c>
      <c r="P179" s="65">
        <v>6269.4793107900014</v>
      </c>
      <c r="Q179" s="65">
        <v>6269.4793107900014</v>
      </c>
      <c r="R179" s="65">
        <v>6269.4793107900014</v>
      </c>
      <c r="S179" s="65">
        <v>6269.4793107900014</v>
      </c>
      <c r="T179" s="65">
        <v>6269.4793107900014</v>
      </c>
      <c r="U179" s="65">
        <v>6269.4793107900014</v>
      </c>
      <c r="V179" s="65">
        <v>6269.4793107900014</v>
      </c>
      <c r="W179" s="65">
        <v>6269.4793107900014</v>
      </c>
      <c r="X179" s="65">
        <v>6269.4793107900014</v>
      </c>
      <c r="Y179" s="65">
        <v>6269.4793107900014</v>
      </c>
      <c r="Z179" s="65">
        <v>6269.4793107900014</v>
      </c>
      <c r="AA179" s="65">
        <v>6269.4793107900014</v>
      </c>
      <c r="AB179" s="65">
        <v>6269.4793107900014</v>
      </c>
      <c r="AC179" s="65">
        <v>6269.4793107900014</v>
      </c>
      <c r="AD179" s="65">
        <v>6269.4793107900014</v>
      </c>
      <c r="AE179" s="65">
        <v>6269.4793107900014</v>
      </c>
      <c r="AF179" s="65">
        <v>6269.4793107900014</v>
      </c>
      <c r="AG179" s="38">
        <f>+SUM(I179:AF179)*H179</f>
        <v>3009350.0691792006</v>
      </c>
    </row>
    <row r="180" spans="2:33" ht="14.4" x14ac:dyDescent="0.25">
      <c r="B180">
        <f t="shared" si="52"/>
        <v>11</v>
      </c>
      <c r="C180">
        <f t="shared" si="53"/>
        <v>2029</v>
      </c>
      <c r="D180" t="str">
        <f t="shared" si="74"/>
        <v>112029SA</v>
      </c>
      <c r="E180" s="68">
        <v>47423</v>
      </c>
      <c r="F180" s="73"/>
      <c r="G180" s="39" t="s">
        <v>60</v>
      </c>
      <c r="H180" s="39">
        <v>4</v>
      </c>
      <c r="I180" s="65">
        <v>6269.4793107899995</v>
      </c>
      <c r="J180" s="65">
        <v>6269.4793107899995</v>
      </c>
      <c r="K180" s="65">
        <v>6269.4793107899995</v>
      </c>
      <c r="L180" s="65">
        <v>6269.4793107899995</v>
      </c>
      <c r="M180" s="65">
        <v>6269.4793107899995</v>
      </c>
      <c r="N180" s="65">
        <v>6269.4793107899995</v>
      </c>
      <c r="O180" s="65">
        <v>6269.4793107899995</v>
      </c>
      <c r="P180" s="65">
        <v>6269.4793107899995</v>
      </c>
      <c r="Q180" s="65">
        <v>6269.4793107899995</v>
      </c>
      <c r="R180" s="65">
        <v>6269.4793107899995</v>
      </c>
      <c r="S180" s="65">
        <v>6269.4793107899995</v>
      </c>
      <c r="T180" s="65">
        <v>6269.4793107899995</v>
      </c>
      <c r="U180" s="65">
        <v>6269.4793107899995</v>
      </c>
      <c r="V180" s="65">
        <v>6269.4793107899995</v>
      </c>
      <c r="W180" s="65">
        <v>6269.4793107899995</v>
      </c>
      <c r="X180" s="65">
        <v>6269.4793107899995</v>
      </c>
      <c r="Y180" s="65">
        <v>6269.4793107899995</v>
      </c>
      <c r="Z180" s="65">
        <v>6269.4793107899995</v>
      </c>
      <c r="AA180" s="65">
        <v>6269.4793107899995</v>
      </c>
      <c r="AB180" s="65">
        <v>6269.4793107899995</v>
      </c>
      <c r="AC180" s="65">
        <v>6269.4793107899995</v>
      </c>
      <c r="AD180" s="65">
        <v>6269.4793107899995</v>
      </c>
      <c r="AE180" s="65">
        <v>6269.4793107899995</v>
      </c>
      <c r="AF180" s="65">
        <v>6269.4793107899995</v>
      </c>
      <c r="AG180" s="40">
        <f>+SUM(I180:AF180)*H180</f>
        <v>601870.01383583993</v>
      </c>
    </row>
    <row r="181" spans="2:33" ht="14.4" x14ac:dyDescent="0.25">
      <c r="B181">
        <f t="shared" si="52"/>
        <v>11</v>
      </c>
      <c r="C181">
        <f t="shared" si="53"/>
        <v>2029</v>
      </c>
      <c r="D181" t="str">
        <f t="shared" si="74"/>
        <v>112029DO</v>
      </c>
      <c r="E181" s="68">
        <v>47423</v>
      </c>
      <c r="F181" s="73"/>
      <c r="G181" s="41" t="s">
        <v>58</v>
      </c>
      <c r="H181" s="41">
        <v>4</v>
      </c>
      <c r="I181" s="65">
        <v>6269.4793107899995</v>
      </c>
      <c r="J181" s="65">
        <v>6269.4793107899995</v>
      </c>
      <c r="K181" s="65">
        <v>6269.4793107899995</v>
      </c>
      <c r="L181" s="65">
        <v>6269.4793107899995</v>
      </c>
      <c r="M181" s="65">
        <v>6269.4793107899995</v>
      </c>
      <c r="N181" s="65">
        <v>6269.4793107899995</v>
      </c>
      <c r="O181" s="65">
        <v>6269.4793107899995</v>
      </c>
      <c r="P181" s="65">
        <v>6269.4793107899995</v>
      </c>
      <c r="Q181" s="65">
        <v>6269.4793107899995</v>
      </c>
      <c r="R181" s="65">
        <v>6269.4793107899995</v>
      </c>
      <c r="S181" s="65">
        <v>6269.4793107899995</v>
      </c>
      <c r="T181" s="65">
        <v>6269.4793107899995</v>
      </c>
      <c r="U181" s="65">
        <v>6269.4793107899995</v>
      </c>
      <c r="V181" s="65">
        <v>6269.4793107899995</v>
      </c>
      <c r="W181" s="65">
        <v>6269.4793107899995</v>
      </c>
      <c r="X181" s="65">
        <v>6269.4793107899995</v>
      </c>
      <c r="Y181" s="65">
        <v>6269.4793107899995</v>
      </c>
      <c r="Z181" s="65">
        <v>6269.4793107899995</v>
      </c>
      <c r="AA181" s="65">
        <v>6269.4793107899995</v>
      </c>
      <c r="AB181" s="65">
        <v>6269.4793107899995</v>
      </c>
      <c r="AC181" s="65">
        <v>6269.4793107899995</v>
      </c>
      <c r="AD181" s="65">
        <v>6269.4793107899995</v>
      </c>
      <c r="AE181" s="65">
        <v>6269.4793107899995</v>
      </c>
      <c r="AF181" s="65">
        <v>6269.4793107899995</v>
      </c>
      <c r="AG181" s="40">
        <f>+SUM(I181:AF181)*H181</f>
        <v>601870.01383583993</v>
      </c>
    </row>
    <row r="182" spans="2:33" ht="14.4" x14ac:dyDescent="0.25">
      <c r="B182">
        <f t="shared" si="52"/>
        <v>11</v>
      </c>
      <c r="C182">
        <f t="shared" si="53"/>
        <v>2029</v>
      </c>
      <c r="D182" t="str">
        <f t="shared" si="74"/>
        <v>112029FE</v>
      </c>
      <c r="E182" s="68">
        <v>47423</v>
      </c>
      <c r="F182" s="73"/>
      <c r="G182" s="42" t="s">
        <v>59</v>
      </c>
      <c r="H182" s="42">
        <v>2</v>
      </c>
      <c r="I182" s="65">
        <v>6269.4793107899995</v>
      </c>
      <c r="J182" s="65">
        <v>6269.4793107899995</v>
      </c>
      <c r="K182" s="65">
        <v>6269.4793107899995</v>
      </c>
      <c r="L182" s="65">
        <v>6269.4793107899995</v>
      </c>
      <c r="M182" s="65">
        <v>6269.4793107899995</v>
      </c>
      <c r="N182" s="65">
        <v>6269.4793107899995</v>
      </c>
      <c r="O182" s="65">
        <v>6269.4793107899995</v>
      </c>
      <c r="P182" s="65">
        <v>6269.4793107899995</v>
      </c>
      <c r="Q182" s="65">
        <v>6269.4793107899995</v>
      </c>
      <c r="R182" s="65">
        <v>6269.4793107899995</v>
      </c>
      <c r="S182" s="65">
        <v>6269.4793107899995</v>
      </c>
      <c r="T182" s="65">
        <v>6269.4793107899995</v>
      </c>
      <c r="U182" s="65">
        <v>6269.4793107899995</v>
      </c>
      <c r="V182" s="65">
        <v>6269.4793107899995</v>
      </c>
      <c r="W182" s="65">
        <v>6269.4793107899995</v>
      </c>
      <c r="X182" s="65">
        <v>6269.4793107899995</v>
      </c>
      <c r="Y182" s="65">
        <v>6269.4793107899995</v>
      </c>
      <c r="Z182" s="65">
        <v>6269.4793107899995</v>
      </c>
      <c r="AA182" s="65">
        <v>6269.4793107899995</v>
      </c>
      <c r="AB182" s="65">
        <v>6269.4793107899995</v>
      </c>
      <c r="AC182" s="65">
        <v>6269.4793107899995</v>
      </c>
      <c r="AD182" s="65">
        <v>6269.4793107899995</v>
      </c>
      <c r="AE182" s="65">
        <v>6269.4793107899995</v>
      </c>
      <c r="AF182" s="65">
        <v>6269.4793107899995</v>
      </c>
      <c r="AG182" s="43">
        <f>+SUM(I182:AF182)*H182</f>
        <v>300935.00691791996</v>
      </c>
    </row>
    <row r="183" spans="2:33" ht="15" thickBot="1" x14ac:dyDescent="0.3">
      <c r="B183">
        <f t="shared" si="52"/>
        <v>11</v>
      </c>
      <c r="C183">
        <f t="shared" si="53"/>
        <v>2029</v>
      </c>
      <c r="D183" t="str">
        <f>+_xlfn.CONCAT(E183,G183)</f>
        <v>47423TOTAL</v>
      </c>
      <c r="E183" s="68">
        <v>47423</v>
      </c>
      <c r="F183" s="61"/>
      <c r="G183" s="44" t="s">
        <v>10</v>
      </c>
      <c r="H183" s="44">
        <f>+SUM(H179:H182)</f>
        <v>30</v>
      </c>
      <c r="I183" s="45">
        <f t="shared" ref="I183:AF183" si="75">+SUMPRODUCT(I179:I182,$H179:$H182)</f>
        <v>188084.37932370001</v>
      </c>
      <c r="J183" s="45">
        <f t="shared" si="75"/>
        <v>188084.37932370001</v>
      </c>
      <c r="K183" s="45">
        <f t="shared" si="75"/>
        <v>188084.37932370001</v>
      </c>
      <c r="L183" s="45">
        <f t="shared" si="75"/>
        <v>188084.37932370001</v>
      </c>
      <c r="M183" s="45">
        <f t="shared" si="75"/>
        <v>188084.37932370001</v>
      </c>
      <c r="N183" s="45">
        <f t="shared" si="75"/>
        <v>188084.37932370001</v>
      </c>
      <c r="O183" s="45">
        <f t="shared" si="75"/>
        <v>188084.37932370001</v>
      </c>
      <c r="P183" s="45">
        <f t="shared" si="75"/>
        <v>188084.37932370001</v>
      </c>
      <c r="Q183" s="45">
        <f t="shared" si="75"/>
        <v>188084.37932370001</v>
      </c>
      <c r="R183" s="45">
        <f t="shared" si="75"/>
        <v>188084.37932370001</v>
      </c>
      <c r="S183" s="45">
        <f t="shared" si="75"/>
        <v>188084.37932370001</v>
      </c>
      <c r="T183" s="45">
        <f t="shared" si="75"/>
        <v>188084.37932370001</v>
      </c>
      <c r="U183" s="45">
        <f t="shared" si="75"/>
        <v>188084.37932370001</v>
      </c>
      <c r="V183" s="45">
        <f t="shared" si="75"/>
        <v>188084.37932370001</v>
      </c>
      <c r="W183" s="45">
        <f t="shared" si="75"/>
        <v>188084.37932370001</v>
      </c>
      <c r="X183" s="45">
        <f t="shared" si="75"/>
        <v>188084.37932370001</v>
      </c>
      <c r="Y183" s="45">
        <f t="shared" si="75"/>
        <v>188084.37932370001</v>
      </c>
      <c r="Z183" s="45">
        <f t="shared" si="75"/>
        <v>188084.37932370001</v>
      </c>
      <c r="AA183" s="45">
        <f t="shared" si="75"/>
        <v>188084.37932370001</v>
      </c>
      <c r="AB183" s="45">
        <f t="shared" si="75"/>
        <v>188084.37932370001</v>
      </c>
      <c r="AC183" s="45">
        <f t="shared" si="75"/>
        <v>188084.37932370001</v>
      </c>
      <c r="AD183" s="45">
        <f t="shared" si="75"/>
        <v>188084.37932370001</v>
      </c>
      <c r="AE183" s="45">
        <f t="shared" si="75"/>
        <v>188084.37932370001</v>
      </c>
      <c r="AF183" s="45">
        <f t="shared" si="75"/>
        <v>188084.37932370001</v>
      </c>
      <c r="AG183" s="46">
        <f>SUM(I183:AF183)</f>
        <v>4514025.1037688004</v>
      </c>
    </row>
    <row r="184" spans="2:33" ht="14.4" x14ac:dyDescent="0.25">
      <c r="B184">
        <f t="shared" si="52"/>
        <v>12</v>
      </c>
      <c r="C184">
        <f t="shared" si="53"/>
        <v>2029</v>
      </c>
      <c r="D184" t="str">
        <f t="shared" ref="D184:D187" si="76">+_xlfn.CONCAT(B184:C184,G184)</f>
        <v>122029OR</v>
      </c>
      <c r="E184" s="67">
        <v>47453</v>
      </c>
      <c r="F184" s="72">
        <f>+AG188</f>
        <v>4510700.5897728028</v>
      </c>
      <c r="G184" s="37" t="s">
        <v>57</v>
      </c>
      <c r="H184" s="37">
        <v>20</v>
      </c>
      <c r="I184" s="65">
        <v>6062.7696099096784</v>
      </c>
      <c r="J184" s="65">
        <v>6062.7696099096784</v>
      </c>
      <c r="K184" s="65">
        <v>6062.7696099096784</v>
      </c>
      <c r="L184" s="65">
        <v>6062.7696099096784</v>
      </c>
      <c r="M184" s="65">
        <v>6062.7696099096784</v>
      </c>
      <c r="N184" s="65">
        <v>6062.7696099096784</v>
      </c>
      <c r="O184" s="65">
        <v>6062.7696099096784</v>
      </c>
      <c r="P184" s="65">
        <v>6062.7696099096784</v>
      </c>
      <c r="Q184" s="65">
        <v>6062.7696099096784</v>
      </c>
      <c r="R184" s="65">
        <v>6062.7696099096784</v>
      </c>
      <c r="S184" s="65">
        <v>6062.7696099096784</v>
      </c>
      <c r="T184" s="65">
        <v>6062.7696099096784</v>
      </c>
      <c r="U184" s="65">
        <v>6062.7696099096784</v>
      </c>
      <c r="V184" s="65">
        <v>6062.7696099096784</v>
      </c>
      <c r="W184" s="65">
        <v>6062.7696099096784</v>
      </c>
      <c r="X184" s="65">
        <v>6062.7696099096784</v>
      </c>
      <c r="Y184" s="65">
        <v>6062.7696099096784</v>
      </c>
      <c r="Z184" s="65">
        <v>6062.7696099096784</v>
      </c>
      <c r="AA184" s="65">
        <v>6062.7696099096784</v>
      </c>
      <c r="AB184" s="65">
        <v>6062.7696099096784</v>
      </c>
      <c r="AC184" s="65">
        <v>6062.7696099096784</v>
      </c>
      <c r="AD184" s="65">
        <v>6062.7696099096784</v>
      </c>
      <c r="AE184" s="65">
        <v>6062.7696099096784</v>
      </c>
      <c r="AF184" s="65">
        <v>6062.7696099096784</v>
      </c>
      <c r="AG184" s="38">
        <f>+SUM(I184:AF184)*H184</f>
        <v>2910129.4127566456</v>
      </c>
    </row>
    <row r="185" spans="2:33" ht="14.4" x14ac:dyDescent="0.25">
      <c r="B185">
        <f t="shared" si="52"/>
        <v>12</v>
      </c>
      <c r="C185">
        <f t="shared" si="53"/>
        <v>2029</v>
      </c>
      <c r="D185" t="str">
        <f t="shared" si="76"/>
        <v>122029SA</v>
      </c>
      <c r="E185" s="68">
        <v>47453</v>
      </c>
      <c r="F185" s="73"/>
      <c r="G185" s="39" t="s">
        <v>60</v>
      </c>
      <c r="H185" s="39">
        <v>4</v>
      </c>
      <c r="I185" s="65">
        <v>6062.7696099096775</v>
      </c>
      <c r="J185" s="65">
        <v>6062.7696099096775</v>
      </c>
      <c r="K185" s="65">
        <v>6062.7696099096775</v>
      </c>
      <c r="L185" s="65">
        <v>6062.7696099096775</v>
      </c>
      <c r="M185" s="65">
        <v>6062.7696099096775</v>
      </c>
      <c r="N185" s="65">
        <v>6062.7696099096775</v>
      </c>
      <c r="O185" s="65">
        <v>6062.7696099096775</v>
      </c>
      <c r="P185" s="65">
        <v>6062.7696099096775</v>
      </c>
      <c r="Q185" s="65">
        <v>6062.7696099096775</v>
      </c>
      <c r="R185" s="65">
        <v>6062.7696099096775</v>
      </c>
      <c r="S185" s="65">
        <v>6062.7696099096775</v>
      </c>
      <c r="T185" s="65">
        <v>6062.7696099096775</v>
      </c>
      <c r="U185" s="65">
        <v>6062.7696099096775</v>
      </c>
      <c r="V185" s="65">
        <v>6062.7696099096775</v>
      </c>
      <c r="W185" s="65">
        <v>6062.7696099096775</v>
      </c>
      <c r="X185" s="65">
        <v>6062.7696099096775</v>
      </c>
      <c r="Y185" s="65">
        <v>6062.7696099096775</v>
      </c>
      <c r="Z185" s="65">
        <v>6062.7696099096775</v>
      </c>
      <c r="AA185" s="65">
        <v>6062.7696099096775</v>
      </c>
      <c r="AB185" s="65">
        <v>6062.7696099096775</v>
      </c>
      <c r="AC185" s="65">
        <v>6062.7696099096775</v>
      </c>
      <c r="AD185" s="65">
        <v>6062.7696099096775</v>
      </c>
      <c r="AE185" s="65">
        <v>6062.7696099096775</v>
      </c>
      <c r="AF185" s="65">
        <v>6062.7696099096775</v>
      </c>
      <c r="AG185" s="40">
        <f>+SUM(I185:AF185)*H185</f>
        <v>582025.88255132909</v>
      </c>
    </row>
    <row r="186" spans="2:33" ht="14.4" x14ac:dyDescent="0.25">
      <c r="B186">
        <f t="shared" si="52"/>
        <v>12</v>
      </c>
      <c r="C186">
        <f t="shared" si="53"/>
        <v>2029</v>
      </c>
      <c r="D186" t="str">
        <f t="shared" si="76"/>
        <v>122029DO</v>
      </c>
      <c r="E186" s="68">
        <v>47453</v>
      </c>
      <c r="F186" s="73"/>
      <c r="G186" s="41" t="s">
        <v>58</v>
      </c>
      <c r="H186" s="41">
        <v>5</v>
      </c>
      <c r="I186" s="65">
        <v>6062.7696099096775</v>
      </c>
      <c r="J186" s="65">
        <v>6062.7696099096775</v>
      </c>
      <c r="K186" s="65">
        <v>6062.7696099096775</v>
      </c>
      <c r="L186" s="65">
        <v>6062.7696099096775</v>
      </c>
      <c r="M186" s="65">
        <v>6062.7696099096775</v>
      </c>
      <c r="N186" s="65">
        <v>6062.7696099096775</v>
      </c>
      <c r="O186" s="65">
        <v>6062.7696099096775</v>
      </c>
      <c r="P186" s="65">
        <v>6062.7696099096775</v>
      </c>
      <c r="Q186" s="65">
        <v>6062.7696099096775</v>
      </c>
      <c r="R186" s="65">
        <v>6062.7696099096775</v>
      </c>
      <c r="S186" s="65">
        <v>6062.7696099096775</v>
      </c>
      <c r="T186" s="65">
        <v>6062.7696099096775</v>
      </c>
      <c r="U186" s="65">
        <v>6062.7696099096775</v>
      </c>
      <c r="V186" s="65">
        <v>6062.7696099096775</v>
      </c>
      <c r="W186" s="65">
        <v>6062.7696099096775</v>
      </c>
      <c r="X186" s="65">
        <v>6062.7696099096775</v>
      </c>
      <c r="Y186" s="65">
        <v>6062.7696099096775</v>
      </c>
      <c r="Z186" s="65">
        <v>6062.7696099096775</v>
      </c>
      <c r="AA186" s="65">
        <v>6062.7696099096775</v>
      </c>
      <c r="AB186" s="65">
        <v>6062.7696099096775</v>
      </c>
      <c r="AC186" s="65">
        <v>6062.7696099096775</v>
      </c>
      <c r="AD186" s="65">
        <v>6062.7696099096775</v>
      </c>
      <c r="AE186" s="65">
        <v>6062.7696099096775</v>
      </c>
      <c r="AF186" s="65">
        <v>6062.7696099096775</v>
      </c>
      <c r="AG186" s="40">
        <f>+SUM(I186:AF186)*H186</f>
        <v>727532.3531891614</v>
      </c>
    </row>
    <row r="187" spans="2:33" ht="14.4" x14ac:dyDescent="0.25">
      <c r="B187">
        <f t="shared" si="52"/>
        <v>12</v>
      </c>
      <c r="C187">
        <f t="shared" si="53"/>
        <v>2029</v>
      </c>
      <c r="D187" t="str">
        <f t="shared" si="76"/>
        <v>122029FE</v>
      </c>
      <c r="E187" s="68">
        <v>47453</v>
      </c>
      <c r="F187" s="73"/>
      <c r="G187" s="42" t="s">
        <v>59</v>
      </c>
      <c r="H187" s="42">
        <v>2</v>
      </c>
      <c r="I187" s="65">
        <v>6062.7696099096775</v>
      </c>
      <c r="J187" s="65">
        <v>6062.7696099096775</v>
      </c>
      <c r="K187" s="65">
        <v>6062.7696099096775</v>
      </c>
      <c r="L187" s="65">
        <v>6062.7696099096775</v>
      </c>
      <c r="M187" s="65">
        <v>6062.7696099096775</v>
      </c>
      <c r="N187" s="65">
        <v>6062.7696099096775</v>
      </c>
      <c r="O187" s="65">
        <v>6062.7696099096775</v>
      </c>
      <c r="P187" s="65">
        <v>6062.7696099096775</v>
      </c>
      <c r="Q187" s="65">
        <v>6062.7696099096775</v>
      </c>
      <c r="R187" s="65">
        <v>6062.7696099096775</v>
      </c>
      <c r="S187" s="65">
        <v>6062.7696099096775</v>
      </c>
      <c r="T187" s="65">
        <v>6062.7696099096775</v>
      </c>
      <c r="U187" s="65">
        <v>6062.7696099096775</v>
      </c>
      <c r="V187" s="65">
        <v>6062.7696099096775</v>
      </c>
      <c r="W187" s="65">
        <v>6062.7696099096775</v>
      </c>
      <c r="X187" s="65">
        <v>6062.7696099096775</v>
      </c>
      <c r="Y187" s="65">
        <v>6062.7696099096775</v>
      </c>
      <c r="Z187" s="65">
        <v>6062.7696099096775</v>
      </c>
      <c r="AA187" s="65">
        <v>6062.7696099096775</v>
      </c>
      <c r="AB187" s="65">
        <v>6062.7696099096775</v>
      </c>
      <c r="AC187" s="65">
        <v>6062.7696099096775</v>
      </c>
      <c r="AD187" s="65">
        <v>6062.7696099096775</v>
      </c>
      <c r="AE187" s="65">
        <v>6062.7696099096775</v>
      </c>
      <c r="AF187" s="65">
        <v>6062.7696099096775</v>
      </c>
      <c r="AG187" s="43">
        <f>+SUM(I187:AF187)*H187</f>
        <v>291012.94127566455</v>
      </c>
    </row>
    <row r="188" spans="2:33" ht="15" thickBot="1" x14ac:dyDescent="0.3">
      <c r="D188" t="str">
        <f>+_xlfn.CONCAT(E188,G188)</f>
        <v>47453TOTAL</v>
      </c>
      <c r="E188" s="68">
        <v>47453</v>
      </c>
      <c r="F188" s="74"/>
      <c r="G188" s="44" t="s">
        <v>10</v>
      </c>
      <c r="H188" s="44">
        <f>+SUM(H184:H187)</f>
        <v>31</v>
      </c>
      <c r="I188" s="45">
        <f t="shared" ref="I188:AF188" si="77">+SUMPRODUCT(I184:I187,$H184:$H187)</f>
        <v>187945.85790720003</v>
      </c>
      <c r="J188" s="45">
        <f t="shared" si="77"/>
        <v>187945.85790720003</v>
      </c>
      <c r="K188" s="45">
        <f t="shared" si="77"/>
        <v>187945.85790720003</v>
      </c>
      <c r="L188" s="45">
        <f t="shared" si="77"/>
        <v>187945.85790720003</v>
      </c>
      <c r="M188" s="45">
        <f t="shared" si="77"/>
        <v>187945.85790720003</v>
      </c>
      <c r="N188" s="45">
        <f t="shared" si="77"/>
        <v>187945.85790720003</v>
      </c>
      <c r="O188" s="45">
        <f t="shared" si="77"/>
        <v>187945.85790720003</v>
      </c>
      <c r="P188" s="45">
        <f t="shared" si="77"/>
        <v>187945.85790720003</v>
      </c>
      <c r="Q188" s="45">
        <f t="shared" si="77"/>
        <v>187945.85790720003</v>
      </c>
      <c r="R188" s="45">
        <f t="shared" si="77"/>
        <v>187945.85790720003</v>
      </c>
      <c r="S188" s="45">
        <f t="shared" si="77"/>
        <v>187945.85790720003</v>
      </c>
      <c r="T188" s="45">
        <f t="shared" si="77"/>
        <v>187945.85790720003</v>
      </c>
      <c r="U188" s="45">
        <f t="shared" si="77"/>
        <v>187945.85790720003</v>
      </c>
      <c r="V188" s="45">
        <f t="shared" si="77"/>
        <v>187945.85790720003</v>
      </c>
      <c r="W188" s="45">
        <f t="shared" si="77"/>
        <v>187945.85790720003</v>
      </c>
      <c r="X188" s="45">
        <f t="shared" si="77"/>
        <v>187945.85790720003</v>
      </c>
      <c r="Y188" s="45">
        <f t="shared" si="77"/>
        <v>187945.85790720003</v>
      </c>
      <c r="Z188" s="45">
        <f t="shared" si="77"/>
        <v>187945.85790720003</v>
      </c>
      <c r="AA188" s="45">
        <f t="shared" si="77"/>
        <v>187945.85790720003</v>
      </c>
      <c r="AB188" s="45">
        <f t="shared" si="77"/>
        <v>187945.85790720003</v>
      </c>
      <c r="AC188" s="45">
        <f t="shared" si="77"/>
        <v>187945.85790720003</v>
      </c>
      <c r="AD188" s="45">
        <f t="shared" si="77"/>
        <v>187945.85790720003</v>
      </c>
      <c r="AE188" s="45">
        <f t="shared" si="77"/>
        <v>187945.85790720003</v>
      </c>
      <c r="AF188" s="45">
        <f t="shared" si="77"/>
        <v>187945.85790720003</v>
      </c>
      <c r="AG188" s="46">
        <f>SUM(I188:AF188)</f>
        <v>4510700.5897728028</v>
      </c>
    </row>
    <row r="189" spans="2:33" ht="14.4" x14ac:dyDescent="0.25">
      <c r="B189">
        <f>+MONTH(E189)</f>
        <v>1</v>
      </c>
      <c r="C189">
        <f>+YEAR(E189)</f>
        <v>2030</v>
      </c>
      <c r="D189" t="str">
        <f>+_xlfn.CONCAT(B189:C189,G189)</f>
        <v>12030OR</v>
      </c>
      <c r="E189" s="67">
        <v>47484</v>
      </c>
      <c r="F189" s="72">
        <f>+AG193</f>
        <v>4555635.9069614401</v>
      </c>
      <c r="G189" s="37" t="s">
        <v>57</v>
      </c>
      <c r="H189" s="37">
        <v>21</v>
      </c>
      <c r="I189" s="65">
        <v>6123.1665416148362</v>
      </c>
      <c r="J189" s="65">
        <v>6123.1665416148362</v>
      </c>
      <c r="K189" s="65">
        <v>6123.1665416148362</v>
      </c>
      <c r="L189" s="65">
        <v>6123.1665416148362</v>
      </c>
      <c r="M189" s="65">
        <v>6123.1665416148362</v>
      </c>
      <c r="N189" s="65">
        <v>6123.1665416148362</v>
      </c>
      <c r="O189" s="65">
        <v>6123.1665416148362</v>
      </c>
      <c r="P189" s="65">
        <v>6123.1665416148362</v>
      </c>
      <c r="Q189" s="65">
        <v>6123.1665416148362</v>
      </c>
      <c r="R189" s="65">
        <v>6123.1665416148362</v>
      </c>
      <c r="S189" s="65">
        <v>6123.1665416148362</v>
      </c>
      <c r="T189" s="65">
        <v>6123.1665416148362</v>
      </c>
      <c r="U189" s="65">
        <v>6123.1665416148362</v>
      </c>
      <c r="V189" s="65">
        <v>6123.1665416148362</v>
      </c>
      <c r="W189" s="65">
        <v>6123.1665416148362</v>
      </c>
      <c r="X189" s="65">
        <v>6123.1665416148362</v>
      </c>
      <c r="Y189" s="65">
        <v>6123.1665416148362</v>
      </c>
      <c r="Z189" s="65">
        <v>6123.1665416148362</v>
      </c>
      <c r="AA189" s="65">
        <v>6123.1665416148362</v>
      </c>
      <c r="AB189" s="65">
        <v>6123.1665416148362</v>
      </c>
      <c r="AC189" s="65">
        <v>6123.1665416148362</v>
      </c>
      <c r="AD189" s="65">
        <v>6123.1665416148362</v>
      </c>
      <c r="AE189" s="65">
        <v>6123.1665416148362</v>
      </c>
      <c r="AF189" s="65">
        <v>6123.1665416148362</v>
      </c>
      <c r="AG189" s="38">
        <f>ROUND(SUM(I189:AF189)*H189,2)</f>
        <v>3086075.94</v>
      </c>
    </row>
    <row r="190" spans="2:33" ht="14.4" x14ac:dyDescent="0.25">
      <c r="B190">
        <f t="shared" ref="B190:B247" si="78">+MONTH(E190)</f>
        <v>1</v>
      </c>
      <c r="C190">
        <f t="shared" ref="C190:C247" si="79">+YEAR(E190)</f>
        <v>2030</v>
      </c>
      <c r="D190" t="str">
        <f t="shared" ref="D190:D192" si="80">+_xlfn.CONCAT(B190:C190,G190)</f>
        <v>12030SA</v>
      </c>
      <c r="E190" s="68">
        <v>47484</v>
      </c>
      <c r="F190" s="73"/>
      <c r="G190" s="39" t="s">
        <v>60</v>
      </c>
      <c r="H190" s="39">
        <v>4</v>
      </c>
      <c r="I190" s="65">
        <v>6123.1665416148389</v>
      </c>
      <c r="J190" s="65">
        <v>6123.1665416148389</v>
      </c>
      <c r="K190" s="65">
        <v>6123.1665416148389</v>
      </c>
      <c r="L190" s="65">
        <v>6123.1665416148389</v>
      </c>
      <c r="M190" s="65">
        <v>6123.1665416148389</v>
      </c>
      <c r="N190" s="65">
        <v>6123.1665416148389</v>
      </c>
      <c r="O190" s="65">
        <v>6123.1665416148389</v>
      </c>
      <c r="P190" s="65">
        <v>6123.1665416148389</v>
      </c>
      <c r="Q190" s="65">
        <v>6123.1665416148389</v>
      </c>
      <c r="R190" s="65">
        <v>6123.1665416148389</v>
      </c>
      <c r="S190" s="65">
        <v>6123.1665416148389</v>
      </c>
      <c r="T190" s="65">
        <v>6123.1665416148389</v>
      </c>
      <c r="U190" s="65">
        <v>6123.1665416148389</v>
      </c>
      <c r="V190" s="65">
        <v>6123.1665416148389</v>
      </c>
      <c r="W190" s="65">
        <v>6123.1665416148389</v>
      </c>
      <c r="X190" s="65">
        <v>6123.1665416148389</v>
      </c>
      <c r="Y190" s="65">
        <v>6123.1665416148389</v>
      </c>
      <c r="Z190" s="65">
        <v>6123.1665416148389</v>
      </c>
      <c r="AA190" s="65">
        <v>6123.1665416148389</v>
      </c>
      <c r="AB190" s="65">
        <v>6123.1665416148389</v>
      </c>
      <c r="AC190" s="65">
        <v>6123.1665416148389</v>
      </c>
      <c r="AD190" s="65">
        <v>6123.1665416148389</v>
      </c>
      <c r="AE190" s="65">
        <v>6123.1665416148389</v>
      </c>
      <c r="AF190" s="65">
        <v>6123.1665416148389</v>
      </c>
      <c r="AG190" s="40">
        <f>ROUND(SUM(I190:AF190)*H190,2)</f>
        <v>587823.99</v>
      </c>
    </row>
    <row r="191" spans="2:33" ht="14.4" x14ac:dyDescent="0.25">
      <c r="B191">
        <f t="shared" si="78"/>
        <v>1</v>
      </c>
      <c r="C191">
        <f t="shared" si="79"/>
        <v>2030</v>
      </c>
      <c r="D191" t="str">
        <f t="shared" si="80"/>
        <v>12030DO</v>
      </c>
      <c r="E191" s="68">
        <v>47484</v>
      </c>
      <c r="F191" s="73"/>
      <c r="G191" s="41" t="s">
        <v>58</v>
      </c>
      <c r="H191" s="41">
        <v>4</v>
      </c>
      <c r="I191" s="65">
        <v>6123.1665416148389</v>
      </c>
      <c r="J191" s="65">
        <v>6123.1665416148389</v>
      </c>
      <c r="K191" s="65">
        <v>6123.1665416148389</v>
      </c>
      <c r="L191" s="65">
        <v>6123.1665416148389</v>
      </c>
      <c r="M191" s="65">
        <v>6123.1665416148389</v>
      </c>
      <c r="N191" s="65">
        <v>6123.1665416148389</v>
      </c>
      <c r="O191" s="65">
        <v>6123.1665416148389</v>
      </c>
      <c r="P191" s="65">
        <v>6123.1665416148389</v>
      </c>
      <c r="Q191" s="65">
        <v>6123.1665416148389</v>
      </c>
      <c r="R191" s="65">
        <v>6123.1665416148389</v>
      </c>
      <c r="S191" s="65">
        <v>6123.1665416148389</v>
      </c>
      <c r="T191" s="65">
        <v>6123.1665416148389</v>
      </c>
      <c r="U191" s="65">
        <v>6123.1665416148389</v>
      </c>
      <c r="V191" s="65">
        <v>6123.1665416148389</v>
      </c>
      <c r="W191" s="65">
        <v>6123.1665416148389</v>
      </c>
      <c r="X191" s="65">
        <v>6123.1665416148389</v>
      </c>
      <c r="Y191" s="65">
        <v>6123.1665416148389</v>
      </c>
      <c r="Z191" s="65">
        <v>6123.1665416148389</v>
      </c>
      <c r="AA191" s="65">
        <v>6123.1665416148389</v>
      </c>
      <c r="AB191" s="65">
        <v>6123.1665416148389</v>
      </c>
      <c r="AC191" s="65">
        <v>6123.1665416148389</v>
      </c>
      <c r="AD191" s="65">
        <v>6123.1665416148389</v>
      </c>
      <c r="AE191" s="65">
        <v>6123.1665416148389</v>
      </c>
      <c r="AF191" s="65">
        <v>6123.1665416148389</v>
      </c>
      <c r="AG191" s="40">
        <f>ROUND(SUM(I191:AF191)*H191,2)</f>
        <v>587823.99</v>
      </c>
    </row>
    <row r="192" spans="2:33" ht="14.4" x14ac:dyDescent="0.25">
      <c r="B192">
        <f t="shared" si="78"/>
        <v>1</v>
      </c>
      <c r="C192">
        <f t="shared" si="79"/>
        <v>2030</v>
      </c>
      <c r="D192" t="str">
        <f t="shared" si="80"/>
        <v>12030FE</v>
      </c>
      <c r="E192" s="68">
        <v>47484</v>
      </c>
      <c r="F192" s="73"/>
      <c r="G192" s="42" t="s">
        <v>59</v>
      </c>
      <c r="H192" s="42">
        <v>2</v>
      </c>
      <c r="I192" s="65">
        <v>6123.1665416148389</v>
      </c>
      <c r="J192" s="65">
        <v>6123.1665416148389</v>
      </c>
      <c r="K192" s="65">
        <v>6123.1665416148389</v>
      </c>
      <c r="L192" s="65">
        <v>6123.1665416148389</v>
      </c>
      <c r="M192" s="65">
        <v>6123.1665416148389</v>
      </c>
      <c r="N192" s="65">
        <v>6123.1665416148389</v>
      </c>
      <c r="O192" s="65">
        <v>6123.1665416148389</v>
      </c>
      <c r="P192" s="65">
        <v>6123.1665416148389</v>
      </c>
      <c r="Q192" s="65">
        <v>6123.1665416148389</v>
      </c>
      <c r="R192" s="65">
        <v>6123.1665416148389</v>
      </c>
      <c r="S192" s="65">
        <v>6123.1665416148389</v>
      </c>
      <c r="T192" s="65">
        <v>6123.1665416148389</v>
      </c>
      <c r="U192" s="65">
        <v>6123.1665416148389</v>
      </c>
      <c r="V192" s="65">
        <v>6123.1665416148389</v>
      </c>
      <c r="W192" s="65">
        <v>6123.1665416148389</v>
      </c>
      <c r="X192" s="65">
        <v>6123.1665416148389</v>
      </c>
      <c r="Y192" s="65">
        <v>6123.1665416148389</v>
      </c>
      <c r="Z192" s="65">
        <v>6123.1665416148389</v>
      </c>
      <c r="AA192" s="65">
        <v>6123.1665416148389</v>
      </c>
      <c r="AB192" s="65">
        <v>6123.1665416148389</v>
      </c>
      <c r="AC192" s="65">
        <v>6123.1665416148389</v>
      </c>
      <c r="AD192" s="65">
        <v>6123.1665416148389</v>
      </c>
      <c r="AE192" s="65">
        <v>6123.1665416148389</v>
      </c>
      <c r="AF192" s="65">
        <v>6123.1665416148389</v>
      </c>
      <c r="AG192" s="43">
        <f>ROUND(SUM(I192:AF192)*H192,2)</f>
        <v>293911.99</v>
      </c>
    </row>
    <row r="193" spans="2:33" ht="15" thickBot="1" x14ac:dyDescent="0.3">
      <c r="B193">
        <f t="shared" si="78"/>
        <v>1</v>
      </c>
      <c r="C193">
        <f t="shared" si="79"/>
        <v>2030</v>
      </c>
      <c r="D193" t="str">
        <f>+_xlfn.CONCAT(E193,G193)</f>
        <v>47484TOTAL</v>
      </c>
      <c r="E193" s="68">
        <v>47484</v>
      </c>
      <c r="F193" s="61"/>
      <c r="G193" s="44" t="s">
        <v>10</v>
      </c>
      <c r="H193" s="44">
        <f>+SUM(H189:H192)</f>
        <v>31</v>
      </c>
      <c r="I193" s="45">
        <f t="shared" ref="I193:AF193" si="81">+SUMPRODUCT(I189:I192,$H189:$H192)</f>
        <v>189818.16279005999</v>
      </c>
      <c r="J193" s="45">
        <f t="shared" si="81"/>
        <v>189818.16279005999</v>
      </c>
      <c r="K193" s="45">
        <f t="shared" si="81"/>
        <v>189818.16279005999</v>
      </c>
      <c r="L193" s="45">
        <f t="shared" si="81"/>
        <v>189818.16279005999</v>
      </c>
      <c r="M193" s="45">
        <f t="shared" si="81"/>
        <v>189818.16279005999</v>
      </c>
      <c r="N193" s="45">
        <f t="shared" si="81"/>
        <v>189818.16279005999</v>
      </c>
      <c r="O193" s="45">
        <f t="shared" si="81"/>
        <v>189818.16279005999</v>
      </c>
      <c r="P193" s="45">
        <f t="shared" si="81"/>
        <v>189818.16279005999</v>
      </c>
      <c r="Q193" s="45">
        <f t="shared" si="81"/>
        <v>189818.16279005999</v>
      </c>
      <c r="R193" s="45">
        <f t="shared" si="81"/>
        <v>189818.16279005999</v>
      </c>
      <c r="S193" s="45">
        <f t="shared" si="81"/>
        <v>189818.16279005999</v>
      </c>
      <c r="T193" s="45">
        <f t="shared" si="81"/>
        <v>189818.16279005999</v>
      </c>
      <c r="U193" s="45">
        <f t="shared" si="81"/>
        <v>189818.16279005999</v>
      </c>
      <c r="V193" s="45">
        <f t="shared" si="81"/>
        <v>189818.16279005999</v>
      </c>
      <c r="W193" s="45">
        <f t="shared" si="81"/>
        <v>189818.16279005999</v>
      </c>
      <c r="X193" s="45">
        <f t="shared" si="81"/>
        <v>189818.16279005999</v>
      </c>
      <c r="Y193" s="45">
        <f t="shared" si="81"/>
        <v>189818.16279005999</v>
      </c>
      <c r="Z193" s="45">
        <f t="shared" si="81"/>
        <v>189818.16279005999</v>
      </c>
      <c r="AA193" s="45">
        <f t="shared" si="81"/>
        <v>189818.16279005999</v>
      </c>
      <c r="AB193" s="45">
        <f t="shared" si="81"/>
        <v>189818.16279005999</v>
      </c>
      <c r="AC193" s="45">
        <f t="shared" si="81"/>
        <v>189818.16279005999</v>
      </c>
      <c r="AD193" s="45">
        <f t="shared" si="81"/>
        <v>189818.16279005999</v>
      </c>
      <c r="AE193" s="45">
        <f t="shared" si="81"/>
        <v>189818.16279005999</v>
      </c>
      <c r="AF193" s="45">
        <f t="shared" si="81"/>
        <v>189818.16279005999</v>
      </c>
      <c r="AG193" s="46">
        <f>SUM(I193:AF193)</f>
        <v>4555635.9069614401</v>
      </c>
    </row>
    <row r="194" spans="2:33" ht="14.4" x14ac:dyDescent="0.25">
      <c r="B194">
        <f t="shared" si="78"/>
        <v>2</v>
      </c>
      <c r="C194">
        <f t="shared" si="79"/>
        <v>2030</v>
      </c>
      <c r="D194" t="str">
        <f t="shared" ref="D194:D197" si="82">+_xlfn.CONCAT(B194:C194,G194)</f>
        <v>22030OR</v>
      </c>
      <c r="E194" s="67">
        <v>47515</v>
      </c>
      <c r="F194" s="72">
        <f>+AG198</f>
        <v>4157898.9968476826</v>
      </c>
      <c r="G194" s="37" t="s">
        <v>57</v>
      </c>
      <c r="H194" s="37">
        <v>20</v>
      </c>
      <c r="I194" s="65">
        <v>6187.3496976900024</v>
      </c>
      <c r="J194" s="65">
        <v>6187.3496976900024</v>
      </c>
      <c r="K194" s="65">
        <v>6187.3496976900024</v>
      </c>
      <c r="L194" s="65">
        <v>6187.3496976900024</v>
      </c>
      <c r="M194" s="65">
        <v>6187.3496976900024</v>
      </c>
      <c r="N194" s="65">
        <v>6187.3496976900024</v>
      </c>
      <c r="O194" s="65">
        <v>6187.3496976900024</v>
      </c>
      <c r="P194" s="65">
        <v>6187.3496976900024</v>
      </c>
      <c r="Q194" s="65">
        <v>6187.3496976900024</v>
      </c>
      <c r="R194" s="65">
        <v>6187.3496976900024</v>
      </c>
      <c r="S194" s="65">
        <v>6187.3496976900024</v>
      </c>
      <c r="T194" s="65">
        <v>6187.3496976900024</v>
      </c>
      <c r="U194" s="65">
        <v>6187.3496976900024</v>
      </c>
      <c r="V194" s="65">
        <v>6187.3496976900024</v>
      </c>
      <c r="W194" s="65">
        <v>6187.3496976900024</v>
      </c>
      <c r="X194" s="65">
        <v>6187.3496976900024</v>
      </c>
      <c r="Y194" s="65">
        <v>6187.3496976900024</v>
      </c>
      <c r="Z194" s="65">
        <v>6187.3496976900024</v>
      </c>
      <c r="AA194" s="65">
        <v>6187.3496976900024</v>
      </c>
      <c r="AB194" s="65">
        <v>6187.3496976900024</v>
      </c>
      <c r="AC194" s="65">
        <v>6187.3496976900024</v>
      </c>
      <c r="AD194" s="65">
        <v>6187.3496976900024</v>
      </c>
      <c r="AE194" s="65">
        <v>6187.3496976900024</v>
      </c>
      <c r="AF194" s="65">
        <v>6187.3496976900024</v>
      </c>
      <c r="AG194" s="38">
        <f>+SUM(I194:AF194)*H194</f>
        <v>2969927.8548912015</v>
      </c>
    </row>
    <row r="195" spans="2:33" ht="14.4" x14ac:dyDescent="0.25">
      <c r="B195">
        <f t="shared" si="78"/>
        <v>2</v>
      </c>
      <c r="C195">
        <f t="shared" si="79"/>
        <v>2030</v>
      </c>
      <c r="D195" t="str">
        <f t="shared" si="82"/>
        <v>22030SA</v>
      </c>
      <c r="E195" s="68">
        <v>47515</v>
      </c>
      <c r="F195" s="73"/>
      <c r="G195" s="39" t="s">
        <v>60</v>
      </c>
      <c r="H195" s="39">
        <v>4</v>
      </c>
      <c r="I195" s="65">
        <v>6187.3496976900005</v>
      </c>
      <c r="J195" s="65">
        <v>6187.3496976900005</v>
      </c>
      <c r="K195" s="65">
        <v>6187.3496976900005</v>
      </c>
      <c r="L195" s="65">
        <v>6187.3496976900005</v>
      </c>
      <c r="M195" s="65">
        <v>6187.3496976900005</v>
      </c>
      <c r="N195" s="65">
        <v>6187.3496976900005</v>
      </c>
      <c r="O195" s="65">
        <v>6187.3496976900005</v>
      </c>
      <c r="P195" s="65">
        <v>6187.3496976900005</v>
      </c>
      <c r="Q195" s="65">
        <v>6187.3496976900005</v>
      </c>
      <c r="R195" s="65">
        <v>6187.3496976900005</v>
      </c>
      <c r="S195" s="65">
        <v>6187.3496976900005</v>
      </c>
      <c r="T195" s="65">
        <v>6187.3496976900005</v>
      </c>
      <c r="U195" s="65">
        <v>6187.3496976900005</v>
      </c>
      <c r="V195" s="65">
        <v>6187.3496976900005</v>
      </c>
      <c r="W195" s="65">
        <v>6187.3496976900005</v>
      </c>
      <c r="X195" s="65">
        <v>6187.3496976900005</v>
      </c>
      <c r="Y195" s="65">
        <v>6187.3496976900005</v>
      </c>
      <c r="Z195" s="65">
        <v>6187.3496976900005</v>
      </c>
      <c r="AA195" s="65">
        <v>6187.3496976900005</v>
      </c>
      <c r="AB195" s="65">
        <v>6187.3496976900005</v>
      </c>
      <c r="AC195" s="65">
        <v>6187.3496976900005</v>
      </c>
      <c r="AD195" s="65">
        <v>6187.3496976900005</v>
      </c>
      <c r="AE195" s="65">
        <v>6187.3496976900005</v>
      </c>
      <c r="AF195" s="65">
        <v>6187.3496976900005</v>
      </c>
      <c r="AG195" s="40">
        <f>+SUM(I195:AF195)*H195</f>
        <v>593985.57097824011</v>
      </c>
    </row>
    <row r="196" spans="2:33" ht="14.4" x14ac:dyDescent="0.25">
      <c r="B196">
        <f t="shared" si="78"/>
        <v>2</v>
      </c>
      <c r="C196">
        <f t="shared" si="79"/>
        <v>2030</v>
      </c>
      <c r="D196" t="str">
        <f t="shared" si="82"/>
        <v>22030DO</v>
      </c>
      <c r="E196" s="68">
        <v>47515</v>
      </c>
      <c r="F196" s="73"/>
      <c r="G196" s="41" t="s">
        <v>58</v>
      </c>
      <c r="H196" s="41">
        <v>4</v>
      </c>
      <c r="I196" s="65">
        <v>6187.3496976900005</v>
      </c>
      <c r="J196" s="65">
        <v>6187.3496976900005</v>
      </c>
      <c r="K196" s="65">
        <v>6187.3496976900005</v>
      </c>
      <c r="L196" s="65">
        <v>6187.3496976900005</v>
      </c>
      <c r="M196" s="65">
        <v>6187.3496976900005</v>
      </c>
      <c r="N196" s="65">
        <v>6187.3496976900005</v>
      </c>
      <c r="O196" s="65">
        <v>6187.3496976900005</v>
      </c>
      <c r="P196" s="65">
        <v>6187.3496976900005</v>
      </c>
      <c r="Q196" s="65">
        <v>6187.3496976900005</v>
      </c>
      <c r="R196" s="65">
        <v>6187.3496976900005</v>
      </c>
      <c r="S196" s="65">
        <v>6187.3496976900005</v>
      </c>
      <c r="T196" s="65">
        <v>6187.3496976900005</v>
      </c>
      <c r="U196" s="65">
        <v>6187.3496976900005</v>
      </c>
      <c r="V196" s="65">
        <v>6187.3496976900005</v>
      </c>
      <c r="W196" s="65">
        <v>6187.3496976900005</v>
      </c>
      <c r="X196" s="65">
        <v>6187.3496976900005</v>
      </c>
      <c r="Y196" s="65">
        <v>6187.3496976900005</v>
      </c>
      <c r="Z196" s="65">
        <v>6187.3496976900005</v>
      </c>
      <c r="AA196" s="65">
        <v>6187.3496976900005</v>
      </c>
      <c r="AB196" s="65">
        <v>6187.3496976900005</v>
      </c>
      <c r="AC196" s="65">
        <v>6187.3496976900005</v>
      </c>
      <c r="AD196" s="65">
        <v>6187.3496976900005</v>
      </c>
      <c r="AE196" s="65">
        <v>6187.3496976900005</v>
      </c>
      <c r="AF196" s="65">
        <v>6187.3496976900005</v>
      </c>
      <c r="AG196" s="40">
        <f>+SUM(I196:AF196)*H196</f>
        <v>593985.57097824011</v>
      </c>
    </row>
    <row r="197" spans="2:33" ht="14.4" x14ac:dyDescent="0.25">
      <c r="B197">
        <f t="shared" si="78"/>
        <v>2</v>
      </c>
      <c r="C197">
        <f t="shared" si="79"/>
        <v>2030</v>
      </c>
      <c r="D197" t="str">
        <f t="shared" si="82"/>
        <v>22030FE</v>
      </c>
      <c r="E197" s="68">
        <v>47515</v>
      </c>
      <c r="F197" s="73"/>
      <c r="G197" s="42" t="s">
        <v>59</v>
      </c>
      <c r="H197" s="42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  <c r="AG197" s="43">
        <f>+SUM(I197:AF197)*H197</f>
        <v>0</v>
      </c>
    </row>
    <row r="198" spans="2:33" ht="15" thickBot="1" x14ac:dyDescent="0.3">
      <c r="B198">
        <f t="shared" si="78"/>
        <v>2</v>
      </c>
      <c r="C198">
        <f t="shared" si="79"/>
        <v>2030</v>
      </c>
      <c r="D198" t="str">
        <f>+_xlfn.CONCAT(E198,G198)</f>
        <v>47515TOTAL</v>
      </c>
      <c r="E198" s="68">
        <v>47515</v>
      </c>
      <c r="F198" s="61"/>
      <c r="G198" s="44" t="s">
        <v>10</v>
      </c>
      <c r="H198" s="44">
        <f>+SUM(H194:H197)</f>
        <v>28</v>
      </c>
      <c r="I198" s="45">
        <f t="shared" ref="I198:AF198" si="83">+SUMPRODUCT(I194:I197,$H194:$H197)</f>
        <v>173245.79153532005</v>
      </c>
      <c r="J198" s="45">
        <f t="shared" si="83"/>
        <v>173245.79153532005</v>
      </c>
      <c r="K198" s="45">
        <f t="shared" si="83"/>
        <v>173245.79153532005</v>
      </c>
      <c r="L198" s="45">
        <f t="shared" si="83"/>
        <v>173245.79153532005</v>
      </c>
      <c r="M198" s="45">
        <f t="shared" si="83"/>
        <v>173245.79153532005</v>
      </c>
      <c r="N198" s="45">
        <f t="shared" si="83"/>
        <v>173245.79153532005</v>
      </c>
      <c r="O198" s="45">
        <f t="shared" si="83"/>
        <v>173245.79153532005</v>
      </c>
      <c r="P198" s="45">
        <f t="shared" si="83"/>
        <v>173245.79153532005</v>
      </c>
      <c r="Q198" s="45">
        <f t="shared" si="83"/>
        <v>173245.79153532005</v>
      </c>
      <c r="R198" s="45">
        <f t="shared" si="83"/>
        <v>173245.79153532005</v>
      </c>
      <c r="S198" s="45">
        <f t="shared" si="83"/>
        <v>173245.79153532005</v>
      </c>
      <c r="T198" s="45">
        <f t="shared" si="83"/>
        <v>173245.79153532005</v>
      </c>
      <c r="U198" s="45">
        <f t="shared" si="83"/>
        <v>173245.79153532005</v>
      </c>
      <c r="V198" s="45">
        <f t="shared" si="83"/>
        <v>173245.79153532005</v>
      </c>
      <c r="W198" s="45">
        <f t="shared" si="83"/>
        <v>173245.79153532005</v>
      </c>
      <c r="X198" s="45">
        <f t="shared" si="83"/>
        <v>173245.79153532005</v>
      </c>
      <c r="Y198" s="45">
        <f t="shared" si="83"/>
        <v>173245.79153532005</v>
      </c>
      <c r="Z198" s="45">
        <f t="shared" si="83"/>
        <v>173245.79153532005</v>
      </c>
      <c r="AA198" s="45">
        <f t="shared" si="83"/>
        <v>173245.79153532005</v>
      </c>
      <c r="AB198" s="45">
        <f t="shared" si="83"/>
        <v>173245.79153532005</v>
      </c>
      <c r="AC198" s="45">
        <f t="shared" si="83"/>
        <v>173245.79153532005</v>
      </c>
      <c r="AD198" s="45">
        <f t="shared" si="83"/>
        <v>173245.79153532005</v>
      </c>
      <c r="AE198" s="45">
        <f t="shared" si="83"/>
        <v>173245.79153532005</v>
      </c>
      <c r="AF198" s="45">
        <f t="shared" si="83"/>
        <v>173245.79153532005</v>
      </c>
      <c r="AG198" s="46">
        <f>SUM(I198:AF198)</f>
        <v>4157898.9968476826</v>
      </c>
    </row>
    <row r="199" spans="2:33" ht="14.4" x14ac:dyDescent="0.25">
      <c r="B199">
        <f t="shared" si="78"/>
        <v>3</v>
      </c>
      <c r="C199">
        <f t="shared" si="79"/>
        <v>2030</v>
      </c>
      <c r="D199" t="str">
        <f t="shared" ref="D199:D202" si="84">+_xlfn.CONCAT(B199:C199,G199)</f>
        <v>32030OR</v>
      </c>
      <c r="E199" s="67">
        <v>47543</v>
      </c>
      <c r="F199" s="72">
        <f>+AG203</f>
        <v>4261166.4477614397</v>
      </c>
      <c r="G199" s="37" t="s">
        <v>57</v>
      </c>
      <c r="H199" s="37">
        <v>20</v>
      </c>
      <c r="I199" s="65">
        <v>5727.3742577438697</v>
      </c>
      <c r="J199" s="65">
        <v>5727.3742577438697</v>
      </c>
      <c r="K199" s="65">
        <v>5727.3742577438697</v>
      </c>
      <c r="L199" s="65">
        <v>5727.3742577438697</v>
      </c>
      <c r="M199" s="65">
        <v>5727.3742577438697</v>
      </c>
      <c r="N199" s="65">
        <v>5727.3742577438697</v>
      </c>
      <c r="O199" s="65">
        <v>5727.3742577438697</v>
      </c>
      <c r="P199" s="65">
        <v>5727.3742577438697</v>
      </c>
      <c r="Q199" s="65">
        <v>5727.3742577438697</v>
      </c>
      <c r="R199" s="65">
        <v>5727.3742577438697</v>
      </c>
      <c r="S199" s="65">
        <v>5727.3742577438697</v>
      </c>
      <c r="T199" s="65">
        <v>5727.3742577438697</v>
      </c>
      <c r="U199" s="65">
        <v>5727.3742577438697</v>
      </c>
      <c r="V199" s="65">
        <v>5727.3742577438697</v>
      </c>
      <c r="W199" s="65">
        <v>5727.3742577438697</v>
      </c>
      <c r="X199" s="65">
        <v>5727.3742577438697</v>
      </c>
      <c r="Y199" s="65">
        <v>5727.3742577438697</v>
      </c>
      <c r="Z199" s="65">
        <v>5727.3742577438697</v>
      </c>
      <c r="AA199" s="65">
        <v>5727.3742577438697</v>
      </c>
      <c r="AB199" s="65">
        <v>5727.3742577438697</v>
      </c>
      <c r="AC199" s="65">
        <v>5727.3742577438697</v>
      </c>
      <c r="AD199" s="65">
        <v>5727.3742577438697</v>
      </c>
      <c r="AE199" s="65">
        <v>5727.3742577438697</v>
      </c>
      <c r="AF199" s="65">
        <v>5727.3742577438697</v>
      </c>
      <c r="AG199" s="38">
        <f>+SUM(I199:AF199)*H199</f>
        <v>2749139.6437170571</v>
      </c>
    </row>
    <row r="200" spans="2:33" ht="14.4" x14ac:dyDescent="0.25">
      <c r="B200">
        <f t="shared" si="78"/>
        <v>3</v>
      </c>
      <c r="C200">
        <f t="shared" si="79"/>
        <v>2030</v>
      </c>
      <c r="D200" t="str">
        <f t="shared" si="84"/>
        <v>32030SA</v>
      </c>
      <c r="E200" s="68">
        <v>47543</v>
      </c>
      <c r="F200" s="73"/>
      <c r="G200" s="39" t="s">
        <v>60</v>
      </c>
      <c r="H200" s="39">
        <v>5</v>
      </c>
      <c r="I200" s="65">
        <v>5727.3742577438716</v>
      </c>
      <c r="J200" s="65">
        <v>5727.3742577438716</v>
      </c>
      <c r="K200" s="65">
        <v>5727.3742577438716</v>
      </c>
      <c r="L200" s="65">
        <v>5727.3742577438716</v>
      </c>
      <c r="M200" s="65">
        <v>5727.3742577438716</v>
      </c>
      <c r="N200" s="65">
        <v>5727.3742577438716</v>
      </c>
      <c r="O200" s="65">
        <v>5727.3742577438716</v>
      </c>
      <c r="P200" s="65">
        <v>5727.3742577438716</v>
      </c>
      <c r="Q200" s="65">
        <v>5727.3742577438716</v>
      </c>
      <c r="R200" s="65">
        <v>5727.3742577438716</v>
      </c>
      <c r="S200" s="65">
        <v>5727.3742577438716</v>
      </c>
      <c r="T200" s="65">
        <v>5727.3742577438716</v>
      </c>
      <c r="U200" s="65">
        <v>5727.3742577438716</v>
      </c>
      <c r="V200" s="65">
        <v>5727.3742577438716</v>
      </c>
      <c r="W200" s="65">
        <v>5727.3742577438716</v>
      </c>
      <c r="X200" s="65">
        <v>5727.3742577438716</v>
      </c>
      <c r="Y200" s="65">
        <v>5727.3742577438716</v>
      </c>
      <c r="Z200" s="65">
        <v>5727.3742577438716</v>
      </c>
      <c r="AA200" s="65">
        <v>5727.3742577438716</v>
      </c>
      <c r="AB200" s="65">
        <v>5727.3742577438716</v>
      </c>
      <c r="AC200" s="65">
        <v>5727.3742577438716</v>
      </c>
      <c r="AD200" s="65">
        <v>5727.3742577438716</v>
      </c>
      <c r="AE200" s="65">
        <v>5727.3742577438716</v>
      </c>
      <c r="AF200" s="65">
        <v>5727.3742577438716</v>
      </c>
      <c r="AG200" s="40">
        <f>+SUM(I200:AF200)*H200</f>
        <v>687284.9109292645</v>
      </c>
    </row>
    <row r="201" spans="2:33" ht="14.4" x14ac:dyDescent="0.25">
      <c r="B201">
        <f t="shared" si="78"/>
        <v>3</v>
      </c>
      <c r="C201">
        <f t="shared" si="79"/>
        <v>2030</v>
      </c>
      <c r="D201" t="str">
        <f t="shared" si="84"/>
        <v>32030DO</v>
      </c>
      <c r="E201" s="68">
        <v>47543</v>
      </c>
      <c r="F201" s="73"/>
      <c r="G201" s="41" t="s">
        <v>58</v>
      </c>
      <c r="H201" s="41">
        <v>5</v>
      </c>
      <c r="I201" s="65">
        <v>5727.3742577438716</v>
      </c>
      <c r="J201" s="65">
        <v>5727.3742577438716</v>
      </c>
      <c r="K201" s="65">
        <v>5727.3742577438716</v>
      </c>
      <c r="L201" s="65">
        <v>5727.3742577438716</v>
      </c>
      <c r="M201" s="65">
        <v>5727.3742577438716</v>
      </c>
      <c r="N201" s="65">
        <v>5727.3742577438716</v>
      </c>
      <c r="O201" s="65">
        <v>5727.3742577438716</v>
      </c>
      <c r="P201" s="65">
        <v>5727.3742577438716</v>
      </c>
      <c r="Q201" s="65">
        <v>5727.3742577438716</v>
      </c>
      <c r="R201" s="65">
        <v>5727.3742577438716</v>
      </c>
      <c r="S201" s="65">
        <v>5727.3742577438716</v>
      </c>
      <c r="T201" s="65">
        <v>5727.3742577438716</v>
      </c>
      <c r="U201" s="65">
        <v>5727.3742577438716</v>
      </c>
      <c r="V201" s="65">
        <v>5727.3742577438716</v>
      </c>
      <c r="W201" s="65">
        <v>5727.3742577438716</v>
      </c>
      <c r="X201" s="65">
        <v>5727.3742577438716</v>
      </c>
      <c r="Y201" s="65">
        <v>5727.3742577438716</v>
      </c>
      <c r="Z201" s="65">
        <v>5727.3742577438716</v>
      </c>
      <c r="AA201" s="65">
        <v>5727.3742577438716</v>
      </c>
      <c r="AB201" s="65">
        <v>5727.3742577438716</v>
      </c>
      <c r="AC201" s="65">
        <v>5727.3742577438716</v>
      </c>
      <c r="AD201" s="65">
        <v>5727.3742577438716</v>
      </c>
      <c r="AE201" s="65">
        <v>5727.3742577438716</v>
      </c>
      <c r="AF201" s="65">
        <v>5727.3742577438716</v>
      </c>
      <c r="AG201" s="40">
        <f>+SUM(I201:AF201)*H201</f>
        <v>687284.9109292645</v>
      </c>
    </row>
    <row r="202" spans="2:33" ht="14.4" x14ac:dyDescent="0.25">
      <c r="B202">
        <f t="shared" si="78"/>
        <v>3</v>
      </c>
      <c r="C202">
        <f t="shared" si="79"/>
        <v>2030</v>
      </c>
      <c r="D202" t="str">
        <f t="shared" si="84"/>
        <v>32030FE</v>
      </c>
      <c r="E202" s="68">
        <v>47543</v>
      </c>
      <c r="F202" s="73"/>
      <c r="G202" s="42" t="s">
        <v>59</v>
      </c>
      <c r="H202" s="42">
        <v>1</v>
      </c>
      <c r="I202" s="65">
        <v>5727.3742577438716</v>
      </c>
      <c r="J202" s="65">
        <v>5727.3742577438716</v>
      </c>
      <c r="K202" s="65">
        <v>5727.3742577438716</v>
      </c>
      <c r="L202" s="65">
        <v>5727.3742577438716</v>
      </c>
      <c r="M202" s="65">
        <v>5727.3742577438716</v>
      </c>
      <c r="N202" s="65">
        <v>5727.3742577438716</v>
      </c>
      <c r="O202" s="65">
        <v>5727.3742577438716</v>
      </c>
      <c r="P202" s="65">
        <v>5727.3742577438716</v>
      </c>
      <c r="Q202" s="65">
        <v>5727.3742577438716</v>
      </c>
      <c r="R202" s="65">
        <v>5727.3742577438716</v>
      </c>
      <c r="S202" s="65">
        <v>5727.3742577438716</v>
      </c>
      <c r="T202" s="65">
        <v>5727.3742577438716</v>
      </c>
      <c r="U202" s="65">
        <v>5727.3742577438716</v>
      </c>
      <c r="V202" s="65">
        <v>5727.3742577438716</v>
      </c>
      <c r="W202" s="65">
        <v>5727.3742577438716</v>
      </c>
      <c r="X202" s="65">
        <v>5727.3742577438716</v>
      </c>
      <c r="Y202" s="65">
        <v>5727.3742577438716</v>
      </c>
      <c r="Z202" s="65">
        <v>5727.3742577438716</v>
      </c>
      <c r="AA202" s="65">
        <v>5727.3742577438716</v>
      </c>
      <c r="AB202" s="65">
        <v>5727.3742577438716</v>
      </c>
      <c r="AC202" s="65">
        <v>5727.3742577438716</v>
      </c>
      <c r="AD202" s="65">
        <v>5727.3742577438716</v>
      </c>
      <c r="AE202" s="65">
        <v>5727.3742577438716</v>
      </c>
      <c r="AF202" s="65">
        <v>5727.3742577438716</v>
      </c>
      <c r="AG202" s="43">
        <f>+SUM(I202:AF202)*H202</f>
        <v>137456.98218585289</v>
      </c>
    </row>
    <row r="203" spans="2:33" ht="15" thickBot="1" x14ac:dyDescent="0.3">
      <c r="B203">
        <f t="shared" si="78"/>
        <v>3</v>
      </c>
      <c r="C203">
        <f t="shared" si="79"/>
        <v>2030</v>
      </c>
      <c r="D203" t="str">
        <f>+_xlfn.CONCAT(E203,G203)</f>
        <v>47543TOTAL</v>
      </c>
      <c r="E203" s="68">
        <v>47543</v>
      </c>
      <c r="F203" s="61"/>
      <c r="G203" s="44" t="s">
        <v>10</v>
      </c>
      <c r="H203" s="44">
        <f>+SUM(H199:H202)</f>
        <v>31</v>
      </c>
      <c r="I203" s="45">
        <f t="shared" ref="I203:AF203" si="85">+SUMPRODUCT(I199:I202,$H199:$H202)</f>
        <v>177548.60199005998</v>
      </c>
      <c r="J203" s="45">
        <f t="shared" si="85"/>
        <v>177548.60199005998</v>
      </c>
      <c r="K203" s="45">
        <f t="shared" si="85"/>
        <v>177548.60199005998</v>
      </c>
      <c r="L203" s="45">
        <f t="shared" si="85"/>
        <v>177548.60199005998</v>
      </c>
      <c r="M203" s="45">
        <f t="shared" si="85"/>
        <v>177548.60199005998</v>
      </c>
      <c r="N203" s="45">
        <f t="shared" si="85"/>
        <v>177548.60199005998</v>
      </c>
      <c r="O203" s="45">
        <f t="shared" si="85"/>
        <v>177548.60199005998</v>
      </c>
      <c r="P203" s="45">
        <f t="shared" si="85"/>
        <v>177548.60199005998</v>
      </c>
      <c r="Q203" s="45">
        <f t="shared" si="85"/>
        <v>177548.60199005998</v>
      </c>
      <c r="R203" s="45">
        <f t="shared" si="85"/>
        <v>177548.60199005998</v>
      </c>
      <c r="S203" s="45">
        <f t="shared" si="85"/>
        <v>177548.60199005998</v>
      </c>
      <c r="T203" s="45">
        <f t="shared" si="85"/>
        <v>177548.60199005998</v>
      </c>
      <c r="U203" s="45">
        <f t="shared" si="85"/>
        <v>177548.60199005998</v>
      </c>
      <c r="V203" s="45">
        <f t="shared" si="85"/>
        <v>177548.60199005998</v>
      </c>
      <c r="W203" s="45">
        <f t="shared" si="85"/>
        <v>177548.60199005998</v>
      </c>
      <c r="X203" s="45">
        <f t="shared" si="85"/>
        <v>177548.60199005998</v>
      </c>
      <c r="Y203" s="45">
        <f t="shared" si="85"/>
        <v>177548.60199005998</v>
      </c>
      <c r="Z203" s="45">
        <f t="shared" si="85"/>
        <v>177548.60199005998</v>
      </c>
      <c r="AA203" s="45">
        <f t="shared" si="85"/>
        <v>177548.60199005998</v>
      </c>
      <c r="AB203" s="45">
        <f t="shared" si="85"/>
        <v>177548.60199005998</v>
      </c>
      <c r="AC203" s="45">
        <f t="shared" si="85"/>
        <v>177548.60199005998</v>
      </c>
      <c r="AD203" s="45">
        <f t="shared" si="85"/>
        <v>177548.60199005998</v>
      </c>
      <c r="AE203" s="45">
        <f t="shared" si="85"/>
        <v>177548.60199005998</v>
      </c>
      <c r="AF203" s="45">
        <f t="shared" si="85"/>
        <v>177548.60199005998</v>
      </c>
      <c r="AG203" s="46">
        <f>SUM(I203:AF203)</f>
        <v>4261166.4477614397</v>
      </c>
    </row>
    <row r="204" spans="2:33" ht="14.4" x14ac:dyDescent="0.25">
      <c r="B204">
        <f t="shared" si="78"/>
        <v>4</v>
      </c>
      <c r="C204">
        <f t="shared" si="79"/>
        <v>2030</v>
      </c>
      <c r="D204" t="str">
        <f t="shared" ref="D204:D207" si="86">+_xlfn.CONCAT(B204:C204,G204)</f>
        <v>42030OR</v>
      </c>
      <c r="E204" s="67">
        <v>47574</v>
      </c>
      <c r="F204" s="72">
        <f>+AG208</f>
        <v>4330741.7454588031</v>
      </c>
      <c r="G204" s="37" t="s">
        <v>57</v>
      </c>
      <c r="H204" s="37">
        <v>20</v>
      </c>
      <c r="I204" s="65">
        <v>6014.9190909150029</v>
      </c>
      <c r="J204" s="65">
        <v>6014.9190909150029</v>
      </c>
      <c r="K204" s="65">
        <v>6014.9190909150029</v>
      </c>
      <c r="L204" s="65">
        <v>6014.9190909150029</v>
      </c>
      <c r="M204" s="65">
        <v>6014.9190909150029</v>
      </c>
      <c r="N204" s="65">
        <v>6014.9190909150029</v>
      </c>
      <c r="O204" s="65">
        <v>6014.9190909150029</v>
      </c>
      <c r="P204" s="65">
        <v>6014.9190909150029</v>
      </c>
      <c r="Q204" s="65">
        <v>6014.9190909150029</v>
      </c>
      <c r="R204" s="65">
        <v>6014.9190909150029</v>
      </c>
      <c r="S204" s="65">
        <v>6014.9190909150029</v>
      </c>
      <c r="T204" s="65">
        <v>6014.9190909150029</v>
      </c>
      <c r="U204" s="65">
        <v>6014.9190909150029</v>
      </c>
      <c r="V204" s="65">
        <v>6014.9190909150029</v>
      </c>
      <c r="W204" s="65">
        <v>6014.9190909150029</v>
      </c>
      <c r="X204" s="65">
        <v>6014.9190909150029</v>
      </c>
      <c r="Y204" s="65">
        <v>6014.9190909150029</v>
      </c>
      <c r="Z204" s="65">
        <v>6014.9190909150029</v>
      </c>
      <c r="AA204" s="65">
        <v>6014.9190909150029</v>
      </c>
      <c r="AB204" s="65">
        <v>6014.9190909150029</v>
      </c>
      <c r="AC204" s="65">
        <v>6014.9190909150029</v>
      </c>
      <c r="AD204" s="65">
        <v>6014.9190909150029</v>
      </c>
      <c r="AE204" s="65">
        <v>6014.9190909150029</v>
      </c>
      <c r="AF204" s="65">
        <v>6014.9190909150029</v>
      </c>
      <c r="AG204" s="38">
        <f>+SUM(I204:AF204)*H204</f>
        <v>2887161.1636392022</v>
      </c>
    </row>
    <row r="205" spans="2:33" ht="14.4" x14ac:dyDescent="0.25">
      <c r="B205">
        <f t="shared" si="78"/>
        <v>4</v>
      </c>
      <c r="C205">
        <f t="shared" si="79"/>
        <v>2030</v>
      </c>
      <c r="D205" t="str">
        <f t="shared" si="86"/>
        <v>42030SA</v>
      </c>
      <c r="E205" s="68">
        <v>47574</v>
      </c>
      <c r="F205" s="73"/>
      <c r="G205" s="39" t="s">
        <v>60</v>
      </c>
      <c r="H205" s="39">
        <v>4</v>
      </c>
      <c r="I205" s="65">
        <v>6014.9190909150011</v>
      </c>
      <c r="J205" s="65">
        <v>6014.9190909150011</v>
      </c>
      <c r="K205" s="65">
        <v>6014.9190909150011</v>
      </c>
      <c r="L205" s="65">
        <v>6014.9190909150011</v>
      </c>
      <c r="M205" s="65">
        <v>6014.9190909150011</v>
      </c>
      <c r="N205" s="65">
        <v>6014.9190909150011</v>
      </c>
      <c r="O205" s="65">
        <v>6014.9190909150011</v>
      </c>
      <c r="P205" s="65">
        <v>6014.9190909150011</v>
      </c>
      <c r="Q205" s="65">
        <v>6014.9190909150011</v>
      </c>
      <c r="R205" s="65">
        <v>6014.9190909150011</v>
      </c>
      <c r="S205" s="65">
        <v>6014.9190909150011</v>
      </c>
      <c r="T205" s="65">
        <v>6014.9190909150011</v>
      </c>
      <c r="U205" s="65">
        <v>6014.9190909150011</v>
      </c>
      <c r="V205" s="65">
        <v>6014.9190909150011</v>
      </c>
      <c r="W205" s="65">
        <v>6014.9190909150011</v>
      </c>
      <c r="X205" s="65">
        <v>6014.9190909150011</v>
      </c>
      <c r="Y205" s="65">
        <v>6014.9190909150011</v>
      </c>
      <c r="Z205" s="65">
        <v>6014.9190909150011</v>
      </c>
      <c r="AA205" s="65">
        <v>6014.9190909150011</v>
      </c>
      <c r="AB205" s="65">
        <v>6014.9190909150011</v>
      </c>
      <c r="AC205" s="65">
        <v>6014.9190909150011</v>
      </c>
      <c r="AD205" s="65">
        <v>6014.9190909150011</v>
      </c>
      <c r="AE205" s="65">
        <v>6014.9190909150011</v>
      </c>
      <c r="AF205" s="65">
        <v>6014.9190909150011</v>
      </c>
      <c r="AG205" s="40">
        <f>+SUM(I205:AF205)*H205</f>
        <v>577432.23272784031</v>
      </c>
    </row>
    <row r="206" spans="2:33" ht="14.4" x14ac:dyDescent="0.25">
      <c r="B206">
        <f t="shared" si="78"/>
        <v>4</v>
      </c>
      <c r="C206">
        <f t="shared" si="79"/>
        <v>2030</v>
      </c>
      <c r="D206" t="str">
        <f t="shared" si="86"/>
        <v>42030DO</v>
      </c>
      <c r="E206" s="68">
        <v>47574</v>
      </c>
      <c r="F206" s="73"/>
      <c r="G206" s="41" t="s">
        <v>58</v>
      </c>
      <c r="H206" s="41">
        <v>3</v>
      </c>
      <c r="I206" s="65">
        <v>6014.9190909150011</v>
      </c>
      <c r="J206" s="65">
        <v>6014.9190909150011</v>
      </c>
      <c r="K206" s="65">
        <v>6014.9190909150011</v>
      </c>
      <c r="L206" s="65">
        <v>6014.9190909150011</v>
      </c>
      <c r="M206" s="65">
        <v>6014.9190909150011</v>
      </c>
      <c r="N206" s="65">
        <v>6014.9190909150011</v>
      </c>
      <c r="O206" s="65">
        <v>6014.9190909150011</v>
      </c>
      <c r="P206" s="65">
        <v>6014.9190909150011</v>
      </c>
      <c r="Q206" s="65">
        <v>6014.9190909150011</v>
      </c>
      <c r="R206" s="65">
        <v>6014.9190909150011</v>
      </c>
      <c r="S206" s="65">
        <v>6014.9190909150011</v>
      </c>
      <c r="T206" s="65">
        <v>6014.9190909150011</v>
      </c>
      <c r="U206" s="65">
        <v>6014.9190909150011</v>
      </c>
      <c r="V206" s="65">
        <v>6014.9190909150011</v>
      </c>
      <c r="W206" s="65">
        <v>6014.9190909150011</v>
      </c>
      <c r="X206" s="65">
        <v>6014.9190909150011</v>
      </c>
      <c r="Y206" s="65">
        <v>6014.9190909150011</v>
      </c>
      <c r="Z206" s="65">
        <v>6014.9190909150011</v>
      </c>
      <c r="AA206" s="65">
        <v>6014.9190909150011</v>
      </c>
      <c r="AB206" s="65">
        <v>6014.9190909150011</v>
      </c>
      <c r="AC206" s="65">
        <v>6014.9190909150011</v>
      </c>
      <c r="AD206" s="65">
        <v>6014.9190909150011</v>
      </c>
      <c r="AE206" s="65">
        <v>6014.9190909150011</v>
      </c>
      <c r="AF206" s="65">
        <v>6014.9190909150011</v>
      </c>
      <c r="AG206" s="40">
        <f>+SUM(I206:AF206)*H206</f>
        <v>433074.17454588023</v>
      </c>
    </row>
    <row r="207" spans="2:33" ht="14.4" x14ac:dyDescent="0.25">
      <c r="B207">
        <f t="shared" si="78"/>
        <v>4</v>
      </c>
      <c r="C207">
        <f t="shared" si="79"/>
        <v>2030</v>
      </c>
      <c r="D207" t="str">
        <f t="shared" si="86"/>
        <v>42030FE</v>
      </c>
      <c r="E207" s="68">
        <v>47574</v>
      </c>
      <c r="F207" s="73"/>
      <c r="G207" s="42" t="s">
        <v>59</v>
      </c>
      <c r="H207" s="42">
        <v>3</v>
      </c>
      <c r="I207" s="65">
        <v>6014.9190909150011</v>
      </c>
      <c r="J207" s="65">
        <v>6014.9190909150011</v>
      </c>
      <c r="K207" s="65">
        <v>6014.9190909150011</v>
      </c>
      <c r="L207" s="65">
        <v>6014.9190909150011</v>
      </c>
      <c r="M207" s="65">
        <v>6014.9190909150011</v>
      </c>
      <c r="N207" s="65">
        <v>6014.9190909150011</v>
      </c>
      <c r="O207" s="65">
        <v>6014.9190909150011</v>
      </c>
      <c r="P207" s="65">
        <v>6014.9190909150011</v>
      </c>
      <c r="Q207" s="65">
        <v>6014.9190909150011</v>
      </c>
      <c r="R207" s="65">
        <v>6014.9190909150011</v>
      </c>
      <c r="S207" s="65">
        <v>6014.9190909150011</v>
      </c>
      <c r="T207" s="65">
        <v>6014.9190909150011</v>
      </c>
      <c r="U207" s="65">
        <v>6014.9190909150011</v>
      </c>
      <c r="V207" s="65">
        <v>6014.9190909150011</v>
      </c>
      <c r="W207" s="65">
        <v>6014.9190909150011</v>
      </c>
      <c r="X207" s="65">
        <v>6014.9190909150011</v>
      </c>
      <c r="Y207" s="65">
        <v>6014.9190909150011</v>
      </c>
      <c r="Z207" s="65">
        <v>6014.9190909150011</v>
      </c>
      <c r="AA207" s="65">
        <v>6014.9190909150011</v>
      </c>
      <c r="AB207" s="65">
        <v>6014.9190909150011</v>
      </c>
      <c r="AC207" s="65">
        <v>6014.9190909150011</v>
      </c>
      <c r="AD207" s="65">
        <v>6014.9190909150011</v>
      </c>
      <c r="AE207" s="65">
        <v>6014.9190909150011</v>
      </c>
      <c r="AF207" s="65">
        <v>6014.9190909150011</v>
      </c>
      <c r="AG207" s="43">
        <f>+SUM(I207:AF207)*H207</f>
        <v>433074.17454588023</v>
      </c>
    </row>
    <row r="208" spans="2:33" ht="15" thickBot="1" x14ac:dyDescent="0.3">
      <c r="B208">
        <f t="shared" si="78"/>
        <v>4</v>
      </c>
      <c r="C208">
        <f t="shared" si="79"/>
        <v>2030</v>
      </c>
      <c r="D208" t="str">
        <f>+_xlfn.CONCAT(E208,G208)</f>
        <v>47574TOTAL</v>
      </c>
      <c r="E208" s="68">
        <v>47574</v>
      </c>
      <c r="F208" s="61"/>
      <c r="G208" s="44" t="s">
        <v>10</v>
      </c>
      <c r="H208" s="44">
        <f>+SUM(H204:H207)</f>
        <v>30</v>
      </c>
      <c r="I208" s="45">
        <f t="shared" ref="I208:AF208" si="87">+SUMPRODUCT(I204:I207,$H204:$H207)</f>
        <v>180447.57272745005</v>
      </c>
      <c r="J208" s="45">
        <f t="shared" si="87"/>
        <v>180447.57272745005</v>
      </c>
      <c r="K208" s="45">
        <f t="shared" si="87"/>
        <v>180447.57272745005</v>
      </c>
      <c r="L208" s="45">
        <f t="shared" si="87"/>
        <v>180447.57272745005</v>
      </c>
      <c r="M208" s="45">
        <f t="shared" si="87"/>
        <v>180447.57272745005</v>
      </c>
      <c r="N208" s="45">
        <f t="shared" si="87"/>
        <v>180447.57272745005</v>
      </c>
      <c r="O208" s="45">
        <f t="shared" si="87"/>
        <v>180447.57272745005</v>
      </c>
      <c r="P208" s="45">
        <f t="shared" si="87"/>
        <v>180447.57272745005</v>
      </c>
      <c r="Q208" s="45">
        <f t="shared" si="87"/>
        <v>180447.57272745005</v>
      </c>
      <c r="R208" s="45">
        <f t="shared" si="87"/>
        <v>180447.57272745005</v>
      </c>
      <c r="S208" s="45">
        <f t="shared" si="87"/>
        <v>180447.57272745005</v>
      </c>
      <c r="T208" s="45">
        <f t="shared" si="87"/>
        <v>180447.57272745005</v>
      </c>
      <c r="U208" s="45">
        <f t="shared" si="87"/>
        <v>180447.57272745005</v>
      </c>
      <c r="V208" s="45">
        <f t="shared" si="87"/>
        <v>180447.57272745005</v>
      </c>
      <c r="W208" s="45">
        <f t="shared" si="87"/>
        <v>180447.57272745005</v>
      </c>
      <c r="X208" s="45">
        <f t="shared" si="87"/>
        <v>180447.57272745005</v>
      </c>
      <c r="Y208" s="45">
        <f t="shared" si="87"/>
        <v>180447.57272745005</v>
      </c>
      <c r="Z208" s="45">
        <f t="shared" si="87"/>
        <v>180447.57272745005</v>
      </c>
      <c r="AA208" s="45">
        <f t="shared" si="87"/>
        <v>180447.57272745005</v>
      </c>
      <c r="AB208" s="45">
        <f t="shared" si="87"/>
        <v>180447.57272745005</v>
      </c>
      <c r="AC208" s="45">
        <f t="shared" si="87"/>
        <v>180447.57272745005</v>
      </c>
      <c r="AD208" s="45">
        <f t="shared" si="87"/>
        <v>180447.57272745005</v>
      </c>
      <c r="AE208" s="45">
        <f t="shared" si="87"/>
        <v>180447.57272745005</v>
      </c>
      <c r="AF208" s="45">
        <f t="shared" si="87"/>
        <v>180447.57272745005</v>
      </c>
      <c r="AG208" s="46">
        <f>SUM(I208:AF208)</f>
        <v>4330741.7454588031</v>
      </c>
    </row>
    <row r="209" spans="2:33" ht="14.4" x14ac:dyDescent="0.25">
      <c r="B209">
        <f t="shared" si="78"/>
        <v>5</v>
      </c>
      <c r="C209">
        <f t="shared" si="79"/>
        <v>2030</v>
      </c>
      <c r="D209" t="str">
        <f t="shared" ref="D209:D212" si="88">+_xlfn.CONCAT(B209:C209,G209)</f>
        <v>52030OR</v>
      </c>
      <c r="E209" s="67">
        <v>47604</v>
      </c>
      <c r="F209" s="72">
        <f>+AG213</f>
        <v>4635905.2020010846</v>
      </c>
      <c r="G209" s="37" t="s">
        <v>57</v>
      </c>
      <c r="H209" s="37">
        <v>22</v>
      </c>
      <c r="I209" s="65">
        <v>6231.0553790337135</v>
      </c>
      <c r="J209" s="65">
        <v>6231.0553790337135</v>
      </c>
      <c r="K209" s="65">
        <v>6231.0553790337135</v>
      </c>
      <c r="L209" s="65">
        <v>6231.0553790337135</v>
      </c>
      <c r="M209" s="65">
        <v>6231.0553790337135</v>
      </c>
      <c r="N209" s="65">
        <v>6231.0553790337135</v>
      </c>
      <c r="O209" s="65">
        <v>6231.0553790337135</v>
      </c>
      <c r="P209" s="65">
        <v>6231.0553790337135</v>
      </c>
      <c r="Q209" s="65">
        <v>6231.0553790337135</v>
      </c>
      <c r="R209" s="65">
        <v>6231.0553790337135</v>
      </c>
      <c r="S209" s="65">
        <v>6231.0553790337135</v>
      </c>
      <c r="T209" s="65">
        <v>6231.0553790337135</v>
      </c>
      <c r="U209" s="65">
        <v>6231.0553790337135</v>
      </c>
      <c r="V209" s="65">
        <v>6231.0553790337135</v>
      </c>
      <c r="W209" s="65">
        <v>6231.0553790337135</v>
      </c>
      <c r="X209" s="65">
        <v>6231.0553790337135</v>
      </c>
      <c r="Y209" s="65">
        <v>6231.0553790337135</v>
      </c>
      <c r="Z209" s="65">
        <v>6231.0553790337135</v>
      </c>
      <c r="AA209" s="65">
        <v>6231.0553790337135</v>
      </c>
      <c r="AB209" s="65">
        <v>6231.0553790337135</v>
      </c>
      <c r="AC209" s="65">
        <v>6231.0553790337135</v>
      </c>
      <c r="AD209" s="65">
        <v>6231.0553790337135</v>
      </c>
      <c r="AE209" s="65">
        <v>6231.0553790337135</v>
      </c>
      <c r="AF209" s="65">
        <v>6231.0553790337135</v>
      </c>
      <c r="AG209" s="38">
        <f>+SUM(I209:AF209)*H209</f>
        <v>3289997.2401298</v>
      </c>
    </row>
    <row r="210" spans="2:33" ht="14.4" x14ac:dyDescent="0.25">
      <c r="B210">
        <f t="shared" si="78"/>
        <v>5</v>
      </c>
      <c r="C210">
        <f t="shared" si="79"/>
        <v>2030</v>
      </c>
      <c r="D210" t="str">
        <f t="shared" si="88"/>
        <v>52030SA</v>
      </c>
      <c r="E210" s="68">
        <v>47604</v>
      </c>
      <c r="F210" s="73"/>
      <c r="G210" s="39" t="s">
        <v>60</v>
      </c>
      <c r="H210" s="39">
        <v>4</v>
      </c>
      <c r="I210" s="65">
        <v>6231.0553790337108</v>
      </c>
      <c r="J210" s="65">
        <v>6231.0553790337108</v>
      </c>
      <c r="K210" s="65">
        <v>6231.0553790337108</v>
      </c>
      <c r="L210" s="65">
        <v>6231.0553790337108</v>
      </c>
      <c r="M210" s="65">
        <v>6231.0553790337108</v>
      </c>
      <c r="N210" s="65">
        <v>6231.0553790337108</v>
      </c>
      <c r="O210" s="65">
        <v>6231.0553790337108</v>
      </c>
      <c r="P210" s="65">
        <v>6231.0553790337108</v>
      </c>
      <c r="Q210" s="65">
        <v>6231.0553790337108</v>
      </c>
      <c r="R210" s="65">
        <v>6231.0553790337108</v>
      </c>
      <c r="S210" s="65">
        <v>6231.0553790337108</v>
      </c>
      <c r="T210" s="65">
        <v>6231.0553790337108</v>
      </c>
      <c r="U210" s="65">
        <v>6231.0553790337108</v>
      </c>
      <c r="V210" s="65">
        <v>6231.0553790337108</v>
      </c>
      <c r="W210" s="65">
        <v>6231.0553790337108</v>
      </c>
      <c r="X210" s="65">
        <v>6231.0553790337108</v>
      </c>
      <c r="Y210" s="65">
        <v>6231.0553790337108</v>
      </c>
      <c r="Z210" s="65">
        <v>6231.0553790337108</v>
      </c>
      <c r="AA210" s="65">
        <v>6231.0553790337108</v>
      </c>
      <c r="AB210" s="65">
        <v>6231.0553790337108</v>
      </c>
      <c r="AC210" s="65">
        <v>6231.0553790337108</v>
      </c>
      <c r="AD210" s="65">
        <v>6231.0553790337108</v>
      </c>
      <c r="AE210" s="65">
        <v>6231.0553790337108</v>
      </c>
      <c r="AF210" s="65">
        <v>6231.0553790337108</v>
      </c>
      <c r="AG210" s="40">
        <f>+SUM(I210:AF210)*H210</f>
        <v>598181.31638723635</v>
      </c>
    </row>
    <row r="211" spans="2:33" ht="14.4" x14ac:dyDescent="0.25">
      <c r="B211">
        <f t="shared" si="78"/>
        <v>5</v>
      </c>
      <c r="C211">
        <f t="shared" si="79"/>
        <v>2030</v>
      </c>
      <c r="D211" t="str">
        <f t="shared" si="88"/>
        <v>52030DO</v>
      </c>
      <c r="E211" s="68">
        <v>47604</v>
      </c>
      <c r="F211" s="73"/>
      <c r="G211" s="41" t="s">
        <v>58</v>
      </c>
      <c r="H211" s="41">
        <v>4</v>
      </c>
      <c r="I211" s="65">
        <v>6231.0553790337108</v>
      </c>
      <c r="J211" s="65">
        <v>6231.0553790337108</v>
      </c>
      <c r="K211" s="65">
        <v>6231.0553790337108</v>
      </c>
      <c r="L211" s="65">
        <v>6231.0553790337108</v>
      </c>
      <c r="M211" s="65">
        <v>6231.0553790337108</v>
      </c>
      <c r="N211" s="65">
        <v>6231.0553790337108</v>
      </c>
      <c r="O211" s="65">
        <v>6231.0553790337108</v>
      </c>
      <c r="P211" s="65">
        <v>6231.0553790337108</v>
      </c>
      <c r="Q211" s="65">
        <v>6231.0553790337108</v>
      </c>
      <c r="R211" s="65">
        <v>6231.0553790337108</v>
      </c>
      <c r="S211" s="65">
        <v>6231.0553790337108</v>
      </c>
      <c r="T211" s="65">
        <v>6231.0553790337108</v>
      </c>
      <c r="U211" s="65">
        <v>6231.0553790337108</v>
      </c>
      <c r="V211" s="65">
        <v>6231.0553790337108</v>
      </c>
      <c r="W211" s="65">
        <v>6231.0553790337108</v>
      </c>
      <c r="X211" s="65">
        <v>6231.0553790337108</v>
      </c>
      <c r="Y211" s="65">
        <v>6231.0553790337108</v>
      </c>
      <c r="Z211" s="65">
        <v>6231.0553790337108</v>
      </c>
      <c r="AA211" s="65">
        <v>6231.0553790337108</v>
      </c>
      <c r="AB211" s="65">
        <v>6231.0553790337108</v>
      </c>
      <c r="AC211" s="65">
        <v>6231.0553790337108</v>
      </c>
      <c r="AD211" s="65">
        <v>6231.0553790337108</v>
      </c>
      <c r="AE211" s="65">
        <v>6231.0553790337108</v>
      </c>
      <c r="AF211" s="65">
        <v>6231.0553790337108</v>
      </c>
      <c r="AG211" s="40">
        <f>+SUM(I211:AF211)*H211</f>
        <v>598181.31638723635</v>
      </c>
    </row>
    <row r="212" spans="2:33" ht="14.4" x14ac:dyDescent="0.25">
      <c r="B212">
        <f t="shared" si="78"/>
        <v>5</v>
      </c>
      <c r="C212">
        <f t="shared" si="79"/>
        <v>2030</v>
      </c>
      <c r="D212" t="str">
        <f t="shared" si="88"/>
        <v>52030FE</v>
      </c>
      <c r="E212" s="68">
        <v>47604</v>
      </c>
      <c r="F212" s="73"/>
      <c r="G212" s="42" t="s">
        <v>59</v>
      </c>
      <c r="H212" s="42">
        <v>1</v>
      </c>
      <c r="I212" s="65">
        <v>6231.0553790337108</v>
      </c>
      <c r="J212" s="65">
        <v>6231.0553790337108</v>
      </c>
      <c r="K212" s="65">
        <v>6231.0553790337108</v>
      </c>
      <c r="L212" s="65">
        <v>6231.0553790337108</v>
      </c>
      <c r="M212" s="65">
        <v>6231.0553790337108</v>
      </c>
      <c r="N212" s="65">
        <v>6231.0553790337108</v>
      </c>
      <c r="O212" s="65">
        <v>6231.0553790337108</v>
      </c>
      <c r="P212" s="65">
        <v>6231.0553790337108</v>
      </c>
      <c r="Q212" s="65">
        <v>6231.0553790337108</v>
      </c>
      <c r="R212" s="65">
        <v>6231.0553790337108</v>
      </c>
      <c r="S212" s="65">
        <v>6231.0553790337108</v>
      </c>
      <c r="T212" s="65">
        <v>6231.0553790337108</v>
      </c>
      <c r="U212" s="65">
        <v>6231.0553790337108</v>
      </c>
      <c r="V212" s="65">
        <v>6231.0553790337108</v>
      </c>
      <c r="W212" s="65">
        <v>6231.0553790337108</v>
      </c>
      <c r="X212" s="65">
        <v>6231.0553790337108</v>
      </c>
      <c r="Y212" s="65">
        <v>6231.0553790337108</v>
      </c>
      <c r="Z212" s="65">
        <v>6231.0553790337108</v>
      </c>
      <c r="AA212" s="65">
        <v>6231.0553790337108</v>
      </c>
      <c r="AB212" s="65">
        <v>6231.0553790337108</v>
      </c>
      <c r="AC212" s="65">
        <v>6231.0553790337108</v>
      </c>
      <c r="AD212" s="65">
        <v>6231.0553790337108</v>
      </c>
      <c r="AE212" s="65">
        <v>6231.0553790337108</v>
      </c>
      <c r="AF212" s="65">
        <v>6231.0553790337108</v>
      </c>
      <c r="AG212" s="43">
        <f>+SUM(I212:AF212)*H212</f>
        <v>149545.32909680909</v>
      </c>
    </row>
    <row r="213" spans="2:33" ht="15" thickBot="1" x14ac:dyDescent="0.3">
      <c r="B213">
        <f t="shared" si="78"/>
        <v>5</v>
      </c>
      <c r="C213">
        <f t="shared" si="79"/>
        <v>2030</v>
      </c>
      <c r="D213" t="str">
        <f>+_xlfn.CONCAT(E213,G213)</f>
        <v>47604TOTAL</v>
      </c>
      <c r="E213" s="68">
        <v>47604</v>
      </c>
      <c r="F213" s="61"/>
      <c r="G213" s="44" t="s">
        <v>10</v>
      </c>
      <c r="H213" s="44">
        <f>+SUM(H209:H212)</f>
        <v>31</v>
      </c>
      <c r="I213" s="45">
        <f t="shared" ref="I213:AF213" si="89">+SUMPRODUCT(I209:I212,$H209:$H212)</f>
        <v>193162.7167500451</v>
      </c>
      <c r="J213" s="45">
        <f t="shared" si="89"/>
        <v>193162.7167500451</v>
      </c>
      <c r="K213" s="45">
        <f t="shared" si="89"/>
        <v>193162.7167500451</v>
      </c>
      <c r="L213" s="45">
        <f t="shared" si="89"/>
        <v>193162.7167500451</v>
      </c>
      <c r="M213" s="45">
        <f t="shared" si="89"/>
        <v>193162.7167500451</v>
      </c>
      <c r="N213" s="45">
        <f t="shared" si="89"/>
        <v>193162.7167500451</v>
      </c>
      <c r="O213" s="45">
        <f t="shared" si="89"/>
        <v>193162.7167500451</v>
      </c>
      <c r="P213" s="45">
        <f t="shared" si="89"/>
        <v>193162.7167500451</v>
      </c>
      <c r="Q213" s="45">
        <f t="shared" si="89"/>
        <v>193162.7167500451</v>
      </c>
      <c r="R213" s="45">
        <f t="shared" si="89"/>
        <v>193162.7167500451</v>
      </c>
      <c r="S213" s="45">
        <f t="shared" si="89"/>
        <v>193162.7167500451</v>
      </c>
      <c r="T213" s="45">
        <f t="shared" si="89"/>
        <v>193162.7167500451</v>
      </c>
      <c r="U213" s="45">
        <f t="shared" si="89"/>
        <v>193162.7167500451</v>
      </c>
      <c r="V213" s="45">
        <f t="shared" si="89"/>
        <v>193162.7167500451</v>
      </c>
      <c r="W213" s="45">
        <f t="shared" si="89"/>
        <v>193162.7167500451</v>
      </c>
      <c r="X213" s="45">
        <f t="shared" si="89"/>
        <v>193162.7167500451</v>
      </c>
      <c r="Y213" s="45">
        <f t="shared" si="89"/>
        <v>193162.7167500451</v>
      </c>
      <c r="Z213" s="45">
        <f t="shared" si="89"/>
        <v>193162.7167500451</v>
      </c>
      <c r="AA213" s="45">
        <f t="shared" si="89"/>
        <v>193162.7167500451</v>
      </c>
      <c r="AB213" s="45">
        <f t="shared" si="89"/>
        <v>193162.7167500451</v>
      </c>
      <c r="AC213" s="45">
        <f t="shared" si="89"/>
        <v>193162.7167500451</v>
      </c>
      <c r="AD213" s="45">
        <f t="shared" si="89"/>
        <v>193162.7167500451</v>
      </c>
      <c r="AE213" s="45">
        <f t="shared" si="89"/>
        <v>193162.7167500451</v>
      </c>
      <c r="AF213" s="45">
        <f t="shared" si="89"/>
        <v>193162.7167500451</v>
      </c>
      <c r="AG213" s="46">
        <f>SUM(I213:AF213)</f>
        <v>4635905.2020010846</v>
      </c>
    </row>
    <row r="214" spans="2:33" ht="14.4" x14ac:dyDescent="0.25">
      <c r="B214">
        <f t="shared" si="78"/>
        <v>6</v>
      </c>
      <c r="C214">
        <f t="shared" si="79"/>
        <v>2030</v>
      </c>
      <c r="D214" t="str">
        <f t="shared" ref="D214:D217" si="90">+_xlfn.CONCAT(B214:C214,G214)</f>
        <v>62030OR</v>
      </c>
      <c r="E214" s="67">
        <v>47635</v>
      </c>
      <c r="F214" s="72">
        <f>+AG218</f>
        <v>4820240.9332501218</v>
      </c>
      <c r="G214" s="37" t="s">
        <v>57</v>
      </c>
      <c r="H214" s="37">
        <v>18</v>
      </c>
      <c r="I214" s="65">
        <v>6694.7790739585025</v>
      </c>
      <c r="J214" s="65">
        <v>6694.7790739585025</v>
      </c>
      <c r="K214" s="65">
        <v>6694.7790739585025</v>
      </c>
      <c r="L214" s="65">
        <v>6694.7790739585025</v>
      </c>
      <c r="M214" s="65">
        <v>6694.7790739585025</v>
      </c>
      <c r="N214" s="65">
        <v>6694.7790739585025</v>
      </c>
      <c r="O214" s="65">
        <v>6694.7790739585025</v>
      </c>
      <c r="P214" s="65">
        <v>6694.7790739585025</v>
      </c>
      <c r="Q214" s="65">
        <v>6694.7790739585025</v>
      </c>
      <c r="R214" s="65">
        <v>6694.7790739585025</v>
      </c>
      <c r="S214" s="65">
        <v>6694.7790739585025</v>
      </c>
      <c r="T214" s="65">
        <v>6694.7790739585025</v>
      </c>
      <c r="U214" s="65">
        <v>6694.7790739585025</v>
      </c>
      <c r="V214" s="65">
        <v>6694.7790739585025</v>
      </c>
      <c r="W214" s="65">
        <v>6694.7790739585025</v>
      </c>
      <c r="X214" s="65">
        <v>6694.7790739585025</v>
      </c>
      <c r="Y214" s="65">
        <v>6694.7790739585025</v>
      </c>
      <c r="Z214" s="65">
        <v>6694.7790739585025</v>
      </c>
      <c r="AA214" s="65">
        <v>6694.7790739585025</v>
      </c>
      <c r="AB214" s="65">
        <v>6694.7790739585025</v>
      </c>
      <c r="AC214" s="65">
        <v>6694.7790739585025</v>
      </c>
      <c r="AD214" s="65">
        <v>6694.7790739585025</v>
      </c>
      <c r="AE214" s="65">
        <v>6694.7790739585025</v>
      </c>
      <c r="AF214" s="65">
        <v>6694.7790739585025</v>
      </c>
      <c r="AG214" s="38">
        <f>+SUM(I214:AF214)*H214</f>
        <v>2892144.5599500719</v>
      </c>
    </row>
    <row r="215" spans="2:33" ht="14.4" x14ac:dyDescent="0.25">
      <c r="B215">
        <f t="shared" si="78"/>
        <v>6</v>
      </c>
      <c r="C215">
        <f t="shared" si="79"/>
        <v>2030</v>
      </c>
      <c r="D215" t="str">
        <f t="shared" si="90"/>
        <v>62030SA</v>
      </c>
      <c r="E215" s="68">
        <v>47635</v>
      </c>
      <c r="F215" s="73"/>
      <c r="G215" s="39" t="s">
        <v>60</v>
      </c>
      <c r="H215" s="39">
        <v>5</v>
      </c>
      <c r="I215" s="65">
        <v>6694.7790739585007</v>
      </c>
      <c r="J215" s="65">
        <v>6694.7790739585007</v>
      </c>
      <c r="K215" s="65">
        <v>6694.7790739585007</v>
      </c>
      <c r="L215" s="65">
        <v>6694.7790739585007</v>
      </c>
      <c r="M215" s="65">
        <v>6694.7790739585007</v>
      </c>
      <c r="N215" s="65">
        <v>6694.7790739585007</v>
      </c>
      <c r="O215" s="65">
        <v>6694.7790739585007</v>
      </c>
      <c r="P215" s="65">
        <v>6694.7790739585007</v>
      </c>
      <c r="Q215" s="65">
        <v>6694.7790739585007</v>
      </c>
      <c r="R215" s="65">
        <v>6694.7790739585007</v>
      </c>
      <c r="S215" s="65">
        <v>6694.7790739585007</v>
      </c>
      <c r="T215" s="65">
        <v>6694.7790739585007</v>
      </c>
      <c r="U215" s="65">
        <v>6694.7790739585007</v>
      </c>
      <c r="V215" s="65">
        <v>6694.7790739585007</v>
      </c>
      <c r="W215" s="65">
        <v>6694.7790739585007</v>
      </c>
      <c r="X215" s="65">
        <v>6694.7790739585007</v>
      </c>
      <c r="Y215" s="65">
        <v>6694.7790739585007</v>
      </c>
      <c r="Z215" s="65">
        <v>6694.7790739585007</v>
      </c>
      <c r="AA215" s="65">
        <v>6694.7790739585007</v>
      </c>
      <c r="AB215" s="65">
        <v>6694.7790739585007</v>
      </c>
      <c r="AC215" s="65">
        <v>6694.7790739585007</v>
      </c>
      <c r="AD215" s="65">
        <v>6694.7790739585007</v>
      </c>
      <c r="AE215" s="65">
        <v>6694.7790739585007</v>
      </c>
      <c r="AF215" s="65">
        <v>6694.7790739585007</v>
      </c>
      <c r="AG215" s="40">
        <f>+SUM(I215:AF215)*H215</f>
        <v>803373.48887501995</v>
      </c>
    </row>
    <row r="216" spans="2:33" ht="14.4" x14ac:dyDescent="0.25">
      <c r="B216">
        <f t="shared" si="78"/>
        <v>6</v>
      </c>
      <c r="C216">
        <f t="shared" si="79"/>
        <v>2030</v>
      </c>
      <c r="D216" t="str">
        <f t="shared" si="90"/>
        <v>62030DO</v>
      </c>
      <c r="E216" s="68">
        <v>47635</v>
      </c>
      <c r="F216" s="73"/>
      <c r="G216" s="41" t="s">
        <v>58</v>
      </c>
      <c r="H216" s="41">
        <v>5</v>
      </c>
      <c r="I216" s="65">
        <v>6694.7790739585007</v>
      </c>
      <c r="J216" s="65">
        <v>6694.7790739585007</v>
      </c>
      <c r="K216" s="65">
        <v>6694.7790739585007</v>
      </c>
      <c r="L216" s="65">
        <v>6694.7790739585007</v>
      </c>
      <c r="M216" s="65">
        <v>6694.7790739585007</v>
      </c>
      <c r="N216" s="65">
        <v>6694.7790739585007</v>
      </c>
      <c r="O216" s="65">
        <v>6694.7790739585007</v>
      </c>
      <c r="P216" s="65">
        <v>6694.7790739585007</v>
      </c>
      <c r="Q216" s="65">
        <v>6694.7790739585007</v>
      </c>
      <c r="R216" s="65">
        <v>6694.7790739585007</v>
      </c>
      <c r="S216" s="65">
        <v>6694.7790739585007</v>
      </c>
      <c r="T216" s="65">
        <v>6694.7790739585007</v>
      </c>
      <c r="U216" s="65">
        <v>6694.7790739585007</v>
      </c>
      <c r="V216" s="65">
        <v>6694.7790739585007</v>
      </c>
      <c r="W216" s="65">
        <v>6694.7790739585007</v>
      </c>
      <c r="X216" s="65">
        <v>6694.7790739585007</v>
      </c>
      <c r="Y216" s="65">
        <v>6694.7790739585007</v>
      </c>
      <c r="Z216" s="65">
        <v>6694.7790739585007</v>
      </c>
      <c r="AA216" s="65">
        <v>6694.7790739585007</v>
      </c>
      <c r="AB216" s="65">
        <v>6694.7790739585007</v>
      </c>
      <c r="AC216" s="65">
        <v>6694.7790739585007</v>
      </c>
      <c r="AD216" s="65">
        <v>6694.7790739585007</v>
      </c>
      <c r="AE216" s="65">
        <v>6694.7790739585007</v>
      </c>
      <c r="AF216" s="65">
        <v>6694.7790739585007</v>
      </c>
      <c r="AG216" s="40">
        <f>+SUM(I216:AF216)*H216</f>
        <v>803373.48887501995</v>
      </c>
    </row>
    <row r="217" spans="2:33" ht="14.4" x14ac:dyDescent="0.25">
      <c r="B217">
        <f t="shared" si="78"/>
        <v>6</v>
      </c>
      <c r="C217">
        <f t="shared" si="79"/>
        <v>2030</v>
      </c>
      <c r="D217" t="str">
        <f t="shared" si="90"/>
        <v>62030FE</v>
      </c>
      <c r="E217" s="68">
        <v>47635</v>
      </c>
      <c r="F217" s="73"/>
      <c r="G217" s="42" t="s">
        <v>59</v>
      </c>
      <c r="H217" s="42">
        <v>2</v>
      </c>
      <c r="I217" s="65">
        <v>6694.7790739585007</v>
      </c>
      <c r="J217" s="65">
        <v>6694.7790739585007</v>
      </c>
      <c r="K217" s="65">
        <v>6694.7790739585007</v>
      </c>
      <c r="L217" s="65">
        <v>6694.7790739585007</v>
      </c>
      <c r="M217" s="65">
        <v>6694.7790739585007</v>
      </c>
      <c r="N217" s="65">
        <v>6694.7790739585007</v>
      </c>
      <c r="O217" s="65">
        <v>6694.7790739585007</v>
      </c>
      <c r="P217" s="65">
        <v>6694.7790739585007</v>
      </c>
      <c r="Q217" s="65">
        <v>6694.7790739585007</v>
      </c>
      <c r="R217" s="65">
        <v>6694.7790739585007</v>
      </c>
      <c r="S217" s="65">
        <v>6694.7790739585007</v>
      </c>
      <c r="T217" s="65">
        <v>6694.7790739585007</v>
      </c>
      <c r="U217" s="65">
        <v>6694.7790739585007</v>
      </c>
      <c r="V217" s="65">
        <v>6694.7790739585007</v>
      </c>
      <c r="W217" s="65">
        <v>6694.7790739585007</v>
      </c>
      <c r="X217" s="65">
        <v>6694.7790739585007</v>
      </c>
      <c r="Y217" s="65">
        <v>6694.7790739585007</v>
      </c>
      <c r="Z217" s="65">
        <v>6694.7790739585007</v>
      </c>
      <c r="AA217" s="65">
        <v>6694.7790739585007</v>
      </c>
      <c r="AB217" s="65">
        <v>6694.7790739585007</v>
      </c>
      <c r="AC217" s="65">
        <v>6694.7790739585007</v>
      </c>
      <c r="AD217" s="65">
        <v>6694.7790739585007</v>
      </c>
      <c r="AE217" s="65">
        <v>6694.7790739585007</v>
      </c>
      <c r="AF217" s="65">
        <v>6694.7790739585007</v>
      </c>
      <c r="AG217" s="43">
        <f>+SUM(I217:AF217)*H217</f>
        <v>321349.39555000799</v>
      </c>
    </row>
    <row r="218" spans="2:33" ht="15" thickBot="1" x14ac:dyDescent="0.3">
      <c r="B218">
        <f t="shared" si="78"/>
        <v>6</v>
      </c>
      <c r="C218">
        <f t="shared" si="79"/>
        <v>2030</v>
      </c>
      <c r="D218" t="str">
        <f>+_xlfn.CONCAT(E218,G218)</f>
        <v>47635TOTAL</v>
      </c>
      <c r="E218" s="68">
        <v>47635</v>
      </c>
      <c r="F218" s="61"/>
      <c r="G218" s="44" t="s">
        <v>10</v>
      </c>
      <c r="H218" s="44">
        <f>+SUM(H214:H217)</f>
        <v>30</v>
      </c>
      <c r="I218" s="45">
        <f t="shared" ref="I218:AF218" si="91">+SUMPRODUCT(I214:I217,$H214:$H217)</f>
        <v>200843.37221875507</v>
      </c>
      <c r="J218" s="45">
        <f t="shared" si="91"/>
        <v>200843.37221875507</v>
      </c>
      <c r="K218" s="45">
        <f t="shared" si="91"/>
        <v>200843.37221875507</v>
      </c>
      <c r="L218" s="45">
        <f t="shared" si="91"/>
        <v>200843.37221875507</v>
      </c>
      <c r="M218" s="45">
        <f t="shared" si="91"/>
        <v>200843.37221875507</v>
      </c>
      <c r="N218" s="45">
        <f t="shared" si="91"/>
        <v>200843.37221875507</v>
      </c>
      <c r="O218" s="45">
        <f t="shared" si="91"/>
        <v>200843.37221875507</v>
      </c>
      <c r="P218" s="45">
        <f t="shared" si="91"/>
        <v>200843.37221875507</v>
      </c>
      <c r="Q218" s="45">
        <f t="shared" si="91"/>
        <v>200843.37221875507</v>
      </c>
      <c r="R218" s="45">
        <f t="shared" si="91"/>
        <v>200843.37221875507</v>
      </c>
      <c r="S218" s="45">
        <f t="shared" si="91"/>
        <v>200843.37221875507</v>
      </c>
      <c r="T218" s="45">
        <f t="shared" si="91"/>
        <v>200843.37221875507</v>
      </c>
      <c r="U218" s="45">
        <f t="shared" si="91"/>
        <v>200843.37221875507</v>
      </c>
      <c r="V218" s="45">
        <f t="shared" si="91"/>
        <v>200843.37221875507</v>
      </c>
      <c r="W218" s="45">
        <f t="shared" si="91"/>
        <v>200843.37221875507</v>
      </c>
      <c r="X218" s="45">
        <f t="shared" si="91"/>
        <v>200843.37221875507</v>
      </c>
      <c r="Y218" s="45">
        <f t="shared" si="91"/>
        <v>200843.37221875507</v>
      </c>
      <c r="Z218" s="45">
        <f t="shared" si="91"/>
        <v>200843.37221875507</v>
      </c>
      <c r="AA218" s="45">
        <f t="shared" si="91"/>
        <v>200843.37221875507</v>
      </c>
      <c r="AB218" s="45">
        <f t="shared" si="91"/>
        <v>200843.37221875507</v>
      </c>
      <c r="AC218" s="45">
        <f t="shared" si="91"/>
        <v>200843.37221875507</v>
      </c>
      <c r="AD218" s="45">
        <f t="shared" si="91"/>
        <v>200843.37221875507</v>
      </c>
      <c r="AE218" s="45">
        <f t="shared" si="91"/>
        <v>200843.37221875507</v>
      </c>
      <c r="AF218" s="45">
        <f t="shared" si="91"/>
        <v>200843.37221875507</v>
      </c>
      <c r="AG218" s="46">
        <f>SUM(I218:AF218)</f>
        <v>4820240.9332501218</v>
      </c>
    </row>
    <row r="219" spans="2:33" ht="14.4" x14ac:dyDescent="0.25">
      <c r="B219">
        <f t="shared" si="78"/>
        <v>7</v>
      </c>
      <c r="C219">
        <f t="shared" si="79"/>
        <v>2030</v>
      </c>
      <c r="D219" t="str">
        <f t="shared" ref="D219:D222" si="92">+_xlfn.CONCAT(B219:C219,G219)</f>
        <v>72030OR</v>
      </c>
      <c r="E219" s="67">
        <v>47665</v>
      </c>
      <c r="F219" s="72">
        <f>+AG223</f>
        <v>4795270.4697735608</v>
      </c>
      <c r="G219" s="37" t="s">
        <v>57</v>
      </c>
      <c r="H219" s="37">
        <v>22</v>
      </c>
      <c r="I219" s="65">
        <v>6445.2560077601629</v>
      </c>
      <c r="J219" s="65">
        <v>6445.2560077601629</v>
      </c>
      <c r="K219" s="65">
        <v>6445.2560077601629</v>
      </c>
      <c r="L219" s="65">
        <v>6445.2560077601629</v>
      </c>
      <c r="M219" s="65">
        <v>6445.2560077601629</v>
      </c>
      <c r="N219" s="65">
        <v>6445.2560077601629</v>
      </c>
      <c r="O219" s="65">
        <v>6445.2560077601629</v>
      </c>
      <c r="P219" s="65">
        <v>6445.2560077601629</v>
      </c>
      <c r="Q219" s="65">
        <v>6445.2560077601629</v>
      </c>
      <c r="R219" s="65">
        <v>6445.2560077601629</v>
      </c>
      <c r="S219" s="65">
        <v>6445.2560077601629</v>
      </c>
      <c r="T219" s="65">
        <v>6445.2560077601629</v>
      </c>
      <c r="U219" s="65">
        <v>6445.2560077601629</v>
      </c>
      <c r="V219" s="65">
        <v>6445.2560077601629</v>
      </c>
      <c r="W219" s="65">
        <v>6445.2560077601629</v>
      </c>
      <c r="X219" s="65">
        <v>6445.2560077601629</v>
      </c>
      <c r="Y219" s="65">
        <v>6445.2560077601629</v>
      </c>
      <c r="Z219" s="65">
        <v>6445.2560077601629</v>
      </c>
      <c r="AA219" s="65">
        <v>6445.2560077601629</v>
      </c>
      <c r="AB219" s="65">
        <v>6445.2560077601629</v>
      </c>
      <c r="AC219" s="65">
        <v>6445.2560077601629</v>
      </c>
      <c r="AD219" s="65">
        <v>6445.2560077601629</v>
      </c>
      <c r="AE219" s="65">
        <v>6445.2560077601629</v>
      </c>
      <c r="AF219" s="65">
        <v>6445.2560077601629</v>
      </c>
      <c r="AG219" s="38">
        <f>+SUM(I219:AF219)*H219</f>
        <v>3403095.1720973658</v>
      </c>
    </row>
    <row r="220" spans="2:33" ht="14.4" x14ac:dyDescent="0.25">
      <c r="B220">
        <f t="shared" si="78"/>
        <v>7</v>
      </c>
      <c r="C220">
        <f t="shared" si="79"/>
        <v>2030</v>
      </c>
      <c r="D220" t="str">
        <f t="shared" si="92"/>
        <v>72030SA</v>
      </c>
      <c r="E220" s="68">
        <v>47665</v>
      </c>
      <c r="F220" s="73"/>
      <c r="G220" s="39" t="s">
        <v>60</v>
      </c>
      <c r="H220" s="39">
        <v>3</v>
      </c>
      <c r="I220" s="65">
        <v>6445.2560077601602</v>
      </c>
      <c r="J220" s="65">
        <v>6445.2560077601602</v>
      </c>
      <c r="K220" s="65">
        <v>6445.2560077601602</v>
      </c>
      <c r="L220" s="65">
        <v>6445.2560077601602</v>
      </c>
      <c r="M220" s="65">
        <v>6445.2560077601602</v>
      </c>
      <c r="N220" s="65">
        <v>6445.2560077601602</v>
      </c>
      <c r="O220" s="65">
        <v>6445.2560077601602</v>
      </c>
      <c r="P220" s="65">
        <v>6445.2560077601602</v>
      </c>
      <c r="Q220" s="65">
        <v>6445.2560077601602</v>
      </c>
      <c r="R220" s="65">
        <v>6445.2560077601602</v>
      </c>
      <c r="S220" s="65">
        <v>6445.2560077601602</v>
      </c>
      <c r="T220" s="65">
        <v>6445.2560077601602</v>
      </c>
      <c r="U220" s="65">
        <v>6445.2560077601602</v>
      </c>
      <c r="V220" s="65">
        <v>6445.2560077601602</v>
      </c>
      <c r="W220" s="65">
        <v>6445.2560077601602</v>
      </c>
      <c r="X220" s="65">
        <v>6445.2560077601602</v>
      </c>
      <c r="Y220" s="65">
        <v>6445.2560077601602</v>
      </c>
      <c r="Z220" s="65">
        <v>6445.2560077601602</v>
      </c>
      <c r="AA220" s="65">
        <v>6445.2560077601602</v>
      </c>
      <c r="AB220" s="65">
        <v>6445.2560077601602</v>
      </c>
      <c r="AC220" s="65">
        <v>6445.2560077601602</v>
      </c>
      <c r="AD220" s="65">
        <v>6445.2560077601602</v>
      </c>
      <c r="AE220" s="65">
        <v>6445.2560077601602</v>
      </c>
      <c r="AF220" s="65">
        <v>6445.2560077601602</v>
      </c>
      <c r="AG220" s="40">
        <f>+SUM(I220:AF220)*H220</f>
        <v>464058.43255873164</v>
      </c>
    </row>
    <row r="221" spans="2:33" ht="14.4" x14ac:dyDescent="0.25">
      <c r="B221">
        <f t="shared" si="78"/>
        <v>7</v>
      </c>
      <c r="C221">
        <f t="shared" si="79"/>
        <v>2030</v>
      </c>
      <c r="D221" t="str">
        <f t="shared" si="92"/>
        <v>72030DO</v>
      </c>
      <c r="E221" s="68">
        <v>47665</v>
      </c>
      <c r="F221" s="73"/>
      <c r="G221" s="41" t="s">
        <v>58</v>
      </c>
      <c r="H221" s="41">
        <v>4</v>
      </c>
      <c r="I221" s="65">
        <v>6445.2560077601602</v>
      </c>
      <c r="J221" s="65">
        <v>6445.2560077601602</v>
      </c>
      <c r="K221" s="65">
        <v>6445.2560077601602</v>
      </c>
      <c r="L221" s="65">
        <v>6445.2560077601602</v>
      </c>
      <c r="M221" s="65">
        <v>6445.2560077601602</v>
      </c>
      <c r="N221" s="65">
        <v>6445.2560077601602</v>
      </c>
      <c r="O221" s="65">
        <v>6445.2560077601602</v>
      </c>
      <c r="P221" s="65">
        <v>6445.2560077601602</v>
      </c>
      <c r="Q221" s="65">
        <v>6445.2560077601602</v>
      </c>
      <c r="R221" s="65">
        <v>6445.2560077601602</v>
      </c>
      <c r="S221" s="65">
        <v>6445.2560077601602</v>
      </c>
      <c r="T221" s="65">
        <v>6445.2560077601602</v>
      </c>
      <c r="U221" s="65">
        <v>6445.2560077601602</v>
      </c>
      <c r="V221" s="65">
        <v>6445.2560077601602</v>
      </c>
      <c r="W221" s="65">
        <v>6445.2560077601602</v>
      </c>
      <c r="X221" s="65">
        <v>6445.2560077601602</v>
      </c>
      <c r="Y221" s="65">
        <v>6445.2560077601602</v>
      </c>
      <c r="Z221" s="65">
        <v>6445.2560077601602</v>
      </c>
      <c r="AA221" s="65">
        <v>6445.2560077601602</v>
      </c>
      <c r="AB221" s="65">
        <v>6445.2560077601602</v>
      </c>
      <c r="AC221" s="65">
        <v>6445.2560077601602</v>
      </c>
      <c r="AD221" s="65">
        <v>6445.2560077601602</v>
      </c>
      <c r="AE221" s="65">
        <v>6445.2560077601602</v>
      </c>
      <c r="AF221" s="65">
        <v>6445.2560077601602</v>
      </c>
      <c r="AG221" s="40">
        <f>+SUM(I221:AF221)*H221</f>
        <v>618744.57674497552</v>
      </c>
    </row>
    <row r="222" spans="2:33" ht="14.4" x14ac:dyDescent="0.25">
      <c r="B222">
        <f t="shared" si="78"/>
        <v>7</v>
      </c>
      <c r="C222">
        <f t="shared" si="79"/>
        <v>2030</v>
      </c>
      <c r="D222" t="str">
        <f t="shared" si="92"/>
        <v>72030FE</v>
      </c>
      <c r="E222" s="68">
        <v>47665</v>
      </c>
      <c r="F222" s="73"/>
      <c r="G222" s="42" t="s">
        <v>59</v>
      </c>
      <c r="H222" s="42">
        <v>2</v>
      </c>
      <c r="I222" s="65">
        <v>6445.2560077601602</v>
      </c>
      <c r="J222" s="65">
        <v>6445.2560077601602</v>
      </c>
      <c r="K222" s="65">
        <v>6445.2560077601602</v>
      </c>
      <c r="L222" s="65">
        <v>6445.2560077601602</v>
      </c>
      <c r="M222" s="65">
        <v>6445.2560077601602</v>
      </c>
      <c r="N222" s="65">
        <v>6445.2560077601602</v>
      </c>
      <c r="O222" s="65">
        <v>6445.2560077601602</v>
      </c>
      <c r="P222" s="65">
        <v>6445.2560077601602</v>
      </c>
      <c r="Q222" s="65">
        <v>6445.2560077601602</v>
      </c>
      <c r="R222" s="65">
        <v>6445.2560077601602</v>
      </c>
      <c r="S222" s="65">
        <v>6445.2560077601602</v>
      </c>
      <c r="T222" s="65">
        <v>6445.2560077601602</v>
      </c>
      <c r="U222" s="65">
        <v>6445.2560077601602</v>
      </c>
      <c r="V222" s="65">
        <v>6445.2560077601602</v>
      </c>
      <c r="W222" s="65">
        <v>6445.2560077601602</v>
      </c>
      <c r="X222" s="65">
        <v>6445.2560077601602</v>
      </c>
      <c r="Y222" s="65">
        <v>6445.2560077601602</v>
      </c>
      <c r="Z222" s="65">
        <v>6445.2560077601602</v>
      </c>
      <c r="AA222" s="65">
        <v>6445.2560077601602</v>
      </c>
      <c r="AB222" s="65">
        <v>6445.2560077601602</v>
      </c>
      <c r="AC222" s="65">
        <v>6445.2560077601602</v>
      </c>
      <c r="AD222" s="65">
        <v>6445.2560077601602</v>
      </c>
      <c r="AE222" s="65">
        <v>6445.2560077601602</v>
      </c>
      <c r="AF222" s="65">
        <v>6445.2560077601602</v>
      </c>
      <c r="AG222" s="43">
        <f>+SUM(I222:AF222)*H222</f>
        <v>309372.28837248776</v>
      </c>
    </row>
    <row r="223" spans="2:33" ht="15" thickBot="1" x14ac:dyDescent="0.3">
      <c r="B223">
        <f t="shared" si="78"/>
        <v>7</v>
      </c>
      <c r="C223">
        <f t="shared" si="79"/>
        <v>2030</v>
      </c>
      <c r="D223" t="str">
        <f>+_xlfn.CONCAT(E223,G223)</f>
        <v>47665TOTAL</v>
      </c>
      <c r="E223" s="68">
        <v>47665</v>
      </c>
      <c r="F223" s="61"/>
      <c r="G223" s="44" t="s">
        <v>10</v>
      </c>
      <c r="H223" s="44">
        <f>+SUM(H219:H222)</f>
        <v>31</v>
      </c>
      <c r="I223" s="45">
        <f t="shared" ref="I223:AF223" si="93">+SUMPRODUCT(I219:I222,$H219:$H222)</f>
        <v>199802.93624056503</v>
      </c>
      <c r="J223" s="45">
        <f t="shared" si="93"/>
        <v>199802.93624056503</v>
      </c>
      <c r="K223" s="45">
        <f t="shared" si="93"/>
        <v>199802.93624056503</v>
      </c>
      <c r="L223" s="45">
        <f t="shared" si="93"/>
        <v>199802.93624056503</v>
      </c>
      <c r="M223" s="45">
        <f t="shared" si="93"/>
        <v>199802.93624056503</v>
      </c>
      <c r="N223" s="45">
        <f t="shared" si="93"/>
        <v>199802.93624056503</v>
      </c>
      <c r="O223" s="45">
        <f t="shared" si="93"/>
        <v>199802.93624056503</v>
      </c>
      <c r="P223" s="45">
        <f t="shared" si="93"/>
        <v>199802.93624056503</v>
      </c>
      <c r="Q223" s="45">
        <f t="shared" si="93"/>
        <v>199802.93624056503</v>
      </c>
      <c r="R223" s="45">
        <f t="shared" si="93"/>
        <v>199802.93624056503</v>
      </c>
      <c r="S223" s="45">
        <f t="shared" si="93"/>
        <v>199802.93624056503</v>
      </c>
      <c r="T223" s="45">
        <f t="shared" si="93"/>
        <v>199802.93624056503</v>
      </c>
      <c r="U223" s="45">
        <f t="shared" si="93"/>
        <v>199802.93624056503</v>
      </c>
      <c r="V223" s="45">
        <f t="shared" si="93"/>
        <v>199802.93624056503</v>
      </c>
      <c r="W223" s="45">
        <f t="shared" si="93"/>
        <v>199802.93624056503</v>
      </c>
      <c r="X223" s="45">
        <f t="shared" si="93"/>
        <v>199802.93624056503</v>
      </c>
      <c r="Y223" s="45">
        <f t="shared" si="93"/>
        <v>199802.93624056503</v>
      </c>
      <c r="Z223" s="45">
        <f t="shared" si="93"/>
        <v>199802.93624056503</v>
      </c>
      <c r="AA223" s="45">
        <f t="shared" si="93"/>
        <v>199802.93624056503</v>
      </c>
      <c r="AB223" s="45">
        <f t="shared" si="93"/>
        <v>199802.93624056503</v>
      </c>
      <c r="AC223" s="45">
        <f t="shared" si="93"/>
        <v>199802.93624056503</v>
      </c>
      <c r="AD223" s="45">
        <f t="shared" si="93"/>
        <v>199802.93624056503</v>
      </c>
      <c r="AE223" s="45">
        <f t="shared" si="93"/>
        <v>199802.93624056503</v>
      </c>
      <c r="AF223" s="45">
        <f t="shared" si="93"/>
        <v>199802.93624056503</v>
      </c>
      <c r="AG223" s="46">
        <f>SUM(I223:AF223)</f>
        <v>4795270.4697735608</v>
      </c>
    </row>
    <row r="224" spans="2:33" ht="14.4" x14ac:dyDescent="0.25">
      <c r="B224">
        <f t="shared" si="78"/>
        <v>8</v>
      </c>
      <c r="C224">
        <f t="shared" si="79"/>
        <v>2030</v>
      </c>
      <c r="D224" t="str">
        <f t="shared" ref="D224:D227" si="94">+_xlfn.CONCAT(B224:C224,G224)</f>
        <v>82030OR</v>
      </c>
      <c r="E224" s="67">
        <v>47696</v>
      </c>
      <c r="F224" s="72">
        <f>+AG228</f>
        <v>4646200.3718029177</v>
      </c>
      <c r="G224" s="37" t="s">
        <v>57</v>
      </c>
      <c r="H224" s="37">
        <v>20</v>
      </c>
      <c r="I224" s="65">
        <v>6244.8929728533849</v>
      </c>
      <c r="J224" s="65">
        <v>6244.8929728533849</v>
      </c>
      <c r="K224" s="65">
        <v>6244.8929728533849</v>
      </c>
      <c r="L224" s="65">
        <v>6244.8929728533849</v>
      </c>
      <c r="M224" s="65">
        <v>6244.8929728533849</v>
      </c>
      <c r="N224" s="65">
        <v>6244.8929728533849</v>
      </c>
      <c r="O224" s="65">
        <v>6244.8929728533849</v>
      </c>
      <c r="P224" s="65">
        <v>6244.8929728533849</v>
      </c>
      <c r="Q224" s="65">
        <v>6244.8929728533849</v>
      </c>
      <c r="R224" s="65">
        <v>6244.8929728533849</v>
      </c>
      <c r="S224" s="65">
        <v>6244.8929728533849</v>
      </c>
      <c r="T224" s="65">
        <v>6244.8929728533849</v>
      </c>
      <c r="U224" s="65">
        <v>6244.8929728533849</v>
      </c>
      <c r="V224" s="65">
        <v>6244.8929728533849</v>
      </c>
      <c r="W224" s="65">
        <v>6244.8929728533849</v>
      </c>
      <c r="X224" s="65">
        <v>6244.8929728533849</v>
      </c>
      <c r="Y224" s="65">
        <v>6244.8929728533849</v>
      </c>
      <c r="Z224" s="65">
        <v>6244.8929728533849</v>
      </c>
      <c r="AA224" s="65">
        <v>6244.8929728533849</v>
      </c>
      <c r="AB224" s="65">
        <v>6244.8929728533849</v>
      </c>
      <c r="AC224" s="65">
        <v>6244.8929728533849</v>
      </c>
      <c r="AD224" s="65">
        <v>6244.8929728533849</v>
      </c>
      <c r="AE224" s="65">
        <v>6244.8929728533849</v>
      </c>
      <c r="AF224" s="65">
        <v>6244.8929728533849</v>
      </c>
      <c r="AG224" s="38">
        <f>+SUM(I224:AF224)*H224</f>
        <v>2997548.6269696248</v>
      </c>
    </row>
    <row r="225" spans="2:33" ht="14.4" x14ac:dyDescent="0.25">
      <c r="B225">
        <f t="shared" si="78"/>
        <v>8</v>
      </c>
      <c r="C225">
        <f t="shared" si="79"/>
        <v>2030</v>
      </c>
      <c r="D225" t="str">
        <f t="shared" si="94"/>
        <v>82030SA</v>
      </c>
      <c r="E225" s="68">
        <v>47696</v>
      </c>
      <c r="F225" s="73"/>
      <c r="G225" s="39" t="s">
        <v>60</v>
      </c>
      <c r="H225" s="39">
        <v>5</v>
      </c>
      <c r="I225" s="65">
        <v>6244.8929728533867</v>
      </c>
      <c r="J225" s="65">
        <v>6244.8929728533867</v>
      </c>
      <c r="K225" s="65">
        <v>6244.8929728533867</v>
      </c>
      <c r="L225" s="65">
        <v>6244.8929728533867</v>
      </c>
      <c r="M225" s="65">
        <v>6244.8929728533867</v>
      </c>
      <c r="N225" s="65">
        <v>6244.8929728533867</v>
      </c>
      <c r="O225" s="65">
        <v>6244.8929728533867</v>
      </c>
      <c r="P225" s="65">
        <v>6244.8929728533867</v>
      </c>
      <c r="Q225" s="65">
        <v>6244.8929728533867</v>
      </c>
      <c r="R225" s="65">
        <v>6244.8929728533867</v>
      </c>
      <c r="S225" s="65">
        <v>6244.8929728533867</v>
      </c>
      <c r="T225" s="65">
        <v>6244.8929728533867</v>
      </c>
      <c r="U225" s="65">
        <v>6244.8929728533867</v>
      </c>
      <c r="V225" s="65">
        <v>6244.8929728533867</v>
      </c>
      <c r="W225" s="65">
        <v>6244.8929728533867</v>
      </c>
      <c r="X225" s="65">
        <v>6244.8929728533867</v>
      </c>
      <c r="Y225" s="65">
        <v>6244.8929728533867</v>
      </c>
      <c r="Z225" s="65">
        <v>6244.8929728533867</v>
      </c>
      <c r="AA225" s="65">
        <v>6244.8929728533867</v>
      </c>
      <c r="AB225" s="65">
        <v>6244.8929728533867</v>
      </c>
      <c r="AC225" s="65">
        <v>6244.8929728533867</v>
      </c>
      <c r="AD225" s="65">
        <v>6244.8929728533867</v>
      </c>
      <c r="AE225" s="65">
        <v>6244.8929728533867</v>
      </c>
      <c r="AF225" s="65">
        <v>6244.8929728533867</v>
      </c>
      <c r="AG225" s="40">
        <f>+SUM(I225:AF225)*H225</f>
        <v>749387.15674240619</v>
      </c>
    </row>
    <row r="226" spans="2:33" ht="14.4" x14ac:dyDescent="0.25">
      <c r="B226">
        <f t="shared" si="78"/>
        <v>8</v>
      </c>
      <c r="C226">
        <f t="shared" si="79"/>
        <v>2030</v>
      </c>
      <c r="D226" t="str">
        <f t="shared" si="94"/>
        <v>82030DO</v>
      </c>
      <c r="E226" s="68">
        <v>47696</v>
      </c>
      <c r="F226" s="73"/>
      <c r="G226" s="41" t="s">
        <v>58</v>
      </c>
      <c r="H226" s="41">
        <v>4</v>
      </c>
      <c r="I226" s="65">
        <v>6244.8929728533867</v>
      </c>
      <c r="J226" s="65">
        <v>6244.8929728533867</v>
      </c>
      <c r="K226" s="65">
        <v>6244.8929728533867</v>
      </c>
      <c r="L226" s="65">
        <v>6244.8929728533867</v>
      </c>
      <c r="M226" s="65">
        <v>6244.8929728533867</v>
      </c>
      <c r="N226" s="65">
        <v>6244.8929728533867</v>
      </c>
      <c r="O226" s="65">
        <v>6244.8929728533867</v>
      </c>
      <c r="P226" s="65">
        <v>6244.8929728533867</v>
      </c>
      <c r="Q226" s="65">
        <v>6244.8929728533867</v>
      </c>
      <c r="R226" s="65">
        <v>6244.8929728533867</v>
      </c>
      <c r="S226" s="65">
        <v>6244.8929728533867</v>
      </c>
      <c r="T226" s="65">
        <v>6244.8929728533867</v>
      </c>
      <c r="U226" s="65">
        <v>6244.8929728533867</v>
      </c>
      <c r="V226" s="65">
        <v>6244.8929728533867</v>
      </c>
      <c r="W226" s="65">
        <v>6244.8929728533867</v>
      </c>
      <c r="X226" s="65">
        <v>6244.8929728533867</v>
      </c>
      <c r="Y226" s="65">
        <v>6244.8929728533867</v>
      </c>
      <c r="Z226" s="65">
        <v>6244.8929728533867</v>
      </c>
      <c r="AA226" s="65">
        <v>6244.8929728533867</v>
      </c>
      <c r="AB226" s="65">
        <v>6244.8929728533867</v>
      </c>
      <c r="AC226" s="65">
        <v>6244.8929728533867</v>
      </c>
      <c r="AD226" s="65">
        <v>6244.8929728533867</v>
      </c>
      <c r="AE226" s="65">
        <v>6244.8929728533867</v>
      </c>
      <c r="AF226" s="65">
        <v>6244.8929728533867</v>
      </c>
      <c r="AG226" s="40">
        <f>+SUM(I226:AF226)*H226</f>
        <v>599509.72539392498</v>
      </c>
    </row>
    <row r="227" spans="2:33" ht="14.4" x14ac:dyDescent="0.25">
      <c r="B227">
        <f t="shared" si="78"/>
        <v>8</v>
      </c>
      <c r="C227">
        <f t="shared" si="79"/>
        <v>2030</v>
      </c>
      <c r="D227" t="str">
        <f t="shared" si="94"/>
        <v>82030FE</v>
      </c>
      <c r="E227" s="68">
        <v>47696</v>
      </c>
      <c r="F227" s="73"/>
      <c r="G227" s="42" t="s">
        <v>59</v>
      </c>
      <c r="H227" s="42">
        <v>2</v>
      </c>
      <c r="I227" s="65">
        <v>6244.8929728533867</v>
      </c>
      <c r="J227" s="65">
        <v>6244.8929728533867</v>
      </c>
      <c r="K227" s="65">
        <v>6244.8929728533867</v>
      </c>
      <c r="L227" s="65">
        <v>6244.8929728533867</v>
      </c>
      <c r="M227" s="65">
        <v>6244.8929728533867</v>
      </c>
      <c r="N227" s="65">
        <v>6244.8929728533867</v>
      </c>
      <c r="O227" s="65">
        <v>6244.8929728533867</v>
      </c>
      <c r="P227" s="65">
        <v>6244.8929728533867</v>
      </c>
      <c r="Q227" s="65">
        <v>6244.8929728533867</v>
      </c>
      <c r="R227" s="65">
        <v>6244.8929728533867</v>
      </c>
      <c r="S227" s="65">
        <v>6244.8929728533867</v>
      </c>
      <c r="T227" s="65">
        <v>6244.8929728533867</v>
      </c>
      <c r="U227" s="65">
        <v>6244.8929728533867</v>
      </c>
      <c r="V227" s="65">
        <v>6244.8929728533867</v>
      </c>
      <c r="W227" s="65">
        <v>6244.8929728533867</v>
      </c>
      <c r="X227" s="65">
        <v>6244.8929728533867</v>
      </c>
      <c r="Y227" s="65">
        <v>6244.8929728533867</v>
      </c>
      <c r="Z227" s="65">
        <v>6244.8929728533867</v>
      </c>
      <c r="AA227" s="65">
        <v>6244.8929728533867</v>
      </c>
      <c r="AB227" s="65">
        <v>6244.8929728533867</v>
      </c>
      <c r="AC227" s="65">
        <v>6244.8929728533867</v>
      </c>
      <c r="AD227" s="65">
        <v>6244.8929728533867</v>
      </c>
      <c r="AE227" s="65">
        <v>6244.8929728533867</v>
      </c>
      <c r="AF227" s="65">
        <v>6244.8929728533867</v>
      </c>
      <c r="AG227" s="43">
        <f>+SUM(I227:AF227)*H227</f>
        <v>299754.86269696249</v>
      </c>
    </row>
    <row r="228" spans="2:33" ht="15" thickBot="1" x14ac:dyDescent="0.3">
      <c r="B228">
        <f t="shared" si="78"/>
        <v>8</v>
      </c>
      <c r="C228">
        <f t="shared" si="79"/>
        <v>2030</v>
      </c>
      <c r="D228" t="str">
        <f>+_xlfn.CONCAT(E228,G228)</f>
        <v>47696TOTAL</v>
      </c>
      <c r="E228" s="68">
        <v>47696</v>
      </c>
      <c r="F228" s="61"/>
      <c r="G228" s="44" t="s">
        <v>10</v>
      </c>
      <c r="H228" s="44">
        <f>+SUM(H224:H227)</f>
        <v>31</v>
      </c>
      <c r="I228" s="45">
        <f t="shared" ref="I228:AF228" si="95">+SUMPRODUCT(I224:I227,$H224:$H227)</f>
        <v>193591.68215845493</v>
      </c>
      <c r="J228" s="45">
        <f t="shared" si="95"/>
        <v>193591.68215845493</v>
      </c>
      <c r="K228" s="45">
        <f t="shared" si="95"/>
        <v>193591.68215845493</v>
      </c>
      <c r="L228" s="45">
        <f t="shared" si="95"/>
        <v>193591.68215845493</v>
      </c>
      <c r="M228" s="45">
        <f t="shared" si="95"/>
        <v>193591.68215845493</v>
      </c>
      <c r="N228" s="45">
        <f t="shared" si="95"/>
        <v>193591.68215845493</v>
      </c>
      <c r="O228" s="45">
        <f t="shared" si="95"/>
        <v>193591.68215845493</v>
      </c>
      <c r="P228" s="45">
        <f t="shared" si="95"/>
        <v>193591.68215845493</v>
      </c>
      <c r="Q228" s="45">
        <f t="shared" si="95"/>
        <v>193591.68215845493</v>
      </c>
      <c r="R228" s="45">
        <f t="shared" si="95"/>
        <v>193591.68215845493</v>
      </c>
      <c r="S228" s="45">
        <f t="shared" si="95"/>
        <v>193591.68215845493</v>
      </c>
      <c r="T228" s="45">
        <f t="shared" si="95"/>
        <v>193591.68215845493</v>
      </c>
      <c r="U228" s="45">
        <f t="shared" si="95"/>
        <v>193591.68215845493</v>
      </c>
      <c r="V228" s="45">
        <f t="shared" si="95"/>
        <v>193591.68215845493</v>
      </c>
      <c r="W228" s="45">
        <f t="shared" si="95"/>
        <v>193591.68215845493</v>
      </c>
      <c r="X228" s="45">
        <f t="shared" si="95"/>
        <v>193591.68215845493</v>
      </c>
      <c r="Y228" s="45">
        <f t="shared" si="95"/>
        <v>193591.68215845493</v>
      </c>
      <c r="Z228" s="45">
        <f t="shared" si="95"/>
        <v>193591.68215845493</v>
      </c>
      <c r="AA228" s="45">
        <f t="shared" si="95"/>
        <v>193591.68215845493</v>
      </c>
      <c r="AB228" s="45">
        <f t="shared" si="95"/>
        <v>193591.68215845493</v>
      </c>
      <c r="AC228" s="45">
        <f t="shared" si="95"/>
        <v>193591.68215845493</v>
      </c>
      <c r="AD228" s="45">
        <f t="shared" si="95"/>
        <v>193591.68215845493</v>
      </c>
      <c r="AE228" s="45">
        <f t="shared" si="95"/>
        <v>193591.68215845493</v>
      </c>
      <c r="AF228" s="45">
        <f t="shared" si="95"/>
        <v>193591.68215845493</v>
      </c>
      <c r="AG228" s="46">
        <f>SUM(I228:AF228)</f>
        <v>4646200.3718029177</v>
      </c>
    </row>
    <row r="229" spans="2:33" ht="14.4" x14ac:dyDescent="0.25">
      <c r="B229">
        <f t="shared" si="78"/>
        <v>9</v>
      </c>
      <c r="C229">
        <f t="shared" si="79"/>
        <v>2030</v>
      </c>
      <c r="D229" t="str">
        <f t="shared" ref="D229:D232" si="96">+_xlfn.CONCAT(B229:C229,G229)</f>
        <v>92030OR</v>
      </c>
      <c r="E229" s="67">
        <v>47727</v>
      </c>
      <c r="F229" s="72">
        <f>+AG233</f>
        <v>4385012.8530983059</v>
      </c>
      <c r="G229" s="37" t="s">
        <v>57</v>
      </c>
      <c r="H229" s="37">
        <v>21</v>
      </c>
      <c r="I229" s="65">
        <v>6090.2956293032021</v>
      </c>
      <c r="J229" s="65">
        <v>6090.2956293032021</v>
      </c>
      <c r="K229" s="65">
        <v>6090.2956293032021</v>
      </c>
      <c r="L229" s="65">
        <v>6090.2956293032021</v>
      </c>
      <c r="M229" s="65">
        <v>6090.2956293032021</v>
      </c>
      <c r="N229" s="65">
        <v>6090.2956293032021</v>
      </c>
      <c r="O229" s="65">
        <v>6090.2956293032021</v>
      </c>
      <c r="P229" s="65">
        <v>6090.2956293032021</v>
      </c>
      <c r="Q229" s="65">
        <v>6090.2956293032021</v>
      </c>
      <c r="R229" s="65">
        <v>6090.2956293032021</v>
      </c>
      <c r="S229" s="65">
        <v>6090.2956293032021</v>
      </c>
      <c r="T229" s="65">
        <v>6090.2956293032021</v>
      </c>
      <c r="U229" s="65">
        <v>6090.2956293032021</v>
      </c>
      <c r="V229" s="65">
        <v>6090.2956293032021</v>
      </c>
      <c r="W229" s="65">
        <v>6090.2956293032021</v>
      </c>
      <c r="X229" s="65">
        <v>6090.2956293032021</v>
      </c>
      <c r="Y229" s="65">
        <v>6090.2956293032021</v>
      </c>
      <c r="Z229" s="65">
        <v>6090.2956293032021</v>
      </c>
      <c r="AA229" s="65">
        <v>6090.2956293032021</v>
      </c>
      <c r="AB229" s="65">
        <v>6090.2956293032021</v>
      </c>
      <c r="AC229" s="65">
        <v>6090.2956293032021</v>
      </c>
      <c r="AD229" s="65">
        <v>6090.2956293032021</v>
      </c>
      <c r="AE229" s="65">
        <v>6090.2956293032021</v>
      </c>
      <c r="AF229" s="65">
        <v>6090.2956293032021</v>
      </c>
      <c r="AG229" s="38">
        <f>+SUM(I229:AF229)*H229</f>
        <v>3069508.9971688143</v>
      </c>
    </row>
    <row r="230" spans="2:33" ht="14.4" x14ac:dyDescent="0.25">
      <c r="B230">
        <f t="shared" si="78"/>
        <v>9</v>
      </c>
      <c r="C230">
        <f t="shared" si="79"/>
        <v>2030</v>
      </c>
      <c r="D230" t="str">
        <f t="shared" si="96"/>
        <v>92030SA</v>
      </c>
      <c r="E230" s="68">
        <v>47727</v>
      </c>
      <c r="F230" s="73"/>
      <c r="G230" s="39" t="s">
        <v>60</v>
      </c>
      <c r="H230" s="39">
        <v>4</v>
      </c>
      <c r="I230" s="65">
        <v>6090.2956293032003</v>
      </c>
      <c r="J230" s="65">
        <v>6090.2956293032003</v>
      </c>
      <c r="K230" s="65">
        <v>6090.2956293032003</v>
      </c>
      <c r="L230" s="65">
        <v>6090.2956293032003</v>
      </c>
      <c r="M230" s="65">
        <v>6090.2956293032003</v>
      </c>
      <c r="N230" s="65">
        <v>6090.2956293032003</v>
      </c>
      <c r="O230" s="65">
        <v>6090.2956293032003</v>
      </c>
      <c r="P230" s="65">
        <v>6090.2956293032003</v>
      </c>
      <c r="Q230" s="65">
        <v>6090.2956293032003</v>
      </c>
      <c r="R230" s="65">
        <v>6090.2956293032003</v>
      </c>
      <c r="S230" s="65">
        <v>6090.2956293032003</v>
      </c>
      <c r="T230" s="65">
        <v>6090.2956293032003</v>
      </c>
      <c r="U230" s="65">
        <v>6090.2956293032003</v>
      </c>
      <c r="V230" s="65">
        <v>6090.2956293032003</v>
      </c>
      <c r="W230" s="65">
        <v>6090.2956293032003</v>
      </c>
      <c r="X230" s="65">
        <v>6090.2956293032003</v>
      </c>
      <c r="Y230" s="65">
        <v>6090.2956293032003</v>
      </c>
      <c r="Z230" s="65">
        <v>6090.2956293032003</v>
      </c>
      <c r="AA230" s="65">
        <v>6090.2956293032003</v>
      </c>
      <c r="AB230" s="65">
        <v>6090.2956293032003</v>
      </c>
      <c r="AC230" s="65">
        <v>6090.2956293032003</v>
      </c>
      <c r="AD230" s="65">
        <v>6090.2956293032003</v>
      </c>
      <c r="AE230" s="65">
        <v>6090.2956293032003</v>
      </c>
      <c r="AF230" s="65">
        <v>6090.2956293032003</v>
      </c>
      <c r="AG230" s="40">
        <f>+SUM(I230:AF230)*H230</f>
        <v>584668.38041310746</v>
      </c>
    </row>
    <row r="231" spans="2:33" ht="14.4" x14ac:dyDescent="0.25">
      <c r="B231">
        <f t="shared" si="78"/>
        <v>9</v>
      </c>
      <c r="C231">
        <f t="shared" si="79"/>
        <v>2030</v>
      </c>
      <c r="D231" t="str">
        <f t="shared" si="96"/>
        <v>92030DO</v>
      </c>
      <c r="E231" s="68">
        <v>47727</v>
      </c>
      <c r="F231" s="73"/>
      <c r="G231" s="41" t="s">
        <v>58</v>
      </c>
      <c r="H231" s="41">
        <v>5</v>
      </c>
      <c r="I231" s="65">
        <v>6090.2956293032003</v>
      </c>
      <c r="J231" s="65">
        <v>6090.2956293032003</v>
      </c>
      <c r="K231" s="65">
        <v>6090.2956293032003</v>
      </c>
      <c r="L231" s="65">
        <v>6090.2956293032003</v>
      </c>
      <c r="M231" s="65">
        <v>6090.2956293032003</v>
      </c>
      <c r="N231" s="65">
        <v>6090.2956293032003</v>
      </c>
      <c r="O231" s="65">
        <v>6090.2956293032003</v>
      </c>
      <c r="P231" s="65">
        <v>6090.2956293032003</v>
      </c>
      <c r="Q231" s="65">
        <v>6090.2956293032003</v>
      </c>
      <c r="R231" s="65">
        <v>6090.2956293032003</v>
      </c>
      <c r="S231" s="65">
        <v>6090.2956293032003</v>
      </c>
      <c r="T231" s="65">
        <v>6090.2956293032003</v>
      </c>
      <c r="U231" s="65">
        <v>6090.2956293032003</v>
      </c>
      <c r="V231" s="65">
        <v>6090.2956293032003</v>
      </c>
      <c r="W231" s="65">
        <v>6090.2956293032003</v>
      </c>
      <c r="X231" s="65">
        <v>6090.2956293032003</v>
      </c>
      <c r="Y231" s="65">
        <v>6090.2956293032003</v>
      </c>
      <c r="Z231" s="65">
        <v>6090.2956293032003</v>
      </c>
      <c r="AA231" s="65">
        <v>6090.2956293032003</v>
      </c>
      <c r="AB231" s="65">
        <v>6090.2956293032003</v>
      </c>
      <c r="AC231" s="65">
        <v>6090.2956293032003</v>
      </c>
      <c r="AD231" s="65">
        <v>6090.2956293032003</v>
      </c>
      <c r="AE231" s="65">
        <v>6090.2956293032003</v>
      </c>
      <c r="AF231" s="65">
        <v>6090.2956293032003</v>
      </c>
      <c r="AG231" s="40">
        <f>+SUM(I231:AF231)*H231</f>
        <v>730835.47551638435</v>
      </c>
    </row>
    <row r="232" spans="2:33" ht="14.4" x14ac:dyDescent="0.25">
      <c r="B232">
        <f t="shared" si="78"/>
        <v>9</v>
      </c>
      <c r="C232">
        <f t="shared" si="79"/>
        <v>2030</v>
      </c>
      <c r="D232" t="str">
        <f t="shared" si="96"/>
        <v>92030FE</v>
      </c>
      <c r="E232" s="68">
        <v>47727</v>
      </c>
      <c r="F232" s="73"/>
      <c r="G232" s="42" t="s">
        <v>59</v>
      </c>
      <c r="H232" s="42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0</v>
      </c>
      <c r="AA232" s="65">
        <v>0</v>
      </c>
      <c r="AB232" s="65">
        <v>0</v>
      </c>
      <c r="AC232" s="65">
        <v>0</v>
      </c>
      <c r="AD232" s="65">
        <v>0</v>
      </c>
      <c r="AE232" s="65">
        <v>0</v>
      </c>
      <c r="AF232" s="65">
        <v>0</v>
      </c>
      <c r="AG232" s="43">
        <f>+SUM(I232:AF232)*H232</f>
        <v>0</v>
      </c>
    </row>
    <row r="233" spans="2:33" ht="15" thickBot="1" x14ac:dyDescent="0.3">
      <c r="B233">
        <f t="shared" si="78"/>
        <v>9</v>
      </c>
      <c r="C233">
        <f t="shared" si="79"/>
        <v>2030</v>
      </c>
      <c r="D233" t="str">
        <f>+_xlfn.CONCAT(E233,G233)</f>
        <v>47727TOTAL</v>
      </c>
      <c r="E233" s="68">
        <v>47727</v>
      </c>
      <c r="F233" s="61"/>
      <c r="G233" s="44" t="s">
        <v>10</v>
      </c>
      <c r="H233" s="44">
        <f>+SUM(H229:H232)</f>
        <v>30</v>
      </c>
      <c r="I233" s="45">
        <f t="shared" ref="I233:AF233" si="97">+SUMPRODUCT(I229:I232,$H229:$H232)</f>
        <v>182708.86887909603</v>
      </c>
      <c r="J233" s="45">
        <f t="shared" si="97"/>
        <v>182708.86887909603</v>
      </c>
      <c r="K233" s="45">
        <f t="shared" si="97"/>
        <v>182708.86887909603</v>
      </c>
      <c r="L233" s="45">
        <f t="shared" si="97"/>
        <v>182708.86887909603</v>
      </c>
      <c r="M233" s="45">
        <f t="shared" si="97"/>
        <v>182708.86887909603</v>
      </c>
      <c r="N233" s="45">
        <f t="shared" si="97"/>
        <v>182708.86887909603</v>
      </c>
      <c r="O233" s="45">
        <f t="shared" si="97"/>
        <v>182708.86887909603</v>
      </c>
      <c r="P233" s="45">
        <f t="shared" si="97"/>
        <v>182708.86887909603</v>
      </c>
      <c r="Q233" s="45">
        <f t="shared" si="97"/>
        <v>182708.86887909603</v>
      </c>
      <c r="R233" s="45">
        <f t="shared" si="97"/>
        <v>182708.86887909603</v>
      </c>
      <c r="S233" s="45">
        <f t="shared" si="97"/>
        <v>182708.86887909603</v>
      </c>
      <c r="T233" s="45">
        <f t="shared" si="97"/>
        <v>182708.86887909603</v>
      </c>
      <c r="U233" s="45">
        <f t="shared" si="97"/>
        <v>182708.86887909603</v>
      </c>
      <c r="V233" s="45">
        <f t="shared" si="97"/>
        <v>182708.86887909603</v>
      </c>
      <c r="W233" s="45">
        <f t="shared" si="97"/>
        <v>182708.86887909603</v>
      </c>
      <c r="X233" s="45">
        <f t="shared" si="97"/>
        <v>182708.86887909603</v>
      </c>
      <c r="Y233" s="45">
        <f t="shared" si="97"/>
        <v>182708.86887909603</v>
      </c>
      <c r="Z233" s="45">
        <f t="shared" si="97"/>
        <v>182708.86887909603</v>
      </c>
      <c r="AA233" s="45">
        <f t="shared" si="97"/>
        <v>182708.86887909603</v>
      </c>
      <c r="AB233" s="45">
        <f t="shared" si="97"/>
        <v>182708.86887909603</v>
      </c>
      <c r="AC233" s="45">
        <f t="shared" si="97"/>
        <v>182708.86887909603</v>
      </c>
      <c r="AD233" s="45">
        <f t="shared" si="97"/>
        <v>182708.86887909603</v>
      </c>
      <c r="AE233" s="45">
        <f t="shared" si="97"/>
        <v>182708.86887909603</v>
      </c>
      <c r="AF233" s="45">
        <f t="shared" si="97"/>
        <v>182708.86887909603</v>
      </c>
      <c r="AG233" s="46">
        <f>SUM(I233:AF233)</f>
        <v>4385012.8530983059</v>
      </c>
    </row>
    <row r="234" spans="2:33" ht="14.4" x14ac:dyDescent="0.25">
      <c r="B234">
        <f t="shared" si="78"/>
        <v>10</v>
      </c>
      <c r="C234">
        <f t="shared" si="79"/>
        <v>2030</v>
      </c>
      <c r="D234" t="str">
        <f t="shared" ref="D234:D237" si="98">+_xlfn.CONCAT(B234:C234,G234)</f>
        <v>102030OR</v>
      </c>
      <c r="E234" s="67">
        <v>47757</v>
      </c>
      <c r="F234" s="72">
        <f>+AG238</f>
        <v>4425789.4531502388</v>
      </c>
      <c r="G234" s="37" t="s">
        <v>57</v>
      </c>
      <c r="H234" s="37">
        <v>22</v>
      </c>
      <c r="I234" s="65">
        <v>5948.6417381051588</v>
      </c>
      <c r="J234" s="65">
        <v>5948.6417381051588</v>
      </c>
      <c r="K234" s="65">
        <v>5948.6417381051588</v>
      </c>
      <c r="L234" s="65">
        <v>5948.6417381051588</v>
      </c>
      <c r="M234" s="65">
        <v>5948.6417381051588</v>
      </c>
      <c r="N234" s="65">
        <v>5948.6417381051588</v>
      </c>
      <c r="O234" s="65">
        <v>5948.6417381051588</v>
      </c>
      <c r="P234" s="65">
        <v>5948.6417381051588</v>
      </c>
      <c r="Q234" s="65">
        <v>5948.6417381051588</v>
      </c>
      <c r="R234" s="65">
        <v>5948.6417381051588</v>
      </c>
      <c r="S234" s="65">
        <v>5948.6417381051588</v>
      </c>
      <c r="T234" s="65">
        <v>5948.6417381051588</v>
      </c>
      <c r="U234" s="65">
        <v>5948.6417381051588</v>
      </c>
      <c r="V234" s="65">
        <v>5948.6417381051588</v>
      </c>
      <c r="W234" s="65">
        <v>5948.6417381051588</v>
      </c>
      <c r="X234" s="65">
        <v>5948.6417381051588</v>
      </c>
      <c r="Y234" s="65">
        <v>5948.6417381051588</v>
      </c>
      <c r="Z234" s="65">
        <v>5948.6417381051588</v>
      </c>
      <c r="AA234" s="65">
        <v>5948.6417381051588</v>
      </c>
      <c r="AB234" s="65">
        <v>5948.6417381051588</v>
      </c>
      <c r="AC234" s="65">
        <v>5948.6417381051588</v>
      </c>
      <c r="AD234" s="65">
        <v>5948.6417381051588</v>
      </c>
      <c r="AE234" s="65">
        <v>5948.6417381051588</v>
      </c>
      <c r="AF234" s="65">
        <v>5948.6417381051588</v>
      </c>
      <c r="AG234" s="38">
        <f>+SUM(I234:AF234)*H234</f>
        <v>3140882.8377195238</v>
      </c>
    </row>
    <row r="235" spans="2:33" ht="14.4" x14ac:dyDescent="0.25">
      <c r="B235">
        <f t="shared" si="78"/>
        <v>10</v>
      </c>
      <c r="C235">
        <f t="shared" si="79"/>
        <v>2030</v>
      </c>
      <c r="D235" t="str">
        <f t="shared" si="98"/>
        <v>102030SA</v>
      </c>
      <c r="E235" s="68">
        <v>47757</v>
      </c>
      <c r="F235" s="73"/>
      <c r="G235" s="39" t="s">
        <v>60</v>
      </c>
      <c r="H235" s="39">
        <v>4</v>
      </c>
      <c r="I235" s="65">
        <v>5948.6417381051615</v>
      </c>
      <c r="J235" s="65">
        <v>5948.6417381051615</v>
      </c>
      <c r="K235" s="65">
        <v>5948.6417381051615</v>
      </c>
      <c r="L235" s="65">
        <v>5948.6417381051615</v>
      </c>
      <c r="M235" s="65">
        <v>5948.6417381051615</v>
      </c>
      <c r="N235" s="65">
        <v>5948.6417381051615</v>
      </c>
      <c r="O235" s="65">
        <v>5948.6417381051615</v>
      </c>
      <c r="P235" s="65">
        <v>5948.6417381051615</v>
      </c>
      <c r="Q235" s="65">
        <v>5948.6417381051615</v>
      </c>
      <c r="R235" s="65">
        <v>5948.6417381051615</v>
      </c>
      <c r="S235" s="65">
        <v>5948.6417381051615</v>
      </c>
      <c r="T235" s="65">
        <v>5948.6417381051615</v>
      </c>
      <c r="U235" s="65">
        <v>5948.6417381051615</v>
      </c>
      <c r="V235" s="65">
        <v>5948.6417381051615</v>
      </c>
      <c r="W235" s="65">
        <v>5948.6417381051615</v>
      </c>
      <c r="X235" s="65">
        <v>5948.6417381051615</v>
      </c>
      <c r="Y235" s="65">
        <v>5948.6417381051615</v>
      </c>
      <c r="Z235" s="65">
        <v>5948.6417381051615</v>
      </c>
      <c r="AA235" s="65">
        <v>5948.6417381051615</v>
      </c>
      <c r="AB235" s="65">
        <v>5948.6417381051615</v>
      </c>
      <c r="AC235" s="65">
        <v>5948.6417381051615</v>
      </c>
      <c r="AD235" s="65">
        <v>5948.6417381051615</v>
      </c>
      <c r="AE235" s="65">
        <v>5948.6417381051615</v>
      </c>
      <c r="AF235" s="65">
        <v>5948.6417381051615</v>
      </c>
      <c r="AG235" s="40">
        <f>+SUM(I235:AF235)*H235</f>
        <v>571069.60685809527</v>
      </c>
    </row>
    <row r="236" spans="2:33" ht="14.4" x14ac:dyDescent="0.25">
      <c r="B236">
        <f t="shared" si="78"/>
        <v>10</v>
      </c>
      <c r="C236">
        <f t="shared" si="79"/>
        <v>2030</v>
      </c>
      <c r="D236" t="str">
        <f t="shared" si="98"/>
        <v>102030DO</v>
      </c>
      <c r="E236" s="68">
        <v>47757</v>
      </c>
      <c r="F236" s="73"/>
      <c r="G236" s="41" t="s">
        <v>58</v>
      </c>
      <c r="H236" s="41">
        <v>4</v>
      </c>
      <c r="I236" s="65">
        <v>5948.6417381051615</v>
      </c>
      <c r="J236" s="65">
        <v>5948.6417381051615</v>
      </c>
      <c r="K236" s="65">
        <v>5948.6417381051615</v>
      </c>
      <c r="L236" s="65">
        <v>5948.6417381051615</v>
      </c>
      <c r="M236" s="65">
        <v>5948.6417381051615</v>
      </c>
      <c r="N236" s="65">
        <v>5948.6417381051615</v>
      </c>
      <c r="O236" s="65">
        <v>5948.6417381051615</v>
      </c>
      <c r="P236" s="65">
        <v>5948.6417381051615</v>
      </c>
      <c r="Q236" s="65">
        <v>5948.6417381051615</v>
      </c>
      <c r="R236" s="65">
        <v>5948.6417381051615</v>
      </c>
      <c r="S236" s="65">
        <v>5948.6417381051615</v>
      </c>
      <c r="T236" s="65">
        <v>5948.6417381051615</v>
      </c>
      <c r="U236" s="65">
        <v>5948.6417381051615</v>
      </c>
      <c r="V236" s="65">
        <v>5948.6417381051615</v>
      </c>
      <c r="W236" s="65">
        <v>5948.6417381051615</v>
      </c>
      <c r="X236" s="65">
        <v>5948.6417381051615</v>
      </c>
      <c r="Y236" s="65">
        <v>5948.6417381051615</v>
      </c>
      <c r="Z236" s="65">
        <v>5948.6417381051615</v>
      </c>
      <c r="AA236" s="65">
        <v>5948.6417381051615</v>
      </c>
      <c r="AB236" s="65">
        <v>5948.6417381051615</v>
      </c>
      <c r="AC236" s="65">
        <v>5948.6417381051615</v>
      </c>
      <c r="AD236" s="65">
        <v>5948.6417381051615</v>
      </c>
      <c r="AE236" s="65">
        <v>5948.6417381051615</v>
      </c>
      <c r="AF236" s="65">
        <v>5948.6417381051615</v>
      </c>
      <c r="AG236" s="40">
        <f>+SUM(I236:AF236)*H236</f>
        <v>571069.60685809527</v>
      </c>
    </row>
    <row r="237" spans="2:33" ht="14.4" x14ac:dyDescent="0.25">
      <c r="B237">
        <f t="shared" si="78"/>
        <v>10</v>
      </c>
      <c r="C237">
        <f t="shared" si="79"/>
        <v>2030</v>
      </c>
      <c r="D237" t="str">
        <f t="shared" si="98"/>
        <v>102030FE</v>
      </c>
      <c r="E237" s="68">
        <v>47757</v>
      </c>
      <c r="F237" s="73"/>
      <c r="G237" s="42" t="s">
        <v>59</v>
      </c>
      <c r="H237" s="42">
        <v>1</v>
      </c>
      <c r="I237" s="65">
        <v>5948.6417381051615</v>
      </c>
      <c r="J237" s="65">
        <v>5948.6417381051615</v>
      </c>
      <c r="K237" s="65">
        <v>5948.6417381051615</v>
      </c>
      <c r="L237" s="65">
        <v>5948.6417381051615</v>
      </c>
      <c r="M237" s="65">
        <v>5948.6417381051615</v>
      </c>
      <c r="N237" s="65">
        <v>5948.6417381051615</v>
      </c>
      <c r="O237" s="65">
        <v>5948.6417381051615</v>
      </c>
      <c r="P237" s="65">
        <v>5948.6417381051615</v>
      </c>
      <c r="Q237" s="65">
        <v>5948.6417381051615</v>
      </c>
      <c r="R237" s="65">
        <v>5948.6417381051615</v>
      </c>
      <c r="S237" s="65">
        <v>5948.6417381051615</v>
      </c>
      <c r="T237" s="65">
        <v>5948.6417381051615</v>
      </c>
      <c r="U237" s="65">
        <v>5948.6417381051615</v>
      </c>
      <c r="V237" s="65">
        <v>5948.6417381051615</v>
      </c>
      <c r="W237" s="65">
        <v>5948.6417381051615</v>
      </c>
      <c r="X237" s="65">
        <v>5948.6417381051615</v>
      </c>
      <c r="Y237" s="65">
        <v>5948.6417381051615</v>
      </c>
      <c r="Z237" s="65">
        <v>5948.6417381051615</v>
      </c>
      <c r="AA237" s="65">
        <v>5948.6417381051615</v>
      </c>
      <c r="AB237" s="65">
        <v>5948.6417381051615</v>
      </c>
      <c r="AC237" s="65">
        <v>5948.6417381051615</v>
      </c>
      <c r="AD237" s="65">
        <v>5948.6417381051615</v>
      </c>
      <c r="AE237" s="65">
        <v>5948.6417381051615</v>
      </c>
      <c r="AF237" s="65">
        <v>5948.6417381051615</v>
      </c>
      <c r="AG237" s="43">
        <f>+SUM(I237:AF237)*H237</f>
        <v>142767.40171452382</v>
      </c>
    </row>
    <row r="238" spans="2:33" ht="15" thickBot="1" x14ac:dyDescent="0.3">
      <c r="B238">
        <f t="shared" si="78"/>
        <v>10</v>
      </c>
      <c r="C238">
        <f t="shared" si="79"/>
        <v>2030</v>
      </c>
      <c r="D238" t="str">
        <f>+_xlfn.CONCAT(E238,G238)</f>
        <v>47757TOTAL</v>
      </c>
      <c r="E238" s="68">
        <v>47757</v>
      </c>
      <c r="F238" s="61"/>
      <c r="G238" s="44" t="s">
        <v>10</v>
      </c>
      <c r="H238" s="44">
        <f>+SUM(H234:H237)</f>
        <v>31</v>
      </c>
      <c r="I238" s="45">
        <f t="shared" ref="I238:AF238" si="99">+SUMPRODUCT(I234:I237,$H234:$H237)</f>
        <v>184407.89388125995</v>
      </c>
      <c r="J238" s="45">
        <f t="shared" si="99"/>
        <v>184407.89388125995</v>
      </c>
      <c r="K238" s="45">
        <f t="shared" si="99"/>
        <v>184407.89388125995</v>
      </c>
      <c r="L238" s="45">
        <f t="shared" si="99"/>
        <v>184407.89388125995</v>
      </c>
      <c r="M238" s="45">
        <f t="shared" si="99"/>
        <v>184407.89388125995</v>
      </c>
      <c r="N238" s="45">
        <f t="shared" si="99"/>
        <v>184407.89388125995</v>
      </c>
      <c r="O238" s="45">
        <f t="shared" si="99"/>
        <v>184407.89388125995</v>
      </c>
      <c r="P238" s="45">
        <f t="shared" si="99"/>
        <v>184407.89388125995</v>
      </c>
      <c r="Q238" s="45">
        <f t="shared" si="99"/>
        <v>184407.89388125995</v>
      </c>
      <c r="R238" s="45">
        <f t="shared" si="99"/>
        <v>184407.89388125995</v>
      </c>
      <c r="S238" s="45">
        <f t="shared" si="99"/>
        <v>184407.89388125995</v>
      </c>
      <c r="T238" s="45">
        <f t="shared" si="99"/>
        <v>184407.89388125995</v>
      </c>
      <c r="U238" s="45">
        <f t="shared" si="99"/>
        <v>184407.89388125995</v>
      </c>
      <c r="V238" s="45">
        <f t="shared" si="99"/>
        <v>184407.89388125995</v>
      </c>
      <c r="W238" s="45">
        <f t="shared" si="99"/>
        <v>184407.89388125995</v>
      </c>
      <c r="X238" s="45">
        <f t="shared" si="99"/>
        <v>184407.89388125995</v>
      </c>
      <c r="Y238" s="45">
        <f t="shared" si="99"/>
        <v>184407.89388125995</v>
      </c>
      <c r="Z238" s="45">
        <f t="shared" si="99"/>
        <v>184407.89388125995</v>
      </c>
      <c r="AA238" s="45">
        <f t="shared" si="99"/>
        <v>184407.89388125995</v>
      </c>
      <c r="AB238" s="45">
        <f t="shared" si="99"/>
        <v>184407.89388125995</v>
      </c>
      <c r="AC238" s="45">
        <f t="shared" si="99"/>
        <v>184407.89388125995</v>
      </c>
      <c r="AD238" s="45">
        <f t="shared" si="99"/>
        <v>184407.89388125995</v>
      </c>
      <c r="AE238" s="45">
        <f t="shared" si="99"/>
        <v>184407.89388125995</v>
      </c>
      <c r="AF238" s="45">
        <f t="shared" si="99"/>
        <v>184407.89388125995</v>
      </c>
      <c r="AG238" s="46">
        <f>SUM(I238:AF238)</f>
        <v>4425789.4531502388</v>
      </c>
    </row>
    <row r="239" spans="2:33" ht="14.4" x14ac:dyDescent="0.25">
      <c r="B239">
        <f t="shared" si="78"/>
        <v>11</v>
      </c>
      <c r="C239">
        <f t="shared" si="79"/>
        <v>2030</v>
      </c>
      <c r="D239" t="str">
        <f t="shared" ref="D239:D242" si="100">+_xlfn.CONCAT(B239:C239,G239)</f>
        <v>112030OR</v>
      </c>
      <c r="E239" s="67">
        <v>47788</v>
      </c>
      <c r="F239" s="72">
        <f>+AG243</f>
        <v>4548111.4287277209</v>
      </c>
      <c r="G239" s="37" t="s">
        <v>57</v>
      </c>
      <c r="H239" s="37">
        <v>19</v>
      </c>
      <c r="I239" s="65">
        <v>6316.8214287885021</v>
      </c>
      <c r="J239" s="65">
        <v>6316.8214287885021</v>
      </c>
      <c r="K239" s="65">
        <v>6316.8214287885021</v>
      </c>
      <c r="L239" s="65">
        <v>6316.8214287885021</v>
      </c>
      <c r="M239" s="65">
        <v>6316.8214287885021</v>
      </c>
      <c r="N239" s="65">
        <v>6316.8214287885021</v>
      </c>
      <c r="O239" s="65">
        <v>6316.8214287885021</v>
      </c>
      <c r="P239" s="65">
        <v>6316.8214287885021</v>
      </c>
      <c r="Q239" s="65">
        <v>6316.8214287885021</v>
      </c>
      <c r="R239" s="65">
        <v>6316.8214287885021</v>
      </c>
      <c r="S239" s="65">
        <v>6316.8214287885021</v>
      </c>
      <c r="T239" s="65">
        <v>6316.8214287885021</v>
      </c>
      <c r="U239" s="65">
        <v>6316.8214287885021</v>
      </c>
      <c r="V239" s="65">
        <v>6316.8214287885021</v>
      </c>
      <c r="W239" s="65">
        <v>6316.8214287885021</v>
      </c>
      <c r="X239" s="65">
        <v>6316.8214287885021</v>
      </c>
      <c r="Y239" s="65">
        <v>6316.8214287885021</v>
      </c>
      <c r="Z239" s="65">
        <v>6316.8214287885021</v>
      </c>
      <c r="AA239" s="65">
        <v>6316.8214287885021</v>
      </c>
      <c r="AB239" s="65">
        <v>6316.8214287885021</v>
      </c>
      <c r="AC239" s="65">
        <v>6316.8214287885021</v>
      </c>
      <c r="AD239" s="65">
        <v>6316.8214287885021</v>
      </c>
      <c r="AE239" s="65">
        <v>6316.8214287885021</v>
      </c>
      <c r="AF239" s="65">
        <v>6316.8214287885021</v>
      </c>
      <c r="AG239" s="38">
        <f>+SUM(I239:AF239)*H239</f>
        <v>2880470.5715275579</v>
      </c>
    </row>
    <row r="240" spans="2:33" ht="14.4" x14ac:dyDescent="0.25">
      <c r="B240">
        <f t="shared" si="78"/>
        <v>11</v>
      </c>
      <c r="C240">
        <f t="shared" si="79"/>
        <v>2030</v>
      </c>
      <c r="D240" t="str">
        <f t="shared" si="100"/>
        <v>112030SA</v>
      </c>
      <c r="E240" s="68">
        <v>47788</v>
      </c>
      <c r="F240" s="73"/>
      <c r="G240" s="39" t="s">
        <v>60</v>
      </c>
      <c r="H240" s="39">
        <v>5</v>
      </c>
      <c r="I240" s="65">
        <v>6316.8214287884994</v>
      </c>
      <c r="J240" s="65">
        <v>6316.8214287884994</v>
      </c>
      <c r="K240" s="65">
        <v>6316.8214287884994</v>
      </c>
      <c r="L240" s="65">
        <v>6316.8214287884994</v>
      </c>
      <c r="M240" s="65">
        <v>6316.8214287884994</v>
      </c>
      <c r="N240" s="65">
        <v>6316.8214287884994</v>
      </c>
      <c r="O240" s="65">
        <v>6316.8214287884994</v>
      </c>
      <c r="P240" s="65">
        <v>6316.8214287884994</v>
      </c>
      <c r="Q240" s="65">
        <v>6316.8214287884994</v>
      </c>
      <c r="R240" s="65">
        <v>6316.8214287884994</v>
      </c>
      <c r="S240" s="65">
        <v>6316.8214287884994</v>
      </c>
      <c r="T240" s="65">
        <v>6316.8214287884994</v>
      </c>
      <c r="U240" s="65">
        <v>6316.8214287884994</v>
      </c>
      <c r="V240" s="65">
        <v>6316.8214287884994</v>
      </c>
      <c r="W240" s="65">
        <v>6316.8214287884994</v>
      </c>
      <c r="X240" s="65">
        <v>6316.8214287884994</v>
      </c>
      <c r="Y240" s="65">
        <v>6316.8214287884994</v>
      </c>
      <c r="Z240" s="65">
        <v>6316.8214287884994</v>
      </c>
      <c r="AA240" s="65">
        <v>6316.8214287884994</v>
      </c>
      <c r="AB240" s="65">
        <v>6316.8214287884994</v>
      </c>
      <c r="AC240" s="65">
        <v>6316.8214287884994</v>
      </c>
      <c r="AD240" s="65">
        <v>6316.8214287884994</v>
      </c>
      <c r="AE240" s="65">
        <v>6316.8214287884994</v>
      </c>
      <c r="AF240" s="65">
        <v>6316.8214287884994</v>
      </c>
      <c r="AG240" s="40">
        <f>+SUM(I240:AF240)*H240</f>
        <v>758018.57145462022</v>
      </c>
    </row>
    <row r="241" spans="2:33" ht="14.4" x14ac:dyDescent="0.25">
      <c r="B241">
        <f t="shared" si="78"/>
        <v>11</v>
      </c>
      <c r="C241">
        <f t="shared" si="79"/>
        <v>2030</v>
      </c>
      <c r="D241" t="str">
        <f t="shared" si="100"/>
        <v>112030DO</v>
      </c>
      <c r="E241" s="68">
        <v>47788</v>
      </c>
      <c r="F241" s="73"/>
      <c r="G241" s="41" t="s">
        <v>58</v>
      </c>
      <c r="H241" s="41">
        <v>4</v>
      </c>
      <c r="I241" s="65">
        <v>6316.8214287884994</v>
      </c>
      <c r="J241" s="65">
        <v>6316.8214287884994</v>
      </c>
      <c r="K241" s="65">
        <v>6316.8214287884994</v>
      </c>
      <c r="L241" s="65">
        <v>6316.8214287884994</v>
      </c>
      <c r="M241" s="65">
        <v>6316.8214287884994</v>
      </c>
      <c r="N241" s="65">
        <v>6316.8214287884994</v>
      </c>
      <c r="O241" s="65">
        <v>6316.8214287884994</v>
      </c>
      <c r="P241" s="65">
        <v>6316.8214287884994</v>
      </c>
      <c r="Q241" s="65">
        <v>6316.8214287884994</v>
      </c>
      <c r="R241" s="65">
        <v>6316.8214287884994</v>
      </c>
      <c r="S241" s="65">
        <v>6316.8214287884994</v>
      </c>
      <c r="T241" s="65">
        <v>6316.8214287884994</v>
      </c>
      <c r="U241" s="65">
        <v>6316.8214287884994</v>
      </c>
      <c r="V241" s="65">
        <v>6316.8214287884994</v>
      </c>
      <c r="W241" s="65">
        <v>6316.8214287884994</v>
      </c>
      <c r="X241" s="65">
        <v>6316.8214287884994</v>
      </c>
      <c r="Y241" s="65">
        <v>6316.8214287884994</v>
      </c>
      <c r="Z241" s="65">
        <v>6316.8214287884994</v>
      </c>
      <c r="AA241" s="65">
        <v>6316.8214287884994</v>
      </c>
      <c r="AB241" s="65">
        <v>6316.8214287884994</v>
      </c>
      <c r="AC241" s="65">
        <v>6316.8214287884994</v>
      </c>
      <c r="AD241" s="65">
        <v>6316.8214287884994</v>
      </c>
      <c r="AE241" s="65">
        <v>6316.8214287884994</v>
      </c>
      <c r="AF241" s="65">
        <v>6316.8214287884994</v>
      </c>
      <c r="AG241" s="40">
        <f>+SUM(I241:AF241)*H241</f>
        <v>606414.8571636962</v>
      </c>
    </row>
    <row r="242" spans="2:33" ht="14.4" x14ac:dyDescent="0.25">
      <c r="B242">
        <f t="shared" si="78"/>
        <v>11</v>
      </c>
      <c r="C242">
        <f t="shared" si="79"/>
        <v>2030</v>
      </c>
      <c r="D242" t="str">
        <f t="shared" si="100"/>
        <v>112030FE</v>
      </c>
      <c r="E242" s="68">
        <v>47788</v>
      </c>
      <c r="F242" s="73"/>
      <c r="G242" s="42" t="s">
        <v>59</v>
      </c>
      <c r="H242" s="42">
        <v>2</v>
      </c>
      <c r="I242" s="65">
        <v>6316.8214287884994</v>
      </c>
      <c r="J242" s="65">
        <v>6316.8214287884994</v>
      </c>
      <c r="K242" s="65">
        <v>6316.8214287884994</v>
      </c>
      <c r="L242" s="65">
        <v>6316.8214287884994</v>
      </c>
      <c r="M242" s="65">
        <v>6316.8214287884994</v>
      </c>
      <c r="N242" s="65">
        <v>6316.8214287884994</v>
      </c>
      <c r="O242" s="65">
        <v>6316.8214287884994</v>
      </c>
      <c r="P242" s="65">
        <v>6316.8214287884994</v>
      </c>
      <c r="Q242" s="65">
        <v>6316.8214287884994</v>
      </c>
      <c r="R242" s="65">
        <v>6316.8214287884994</v>
      </c>
      <c r="S242" s="65">
        <v>6316.8214287884994</v>
      </c>
      <c r="T242" s="65">
        <v>6316.8214287884994</v>
      </c>
      <c r="U242" s="65">
        <v>6316.8214287884994</v>
      </c>
      <c r="V242" s="65">
        <v>6316.8214287884994</v>
      </c>
      <c r="W242" s="65">
        <v>6316.8214287884994</v>
      </c>
      <c r="X242" s="65">
        <v>6316.8214287884994</v>
      </c>
      <c r="Y242" s="65">
        <v>6316.8214287884994</v>
      </c>
      <c r="Z242" s="65">
        <v>6316.8214287884994</v>
      </c>
      <c r="AA242" s="65">
        <v>6316.8214287884994</v>
      </c>
      <c r="AB242" s="65">
        <v>6316.8214287884994</v>
      </c>
      <c r="AC242" s="65">
        <v>6316.8214287884994</v>
      </c>
      <c r="AD242" s="65">
        <v>6316.8214287884994</v>
      </c>
      <c r="AE242" s="65">
        <v>6316.8214287884994</v>
      </c>
      <c r="AF242" s="65">
        <v>6316.8214287884994</v>
      </c>
      <c r="AG242" s="43">
        <f>+SUM(I242:AF242)*H242</f>
        <v>303207.4285818481</v>
      </c>
    </row>
    <row r="243" spans="2:33" ht="15" thickBot="1" x14ac:dyDescent="0.3">
      <c r="B243">
        <f t="shared" si="78"/>
        <v>11</v>
      </c>
      <c r="C243">
        <f t="shared" si="79"/>
        <v>2030</v>
      </c>
      <c r="D243" t="str">
        <f>+_xlfn.CONCAT(E243,G243)</f>
        <v>47788TOTAL</v>
      </c>
      <c r="E243" s="68">
        <v>47788</v>
      </c>
      <c r="F243" s="61"/>
      <c r="G243" s="44" t="s">
        <v>10</v>
      </c>
      <c r="H243" s="44">
        <f>+SUM(H239:H242)</f>
        <v>30</v>
      </c>
      <c r="I243" s="45">
        <f t="shared" ref="I243:AF243" si="101">+SUMPRODUCT(I239:I242,$H239:$H242)</f>
        <v>189504.64286365503</v>
      </c>
      <c r="J243" s="45">
        <f t="shared" si="101"/>
        <v>189504.64286365503</v>
      </c>
      <c r="K243" s="45">
        <f t="shared" si="101"/>
        <v>189504.64286365503</v>
      </c>
      <c r="L243" s="45">
        <f t="shared" si="101"/>
        <v>189504.64286365503</v>
      </c>
      <c r="M243" s="45">
        <f t="shared" si="101"/>
        <v>189504.64286365503</v>
      </c>
      <c r="N243" s="45">
        <f t="shared" si="101"/>
        <v>189504.64286365503</v>
      </c>
      <c r="O243" s="45">
        <f t="shared" si="101"/>
        <v>189504.64286365503</v>
      </c>
      <c r="P243" s="45">
        <f t="shared" si="101"/>
        <v>189504.64286365503</v>
      </c>
      <c r="Q243" s="45">
        <f t="shared" si="101"/>
        <v>189504.64286365503</v>
      </c>
      <c r="R243" s="45">
        <f t="shared" si="101"/>
        <v>189504.64286365503</v>
      </c>
      <c r="S243" s="45">
        <f t="shared" si="101"/>
        <v>189504.64286365503</v>
      </c>
      <c r="T243" s="45">
        <f t="shared" si="101"/>
        <v>189504.64286365503</v>
      </c>
      <c r="U243" s="45">
        <f t="shared" si="101"/>
        <v>189504.64286365503</v>
      </c>
      <c r="V243" s="45">
        <f t="shared" si="101"/>
        <v>189504.64286365503</v>
      </c>
      <c r="W243" s="45">
        <f t="shared" si="101"/>
        <v>189504.64286365503</v>
      </c>
      <c r="X243" s="45">
        <f t="shared" si="101"/>
        <v>189504.64286365503</v>
      </c>
      <c r="Y243" s="45">
        <f t="shared" si="101"/>
        <v>189504.64286365503</v>
      </c>
      <c r="Z243" s="45">
        <f t="shared" si="101"/>
        <v>189504.64286365503</v>
      </c>
      <c r="AA243" s="45">
        <f t="shared" si="101"/>
        <v>189504.64286365503</v>
      </c>
      <c r="AB243" s="45">
        <f t="shared" si="101"/>
        <v>189504.64286365503</v>
      </c>
      <c r="AC243" s="45">
        <f t="shared" si="101"/>
        <v>189504.64286365503</v>
      </c>
      <c r="AD243" s="45">
        <f t="shared" si="101"/>
        <v>189504.64286365503</v>
      </c>
      <c r="AE243" s="45">
        <f t="shared" si="101"/>
        <v>189504.64286365503</v>
      </c>
      <c r="AF243" s="45">
        <f t="shared" si="101"/>
        <v>189504.64286365503</v>
      </c>
      <c r="AG243" s="46">
        <f>SUM(I243:AF243)</f>
        <v>4548111.4287277209</v>
      </c>
    </row>
    <row r="244" spans="2:33" ht="14.4" x14ac:dyDescent="0.25">
      <c r="B244">
        <f t="shared" si="78"/>
        <v>12</v>
      </c>
      <c r="C244">
        <f t="shared" si="79"/>
        <v>2030</v>
      </c>
      <c r="D244" t="str">
        <f t="shared" ref="D244:D247" si="102">+_xlfn.CONCAT(B244:C244,G244)</f>
        <v>122030OR</v>
      </c>
      <c r="E244" s="67">
        <v>47818</v>
      </c>
      <c r="F244" s="72">
        <f>+AG248</f>
        <v>4585005.3906493234</v>
      </c>
      <c r="G244" s="37" t="s">
        <v>57</v>
      </c>
      <c r="H244" s="37">
        <v>21</v>
      </c>
      <c r="I244" s="65">
        <v>6162.641654098551</v>
      </c>
      <c r="J244" s="65">
        <v>6162.641654098551</v>
      </c>
      <c r="K244" s="65">
        <v>6162.641654098551</v>
      </c>
      <c r="L244" s="65">
        <v>6162.641654098551</v>
      </c>
      <c r="M244" s="65">
        <v>6162.641654098551</v>
      </c>
      <c r="N244" s="65">
        <v>6162.641654098551</v>
      </c>
      <c r="O244" s="65">
        <v>6162.641654098551</v>
      </c>
      <c r="P244" s="65">
        <v>6162.641654098551</v>
      </c>
      <c r="Q244" s="65">
        <v>6162.641654098551</v>
      </c>
      <c r="R244" s="65">
        <v>6162.641654098551</v>
      </c>
      <c r="S244" s="65">
        <v>6162.641654098551</v>
      </c>
      <c r="T244" s="65">
        <v>6162.641654098551</v>
      </c>
      <c r="U244" s="65">
        <v>6162.641654098551</v>
      </c>
      <c r="V244" s="65">
        <v>6162.641654098551</v>
      </c>
      <c r="W244" s="65">
        <v>6162.641654098551</v>
      </c>
      <c r="X244" s="65">
        <v>6162.641654098551</v>
      </c>
      <c r="Y244" s="65">
        <v>6162.641654098551</v>
      </c>
      <c r="Z244" s="65">
        <v>6162.641654098551</v>
      </c>
      <c r="AA244" s="65">
        <v>6162.641654098551</v>
      </c>
      <c r="AB244" s="65">
        <v>6162.641654098551</v>
      </c>
      <c r="AC244" s="65">
        <v>6162.641654098551</v>
      </c>
      <c r="AD244" s="65">
        <v>6162.641654098551</v>
      </c>
      <c r="AE244" s="65">
        <v>6162.641654098551</v>
      </c>
      <c r="AF244" s="65">
        <v>6162.641654098551</v>
      </c>
      <c r="AG244" s="38">
        <f>+SUM(I244:AF244)*H244</f>
        <v>3105971.3936656695</v>
      </c>
    </row>
    <row r="245" spans="2:33" ht="14.4" x14ac:dyDescent="0.25">
      <c r="B245">
        <f t="shared" si="78"/>
        <v>12</v>
      </c>
      <c r="C245">
        <f t="shared" si="79"/>
        <v>2030</v>
      </c>
      <c r="D245" t="str">
        <f t="shared" si="102"/>
        <v>122030SA</v>
      </c>
      <c r="E245" s="68">
        <v>47818</v>
      </c>
      <c r="F245" s="73"/>
      <c r="G245" s="39" t="s">
        <v>60</v>
      </c>
      <c r="H245" s="39">
        <v>4</v>
      </c>
      <c r="I245" s="65">
        <v>6162.6416540985492</v>
      </c>
      <c r="J245" s="65">
        <v>6162.6416540985492</v>
      </c>
      <c r="K245" s="65">
        <v>6162.6416540985492</v>
      </c>
      <c r="L245" s="65">
        <v>6162.6416540985492</v>
      </c>
      <c r="M245" s="65">
        <v>6162.6416540985492</v>
      </c>
      <c r="N245" s="65">
        <v>6162.6416540985492</v>
      </c>
      <c r="O245" s="65">
        <v>6162.6416540985492</v>
      </c>
      <c r="P245" s="65">
        <v>6162.6416540985492</v>
      </c>
      <c r="Q245" s="65">
        <v>6162.6416540985492</v>
      </c>
      <c r="R245" s="65">
        <v>6162.6416540985492</v>
      </c>
      <c r="S245" s="65">
        <v>6162.6416540985492</v>
      </c>
      <c r="T245" s="65">
        <v>6162.6416540985492</v>
      </c>
      <c r="U245" s="65">
        <v>6162.6416540985492</v>
      </c>
      <c r="V245" s="65">
        <v>6162.6416540985492</v>
      </c>
      <c r="W245" s="65">
        <v>6162.6416540985492</v>
      </c>
      <c r="X245" s="65">
        <v>6162.6416540985492</v>
      </c>
      <c r="Y245" s="65">
        <v>6162.6416540985492</v>
      </c>
      <c r="Z245" s="65">
        <v>6162.6416540985492</v>
      </c>
      <c r="AA245" s="65">
        <v>6162.6416540985492</v>
      </c>
      <c r="AB245" s="65">
        <v>6162.6416540985492</v>
      </c>
      <c r="AC245" s="65">
        <v>6162.6416540985492</v>
      </c>
      <c r="AD245" s="65">
        <v>6162.6416540985492</v>
      </c>
      <c r="AE245" s="65">
        <v>6162.6416540985492</v>
      </c>
      <c r="AF245" s="65">
        <v>6162.6416540985492</v>
      </c>
      <c r="AG245" s="40">
        <f>+SUM(I245:AF245)*H245</f>
        <v>591613.59879346087</v>
      </c>
    </row>
    <row r="246" spans="2:33" ht="14.4" x14ac:dyDescent="0.25">
      <c r="B246">
        <f t="shared" si="78"/>
        <v>12</v>
      </c>
      <c r="C246">
        <f t="shared" si="79"/>
        <v>2030</v>
      </c>
      <c r="D246" t="str">
        <f t="shared" si="102"/>
        <v>122030DO</v>
      </c>
      <c r="E246" s="68">
        <v>47818</v>
      </c>
      <c r="F246" s="73"/>
      <c r="G246" s="41" t="s">
        <v>58</v>
      </c>
      <c r="H246" s="41">
        <v>4</v>
      </c>
      <c r="I246" s="65">
        <v>6162.6416540985492</v>
      </c>
      <c r="J246" s="65">
        <v>6162.6416540985492</v>
      </c>
      <c r="K246" s="65">
        <v>6162.6416540985492</v>
      </c>
      <c r="L246" s="65">
        <v>6162.6416540985492</v>
      </c>
      <c r="M246" s="65">
        <v>6162.6416540985492</v>
      </c>
      <c r="N246" s="65">
        <v>6162.6416540985492</v>
      </c>
      <c r="O246" s="65">
        <v>6162.6416540985492</v>
      </c>
      <c r="P246" s="65">
        <v>6162.6416540985492</v>
      </c>
      <c r="Q246" s="65">
        <v>6162.6416540985492</v>
      </c>
      <c r="R246" s="65">
        <v>6162.6416540985492</v>
      </c>
      <c r="S246" s="65">
        <v>6162.6416540985492</v>
      </c>
      <c r="T246" s="65">
        <v>6162.6416540985492</v>
      </c>
      <c r="U246" s="65">
        <v>6162.6416540985492</v>
      </c>
      <c r="V246" s="65">
        <v>6162.6416540985492</v>
      </c>
      <c r="W246" s="65">
        <v>6162.6416540985492</v>
      </c>
      <c r="X246" s="65">
        <v>6162.6416540985492</v>
      </c>
      <c r="Y246" s="65">
        <v>6162.6416540985492</v>
      </c>
      <c r="Z246" s="65">
        <v>6162.6416540985492</v>
      </c>
      <c r="AA246" s="65">
        <v>6162.6416540985492</v>
      </c>
      <c r="AB246" s="65">
        <v>6162.6416540985492</v>
      </c>
      <c r="AC246" s="65">
        <v>6162.6416540985492</v>
      </c>
      <c r="AD246" s="65">
        <v>6162.6416540985492</v>
      </c>
      <c r="AE246" s="65">
        <v>6162.6416540985492</v>
      </c>
      <c r="AF246" s="65">
        <v>6162.6416540985492</v>
      </c>
      <c r="AG246" s="40">
        <f>+SUM(I246:AF246)*H246</f>
        <v>591613.59879346087</v>
      </c>
    </row>
    <row r="247" spans="2:33" ht="14.4" x14ac:dyDescent="0.25">
      <c r="B247">
        <f t="shared" si="78"/>
        <v>12</v>
      </c>
      <c r="C247">
        <f t="shared" si="79"/>
        <v>2030</v>
      </c>
      <c r="D247" t="str">
        <f t="shared" si="102"/>
        <v>122030FE</v>
      </c>
      <c r="E247" s="68">
        <v>47818</v>
      </c>
      <c r="F247" s="73"/>
      <c r="G247" s="42" t="s">
        <v>59</v>
      </c>
      <c r="H247" s="42">
        <v>2</v>
      </c>
      <c r="I247" s="65">
        <v>6162.6416540985492</v>
      </c>
      <c r="J247" s="65">
        <v>6162.6416540985492</v>
      </c>
      <c r="K247" s="65">
        <v>6162.6416540985492</v>
      </c>
      <c r="L247" s="65">
        <v>6162.6416540985492</v>
      </c>
      <c r="M247" s="65">
        <v>6162.6416540985492</v>
      </c>
      <c r="N247" s="65">
        <v>6162.6416540985492</v>
      </c>
      <c r="O247" s="65">
        <v>6162.6416540985492</v>
      </c>
      <c r="P247" s="65">
        <v>6162.6416540985492</v>
      </c>
      <c r="Q247" s="65">
        <v>6162.6416540985492</v>
      </c>
      <c r="R247" s="65">
        <v>6162.6416540985492</v>
      </c>
      <c r="S247" s="65">
        <v>6162.6416540985492</v>
      </c>
      <c r="T247" s="65">
        <v>6162.6416540985492</v>
      </c>
      <c r="U247" s="65">
        <v>6162.6416540985492</v>
      </c>
      <c r="V247" s="65">
        <v>6162.6416540985492</v>
      </c>
      <c r="W247" s="65">
        <v>6162.6416540985492</v>
      </c>
      <c r="X247" s="65">
        <v>6162.6416540985492</v>
      </c>
      <c r="Y247" s="65">
        <v>6162.6416540985492</v>
      </c>
      <c r="Z247" s="65">
        <v>6162.6416540985492</v>
      </c>
      <c r="AA247" s="65">
        <v>6162.6416540985492</v>
      </c>
      <c r="AB247" s="65">
        <v>6162.6416540985492</v>
      </c>
      <c r="AC247" s="65">
        <v>6162.6416540985492</v>
      </c>
      <c r="AD247" s="65">
        <v>6162.6416540985492</v>
      </c>
      <c r="AE247" s="65">
        <v>6162.6416540985492</v>
      </c>
      <c r="AF247" s="65">
        <v>6162.6416540985492</v>
      </c>
      <c r="AG247" s="43">
        <f>+SUM(I247:AF247)*H247</f>
        <v>295806.79939673044</v>
      </c>
    </row>
    <row r="248" spans="2:33" ht="15" thickBot="1" x14ac:dyDescent="0.3">
      <c r="D248" t="str">
        <f>+_xlfn.CONCAT(E248,G248)</f>
        <v>47818TOTAL</v>
      </c>
      <c r="E248" s="68">
        <v>47818</v>
      </c>
      <c r="F248" s="74"/>
      <c r="G248" s="44" t="s">
        <v>10</v>
      </c>
      <c r="H248" s="44">
        <f>+SUM(H244:H247)</f>
        <v>31</v>
      </c>
      <c r="I248" s="45">
        <f t="shared" ref="I248:AF248" si="103">+SUMPRODUCT(I244:I247,$H244:$H247)</f>
        <v>191041.89127705508</v>
      </c>
      <c r="J248" s="45">
        <f t="shared" si="103"/>
        <v>191041.89127705508</v>
      </c>
      <c r="K248" s="45">
        <f t="shared" si="103"/>
        <v>191041.89127705508</v>
      </c>
      <c r="L248" s="45">
        <f t="shared" si="103"/>
        <v>191041.89127705508</v>
      </c>
      <c r="M248" s="45">
        <f t="shared" si="103"/>
        <v>191041.89127705508</v>
      </c>
      <c r="N248" s="45">
        <f t="shared" si="103"/>
        <v>191041.89127705508</v>
      </c>
      <c r="O248" s="45">
        <f t="shared" si="103"/>
        <v>191041.89127705508</v>
      </c>
      <c r="P248" s="45">
        <f t="shared" si="103"/>
        <v>191041.89127705508</v>
      </c>
      <c r="Q248" s="45">
        <f t="shared" si="103"/>
        <v>191041.89127705508</v>
      </c>
      <c r="R248" s="45">
        <f t="shared" si="103"/>
        <v>191041.89127705508</v>
      </c>
      <c r="S248" s="45">
        <f t="shared" si="103"/>
        <v>191041.89127705508</v>
      </c>
      <c r="T248" s="45">
        <f t="shared" si="103"/>
        <v>191041.89127705508</v>
      </c>
      <c r="U248" s="45">
        <f t="shared" si="103"/>
        <v>191041.89127705508</v>
      </c>
      <c r="V248" s="45">
        <f t="shared" si="103"/>
        <v>191041.89127705508</v>
      </c>
      <c r="W248" s="45">
        <f t="shared" si="103"/>
        <v>191041.89127705508</v>
      </c>
      <c r="X248" s="45">
        <f t="shared" si="103"/>
        <v>191041.89127705508</v>
      </c>
      <c r="Y248" s="45">
        <f t="shared" si="103"/>
        <v>191041.89127705508</v>
      </c>
      <c r="Z248" s="45">
        <f t="shared" si="103"/>
        <v>191041.89127705508</v>
      </c>
      <c r="AA248" s="45">
        <f t="shared" si="103"/>
        <v>191041.89127705508</v>
      </c>
      <c r="AB248" s="45">
        <f t="shared" si="103"/>
        <v>191041.89127705508</v>
      </c>
      <c r="AC248" s="45">
        <f t="shared" si="103"/>
        <v>191041.89127705508</v>
      </c>
      <c r="AD248" s="45">
        <f t="shared" si="103"/>
        <v>191041.89127705508</v>
      </c>
      <c r="AE248" s="45">
        <f t="shared" si="103"/>
        <v>191041.89127705508</v>
      </c>
      <c r="AF248" s="45">
        <f t="shared" si="103"/>
        <v>191041.89127705508</v>
      </c>
      <c r="AG248" s="46">
        <f>SUM(I248:AF248)</f>
        <v>4585005.3906493234</v>
      </c>
    </row>
  </sheetData>
  <protectedRanges>
    <protectedRange algorithmName="SHA-512" hashValue="ddMXVrQS0fgB43c0atEM6OKu6oDWAMpeJLqJjfuwWmQe8OHAIs2JeDVHZWeRY9WToyZdUZnhWoqdJcb06CPmZw==" saltValue="nLR4AFgxssXjR1gopeih9Q==" spinCount="100000" sqref="E1:AG5" name="Rango2_1_2_2"/>
    <protectedRange algorithmName="SHA-512" hashValue="ddMXVrQS0fgB43c0atEM6OKu6oDWAMpeJLqJjfuwWmQe8OHAIs2JeDVHZWeRY9WToyZdUZnhWoqdJcb06CPmZw==" saltValue="nLR4AFgxssXjR1gopeih9Q==" spinCount="100000" sqref="I73:AG73 I78:AG78 I83:AG83 I88:AG88 I93:AG93 I98:AG98 I103:AG103 I108:AG108 I113:AG113 I118:AG118 I123:AG123 I128:AG128 I133:AG133 I138:AG138 I143:AG143 I148:AG148 I153:AG153 I158:AG158 I163:AG163 I168:AG168 I173:AG173 I178:AG178 I183:AG183 I188:AG188 I193:AG193 I198:AG198 I203:AG203 I208:AG208 I213:AG213 I218:AG218 I223:AG223 I228:AG228 I233:AG233 I238:AG238 I243:AG243 I248:AG248 AG9:AG12 AG14:AG17 AG19:AG22 AG24:AG27 AG29:AG32 AG34:AG37 AG39:AG42 AG44:AG47 AG49:AG52 AG54:AG57 AG59:AG62 AG64:AG67 AG69:AG72 AG74:AG77 AG79:AG82 AG84:AG87 AG89:AG92 AG94:AG97 AG99:AG102 AG104:AG107 AG109:AG112 AG114:AG117 AG119:AG122 AG124:AG127 AG129:AG132 AG134:AG137 AG139:AG142 AG144:AG147 AG149:AG152 AG154:AG157 AG159:AG162 AG164:AG167 AG169:AG172 AG174:AG177 AG179:AG182 AG184:AG187 AG189:AG192 AG194:AG197 AG199:AG202 AG204:AG207 AG209:AG212 AG214:AG217 AG219:AG222 AG224:AG227 AG229:AG232 AG234:AG237 AG239:AG242 AG244:AG247 E9:G248 I13:AG13 I18:AG18 I23:AG23 I28:AG28 I33:AG33 I38:AG38 I43:AG43 I48:AG48 I53:AG53 I58:AG58 I63:AG63 I68:AG68" name="Rango2_1_2"/>
    <protectedRange algorithmName="SHA-512" hashValue="ddMXVrQS0fgB43c0atEM6OKu6oDWAMpeJLqJjfuwWmQe8OHAIs2JeDVHZWeRY9WToyZdUZnhWoqdJcb06CPmZw==" saltValue="nLR4AFgxssXjR1gopeih9Q==" spinCount="100000" sqref="H9:H248" name="Rango2_1_2_1"/>
  </protectedRanges>
  <autoFilter ref="D8:AG248" xr:uid="{A4417EE0-3581-4D15-BFC8-A3F213F19E9D}"/>
  <mergeCells count="54">
    <mergeCell ref="E1:AG1"/>
    <mergeCell ref="E2:AG2"/>
    <mergeCell ref="E3:AG3"/>
    <mergeCell ref="E4:AG4"/>
    <mergeCell ref="E5:AG5"/>
    <mergeCell ref="G7:H7"/>
    <mergeCell ref="F39:F42"/>
    <mergeCell ref="F44:F47"/>
    <mergeCell ref="F49:F52"/>
    <mergeCell ref="F54:F57"/>
    <mergeCell ref="F59:F62"/>
    <mergeCell ref="F64:F68"/>
    <mergeCell ref="F9:F12"/>
    <mergeCell ref="F14:F17"/>
    <mergeCell ref="F19:F22"/>
    <mergeCell ref="F24:F27"/>
    <mergeCell ref="F29:F32"/>
    <mergeCell ref="F34:F37"/>
    <mergeCell ref="F124:F128"/>
    <mergeCell ref="F69:F72"/>
    <mergeCell ref="F74:F77"/>
    <mergeCell ref="F79:F82"/>
    <mergeCell ref="F84:F87"/>
    <mergeCell ref="F89:F92"/>
    <mergeCell ref="F94:F97"/>
    <mergeCell ref="F99:F102"/>
    <mergeCell ref="F104:F107"/>
    <mergeCell ref="F109:F112"/>
    <mergeCell ref="F114:F117"/>
    <mergeCell ref="F119:F122"/>
    <mergeCell ref="F184:F188"/>
    <mergeCell ref="F129:F132"/>
    <mergeCell ref="F134:F137"/>
    <mergeCell ref="F139:F142"/>
    <mergeCell ref="F144:F147"/>
    <mergeCell ref="F149:F152"/>
    <mergeCell ref="F154:F157"/>
    <mergeCell ref="F159:F162"/>
    <mergeCell ref="F164:F167"/>
    <mergeCell ref="F169:F172"/>
    <mergeCell ref="F174:F177"/>
    <mergeCell ref="F179:F182"/>
    <mergeCell ref="F244:F248"/>
    <mergeCell ref="F189:F192"/>
    <mergeCell ref="F194:F197"/>
    <mergeCell ref="F199:F202"/>
    <mergeCell ref="F204:F207"/>
    <mergeCell ref="F209:F212"/>
    <mergeCell ref="F214:F217"/>
    <mergeCell ref="F219:F222"/>
    <mergeCell ref="F224:F227"/>
    <mergeCell ref="F229:F232"/>
    <mergeCell ref="F234:F237"/>
    <mergeCell ref="F239:F2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5367-A4D4-44A2-A626-4A757F80C0D1}">
  <sheetPr>
    <pageSetUpPr fitToPage="1"/>
  </sheetPr>
  <dimension ref="A1:IU73"/>
  <sheetViews>
    <sheetView showGridLines="0" view="pageBreakPreview" topLeftCell="A31" zoomScaleNormal="85" zoomScaleSheetLayoutView="100" workbookViewId="0">
      <selection activeCell="D35" sqref="D35"/>
    </sheetView>
  </sheetViews>
  <sheetFormatPr baseColWidth="10" defaultColWidth="0" defaultRowHeight="0" customHeight="1" zeroHeight="1" x14ac:dyDescent="0.3"/>
  <cols>
    <col min="1" max="1" width="5.44140625" style="18" customWidth="1"/>
    <col min="2" max="2" width="1" style="18" customWidth="1"/>
    <col min="3" max="3" width="19" style="18" customWidth="1"/>
    <col min="4" max="4" width="23.5546875" style="18" customWidth="1"/>
    <col min="5" max="5" width="19.5546875" style="18" customWidth="1"/>
    <col min="6" max="6" width="22.5546875" style="18" bestFit="1" customWidth="1"/>
    <col min="7" max="7" width="16.5546875" style="18" customWidth="1"/>
    <col min="8" max="8" width="1.44140625" style="18" customWidth="1"/>
    <col min="9" max="9" width="8.44140625" style="18" customWidth="1"/>
    <col min="10" max="10" width="1.5546875" style="18" hidden="1" customWidth="1"/>
    <col min="11" max="255" width="3.44140625" style="18" hidden="1" customWidth="1"/>
    <col min="256" max="16384" width="5.5546875" style="18" hidden="1"/>
  </cols>
  <sheetData>
    <row r="1" spans="1:12" s="17" customFormat="1" ht="26.25" customHeight="1" x14ac:dyDescent="0.25">
      <c r="A1" s="15"/>
      <c r="B1" s="15"/>
      <c r="C1" s="70" t="s">
        <v>64</v>
      </c>
      <c r="D1" s="70"/>
      <c r="E1" s="70"/>
      <c r="F1" s="70"/>
      <c r="G1" s="70"/>
      <c r="H1" s="16"/>
      <c r="I1" s="16"/>
    </row>
    <row r="2" spans="1:12" ht="34.5" customHeight="1" x14ac:dyDescent="0.3">
      <c r="C2" s="70" t="s">
        <v>67</v>
      </c>
      <c r="D2" s="70"/>
      <c r="E2" s="70"/>
      <c r="F2" s="70"/>
      <c r="G2" s="70"/>
      <c r="H2" s="16"/>
      <c r="I2" s="16"/>
    </row>
    <row r="3" spans="1:12" ht="17.399999999999999" x14ac:dyDescent="0.35">
      <c r="C3" s="19" t="s">
        <v>0</v>
      </c>
      <c r="D3" s="20" t="s">
        <v>1</v>
      </c>
    </row>
    <row r="4" spans="1:12" ht="17.399999999999999" x14ac:dyDescent="0.35">
      <c r="C4" s="21" t="s">
        <v>2</v>
      </c>
      <c r="D4" s="22" t="s">
        <v>3</v>
      </c>
    </row>
    <row r="5" spans="1:12" ht="17.399999999999999" x14ac:dyDescent="0.35">
      <c r="C5" s="21" t="s">
        <v>4</v>
      </c>
      <c r="D5" s="36"/>
      <c r="E5" s="35"/>
      <c r="F5" s="35"/>
      <c r="G5" s="35"/>
    </row>
    <row r="6" spans="1:12" ht="17.399999999999999" x14ac:dyDescent="0.35">
      <c r="C6" s="21"/>
      <c r="D6" s="36"/>
      <c r="E6" s="35"/>
      <c r="F6" s="35"/>
      <c r="G6" s="35"/>
    </row>
    <row r="7" spans="1:12" ht="17.399999999999999" x14ac:dyDescent="0.35">
      <c r="B7" s="23"/>
      <c r="C7" s="19"/>
      <c r="D7" s="20"/>
      <c r="E7" s="20"/>
    </row>
    <row r="8" spans="1:12" ht="19.5" customHeight="1" x14ac:dyDescent="0.3">
      <c r="C8"/>
      <c r="D8"/>
      <c r="E8"/>
      <c r="F8"/>
      <c r="G8"/>
      <c r="H8" s="63"/>
      <c r="I8" s="63"/>
      <c r="J8" s="63"/>
      <c r="K8" s="24"/>
      <c r="L8" s="24"/>
    </row>
    <row r="9" spans="1:12" ht="49.5" customHeight="1" x14ac:dyDescent="0.3">
      <c r="C9" s="51" t="s">
        <v>5</v>
      </c>
      <c r="D9" s="30" t="s">
        <v>6</v>
      </c>
      <c r="E9" s="51" t="s">
        <v>7</v>
      </c>
      <c r="F9" s="51" t="s">
        <v>8</v>
      </c>
      <c r="G9" s="51" t="s">
        <v>9</v>
      </c>
      <c r="H9" s="63"/>
      <c r="I9" s="63"/>
      <c r="J9" s="63"/>
      <c r="K9" s="24"/>
      <c r="L9" s="24"/>
    </row>
    <row r="10" spans="1:12" ht="17.399999999999999" x14ac:dyDescent="0.3">
      <c r="C10" s="52">
        <v>46753</v>
      </c>
      <c r="D10" s="32">
        <f>+_xlfn.XLOOKUP(_xlfn.CONCAT(C10,"TOTAL"),'Cantidades horarias PROD 03'!D:D,'Cantidades horarias PROD 03'!AG:AG)</f>
        <v>11107107.774149589</v>
      </c>
      <c r="E10" s="29">
        <v>1</v>
      </c>
      <c r="F10" s="32">
        <f t="shared" ref="F10:F45" si="0">ROUND(D10*$E10,2)</f>
        <v>11107107.77</v>
      </c>
      <c r="G10" s="71"/>
      <c r="H10" s="63"/>
      <c r="I10" s="63"/>
      <c r="J10" s="63"/>
      <c r="K10" s="24"/>
      <c r="L10" s="24"/>
    </row>
    <row r="11" spans="1:12" ht="17.399999999999999" x14ac:dyDescent="0.3">
      <c r="C11" s="52">
        <v>46784</v>
      </c>
      <c r="D11" s="32">
        <f>+_xlfn.XLOOKUP(_xlfn.CONCAT(C11,"TOTAL"),'Cantidades horarias PROD 03'!D:D,'Cantidades horarias PROD 03'!AG:AG)</f>
        <v>10059541.007577887</v>
      </c>
      <c r="E11" s="29">
        <v>1</v>
      </c>
      <c r="F11" s="32">
        <f t="shared" si="0"/>
        <v>10059541.01</v>
      </c>
      <c r="G11" s="71"/>
      <c r="H11" s="63"/>
      <c r="I11" s="63"/>
      <c r="J11" s="63"/>
      <c r="K11" s="24"/>
      <c r="L11" s="24"/>
    </row>
    <row r="12" spans="1:12" ht="19.5" customHeight="1" x14ac:dyDescent="0.3">
      <c r="C12" s="52">
        <v>46813</v>
      </c>
      <c r="D12" s="32">
        <f>+_xlfn.XLOOKUP(_xlfn.CONCAT(C12,"TOTAL"),'Cantidades horarias PROD 03'!D:D,'Cantidades horarias PROD 03'!AG:AG)</f>
        <v>10288924.302699681</v>
      </c>
      <c r="E12" s="29">
        <v>1</v>
      </c>
      <c r="F12" s="32">
        <f t="shared" si="0"/>
        <v>10288924.300000001</v>
      </c>
      <c r="G12" s="71"/>
      <c r="H12" s="63"/>
      <c r="I12" s="63"/>
      <c r="J12" s="63"/>
      <c r="K12" s="24"/>
      <c r="L12" s="24"/>
    </row>
    <row r="13" spans="1:12" ht="16.5" customHeight="1" x14ac:dyDescent="0.3">
      <c r="C13" s="52">
        <v>46844</v>
      </c>
      <c r="D13" s="32">
        <f>+_xlfn.XLOOKUP(_xlfn.CONCAT(C13,"TOTAL"),'Cantidades horarias PROD 03'!D:D,'Cantidades horarias PROD 03'!AG:AG)</f>
        <v>10089497.202235069</v>
      </c>
      <c r="E13" s="29">
        <v>1</v>
      </c>
      <c r="F13" s="32">
        <f t="shared" si="0"/>
        <v>10089497.199999999</v>
      </c>
      <c r="G13" s="71"/>
      <c r="H13" s="26"/>
      <c r="I13" s="25"/>
      <c r="J13" s="25"/>
    </row>
    <row r="14" spans="1:12" ht="17.399999999999999" x14ac:dyDescent="0.3">
      <c r="C14" s="52">
        <v>46874</v>
      </c>
      <c r="D14" s="32">
        <f>+_xlfn.XLOOKUP(_xlfn.CONCAT(C14,"TOTAL"),'Cantidades horarias PROD 03'!D:D,'Cantidades horarias PROD 03'!AG:AG)</f>
        <v>10379973.568099456</v>
      </c>
      <c r="E14" s="29">
        <v>1</v>
      </c>
      <c r="F14" s="32">
        <f t="shared" si="0"/>
        <v>10379973.57</v>
      </c>
      <c r="G14" s="71"/>
      <c r="H14" s="26"/>
      <c r="I14" s="25"/>
      <c r="J14" s="25"/>
    </row>
    <row r="15" spans="1:12" ht="17.399999999999999" x14ac:dyDescent="0.3">
      <c r="C15" s="52">
        <v>46905</v>
      </c>
      <c r="D15" s="32">
        <f>+_xlfn.XLOOKUP(_xlfn.CONCAT(C15,"TOTAL"),'Cantidades horarias PROD 03'!D:D,'Cantidades horarias PROD 03'!AG:AG)</f>
        <v>9859792.6569320932</v>
      </c>
      <c r="E15" s="29">
        <v>1</v>
      </c>
      <c r="F15" s="32">
        <f t="shared" si="0"/>
        <v>9859792.6600000001</v>
      </c>
      <c r="G15" s="71"/>
      <c r="H15" s="26"/>
      <c r="I15" s="25"/>
      <c r="J15" s="25"/>
    </row>
    <row r="16" spans="1:12" ht="17.399999999999999" x14ac:dyDescent="0.3">
      <c r="C16" s="52">
        <v>46935</v>
      </c>
      <c r="D16" s="32">
        <f>+_xlfn.XLOOKUP(_xlfn.CONCAT(C16,"TOTAL"),'Cantidades horarias PROD 03'!D:D,'Cantidades horarias PROD 03'!AG:AG)</f>
        <v>9929795.3181700557</v>
      </c>
      <c r="E16" s="29">
        <v>1</v>
      </c>
      <c r="F16" s="32">
        <f t="shared" si="0"/>
        <v>9929795.3200000003</v>
      </c>
      <c r="G16" s="71"/>
      <c r="I16" s="25"/>
      <c r="J16" s="25"/>
    </row>
    <row r="17" spans="3:12" ht="17.399999999999999" x14ac:dyDescent="0.3">
      <c r="C17" s="52">
        <v>46966</v>
      </c>
      <c r="D17" s="32">
        <f>+_xlfn.XLOOKUP(_xlfn.CONCAT(C17,"TOTAL"),'Cantidades horarias PROD 03'!D:D,'Cantidades horarias PROD 03'!AG:AG)</f>
        <v>10454619.33507775</v>
      </c>
      <c r="E17" s="29">
        <v>1</v>
      </c>
      <c r="F17" s="32">
        <f t="shared" si="0"/>
        <v>10454619.34</v>
      </c>
      <c r="G17" s="71"/>
      <c r="H17" s="25"/>
      <c r="I17" s="25"/>
      <c r="J17" s="25"/>
    </row>
    <row r="18" spans="3:12" ht="17.399999999999999" x14ac:dyDescent="0.3">
      <c r="C18" s="52">
        <v>46997</v>
      </c>
      <c r="D18" s="32">
        <f>+_xlfn.XLOOKUP(_xlfn.CONCAT(C18,"TOTAL"),'Cantidades horarias PROD 03'!D:D,'Cantidades horarias PROD 03'!AG:AG)</f>
        <v>10771005.866368582</v>
      </c>
      <c r="E18" s="29">
        <v>1</v>
      </c>
      <c r="F18" s="32">
        <f t="shared" si="0"/>
        <v>10771005.869999999</v>
      </c>
      <c r="G18" s="71"/>
    </row>
    <row r="19" spans="3:12" ht="17.399999999999999" x14ac:dyDescent="0.3">
      <c r="C19" s="52">
        <v>47027</v>
      </c>
      <c r="D19" s="32">
        <f>+_xlfn.XLOOKUP(_xlfn.CONCAT(C19,"TOTAL"),'Cantidades horarias PROD 03'!D:D,'Cantidades horarias PROD 03'!AG:AG)</f>
        <v>10534962.606204428</v>
      </c>
      <c r="E19" s="29">
        <v>1</v>
      </c>
      <c r="F19" s="32">
        <f t="shared" si="0"/>
        <v>10534962.609999999</v>
      </c>
      <c r="G19" s="71"/>
    </row>
    <row r="20" spans="3:12" ht="15" customHeight="1" x14ac:dyDescent="0.3">
      <c r="C20" s="52">
        <v>47058</v>
      </c>
      <c r="D20" s="32">
        <f>+_xlfn.XLOOKUP(_xlfn.CONCAT(C20,"TOTAL"),'Cantidades horarias PROD 03'!D:D,'Cantidades horarias PROD 03'!AG:AG)</f>
        <v>10051817.139869066</v>
      </c>
      <c r="E20" s="29">
        <v>1</v>
      </c>
      <c r="F20" s="32">
        <f t="shared" si="0"/>
        <v>10051817.140000001</v>
      </c>
      <c r="G20" s="71"/>
    </row>
    <row r="21" spans="3:12" ht="15" customHeight="1" x14ac:dyDescent="0.3">
      <c r="C21" s="52">
        <v>47088</v>
      </c>
      <c r="D21" s="32">
        <f>+_xlfn.XLOOKUP(_xlfn.CONCAT(C21,"TOTAL"),'Cantidades horarias PROD 03'!D:D,'Cantidades horarias PROD 03'!AG:AG)</f>
        <v>10503335.851752806</v>
      </c>
      <c r="E21" s="29">
        <v>1</v>
      </c>
      <c r="F21" s="32">
        <f t="shared" si="0"/>
        <v>10503335.85</v>
      </c>
      <c r="G21" s="71"/>
    </row>
    <row r="22" spans="3:12" ht="17.399999999999999" x14ac:dyDescent="0.3">
      <c r="C22" s="52">
        <v>47119</v>
      </c>
      <c r="D22" s="32">
        <f>+_xlfn.XLOOKUP(_xlfn.CONCAT(C22,"TOTAL"),'Cantidades horarias PROD 03'!D:D,'Cantidades horarias PROD 03'!AG:AG)</f>
        <v>11493540.965649379</v>
      </c>
      <c r="E22" s="29">
        <v>1</v>
      </c>
      <c r="F22" s="32">
        <f t="shared" si="0"/>
        <v>11493540.970000001</v>
      </c>
      <c r="G22" s="71"/>
      <c r="H22" s="63"/>
      <c r="I22" s="63"/>
      <c r="J22" s="63"/>
      <c r="K22" s="24"/>
      <c r="L22" s="24"/>
    </row>
    <row r="23" spans="3:12" ht="17.399999999999999" x14ac:dyDescent="0.3">
      <c r="C23" s="52">
        <v>47150</v>
      </c>
      <c r="D23" s="32">
        <f>+_xlfn.XLOOKUP(_xlfn.CONCAT(C23,"TOTAL"),'Cantidades horarias PROD 03'!D:D,'Cantidades horarias PROD 03'!AG:AG)</f>
        <v>9648628.0275890697</v>
      </c>
      <c r="E23" s="29">
        <v>1</v>
      </c>
      <c r="F23" s="32">
        <f t="shared" si="0"/>
        <v>9648628.0299999993</v>
      </c>
      <c r="G23" s="71"/>
      <c r="H23" s="63"/>
      <c r="I23" s="63"/>
      <c r="J23" s="63"/>
      <c r="K23" s="24"/>
      <c r="L23" s="24"/>
    </row>
    <row r="24" spans="3:12" ht="19.5" customHeight="1" x14ac:dyDescent="0.3">
      <c r="C24" s="52">
        <v>47178</v>
      </c>
      <c r="D24" s="32">
        <f>+_xlfn.XLOOKUP(_xlfn.CONCAT(C24,"TOTAL"),'Cantidades horarias PROD 03'!D:D,'Cantidades horarias PROD 03'!AG:AG)</f>
        <v>9488470.1688337047</v>
      </c>
      <c r="E24" s="29">
        <v>1</v>
      </c>
      <c r="F24" s="32">
        <f t="shared" si="0"/>
        <v>9488470.1699999999</v>
      </c>
      <c r="G24" s="71"/>
      <c r="H24" s="63"/>
      <c r="I24" s="63"/>
      <c r="J24" s="63"/>
      <c r="K24" s="24"/>
      <c r="L24" s="24"/>
    </row>
    <row r="25" spans="3:12" ht="16.5" customHeight="1" x14ac:dyDescent="0.3">
      <c r="C25" s="52">
        <v>47209</v>
      </c>
      <c r="D25" s="32">
        <f>+_xlfn.XLOOKUP(_xlfn.CONCAT(C25,"TOTAL"),'Cantidades horarias PROD 03'!D:D,'Cantidades horarias PROD 03'!AG:AG)</f>
        <v>10956969.151322631</v>
      </c>
      <c r="E25" s="29">
        <v>1</v>
      </c>
      <c r="F25" s="32">
        <f t="shared" si="0"/>
        <v>10956969.15</v>
      </c>
      <c r="G25" s="71"/>
      <c r="H25" s="26"/>
      <c r="I25" s="25"/>
      <c r="J25" s="25"/>
    </row>
    <row r="26" spans="3:12" ht="17.399999999999999" x14ac:dyDescent="0.3">
      <c r="C26" s="52">
        <v>47239</v>
      </c>
      <c r="D26" s="32">
        <f>+_xlfn.XLOOKUP(_xlfn.CONCAT(C26,"TOTAL"),'Cantidades horarias PROD 03'!D:D,'Cantidades horarias PROD 03'!AG:AG)</f>
        <v>10379973.568099456</v>
      </c>
      <c r="E26" s="29">
        <v>1</v>
      </c>
      <c r="F26" s="32">
        <f t="shared" si="0"/>
        <v>10379973.57</v>
      </c>
      <c r="G26" s="71"/>
      <c r="H26" s="26"/>
      <c r="I26" s="25"/>
      <c r="J26" s="25"/>
    </row>
    <row r="27" spans="3:12" ht="17.399999999999999" x14ac:dyDescent="0.3">
      <c r="C27" s="52">
        <v>47270</v>
      </c>
      <c r="D27" s="32">
        <f>+_xlfn.XLOOKUP(_xlfn.CONCAT(C27,"TOTAL"),'Cantidades horarias PROD 03'!D:D,'Cantidades horarias PROD 03'!AG:AG)</f>
        <v>10126742.350631066</v>
      </c>
      <c r="E27" s="29">
        <v>1</v>
      </c>
      <c r="F27" s="32">
        <f t="shared" si="0"/>
        <v>10126742.35</v>
      </c>
      <c r="G27" s="71"/>
      <c r="H27" s="26"/>
      <c r="I27" s="25"/>
      <c r="J27" s="25"/>
    </row>
    <row r="28" spans="3:12" ht="17.399999999999999" x14ac:dyDescent="0.3">
      <c r="C28" s="52">
        <v>47300</v>
      </c>
      <c r="D28" s="32">
        <f>+_xlfn.XLOOKUP(_xlfn.CONCAT(C28,"TOTAL"),'Cantidades horarias PROD 03'!D:D,'Cantidades horarias PROD 03'!AG:AG)</f>
        <v>10035229.999117006</v>
      </c>
      <c r="E28" s="29">
        <v>1</v>
      </c>
      <c r="F28" s="32">
        <f t="shared" si="0"/>
        <v>10035230</v>
      </c>
      <c r="G28" s="71"/>
      <c r="I28" s="25"/>
      <c r="J28" s="25"/>
    </row>
    <row r="29" spans="3:12" ht="17.399999999999999" x14ac:dyDescent="0.3">
      <c r="C29" s="52">
        <v>47331</v>
      </c>
      <c r="D29" s="32">
        <f>+_xlfn.XLOOKUP(_xlfn.CONCAT(C29,"TOTAL"),'Cantidades horarias PROD 03'!D:D,'Cantidades horarias PROD 03'!AG:AG)</f>
        <v>10454619.33507775</v>
      </c>
      <c r="E29" s="29">
        <v>1</v>
      </c>
      <c r="F29" s="32">
        <f t="shared" si="0"/>
        <v>10454619.34</v>
      </c>
      <c r="G29" s="71"/>
      <c r="H29" s="25"/>
      <c r="I29" s="25"/>
      <c r="J29" s="25"/>
    </row>
    <row r="30" spans="3:12" ht="17.399999999999999" x14ac:dyDescent="0.3">
      <c r="C30" s="52">
        <v>47362</v>
      </c>
      <c r="D30" s="32">
        <f>+_xlfn.XLOOKUP(_xlfn.CONCAT(C30,"TOTAL"),'Cantidades horarias PROD 03'!D:D,'Cantidades horarias PROD 03'!AG:AG)</f>
        <v>10406006.522238141</v>
      </c>
      <c r="E30" s="29">
        <v>1</v>
      </c>
      <c r="F30" s="32">
        <f t="shared" si="0"/>
        <v>10406006.52</v>
      </c>
      <c r="G30" s="71"/>
    </row>
    <row r="31" spans="3:12" ht="17.399999999999999" x14ac:dyDescent="0.3">
      <c r="C31" s="52">
        <v>47392</v>
      </c>
      <c r="D31" s="32">
        <f>+_xlfn.XLOOKUP(_xlfn.CONCAT(C31,"TOTAL"),'Cantidades horarias PROD 03'!D:D,'Cantidades horarias PROD 03'!AG:AG)</f>
        <v>10906120.926819935</v>
      </c>
      <c r="E31" s="29">
        <v>1</v>
      </c>
      <c r="F31" s="32">
        <f t="shared" si="0"/>
        <v>10906120.93</v>
      </c>
      <c r="G31" s="71"/>
    </row>
    <row r="32" spans="3:12" ht="15" customHeight="1" x14ac:dyDescent="0.3">
      <c r="C32" s="52">
        <v>47423</v>
      </c>
      <c r="D32" s="32">
        <f>+_xlfn.XLOOKUP(_xlfn.CONCAT(C32,"TOTAL"),'Cantidades horarias PROD 03'!D:D,'Cantidades horarias PROD 03'!AG:AG)</f>
        <v>10051817.139869066</v>
      </c>
      <c r="E32" s="29">
        <v>1</v>
      </c>
      <c r="F32" s="32">
        <f t="shared" si="0"/>
        <v>10051817.140000001</v>
      </c>
      <c r="G32" s="71"/>
    </row>
    <row r="33" spans="3:12" ht="15" customHeight="1" x14ac:dyDescent="0.3">
      <c r="C33" s="52">
        <v>47453</v>
      </c>
      <c r="D33" s="32">
        <f>+_xlfn.XLOOKUP(_xlfn.CONCAT(C33,"TOTAL"),'Cantidades horarias PROD 03'!D:D,'Cantidades horarias PROD 03'!AG:AG)</f>
        <v>10605982.385636797</v>
      </c>
      <c r="E33" s="29">
        <v>1</v>
      </c>
      <c r="F33" s="32">
        <f t="shared" si="0"/>
        <v>10605982.390000001</v>
      </c>
      <c r="G33" s="71"/>
    </row>
    <row r="34" spans="3:12" ht="17.399999999999999" x14ac:dyDescent="0.3">
      <c r="C34" s="52">
        <v>47484</v>
      </c>
      <c r="D34" s="32">
        <f>+_xlfn.XLOOKUP(_xlfn.CONCAT(C34,"TOTAL"),'Cantidades horarias PROD 03'!D:D,'Cantidades horarias PROD 03'!AG:AG)</f>
        <v>11493540.965649379</v>
      </c>
      <c r="E34" s="29">
        <v>1</v>
      </c>
      <c r="F34" s="32">
        <f t="shared" si="0"/>
        <v>11493540.970000001</v>
      </c>
      <c r="G34" s="71"/>
      <c r="H34" s="63"/>
      <c r="I34" s="63"/>
      <c r="J34" s="63"/>
      <c r="K34" s="24"/>
      <c r="L34" s="24"/>
    </row>
    <row r="35" spans="3:12" ht="17.399999999999999" x14ac:dyDescent="0.3">
      <c r="C35" s="52">
        <v>47515</v>
      </c>
      <c r="D35" s="32">
        <f>+_xlfn.XLOOKUP(_xlfn.CONCAT(C35,"TOTAL"),'Cantidades horarias PROD 03'!D:D,'Cantidades horarias PROD 03'!AG:AG)</f>
        <v>9648628.0275890697</v>
      </c>
      <c r="E35" s="29">
        <v>1</v>
      </c>
      <c r="F35" s="32">
        <f t="shared" si="0"/>
        <v>9648628.0299999993</v>
      </c>
      <c r="G35" s="71"/>
      <c r="H35" s="63"/>
      <c r="I35" s="63"/>
      <c r="J35" s="63"/>
      <c r="K35" s="24"/>
      <c r="L35" s="24"/>
    </row>
    <row r="36" spans="3:12" ht="19.5" customHeight="1" x14ac:dyDescent="0.3">
      <c r="C36" s="52">
        <v>47543</v>
      </c>
      <c r="D36" s="32">
        <f>+_xlfn.XLOOKUP(_xlfn.CONCAT(C36,"TOTAL"),'Cantidades horarias PROD 03'!D:D,'Cantidades horarias PROD 03'!AG:AG)</f>
        <v>9831448.0658886172</v>
      </c>
      <c r="E36" s="29">
        <v>1</v>
      </c>
      <c r="F36" s="32">
        <f t="shared" si="0"/>
        <v>9831448.0700000003</v>
      </c>
      <c r="G36" s="71"/>
      <c r="H36" s="63"/>
      <c r="I36" s="63"/>
      <c r="J36" s="63"/>
      <c r="K36" s="24"/>
      <c r="L36" s="24"/>
    </row>
    <row r="37" spans="3:12" ht="16.5" customHeight="1" x14ac:dyDescent="0.3">
      <c r="C37" s="52">
        <v>47574</v>
      </c>
      <c r="D37" s="32">
        <f>+_xlfn.XLOOKUP(_xlfn.CONCAT(C37,"TOTAL"),'Cantidades horarias PROD 03'!D:D,'Cantidades horarias PROD 03'!AG:AG)</f>
        <v>10542679.128458876</v>
      </c>
      <c r="E37" s="29">
        <v>1</v>
      </c>
      <c r="F37" s="32">
        <f t="shared" si="0"/>
        <v>10542679.130000001</v>
      </c>
      <c r="G37" s="71"/>
      <c r="H37" s="26"/>
      <c r="I37" s="25"/>
      <c r="J37" s="25"/>
    </row>
    <row r="38" spans="3:12" ht="17.399999999999999" x14ac:dyDescent="0.3">
      <c r="C38" s="52">
        <v>47604</v>
      </c>
      <c r="D38" s="32">
        <f>+_xlfn.XLOOKUP(_xlfn.CONCAT(C38,"TOTAL"),'Cantidades horarias PROD 03'!D:D,'Cantidades horarias PROD 03'!AG:AG)</f>
        <v>10753286.453310773</v>
      </c>
      <c r="E38" s="29">
        <v>1</v>
      </c>
      <c r="F38" s="32">
        <f t="shared" si="0"/>
        <v>10753286.449999999</v>
      </c>
      <c r="G38" s="71"/>
      <c r="H38" s="26"/>
      <c r="I38" s="25"/>
      <c r="J38" s="25"/>
    </row>
    <row r="39" spans="3:12" ht="17.399999999999999" x14ac:dyDescent="0.3">
      <c r="C39" s="52">
        <v>47635</v>
      </c>
      <c r="D39" s="32">
        <f>+_xlfn.XLOOKUP(_xlfn.CONCAT(C39,"TOTAL"),'Cantidades horarias PROD 03'!D:D,'Cantidades horarias PROD 03'!AG:AG)</f>
        <v>9387127.7307546437</v>
      </c>
      <c r="E39" s="29">
        <v>1</v>
      </c>
      <c r="F39" s="32">
        <f t="shared" si="0"/>
        <v>9387127.7300000004</v>
      </c>
      <c r="G39" s="71"/>
      <c r="H39" s="26"/>
      <c r="I39" s="25"/>
      <c r="J39" s="25"/>
    </row>
    <row r="40" spans="3:12" ht="17.399999999999999" x14ac:dyDescent="0.3">
      <c r="C40" s="52">
        <v>47665</v>
      </c>
      <c r="D40" s="32">
        <f>+_xlfn.XLOOKUP(_xlfn.CONCAT(C40,"TOTAL"),'Cantidades horarias PROD 03'!D:D,'Cantidades horarias PROD 03'!AG:AG)</f>
        <v>10524049.608029841</v>
      </c>
      <c r="E40" s="29">
        <v>1</v>
      </c>
      <c r="F40" s="32">
        <f t="shared" si="0"/>
        <v>10524049.609999999</v>
      </c>
      <c r="G40" s="71"/>
      <c r="I40" s="25"/>
      <c r="J40" s="25"/>
    </row>
    <row r="41" spans="3:12" ht="17.399999999999999" x14ac:dyDescent="0.3">
      <c r="C41" s="52">
        <v>47696</v>
      </c>
      <c r="D41" s="32">
        <f>+_xlfn.XLOOKUP(_xlfn.CONCAT(C41,"TOTAL"),'Cantidades horarias PROD 03'!D:D,'Cantidades horarias PROD 03'!AG:AG)</f>
        <v>10350116.682708731</v>
      </c>
      <c r="E41" s="29">
        <v>1</v>
      </c>
      <c r="F41" s="32">
        <f t="shared" si="0"/>
        <v>10350116.68</v>
      </c>
      <c r="G41" s="71"/>
      <c r="H41" s="25"/>
      <c r="I41" s="25"/>
      <c r="J41" s="25"/>
    </row>
    <row r="42" spans="3:12" ht="17.399999999999999" x14ac:dyDescent="0.3">
      <c r="C42" s="52">
        <v>47727</v>
      </c>
      <c r="D42" s="32">
        <f>+_xlfn.XLOOKUP(_xlfn.CONCAT(C42,"TOTAL"),'Cantidades horarias PROD 03'!D:D,'Cantidades horarias PROD 03'!AG:AG)</f>
        <v>10503594.00338202</v>
      </c>
      <c r="E42" s="29">
        <v>1</v>
      </c>
      <c r="F42" s="32">
        <f t="shared" si="0"/>
        <v>10503594</v>
      </c>
      <c r="G42" s="71"/>
    </row>
    <row r="43" spans="3:12" ht="17.399999999999999" x14ac:dyDescent="0.3">
      <c r="C43" s="52">
        <v>47757</v>
      </c>
      <c r="D43" s="32">
        <f>+_xlfn.XLOOKUP(_xlfn.CONCAT(C43,"TOTAL"),'Cantidades horarias PROD 03'!D:D,'Cantidades horarias PROD 03'!AG:AG)</f>
        <v>10906120.926819935</v>
      </c>
      <c r="E43" s="29">
        <v>1</v>
      </c>
      <c r="F43" s="32">
        <f t="shared" si="0"/>
        <v>10906120.93</v>
      </c>
      <c r="G43" s="71"/>
    </row>
    <row r="44" spans="3:12" ht="15" customHeight="1" x14ac:dyDescent="0.3">
      <c r="C44" s="52">
        <v>47788</v>
      </c>
      <c r="D44" s="32">
        <f>+_xlfn.XLOOKUP(_xlfn.CONCAT(C44,"TOTAL"),'Cantidades horarias PROD 03'!D:D,'Cantidades horarias PROD 03'!AG:AG)</f>
        <v>9949971.100833917</v>
      </c>
      <c r="E44" s="29">
        <v>1</v>
      </c>
      <c r="F44" s="32">
        <f t="shared" si="0"/>
        <v>9949971.0999999996</v>
      </c>
      <c r="G44" s="71"/>
    </row>
    <row r="45" spans="3:12" ht="15" customHeight="1" x14ac:dyDescent="0.3">
      <c r="C45" s="52">
        <v>47818</v>
      </c>
      <c r="D45" s="32">
        <f>+_xlfn.XLOOKUP(_xlfn.CONCAT(C45,"TOTAL"),'Cantidades horarias PROD 03'!D:D,'Cantidades horarias PROD 03'!AG:AG)</f>
        <v>10986163.830233997</v>
      </c>
      <c r="E45" s="29">
        <v>1</v>
      </c>
      <c r="F45" s="32">
        <f t="shared" si="0"/>
        <v>10986163.83</v>
      </c>
      <c r="G45" s="71"/>
    </row>
    <row r="46" spans="3:12" ht="17.399999999999999" x14ac:dyDescent="0.35">
      <c r="C46" s="47" t="s">
        <v>10</v>
      </c>
      <c r="D46" s="48">
        <f>SUM(D10:D45)</f>
        <v>373461199.69368029</v>
      </c>
      <c r="E46" s="50">
        <f>IFERROR(F46/D46,0)</f>
        <v>1.0000000000972518</v>
      </c>
      <c r="F46" s="48">
        <f>SUM(F10:F45)</f>
        <v>373461199.73000002</v>
      </c>
      <c r="G46" s="49">
        <f>+(SUM(F10:F21)*G10+SUM(F22:F33)*G22+SUM(F34:F45)*G34)/F46</f>
        <v>0</v>
      </c>
    </row>
    <row r="47" spans="3:12" ht="17.399999999999999" x14ac:dyDescent="0.35">
      <c r="C47" s="66"/>
      <c r="D47" s="31"/>
      <c r="E47" s="34"/>
      <c r="F47" s="31"/>
      <c r="G47" s="33"/>
    </row>
    <row r="48" spans="3:12" ht="17.399999999999999" x14ac:dyDescent="0.35">
      <c r="C48" s="27" t="s">
        <v>11</v>
      </c>
      <c r="D48" s="31"/>
      <c r="E48" s="34"/>
      <c r="F48" s="31"/>
      <c r="G48" s="33"/>
    </row>
    <row r="49" spans="3:8" ht="17.399999999999999" x14ac:dyDescent="0.35">
      <c r="C49" s="28" t="s">
        <v>69</v>
      </c>
      <c r="D49" s="31"/>
      <c r="E49" s="34"/>
      <c r="F49" s="31"/>
      <c r="G49" s="33"/>
    </row>
    <row r="50" spans="3:8" ht="16.95" customHeight="1" x14ac:dyDescent="0.35">
      <c r="C50" s="28" t="s">
        <v>12</v>
      </c>
      <c r="D50" s="31"/>
      <c r="E50" s="34"/>
      <c r="F50" s="31"/>
      <c r="G50" s="33"/>
    </row>
    <row r="51" spans="3:8" ht="16.95" customHeight="1" x14ac:dyDescent="0.35">
      <c r="C51" s="28"/>
      <c r="D51" s="31"/>
      <c r="E51" s="34"/>
      <c r="F51" s="31"/>
      <c r="G51" s="33"/>
    </row>
    <row r="52" spans="3:8" ht="16.95" customHeight="1" x14ac:dyDescent="0.35">
      <c r="C52" s="28"/>
      <c r="D52" s="31"/>
      <c r="E52" s="34"/>
      <c r="F52" s="31"/>
      <c r="G52" s="33"/>
    </row>
    <row r="53" spans="3:8" ht="16.95" customHeight="1" x14ac:dyDescent="0.35">
      <c r="C53" s="28"/>
      <c r="D53" s="31"/>
      <c r="E53" s="34"/>
      <c r="F53" s="31"/>
      <c r="G53" s="33"/>
    </row>
    <row r="54" spans="3:8" ht="17.399999999999999" x14ac:dyDescent="0.35">
      <c r="C54" s="54" t="s">
        <v>13</v>
      </c>
      <c r="D54" s="26"/>
      <c r="E54" s="26"/>
      <c r="F54" s="26"/>
      <c r="G54" s="26"/>
    </row>
    <row r="55" spans="3:8" ht="17.399999999999999" x14ac:dyDescent="0.35">
      <c r="C55" s="22" t="s">
        <v>14</v>
      </c>
      <c r="D55" s="26"/>
      <c r="E55" s="26"/>
      <c r="F55" s="26"/>
      <c r="G55" s="26"/>
    </row>
    <row r="56" spans="3:8" ht="17.399999999999999" x14ac:dyDescent="0.35">
      <c r="C56" s="21" t="s">
        <v>63</v>
      </c>
    </row>
    <row r="57" spans="3:8" ht="16.8" hidden="1" x14ac:dyDescent="0.3">
      <c r="C57" s="69"/>
      <c r="D57" s="69"/>
      <c r="E57" s="69"/>
      <c r="F57" s="69"/>
      <c r="G57" s="69"/>
    </row>
    <row r="58" spans="3:8" ht="16.8" hidden="1" x14ac:dyDescent="0.3">
      <c r="C58" s="69"/>
      <c r="D58" s="69"/>
      <c r="E58" s="69"/>
      <c r="F58" s="69"/>
      <c r="G58" s="69"/>
    </row>
    <row r="59" spans="3:8" ht="16.8" x14ac:dyDescent="0.3">
      <c r="E59" s="35"/>
      <c r="F59" s="53"/>
      <c r="G59" s="53"/>
    </row>
    <row r="60" spans="3:8" ht="16.8" x14ac:dyDescent="0.3">
      <c r="D60" s="55"/>
      <c r="E60" s="35"/>
      <c r="F60" s="35"/>
      <c r="G60" s="35"/>
    </row>
    <row r="61" spans="3:8" ht="16.95" customHeight="1" x14ac:dyDescent="0.35">
      <c r="F61" s="35"/>
      <c r="G61" s="35"/>
      <c r="H61" s="22"/>
    </row>
    <row r="62" spans="3:8" ht="0" hidden="1" customHeight="1" x14ac:dyDescent="0.35">
      <c r="C62" s="22" t="s">
        <v>15</v>
      </c>
    </row>
    <row r="63" spans="3:8" ht="0" hidden="1" customHeight="1" x14ac:dyDescent="0.35">
      <c r="G63" s="22"/>
    </row>
    <row r="64" spans="3:8" ht="0" hidden="1" customHeight="1" x14ac:dyDescent="0.35">
      <c r="C64" s="27" t="s">
        <v>11</v>
      </c>
      <c r="D64" s="26"/>
      <c r="E64" s="26"/>
      <c r="F64" s="26"/>
      <c r="G64" s="26"/>
    </row>
    <row r="65" spans="3:7" ht="0" hidden="1" customHeight="1" x14ac:dyDescent="0.3">
      <c r="C65" s="28" t="s">
        <v>62</v>
      </c>
      <c r="D65" s="26"/>
      <c r="E65" s="26"/>
      <c r="F65" s="26"/>
      <c r="G65" s="26"/>
    </row>
    <row r="66" spans="3:7" ht="0" hidden="1" customHeight="1" x14ac:dyDescent="0.3">
      <c r="C66" s="28" t="s">
        <v>12</v>
      </c>
    </row>
    <row r="67" spans="3:7" ht="0" hidden="1" customHeight="1" x14ac:dyDescent="0.3">
      <c r="C67" s="69"/>
      <c r="D67" s="69"/>
      <c r="E67" s="69"/>
      <c r="F67" s="69"/>
      <c r="G67" s="69"/>
    </row>
    <row r="68" spans="3:7" ht="0" hidden="1" customHeight="1" x14ac:dyDescent="0.3">
      <c r="C68" s="69"/>
      <c r="D68" s="69"/>
      <c r="E68" s="69"/>
      <c r="F68" s="69"/>
      <c r="G68" s="69"/>
    </row>
    <row r="69" spans="3:7" ht="0" hidden="1" customHeight="1" x14ac:dyDescent="0.3">
      <c r="E69" s="35"/>
      <c r="F69" s="53"/>
      <c r="G69" s="53"/>
    </row>
    <row r="70" spans="3:7" ht="0" hidden="1" customHeight="1" x14ac:dyDescent="0.35">
      <c r="C70" s="54" t="s">
        <v>13</v>
      </c>
      <c r="D70" s="55"/>
      <c r="E70" s="35"/>
      <c r="F70" s="35"/>
      <c r="G70" s="35"/>
    </row>
    <row r="71" spans="3:7" ht="0" hidden="1" customHeight="1" x14ac:dyDescent="0.35">
      <c r="C71" s="22" t="s">
        <v>14</v>
      </c>
      <c r="F71" s="35"/>
      <c r="G71" s="35"/>
    </row>
    <row r="72" spans="3:7" ht="0" hidden="1" customHeight="1" x14ac:dyDescent="0.35">
      <c r="C72" s="22" t="s">
        <v>15</v>
      </c>
    </row>
    <row r="73" spans="3:7" ht="0" hidden="1" customHeight="1" x14ac:dyDescent="0.35">
      <c r="G73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G9 D10:D45" name="Rango1"/>
    <protectedRange algorithmName="SHA-512" hashValue="ae/Js8yeMw6wHjGREqu83BjAYnjwv1NHxpvnTe57rDwDMNDPGlnZwgp89HjM7G0cg/2ItV/6+CjQlsfmX7La6g==" saltValue="fv5wd7mgDmwpGOJN+Z7vlA==" spinCount="100000" sqref="C10:C45 E10:E45" name="Rango1_2"/>
    <protectedRange algorithmName="SHA-512" hashValue="ae/Js8yeMw6wHjGREqu83BjAYnjwv1NHxpvnTe57rDwDMNDPGlnZwgp89HjM7G0cg/2ItV/6+CjQlsfmX7La6g==" saltValue="fv5wd7mgDmwpGOJN+Z7vlA==" spinCount="100000" sqref="G10:G45" name="Rango1_1_1_2"/>
  </protectedRanges>
  <mergeCells count="7">
    <mergeCell ref="C67:G68"/>
    <mergeCell ref="C57:G58"/>
    <mergeCell ref="C1:G1"/>
    <mergeCell ref="C2:G2"/>
    <mergeCell ref="G10:G21"/>
    <mergeCell ref="G22:G33"/>
    <mergeCell ref="G34:G45"/>
  </mergeCells>
  <dataValidations count="1">
    <dataValidation type="textLength" allowBlank="1" showInputMessage="1" showErrorMessage="1" errorTitle="SOLO 2 DECIMALES" error="Por favor introduzca un valor con maximo 2 decimales" sqref="E10:E45" xr:uid="{9F400298-063C-4AD6-8B19-B68E95047068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AA29-41FE-4BD0-B410-80F483427E52}">
  <dimension ref="A1:AG188"/>
  <sheetViews>
    <sheetView showGridLines="0" topLeftCell="E3" zoomScaleNormal="100" workbookViewId="0">
      <selection activeCell="F9" sqref="F9:F12"/>
    </sheetView>
  </sheetViews>
  <sheetFormatPr baseColWidth="10" defaultColWidth="11.44140625" defaultRowHeight="13.2" x14ac:dyDescent="0.25"/>
  <cols>
    <col min="1" max="3" width="11.44140625" hidden="1" customWidth="1"/>
    <col min="4" max="4" width="10.33203125" hidden="1" customWidth="1"/>
    <col min="6" max="6" width="13.6640625" bestFit="1" customWidth="1"/>
    <col min="9" max="9" width="14.44140625" bestFit="1" customWidth="1"/>
    <col min="10" max="32" width="11.77734375" bestFit="1" customWidth="1"/>
    <col min="33" max="33" width="14.44140625" bestFit="1" customWidth="1"/>
    <col min="34" max="34" width="2.44140625" customWidth="1"/>
  </cols>
  <sheetData>
    <row r="1" spans="2:33" ht="23.4" x14ac:dyDescent="0.25">
      <c r="E1" s="76" t="s">
        <v>16</v>
      </c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2:33" ht="23.4" x14ac:dyDescent="0.25">
      <c r="E2" s="76" t="s">
        <v>61</v>
      </c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</row>
    <row r="3" spans="2:33" ht="23.4" x14ac:dyDescent="0.25">
      <c r="E3" s="76" t="s">
        <v>3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</row>
    <row r="4" spans="2:33" ht="23.4" x14ac:dyDescent="0.25"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</row>
    <row r="5" spans="2:33" ht="23.4" x14ac:dyDescent="0.25">
      <c r="E5" s="76" t="s">
        <v>4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</row>
    <row r="6" spans="2:33" ht="23.4" x14ac:dyDescent="0.25">
      <c r="E6" s="56"/>
      <c r="F6" s="57"/>
      <c r="G6" s="57"/>
      <c r="H6" s="58"/>
      <c r="I6" s="62"/>
      <c r="J6" s="59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</row>
    <row r="7" spans="2:33" ht="15" thickBot="1" x14ac:dyDescent="0.3">
      <c r="E7" s="60"/>
      <c r="F7" s="60"/>
      <c r="G7" s="75"/>
      <c r="H7" s="75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</row>
    <row r="8" spans="2:33" ht="29.4" thickBot="1" x14ac:dyDescent="0.3">
      <c r="B8" s="63" t="s">
        <v>45</v>
      </c>
      <c r="C8" s="63" t="s">
        <v>55</v>
      </c>
      <c r="D8" s="63" t="s">
        <v>56</v>
      </c>
      <c r="E8" s="8"/>
      <c r="F8" s="9" t="s">
        <v>17</v>
      </c>
      <c r="G8" s="9" t="s">
        <v>18</v>
      </c>
      <c r="H8" s="10" t="s">
        <v>19</v>
      </c>
      <c r="I8" s="11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12" t="s">
        <v>26</v>
      </c>
      <c r="P8" s="12" t="s">
        <v>27</v>
      </c>
      <c r="Q8" s="12" t="s">
        <v>28</v>
      </c>
      <c r="R8" s="12" t="s">
        <v>29</v>
      </c>
      <c r="S8" s="12" t="s">
        <v>30</v>
      </c>
      <c r="T8" s="12" t="s">
        <v>31</v>
      </c>
      <c r="U8" s="12" t="s">
        <v>32</v>
      </c>
      <c r="V8" s="12" t="s">
        <v>33</v>
      </c>
      <c r="W8" s="12" t="s">
        <v>34</v>
      </c>
      <c r="X8" s="12" t="s">
        <v>35</v>
      </c>
      <c r="Y8" s="12" t="s">
        <v>36</v>
      </c>
      <c r="Z8" s="12" t="s">
        <v>37</v>
      </c>
      <c r="AA8" s="12" t="s">
        <v>38</v>
      </c>
      <c r="AB8" s="12" t="s">
        <v>39</v>
      </c>
      <c r="AC8" s="12" t="s">
        <v>40</v>
      </c>
      <c r="AD8" s="12" t="s">
        <v>41</v>
      </c>
      <c r="AE8" s="12" t="s">
        <v>42</v>
      </c>
      <c r="AF8" s="13" t="s">
        <v>43</v>
      </c>
      <c r="AG8" s="14" t="s">
        <v>10</v>
      </c>
    </row>
    <row r="9" spans="2:33" ht="14.4" x14ac:dyDescent="0.25">
      <c r="B9">
        <f>+MONTH(E9)</f>
        <v>1</v>
      </c>
      <c r="C9">
        <f>+YEAR(E9)</f>
        <v>2028</v>
      </c>
      <c r="D9" t="str">
        <f>+_xlfn.CONCAT(B9:C9,G9)</f>
        <v>12028OR</v>
      </c>
      <c r="E9" s="67">
        <v>46753</v>
      </c>
      <c r="F9" s="72">
        <f>+AG13</f>
        <v>11107107.774149589</v>
      </c>
      <c r="G9" s="37" t="s">
        <v>57</v>
      </c>
      <c r="H9" s="37">
        <v>20</v>
      </c>
      <c r="I9" s="65">
        <v>14764.320675450839</v>
      </c>
      <c r="J9" s="65">
        <v>14346.188227490926</v>
      </c>
      <c r="K9" s="65">
        <v>13975.594262951199</v>
      </c>
      <c r="L9" s="65">
        <v>14302.461647447573</v>
      </c>
      <c r="M9" s="65">
        <v>13836.289853040997</v>
      </c>
      <c r="N9" s="65">
        <v>14474.15235033166</v>
      </c>
      <c r="O9" s="65">
        <v>16203.353583105631</v>
      </c>
      <c r="P9" s="65">
        <v>19551.479962730064</v>
      </c>
      <c r="Q9" s="65">
        <v>21899.197941277424</v>
      </c>
      <c r="R9" s="65">
        <v>22666.38479393442</v>
      </c>
      <c r="S9" s="65">
        <v>23295.621245486549</v>
      </c>
      <c r="T9" s="65">
        <v>23633.324777689108</v>
      </c>
      <c r="U9" s="65">
        <v>22599.214403192935</v>
      </c>
      <c r="V9" s="65">
        <v>23683.597006027139</v>
      </c>
      <c r="W9" s="65">
        <v>24167.112022557598</v>
      </c>
      <c r="X9" s="65">
        <v>24352.520215618362</v>
      </c>
      <c r="Y9" s="65">
        <v>23379.688628836237</v>
      </c>
      <c r="Z9" s="65">
        <v>21578.566107703253</v>
      </c>
      <c r="AA9" s="65">
        <v>19524.037045597208</v>
      </c>
      <c r="AB9" s="65">
        <v>19406.705677752423</v>
      </c>
      <c r="AC9" s="65">
        <v>17616.195241188623</v>
      </c>
      <c r="AD9" s="65">
        <v>16945.611323055757</v>
      </c>
      <c r="AE9" s="65">
        <v>15588.898812279007</v>
      </c>
      <c r="AF9" s="65">
        <v>15650.732360055297</v>
      </c>
      <c r="AG9" s="38">
        <f>ROUND(SUM(I9:AF9)*H9,2)</f>
        <v>9148824.9600000009</v>
      </c>
    </row>
    <row r="10" spans="2:33" ht="14.4" x14ac:dyDescent="0.25">
      <c r="B10">
        <f t="shared" ref="B10:B67" si="0">+MONTH(E10)</f>
        <v>1</v>
      </c>
      <c r="C10">
        <f t="shared" ref="C10:C67" si="1">+YEAR(E10)</f>
        <v>2028</v>
      </c>
      <c r="D10" t="str">
        <f t="shared" ref="D10:D12" si="2">+_xlfn.CONCAT(B10:C10,G10)</f>
        <v>12028SA</v>
      </c>
      <c r="E10" s="68">
        <v>46753</v>
      </c>
      <c r="F10" s="73"/>
      <c r="G10" s="39" t="s">
        <v>60</v>
      </c>
      <c r="H10" s="39">
        <v>4</v>
      </c>
      <c r="I10" s="65">
        <v>12489.80900418081</v>
      </c>
      <c r="J10" s="65">
        <v>11800.523031971406</v>
      </c>
      <c r="K10" s="65">
        <v>11951.131361053003</v>
      </c>
      <c r="L10" s="65">
        <v>12441.385032359141</v>
      </c>
      <c r="M10" s="65">
        <v>12155.533734715304</v>
      </c>
      <c r="N10" s="65">
        <v>12577.799943825259</v>
      </c>
      <c r="O10" s="65">
        <v>12742.688742105584</v>
      </c>
      <c r="P10" s="65">
        <v>15264.796651882818</v>
      </c>
      <c r="Q10" s="65">
        <v>16873.498183776162</v>
      </c>
      <c r="R10" s="65">
        <v>17266.356860183005</v>
      </c>
      <c r="S10" s="65">
        <v>17242.065894409941</v>
      </c>
      <c r="T10" s="65">
        <v>17377.60695802893</v>
      </c>
      <c r="U10" s="65">
        <v>16596.0498446245</v>
      </c>
      <c r="V10" s="65">
        <v>16820.066158740337</v>
      </c>
      <c r="W10" s="65">
        <v>16290.505154360031</v>
      </c>
      <c r="X10" s="65">
        <v>15877.061198151416</v>
      </c>
      <c r="Y10" s="65">
        <v>15140.479763898187</v>
      </c>
      <c r="Z10" s="65">
        <v>14840.683583226088</v>
      </c>
      <c r="AA10" s="65">
        <v>14026.767946392178</v>
      </c>
      <c r="AB10" s="65">
        <v>14564.095952797587</v>
      </c>
      <c r="AC10" s="65">
        <v>13934.157039825277</v>
      </c>
      <c r="AD10" s="65">
        <v>13143.129629289126</v>
      </c>
      <c r="AE10" s="65">
        <v>12130.198457801915</v>
      </c>
      <c r="AF10" s="65">
        <v>11445.31390028928</v>
      </c>
      <c r="AG10" s="40">
        <f>ROUND(SUM(I10:AF10)*H10,2)</f>
        <v>1379966.82</v>
      </c>
    </row>
    <row r="11" spans="2:33" ht="14.4" x14ac:dyDescent="0.25">
      <c r="B11">
        <f t="shared" si="0"/>
        <v>1</v>
      </c>
      <c r="C11">
        <f t="shared" si="1"/>
        <v>2028</v>
      </c>
      <c r="D11" t="str">
        <f t="shared" si="2"/>
        <v>12028DO</v>
      </c>
      <c r="E11" s="68">
        <v>46753</v>
      </c>
      <c r="F11" s="73"/>
      <c r="G11" s="41" t="s">
        <v>58</v>
      </c>
      <c r="H11" s="41">
        <v>5</v>
      </c>
      <c r="I11" s="65">
        <v>3916.3528532813289</v>
      </c>
      <c r="J11" s="65">
        <v>3904.0317102031804</v>
      </c>
      <c r="K11" s="65">
        <v>3693.371704226885</v>
      </c>
      <c r="L11" s="65">
        <v>3638.5546267754166</v>
      </c>
      <c r="M11" s="65">
        <v>3515.945320744162</v>
      </c>
      <c r="N11" s="65">
        <v>3774.958353489214</v>
      </c>
      <c r="O11" s="65">
        <v>2803.9402432777169</v>
      </c>
      <c r="P11" s="65">
        <v>2906.6063958312006</v>
      </c>
      <c r="Q11" s="65">
        <v>3113.0281395176135</v>
      </c>
      <c r="R11" s="65">
        <v>3263.3577270219503</v>
      </c>
      <c r="S11" s="65">
        <v>2661.2482833721078</v>
      </c>
      <c r="T11" s="65">
        <v>2424.2679786194094</v>
      </c>
      <c r="U11" s="65">
        <v>1870.5008036420768</v>
      </c>
      <c r="V11" s="65">
        <v>1738.9864400637816</v>
      </c>
      <c r="W11" s="65">
        <v>1689.9234264178813</v>
      </c>
      <c r="X11" s="65">
        <v>2447.6751121680099</v>
      </c>
      <c r="Y11" s="65">
        <v>2716.8108481687887</v>
      </c>
      <c r="Z11" s="65">
        <v>2957.7147788922521</v>
      </c>
      <c r="AA11" s="65">
        <v>2431.2210450343809</v>
      </c>
      <c r="AB11" s="65">
        <v>3204.3881973608877</v>
      </c>
      <c r="AC11" s="65">
        <v>3033.855761672814</v>
      </c>
      <c r="AD11" s="65">
        <v>3041.6910403277361</v>
      </c>
      <c r="AE11" s="65">
        <v>3133.8712547290233</v>
      </c>
      <c r="AF11" s="65">
        <v>3125.7546201719197</v>
      </c>
      <c r="AG11" s="40">
        <f>ROUND(SUM(I11:AF11)*H11,2)</f>
        <v>355040.28</v>
      </c>
    </row>
    <row r="12" spans="2:33" ht="14.4" x14ac:dyDescent="0.25">
      <c r="B12">
        <f t="shared" si="0"/>
        <v>1</v>
      </c>
      <c r="C12">
        <f t="shared" si="1"/>
        <v>2028</v>
      </c>
      <c r="D12" t="str">
        <f t="shared" si="2"/>
        <v>12028FE</v>
      </c>
      <c r="E12" s="68">
        <v>46753</v>
      </c>
      <c r="F12" s="73"/>
      <c r="G12" s="42" t="s">
        <v>59</v>
      </c>
      <c r="H12" s="42">
        <v>2</v>
      </c>
      <c r="I12" s="65">
        <v>8595.1619123888486</v>
      </c>
      <c r="J12" s="65">
        <v>8401.5555068885405</v>
      </c>
      <c r="K12" s="65">
        <v>8141.2463560328069</v>
      </c>
      <c r="L12" s="65">
        <v>8041.3419851235758</v>
      </c>
      <c r="M12" s="65">
        <v>7482.948178408582</v>
      </c>
      <c r="N12" s="65">
        <v>5794.2897831082537</v>
      </c>
      <c r="O12" s="65">
        <v>3334.7722888015705</v>
      </c>
      <c r="P12" s="65">
        <v>3526.319718339937</v>
      </c>
      <c r="Q12" s="65">
        <v>4217.1101038648303</v>
      </c>
      <c r="R12" s="65">
        <v>4481.5573424875911</v>
      </c>
      <c r="S12" s="65">
        <v>4190.3874648581659</v>
      </c>
      <c r="T12" s="65">
        <v>3537.024934220608</v>
      </c>
      <c r="U12" s="65">
        <v>2822.7711067186428</v>
      </c>
      <c r="V12" s="65">
        <v>2762.1958584343593</v>
      </c>
      <c r="W12" s="65">
        <v>2540.8729139110656</v>
      </c>
      <c r="X12" s="65">
        <v>3508.6726517831703</v>
      </c>
      <c r="Y12" s="65">
        <v>3236.9344499303188</v>
      </c>
      <c r="Z12" s="65">
        <v>4078.3907016595549</v>
      </c>
      <c r="AA12" s="65">
        <v>3935.5887220193435</v>
      </c>
      <c r="AB12" s="65">
        <v>4812.3791344132296</v>
      </c>
      <c r="AC12" s="65">
        <v>3885.2399232972239</v>
      </c>
      <c r="AD12" s="65">
        <v>3618.4771262502672</v>
      </c>
      <c r="AE12" s="65">
        <v>3409.0765398352814</v>
      </c>
      <c r="AF12" s="65">
        <v>3283.5410057173776</v>
      </c>
      <c r="AG12" s="43">
        <f>ROUND(SUM(I12:AF12)*H12,2)</f>
        <v>223275.71</v>
      </c>
    </row>
    <row r="13" spans="2:33" ht="15" thickBot="1" x14ac:dyDescent="0.3">
      <c r="B13">
        <f t="shared" si="0"/>
        <v>1</v>
      </c>
      <c r="C13">
        <f t="shared" si="1"/>
        <v>2028</v>
      </c>
      <c r="D13" t="str">
        <f>+_xlfn.CONCAT(E13,G13)</f>
        <v>46753TOTAL</v>
      </c>
      <c r="E13" s="68">
        <v>46753</v>
      </c>
      <c r="F13" s="61"/>
      <c r="G13" s="44" t="s">
        <v>10</v>
      </c>
      <c r="H13" s="44">
        <v>31</v>
      </c>
      <c r="I13" s="45">
        <f t="shared" ref="I13:AF13" si="3">+SUMPRODUCT(I9:I12,$H9:$H12)</f>
        <v>382017.73761692439</v>
      </c>
      <c r="J13" s="45">
        <f t="shared" si="3"/>
        <v>370449.12624249712</v>
      </c>
      <c r="K13" s="45">
        <f t="shared" si="3"/>
        <v>362065.76193643606</v>
      </c>
      <c r="L13" s="45">
        <f t="shared" si="3"/>
        <v>370090.23018251231</v>
      </c>
      <c r="M13" s="45">
        <f t="shared" si="3"/>
        <v>357893.55496021913</v>
      </c>
      <c r="N13" s="45">
        <f t="shared" si="3"/>
        <v>370257.61811559682</v>
      </c>
      <c r="O13" s="45">
        <f t="shared" si="3"/>
        <v>395727.07242452668</v>
      </c>
      <c r="P13" s="45">
        <f t="shared" si="3"/>
        <v>473674.45727796847</v>
      </c>
      <c r="Q13" s="45">
        <f t="shared" si="3"/>
        <v>529477.31246597075</v>
      </c>
      <c r="R13" s="45">
        <f t="shared" si="3"/>
        <v>547673.02663950529</v>
      </c>
      <c r="S13" s="45">
        <f t="shared" si="3"/>
        <v>556567.70483394759</v>
      </c>
      <c r="T13" s="45">
        <f t="shared" si="3"/>
        <v>561372.31314743613</v>
      </c>
      <c r="U13" s="45">
        <f t="shared" si="3"/>
        <v>533366.53367400437</v>
      </c>
      <c r="V13" s="45">
        <f t="shared" si="3"/>
        <v>555171.52867269178</v>
      </c>
      <c r="W13" s="45">
        <f t="shared" si="3"/>
        <v>562035.62402850366</v>
      </c>
      <c r="X13" s="45">
        <f t="shared" si="3"/>
        <v>569814.36996937927</v>
      </c>
      <c r="Y13" s="45">
        <f t="shared" si="3"/>
        <v>548213.61477302213</v>
      </c>
      <c r="Z13" s="45">
        <f t="shared" si="3"/>
        <v>513879.41178474977</v>
      </c>
      <c r="AA13" s="45">
        <f t="shared" si="3"/>
        <v>466615.09536672349</v>
      </c>
      <c r="AB13" s="45">
        <f t="shared" si="3"/>
        <v>472037.19662186975</v>
      </c>
      <c r="AC13" s="45">
        <f t="shared" si="3"/>
        <v>431000.29163803213</v>
      </c>
      <c r="AD13" s="45">
        <f t="shared" si="3"/>
        <v>413930.15443241084</v>
      </c>
      <c r="AE13" s="45">
        <f t="shared" si="3"/>
        <v>382786.27943010349</v>
      </c>
      <c r="AF13" s="45">
        <f t="shared" si="3"/>
        <v>380991.75791455747</v>
      </c>
      <c r="AG13" s="46">
        <f>SUM(I13:AF13)</f>
        <v>11107107.774149589</v>
      </c>
    </row>
    <row r="14" spans="2:33" ht="14.4" x14ac:dyDescent="0.25">
      <c r="B14">
        <f t="shared" si="0"/>
        <v>2</v>
      </c>
      <c r="C14">
        <f t="shared" si="1"/>
        <v>2028</v>
      </c>
      <c r="D14" t="str">
        <f t="shared" ref="D14:D17" si="4">+_xlfn.CONCAT(B14:C14,G14)</f>
        <v>22028OR</v>
      </c>
      <c r="E14" s="67">
        <v>46784</v>
      </c>
      <c r="F14" s="72">
        <f>+AG18</f>
        <v>10059541.007577887</v>
      </c>
      <c r="G14" s="37" t="s">
        <v>57</v>
      </c>
      <c r="H14" s="37">
        <v>21</v>
      </c>
      <c r="I14" s="65">
        <v>13298.87335702436</v>
      </c>
      <c r="J14" s="65">
        <v>12900.972413163901</v>
      </c>
      <c r="K14" s="65">
        <v>12524.134178504868</v>
      </c>
      <c r="L14" s="65">
        <v>12862.523805252255</v>
      </c>
      <c r="M14" s="65">
        <v>12346.032094491784</v>
      </c>
      <c r="N14" s="65">
        <v>12898.291268202363</v>
      </c>
      <c r="O14" s="65">
        <v>14379.535664312165</v>
      </c>
      <c r="P14" s="65">
        <v>17578.205137729041</v>
      </c>
      <c r="Q14" s="65">
        <v>19786.251359450529</v>
      </c>
      <c r="R14" s="65">
        <v>20469.049744194544</v>
      </c>
      <c r="S14" s="65">
        <v>20971.944067224704</v>
      </c>
      <c r="T14" s="65">
        <v>21250.751962387407</v>
      </c>
      <c r="U14" s="65">
        <v>20251.911552937003</v>
      </c>
      <c r="V14" s="65">
        <v>21367.507433388262</v>
      </c>
      <c r="W14" s="65">
        <v>21842.94814818857</v>
      </c>
      <c r="X14" s="65">
        <v>22022.079288521418</v>
      </c>
      <c r="Y14" s="65">
        <v>21053.87724601449</v>
      </c>
      <c r="Z14" s="65">
        <v>19328.020451754383</v>
      </c>
      <c r="AA14" s="65">
        <v>17414.923917596687</v>
      </c>
      <c r="AB14" s="65">
        <v>17428.006066250866</v>
      </c>
      <c r="AC14" s="65">
        <v>15712.998323924798</v>
      </c>
      <c r="AD14" s="65">
        <v>15186.497527100899</v>
      </c>
      <c r="AE14" s="65">
        <v>13965.909308672792</v>
      </c>
      <c r="AF14" s="65">
        <v>14071.735672526987</v>
      </c>
      <c r="AG14" s="38">
        <f>+SUM(I14:AF14)*H14</f>
        <v>8629172.5797651149</v>
      </c>
    </row>
    <row r="15" spans="2:33" ht="14.4" x14ac:dyDescent="0.25">
      <c r="B15">
        <f t="shared" si="0"/>
        <v>2</v>
      </c>
      <c r="C15">
        <f t="shared" si="1"/>
        <v>2028</v>
      </c>
      <c r="D15" t="str">
        <f t="shared" si="4"/>
        <v>22028SA</v>
      </c>
      <c r="E15" s="68">
        <v>46784</v>
      </c>
      <c r="F15" s="73"/>
      <c r="G15" s="39" t="s">
        <v>60</v>
      </c>
      <c r="H15" s="39">
        <v>4</v>
      </c>
      <c r="I15" s="65">
        <v>11203.372391179324</v>
      </c>
      <c r="J15" s="65">
        <v>10562.143450027321</v>
      </c>
      <c r="K15" s="65">
        <v>10743.912644769815</v>
      </c>
      <c r="L15" s="65">
        <v>11264.789771539141</v>
      </c>
      <c r="M15" s="65">
        <v>10934.167600920016</v>
      </c>
      <c r="N15" s="65">
        <v>11304.467063024273</v>
      </c>
      <c r="O15" s="65">
        <v>11344.485410815127</v>
      </c>
      <c r="P15" s="65">
        <v>13784.802458817547</v>
      </c>
      <c r="Q15" s="65">
        <v>15303.245687039696</v>
      </c>
      <c r="R15" s="65">
        <v>15671.017617847418</v>
      </c>
      <c r="S15" s="65">
        <v>15539.805604862602</v>
      </c>
      <c r="T15" s="65">
        <v>15687.579240920146</v>
      </c>
      <c r="U15" s="65">
        <v>14970.231876331069</v>
      </c>
      <c r="V15" s="65">
        <v>15291.00304851391</v>
      </c>
      <c r="W15" s="65">
        <v>14743.721927152452</v>
      </c>
      <c r="X15" s="65">
        <v>14321.406546744423</v>
      </c>
      <c r="Y15" s="65">
        <v>13593.188340152574</v>
      </c>
      <c r="Z15" s="65">
        <v>13293.758402349202</v>
      </c>
      <c r="AA15" s="65">
        <v>12491.852536139977</v>
      </c>
      <c r="AB15" s="65">
        <v>13171.411044114087</v>
      </c>
      <c r="AC15" s="65">
        <v>12621.66542607388</v>
      </c>
      <c r="AD15" s="65">
        <v>11938.567086637133</v>
      </c>
      <c r="AE15" s="65">
        <v>11025.452119838123</v>
      </c>
      <c r="AF15" s="65">
        <v>10387.661099741061</v>
      </c>
      <c r="AG15" s="40">
        <f>+SUM(I15:AF15)*H15</f>
        <v>1244774.833582201</v>
      </c>
    </row>
    <row r="16" spans="2:33" ht="14.4" x14ac:dyDescent="0.25">
      <c r="B16">
        <f t="shared" si="0"/>
        <v>2</v>
      </c>
      <c r="C16">
        <f t="shared" si="1"/>
        <v>2028</v>
      </c>
      <c r="D16" t="str">
        <f t="shared" si="4"/>
        <v>22028DO</v>
      </c>
      <c r="E16" s="68">
        <v>46784</v>
      </c>
      <c r="F16" s="73"/>
      <c r="G16" s="41" t="s">
        <v>58</v>
      </c>
      <c r="H16" s="41">
        <v>4</v>
      </c>
      <c r="I16" s="65">
        <v>2978.9649381843556</v>
      </c>
      <c r="J16" s="65">
        <v>3006.8829259141385</v>
      </c>
      <c r="K16" s="65">
        <v>2755.9565581899078</v>
      </c>
      <c r="L16" s="65">
        <v>2716.4534438496776</v>
      </c>
      <c r="M16" s="65">
        <v>2587.1334002637122</v>
      </c>
      <c r="N16" s="65">
        <v>2893.3294503074721</v>
      </c>
      <c r="O16" s="65">
        <v>1911.3806797788857</v>
      </c>
      <c r="P16" s="65">
        <v>1947.7569060603455</v>
      </c>
      <c r="Q16" s="65">
        <v>2070.6559535239612</v>
      </c>
      <c r="R16" s="65">
        <v>2185.3887821059725</v>
      </c>
      <c r="S16" s="65">
        <v>1546.072496306846</v>
      </c>
      <c r="T16" s="65">
        <v>1297.6922522059649</v>
      </c>
      <c r="U16" s="65">
        <v>742.90706802866407</v>
      </c>
      <c r="V16" s="65">
        <v>564.70013123410536</v>
      </c>
      <c r="W16" s="65">
        <v>528.99810637588598</v>
      </c>
      <c r="X16" s="65">
        <v>1271.7021738150142</v>
      </c>
      <c r="Y16" s="65">
        <v>1543.7611239339531</v>
      </c>
      <c r="Z16" s="65">
        <v>1847.6603330650796</v>
      </c>
      <c r="AA16" s="65">
        <v>1263.8009498947285</v>
      </c>
      <c r="AB16" s="65">
        <v>2138.2144736465088</v>
      </c>
      <c r="AC16" s="65">
        <v>2021.2722419033162</v>
      </c>
      <c r="AD16" s="65">
        <v>2106.4635491106419</v>
      </c>
      <c r="AE16" s="65">
        <v>2221.8227875062221</v>
      </c>
      <c r="AF16" s="65">
        <v>2249.427832436555</v>
      </c>
      <c r="AG16" s="40">
        <f>+SUM(I16:AF16)*H16</f>
        <v>185593.59423056763</v>
      </c>
    </row>
    <row r="17" spans="2:33" ht="14.4" x14ac:dyDescent="0.25">
      <c r="B17">
        <f t="shared" si="0"/>
        <v>2</v>
      </c>
      <c r="C17">
        <f t="shared" si="1"/>
        <v>2028</v>
      </c>
      <c r="D17" t="str">
        <f t="shared" si="4"/>
        <v>22028FE</v>
      </c>
      <c r="E17" s="68">
        <v>46784</v>
      </c>
      <c r="F17" s="73"/>
      <c r="G17" s="42" t="s">
        <v>59</v>
      </c>
      <c r="H17" s="42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43">
        <f>+SUM(I17:AF17)*H17</f>
        <v>0</v>
      </c>
    </row>
    <row r="18" spans="2:33" ht="15" thickBot="1" x14ac:dyDescent="0.3">
      <c r="B18">
        <f t="shared" si="0"/>
        <v>2</v>
      </c>
      <c r="C18">
        <f t="shared" si="1"/>
        <v>2028</v>
      </c>
      <c r="D18" t="str">
        <f>+_xlfn.CONCAT(E18,G18)</f>
        <v>46784TOTAL</v>
      </c>
      <c r="E18" s="68">
        <v>46784</v>
      </c>
      <c r="F18" s="61"/>
      <c r="G18" s="44" t="s">
        <v>10</v>
      </c>
      <c r="H18" s="44">
        <v>29</v>
      </c>
      <c r="I18" s="45">
        <f t="shared" ref="I18:AF18" si="5">+SUMPRODUCT(I14:I17,$H14:$H17)</f>
        <v>336005.68981496629</v>
      </c>
      <c r="J18" s="45">
        <f t="shared" si="5"/>
        <v>325196.52618020773</v>
      </c>
      <c r="K18" s="45">
        <f t="shared" si="5"/>
        <v>317006.29456044117</v>
      </c>
      <c r="L18" s="45">
        <f t="shared" si="5"/>
        <v>326037.97277185263</v>
      </c>
      <c r="M18" s="45">
        <f t="shared" si="5"/>
        <v>313351.8779890624</v>
      </c>
      <c r="N18" s="45">
        <f t="shared" si="5"/>
        <v>327655.30268557661</v>
      </c>
      <c r="O18" s="45">
        <f t="shared" si="5"/>
        <v>354993.71331293153</v>
      </c>
      <c r="P18" s="45">
        <f t="shared" si="5"/>
        <v>432072.54535182141</v>
      </c>
      <c r="Q18" s="45">
        <f t="shared" si="5"/>
        <v>485006.88511071575</v>
      </c>
      <c r="R18" s="45">
        <f t="shared" si="5"/>
        <v>501275.67022789904</v>
      </c>
      <c r="S18" s="45">
        <f t="shared" si="5"/>
        <v>508754.33781639661</v>
      </c>
      <c r="T18" s="45">
        <f t="shared" si="5"/>
        <v>514206.87718263996</v>
      </c>
      <c r="U18" s="45">
        <f t="shared" si="5"/>
        <v>488142.69838911598</v>
      </c>
      <c r="V18" s="45">
        <f t="shared" si="5"/>
        <v>512140.46882014559</v>
      </c>
      <c r="W18" s="45">
        <f t="shared" si="5"/>
        <v>519792.79124607332</v>
      </c>
      <c r="X18" s="45">
        <f t="shared" si="5"/>
        <v>524836.09994118754</v>
      </c>
      <c r="Y18" s="45">
        <f t="shared" si="5"/>
        <v>502679.22002265044</v>
      </c>
      <c r="Z18" s="45">
        <f t="shared" si="5"/>
        <v>466454.10442849912</v>
      </c>
      <c r="AA18" s="45">
        <f t="shared" si="5"/>
        <v>420736.01621366921</v>
      </c>
      <c r="AB18" s="45">
        <f t="shared" si="5"/>
        <v>427226.62946231058</v>
      </c>
      <c r="AC18" s="45">
        <f t="shared" si="5"/>
        <v>388544.71547432954</v>
      </c>
      <c r="AD18" s="45">
        <f t="shared" si="5"/>
        <v>375096.57061211002</v>
      </c>
      <c r="AE18" s="45">
        <f t="shared" si="5"/>
        <v>346273.19511150604</v>
      </c>
      <c r="AF18" s="45">
        <f t="shared" si="5"/>
        <v>346054.80485177721</v>
      </c>
      <c r="AG18" s="46">
        <f>SUM(I18:AF18)</f>
        <v>10059541.007577887</v>
      </c>
    </row>
    <row r="19" spans="2:33" ht="14.4" x14ac:dyDescent="0.25">
      <c r="B19">
        <f t="shared" si="0"/>
        <v>3</v>
      </c>
      <c r="C19">
        <f t="shared" si="1"/>
        <v>2028</v>
      </c>
      <c r="D19" t="str">
        <f t="shared" ref="D19:D22" si="6">+_xlfn.CONCAT(B19:C19,G19)</f>
        <v>32028OR</v>
      </c>
      <c r="E19" s="67">
        <v>46813</v>
      </c>
      <c r="F19" s="72">
        <f>+AG23</f>
        <v>10288924.302699681</v>
      </c>
      <c r="G19" s="37" t="s">
        <v>57</v>
      </c>
      <c r="H19" s="37">
        <v>22</v>
      </c>
      <c r="I19" s="65">
        <v>13072.822261930552</v>
      </c>
      <c r="J19" s="65">
        <v>12666.417409803509</v>
      </c>
      <c r="K19" s="65">
        <v>12276.627035023959</v>
      </c>
      <c r="L19" s="65">
        <v>12607.741703102247</v>
      </c>
      <c r="M19" s="65">
        <v>12056.872965719864</v>
      </c>
      <c r="N19" s="65">
        <v>12537.403085346361</v>
      </c>
      <c r="O19" s="65">
        <v>13927.897733767257</v>
      </c>
      <c r="P19" s="65">
        <v>17139.19205211283</v>
      </c>
      <c r="Q19" s="65">
        <v>19364.083132227315</v>
      </c>
      <c r="R19" s="65">
        <v>20081.288726989707</v>
      </c>
      <c r="S19" s="65">
        <v>20555.368950727159</v>
      </c>
      <c r="T19" s="65">
        <v>20828.359628501526</v>
      </c>
      <c r="U19" s="65">
        <v>19819.422810754462</v>
      </c>
      <c r="V19" s="65">
        <v>20964.678127775333</v>
      </c>
      <c r="W19" s="65">
        <v>21451.766030197901</v>
      </c>
      <c r="X19" s="65">
        <v>21618.140809076824</v>
      </c>
      <c r="Y19" s="65">
        <v>20635.334479449797</v>
      </c>
      <c r="Z19" s="65">
        <v>18898.773818441139</v>
      </c>
      <c r="AA19" s="65">
        <v>16997.292443629143</v>
      </c>
      <c r="AB19" s="65">
        <v>17069.747953868991</v>
      </c>
      <c r="AC19" s="65">
        <v>15364.134536466356</v>
      </c>
      <c r="AD19" s="65">
        <v>14878.694998834462</v>
      </c>
      <c r="AE19" s="65">
        <v>13701.828885356774</v>
      </c>
      <c r="AF19" s="65">
        <v>13813.191967388131</v>
      </c>
      <c r="AG19" s="38">
        <f>+SUM(I19:AF19)*H19</f>
        <v>8851195.7940228153</v>
      </c>
    </row>
    <row r="20" spans="2:33" ht="14.4" x14ac:dyDescent="0.25">
      <c r="B20">
        <f t="shared" si="0"/>
        <v>3</v>
      </c>
      <c r="C20">
        <f t="shared" si="1"/>
        <v>2028</v>
      </c>
      <c r="D20" t="str">
        <f t="shared" si="6"/>
        <v>32028SA</v>
      </c>
      <c r="E20" s="68">
        <v>46813</v>
      </c>
      <c r="F20" s="73"/>
      <c r="G20" s="39" t="s">
        <v>60</v>
      </c>
      <c r="H20" s="39">
        <v>4</v>
      </c>
      <c r="I20" s="65">
        <v>11101.478009450944</v>
      </c>
      <c r="J20" s="65">
        <v>10461.127735622878</v>
      </c>
      <c r="K20" s="65">
        <v>10654.410119248383</v>
      </c>
      <c r="L20" s="65">
        <v>11183.536574957918</v>
      </c>
      <c r="M20" s="65">
        <v>10828.535248214266</v>
      </c>
      <c r="N20" s="65">
        <v>11141.614426923832</v>
      </c>
      <c r="O20" s="65">
        <v>11141.173365464587</v>
      </c>
      <c r="P20" s="65">
        <v>13608.586997308481</v>
      </c>
      <c r="Q20" s="65">
        <v>15141.973340840883</v>
      </c>
      <c r="R20" s="65">
        <v>15560.689547474485</v>
      </c>
      <c r="S20" s="65">
        <v>15417.450750231696</v>
      </c>
      <c r="T20" s="65">
        <v>15587.859645747903</v>
      </c>
      <c r="U20" s="65">
        <v>14867.264538329295</v>
      </c>
      <c r="V20" s="65">
        <v>15230.882432290055</v>
      </c>
      <c r="W20" s="65">
        <v>14663.515380009871</v>
      </c>
      <c r="X20" s="65">
        <v>14208.02031644349</v>
      </c>
      <c r="Y20" s="65">
        <v>13464.21955330811</v>
      </c>
      <c r="Z20" s="65">
        <v>13153.002441796954</v>
      </c>
      <c r="AA20" s="65">
        <v>12355.855387893873</v>
      </c>
      <c r="AB20" s="65">
        <v>13094.745430625651</v>
      </c>
      <c r="AC20" s="65">
        <v>12539.135145819906</v>
      </c>
      <c r="AD20" s="65">
        <v>11850.401391035906</v>
      </c>
      <c r="AE20" s="65">
        <v>10931.162117922006</v>
      </c>
      <c r="AF20" s="65">
        <v>10306.863778129682</v>
      </c>
      <c r="AG20" s="40">
        <f>+SUM(I20:AF20)*H20</f>
        <v>1233974.0147003643</v>
      </c>
    </row>
    <row r="21" spans="2:33" ht="14.4" x14ac:dyDescent="0.25">
      <c r="B21">
        <f t="shared" si="0"/>
        <v>3</v>
      </c>
      <c r="C21">
        <f t="shared" si="1"/>
        <v>2028</v>
      </c>
      <c r="D21" t="str">
        <f t="shared" si="6"/>
        <v>32028DO</v>
      </c>
      <c r="E21" s="68">
        <v>46813</v>
      </c>
      <c r="F21" s="73"/>
      <c r="G21" s="41" t="s">
        <v>58</v>
      </c>
      <c r="H21" s="41">
        <v>4</v>
      </c>
      <c r="I21" s="65">
        <v>4165.5815433936004</v>
      </c>
      <c r="J21" s="65">
        <v>4117.1159968769189</v>
      </c>
      <c r="K21" s="65">
        <v>3826.2768428376166</v>
      </c>
      <c r="L21" s="65">
        <v>3786.8424928361073</v>
      </c>
      <c r="M21" s="65">
        <v>3436.8449170663498</v>
      </c>
      <c r="N21" s="65">
        <v>2820.1717151899866</v>
      </c>
      <c r="O21" s="65">
        <v>1038.5435251446288</v>
      </c>
      <c r="P21" s="65">
        <v>1048.4162554342329</v>
      </c>
      <c r="Q21" s="65">
        <v>1371.4322256143678</v>
      </c>
      <c r="R21" s="65">
        <v>1538.6513348502558</v>
      </c>
      <c r="S21" s="65">
        <v>1022.3873646471257</v>
      </c>
      <c r="T21" s="65">
        <v>559.19961231798879</v>
      </c>
      <c r="U21" s="65">
        <v>0</v>
      </c>
      <c r="V21" s="65">
        <v>0</v>
      </c>
      <c r="W21" s="65">
        <v>0</v>
      </c>
      <c r="X21" s="65">
        <v>417.56465945257878</v>
      </c>
      <c r="Y21" s="65">
        <v>409.01895475329729</v>
      </c>
      <c r="Z21" s="65">
        <v>1113.3115248319045</v>
      </c>
      <c r="AA21" s="65">
        <v>675.27163315047073</v>
      </c>
      <c r="AB21" s="65">
        <v>1763.3081614762195</v>
      </c>
      <c r="AC21" s="65">
        <v>1353.6593577609274</v>
      </c>
      <c r="AD21" s="65">
        <v>1384.6677273622881</v>
      </c>
      <c r="AE21" s="65">
        <v>1402.7315871242026</v>
      </c>
      <c r="AF21" s="65">
        <v>1433.4251747044618</v>
      </c>
      <c r="AG21" s="40">
        <f>+SUM(I21:AF21)*H21</f>
        <v>154737.69042730215</v>
      </c>
    </row>
    <row r="22" spans="2:33" ht="14.4" x14ac:dyDescent="0.25">
      <c r="B22">
        <f t="shared" si="0"/>
        <v>3</v>
      </c>
      <c r="C22">
        <f t="shared" si="1"/>
        <v>2028</v>
      </c>
      <c r="D22" t="str">
        <f t="shared" si="6"/>
        <v>32028FE</v>
      </c>
      <c r="E22" s="68">
        <v>46813</v>
      </c>
      <c r="F22" s="73"/>
      <c r="G22" s="42" t="s">
        <v>59</v>
      </c>
      <c r="H22" s="42">
        <v>1</v>
      </c>
      <c r="I22" s="65">
        <v>6741.6539277787615</v>
      </c>
      <c r="J22" s="65">
        <v>6572.7656023027193</v>
      </c>
      <c r="K22" s="65">
        <v>6265.905469509702</v>
      </c>
      <c r="L22" s="65">
        <v>6203.0327671880586</v>
      </c>
      <c r="M22" s="65">
        <v>5528.5778303892512</v>
      </c>
      <c r="N22" s="65">
        <v>3466.971500500309</v>
      </c>
      <c r="O22" s="65">
        <v>543.08423432445488</v>
      </c>
      <c r="P22" s="65">
        <v>617.55800521206766</v>
      </c>
      <c r="Q22" s="65">
        <v>1311.5466874235572</v>
      </c>
      <c r="R22" s="65">
        <v>1574.1082488937245</v>
      </c>
      <c r="S22" s="65">
        <v>1269.7361004395607</v>
      </c>
      <c r="T22" s="65">
        <v>472.97623908910464</v>
      </c>
      <c r="U22" s="65">
        <v>0</v>
      </c>
      <c r="V22" s="65">
        <v>0</v>
      </c>
      <c r="W22" s="65">
        <v>0</v>
      </c>
      <c r="X22" s="65">
        <v>204.201024402646</v>
      </c>
      <c r="Y22" s="65">
        <v>0</v>
      </c>
      <c r="Z22" s="65">
        <v>1005.1019447323088</v>
      </c>
      <c r="AA22" s="65">
        <v>854.6408780502934</v>
      </c>
      <c r="AB22" s="65">
        <v>2151.9446280673947</v>
      </c>
      <c r="AC22" s="65">
        <v>1253.9483946781802</v>
      </c>
      <c r="AD22" s="65">
        <v>1100.1416341512013</v>
      </c>
      <c r="AE22" s="65">
        <v>947.46685987348246</v>
      </c>
      <c r="AF22" s="65">
        <v>931.4415721951118</v>
      </c>
      <c r="AG22" s="43">
        <f>+SUM(I22:AF22)*H22</f>
        <v>49016.803549201883</v>
      </c>
    </row>
    <row r="23" spans="2:33" ht="15" thickBot="1" x14ac:dyDescent="0.3">
      <c r="B23">
        <f t="shared" si="0"/>
        <v>3</v>
      </c>
      <c r="C23">
        <f t="shared" si="1"/>
        <v>2028</v>
      </c>
      <c r="D23" t="str">
        <f>+_xlfn.CONCAT(E23,G23)</f>
        <v>46813TOTAL</v>
      </c>
      <c r="E23" s="68">
        <v>46813</v>
      </c>
      <c r="F23" s="61"/>
      <c r="G23" s="44" t="s">
        <v>10</v>
      </c>
      <c r="H23" s="44">
        <v>31</v>
      </c>
      <c r="I23" s="45">
        <f t="shared" ref="I23:AF23" si="7">+SUMPRODUCT(I19:I22,$H19:$H22)</f>
        <v>355411.98190162907</v>
      </c>
      <c r="J23" s="45">
        <f t="shared" si="7"/>
        <v>343546.92354797915</v>
      </c>
      <c r="K23" s="45">
        <f t="shared" si="7"/>
        <v>334274.4480883808</v>
      </c>
      <c r="L23" s="45">
        <f t="shared" si="7"/>
        <v>343454.86650661356</v>
      </c>
      <c r="M23" s="45">
        <f t="shared" si="7"/>
        <v>327841.3037373487</v>
      </c>
      <c r="N23" s="45">
        <f t="shared" si="7"/>
        <v>335136.98394657555</v>
      </c>
      <c r="O23" s="45">
        <f t="shared" si="7"/>
        <v>355675.70193964097</v>
      </c>
      <c r="P23" s="45">
        <f t="shared" si="7"/>
        <v>436307.79616266518</v>
      </c>
      <c r="Q23" s="45">
        <f t="shared" si="7"/>
        <v>493374.99786224548</v>
      </c>
      <c r="R23" s="45">
        <f t="shared" si="7"/>
        <v>511759.82377196627</v>
      </c>
      <c r="S23" s="45">
        <f t="shared" si="7"/>
        <v>519247.20547595236</v>
      </c>
      <c r="T23" s="45">
        <f t="shared" si="7"/>
        <v>523285.1250983862</v>
      </c>
      <c r="U23" s="45">
        <f t="shared" si="7"/>
        <v>495496.35998991539</v>
      </c>
      <c r="V23" s="45">
        <f t="shared" si="7"/>
        <v>522146.44854021759</v>
      </c>
      <c r="W23" s="45">
        <f t="shared" si="7"/>
        <v>530592.91418439336</v>
      </c>
      <c r="X23" s="45">
        <f t="shared" si="7"/>
        <v>534305.63872767705</v>
      </c>
      <c r="Y23" s="45">
        <f t="shared" si="7"/>
        <v>509470.31258014118</v>
      </c>
      <c r="Z23" s="45">
        <f t="shared" si="7"/>
        <v>473843.38181695284</v>
      </c>
      <c r="AA23" s="45">
        <f t="shared" si="7"/>
        <v>426919.58272206882</v>
      </c>
      <c r="AB23" s="45">
        <f t="shared" si="7"/>
        <v>437118.6139815927</v>
      </c>
      <c r="AC23" s="45">
        <f t="shared" si="7"/>
        <v>394836.08621126134</v>
      </c>
      <c r="AD23" s="45">
        <f t="shared" si="7"/>
        <v>381371.70808210218</v>
      </c>
      <c r="AE23" s="45">
        <f t="shared" si="7"/>
        <v>351723.27715790737</v>
      </c>
      <c r="AF23" s="45">
        <f t="shared" si="7"/>
        <v>351782.82066607056</v>
      </c>
      <c r="AG23" s="46">
        <f>SUM(I23:AF23)</f>
        <v>10288924.302699681</v>
      </c>
    </row>
    <row r="24" spans="2:33" ht="14.4" x14ac:dyDescent="0.25">
      <c r="B24">
        <f t="shared" si="0"/>
        <v>4</v>
      </c>
      <c r="C24">
        <f t="shared" si="1"/>
        <v>2028</v>
      </c>
      <c r="D24" t="str">
        <f t="shared" ref="D24:D27" si="8">+_xlfn.CONCAT(B24:C24,G24)</f>
        <v>42028OR</v>
      </c>
      <c r="E24" s="67">
        <v>46844</v>
      </c>
      <c r="F24" s="72">
        <f>+AG28</f>
        <v>10089497.202235069</v>
      </c>
      <c r="G24" s="37" t="s">
        <v>57</v>
      </c>
      <c r="H24" s="37">
        <v>18</v>
      </c>
      <c r="I24" s="65">
        <v>14356.159348246125</v>
      </c>
      <c r="J24" s="65">
        <v>13930.122402057934</v>
      </c>
      <c r="K24" s="65">
        <v>13518.231423635616</v>
      </c>
      <c r="L24" s="65">
        <v>13825.54190343833</v>
      </c>
      <c r="M24" s="65">
        <v>13278.515096062669</v>
      </c>
      <c r="N24" s="65">
        <v>13790.314193531054</v>
      </c>
      <c r="O24" s="65">
        <v>15328.216441560213</v>
      </c>
      <c r="P24" s="65">
        <v>18723.408547020874</v>
      </c>
      <c r="Q24" s="65">
        <v>21122.306921074858</v>
      </c>
      <c r="R24" s="65">
        <v>21972.572037856371</v>
      </c>
      <c r="S24" s="65">
        <v>22537.059332291716</v>
      </c>
      <c r="T24" s="65">
        <v>22870.941834705303</v>
      </c>
      <c r="U24" s="65">
        <v>21803.526817151385</v>
      </c>
      <c r="V24" s="65">
        <v>22964.829750019529</v>
      </c>
      <c r="W24" s="65">
        <v>23473.035863333131</v>
      </c>
      <c r="X24" s="65">
        <v>23615.337765839413</v>
      </c>
      <c r="Y24" s="65">
        <v>22604.440832000579</v>
      </c>
      <c r="Z24" s="65">
        <v>20779.809807166705</v>
      </c>
      <c r="AA24" s="65">
        <v>18748.027736118183</v>
      </c>
      <c r="AB24" s="65">
        <v>18768.491699683764</v>
      </c>
      <c r="AC24" s="65">
        <v>16961.382614692156</v>
      </c>
      <c r="AD24" s="65">
        <v>16373.079146931239</v>
      </c>
      <c r="AE24" s="65">
        <v>15108.026171489677</v>
      </c>
      <c r="AF24" s="65">
        <v>15180.178626835572</v>
      </c>
      <c r="AG24" s="38">
        <f>+SUM(I24:AF24)*H24</f>
        <v>7949404.013629362</v>
      </c>
    </row>
    <row r="25" spans="2:33" ht="14.4" x14ac:dyDescent="0.25">
      <c r="B25">
        <f t="shared" si="0"/>
        <v>4</v>
      </c>
      <c r="C25">
        <f t="shared" si="1"/>
        <v>2028</v>
      </c>
      <c r="D25" t="str">
        <f t="shared" si="8"/>
        <v>42028SA</v>
      </c>
      <c r="E25" s="68">
        <v>46844</v>
      </c>
      <c r="F25" s="73"/>
      <c r="G25" s="39" t="s">
        <v>60</v>
      </c>
      <c r="H25" s="39">
        <v>5</v>
      </c>
      <c r="I25" s="65">
        <v>12197.053310408468</v>
      </c>
      <c r="J25" s="65">
        <v>11531.678198579939</v>
      </c>
      <c r="K25" s="65">
        <v>11702.95751998762</v>
      </c>
      <c r="L25" s="65">
        <v>12216.794629542537</v>
      </c>
      <c r="M25" s="65">
        <v>11860.45144466501</v>
      </c>
      <c r="N25" s="65">
        <v>12171.317221333728</v>
      </c>
      <c r="O25" s="65">
        <v>12235.993679173771</v>
      </c>
      <c r="P25" s="65">
        <v>14810.885611357638</v>
      </c>
      <c r="Q25" s="65">
        <v>16449.704143183579</v>
      </c>
      <c r="R25" s="65">
        <v>16971.936662309337</v>
      </c>
      <c r="S25" s="65">
        <v>16909.590088177523</v>
      </c>
      <c r="T25" s="65">
        <v>17110.842151241268</v>
      </c>
      <c r="U25" s="65">
        <v>16315.009712839059</v>
      </c>
      <c r="V25" s="65">
        <v>16658.556895718673</v>
      </c>
      <c r="W25" s="65">
        <v>16068.594516808709</v>
      </c>
      <c r="X25" s="65">
        <v>15577.546615805968</v>
      </c>
      <c r="Y25" s="65">
        <v>14814.035470980994</v>
      </c>
      <c r="Z25" s="65">
        <v>14465.674935291448</v>
      </c>
      <c r="AA25" s="65">
        <v>13644.184168341595</v>
      </c>
      <c r="AB25" s="65">
        <v>14338.611370406434</v>
      </c>
      <c r="AC25" s="65">
        <v>13690.832429783832</v>
      </c>
      <c r="AD25" s="65">
        <v>12890.439187975591</v>
      </c>
      <c r="AE25" s="65">
        <v>11868.509651073226</v>
      </c>
      <c r="AF25" s="65">
        <v>11220.643037054831</v>
      </c>
      <c r="AG25" s="40">
        <f>+SUM(I25:AF25)*H25</f>
        <v>1688609.2132602038</v>
      </c>
    </row>
    <row r="26" spans="2:33" ht="14.4" x14ac:dyDescent="0.25">
      <c r="B26">
        <f t="shared" si="0"/>
        <v>4</v>
      </c>
      <c r="C26">
        <f t="shared" si="1"/>
        <v>2028</v>
      </c>
      <c r="D26" t="str">
        <f t="shared" si="8"/>
        <v>42028DO</v>
      </c>
      <c r="E26" s="68">
        <v>46844</v>
      </c>
      <c r="F26" s="73"/>
      <c r="G26" s="41" t="s">
        <v>58</v>
      </c>
      <c r="H26" s="41">
        <v>5</v>
      </c>
      <c r="I26" s="65">
        <v>4033.6366511982123</v>
      </c>
      <c r="J26" s="65">
        <v>4024.6165294682905</v>
      </c>
      <c r="K26" s="65">
        <v>3715.2304663135715</v>
      </c>
      <c r="L26" s="65">
        <v>3678.2948521359517</v>
      </c>
      <c r="M26" s="65">
        <v>3533.3503856809343</v>
      </c>
      <c r="N26" s="65">
        <v>3864.1441356541823</v>
      </c>
      <c r="O26" s="65">
        <v>2825.4121598297224</v>
      </c>
      <c r="P26" s="65">
        <v>2864.3813130262497</v>
      </c>
      <c r="Q26" s="65">
        <v>2991.6580314921266</v>
      </c>
      <c r="R26" s="65">
        <v>3160.5696576098489</v>
      </c>
      <c r="S26" s="65">
        <v>2623.2893694132035</v>
      </c>
      <c r="T26" s="65">
        <v>2458.9474793890913</v>
      </c>
      <c r="U26" s="65">
        <v>1878.9376478554877</v>
      </c>
      <c r="V26" s="65">
        <v>1671.8421159688514</v>
      </c>
      <c r="W26" s="65">
        <v>1600.180348762271</v>
      </c>
      <c r="X26" s="65">
        <v>2329.3597404993816</v>
      </c>
      <c r="Y26" s="65">
        <v>2572.3855544947946</v>
      </c>
      <c r="Z26" s="65">
        <v>2927.389200087724</v>
      </c>
      <c r="AA26" s="65">
        <v>2300.6983879492509</v>
      </c>
      <c r="AB26" s="65">
        <v>3197.175339279529</v>
      </c>
      <c r="AC26" s="65">
        <v>3002.0637207366381</v>
      </c>
      <c r="AD26" s="65">
        <v>3082.578353033261</v>
      </c>
      <c r="AE26" s="65">
        <v>3157.0633201542169</v>
      </c>
      <c r="AF26" s="65">
        <v>3196.8688893864819</v>
      </c>
      <c r="AG26" s="40">
        <f>+SUM(I26:AF26)*H26</f>
        <v>353450.36824709648</v>
      </c>
    </row>
    <row r="27" spans="2:33" ht="14.4" x14ac:dyDescent="0.25">
      <c r="B27">
        <f t="shared" si="0"/>
        <v>4</v>
      </c>
      <c r="C27">
        <f t="shared" si="1"/>
        <v>2028</v>
      </c>
      <c r="D27" t="str">
        <f t="shared" si="8"/>
        <v>42028FE</v>
      </c>
      <c r="E27" s="68">
        <v>46844</v>
      </c>
      <c r="F27" s="73"/>
      <c r="G27" s="42" t="s">
        <v>59</v>
      </c>
      <c r="H27" s="42">
        <v>2</v>
      </c>
      <c r="I27" s="65">
        <v>6741.6539277787615</v>
      </c>
      <c r="J27" s="65">
        <v>6572.7656023027193</v>
      </c>
      <c r="K27" s="65">
        <v>6265.905469509702</v>
      </c>
      <c r="L27" s="65">
        <v>6203.0327671880586</v>
      </c>
      <c r="M27" s="65">
        <v>5528.5778303892512</v>
      </c>
      <c r="N27" s="65">
        <v>3466.971500500309</v>
      </c>
      <c r="O27" s="65">
        <v>543.08423432445488</v>
      </c>
      <c r="P27" s="65">
        <v>617.55800521206766</v>
      </c>
      <c r="Q27" s="65">
        <v>1311.5466874235572</v>
      </c>
      <c r="R27" s="65">
        <v>1574.1082488937245</v>
      </c>
      <c r="S27" s="65">
        <v>1269.7361004395607</v>
      </c>
      <c r="T27" s="65">
        <v>472.97623908910464</v>
      </c>
      <c r="U27" s="65">
        <v>0</v>
      </c>
      <c r="V27" s="65">
        <v>0</v>
      </c>
      <c r="W27" s="65">
        <v>0</v>
      </c>
      <c r="X27" s="65">
        <v>204.201024402646</v>
      </c>
      <c r="Y27" s="65">
        <v>0</v>
      </c>
      <c r="Z27" s="65">
        <v>1005.1019447323088</v>
      </c>
      <c r="AA27" s="65">
        <v>854.6408780502934</v>
      </c>
      <c r="AB27" s="65">
        <v>2151.9446280673947</v>
      </c>
      <c r="AC27" s="65">
        <v>1253.9483946781802</v>
      </c>
      <c r="AD27" s="65">
        <v>1100.1416341512013</v>
      </c>
      <c r="AE27" s="65">
        <v>947.46685987348246</v>
      </c>
      <c r="AF27" s="65">
        <v>931.4415721951118</v>
      </c>
      <c r="AG27" s="43">
        <f>+SUM(I27:AF27)*H27</f>
        <v>98033.607098403765</v>
      </c>
    </row>
    <row r="28" spans="2:33" ht="15" thickBot="1" x14ac:dyDescent="0.3">
      <c r="B28">
        <f t="shared" si="0"/>
        <v>4</v>
      </c>
      <c r="C28">
        <f t="shared" si="1"/>
        <v>2028</v>
      </c>
      <c r="D28" t="str">
        <f>+_xlfn.CONCAT(E28,G28)</f>
        <v>46844TOTAL</v>
      </c>
      <c r="E28" s="68">
        <v>46844</v>
      </c>
      <c r="F28" s="61"/>
      <c r="G28" s="44" t="s">
        <v>10</v>
      </c>
      <c r="H28" s="44">
        <v>30</v>
      </c>
      <c r="I28" s="45">
        <f t="shared" ref="I28:AF28" si="9">+SUMPRODUCT(I24:I27,$H24:$H27)</f>
        <v>353047.62593202118</v>
      </c>
      <c r="J28" s="45">
        <f t="shared" si="9"/>
        <v>341669.20808188943</v>
      </c>
      <c r="K28" s="45">
        <f t="shared" si="9"/>
        <v>332950.91649596643</v>
      </c>
      <c r="L28" s="45">
        <f t="shared" si="9"/>
        <v>340741.26720465854</v>
      </c>
      <c r="M28" s="45">
        <f t="shared" si="9"/>
        <v>327039.43654163624</v>
      </c>
      <c r="N28" s="45">
        <f t="shared" si="9"/>
        <v>335336.90526949911</v>
      </c>
      <c r="O28" s="45">
        <f t="shared" si="9"/>
        <v>352301.09361175023</v>
      </c>
      <c r="P28" s="45">
        <f t="shared" si="9"/>
        <v>426632.80447871931</v>
      </c>
      <c r="Q28" s="45">
        <f t="shared" si="9"/>
        <v>480031.42882757308</v>
      </c>
      <c r="R28" s="45">
        <f t="shared" si="9"/>
        <v>499317.04477879807</v>
      </c>
      <c r="S28" s="45">
        <f t="shared" si="9"/>
        <v>505870.93747008365</v>
      </c>
      <c r="T28" s="45">
        <f t="shared" si="9"/>
        <v>510471.85365602549</v>
      </c>
      <c r="U28" s="45">
        <f t="shared" si="9"/>
        <v>483433.21951219765</v>
      </c>
      <c r="V28" s="45">
        <f t="shared" si="9"/>
        <v>505018.93055878917</v>
      </c>
      <c r="W28" s="45">
        <f t="shared" si="9"/>
        <v>510858.51986785122</v>
      </c>
      <c r="X28" s="45">
        <f t="shared" si="9"/>
        <v>515019.01361544151</v>
      </c>
      <c r="Y28" s="45">
        <f t="shared" si="9"/>
        <v>493812.04010338936</v>
      </c>
      <c r="Z28" s="45">
        <f t="shared" si="9"/>
        <v>463012.10109536117</v>
      </c>
      <c r="AA28" s="45">
        <f t="shared" si="9"/>
        <v>418898.1937876821</v>
      </c>
      <c r="AB28" s="45">
        <f t="shared" si="9"/>
        <v>429815.67339887243</v>
      </c>
      <c r="AC28" s="45">
        <f t="shared" si="9"/>
        <v>391277.26460641756</v>
      </c>
      <c r="AD28" s="45">
        <f t="shared" si="9"/>
        <v>376780.79561810894</v>
      </c>
      <c r="AE28" s="45">
        <f t="shared" si="9"/>
        <v>348967.26966269838</v>
      </c>
      <c r="AF28" s="45">
        <f t="shared" si="9"/>
        <v>347193.65805963712</v>
      </c>
      <c r="AG28" s="46">
        <f>SUM(I28:AF28)</f>
        <v>10089497.202235069</v>
      </c>
    </row>
    <row r="29" spans="2:33" ht="14.4" x14ac:dyDescent="0.25">
      <c r="B29">
        <f t="shared" si="0"/>
        <v>5</v>
      </c>
      <c r="C29">
        <f t="shared" si="1"/>
        <v>2028</v>
      </c>
      <c r="D29" t="str">
        <f t="shared" ref="D29:D32" si="10">+_xlfn.CONCAT(B29:C29,G29)</f>
        <v>52028OR</v>
      </c>
      <c r="E29" s="67">
        <v>46874</v>
      </c>
      <c r="F29" s="72">
        <f>+AG33</f>
        <v>10379973.568099456</v>
      </c>
      <c r="G29" s="37" t="s">
        <v>57</v>
      </c>
      <c r="H29" s="37">
        <v>21</v>
      </c>
      <c r="I29" s="65">
        <v>13694.708599327303</v>
      </c>
      <c r="J29" s="65">
        <v>13268.390515830082</v>
      </c>
      <c r="K29" s="65">
        <v>12853.245359383985</v>
      </c>
      <c r="L29" s="65">
        <v>13162.854602236484</v>
      </c>
      <c r="M29" s="65">
        <v>12584.548368652489</v>
      </c>
      <c r="N29" s="65">
        <v>13022.657838368797</v>
      </c>
      <c r="O29" s="65">
        <v>14428.259667957222</v>
      </c>
      <c r="P29" s="65">
        <v>17767.806370446557</v>
      </c>
      <c r="Q29" s="65">
        <v>20118.311322021014</v>
      </c>
      <c r="R29" s="65">
        <v>20950.286172059416</v>
      </c>
      <c r="S29" s="65">
        <v>21456.970120794904</v>
      </c>
      <c r="T29" s="65">
        <v>21763.735531249709</v>
      </c>
      <c r="U29" s="65">
        <v>20708.72780926164</v>
      </c>
      <c r="V29" s="65">
        <v>21890.003187827355</v>
      </c>
      <c r="W29" s="65">
        <v>22400.684841729333</v>
      </c>
      <c r="X29" s="65">
        <v>22540.61728189496</v>
      </c>
      <c r="Y29" s="65">
        <v>21527.199809322501</v>
      </c>
      <c r="Z29" s="65">
        <v>19725.168444850209</v>
      </c>
      <c r="AA29" s="65">
        <v>17750.689310307724</v>
      </c>
      <c r="AB29" s="65">
        <v>17841.608051555064</v>
      </c>
      <c r="AC29" s="65">
        <v>16079.435762812134</v>
      </c>
      <c r="AD29" s="65">
        <v>15564.096199864713</v>
      </c>
      <c r="AE29" s="65">
        <v>14369.003353725919</v>
      </c>
      <c r="AF29" s="65">
        <v>14460.174483523213</v>
      </c>
      <c r="AG29" s="38">
        <f>+SUM(I29:AF29)*H29</f>
        <v>8818512.8431050591</v>
      </c>
    </row>
    <row r="30" spans="2:33" ht="14.4" x14ac:dyDescent="0.25">
      <c r="B30">
        <f t="shared" si="0"/>
        <v>5</v>
      </c>
      <c r="C30">
        <f t="shared" si="1"/>
        <v>2028</v>
      </c>
      <c r="D30" t="str">
        <f t="shared" si="10"/>
        <v>52028SA</v>
      </c>
      <c r="E30" s="68">
        <v>46874</v>
      </c>
      <c r="F30" s="73"/>
      <c r="G30" s="39" t="s">
        <v>60</v>
      </c>
      <c r="H30" s="39">
        <v>4</v>
      </c>
      <c r="I30" s="65">
        <v>11373.587606882767</v>
      </c>
      <c r="J30" s="65">
        <v>10725.416185365124</v>
      </c>
      <c r="K30" s="65">
        <v>10923.725765026949</v>
      </c>
      <c r="L30" s="65">
        <v>11456.621586607413</v>
      </c>
      <c r="M30" s="65">
        <v>11074.129015775554</v>
      </c>
      <c r="N30" s="65">
        <v>11323.012516164046</v>
      </c>
      <c r="O30" s="65">
        <v>11300.615472784426</v>
      </c>
      <c r="P30" s="65">
        <v>13835.833767391745</v>
      </c>
      <c r="Q30" s="65">
        <v>15422.835863918597</v>
      </c>
      <c r="R30" s="65">
        <v>15934.394913263492</v>
      </c>
      <c r="S30" s="65">
        <v>15806.256301535235</v>
      </c>
      <c r="T30" s="65">
        <v>16012.591903545013</v>
      </c>
      <c r="U30" s="65">
        <v>15261.955121345844</v>
      </c>
      <c r="V30" s="65">
        <v>15666.006585415682</v>
      </c>
      <c r="W30" s="65">
        <v>15068.436976307843</v>
      </c>
      <c r="X30" s="65">
        <v>14563.673508198019</v>
      </c>
      <c r="Y30" s="65">
        <v>13795.675234695951</v>
      </c>
      <c r="Z30" s="65">
        <v>13458.340225975084</v>
      </c>
      <c r="AA30" s="65">
        <v>12657.911806996213</v>
      </c>
      <c r="AB30" s="65">
        <v>13446.933075511275</v>
      </c>
      <c r="AC30" s="65">
        <v>12852.430237965553</v>
      </c>
      <c r="AD30" s="65">
        <v>12118.207956490009</v>
      </c>
      <c r="AE30" s="65">
        <v>11156.09054903672</v>
      </c>
      <c r="AF30" s="65">
        <v>10538.463200239874</v>
      </c>
      <c r="AG30" s="40">
        <f>+SUM(I30:AF30)*H30</f>
        <v>1263092.5815057538</v>
      </c>
    </row>
    <row r="31" spans="2:33" ht="14.4" x14ac:dyDescent="0.25">
      <c r="B31">
        <f t="shared" si="0"/>
        <v>5</v>
      </c>
      <c r="C31">
        <f t="shared" si="1"/>
        <v>2028</v>
      </c>
      <c r="D31" t="str">
        <f t="shared" si="10"/>
        <v>52028DO</v>
      </c>
      <c r="E31" s="68">
        <v>46874</v>
      </c>
      <c r="F31" s="73"/>
      <c r="G31" s="41" t="s">
        <v>58</v>
      </c>
      <c r="H31" s="41">
        <v>4</v>
      </c>
      <c r="I31" s="65">
        <v>3296.2736801550127</v>
      </c>
      <c r="J31" s="65">
        <v>3298.8670374129761</v>
      </c>
      <c r="K31" s="65">
        <v>2973.6144359560349</v>
      </c>
      <c r="L31" s="65">
        <v>2951.3158853289278</v>
      </c>
      <c r="M31" s="65">
        <v>2805.4587284741829</v>
      </c>
      <c r="N31" s="65">
        <v>3170.1305834247632</v>
      </c>
      <c r="O31" s="65">
        <v>2106.5266797660261</v>
      </c>
      <c r="P31" s="65">
        <v>2077.6448044217177</v>
      </c>
      <c r="Q31" s="65">
        <v>2158.3341150375782</v>
      </c>
      <c r="R31" s="65">
        <v>2305.0290456738549</v>
      </c>
      <c r="S31" s="65">
        <v>1728.4706874437143</v>
      </c>
      <c r="T31" s="65">
        <v>1553.6132452258971</v>
      </c>
      <c r="U31" s="65">
        <v>970.91510794663191</v>
      </c>
      <c r="V31" s="65">
        <v>745.72921317180953</v>
      </c>
      <c r="W31" s="65">
        <v>691.45436120881277</v>
      </c>
      <c r="X31" s="65">
        <v>1416.1436284624033</v>
      </c>
      <c r="Y31" s="65">
        <v>1659.5005418017754</v>
      </c>
      <c r="Z31" s="65">
        <v>2057.5516810845766</v>
      </c>
      <c r="AA31" s="65">
        <v>1395.5526031486843</v>
      </c>
      <c r="AB31" s="65">
        <v>2359.0382511851385</v>
      </c>
      <c r="AC31" s="65">
        <v>2212.3089722208679</v>
      </c>
      <c r="AD31" s="65">
        <v>2360.5910719794811</v>
      </c>
      <c r="AE31" s="65">
        <v>2459.7450411480768</v>
      </c>
      <c r="AF31" s="65">
        <v>2530.077573639619</v>
      </c>
      <c r="AG31" s="40">
        <f>+SUM(I31:AF31)*H31</f>
        <v>205135.5479012742</v>
      </c>
    </row>
    <row r="32" spans="2:33" ht="14.4" x14ac:dyDescent="0.25">
      <c r="B32">
        <f t="shared" si="0"/>
        <v>5</v>
      </c>
      <c r="C32">
        <f t="shared" si="1"/>
        <v>2028</v>
      </c>
      <c r="D32" t="str">
        <f t="shared" si="10"/>
        <v>52028FE</v>
      </c>
      <c r="E32" s="68">
        <v>46874</v>
      </c>
      <c r="F32" s="73"/>
      <c r="G32" s="42" t="s">
        <v>59</v>
      </c>
      <c r="H32" s="42">
        <v>2</v>
      </c>
      <c r="I32" s="65">
        <v>6791.0321165790538</v>
      </c>
      <c r="J32" s="65">
        <v>6605.2522343114197</v>
      </c>
      <c r="K32" s="65">
        <v>6267.8791406483051</v>
      </c>
      <c r="L32" s="65">
        <v>6212.2645798064423</v>
      </c>
      <c r="M32" s="65">
        <v>5490.6489919282703</v>
      </c>
      <c r="N32" s="65">
        <v>3342.7406050413119</v>
      </c>
      <c r="O32" s="65">
        <v>205.14578006139345</v>
      </c>
      <c r="P32" s="65">
        <v>301.76020926249112</v>
      </c>
      <c r="Q32" s="65">
        <v>1000.3026084104749</v>
      </c>
      <c r="R32" s="65">
        <v>1309.1653120458977</v>
      </c>
      <c r="S32" s="65">
        <v>1109.159009871084</v>
      </c>
      <c r="T32" s="65">
        <v>322.50185164411232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761.28706884849817</v>
      </c>
      <c r="AA32" s="65">
        <v>618.62111218307837</v>
      </c>
      <c r="AB32" s="65">
        <v>2114.9734140800465</v>
      </c>
      <c r="AC32" s="65">
        <v>1211.7673713533004</v>
      </c>
      <c r="AD32" s="65">
        <v>1058.8621539201449</v>
      </c>
      <c r="AE32" s="65">
        <v>931.09703595544852</v>
      </c>
      <c r="AF32" s="65">
        <v>961.83719773508346</v>
      </c>
      <c r="AG32" s="43">
        <f>+SUM(I32:AF32)*H32</f>
        <v>93232.595587371688</v>
      </c>
    </row>
    <row r="33" spans="2:33" ht="15" thickBot="1" x14ac:dyDescent="0.3">
      <c r="B33">
        <f t="shared" si="0"/>
        <v>5</v>
      </c>
      <c r="C33">
        <f t="shared" si="1"/>
        <v>2028</v>
      </c>
      <c r="D33" t="str">
        <f>+_xlfn.CONCAT(E33,G33)</f>
        <v>46874TOTAL</v>
      </c>
      <c r="E33" s="68">
        <v>46874</v>
      </c>
      <c r="F33" s="61"/>
      <c r="G33" s="44" t="s">
        <v>10</v>
      </c>
      <c r="H33" s="44">
        <v>31</v>
      </c>
      <c r="I33" s="45">
        <f t="shared" ref="I33:AF33" si="11">+SUMPRODUCT(I29:I32,$H29:$H32)</f>
        <v>359850.38996718265</v>
      </c>
      <c r="J33" s="45">
        <f t="shared" si="11"/>
        <v>347943.83819216699</v>
      </c>
      <c r="K33" s="45">
        <f t="shared" si="11"/>
        <v>338043.27163229219</v>
      </c>
      <c r="L33" s="45">
        <f t="shared" si="11"/>
        <v>346476.22569432441</v>
      </c>
      <c r="M33" s="45">
        <f t="shared" si="11"/>
        <v>330775.16470255778</v>
      </c>
      <c r="N33" s="45">
        <f t="shared" si="11"/>
        <v>338133.86821418256</v>
      </c>
      <c r="O33" s="45">
        <f t="shared" si="11"/>
        <v>357032.31319742627</v>
      </c>
      <c r="P33" s="45">
        <f t="shared" si="11"/>
        <v>437381.36848515645</v>
      </c>
      <c r="Q33" s="45">
        <f t="shared" si="11"/>
        <v>494809.82289508695</v>
      </c>
      <c r="R33" s="45">
        <f t="shared" si="11"/>
        <v>515532.03607308888</v>
      </c>
      <c r="S33" s="45">
        <f t="shared" si="11"/>
        <v>522953.59851235093</v>
      </c>
      <c r="T33" s="45">
        <f t="shared" si="11"/>
        <v>527948.27045461582</v>
      </c>
      <c r="U33" s="45">
        <f t="shared" si="11"/>
        <v>499814.7649116643</v>
      </c>
      <c r="V33" s="45">
        <f t="shared" si="11"/>
        <v>525337.01013872446</v>
      </c>
      <c r="W33" s="45">
        <f t="shared" si="11"/>
        <v>533453.94702638255</v>
      </c>
      <c r="X33" s="45">
        <f t="shared" si="11"/>
        <v>537272.23146643583</v>
      </c>
      <c r="Y33" s="45">
        <f t="shared" si="11"/>
        <v>513891.8991017635</v>
      </c>
      <c r="Z33" s="45">
        <f t="shared" si="11"/>
        <v>477814.67910779006</v>
      </c>
      <c r="AA33" s="45">
        <f t="shared" si="11"/>
        <v>430215.57538140792</v>
      </c>
      <c r="AB33" s="45">
        <f t="shared" si="11"/>
        <v>442127.60121760209</v>
      </c>
      <c r="AC33" s="45">
        <f t="shared" si="11"/>
        <v>400350.64260250714</v>
      </c>
      <c r="AD33" s="45">
        <f t="shared" si="11"/>
        <v>386878.94061887718</v>
      </c>
      <c r="AE33" s="45">
        <f t="shared" si="11"/>
        <v>358074.60686089436</v>
      </c>
      <c r="AF33" s="45">
        <f t="shared" si="11"/>
        <v>357861.50164497562</v>
      </c>
      <c r="AG33" s="46">
        <f>SUM(I33:AF33)</f>
        <v>10379973.568099456</v>
      </c>
    </row>
    <row r="34" spans="2:33" ht="14.4" x14ac:dyDescent="0.25">
      <c r="B34">
        <f t="shared" si="0"/>
        <v>6</v>
      </c>
      <c r="C34">
        <f t="shared" si="1"/>
        <v>2028</v>
      </c>
      <c r="D34" t="str">
        <f t="shared" ref="D34:D37" si="12">+_xlfn.CONCAT(B34:C34,G34)</f>
        <v>62028OR</v>
      </c>
      <c r="E34" s="67">
        <v>46905</v>
      </c>
      <c r="F34" s="72">
        <f>+AG38</f>
        <v>9859792.6569320932</v>
      </c>
      <c r="G34" s="37" t="s">
        <v>57</v>
      </c>
      <c r="H34" s="37">
        <v>20</v>
      </c>
      <c r="I34" s="65">
        <v>13577.301871174737</v>
      </c>
      <c r="J34" s="65">
        <v>13151.893051585948</v>
      </c>
      <c r="K34" s="65">
        <v>12737.520992606713</v>
      </c>
      <c r="L34" s="65">
        <v>13048.457812355655</v>
      </c>
      <c r="M34" s="65">
        <v>12467.301761824025</v>
      </c>
      <c r="N34" s="65">
        <v>12897.641331878644</v>
      </c>
      <c r="O34" s="65">
        <v>14284.954743680693</v>
      </c>
      <c r="P34" s="65">
        <v>17611.01476812148</v>
      </c>
      <c r="Q34" s="65">
        <v>19949.121572625081</v>
      </c>
      <c r="R34" s="65">
        <v>20773.211665427643</v>
      </c>
      <c r="S34" s="65">
        <v>21270.669128379963</v>
      </c>
      <c r="T34" s="65">
        <v>21572.227703895263</v>
      </c>
      <c r="U34" s="65">
        <v>20521.057782844808</v>
      </c>
      <c r="V34" s="65">
        <v>21703.273361318927</v>
      </c>
      <c r="W34" s="65">
        <v>22213.16222288716</v>
      </c>
      <c r="X34" s="65">
        <v>22354.036954398376</v>
      </c>
      <c r="Y34" s="65">
        <v>21341.739878707198</v>
      </c>
      <c r="Z34" s="65">
        <v>19545.822115522536</v>
      </c>
      <c r="AA34" s="65">
        <v>17582.423190926314</v>
      </c>
      <c r="AB34" s="65">
        <v>17681.821070764745</v>
      </c>
      <c r="AC34" s="65">
        <v>15928.305252003682</v>
      </c>
      <c r="AD34" s="65">
        <v>15424.077063067269</v>
      </c>
      <c r="AE34" s="65">
        <v>14239.141767055955</v>
      </c>
      <c r="AF34" s="65">
        <v>14333.798539375284</v>
      </c>
      <c r="AG34" s="38">
        <f>+SUM(I34:AF34)*H34</f>
        <v>8324199.512048563</v>
      </c>
    </row>
    <row r="35" spans="2:33" ht="14.4" x14ac:dyDescent="0.25">
      <c r="B35">
        <f t="shared" si="0"/>
        <v>6</v>
      </c>
      <c r="C35">
        <f t="shared" si="1"/>
        <v>2028</v>
      </c>
      <c r="D35" t="str">
        <f t="shared" si="12"/>
        <v>62028SA</v>
      </c>
      <c r="E35" s="68">
        <v>46905</v>
      </c>
      <c r="F35" s="73"/>
      <c r="G35" s="39" t="s">
        <v>60</v>
      </c>
      <c r="H35" s="39">
        <v>4</v>
      </c>
      <c r="I35" s="65">
        <v>11353.450562204667</v>
      </c>
      <c r="J35" s="65">
        <v>10705.715410186553</v>
      </c>
      <c r="K35" s="65">
        <v>10904.584247716928</v>
      </c>
      <c r="L35" s="65">
        <v>11437.872757262237</v>
      </c>
      <c r="M35" s="65">
        <v>11055.004075466164</v>
      </c>
      <c r="N35" s="65">
        <v>11302.989024932074</v>
      </c>
      <c r="O35" s="65">
        <v>11278.832418672198</v>
      </c>
      <c r="P35" s="65">
        <v>13812.681894950903</v>
      </c>
      <c r="Q35" s="65">
        <v>15398.15089272512</v>
      </c>
      <c r="R35" s="65">
        <v>15908.797960872747</v>
      </c>
      <c r="S35" s="65">
        <v>15779.098867734323</v>
      </c>
      <c r="T35" s="65">
        <v>15985.284690266664</v>
      </c>
      <c r="U35" s="65">
        <v>15235.863229864146</v>
      </c>
      <c r="V35" s="65">
        <v>15640.953849933281</v>
      </c>
      <c r="W35" s="65">
        <v>15043.436663979322</v>
      </c>
      <c r="X35" s="65">
        <v>14538.729917098426</v>
      </c>
      <c r="Y35" s="65">
        <v>13770.809083919259</v>
      </c>
      <c r="Z35" s="65">
        <v>13433.907497892349</v>
      </c>
      <c r="AA35" s="65">
        <v>12633.967326960781</v>
      </c>
      <c r="AB35" s="65">
        <v>13424.708600541293</v>
      </c>
      <c r="AC35" s="65">
        <v>12831.663732044941</v>
      </c>
      <c r="AD35" s="65">
        <v>12099.231768727979</v>
      </c>
      <c r="AE35" s="65">
        <v>11138.745469551344</v>
      </c>
      <c r="AF35" s="65">
        <v>10521.736142423804</v>
      </c>
      <c r="AG35" s="40">
        <f>+SUM(I35:AF35)*H35</f>
        <v>1260944.8643437102</v>
      </c>
    </row>
    <row r="36" spans="2:33" ht="14.4" x14ac:dyDescent="0.25">
      <c r="B36">
        <f t="shared" si="0"/>
        <v>6</v>
      </c>
      <c r="C36">
        <f t="shared" si="1"/>
        <v>2028</v>
      </c>
      <c r="D36" t="str">
        <f t="shared" si="12"/>
        <v>62028DO</v>
      </c>
      <c r="E36" s="68">
        <v>46905</v>
      </c>
      <c r="F36" s="73"/>
      <c r="G36" s="41" t="s">
        <v>58</v>
      </c>
      <c r="H36" s="41">
        <v>4</v>
      </c>
      <c r="I36" s="65">
        <v>3029.8186980528517</v>
      </c>
      <c r="J36" s="65">
        <v>3038.0608964943531</v>
      </c>
      <c r="K36" s="65">
        <v>2712.8724131034651</v>
      </c>
      <c r="L36" s="65">
        <v>2694.1840540274607</v>
      </c>
      <c r="M36" s="65">
        <v>2549.206562987034</v>
      </c>
      <c r="N36" s="65">
        <v>2920.9016300691073</v>
      </c>
      <c r="O36" s="65">
        <v>1854.9080702467763</v>
      </c>
      <c r="P36" s="65">
        <v>1808.2554146035727</v>
      </c>
      <c r="Q36" s="65">
        <v>1876.5575192884753</v>
      </c>
      <c r="R36" s="65">
        <v>2013.6237986009728</v>
      </c>
      <c r="S36" s="65">
        <v>1419.5959047622091</v>
      </c>
      <c r="T36" s="65">
        <v>1236.009318178476</v>
      </c>
      <c r="U36" s="65">
        <v>654.41648936431011</v>
      </c>
      <c r="V36" s="65">
        <v>426.60577217108948</v>
      </c>
      <c r="W36" s="65">
        <v>379.40621803515751</v>
      </c>
      <c r="X36" s="65">
        <v>1103.8979495658314</v>
      </c>
      <c r="Y36" s="65">
        <v>1349.4148169451437</v>
      </c>
      <c r="Z36" s="65">
        <v>1754.9720254436179</v>
      </c>
      <c r="AA36" s="65">
        <v>1086.8816938790806</v>
      </c>
      <c r="AB36" s="65">
        <v>2066.1583468337922</v>
      </c>
      <c r="AC36" s="65">
        <v>1937.5531948174466</v>
      </c>
      <c r="AD36" s="65">
        <v>2103.7332815071277</v>
      </c>
      <c r="AE36" s="65">
        <v>2212.2010063253729</v>
      </c>
      <c r="AF36" s="65">
        <v>2289.5738661760915</v>
      </c>
      <c r="AG36" s="40">
        <f>+SUM(I36:AF36)*H36</f>
        <v>178075.23576591528</v>
      </c>
    </row>
    <row r="37" spans="2:33" ht="14.4" x14ac:dyDescent="0.25">
      <c r="B37">
        <f t="shared" si="0"/>
        <v>6</v>
      </c>
      <c r="C37">
        <f t="shared" si="1"/>
        <v>2028</v>
      </c>
      <c r="D37" t="str">
        <f t="shared" si="12"/>
        <v>62028FE</v>
      </c>
      <c r="E37" s="68">
        <v>46905</v>
      </c>
      <c r="F37" s="73"/>
      <c r="G37" s="42" t="s">
        <v>59</v>
      </c>
      <c r="H37" s="42">
        <v>2</v>
      </c>
      <c r="I37" s="65">
        <v>6859.8468213341057</v>
      </c>
      <c r="J37" s="65">
        <v>6673.1538713406371</v>
      </c>
      <c r="K37" s="65">
        <v>6335.779893249819</v>
      </c>
      <c r="L37" s="65">
        <v>6279.1745518694224</v>
      </c>
      <c r="M37" s="65">
        <v>5560.0673142185005</v>
      </c>
      <c r="N37" s="65">
        <v>3422.2074531748694</v>
      </c>
      <c r="O37" s="65">
        <v>295.39785034532542</v>
      </c>
      <c r="P37" s="65">
        <v>397.13417338192085</v>
      </c>
      <c r="Q37" s="65">
        <v>1096.6240960781179</v>
      </c>
      <c r="R37" s="65">
        <v>1407.8400729387868</v>
      </c>
      <c r="S37" s="65">
        <v>1211.7167671635834</v>
      </c>
      <c r="T37" s="65">
        <v>430.91119725706812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865.08031562717224</v>
      </c>
      <c r="AA37" s="65">
        <v>721.81359924775461</v>
      </c>
      <c r="AB37" s="65">
        <v>2210.6407031492708</v>
      </c>
      <c r="AC37" s="65">
        <v>1305.3071775789758</v>
      </c>
      <c r="AD37" s="65">
        <v>1148.1250825457537</v>
      </c>
      <c r="AE37" s="65">
        <v>1018.4938456606469</v>
      </c>
      <c r="AF37" s="65">
        <v>1047.2076007912583</v>
      </c>
      <c r="AG37" s="43">
        <f>+SUM(I37:AF37)*H37</f>
        <v>96573.044773905975</v>
      </c>
    </row>
    <row r="38" spans="2:33" ht="15" thickBot="1" x14ac:dyDescent="0.3">
      <c r="B38">
        <f t="shared" si="0"/>
        <v>6</v>
      </c>
      <c r="C38">
        <f t="shared" si="1"/>
        <v>2028</v>
      </c>
      <c r="D38" t="str">
        <f>+_xlfn.CONCAT(E38,G38)</f>
        <v>46905TOTAL</v>
      </c>
      <c r="E38" s="68">
        <v>46905</v>
      </c>
      <c r="F38" s="61"/>
      <c r="G38" s="44" t="s">
        <v>10</v>
      </c>
      <c r="H38" s="44">
        <v>30</v>
      </c>
      <c r="I38" s="45">
        <f t="shared" ref="I38:AF38" si="13">+SUMPRODUCT(I34:I37,$H34:$H37)</f>
        <v>342798.80810719304</v>
      </c>
      <c r="J38" s="45">
        <f t="shared" si="13"/>
        <v>331359.27400112385</v>
      </c>
      <c r="K38" s="45">
        <f t="shared" si="13"/>
        <v>321891.80628191546</v>
      </c>
      <c r="L38" s="45">
        <f t="shared" si="13"/>
        <v>330055.73259601073</v>
      </c>
      <c r="M38" s="45">
        <f t="shared" si="13"/>
        <v>314883.0124187303</v>
      </c>
      <c r="N38" s="45">
        <f t="shared" si="13"/>
        <v>321692.80416392733</v>
      </c>
      <c r="O38" s="45">
        <f t="shared" si="13"/>
        <v>338824.85252998042</v>
      </c>
      <c r="P38" s="45">
        <f t="shared" si="13"/>
        <v>415498.31294741132</v>
      </c>
      <c r="Q38" s="45">
        <f t="shared" si="13"/>
        <v>470274.51329271222</v>
      </c>
      <c r="R38" s="45">
        <f t="shared" si="13"/>
        <v>489969.60049232532</v>
      </c>
      <c r="S38" s="45">
        <f t="shared" si="13"/>
        <v>496631.59519191261</v>
      </c>
      <c r="T38" s="45">
        <f t="shared" si="13"/>
        <v>501191.55250619992</v>
      </c>
      <c r="U38" s="45">
        <f t="shared" si="13"/>
        <v>473982.27453380998</v>
      </c>
      <c r="V38" s="45">
        <f t="shared" si="13"/>
        <v>498335.70571479597</v>
      </c>
      <c r="W38" s="45">
        <f t="shared" si="13"/>
        <v>505954.61598580115</v>
      </c>
      <c r="X38" s="45">
        <f t="shared" si="13"/>
        <v>509651.25055462454</v>
      </c>
      <c r="Y38" s="45">
        <f t="shared" si="13"/>
        <v>487315.69317760156</v>
      </c>
      <c r="Z38" s="45">
        <f t="shared" si="13"/>
        <v>453402.12103504885</v>
      </c>
      <c r="AA38" s="45">
        <f t="shared" si="13"/>
        <v>407975.48710038123</v>
      </c>
      <c r="AB38" s="45">
        <f t="shared" si="13"/>
        <v>420021.17061109375</v>
      </c>
      <c r="AC38" s="45">
        <f t="shared" si="13"/>
        <v>380253.58710268111</v>
      </c>
      <c r="AD38" s="45">
        <f t="shared" si="13"/>
        <v>367589.65162737726</v>
      </c>
      <c r="AE38" s="45">
        <f t="shared" si="13"/>
        <v>340223.60893594724</v>
      </c>
      <c r="AF38" s="45">
        <f t="shared" si="13"/>
        <v>340015.62602348783</v>
      </c>
      <c r="AG38" s="46">
        <f>SUM(I38:AF38)</f>
        <v>9859792.6569320932</v>
      </c>
    </row>
    <row r="39" spans="2:33" ht="14.4" x14ac:dyDescent="0.25">
      <c r="B39">
        <f t="shared" si="0"/>
        <v>7</v>
      </c>
      <c r="C39">
        <f t="shared" si="1"/>
        <v>2028</v>
      </c>
      <c r="D39" t="str">
        <f t="shared" ref="D39:D42" si="14">+_xlfn.CONCAT(B39:C39,G39)</f>
        <v>72028OR</v>
      </c>
      <c r="E39" s="67">
        <v>46935</v>
      </c>
      <c r="F39" s="72">
        <f>+AG43</f>
        <v>9929795.3181700557</v>
      </c>
      <c r="G39" s="37" t="s">
        <v>57</v>
      </c>
      <c r="H39" s="37">
        <v>19</v>
      </c>
      <c r="I39" s="65">
        <v>13794.320496877039</v>
      </c>
      <c r="J39" s="65">
        <v>13366.781136226427</v>
      </c>
      <c r="K39" s="65">
        <v>12950.346605448283</v>
      </c>
      <c r="L39" s="65">
        <v>13258.398239174456</v>
      </c>
      <c r="M39" s="65">
        <v>12681.242597901386</v>
      </c>
      <c r="N39" s="65">
        <v>13123.454086162272</v>
      </c>
      <c r="O39" s="65">
        <v>14542.136219015783</v>
      </c>
      <c r="P39" s="65">
        <v>17894.818340758775</v>
      </c>
      <c r="Q39" s="65">
        <v>20257.628344167155</v>
      </c>
      <c r="R39" s="65">
        <v>21098.468128021974</v>
      </c>
      <c r="S39" s="65">
        <v>21612.495437584046</v>
      </c>
      <c r="T39" s="65">
        <v>21923.863086878097</v>
      </c>
      <c r="U39" s="65">
        <v>20864.832221465364</v>
      </c>
      <c r="V39" s="65">
        <v>22046.531533385205</v>
      </c>
      <c r="W39" s="65">
        <v>22558.463691859841</v>
      </c>
      <c r="X39" s="65">
        <v>22696.957506031442</v>
      </c>
      <c r="Y39" s="65">
        <v>21681.854193202857</v>
      </c>
      <c r="Z39" s="65">
        <v>19873.649961848339</v>
      </c>
      <c r="AA39" s="65">
        <v>17889.343693964936</v>
      </c>
      <c r="AB39" s="65">
        <v>17974.95677920388</v>
      </c>
      <c r="AC39" s="65">
        <v>16205.121026625409</v>
      </c>
      <c r="AD39" s="65">
        <v>15681.216938059975</v>
      </c>
      <c r="AE39" s="65">
        <v>14478.566101767987</v>
      </c>
      <c r="AF39" s="65">
        <v>14566.728375602421</v>
      </c>
      <c r="AG39" s="38">
        <f>+SUM(I39:AF39)*H39</f>
        <v>8037421.3200834338</v>
      </c>
    </row>
    <row r="40" spans="2:33" ht="14.4" x14ac:dyDescent="0.25">
      <c r="B40">
        <f t="shared" si="0"/>
        <v>7</v>
      </c>
      <c r="C40">
        <f t="shared" si="1"/>
        <v>2028</v>
      </c>
      <c r="D40" t="str">
        <f t="shared" si="14"/>
        <v>72028SA</v>
      </c>
      <c r="E40" s="68">
        <v>46935</v>
      </c>
      <c r="F40" s="73"/>
      <c r="G40" s="39" t="s">
        <v>60</v>
      </c>
      <c r="H40" s="39">
        <v>5</v>
      </c>
      <c r="I40" s="65">
        <v>11441.603693753787</v>
      </c>
      <c r="J40" s="65">
        <v>10791.896257176424</v>
      </c>
      <c r="K40" s="65">
        <v>10988.724890859932</v>
      </c>
      <c r="L40" s="65">
        <v>11520.588617587066</v>
      </c>
      <c r="M40" s="65">
        <v>11138.310253565658</v>
      </c>
      <c r="N40" s="65">
        <v>11387.753575109025</v>
      </c>
      <c r="O40" s="65">
        <v>11369.816894864511</v>
      </c>
      <c r="P40" s="65">
        <v>13911.257357060433</v>
      </c>
      <c r="Q40" s="65">
        <v>15504.504464201131</v>
      </c>
      <c r="R40" s="65">
        <v>16021.754640065861</v>
      </c>
      <c r="S40" s="65">
        <v>15898.692699570529</v>
      </c>
      <c r="T40" s="65">
        <v>16106.633470705045</v>
      </c>
      <c r="U40" s="65">
        <v>15351.450156093542</v>
      </c>
      <c r="V40" s="65">
        <v>15753.758023888706</v>
      </c>
      <c r="W40" s="65">
        <v>15155.055026426486</v>
      </c>
      <c r="X40" s="65">
        <v>14648.52734345639</v>
      </c>
      <c r="Y40" s="65">
        <v>13879.516851205093</v>
      </c>
      <c r="Z40" s="65">
        <v>13540.060940705833</v>
      </c>
      <c r="AA40" s="65">
        <v>12738.090913030286</v>
      </c>
      <c r="AB40" s="65">
        <v>13523.681655157177</v>
      </c>
      <c r="AC40" s="65">
        <v>12923.632038016316</v>
      </c>
      <c r="AD40" s="65">
        <v>12182.672162765804</v>
      </c>
      <c r="AE40" s="65">
        <v>11214.369801241533</v>
      </c>
      <c r="AF40" s="65">
        <v>10595.142067776778</v>
      </c>
      <c r="AG40" s="40">
        <f>+SUM(I40:AF40)*H40</f>
        <v>1587937.4689714168</v>
      </c>
    </row>
    <row r="41" spans="2:33" ht="14.4" x14ac:dyDescent="0.25">
      <c r="B41">
        <f t="shared" si="0"/>
        <v>7</v>
      </c>
      <c r="C41">
        <f t="shared" si="1"/>
        <v>2028</v>
      </c>
      <c r="D41" t="str">
        <f t="shared" si="14"/>
        <v>72028DO</v>
      </c>
      <c r="E41" s="68">
        <v>46935</v>
      </c>
      <c r="F41" s="73"/>
      <c r="G41" s="41" t="s">
        <v>58</v>
      </c>
      <c r="H41" s="41">
        <v>5</v>
      </c>
      <c r="I41" s="65">
        <v>2839.6864421062819</v>
      </c>
      <c r="J41" s="65">
        <v>2851.6412010263703</v>
      </c>
      <c r="K41" s="65">
        <v>2525.2279199171608</v>
      </c>
      <c r="L41" s="65">
        <v>2509.4836262756544</v>
      </c>
      <c r="M41" s="65">
        <v>2364.8687772363483</v>
      </c>
      <c r="N41" s="65">
        <v>2742.7190879743321</v>
      </c>
      <c r="O41" s="65">
        <v>1673.574396499178</v>
      </c>
      <c r="P41" s="65">
        <v>1612.7623690722321</v>
      </c>
      <c r="Q41" s="65">
        <v>1671.2507221099622</v>
      </c>
      <c r="R41" s="65">
        <v>1801.7970780474316</v>
      </c>
      <c r="S41" s="65">
        <v>1196.0214941876002</v>
      </c>
      <c r="T41" s="65">
        <v>1007.2863472926729</v>
      </c>
      <c r="U41" s="65">
        <v>426.02710742644194</v>
      </c>
      <c r="V41" s="65">
        <v>195.48603283560078</v>
      </c>
      <c r="W41" s="65">
        <v>153.16150843122887</v>
      </c>
      <c r="X41" s="65">
        <v>877.19999470991388</v>
      </c>
      <c r="Y41" s="65">
        <v>1123.8109950138933</v>
      </c>
      <c r="Z41" s="65">
        <v>1536.4883184683713</v>
      </c>
      <c r="AA41" s="65">
        <v>862.5902601345515</v>
      </c>
      <c r="AB41" s="65">
        <v>1854.9807495044624</v>
      </c>
      <c r="AC41" s="65">
        <v>1739.16790981546</v>
      </c>
      <c r="AD41" s="65">
        <v>1919.5636437458052</v>
      </c>
      <c r="AE41" s="65">
        <v>2034.5898053519595</v>
      </c>
      <c r="AF41" s="65">
        <v>2117.8609881646462</v>
      </c>
      <c r="AG41" s="40">
        <f>+SUM(I41:AF41)*H41</f>
        <v>198186.2338767378</v>
      </c>
    </row>
    <row r="42" spans="2:33" ht="14.4" x14ac:dyDescent="0.25">
      <c r="B42">
        <f t="shared" si="0"/>
        <v>7</v>
      </c>
      <c r="C42">
        <f t="shared" si="1"/>
        <v>2028</v>
      </c>
      <c r="D42" t="str">
        <f t="shared" si="14"/>
        <v>72028FE</v>
      </c>
      <c r="E42" s="68">
        <v>46935</v>
      </c>
      <c r="F42" s="73"/>
      <c r="G42" s="42" t="s">
        <v>59</v>
      </c>
      <c r="H42" s="42">
        <v>2</v>
      </c>
      <c r="I42" s="65">
        <v>7052.6996749355221</v>
      </c>
      <c r="J42" s="65">
        <v>6863.0146333562971</v>
      </c>
      <c r="K42" s="65">
        <v>6524.8240376428985</v>
      </c>
      <c r="L42" s="65">
        <v>6465.6546722832863</v>
      </c>
      <c r="M42" s="65">
        <v>5752.2706937733965</v>
      </c>
      <c r="N42" s="65">
        <v>3640.0766483676161</v>
      </c>
      <c r="O42" s="65">
        <v>537.58387228159336</v>
      </c>
      <c r="P42" s="65">
        <v>654.16697635329183</v>
      </c>
      <c r="Q42" s="65">
        <v>1356.4156912745202</v>
      </c>
      <c r="R42" s="65">
        <v>1675.4170694117347</v>
      </c>
      <c r="S42" s="65">
        <v>1492.8862179744428</v>
      </c>
      <c r="T42" s="65">
        <v>728.63722309323202</v>
      </c>
      <c r="U42" s="65">
        <v>0</v>
      </c>
      <c r="V42" s="65">
        <v>0</v>
      </c>
      <c r="W42" s="65">
        <v>0</v>
      </c>
      <c r="X42" s="65">
        <v>248.40997557953597</v>
      </c>
      <c r="Y42" s="65">
        <v>0</v>
      </c>
      <c r="Z42" s="65">
        <v>1147.4675891968</v>
      </c>
      <c r="AA42" s="65">
        <v>1002.7367404104807</v>
      </c>
      <c r="AB42" s="65">
        <v>2475.929666072956</v>
      </c>
      <c r="AC42" s="65">
        <v>1564.5356038650098</v>
      </c>
      <c r="AD42" s="65">
        <v>1395.4735216842091</v>
      </c>
      <c r="AE42" s="65">
        <v>1261.312871733342</v>
      </c>
      <c r="AF42" s="65">
        <v>1285.6342399437999</v>
      </c>
      <c r="AG42" s="43">
        <f>+SUM(I42:AF42)*H42</f>
        <v>106250.29523846792</v>
      </c>
    </row>
    <row r="43" spans="2:33" ht="15" thickBot="1" x14ac:dyDescent="0.3">
      <c r="B43">
        <f t="shared" si="0"/>
        <v>7</v>
      </c>
      <c r="C43">
        <f t="shared" si="1"/>
        <v>2028</v>
      </c>
      <c r="D43" t="str">
        <f>+_xlfn.CONCAT(E43,G43)</f>
        <v>46935TOTAL</v>
      </c>
      <c r="E43" s="68">
        <v>46935</v>
      </c>
      <c r="F43" s="61"/>
      <c r="G43" s="44" t="s">
        <v>10</v>
      </c>
      <c r="H43" s="44">
        <v>31</v>
      </c>
      <c r="I43" s="45">
        <f t="shared" ref="I43:AF43" si="15">+SUMPRODUCT(I39:I42,$H39:$H42)</f>
        <v>347603.93946983514</v>
      </c>
      <c r="J43" s="45">
        <f t="shared" si="15"/>
        <v>335912.55814602866</v>
      </c>
      <c r="K43" s="45">
        <f t="shared" si="15"/>
        <v>326675.99763268861</v>
      </c>
      <c r="L43" s="45">
        <f t="shared" si="15"/>
        <v>334991.23710819485</v>
      </c>
      <c r="M43" s="45">
        <f t="shared" si="15"/>
        <v>319964.04590168316</v>
      </c>
      <c r="N43" s="45">
        <f t="shared" si="15"/>
        <v>327278.14424923522</v>
      </c>
      <c r="O43" s="45">
        <f t="shared" si="15"/>
        <v>342592.71236268152</v>
      </c>
      <c r="P43" s="45">
        <f t="shared" si="15"/>
        <v>418929.98105778662</v>
      </c>
      <c r="Q43" s="45">
        <f t="shared" si="15"/>
        <v>473486.5458532804</v>
      </c>
      <c r="R43" s="45">
        <f t="shared" si="15"/>
        <v>493339.48716180748</v>
      </c>
      <c r="S43" s="45">
        <f t="shared" si="15"/>
        <v>499096.75671883643</v>
      </c>
      <c r="T43" s="45">
        <f t="shared" si="15"/>
        <v>503580.27218685893</v>
      </c>
      <c r="U43" s="45">
        <f t="shared" si="15"/>
        <v>475319.19852544181</v>
      </c>
      <c r="V43" s="45">
        <f t="shared" si="15"/>
        <v>498630.31941794045</v>
      </c>
      <c r="W43" s="45">
        <f t="shared" si="15"/>
        <v>505151.8928196255</v>
      </c>
      <c r="X43" s="45">
        <f t="shared" si="15"/>
        <v>509367.64925658796</v>
      </c>
      <c r="Y43" s="45">
        <f t="shared" si="15"/>
        <v>486971.86890194926</v>
      </c>
      <c r="Z43" s="45">
        <f t="shared" si="15"/>
        <v>455277.03074938309</v>
      </c>
      <c r="AA43" s="45">
        <f t="shared" si="15"/>
        <v>409906.40953197895</v>
      </c>
      <c r="AB43" s="45">
        <f t="shared" si="15"/>
        <v>423369.3501603278</v>
      </c>
      <c r="AC43" s="45">
        <f t="shared" si="15"/>
        <v>384340.37045277172</v>
      </c>
      <c r="AD43" s="45">
        <f t="shared" si="15"/>
        <v>371245.24789906602</v>
      </c>
      <c r="AE43" s="45">
        <f t="shared" si="15"/>
        <v>343860.17971002584</v>
      </c>
      <c r="AF43" s="45">
        <f t="shared" si="15"/>
        <v>342904.12289604079</v>
      </c>
      <c r="AG43" s="46">
        <f>SUM(I43:AF43)</f>
        <v>9929795.3181700557</v>
      </c>
    </row>
    <row r="44" spans="2:33" ht="14.4" x14ac:dyDescent="0.25">
      <c r="B44">
        <f t="shared" si="0"/>
        <v>8</v>
      </c>
      <c r="C44">
        <f t="shared" si="1"/>
        <v>2028</v>
      </c>
      <c r="D44" t="str">
        <f t="shared" ref="D44:D47" si="16">+_xlfn.CONCAT(B44:C44,G44)</f>
        <v>82028OR</v>
      </c>
      <c r="E44" s="67">
        <v>46966</v>
      </c>
      <c r="F44" s="72">
        <f>+AG48</f>
        <v>10454619.33507775</v>
      </c>
      <c r="G44" s="37" t="s">
        <v>57</v>
      </c>
      <c r="H44" s="37">
        <v>21</v>
      </c>
      <c r="I44" s="65">
        <v>13803.528345389666</v>
      </c>
      <c r="J44" s="65">
        <v>13375.090223021523</v>
      </c>
      <c r="K44" s="65">
        <v>12957.42983256687</v>
      </c>
      <c r="L44" s="65">
        <v>13264.58407367222</v>
      </c>
      <c r="M44" s="65">
        <v>12685.320768000347</v>
      </c>
      <c r="N44" s="65">
        <v>13123.560872277971</v>
      </c>
      <c r="O44" s="65">
        <v>14539.195912409961</v>
      </c>
      <c r="P44" s="65">
        <v>17896.049748388821</v>
      </c>
      <c r="Q44" s="65">
        <v>20263.117498812906</v>
      </c>
      <c r="R44" s="65">
        <v>21108.576981792408</v>
      </c>
      <c r="S44" s="65">
        <v>21622.436284071573</v>
      </c>
      <c r="T44" s="65">
        <v>21934.55182488693</v>
      </c>
      <c r="U44" s="65">
        <v>20873.809044886038</v>
      </c>
      <c r="V44" s="65">
        <v>22057.681797408863</v>
      </c>
      <c r="W44" s="65">
        <v>22570.739122160317</v>
      </c>
      <c r="X44" s="65">
        <v>22707.983318957369</v>
      </c>
      <c r="Y44" s="65">
        <v>21691.439639283304</v>
      </c>
      <c r="Z44" s="65">
        <v>19880.942425428635</v>
      </c>
      <c r="AA44" s="65">
        <v>17894.982991039502</v>
      </c>
      <c r="AB44" s="65">
        <v>17983.404657750158</v>
      </c>
      <c r="AC44" s="65">
        <v>16212.303175367013</v>
      </c>
      <c r="AD44" s="65">
        <v>15689.114666931353</v>
      </c>
      <c r="AE44" s="65">
        <v>14487.617108022245</v>
      </c>
      <c r="AF44" s="65">
        <v>14575.411248259887</v>
      </c>
      <c r="AG44" s="38">
        <f>+SUM(I44:AF44)*H44</f>
        <v>8887176.3027765043</v>
      </c>
    </row>
    <row r="45" spans="2:33" ht="14.4" x14ac:dyDescent="0.25">
      <c r="B45">
        <f t="shared" si="0"/>
        <v>8</v>
      </c>
      <c r="C45">
        <f t="shared" si="1"/>
        <v>2028</v>
      </c>
      <c r="D45" t="str">
        <f t="shared" si="16"/>
        <v>82028SA</v>
      </c>
      <c r="E45" s="68">
        <v>46966</v>
      </c>
      <c r="F45" s="73"/>
      <c r="G45" s="39" t="s">
        <v>60</v>
      </c>
      <c r="H45" s="39">
        <v>4</v>
      </c>
      <c r="I45" s="65">
        <v>11483.133598255474</v>
      </c>
      <c r="J45" s="65">
        <v>10832.416323956408</v>
      </c>
      <c r="K45" s="65">
        <v>11028.810938580118</v>
      </c>
      <c r="L45" s="65">
        <v>11560.383604241903</v>
      </c>
      <c r="M45" s="65">
        <v>11177.018880612079</v>
      </c>
      <c r="N45" s="65">
        <v>11423.951571615242</v>
      </c>
      <c r="O45" s="65">
        <v>11407.029481617461</v>
      </c>
      <c r="P45" s="65">
        <v>13954.111586542353</v>
      </c>
      <c r="Q45" s="65">
        <v>15552.401148755031</v>
      </c>
      <c r="R45" s="65">
        <v>16076.134970263367</v>
      </c>
      <c r="S45" s="65">
        <v>15955.949101614438</v>
      </c>
      <c r="T45" s="65">
        <v>16166.136789956265</v>
      </c>
      <c r="U45" s="65">
        <v>15407.668513720339</v>
      </c>
      <c r="V45" s="65">
        <v>15810.947306296737</v>
      </c>
      <c r="W45" s="65">
        <v>15210.450188149825</v>
      </c>
      <c r="X45" s="65">
        <v>14701.0329599574</v>
      </c>
      <c r="Y45" s="65">
        <v>13930.539349623403</v>
      </c>
      <c r="Z45" s="65">
        <v>13589.031357876753</v>
      </c>
      <c r="AA45" s="65">
        <v>12786.243956895618</v>
      </c>
      <c r="AB45" s="65">
        <v>13572.48174494975</v>
      </c>
      <c r="AC45" s="65">
        <v>12968.328220721014</v>
      </c>
      <c r="AD45" s="65">
        <v>12222.458684730431</v>
      </c>
      <c r="AE45" s="65">
        <v>11249.601249804115</v>
      </c>
      <c r="AF45" s="65">
        <v>10629.957663031941</v>
      </c>
      <c r="AG45" s="40">
        <f>+SUM(I45:AF45)*H45</f>
        <v>1274784.8767670703</v>
      </c>
    </row>
    <row r="46" spans="2:33" ht="14.4" x14ac:dyDescent="0.25">
      <c r="B46">
        <f t="shared" si="0"/>
        <v>8</v>
      </c>
      <c r="C46">
        <f t="shared" si="1"/>
        <v>2028</v>
      </c>
      <c r="D46" t="str">
        <f t="shared" si="16"/>
        <v>82028DO</v>
      </c>
      <c r="E46" s="68">
        <v>46966</v>
      </c>
      <c r="F46" s="73"/>
      <c r="G46" s="41" t="s">
        <v>58</v>
      </c>
      <c r="H46" s="41">
        <v>4</v>
      </c>
      <c r="I46" s="65">
        <v>3264.6724716996687</v>
      </c>
      <c r="J46" s="65">
        <v>3266.9934406241118</v>
      </c>
      <c r="K46" s="65">
        <v>2937.9862482414792</v>
      </c>
      <c r="L46" s="65">
        <v>2917.2054443086054</v>
      </c>
      <c r="M46" s="65">
        <v>2770.6677682426525</v>
      </c>
      <c r="N46" s="65">
        <v>3139.5592787158275</v>
      </c>
      <c r="O46" s="65">
        <v>2071.3903587562272</v>
      </c>
      <c r="P46" s="65">
        <v>2036.0220197792041</v>
      </c>
      <c r="Q46" s="65">
        <v>2112.3560416265718</v>
      </c>
      <c r="R46" s="65">
        <v>2258.9475360441756</v>
      </c>
      <c r="S46" s="65">
        <v>1682.4431111576669</v>
      </c>
      <c r="T46" s="65">
        <v>1509.749043970387</v>
      </c>
      <c r="U46" s="65">
        <v>925.83435688833197</v>
      </c>
      <c r="V46" s="65">
        <v>697.79838578844283</v>
      </c>
      <c r="W46" s="65">
        <v>643.84850313799689</v>
      </c>
      <c r="X46" s="65">
        <v>1367.5896249126235</v>
      </c>
      <c r="Y46" s="65">
        <v>1609.8787227291177</v>
      </c>
      <c r="Z46" s="65">
        <v>2014.0436063545967</v>
      </c>
      <c r="AA46" s="65">
        <v>1346.9952790299103</v>
      </c>
      <c r="AB46" s="65">
        <v>2317.8197744741046</v>
      </c>
      <c r="AC46" s="65">
        <v>2172.8243077709994</v>
      </c>
      <c r="AD46" s="65">
        <v>2327.5058171166675</v>
      </c>
      <c r="AE46" s="65">
        <v>2427.5052644913994</v>
      </c>
      <c r="AF46" s="65">
        <v>2501.2625576163446</v>
      </c>
      <c r="AG46" s="40">
        <f>+SUM(I46:AF46)*H46</f>
        <v>201283.59585390845</v>
      </c>
    </row>
    <row r="47" spans="2:33" ht="14.4" x14ac:dyDescent="0.25">
      <c r="B47">
        <f t="shared" si="0"/>
        <v>8</v>
      </c>
      <c r="C47">
        <f t="shared" si="1"/>
        <v>2028</v>
      </c>
      <c r="D47" t="str">
        <f t="shared" si="16"/>
        <v>82028FE</v>
      </c>
      <c r="E47" s="68">
        <v>46966</v>
      </c>
      <c r="F47" s="73"/>
      <c r="G47" s="42" t="s">
        <v>59</v>
      </c>
      <c r="H47" s="42">
        <v>2</v>
      </c>
      <c r="I47" s="65">
        <v>6765.2082862985917</v>
      </c>
      <c r="J47" s="65">
        <v>6578.3255128228247</v>
      </c>
      <c r="K47" s="65">
        <v>6238.2362207898404</v>
      </c>
      <c r="L47" s="65">
        <v>6183.7029581188617</v>
      </c>
      <c r="M47" s="65">
        <v>5456.7870870756087</v>
      </c>
      <c r="N47" s="65">
        <v>3296.782364240009</v>
      </c>
      <c r="O47" s="65">
        <v>135.42469649477425</v>
      </c>
      <c r="P47" s="65">
        <v>231.76104016933095</v>
      </c>
      <c r="Q47" s="65">
        <v>930.29275413609503</v>
      </c>
      <c r="R47" s="65">
        <v>1242.2442348798941</v>
      </c>
      <c r="S47" s="65">
        <v>1049.8244659927768</v>
      </c>
      <c r="T47" s="65">
        <v>261.49703047887306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693.99925062341936</v>
      </c>
      <c r="AA47" s="65">
        <v>552.29112098370751</v>
      </c>
      <c r="AB47" s="65">
        <v>2069.6695250416087</v>
      </c>
      <c r="AC47" s="65">
        <v>1166.9339347028872</v>
      </c>
      <c r="AD47" s="65">
        <v>1015.9871743282383</v>
      </c>
      <c r="AE47" s="65">
        <v>891.25928435900641</v>
      </c>
      <c r="AF47" s="65">
        <v>927.05289859741606</v>
      </c>
      <c r="AG47" s="43">
        <f>+SUM(I47:AF47)*H47</f>
        <v>91374.559680267543</v>
      </c>
    </row>
    <row r="48" spans="2:33" ht="15" thickBot="1" x14ac:dyDescent="0.3">
      <c r="B48">
        <f t="shared" si="0"/>
        <v>8</v>
      </c>
      <c r="C48">
        <f t="shared" si="1"/>
        <v>2028</v>
      </c>
      <c r="D48" t="str">
        <f>+_xlfn.CONCAT(E48,G48)</f>
        <v>46966TOTAL</v>
      </c>
      <c r="E48" s="68">
        <v>46966</v>
      </c>
      <c r="F48" s="61"/>
      <c r="G48" s="44" t="s">
        <v>10</v>
      </c>
      <c r="H48" s="44">
        <v>31</v>
      </c>
      <c r="I48" s="45">
        <f t="shared" ref="I48:AF48" si="17">+SUMPRODUCT(I44:I47,$H44:$H47)</f>
        <v>362395.73610560072</v>
      </c>
      <c r="J48" s="45">
        <f t="shared" si="17"/>
        <v>350431.18476741971</v>
      </c>
      <c r="K48" s="45">
        <f t="shared" si="17"/>
        <v>340449.68767277035</v>
      </c>
      <c r="L48" s="45">
        <f t="shared" si="17"/>
        <v>348834.02765755641</v>
      </c>
      <c r="M48" s="45">
        <f t="shared" si="17"/>
        <v>333096.05689757742</v>
      </c>
      <c r="N48" s="45">
        <f t="shared" si="17"/>
        <v>340442.38644764165</v>
      </c>
      <c r="O48" s="45">
        <f t="shared" si="17"/>
        <v>359507.64291509346</v>
      </c>
      <c r="P48" s="45">
        <f t="shared" si="17"/>
        <v>440241.10122179013</v>
      </c>
      <c r="Q48" s="45">
        <f t="shared" si="17"/>
        <v>498045.08174486959</v>
      </c>
      <c r="R48" s="45">
        <f t="shared" si="17"/>
        <v>519104.9351126306</v>
      </c>
      <c r="S48" s="45">
        <f t="shared" si="17"/>
        <v>526724.37974857702</v>
      </c>
      <c r="T48" s="45">
        <f t="shared" si="17"/>
        <v>531852.12571928999</v>
      </c>
      <c r="U48" s="45">
        <f t="shared" si="17"/>
        <v>503684.00142504153</v>
      </c>
      <c r="V48" s="45">
        <f t="shared" si="17"/>
        <v>529246.30051392689</v>
      </c>
      <c r="W48" s="45">
        <f t="shared" si="17"/>
        <v>537402.7163305179</v>
      </c>
      <c r="X48" s="45">
        <f t="shared" si="17"/>
        <v>541142.14003758482</v>
      </c>
      <c r="Y48" s="45">
        <f t="shared" si="17"/>
        <v>517681.90471435949</v>
      </c>
      <c r="Z48" s="45">
        <f t="shared" si="17"/>
        <v>481300.08929217356</v>
      </c>
      <c r="AA48" s="45">
        <f t="shared" si="17"/>
        <v>433432.18199749908</v>
      </c>
      <c r="AB48" s="45">
        <f t="shared" si="17"/>
        <v>445352.04294053197</v>
      </c>
      <c r="AC48" s="45">
        <f t="shared" si="17"/>
        <v>403356.84466608113</v>
      </c>
      <c r="AD48" s="45">
        <f t="shared" si="17"/>
        <v>389703.24036160333</v>
      </c>
      <c r="AE48" s="45">
        <f t="shared" si="17"/>
        <v>360730.90389436716</v>
      </c>
      <c r="AF48" s="45">
        <f t="shared" si="17"/>
        <v>360462.62289324554</v>
      </c>
      <c r="AG48" s="46">
        <f>SUM(I48:AF48)</f>
        <v>10454619.33507775</v>
      </c>
    </row>
    <row r="49" spans="2:33" ht="14.4" x14ac:dyDescent="0.25">
      <c r="B49">
        <f t="shared" si="0"/>
        <v>9</v>
      </c>
      <c r="C49">
        <f t="shared" si="1"/>
        <v>2028</v>
      </c>
      <c r="D49" t="str">
        <f t="shared" ref="D49:D52" si="18">+_xlfn.CONCAT(B49:C49,G49)</f>
        <v>92028OR</v>
      </c>
      <c r="E49" s="67">
        <v>46997</v>
      </c>
      <c r="F49" s="72">
        <f>+AG53</f>
        <v>10771005.866368582</v>
      </c>
      <c r="G49" s="37" t="s">
        <v>57</v>
      </c>
      <c r="H49" s="37">
        <v>21</v>
      </c>
      <c r="I49" s="65">
        <v>13827.725506501854</v>
      </c>
      <c r="J49" s="65">
        <v>13399.094948099952</v>
      </c>
      <c r="K49" s="65">
        <v>12981.268127866668</v>
      </c>
      <c r="L49" s="65">
        <v>13288.143928082727</v>
      </c>
      <c r="M49" s="65">
        <v>12709.453762886169</v>
      </c>
      <c r="N49" s="65">
        <v>13149.267320305638</v>
      </c>
      <c r="O49" s="65">
        <v>14568.644252541497</v>
      </c>
      <c r="P49" s="65">
        <v>17928.296616601114</v>
      </c>
      <c r="Q49" s="65">
        <v>20297.939596186723</v>
      </c>
      <c r="R49" s="65">
        <v>21145.048473052746</v>
      </c>
      <c r="S49" s="65">
        <v>21660.803894978017</v>
      </c>
      <c r="T49" s="65">
        <v>21973.994616196273</v>
      </c>
      <c r="U49" s="65">
        <v>20912.452284145034</v>
      </c>
      <c r="V49" s="65">
        <v>22096.144950784059</v>
      </c>
      <c r="W49" s="65">
        <v>22609.372141686323</v>
      </c>
      <c r="X49" s="65">
        <v>22746.414974494142</v>
      </c>
      <c r="Y49" s="65">
        <v>21729.632147152111</v>
      </c>
      <c r="Z49" s="65">
        <v>19917.863893951831</v>
      </c>
      <c r="AA49" s="65">
        <v>17929.616086761474</v>
      </c>
      <c r="AB49" s="65">
        <v>18016.311385143312</v>
      </c>
      <c r="AC49" s="65">
        <v>16243.422257176664</v>
      </c>
      <c r="AD49" s="65">
        <v>15717.953394812586</v>
      </c>
      <c r="AE49" s="65">
        <v>14514.374272292687</v>
      </c>
      <c r="AF49" s="65">
        <v>14601.449455292892</v>
      </c>
      <c r="AG49" s="38">
        <f>+SUM(I49:AF49)*H49</f>
        <v>8903258.4540268425</v>
      </c>
    </row>
    <row r="50" spans="2:33" ht="14.4" x14ac:dyDescent="0.25">
      <c r="B50">
        <f t="shared" si="0"/>
        <v>9</v>
      </c>
      <c r="C50">
        <f t="shared" si="1"/>
        <v>2028</v>
      </c>
      <c r="D50" t="str">
        <f t="shared" si="18"/>
        <v>92028SA</v>
      </c>
      <c r="E50" s="68">
        <v>46997</v>
      </c>
      <c r="F50" s="73"/>
      <c r="G50" s="39" t="s">
        <v>60</v>
      </c>
      <c r="H50" s="39">
        <v>5</v>
      </c>
      <c r="I50" s="65">
        <v>11771.191735653319</v>
      </c>
      <c r="J50" s="65">
        <v>11114.211736259062</v>
      </c>
      <c r="K50" s="65">
        <v>11302.749590159801</v>
      </c>
      <c r="L50" s="65">
        <v>11828.808288363911</v>
      </c>
      <c r="M50" s="65">
        <v>11450.452715508382</v>
      </c>
      <c r="N50" s="65">
        <v>11709.36944686668</v>
      </c>
      <c r="O50" s="65">
        <v>11717.09672278013</v>
      </c>
      <c r="P50" s="65">
        <v>14284.321328160422</v>
      </c>
      <c r="Q50" s="65">
        <v>15904.916476696579</v>
      </c>
      <c r="R50" s="65">
        <v>16442.613351001793</v>
      </c>
      <c r="S50" s="65">
        <v>16344.681795215414</v>
      </c>
      <c r="T50" s="65">
        <v>16557.398277492684</v>
      </c>
      <c r="U50" s="65">
        <v>15781.389813254544</v>
      </c>
      <c r="V50" s="65">
        <v>16170.424175457654</v>
      </c>
      <c r="W50" s="65">
        <v>15568.841156521079</v>
      </c>
      <c r="X50" s="65">
        <v>15058.060010172549</v>
      </c>
      <c r="Y50" s="65">
        <v>14286.194891019739</v>
      </c>
      <c r="Z50" s="65">
        <v>13938.256025117502</v>
      </c>
      <c r="AA50" s="65">
        <v>13128.522069818038</v>
      </c>
      <c r="AB50" s="65">
        <v>13890.99124111576</v>
      </c>
      <c r="AC50" s="65">
        <v>13265.763011878789</v>
      </c>
      <c r="AD50" s="65">
        <v>12494.040574990606</v>
      </c>
      <c r="AE50" s="65">
        <v>11497.612947396448</v>
      </c>
      <c r="AF50" s="65">
        <v>10869.299762211553</v>
      </c>
      <c r="AG50" s="40">
        <f>+SUM(I50:AF50)*H50</f>
        <v>1631886.0357155623</v>
      </c>
    </row>
    <row r="51" spans="2:33" ht="14.4" x14ac:dyDescent="0.25">
      <c r="B51">
        <f t="shared" si="0"/>
        <v>9</v>
      </c>
      <c r="C51">
        <f t="shared" si="1"/>
        <v>2028</v>
      </c>
      <c r="D51" t="str">
        <f t="shared" si="18"/>
        <v>92028DO</v>
      </c>
      <c r="E51" s="68">
        <v>46997</v>
      </c>
      <c r="F51" s="73"/>
      <c r="G51" s="41" t="s">
        <v>58</v>
      </c>
      <c r="H51" s="41">
        <v>4</v>
      </c>
      <c r="I51" s="65">
        <v>3605.1310066751867</v>
      </c>
      <c r="J51" s="65">
        <v>3600.2370544816877</v>
      </c>
      <c r="K51" s="65">
        <v>3271.1590917295871</v>
      </c>
      <c r="L51" s="65">
        <v>3245.7621932826041</v>
      </c>
      <c r="M51" s="65">
        <v>3098.1028656616036</v>
      </c>
      <c r="N51" s="65">
        <v>3458.0105385701809</v>
      </c>
      <c r="O51" s="65">
        <v>2392.9076586233423</v>
      </c>
      <c r="P51" s="65">
        <v>2380.258630151573</v>
      </c>
      <c r="Q51" s="65">
        <v>2472.4287615657086</v>
      </c>
      <c r="R51" s="65">
        <v>2631.3200298328993</v>
      </c>
      <c r="S51" s="65">
        <v>2077.13071764907</v>
      </c>
      <c r="T51" s="65">
        <v>1915.5806887751896</v>
      </c>
      <c r="U51" s="65">
        <v>1330.2577076558337</v>
      </c>
      <c r="V51" s="65">
        <v>1105.5830886965923</v>
      </c>
      <c r="W51" s="65">
        <v>1042.5943834497921</v>
      </c>
      <c r="X51" s="65">
        <v>1766.5906452148847</v>
      </c>
      <c r="Y51" s="65">
        <v>2006.1238225637244</v>
      </c>
      <c r="Z51" s="65">
        <v>2400.6824593675592</v>
      </c>
      <c r="AA51" s="65">
        <v>1741.4299623343177</v>
      </c>
      <c r="AB51" s="65">
        <v>2692.0615495272759</v>
      </c>
      <c r="AC51" s="65">
        <v>2523.9095059186184</v>
      </c>
      <c r="AD51" s="65">
        <v>2655.7094714079212</v>
      </c>
      <c r="AE51" s="65">
        <v>2743.8091867790354</v>
      </c>
      <c r="AF51" s="65">
        <v>2808.5631366311027</v>
      </c>
      <c r="AG51" s="40">
        <f>+SUM(I51:AF51)*H51</f>
        <v>235861.37662618118</v>
      </c>
    </row>
    <row r="52" spans="2:33" ht="14.4" x14ac:dyDescent="0.25">
      <c r="B52">
        <f t="shared" si="0"/>
        <v>9</v>
      </c>
      <c r="C52">
        <f t="shared" si="1"/>
        <v>2028</v>
      </c>
      <c r="D52" t="str">
        <f t="shared" si="18"/>
        <v>92028FE</v>
      </c>
      <c r="E52" s="68">
        <v>46997</v>
      </c>
      <c r="F52" s="73"/>
      <c r="G52" s="42" t="s">
        <v>59</v>
      </c>
      <c r="H52" s="42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43">
        <f>+SUM(I52:AF52)*H52</f>
        <v>0</v>
      </c>
    </row>
    <row r="53" spans="2:33" ht="15" thickBot="1" x14ac:dyDescent="0.3">
      <c r="B53">
        <f t="shared" si="0"/>
        <v>9</v>
      </c>
      <c r="C53">
        <f t="shared" si="1"/>
        <v>2028</v>
      </c>
      <c r="D53" t="str">
        <f>+_xlfn.CONCAT(E53,G53)</f>
        <v>46997TOTAL</v>
      </c>
      <c r="E53" s="68">
        <v>46997</v>
      </c>
      <c r="F53" s="61"/>
      <c r="G53" s="44" t="s">
        <v>10</v>
      </c>
      <c r="H53" s="44">
        <v>30</v>
      </c>
      <c r="I53" s="45">
        <f t="shared" ref="I53:AF53" si="19">+SUMPRODUCT(I49:I52,$H49:$H52)</f>
        <v>363658.71834150632</v>
      </c>
      <c r="J53" s="45">
        <f t="shared" si="19"/>
        <v>351353.00080932106</v>
      </c>
      <c r="K53" s="45">
        <f t="shared" si="19"/>
        <v>342205.01500291738</v>
      </c>
      <c r="L53" s="45">
        <f t="shared" si="19"/>
        <v>351178.11270468723</v>
      </c>
      <c r="M53" s="45">
        <f t="shared" si="19"/>
        <v>336543.20406079793</v>
      </c>
      <c r="N53" s="45">
        <f t="shared" si="19"/>
        <v>348513.50311503251</v>
      </c>
      <c r="O53" s="45">
        <f t="shared" si="19"/>
        <v>374098.64355176548</v>
      </c>
      <c r="P53" s="45">
        <f t="shared" si="19"/>
        <v>457436.8701100318</v>
      </c>
      <c r="Q53" s="45">
        <f t="shared" si="19"/>
        <v>515671.02894966688</v>
      </c>
      <c r="R53" s="45">
        <f t="shared" si="19"/>
        <v>536784.36480844824</v>
      </c>
      <c r="S53" s="45">
        <f t="shared" si="19"/>
        <v>544908.81364121172</v>
      </c>
      <c r="T53" s="45">
        <f t="shared" si="19"/>
        <v>551903.20108268596</v>
      </c>
      <c r="U53" s="45">
        <f t="shared" si="19"/>
        <v>523389.47786394175</v>
      </c>
      <c r="V53" s="45">
        <f t="shared" si="19"/>
        <v>549293.49719853979</v>
      </c>
      <c r="W53" s="45">
        <f t="shared" si="19"/>
        <v>556811.39829181728</v>
      </c>
      <c r="X53" s="45">
        <f t="shared" si="19"/>
        <v>560031.37709609931</v>
      </c>
      <c r="Y53" s="45">
        <f t="shared" si="19"/>
        <v>535777.74483554799</v>
      </c>
      <c r="Z53" s="45">
        <f t="shared" si="19"/>
        <v>497569.15173604619</v>
      </c>
      <c r="AA53" s="45">
        <f t="shared" si="19"/>
        <v>449130.26802041847</v>
      </c>
      <c r="AB53" s="45">
        <f t="shared" si="19"/>
        <v>458565.7414916975</v>
      </c>
      <c r="AC53" s="45">
        <f t="shared" si="19"/>
        <v>417536.32048377837</v>
      </c>
      <c r="AD53" s="45">
        <f t="shared" si="19"/>
        <v>403170.06205164909</v>
      </c>
      <c r="AE53" s="45">
        <f t="shared" si="19"/>
        <v>373265.16120224481</v>
      </c>
      <c r="AF53" s="45">
        <f t="shared" si="19"/>
        <v>372211.18991873291</v>
      </c>
      <c r="AG53" s="46">
        <f>SUM(I53:AF53)</f>
        <v>10771005.866368582</v>
      </c>
    </row>
    <row r="54" spans="2:33" ht="14.4" x14ac:dyDescent="0.25">
      <c r="B54">
        <f t="shared" si="0"/>
        <v>10</v>
      </c>
      <c r="C54">
        <f t="shared" si="1"/>
        <v>2028</v>
      </c>
      <c r="D54" t="str">
        <f t="shared" ref="D54:D57" si="20">+_xlfn.CONCAT(B54:C54,G54)</f>
        <v>102028OR</v>
      </c>
      <c r="E54" s="67">
        <v>47027</v>
      </c>
      <c r="F54" s="72">
        <f>+AG58</f>
        <v>10534962.606204428</v>
      </c>
      <c r="G54" s="37" t="s">
        <v>57</v>
      </c>
      <c r="H54" s="37">
        <v>21</v>
      </c>
      <c r="I54" s="65">
        <v>13860.896651410783</v>
      </c>
      <c r="J54" s="65">
        <v>13432.007282884417</v>
      </c>
      <c r="K54" s="65">
        <v>13013.959342537442</v>
      </c>
      <c r="L54" s="65">
        <v>13320.458224926266</v>
      </c>
      <c r="M54" s="65">
        <v>12742.567831407448</v>
      </c>
      <c r="N54" s="65">
        <v>13184.566036996806</v>
      </c>
      <c r="O54" s="65">
        <v>14609.099664050267</v>
      </c>
      <c r="P54" s="65">
        <v>17972.56964810639</v>
      </c>
      <c r="Q54" s="65">
        <v>20345.723099465133</v>
      </c>
      <c r="R54" s="65">
        <v>21195.068927625583</v>
      </c>
      <c r="S54" s="65">
        <v>21713.429063533589</v>
      </c>
      <c r="T54" s="65">
        <v>22028.091667091896</v>
      </c>
      <c r="U54" s="65">
        <v>20965.461770103891</v>
      </c>
      <c r="V54" s="65">
        <v>22148.893998492978</v>
      </c>
      <c r="W54" s="65">
        <v>22662.347637438274</v>
      </c>
      <c r="X54" s="65">
        <v>22799.12152320414</v>
      </c>
      <c r="Y54" s="65">
        <v>21782.019019393152</v>
      </c>
      <c r="Z54" s="65">
        <v>19968.519283816226</v>
      </c>
      <c r="AA54" s="65">
        <v>17977.139149980845</v>
      </c>
      <c r="AB54" s="65">
        <v>18061.44685643218</v>
      </c>
      <c r="AC54" s="65">
        <v>16286.110642169464</v>
      </c>
      <c r="AD54" s="65">
        <v>15757.506133395464</v>
      </c>
      <c r="AE54" s="65">
        <v>14551.061689578239</v>
      </c>
      <c r="AF54" s="65">
        <v>14637.151848192889</v>
      </c>
      <c r="AG54" s="38">
        <f>+SUM(I54:AF54)*H54</f>
        <v>8925319.5568369087</v>
      </c>
    </row>
    <row r="55" spans="2:33" ht="14.4" x14ac:dyDescent="0.25">
      <c r="B55">
        <f t="shared" si="0"/>
        <v>10</v>
      </c>
      <c r="C55">
        <f t="shared" si="1"/>
        <v>2028</v>
      </c>
      <c r="D55" t="str">
        <f t="shared" si="20"/>
        <v>102028SA</v>
      </c>
      <c r="E55" s="68">
        <v>47027</v>
      </c>
      <c r="F55" s="73"/>
      <c r="G55" s="39" t="s">
        <v>60</v>
      </c>
      <c r="H55" s="39">
        <v>4</v>
      </c>
      <c r="I55" s="65">
        <v>11659.313219784075</v>
      </c>
      <c r="J55" s="65">
        <v>11004.765265830869</v>
      </c>
      <c r="K55" s="65">
        <v>11196.356726793059</v>
      </c>
      <c r="L55" s="65">
        <v>11724.558523770775</v>
      </c>
      <c r="M55" s="65">
        <v>11344.251939581234</v>
      </c>
      <c r="N55" s="65">
        <v>11598.501283305675</v>
      </c>
      <c r="O55" s="65">
        <v>11596.647283379454</v>
      </c>
      <c r="P55" s="65">
        <v>14156.057116550568</v>
      </c>
      <c r="Q55" s="65">
        <v>15767.994597214692</v>
      </c>
      <c r="R55" s="65">
        <v>16300.282010099068</v>
      </c>
      <c r="S55" s="65">
        <v>16193.706118054426</v>
      </c>
      <c r="T55" s="65">
        <v>16405.446184367836</v>
      </c>
      <c r="U55" s="65">
        <v>15636.247824952865</v>
      </c>
      <c r="V55" s="65">
        <v>16030.823783909567</v>
      </c>
      <c r="W55" s="65">
        <v>15429.657523861959</v>
      </c>
      <c r="X55" s="65">
        <v>14919.397897627434</v>
      </c>
      <c r="Y55" s="65">
        <v>14148.061538023288</v>
      </c>
      <c r="Z55" s="65">
        <v>13802.616921029232</v>
      </c>
      <c r="AA55" s="65">
        <v>12995.581490066099</v>
      </c>
      <c r="AB55" s="65">
        <v>13767.294543136268</v>
      </c>
      <c r="AC55" s="65">
        <v>13150.2482418582</v>
      </c>
      <c r="AD55" s="65">
        <v>12388.563173735427</v>
      </c>
      <c r="AE55" s="65">
        <v>11401.286414600396</v>
      </c>
      <c r="AF55" s="65">
        <v>10776.342946096482</v>
      </c>
      <c r="AG55" s="40">
        <f>+SUM(I55:AF55)*H55</f>
        <v>1293576.0102705159</v>
      </c>
    </row>
    <row r="56" spans="2:33" ht="14.4" x14ac:dyDescent="0.25">
      <c r="B56">
        <f t="shared" si="0"/>
        <v>10</v>
      </c>
      <c r="C56">
        <f t="shared" si="1"/>
        <v>2028</v>
      </c>
      <c r="D56" t="str">
        <f t="shared" si="20"/>
        <v>102028DO</v>
      </c>
      <c r="E56" s="68">
        <v>47027</v>
      </c>
      <c r="F56" s="73"/>
      <c r="G56" s="41" t="s">
        <v>58</v>
      </c>
      <c r="H56" s="41">
        <v>5</v>
      </c>
      <c r="I56" s="65">
        <v>3403.9535168841867</v>
      </c>
      <c r="J56" s="65">
        <v>3403.3203428989873</v>
      </c>
      <c r="K56" s="65">
        <v>3074.2740970171108</v>
      </c>
      <c r="L56" s="65">
        <v>3051.6077816780016</v>
      </c>
      <c r="M56" s="65">
        <v>2904.6091324406298</v>
      </c>
      <c r="N56" s="65">
        <v>3269.8344625390509</v>
      </c>
      <c r="O56" s="65">
        <v>2202.9083586057841</v>
      </c>
      <c r="P56" s="65">
        <v>2176.8226961973996</v>
      </c>
      <c r="Q56" s="65">
        <v>2259.6274959134244</v>
      </c>
      <c r="R56" s="65">
        <v>2411.2535966367323</v>
      </c>
      <c r="S56" s="65">
        <v>1843.88395660881</v>
      </c>
      <c r="T56" s="65">
        <v>1675.7574860856985</v>
      </c>
      <c r="U56" s="65">
        <v>1091.2630497594801</v>
      </c>
      <c r="V56" s="65">
        <v>864.59538588854775</v>
      </c>
      <c r="W56" s="65">
        <v>806.9463547978703</v>
      </c>
      <c r="X56" s="65">
        <v>1530.7893710789504</v>
      </c>
      <c r="Y56" s="65">
        <v>1771.9474713345589</v>
      </c>
      <c r="Z56" s="65">
        <v>2172.1964797970177</v>
      </c>
      <c r="AA56" s="65">
        <v>1508.3257967411955</v>
      </c>
      <c r="AB56" s="65">
        <v>2470.9040818341418</v>
      </c>
      <c r="AC56" s="65">
        <v>2316.4341802374474</v>
      </c>
      <c r="AD56" s="65">
        <v>2461.7663693621871</v>
      </c>
      <c r="AE56" s="65">
        <v>2556.8969595630697</v>
      </c>
      <c r="AF56" s="65">
        <v>2626.9779528247127</v>
      </c>
      <c r="AG56" s="40">
        <f>+SUM(I56:AF56)*H56</f>
        <v>269284.48188362498</v>
      </c>
    </row>
    <row r="57" spans="2:33" ht="14.4" x14ac:dyDescent="0.25">
      <c r="B57">
        <f t="shared" si="0"/>
        <v>10</v>
      </c>
      <c r="C57">
        <f t="shared" si="1"/>
        <v>2028</v>
      </c>
      <c r="D57" t="str">
        <f t="shared" si="20"/>
        <v>102028FE</v>
      </c>
      <c r="E57" s="68">
        <v>47027</v>
      </c>
      <c r="F57" s="73"/>
      <c r="G57" s="42" t="s">
        <v>59</v>
      </c>
      <c r="H57" s="42">
        <v>1</v>
      </c>
      <c r="I57" s="65">
        <v>6810.2628863565315</v>
      </c>
      <c r="J57" s="65">
        <v>6622.7906384812741</v>
      </c>
      <c r="K57" s="65">
        <v>6282.7164261857379</v>
      </c>
      <c r="L57" s="65">
        <v>6227.530386578017</v>
      </c>
      <c r="M57" s="65">
        <v>5502.2819175466375</v>
      </c>
      <c r="N57" s="65">
        <v>3348.9041902538829</v>
      </c>
      <c r="O57" s="65">
        <v>194.72150562373645</v>
      </c>
      <c r="P57" s="65">
        <v>294.40179685992189</v>
      </c>
      <c r="Q57" s="65">
        <v>993.55188867453398</v>
      </c>
      <c r="R57" s="65">
        <v>1307.0212175906236</v>
      </c>
      <c r="S57" s="65">
        <v>1117.0916072507316</v>
      </c>
      <c r="T57" s="65">
        <v>332.59231391262801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762.11846803681328</v>
      </c>
      <c r="AA57" s="65">
        <v>620.01278528866533</v>
      </c>
      <c r="AB57" s="65">
        <v>2132.3593438791613</v>
      </c>
      <c r="AC57" s="65">
        <v>1228.2327308761087</v>
      </c>
      <c r="AD57" s="65">
        <v>1074.4837608899288</v>
      </c>
      <c r="AE57" s="65">
        <v>948.5206084099118</v>
      </c>
      <c r="AF57" s="65">
        <v>982.96274068180719</v>
      </c>
      <c r="AG57" s="43">
        <f>+SUM(I57:AF57)*H57</f>
        <v>46782.557213376669</v>
      </c>
    </row>
    <row r="58" spans="2:33" ht="15" thickBot="1" x14ac:dyDescent="0.3">
      <c r="B58">
        <f t="shared" si="0"/>
        <v>10</v>
      </c>
      <c r="C58">
        <f t="shared" si="1"/>
        <v>2028</v>
      </c>
      <c r="D58" t="str">
        <f>+_xlfn.CONCAT(E58,G58)</f>
        <v>47027TOTAL</v>
      </c>
      <c r="E58" s="68">
        <v>47027</v>
      </c>
      <c r="F58" s="61"/>
      <c r="G58" s="44" t="s">
        <v>10</v>
      </c>
      <c r="H58" s="44">
        <v>31</v>
      </c>
      <c r="I58" s="45">
        <f t="shared" ref="I58:AF58" si="21">+SUMPRODUCT(I54:I57,$H54:$H57)</f>
        <v>361546.11302954017</v>
      </c>
      <c r="J58" s="45">
        <f t="shared" si="21"/>
        <v>349730.60635687242</v>
      </c>
      <c r="K58" s="45">
        <f t="shared" si="21"/>
        <v>339732.66001172981</v>
      </c>
      <c r="L58" s="45">
        <f t="shared" si="21"/>
        <v>348113.42611350265</v>
      </c>
      <c r="M58" s="45">
        <f t="shared" si="21"/>
        <v>332996.25979763112</v>
      </c>
      <c r="N58" s="45">
        <f t="shared" si="21"/>
        <v>342967.96841310477</v>
      </c>
      <c r="O58" s="45">
        <f t="shared" si="21"/>
        <v>364386.9453772261</v>
      </c>
      <c r="P58" s="45">
        <f t="shared" si="21"/>
        <v>445226.70635428338</v>
      </c>
      <c r="Q58" s="45">
        <f t="shared" si="21"/>
        <v>502623.85284586827</v>
      </c>
      <c r="R58" s="45">
        <f t="shared" si="21"/>
        <v>523660.86472130776</v>
      </c>
      <c r="S58" s="45">
        <f t="shared" si="21"/>
        <v>531093.34619671782</v>
      </c>
      <c r="T58" s="45">
        <f t="shared" si="21"/>
        <v>536923.08949074231</v>
      </c>
      <c r="U58" s="45">
        <f t="shared" si="21"/>
        <v>508276.00372079061</v>
      </c>
      <c r="V58" s="45">
        <f t="shared" si="21"/>
        <v>533573.04603343352</v>
      </c>
      <c r="W58" s="45">
        <f t="shared" si="21"/>
        <v>541662.66225564096</v>
      </c>
      <c r="X58" s="45">
        <f t="shared" si="21"/>
        <v>546113.09043319139</v>
      </c>
      <c r="Y58" s="45">
        <f t="shared" si="21"/>
        <v>522874.38291602221</v>
      </c>
      <c r="Z58" s="45">
        <f t="shared" si="21"/>
        <v>486172.47351127956</v>
      </c>
      <c r="AA58" s="45">
        <f t="shared" si="21"/>
        <v>437663.88987885677</v>
      </c>
      <c r="AB58" s="45">
        <f t="shared" si="21"/>
        <v>448846.44191067066</v>
      </c>
      <c r="AC58" s="45">
        <f t="shared" si="21"/>
        <v>407419.72008505493</v>
      </c>
      <c r="AD58" s="45">
        <f t="shared" si="21"/>
        <v>393845.19710394728</v>
      </c>
      <c r="AE58" s="45">
        <f t="shared" si="21"/>
        <v>364910.44654576981</v>
      </c>
      <c r="AF58" s="45">
        <f t="shared" si="21"/>
        <v>364603.41310124198</v>
      </c>
      <c r="AG58" s="46">
        <f>SUM(I58:AF58)</f>
        <v>10534962.606204428</v>
      </c>
    </row>
    <row r="59" spans="2:33" ht="14.4" x14ac:dyDescent="0.25">
      <c r="B59">
        <f t="shared" si="0"/>
        <v>11</v>
      </c>
      <c r="C59">
        <f t="shared" si="1"/>
        <v>2028</v>
      </c>
      <c r="D59" t="str">
        <f t="shared" ref="D59:D62" si="22">+_xlfn.CONCAT(B59:C59,G59)</f>
        <v>112028OR</v>
      </c>
      <c r="E59" s="67">
        <v>47058</v>
      </c>
      <c r="F59" s="72">
        <f>+AG63</f>
        <v>10051817.139869066</v>
      </c>
      <c r="G59" s="37" t="s">
        <v>57</v>
      </c>
      <c r="H59" s="37">
        <v>20</v>
      </c>
      <c r="I59" s="65">
        <v>13820.306442075995</v>
      </c>
      <c r="J59" s="65">
        <v>13391.453565862472</v>
      </c>
      <c r="K59" s="65">
        <v>12973.281615135193</v>
      </c>
      <c r="L59" s="65">
        <v>13279.973086731678</v>
      </c>
      <c r="M59" s="65">
        <v>12700.314631254845</v>
      </c>
      <c r="N59" s="65">
        <v>13138.088369335508</v>
      </c>
      <c r="O59" s="65">
        <v>14554.794399166884</v>
      </c>
      <c r="P59" s="65">
        <v>17914.647419564288</v>
      </c>
      <c r="Q59" s="65">
        <v>20284.617795235172</v>
      </c>
      <c r="R59" s="65">
        <v>21132.581340280878</v>
      </c>
      <c r="S59" s="65">
        <v>21647.452260862323</v>
      </c>
      <c r="T59" s="65">
        <v>21960.428758985716</v>
      </c>
      <c r="U59" s="65">
        <v>20898.651883304799</v>
      </c>
      <c r="V59" s="65">
        <v>22083.163771184343</v>
      </c>
      <c r="W59" s="65">
        <v>22596.700279631375</v>
      </c>
      <c r="X59" s="65">
        <v>22733.405127211536</v>
      </c>
      <c r="Y59" s="65">
        <v>21716.235796603589</v>
      </c>
      <c r="Z59" s="65">
        <v>19904.240689724142</v>
      </c>
      <c r="AA59" s="65">
        <v>17916.427909083133</v>
      </c>
      <c r="AB59" s="65">
        <v>18004.833488348384</v>
      </c>
      <c r="AC59" s="65">
        <v>16232.292955519359</v>
      </c>
      <c r="AD59" s="65">
        <v>15708.062828891498</v>
      </c>
      <c r="AE59" s="65">
        <v>14505.78486877328</v>
      </c>
      <c r="AF59" s="65">
        <v>14593.048271696494</v>
      </c>
      <c r="AG59" s="38">
        <f>+SUM(I59:AF59)*H59</f>
        <v>8473815.75108926</v>
      </c>
    </row>
    <row r="60" spans="2:33" ht="14.4" x14ac:dyDescent="0.25">
      <c r="B60">
        <f t="shared" si="0"/>
        <v>11</v>
      </c>
      <c r="C60">
        <f t="shared" si="1"/>
        <v>2028</v>
      </c>
      <c r="D60" t="str">
        <f t="shared" si="22"/>
        <v>112028SA</v>
      </c>
      <c r="E60" s="68">
        <v>47058</v>
      </c>
      <c r="F60" s="73"/>
      <c r="G60" s="39" t="s">
        <v>60</v>
      </c>
      <c r="H60" s="39">
        <v>4</v>
      </c>
      <c r="I60" s="65">
        <v>11601.195013172219</v>
      </c>
      <c r="J60" s="65">
        <v>10947.874666189757</v>
      </c>
      <c r="K60" s="65">
        <v>11141.286216324035</v>
      </c>
      <c r="L60" s="65">
        <v>11670.769925363351</v>
      </c>
      <c r="M60" s="65">
        <v>11288.844631516022</v>
      </c>
      <c r="N60" s="65">
        <v>11539.251051224648</v>
      </c>
      <c r="O60" s="65">
        <v>11531.570109397831</v>
      </c>
      <c r="P60" s="65">
        <v>14087.836480964703</v>
      </c>
      <c r="Q60" s="65">
        <v>15695.887765859839</v>
      </c>
      <c r="R60" s="65">
        <v>16226.861114882853</v>
      </c>
      <c r="S60" s="65">
        <v>16115.683471741206</v>
      </c>
      <c r="T60" s="65">
        <v>16327.546214838625</v>
      </c>
      <c r="U60" s="65">
        <v>15561.632502130822</v>
      </c>
      <c r="V60" s="65">
        <v>15960.099324986433</v>
      </c>
      <c r="W60" s="65">
        <v>15358.601569706469</v>
      </c>
      <c r="X60" s="65">
        <v>14847.711711404059</v>
      </c>
      <c r="Y60" s="65">
        <v>14076.219890847049</v>
      </c>
      <c r="Z60" s="65">
        <v>13731.694532004771</v>
      </c>
      <c r="AA60" s="65">
        <v>12926.122534986895</v>
      </c>
      <c r="AB60" s="65">
        <v>13704.000816569722</v>
      </c>
      <c r="AC60" s="65">
        <v>13090.848265143635</v>
      </c>
      <c r="AD60" s="65">
        <v>12333.981694117232</v>
      </c>
      <c r="AE60" s="65">
        <v>11351.071444621426</v>
      </c>
      <c r="AF60" s="65">
        <v>10728.157571321488</v>
      </c>
      <c r="AG60" s="40">
        <f>+SUM(I60:AF60)*H60</f>
        <v>1287378.9940772601</v>
      </c>
    </row>
    <row r="61" spans="2:33" ht="14.4" x14ac:dyDescent="0.25">
      <c r="B61">
        <f t="shared" si="0"/>
        <v>11</v>
      </c>
      <c r="C61">
        <f t="shared" si="1"/>
        <v>2028</v>
      </c>
      <c r="D61" t="str">
        <f t="shared" si="22"/>
        <v>112028DO</v>
      </c>
      <c r="E61" s="68">
        <v>47058</v>
      </c>
      <c r="F61" s="73"/>
      <c r="G61" s="41" t="s">
        <v>58</v>
      </c>
      <c r="H61" s="41">
        <v>4</v>
      </c>
      <c r="I61" s="65">
        <v>3234.8793399744791</v>
      </c>
      <c r="J61" s="65">
        <v>3237.6188124273431</v>
      </c>
      <c r="K61" s="65">
        <v>2907.7679621820425</v>
      </c>
      <c r="L61" s="65">
        <v>2887.6372356708234</v>
      </c>
      <c r="M61" s="65">
        <v>2741.020423279293</v>
      </c>
      <c r="N61" s="65">
        <v>3111.4631310564309</v>
      </c>
      <c r="O61" s="65">
        <v>2042.0587236547981</v>
      </c>
      <c r="P61" s="65">
        <v>2003.713090598525</v>
      </c>
      <c r="Q61" s="65">
        <v>2078.0093464771962</v>
      </c>
      <c r="R61" s="65">
        <v>2223.7590931398408</v>
      </c>
      <c r="S61" s="65">
        <v>1645.7820997960262</v>
      </c>
      <c r="T61" s="65">
        <v>1472.8353788476888</v>
      </c>
      <c r="U61" s="65">
        <v>888.73950892855646</v>
      </c>
      <c r="V61" s="65">
        <v>659.83589990931432</v>
      </c>
      <c r="W61" s="65">
        <v>606.56085125262689</v>
      </c>
      <c r="X61" s="65">
        <v>1330.0707593558545</v>
      </c>
      <c r="Y61" s="65">
        <v>1572.3019469784849</v>
      </c>
      <c r="Z61" s="65">
        <v>1978.4874182842468</v>
      </c>
      <c r="AA61" s="65">
        <v>1309.7794882782546</v>
      </c>
      <c r="AB61" s="65">
        <v>2283.6057814165142</v>
      </c>
      <c r="AC61" s="65">
        <v>2140.5428198279151</v>
      </c>
      <c r="AD61" s="65">
        <v>2298.1927473349933</v>
      </c>
      <c r="AE61" s="65">
        <v>2399.1749930506267</v>
      </c>
      <c r="AF61" s="65">
        <v>2474.3051712493634</v>
      </c>
      <c r="AG61" s="40">
        <f>+SUM(I61:AF61)*H61</f>
        <v>198112.56809188492</v>
      </c>
    </row>
    <row r="62" spans="2:33" ht="14.4" x14ac:dyDescent="0.25">
      <c r="B62">
        <f t="shared" si="0"/>
        <v>11</v>
      </c>
      <c r="C62">
        <f t="shared" si="1"/>
        <v>2028</v>
      </c>
      <c r="D62" t="str">
        <f t="shared" si="22"/>
        <v>112028FE</v>
      </c>
      <c r="E62" s="68">
        <v>47058</v>
      </c>
      <c r="F62" s="73"/>
      <c r="G62" s="42" t="s">
        <v>59</v>
      </c>
      <c r="H62" s="42">
        <v>2</v>
      </c>
      <c r="I62" s="65">
        <v>6791.312036261821</v>
      </c>
      <c r="J62" s="65">
        <v>6603.7675338517638</v>
      </c>
      <c r="K62" s="65">
        <v>6263.0852425948942</v>
      </c>
      <c r="L62" s="65">
        <v>6208.3309326623767</v>
      </c>
      <c r="M62" s="65">
        <v>5481.4155669894863</v>
      </c>
      <c r="N62" s="65">
        <v>3323.4062292139242</v>
      </c>
      <c r="O62" s="65">
        <v>161.83844031643457</v>
      </c>
      <c r="P62" s="65">
        <v>260.47635975802405</v>
      </c>
      <c r="Q62" s="65">
        <v>959.44274560006306</v>
      </c>
      <c r="R62" s="65">
        <v>1273.1534454500179</v>
      </c>
      <c r="S62" s="65">
        <v>1084.1796850709397</v>
      </c>
      <c r="T62" s="65">
        <v>298.18663080401893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727.18912327269936</v>
      </c>
      <c r="AA62" s="65">
        <v>585.4128884902857</v>
      </c>
      <c r="AB62" s="65">
        <v>2103.9078817042173</v>
      </c>
      <c r="AC62" s="65">
        <v>1200.2937229223753</v>
      </c>
      <c r="AD62" s="65">
        <v>1047.801718520197</v>
      </c>
      <c r="AE62" s="65">
        <v>922.87579443114737</v>
      </c>
      <c r="AF62" s="65">
        <v>958.83732741666972</v>
      </c>
      <c r="AG62" s="43">
        <f>+SUM(I62:AF62)*H62</f>
        <v>92509.826610662683</v>
      </c>
    </row>
    <row r="63" spans="2:33" ht="15" thickBot="1" x14ac:dyDescent="0.3">
      <c r="B63">
        <f t="shared" si="0"/>
        <v>11</v>
      </c>
      <c r="C63">
        <f t="shared" si="1"/>
        <v>2028</v>
      </c>
      <c r="D63" t="str">
        <f>+_xlfn.CONCAT(E63,G63)</f>
        <v>47058TOTAL</v>
      </c>
      <c r="E63" s="68">
        <v>47058</v>
      </c>
      <c r="F63" s="61"/>
      <c r="G63" s="44" t="s">
        <v>10</v>
      </c>
      <c r="H63" s="44">
        <v>30</v>
      </c>
      <c r="I63" s="45">
        <f t="shared" ref="I63:AF63" si="23">+SUMPRODUCT(I59:I62,$H59:$H62)</f>
        <v>349333.05032663024</v>
      </c>
      <c r="J63" s="45">
        <f t="shared" si="23"/>
        <v>337778.58029942139</v>
      </c>
      <c r="K63" s="45">
        <f t="shared" si="23"/>
        <v>328188.01950191794</v>
      </c>
      <c r="L63" s="45">
        <f t="shared" si="23"/>
        <v>336249.75224409503</v>
      </c>
      <c r="M63" s="45">
        <f t="shared" si="23"/>
        <v>321088.58397825714</v>
      </c>
      <c r="N63" s="45">
        <f t="shared" si="23"/>
        <v>328011.43657426233</v>
      </c>
      <c r="O63" s="45">
        <f t="shared" si="23"/>
        <v>345714.08019618108</v>
      </c>
      <c r="P63" s="45">
        <f t="shared" si="23"/>
        <v>423180.0993970547</v>
      </c>
      <c r="Q63" s="45">
        <f t="shared" si="23"/>
        <v>478706.82984525169</v>
      </c>
      <c r="R63" s="45">
        <f t="shared" si="23"/>
        <v>499000.41452860838</v>
      </c>
      <c r="S63" s="45">
        <f t="shared" si="23"/>
        <v>506163.26687353721</v>
      </c>
      <c r="T63" s="45">
        <f t="shared" si="23"/>
        <v>511006.47481606761</v>
      </c>
      <c r="U63" s="45">
        <f t="shared" si="23"/>
        <v>483774.52571033349</v>
      </c>
      <c r="V63" s="45">
        <f t="shared" si="23"/>
        <v>508143.01632326981</v>
      </c>
      <c r="W63" s="45">
        <f t="shared" si="23"/>
        <v>515794.65527646389</v>
      </c>
      <c r="X63" s="45">
        <f t="shared" si="23"/>
        <v>519379.23242727038</v>
      </c>
      <c r="Y63" s="45">
        <f t="shared" si="23"/>
        <v>496918.80328337394</v>
      </c>
      <c r="Z63" s="45">
        <f t="shared" si="23"/>
        <v>462379.91984218429</v>
      </c>
      <c r="AA63" s="45">
        <f t="shared" si="23"/>
        <v>416442.9920517038</v>
      </c>
      <c r="AB63" s="45">
        <f t="shared" si="23"/>
        <v>428254.91192232101</v>
      </c>
      <c r="AC63" s="45">
        <f t="shared" si="23"/>
        <v>387972.01089611812</v>
      </c>
      <c r="AD63" s="45">
        <f t="shared" si="23"/>
        <v>374785.55778067926</v>
      </c>
      <c r="AE63" s="45">
        <f t="shared" si="23"/>
        <v>346962.43471501605</v>
      </c>
      <c r="AF63" s="45">
        <f t="shared" si="23"/>
        <v>346588.49105904659</v>
      </c>
      <c r="AG63" s="46">
        <f>SUM(I63:AF63)</f>
        <v>10051817.139869066</v>
      </c>
    </row>
    <row r="64" spans="2:33" ht="14.4" x14ac:dyDescent="0.25">
      <c r="B64">
        <f t="shared" si="0"/>
        <v>12</v>
      </c>
      <c r="C64">
        <f t="shared" si="1"/>
        <v>2028</v>
      </c>
      <c r="D64" t="str">
        <f t="shared" ref="D64:D67" si="24">+_xlfn.CONCAT(B64:C64,G64)</f>
        <v>122028OR</v>
      </c>
      <c r="E64" s="67">
        <v>47088</v>
      </c>
      <c r="F64" s="72">
        <f>+AG68</f>
        <v>10503335.851752806</v>
      </c>
      <c r="G64" s="37" t="s">
        <v>57</v>
      </c>
      <c r="H64" s="37">
        <v>19</v>
      </c>
      <c r="I64" s="65">
        <v>14331.32264306073</v>
      </c>
      <c r="J64" s="65">
        <v>13898.219073439486</v>
      </c>
      <c r="K64" s="65">
        <v>13476.269451896229</v>
      </c>
      <c r="L64" s="65">
        <v>13776.901616327925</v>
      </c>
      <c r="M64" s="65">
        <v>13208.821337110245</v>
      </c>
      <c r="N64" s="65">
        <v>13678.791216673848</v>
      </c>
      <c r="O64" s="65">
        <v>15173.510737731118</v>
      </c>
      <c r="P64" s="65">
        <v>18593.167941690132</v>
      </c>
      <c r="Q64" s="65">
        <v>21018.265351699905</v>
      </c>
      <c r="R64" s="65">
        <v>21901.964861499724</v>
      </c>
      <c r="S64" s="65">
        <v>22456.6785072803</v>
      </c>
      <c r="T64" s="65">
        <v>22792.438174664177</v>
      </c>
      <c r="U64" s="65">
        <v>21713.45738654978</v>
      </c>
      <c r="V64" s="65">
        <v>22894.673011651437</v>
      </c>
      <c r="W64" s="65">
        <v>23412.036699128934</v>
      </c>
      <c r="X64" s="65">
        <v>23544.223739481109</v>
      </c>
      <c r="Y64" s="65">
        <v>22521.698773511162</v>
      </c>
      <c r="Z64" s="65">
        <v>20682.451665571723</v>
      </c>
      <c r="AA64" s="65">
        <v>18646.134180233021</v>
      </c>
      <c r="AB64" s="65">
        <v>18698.864455163486</v>
      </c>
      <c r="AC64" s="65">
        <v>16888.438520837753</v>
      </c>
      <c r="AD64" s="65">
        <v>16316.407959052385</v>
      </c>
      <c r="AE64" s="65">
        <v>15070.609651808138</v>
      </c>
      <c r="AF64" s="65">
        <v>15142.668126870814</v>
      </c>
      <c r="AG64" s="38">
        <f>+SUM(I64:AF64)*H64</f>
        <v>8356922.2865757374</v>
      </c>
    </row>
    <row r="65" spans="2:33" ht="14.4" x14ac:dyDescent="0.25">
      <c r="B65">
        <f t="shared" si="0"/>
        <v>12</v>
      </c>
      <c r="C65">
        <f t="shared" si="1"/>
        <v>2028</v>
      </c>
      <c r="D65" t="str">
        <f t="shared" si="24"/>
        <v>122028SA</v>
      </c>
      <c r="E65" s="68">
        <v>47088</v>
      </c>
      <c r="F65" s="73"/>
      <c r="G65" s="39" t="s">
        <v>60</v>
      </c>
      <c r="H65" s="39">
        <v>5</v>
      </c>
      <c r="I65" s="65">
        <v>12176.723400283812</v>
      </c>
      <c r="J65" s="65">
        <v>11510.855922055311</v>
      </c>
      <c r="K65" s="65">
        <v>11688.795174214563</v>
      </c>
      <c r="L65" s="65">
        <v>12207.424605246122</v>
      </c>
      <c r="M65" s="65">
        <v>11834.924508012664</v>
      </c>
      <c r="N65" s="65">
        <v>12107.908540157387</v>
      </c>
      <c r="O65" s="65">
        <v>12148.657667977142</v>
      </c>
      <c r="P65" s="65">
        <v>14746.050264607435</v>
      </c>
      <c r="Q65" s="65">
        <v>16399.255907339437</v>
      </c>
      <c r="R65" s="65">
        <v>16959.56770346158</v>
      </c>
      <c r="S65" s="65">
        <v>16892.746145095683</v>
      </c>
      <c r="T65" s="65">
        <v>17110.267981558463</v>
      </c>
      <c r="U65" s="65">
        <v>16309.06598434131</v>
      </c>
      <c r="V65" s="65">
        <v>16680.04782015644</v>
      </c>
      <c r="W65" s="65">
        <v>16075.852701640037</v>
      </c>
      <c r="X65" s="65">
        <v>15561.369881842436</v>
      </c>
      <c r="Y65" s="65">
        <v>14786.723570294638</v>
      </c>
      <c r="Z65" s="65">
        <v>14428.987029156549</v>
      </c>
      <c r="AA65" s="65">
        <v>13609.595442942325</v>
      </c>
      <c r="AB65" s="65">
        <v>14341.297967050778</v>
      </c>
      <c r="AC65" s="65">
        <v>13685.69560323609</v>
      </c>
      <c r="AD65" s="65">
        <v>12876.794912558869</v>
      </c>
      <c r="AE65" s="65">
        <v>11846.419514792615</v>
      </c>
      <c r="AF65" s="65">
        <v>11206.452950918492</v>
      </c>
      <c r="AG65" s="40">
        <f>+SUM(I65:AF65)*H65</f>
        <v>1685957.405994701</v>
      </c>
    </row>
    <row r="66" spans="2:33" ht="14.4" x14ac:dyDescent="0.25">
      <c r="B66">
        <f t="shared" si="0"/>
        <v>12</v>
      </c>
      <c r="C66">
        <f t="shared" si="1"/>
        <v>2028</v>
      </c>
      <c r="D66" t="str">
        <f t="shared" si="24"/>
        <v>122028DO</v>
      </c>
      <c r="E66" s="68">
        <v>47088</v>
      </c>
      <c r="F66" s="73"/>
      <c r="G66" s="41" t="s">
        <v>58</v>
      </c>
      <c r="H66" s="41">
        <v>5</v>
      </c>
      <c r="I66" s="65">
        <v>3635.1767727446022</v>
      </c>
      <c r="J66" s="65">
        <v>3629.2258178442935</v>
      </c>
      <c r="K66" s="65">
        <v>3298.4636750781101</v>
      </c>
      <c r="L66" s="65">
        <v>3273.1453547891906</v>
      </c>
      <c r="M66" s="65">
        <v>3125.0369998907263</v>
      </c>
      <c r="N66" s="65">
        <v>3485.6623105431922</v>
      </c>
      <c r="O66" s="65">
        <v>2418.9204201979319</v>
      </c>
      <c r="P66" s="65">
        <v>2406.3234191129377</v>
      </c>
      <c r="Q66" s="65">
        <v>2498.6038672975228</v>
      </c>
      <c r="R66" s="65">
        <v>2659.0437752404396</v>
      </c>
      <c r="S66" s="65">
        <v>2107.7718943671753</v>
      </c>
      <c r="T66" s="65">
        <v>1948.6319262277648</v>
      </c>
      <c r="U66" s="65">
        <v>1362.5836170547882</v>
      </c>
      <c r="V66" s="65">
        <v>1137.0733494670385</v>
      </c>
      <c r="W66" s="65">
        <v>1073.057649145554</v>
      </c>
      <c r="X66" s="65">
        <v>1796.6640041439459</v>
      </c>
      <c r="Y66" s="65">
        <v>2035.3634741892893</v>
      </c>
      <c r="Z66" s="65">
        <v>2431.4040412026297</v>
      </c>
      <c r="AA66" s="65">
        <v>1770.9097700693128</v>
      </c>
      <c r="AB66" s="65">
        <v>2722.1971691728941</v>
      </c>
      <c r="AC66" s="65">
        <v>2551.8161421232217</v>
      </c>
      <c r="AD66" s="65">
        <v>2683.504208414146</v>
      </c>
      <c r="AE66" s="65">
        <v>2770.4381943361914</v>
      </c>
      <c r="AF66" s="65">
        <v>2835.5526330824086</v>
      </c>
      <c r="AG66" s="40">
        <f>+SUM(I66:AF66)*H66</f>
        <v>298282.85242867656</v>
      </c>
    </row>
    <row r="67" spans="2:33" ht="14.4" x14ac:dyDescent="0.25">
      <c r="B67">
        <f t="shared" si="0"/>
        <v>12</v>
      </c>
      <c r="C67">
        <f t="shared" si="1"/>
        <v>2028</v>
      </c>
      <c r="D67" t="str">
        <f t="shared" si="24"/>
        <v>122028FE</v>
      </c>
      <c r="E67" s="68">
        <v>47088</v>
      </c>
      <c r="F67" s="73"/>
      <c r="G67" s="42" t="s">
        <v>59</v>
      </c>
      <c r="H67" s="42">
        <v>2</v>
      </c>
      <c r="I67" s="65">
        <v>7966.0282549235671</v>
      </c>
      <c r="J67" s="65">
        <v>7762.985795571145</v>
      </c>
      <c r="K67" s="65">
        <v>7422.4552131746641</v>
      </c>
      <c r="L67" s="65">
        <v>7350.7440051014164</v>
      </c>
      <c r="M67" s="65">
        <v>6666.9156319244212</v>
      </c>
      <c r="N67" s="65">
        <v>4680.953035270164</v>
      </c>
      <c r="O67" s="65">
        <v>1704.7073184248002</v>
      </c>
      <c r="P67" s="65">
        <v>1890.6786802889255</v>
      </c>
      <c r="Q67" s="65">
        <v>2605.7987930287418</v>
      </c>
      <c r="R67" s="65">
        <v>2959.4376590105821</v>
      </c>
      <c r="S67" s="65">
        <v>2836.1941022568062</v>
      </c>
      <c r="T67" s="65">
        <v>2150.0595693223295</v>
      </c>
      <c r="U67" s="65">
        <v>1416.0609615442081</v>
      </c>
      <c r="V67" s="65">
        <v>1235.5560865797524</v>
      </c>
      <c r="W67" s="65">
        <v>793.49311428549481</v>
      </c>
      <c r="X67" s="65">
        <v>1650.5742393093133</v>
      </c>
      <c r="Y67" s="65">
        <v>1205.5687180818677</v>
      </c>
      <c r="Z67" s="65">
        <v>2500.7541254784337</v>
      </c>
      <c r="AA67" s="65">
        <v>2348.6775213551991</v>
      </c>
      <c r="AB67" s="65">
        <v>3737.5943131086242</v>
      </c>
      <c r="AC67" s="65">
        <v>2797.6826365507513</v>
      </c>
      <c r="AD67" s="65">
        <v>2572.1595673899392</v>
      </c>
      <c r="AE67" s="65">
        <v>2415.2341609000814</v>
      </c>
      <c r="AF67" s="65">
        <v>2416.3398739644908</v>
      </c>
      <c r="AG67" s="43">
        <f>+SUM(I67:AF67)*H67</f>
        <v>162173.30675369143</v>
      </c>
    </row>
    <row r="68" spans="2:33" ht="15" thickBot="1" x14ac:dyDescent="0.3">
      <c r="D68" t="str">
        <f>+_xlfn.CONCAT(E68,G68)</f>
        <v>47088TOTAL</v>
      </c>
      <c r="E68" s="68">
        <v>47088</v>
      </c>
      <c r="F68" s="74"/>
      <c r="G68" s="44" t="s">
        <v>10</v>
      </c>
      <c r="H68" s="44">
        <v>31</v>
      </c>
      <c r="I68" s="45">
        <f t="shared" ref="I68:AF68" si="25">+SUMPRODUCT(I64:I67,$H64:$H67)</f>
        <v>367286.68759314308</v>
      </c>
      <c r="J68" s="45">
        <f t="shared" si="25"/>
        <v>355292.54268599057</v>
      </c>
      <c r="K68" s="45">
        <f t="shared" si="25"/>
        <v>345830.32425884105</v>
      </c>
      <c r="L68" s="45">
        <f t="shared" si="25"/>
        <v>353865.46852060995</v>
      </c>
      <c r="M68" s="45">
        <f t="shared" si="25"/>
        <v>339101.24420846044</v>
      </c>
      <c r="N68" s="45">
        <f t="shared" si="25"/>
        <v>347226.79344084626</v>
      </c>
      <c r="O68" s="45">
        <f t="shared" si="25"/>
        <v>364544.00909461622</v>
      </c>
      <c r="P68" s="45">
        <f t="shared" si="25"/>
        <v>442813.41667129216</v>
      </c>
      <c r="Q68" s="45">
        <f t="shared" si="25"/>
        <v>499047.93814154051</v>
      </c>
      <c r="R68" s="45">
        <f t="shared" si="25"/>
        <v>520149.265080026</v>
      </c>
      <c r="S68" s="45">
        <f t="shared" si="25"/>
        <v>527351.87004015362</v>
      </c>
      <c r="T68" s="45">
        <f t="shared" si="25"/>
        <v>532650.9439961951</v>
      </c>
      <c r="U68" s="45">
        <f t="shared" si="25"/>
        <v>503746.06027451472</v>
      </c>
      <c r="V68" s="45">
        <f t="shared" si="25"/>
        <v>526555.50524265424</v>
      </c>
      <c r="W68" s="45">
        <f t="shared" si="25"/>
        <v>532160.23526594881</v>
      </c>
      <c r="X68" s="45">
        <f t="shared" si="25"/>
        <v>537431.56895869167</v>
      </c>
      <c r="Y68" s="45">
        <f t="shared" si="25"/>
        <v>514433.84935529548</v>
      </c>
      <c r="Z68" s="45">
        <f t="shared" si="25"/>
        <v>482270.0452486155</v>
      </c>
      <c r="AA68" s="45">
        <f t="shared" si="25"/>
        <v>435876.43053219601</v>
      </c>
      <c r="AB68" s="45">
        <f t="shared" si="25"/>
        <v>448071.08895544184</v>
      </c>
      <c r="AC68" s="45">
        <f t="shared" si="25"/>
        <v>407663.25589581532</v>
      </c>
      <c r="AD68" s="45">
        <f t="shared" si="25"/>
        <v>392957.56596164021</v>
      </c>
      <c r="AE68" s="45">
        <f t="shared" si="25"/>
        <v>364256.3402517988</v>
      </c>
      <c r="AF68" s="45">
        <f t="shared" si="25"/>
        <v>362753.40207847895</v>
      </c>
      <c r="AG68" s="46">
        <f>SUM(I68:AF68)</f>
        <v>10503335.851752806</v>
      </c>
    </row>
    <row r="69" spans="2:33" ht="14.4" x14ac:dyDescent="0.25">
      <c r="B69">
        <f>+MONTH(E69)</f>
        <v>1</v>
      </c>
      <c r="C69">
        <f>+YEAR(E69)</f>
        <v>2029</v>
      </c>
      <c r="D69" t="str">
        <f>+_xlfn.CONCAT(B69:C69,G69)</f>
        <v>12029OR</v>
      </c>
      <c r="E69" s="67">
        <v>47119</v>
      </c>
      <c r="F69" s="72">
        <f>+AG73</f>
        <v>11493540.965649379</v>
      </c>
      <c r="G69" s="37" t="s">
        <v>57</v>
      </c>
      <c r="H69" s="37">
        <v>21</v>
      </c>
      <c r="I69" s="65">
        <v>14764.320675450839</v>
      </c>
      <c r="J69" s="65">
        <v>14346.188227490926</v>
      </c>
      <c r="K69" s="65">
        <v>13975.594262951197</v>
      </c>
      <c r="L69" s="65">
        <v>14302.461647447573</v>
      </c>
      <c r="M69" s="65">
        <v>13836.289853040997</v>
      </c>
      <c r="N69" s="65">
        <v>14474.15235033166</v>
      </c>
      <c r="O69" s="65">
        <v>16203.353583105629</v>
      </c>
      <c r="P69" s="65">
        <v>19551.479962730064</v>
      </c>
      <c r="Q69" s="65">
        <v>21899.197941277424</v>
      </c>
      <c r="R69" s="65">
        <v>22666.38479393442</v>
      </c>
      <c r="S69" s="65">
        <v>23295.621245486549</v>
      </c>
      <c r="T69" s="65">
        <v>23633.324777689108</v>
      </c>
      <c r="U69" s="65">
        <v>22599.214403192935</v>
      </c>
      <c r="V69" s="65">
        <v>23683.597006027139</v>
      </c>
      <c r="W69" s="65">
        <v>24167.112022557598</v>
      </c>
      <c r="X69" s="65">
        <v>24352.520215618362</v>
      </c>
      <c r="Y69" s="65">
        <v>23379.688628836237</v>
      </c>
      <c r="Z69" s="65">
        <v>21578.566107703253</v>
      </c>
      <c r="AA69" s="65">
        <v>19524.037045597208</v>
      </c>
      <c r="AB69" s="65">
        <v>19406.705677752423</v>
      </c>
      <c r="AC69" s="65">
        <v>17616.195241188623</v>
      </c>
      <c r="AD69" s="65">
        <v>16945.611323055757</v>
      </c>
      <c r="AE69" s="65">
        <v>15588.898812279005</v>
      </c>
      <c r="AF69" s="65">
        <v>15650.732360055299</v>
      </c>
      <c r="AG69" s="38">
        <f>ROUND(SUM(I69:AF69)*H69,2)</f>
        <v>9606266.2100000009</v>
      </c>
    </row>
    <row r="70" spans="2:33" ht="14.4" x14ac:dyDescent="0.25">
      <c r="B70">
        <f t="shared" ref="B70:B127" si="26">+MONTH(E70)</f>
        <v>1</v>
      </c>
      <c r="C70">
        <f t="shared" ref="C70:C127" si="27">+YEAR(E70)</f>
        <v>2029</v>
      </c>
      <c r="D70" t="str">
        <f t="shared" ref="D70:D72" si="28">+_xlfn.CONCAT(B70:C70,G70)</f>
        <v>12029SA</v>
      </c>
      <c r="E70" s="68">
        <v>47119</v>
      </c>
      <c r="F70" s="73"/>
      <c r="G70" s="39" t="s">
        <v>60</v>
      </c>
      <c r="H70" s="39">
        <v>4</v>
      </c>
      <c r="I70" s="65">
        <v>12489.80900418081</v>
      </c>
      <c r="J70" s="65">
        <v>11800.523031971406</v>
      </c>
      <c r="K70" s="65">
        <v>11951.131361053003</v>
      </c>
      <c r="L70" s="65">
        <v>12441.385032359141</v>
      </c>
      <c r="M70" s="65">
        <v>12155.533734715304</v>
      </c>
      <c r="N70" s="65">
        <v>12577.799943825259</v>
      </c>
      <c r="O70" s="65">
        <v>12742.688742105584</v>
      </c>
      <c r="P70" s="65">
        <v>15264.796651882818</v>
      </c>
      <c r="Q70" s="65">
        <v>16873.498183776162</v>
      </c>
      <c r="R70" s="65">
        <v>17266.356860183005</v>
      </c>
      <c r="S70" s="65">
        <v>17242.065894409941</v>
      </c>
      <c r="T70" s="65">
        <v>17377.60695802893</v>
      </c>
      <c r="U70" s="65">
        <v>16596.0498446245</v>
      </c>
      <c r="V70" s="65">
        <v>16820.066158740337</v>
      </c>
      <c r="W70" s="65">
        <v>16290.505154360031</v>
      </c>
      <c r="X70" s="65">
        <v>15877.061198151416</v>
      </c>
      <c r="Y70" s="65">
        <v>15140.479763898187</v>
      </c>
      <c r="Z70" s="65">
        <v>14840.683583226088</v>
      </c>
      <c r="AA70" s="65">
        <v>14026.767946392178</v>
      </c>
      <c r="AB70" s="65">
        <v>14564.095952797587</v>
      </c>
      <c r="AC70" s="65">
        <v>13934.157039825277</v>
      </c>
      <c r="AD70" s="65">
        <v>13143.129629289126</v>
      </c>
      <c r="AE70" s="65">
        <v>12130.198457801915</v>
      </c>
      <c r="AF70" s="65">
        <v>11445.31390028928</v>
      </c>
      <c r="AG70" s="40">
        <f>ROUND(SUM(I70:AF70)*H70,2)</f>
        <v>1379966.82</v>
      </c>
    </row>
    <row r="71" spans="2:33" ht="14.4" x14ac:dyDescent="0.25">
      <c r="B71">
        <f t="shared" si="26"/>
        <v>1</v>
      </c>
      <c r="C71">
        <f t="shared" si="27"/>
        <v>2029</v>
      </c>
      <c r="D71" t="str">
        <f t="shared" si="28"/>
        <v>12029DO</v>
      </c>
      <c r="E71" s="68">
        <v>47119</v>
      </c>
      <c r="F71" s="73"/>
      <c r="G71" s="41" t="s">
        <v>58</v>
      </c>
      <c r="H71" s="41">
        <v>4</v>
      </c>
      <c r="I71" s="65">
        <v>3916.3528532813289</v>
      </c>
      <c r="J71" s="65">
        <v>3904.0317102031804</v>
      </c>
      <c r="K71" s="65">
        <v>3693.3717042268854</v>
      </c>
      <c r="L71" s="65">
        <v>3638.5546267754162</v>
      </c>
      <c r="M71" s="65">
        <v>3515.945320744162</v>
      </c>
      <c r="N71" s="65">
        <v>3774.9583534892136</v>
      </c>
      <c r="O71" s="65">
        <v>2803.9402432777169</v>
      </c>
      <c r="P71" s="65">
        <v>2906.6063958312006</v>
      </c>
      <c r="Q71" s="65">
        <v>3113.0281395176135</v>
      </c>
      <c r="R71" s="65">
        <v>3263.3577270219503</v>
      </c>
      <c r="S71" s="65">
        <v>2661.2482833721078</v>
      </c>
      <c r="T71" s="65">
        <v>2424.2679786194094</v>
      </c>
      <c r="U71" s="65">
        <v>1870.5008036420768</v>
      </c>
      <c r="V71" s="65">
        <v>1738.9864400637816</v>
      </c>
      <c r="W71" s="65">
        <v>1689.9234264178813</v>
      </c>
      <c r="X71" s="65">
        <v>2447.6751121680099</v>
      </c>
      <c r="Y71" s="65">
        <v>2716.8108481687887</v>
      </c>
      <c r="Z71" s="65">
        <v>2957.7147788922521</v>
      </c>
      <c r="AA71" s="65">
        <v>2431.2210450343809</v>
      </c>
      <c r="AB71" s="65">
        <v>3204.3881973608877</v>
      </c>
      <c r="AC71" s="65">
        <v>3033.855761672814</v>
      </c>
      <c r="AD71" s="65">
        <v>3041.6910403277361</v>
      </c>
      <c r="AE71" s="65">
        <v>3133.8712547290233</v>
      </c>
      <c r="AF71" s="65">
        <v>3125.7546201719197</v>
      </c>
      <c r="AG71" s="40">
        <f>ROUND(SUM(I71:AF71)*H71,2)</f>
        <v>284032.23</v>
      </c>
    </row>
    <row r="72" spans="2:33" ht="14.4" x14ac:dyDescent="0.25">
      <c r="B72">
        <f t="shared" si="26"/>
        <v>1</v>
      </c>
      <c r="C72">
        <f t="shared" si="27"/>
        <v>2029</v>
      </c>
      <c r="D72" t="str">
        <f t="shared" si="28"/>
        <v>12029FE</v>
      </c>
      <c r="E72" s="68">
        <v>47119</v>
      </c>
      <c r="F72" s="73"/>
      <c r="G72" s="42" t="s">
        <v>59</v>
      </c>
      <c r="H72" s="42">
        <v>2</v>
      </c>
      <c r="I72" s="65">
        <v>8595.1619123888486</v>
      </c>
      <c r="J72" s="65">
        <v>8401.5555068885405</v>
      </c>
      <c r="K72" s="65">
        <v>8141.2463560328069</v>
      </c>
      <c r="L72" s="65">
        <v>8041.3419851235758</v>
      </c>
      <c r="M72" s="65">
        <v>7482.948178408582</v>
      </c>
      <c r="N72" s="65">
        <v>5794.2897831082537</v>
      </c>
      <c r="O72" s="65">
        <v>3334.7722888015705</v>
      </c>
      <c r="P72" s="65">
        <v>3526.319718339937</v>
      </c>
      <c r="Q72" s="65">
        <v>4217.1101038648303</v>
      </c>
      <c r="R72" s="65">
        <v>4481.5573424875911</v>
      </c>
      <c r="S72" s="65">
        <v>4190.3874648581659</v>
      </c>
      <c r="T72" s="65">
        <v>3537.024934220608</v>
      </c>
      <c r="U72" s="65">
        <v>2822.7711067186428</v>
      </c>
      <c r="V72" s="65">
        <v>2762.1958584343593</v>
      </c>
      <c r="W72" s="65">
        <v>2540.8729139110656</v>
      </c>
      <c r="X72" s="65">
        <v>3508.6726517831703</v>
      </c>
      <c r="Y72" s="65">
        <v>3236.9344499303188</v>
      </c>
      <c r="Z72" s="65">
        <v>4078.3907016595549</v>
      </c>
      <c r="AA72" s="65">
        <v>3935.5887220193435</v>
      </c>
      <c r="AB72" s="65">
        <v>4812.3791344132296</v>
      </c>
      <c r="AC72" s="65">
        <v>3885.2399232972239</v>
      </c>
      <c r="AD72" s="65">
        <v>3618.4771262502672</v>
      </c>
      <c r="AE72" s="65">
        <v>3409.0765398352814</v>
      </c>
      <c r="AF72" s="65">
        <v>3283.5410057173776</v>
      </c>
      <c r="AG72" s="43">
        <f>ROUND(SUM(I72:AF72)*H72,2)</f>
        <v>223275.71</v>
      </c>
    </row>
    <row r="73" spans="2:33" ht="15" thickBot="1" x14ac:dyDescent="0.3">
      <c r="B73">
        <f t="shared" si="26"/>
        <v>1</v>
      </c>
      <c r="C73">
        <f t="shared" si="27"/>
        <v>2029</v>
      </c>
      <c r="D73" t="str">
        <f>+_xlfn.CONCAT(E73,G73)</f>
        <v>47119TOTAL</v>
      </c>
      <c r="E73" s="68">
        <v>47119</v>
      </c>
      <c r="F73" s="61"/>
      <c r="G73" s="44" t="s">
        <v>10</v>
      </c>
      <c r="H73" s="44">
        <v>31</v>
      </c>
      <c r="I73" s="45">
        <f t="shared" ref="I73:AF73" si="29">+SUMPRODUCT(I69:I72,$H69:$H72)</f>
        <v>392865.70543909393</v>
      </c>
      <c r="J73" s="45">
        <f t="shared" si="29"/>
        <v>380891.2827597849</v>
      </c>
      <c r="K73" s="45">
        <f t="shared" si="29"/>
        <v>372347.98449516034</v>
      </c>
      <c r="L73" s="45">
        <f t="shared" si="29"/>
        <v>380754.13720318442</v>
      </c>
      <c r="M73" s="45">
        <f t="shared" si="29"/>
        <v>368213.89949251589</v>
      </c>
      <c r="N73" s="45">
        <f t="shared" si="29"/>
        <v>380956.81211243925</v>
      </c>
      <c r="O73" s="45">
        <f t="shared" si="29"/>
        <v>409126.48576435458</v>
      </c>
      <c r="P73" s="45">
        <f t="shared" si="29"/>
        <v>490319.33084486728</v>
      </c>
      <c r="Q73" s="45">
        <f t="shared" si="29"/>
        <v>548263.48226773064</v>
      </c>
      <c r="R73" s="45">
        <f t="shared" si="29"/>
        <v>567076.05370641779</v>
      </c>
      <c r="S73" s="45">
        <f t="shared" si="29"/>
        <v>577202.07779606211</v>
      </c>
      <c r="T73" s="45">
        <f t="shared" si="29"/>
        <v>582581.36994650576</v>
      </c>
      <c r="U73" s="45">
        <f t="shared" si="29"/>
        <v>554095.24727355514</v>
      </c>
      <c r="V73" s="45">
        <f t="shared" si="29"/>
        <v>577116.1392386551</v>
      </c>
      <c r="W73" s="45">
        <f t="shared" si="29"/>
        <v>584512.81262464344</v>
      </c>
      <c r="X73" s="45">
        <f t="shared" si="29"/>
        <v>591719.21507282963</v>
      </c>
      <c r="Y73" s="45">
        <f t="shared" si="29"/>
        <v>568876.49255368952</v>
      </c>
      <c r="Z73" s="45">
        <f t="shared" si="29"/>
        <v>532500.26311356074</v>
      </c>
      <c r="AA73" s="45">
        <f t="shared" si="29"/>
        <v>483707.91136728629</v>
      </c>
      <c r="AB73" s="45">
        <f t="shared" si="29"/>
        <v>488239.51410226122</v>
      </c>
      <c r="AC73" s="45">
        <f t="shared" si="29"/>
        <v>445582.63111754792</v>
      </c>
      <c r="AD73" s="45">
        <f t="shared" si="29"/>
        <v>427834.07471513888</v>
      </c>
      <c r="AE73" s="45">
        <f t="shared" si="29"/>
        <v>395241.30698765343</v>
      </c>
      <c r="AF73" s="45">
        <f t="shared" si="29"/>
        <v>393516.73565444088</v>
      </c>
      <c r="AG73" s="46">
        <f>SUM(I73:AF73)</f>
        <v>11493540.965649379</v>
      </c>
    </row>
    <row r="74" spans="2:33" ht="14.4" x14ac:dyDescent="0.25">
      <c r="B74">
        <f t="shared" si="26"/>
        <v>2</v>
      </c>
      <c r="C74">
        <f t="shared" si="27"/>
        <v>2029</v>
      </c>
      <c r="D74" t="str">
        <f t="shared" ref="D74:D77" si="30">+_xlfn.CONCAT(B74:C74,G74)</f>
        <v>22029OR</v>
      </c>
      <c r="E74" s="67">
        <v>47150</v>
      </c>
      <c r="F74" s="72">
        <f>+AG78</f>
        <v>9648628.0275890697</v>
      </c>
      <c r="G74" s="37" t="s">
        <v>57</v>
      </c>
      <c r="H74" s="37">
        <v>20</v>
      </c>
      <c r="I74" s="65">
        <v>13298.87335702436</v>
      </c>
      <c r="J74" s="65">
        <v>12900.972413163901</v>
      </c>
      <c r="K74" s="65">
        <v>12524.134178504868</v>
      </c>
      <c r="L74" s="65">
        <v>12862.523805252255</v>
      </c>
      <c r="M74" s="65">
        <v>12346.032094491784</v>
      </c>
      <c r="N74" s="65">
        <v>12898.291268202362</v>
      </c>
      <c r="O74" s="65">
        <v>14379.535664312163</v>
      </c>
      <c r="P74" s="65">
        <v>17578.205137729041</v>
      </c>
      <c r="Q74" s="65">
        <v>19786.251359450529</v>
      </c>
      <c r="R74" s="65">
        <v>20469.049744194544</v>
      </c>
      <c r="S74" s="65">
        <v>20971.944067224704</v>
      </c>
      <c r="T74" s="65">
        <v>21250.751962387407</v>
      </c>
      <c r="U74" s="65">
        <v>20251.911552937003</v>
      </c>
      <c r="V74" s="65">
        <v>21367.507433388262</v>
      </c>
      <c r="W74" s="65">
        <v>21842.94814818857</v>
      </c>
      <c r="X74" s="65">
        <v>22022.079288521418</v>
      </c>
      <c r="Y74" s="65">
        <v>21053.87724601449</v>
      </c>
      <c r="Z74" s="65">
        <v>19328.020451754383</v>
      </c>
      <c r="AA74" s="65">
        <v>17414.923917596687</v>
      </c>
      <c r="AB74" s="65">
        <v>17428.006066250869</v>
      </c>
      <c r="AC74" s="65">
        <v>15712.998323924799</v>
      </c>
      <c r="AD74" s="65">
        <v>15186.497527100899</v>
      </c>
      <c r="AE74" s="65">
        <v>13965.909308672792</v>
      </c>
      <c r="AF74" s="65">
        <v>14071.735672526987</v>
      </c>
      <c r="AG74" s="38">
        <f>+SUM(I74:AF74)*H74</f>
        <v>8218259.5997763006</v>
      </c>
    </row>
    <row r="75" spans="2:33" ht="14.4" x14ac:dyDescent="0.25">
      <c r="B75">
        <f t="shared" si="26"/>
        <v>2</v>
      </c>
      <c r="C75">
        <f t="shared" si="27"/>
        <v>2029</v>
      </c>
      <c r="D75" t="str">
        <f t="shared" si="30"/>
        <v>22029SA</v>
      </c>
      <c r="E75" s="68">
        <v>47150</v>
      </c>
      <c r="F75" s="73"/>
      <c r="G75" s="39" t="s">
        <v>60</v>
      </c>
      <c r="H75" s="39">
        <v>4</v>
      </c>
      <c r="I75" s="65">
        <v>11203.372391179324</v>
      </c>
      <c r="J75" s="65">
        <v>10562.143450027321</v>
      </c>
      <c r="K75" s="65">
        <v>10743.912644769815</v>
      </c>
      <c r="L75" s="65">
        <v>11264.789771539141</v>
      </c>
      <c r="M75" s="65">
        <v>10934.167600920016</v>
      </c>
      <c r="N75" s="65">
        <v>11304.467063024273</v>
      </c>
      <c r="O75" s="65">
        <v>11344.485410815127</v>
      </c>
      <c r="P75" s="65">
        <v>13784.802458817547</v>
      </c>
      <c r="Q75" s="65">
        <v>15303.245687039696</v>
      </c>
      <c r="R75" s="65">
        <v>15671.017617847418</v>
      </c>
      <c r="S75" s="65">
        <v>15539.805604862602</v>
      </c>
      <c r="T75" s="65">
        <v>15687.579240920146</v>
      </c>
      <c r="U75" s="65">
        <v>14970.231876331069</v>
      </c>
      <c r="V75" s="65">
        <v>15291.00304851391</v>
      </c>
      <c r="W75" s="65">
        <v>14743.721927152452</v>
      </c>
      <c r="X75" s="65">
        <v>14321.406546744423</v>
      </c>
      <c r="Y75" s="65">
        <v>13593.188340152574</v>
      </c>
      <c r="Z75" s="65">
        <v>13293.758402349202</v>
      </c>
      <c r="AA75" s="65">
        <v>12491.852536139977</v>
      </c>
      <c r="AB75" s="65">
        <v>13171.411044114087</v>
      </c>
      <c r="AC75" s="65">
        <v>12621.66542607388</v>
      </c>
      <c r="AD75" s="65">
        <v>11938.567086637133</v>
      </c>
      <c r="AE75" s="65">
        <v>11025.452119838123</v>
      </c>
      <c r="AF75" s="65">
        <v>10387.661099741061</v>
      </c>
      <c r="AG75" s="40">
        <f>+SUM(I75:AF75)*H75</f>
        <v>1244774.833582201</v>
      </c>
    </row>
    <row r="76" spans="2:33" ht="14.4" x14ac:dyDescent="0.25">
      <c r="B76">
        <f t="shared" si="26"/>
        <v>2</v>
      </c>
      <c r="C76">
        <f t="shared" si="27"/>
        <v>2029</v>
      </c>
      <c r="D76" t="str">
        <f t="shared" si="30"/>
        <v>22029DO</v>
      </c>
      <c r="E76" s="68">
        <v>47150</v>
      </c>
      <c r="F76" s="73"/>
      <c r="G76" s="41" t="s">
        <v>58</v>
      </c>
      <c r="H76" s="41">
        <v>4</v>
      </c>
      <c r="I76" s="65">
        <v>2978.9649381843556</v>
      </c>
      <c r="J76" s="65">
        <v>3006.8829259141385</v>
      </c>
      <c r="K76" s="65">
        <v>2755.9565581899078</v>
      </c>
      <c r="L76" s="65">
        <v>2716.4534438496776</v>
      </c>
      <c r="M76" s="65">
        <v>2587.1334002637122</v>
      </c>
      <c r="N76" s="65">
        <v>2893.3294503074721</v>
      </c>
      <c r="O76" s="65">
        <v>1911.3806797788857</v>
      </c>
      <c r="P76" s="65">
        <v>1947.7569060603455</v>
      </c>
      <c r="Q76" s="65">
        <v>2070.6559535239612</v>
      </c>
      <c r="R76" s="65">
        <v>2185.3887821059725</v>
      </c>
      <c r="S76" s="65">
        <v>1546.072496306846</v>
      </c>
      <c r="T76" s="65">
        <v>1297.6922522059649</v>
      </c>
      <c r="U76" s="65">
        <v>742.90706802866407</v>
      </c>
      <c r="V76" s="65">
        <v>564.70013123410536</v>
      </c>
      <c r="W76" s="65">
        <v>528.99810637588598</v>
      </c>
      <c r="X76" s="65">
        <v>1271.7021738150142</v>
      </c>
      <c r="Y76" s="65">
        <v>1543.7611239339531</v>
      </c>
      <c r="Z76" s="65">
        <v>1847.6603330650796</v>
      </c>
      <c r="AA76" s="65">
        <v>1263.8009498947285</v>
      </c>
      <c r="AB76" s="65">
        <v>2138.2144736465088</v>
      </c>
      <c r="AC76" s="65">
        <v>2021.2722419033162</v>
      </c>
      <c r="AD76" s="65">
        <v>2106.4635491106419</v>
      </c>
      <c r="AE76" s="65">
        <v>2221.8227875062221</v>
      </c>
      <c r="AF76" s="65">
        <v>2249.427832436555</v>
      </c>
      <c r="AG76" s="40">
        <f>+SUM(I76:AF76)*H76</f>
        <v>185593.59423056763</v>
      </c>
    </row>
    <row r="77" spans="2:33" ht="14.4" x14ac:dyDescent="0.25">
      <c r="B77">
        <f t="shared" si="26"/>
        <v>2</v>
      </c>
      <c r="C77">
        <f t="shared" si="27"/>
        <v>2029</v>
      </c>
      <c r="D77" t="str">
        <f t="shared" si="30"/>
        <v>22029FE</v>
      </c>
      <c r="E77" s="68">
        <v>47150</v>
      </c>
      <c r="F77" s="73"/>
      <c r="G77" s="42" t="s">
        <v>59</v>
      </c>
      <c r="H77" s="42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  <c r="AG77" s="43">
        <f>+SUM(I77:AF77)*H77</f>
        <v>0</v>
      </c>
    </row>
    <row r="78" spans="2:33" ht="15" thickBot="1" x14ac:dyDescent="0.3">
      <c r="B78">
        <f t="shared" si="26"/>
        <v>2</v>
      </c>
      <c r="C78">
        <f t="shared" si="27"/>
        <v>2029</v>
      </c>
      <c r="D78" t="str">
        <f>+_xlfn.CONCAT(E78,G78)</f>
        <v>47150TOTAL</v>
      </c>
      <c r="E78" s="68">
        <v>47150</v>
      </c>
      <c r="F78" s="61"/>
      <c r="G78" s="44" t="s">
        <v>10</v>
      </c>
      <c r="H78" s="44">
        <v>28</v>
      </c>
      <c r="I78" s="45">
        <f t="shared" ref="I78:AF78" si="31">+SUMPRODUCT(I74:I77,$H74:$H77)</f>
        <v>322706.8164579419</v>
      </c>
      <c r="J78" s="45">
        <f t="shared" si="31"/>
        <v>312295.55376704386</v>
      </c>
      <c r="K78" s="45">
        <f t="shared" si="31"/>
        <v>304482.16038193624</v>
      </c>
      <c r="L78" s="45">
        <f t="shared" si="31"/>
        <v>313175.44896660035</v>
      </c>
      <c r="M78" s="45">
        <f t="shared" si="31"/>
        <v>301005.84589457064</v>
      </c>
      <c r="N78" s="45">
        <f t="shared" si="31"/>
        <v>314757.01141737419</v>
      </c>
      <c r="O78" s="45">
        <f t="shared" si="31"/>
        <v>340614.17764861934</v>
      </c>
      <c r="P78" s="45">
        <f t="shared" si="31"/>
        <v>414494.34021409234</v>
      </c>
      <c r="Q78" s="45">
        <f t="shared" si="31"/>
        <v>465220.63375126524</v>
      </c>
      <c r="R78" s="45">
        <f t="shared" si="31"/>
        <v>480806.62048370449</v>
      </c>
      <c r="S78" s="45">
        <f t="shared" si="31"/>
        <v>487782.39374917187</v>
      </c>
      <c r="T78" s="45">
        <f t="shared" si="31"/>
        <v>492956.12522025261</v>
      </c>
      <c r="U78" s="45">
        <f t="shared" si="31"/>
        <v>467890.78683617897</v>
      </c>
      <c r="V78" s="45">
        <f t="shared" si="31"/>
        <v>490772.96138675732</v>
      </c>
      <c r="W78" s="45">
        <f t="shared" si="31"/>
        <v>497949.84309788479</v>
      </c>
      <c r="X78" s="45">
        <f t="shared" si="31"/>
        <v>502814.02065266611</v>
      </c>
      <c r="Y78" s="45">
        <f t="shared" si="31"/>
        <v>481625.34277663589</v>
      </c>
      <c r="Z78" s="45">
        <f t="shared" si="31"/>
        <v>447126.08397674479</v>
      </c>
      <c r="AA78" s="45">
        <f t="shared" si="31"/>
        <v>403321.09229607263</v>
      </c>
      <c r="AB78" s="45">
        <f t="shared" si="31"/>
        <v>409798.62339605985</v>
      </c>
      <c r="AC78" s="45">
        <f t="shared" si="31"/>
        <v>372831.71715040482</v>
      </c>
      <c r="AD78" s="45">
        <f t="shared" si="31"/>
        <v>359910.07308500912</v>
      </c>
      <c r="AE78" s="45">
        <f t="shared" si="31"/>
        <v>332307.28580283327</v>
      </c>
      <c r="AF78" s="45">
        <f t="shared" si="31"/>
        <v>331983.06917925022</v>
      </c>
      <c r="AG78" s="46">
        <f>SUM(I78:AF78)</f>
        <v>9648628.0275890697</v>
      </c>
    </row>
    <row r="79" spans="2:33" ht="14.4" x14ac:dyDescent="0.25">
      <c r="B79">
        <f t="shared" si="26"/>
        <v>3</v>
      </c>
      <c r="C79">
        <f t="shared" si="27"/>
        <v>2029</v>
      </c>
      <c r="D79" t="str">
        <f t="shared" ref="D79:D82" si="32">+_xlfn.CONCAT(B79:C79,G79)</f>
        <v>32029OR</v>
      </c>
      <c r="E79" s="67">
        <v>47178</v>
      </c>
      <c r="F79" s="72">
        <f>+AG83</f>
        <v>9488470.1688337047</v>
      </c>
      <c r="G79" s="37" t="s">
        <v>57</v>
      </c>
      <c r="H79" s="37">
        <v>19</v>
      </c>
      <c r="I79" s="65">
        <v>13072.822261930552</v>
      </c>
      <c r="J79" s="65">
        <v>12666.417409803511</v>
      </c>
      <c r="K79" s="65">
        <v>12276.627035023959</v>
      </c>
      <c r="L79" s="65">
        <v>12607.741703102247</v>
      </c>
      <c r="M79" s="65">
        <v>12056.872965719864</v>
      </c>
      <c r="N79" s="65">
        <v>12537.403085346361</v>
      </c>
      <c r="O79" s="65">
        <v>13927.897733767253</v>
      </c>
      <c r="P79" s="65">
        <v>17139.19205211283</v>
      </c>
      <c r="Q79" s="65">
        <v>19364.083132227315</v>
      </c>
      <c r="R79" s="65">
        <v>20081.288726989711</v>
      </c>
      <c r="S79" s="65">
        <v>20555.368950727159</v>
      </c>
      <c r="T79" s="65">
        <v>20828.359628501526</v>
      </c>
      <c r="U79" s="65">
        <v>19819.422810754462</v>
      </c>
      <c r="V79" s="65">
        <v>20964.678127775336</v>
      </c>
      <c r="W79" s="65">
        <v>21451.766030197898</v>
      </c>
      <c r="X79" s="65">
        <v>21618.140809076824</v>
      </c>
      <c r="Y79" s="65">
        <v>20635.334479449797</v>
      </c>
      <c r="Z79" s="65">
        <v>18898.773818441136</v>
      </c>
      <c r="AA79" s="65">
        <v>16997.292443629147</v>
      </c>
      <c r="AB79" s="65">
        <v>17069.747953868991</v>
      </c>
      <c r="AC79" s="65">
        <v>15364.134536466359</v>
      </c>
      <c r="AD79" s="65">
        <v>14878.694998834462</v>
      </c>
      <c r="AE79" s="65">
        <v>13701.828885356774</v>
      </c>
      <c r="AF79" s="65">
        <v>13813.191967388128</v>
      </c>
      <c r="AG79" s="38">
        <f>+SUM(I79:AF79)*H79</f>
        <v>7644214.5493833413</v>
      </c>
    </row>
    <row r="80" spans="2:33" ht="14.4" x14ac:dyDescent="0.25">
      <c r="B80">
        <f t="shared" si="26"/>
        <v>3</v>
      </c>
      <c r="C80">
        <f t="shared" si="27"/>
        <v>2029</v>
      </c>
      <c r="D80" t="str">
        <f t="shared" si="32"/>
        <v>32029SA</v>
      </c>
      <c r="E80" s="68">
        <v>47178</v>
      </c>
      <c r="F80" s="73"/>
      <c r="G80" s="39" t="s">
        <v>60</v>
      </c>
      <c r="H80" s="39">
        <v>5</v>
      </c>
      <c r="I80" s="65">
        <v>11101.478009450944</v>
      </c>
      <c r="J80" s="65">
        <v>10461.127735622878</v>
      </c>
      <c r="K80" s="65">
        <v>10654.410119248383</v>
      </c>
      <c r="L80" s="65">
        <v>11183.536574957918</v>
      </c>
      <c r="M80" s="65">
        <v>10828.535248214266</v>
      </c>
      <c r="N80" s="65">
        <v>11141.614426923832</v>
      </c>
      <c r="O80" s="65">
        <v>11141.173365464587</v>
      </c>
      <c r="P80" s="65">
        <v>13608.586997308481</v>
      </c>
      <c r="Q80" s="65">
        <v>15141.973340840883</v>
      </c>
      <c r="R80" s="65">
        <v>15560.689547474485</v>
      </c>
      <c r="S80" s="65">
        <v>15417.450750231696</v>
      </c>
      <c r="T80" s="65">
        <v>15587.859645747903</v>
      </c>
      <c r="U80" s="65">
        <v>14867.264538329295</v>
      </c>
      <c r="V80" s="65">
        <v>15230.882432290056</v>
      </c>
      <c r="W80" s="65">
        <v>14663.515380009869</v>
      </c>
      <c r="X80" s="65">
        <v>14208.02031644349</v>
      </c>
      <c r="Y80" s="65">
        <v>13464.21955330811</v>
      </c>
      <c r="Z80" s="65">
        <v>13153.002441796954</v>
      </c>
      <c r="AA80" s="65">
        <v>12355.855387893873</v>
      </c>
      <c r="AB80" s="65">
        <v>13094.745430625651</v>
      </c>
      <c r="AC80" s="65">
        <v>12539.135145819906</v>
      </c>
      <c r="AD80" s="65">
        <v>11850.401391035906</v>
      </c>
      <c r="AE80" s="65">
        <v>10931.162117922006</v>
      </c>
      <c r="AF80" s="65">
        <v>10306.863778129682</v>
      </c>
      <c r="AG80" s="40">
        <f>+SUM(I80:AF80)*H80</f>
        <v>1542467.5183754554</v>
      </c>
    </row>
    <row r="81" spans="2:33" ht="14.4" x14ac:dyDescent="0.25">
      <c r="B81">
        <f t="shared" si="26"/>
        <v>3</v>
      </c>
      <c r="C81">
        <f t="shared" si="27"/>
        <v>2029</v>
      </c>
      <c r="D81" t="str">
        <f t="shared" si="32"/>
        <v>32029DO</v>
      </c>
      <c r="E81" s="68">
        <v>47178</v>
      </c>
      <c r="F81" s="73"/>
      <c r="G81" s="41" t="s">
        <v>58</v>
      </c>
      <c r="H81" s="41">
        <v>4</v>
      </c>
      <c r="I81" s="65">
        <v>4165.5815433936004</v>
      </c>
      <c r="J81" s="65">
        <v>4117.1159968769189</v>
      </c>
      <c r="K81" s="65">
        <v>3826.2768428376166</v>
      </c>
      <c r="L81" s="65">
        <v>3786.8424928361073</v>
      </c>
      <c r="M81" s="65">
        <v>3436.8449170663498</v>
      </c>
      <c r="N81" s="65">
        <v>2820.1717151899866</v>
      </c>
      <c r="O81" s="65">
        <v>1038.5435251446288</v>
      </c>
      <c r="P81" s="65">
        <v>1048.4162554342329</v>
      </c>
      <c r="Q81" s="65">
        <v>1371.4322256143678</v>
      </c>
      <c r="R81" s="65">
        <v>1538.6513348502558</v>
      </c>
      <c r="S81" s="65">
        <v>1022.3873646471257</v>
      </c>
      <c r="T81" s="65">
        <v>559.19961231798879</v>
      </c>
      <c r="U81" s="65">
        <v>0</v>
      </c>
      <c r="V81" s="65">
        <v>0</v>
      </c>
      <c r="W81" s="65">
        <v>0</v>
      </c>
      <c r="X81" s="65">
        <v>417.56465945257878</v>
      </c>
      <c r="Y81" s="65">
        <v>409.01895475329729</v>
      </c>
      <c r="Z81" s="65">
        <v>1113.3115248319045</v>
      </c>
      <c r="AA81" s="65">
        <v>675.27163315047073</v>
      </c>
      <c r="AB81" s="65">
        <v>1763.3081614762195</v>
      </c>
      <c r="AC81" s="65">
        <v>1353.6593577609274</v>
      </c>
      <c r="AD81" s="65">
        <v>1384.6677273622881</v>
      </c>
      <c r="AE81" s="65">
        <v>1402.7315871242026</v>
      </c>
      <c r="AF81" s="65">
        <v>1433.4251747044618</v>
      </c>
      <c r="AG81" s="40">
        <f>+SUM(I81:AF81)*H81</f>
        <v>154737.69042730215</v>
      </c>
    </row>
    <row r="82" spans="2:33" ht="14.4" x14ac:dyDescent="0.25">
      <c r="B82">
        <f t="shared" si="26"/>
        <v>3</v>
      </c>
      <c r="C82">
        <f t="shared" si="27"/>
        <v>2029</v>
      </c>
      <c r="D82" t="str">
        <f t="shared" si="32"/>
        <v>32029FE</v>
      </c>
      <c r="E82" s="68">
        <v>47178</v>
      </c>
      <c r="F82" s="73"/>
      <c r="G82" s="42" t="s">
        <v>59</v>
      </c>
      <c r="H82" s="42">
        <v>3</v>
      </c>
      <c r="I82" s="65">
        <v>6741.6539277787624</v>
      </c>
      <c r="J82" s="65">
        <v>6572.7656023027193</v>
      </c>
      <c r="K82" s="65">
        <v>6265.9054695097029</v>
      </c>
      <c r="L82" s="65">
        <v>6203.0327671880586</v>
      </c>
      <c r="M82" s="65">
        <v>5528.5778303892512</v>
      </c>
      <c r="N82" s="65">
        <v>3466.971500500309</v>
      </c>
      <c r="O82" s="65">
        <v>543.08423432445488</v>
      </c>
      <c r="P82" s="65">
        <v>617.55800521206766</v>
      </c>
      <c r="Q82" s="65">
        <v>1311.5466874235572</v>
      </c>
      <c r="R82" s="65">
        <v>1574.1082488937245</v>
      </c>
      <c r="S82" s="65">
        <v>1269.7361004395607</v>
      </c>
      <c r="T82" s="65">
        <v>472.97623908910464</v>
      </c>
      <c r="U82" s="65">
        <v>0</v>
      </c>
      <c r="V82" s="65">
        <v>0</v>
      </c>
      <c r="W82" s="65">
        <v>0</v>
      </c>
      <c r="X82" s="65">
        <v>204.201024402646</v>
      </c>
      <c r="Y82" s="65">
        <v>0</v>
      </c>
      <c r="Z82" s="65">
        <v>1005.1019447323088</v>
      </c>
      <c r="AA82" s="65">
        <v>854.6408780502934</v>
      </c>
      <c r="AB82" s="65">
        <v>2151.9446280673947</v>
      </c>
      <c r="AC82" s="65">
        <v>1253.9483946781802</v>
      </c>
      <c r="AD82" s="65">
        <v>1100.1416341512013</v>
      </c>
      <c r="AE82" s="65">
        <v>947.46685987348246</v>
      </c>
      <c r="AF82" s="65">
        <v>931.4415721951118</v>
      </c>
      <c r="AG82" s="43">
        <f>+SUM(I82:AF82)*H82</f>
        <v>147050.41064760569</v>
      </c>
    </row>
    <row r="83" spans="2:33" ht="15" thickBot="1" x14ac:dyDescent="0.3">
      <c r="B83">
        <f t="shared" si="26"/>
        <v>3</v>
      </c>
      <c r="C83">
        <f t="shared" si="27"/>
        <v>2029</v>
      </c>
      <c r="D83" t="str">
        <f>+_xlfn.CONCAT(E83,G83)</f>
        <v>47178TOTAL</v>
      </c>
      <c r="E83" s="68">
        <v>47178</v>
      </c>
      <c r="F83" s="61"/>
      <c r="G83" s="44" t="s">
        <v>10</v>
      </c>
      <c r="H83" s="44">
        <v>31</v>
      </c>
      <c r="I83" s="45">
        <f t="shared" ref="I83:AF83" si="33">+SUMPRODUCT(I79:I82,$H79:$H82)</f>
        <v>340778.30098084587</v>
      </c>
      <c r="J83" s="45">
        <f t="shared" si="33"/>
        <v>329154.33025879692</v>
      </c>
      <c r="K83" s="45">
        <f t="shared" si="33"/>
        <v>320630.78804157668</v>
      </c>
      <c r="L83" s="45">
        <f t="shared" si="33"/>
        <v>329221.24350664089</v>
      </c>
      <c r="M83" s="45">
        <f t="shared" si="33"/>
        <v>313556.3757491819</v>
      </c>
      <c r="N83" s="45">
        <f t="shared" si="33"/>
        <v>315600.33211846091</v>
      </c>
      <c r="O83" s="45">
        <f t="shared" si="33"/>
        <v>326119.35057245265</v>
      </c>
      <c r="P83" s="45">
        <f t="shared" si="33"/>
        <v>399733.92301405931</v>
      </c>
      <c r="Q83" s="45">
        <f t="shared" si="33"/>
        <v>453047.81518125156</v>
      </c>
      <c r="R83" s="45">
        <f t="shared" si="33"/>
        <v>470224.86363625911</v>
      </c>
      <c r="S83" s="45">
        <f t="shared" si="33"/>
        <v>475538.02157488174</v>
      </c>
      <c r="T83" s="45">
        <f t="shared" si="33"/>
        <v>477333.85833680775</v>
      </c>
      <c r="U83" s="45">
        <f t="shared" si="33"/>
        <v>450905.35609598126</v>
      </c>
      <c r="V83" s="45">
        <f t="shared" si="33"/>
        <v>474483.29658918164</v>
      </c>
      <c r="W83" s="45">
        <f t="shared" si="33"/>
        <v>480901.13147380942</v>
      </c>
      <c r="X83" s="45">
        <f t="shared" si="33"/>
        <v>484067.63866569533</v>
      </c>
      <c r="Y83" s="45">
        <f t="shared" si="33"/>
        <v>461028.52869509987</v>
      </c>
      <c r="Z83" s="45">
        <f t="shared" si="33"/>
        <v>432310.2666928909</v>
      </c>
      <c r="AA83" s="45">
        <f t="shared" si="33"/>
        <v>389992.84253517591</v>
      </c>
      <c r="AB83" s="45">
        <f t="shared" si="33"/>
        <v>403308.00480674615</v>
      </c>
      <c r="AC83" s="45">
        <f t="shared" si="33"/>
        <v>363790.71453703864</v>
      </c>
      <c r="AD83" s="45">
        <f t="shared" si="33"/>
        <v>350786.30774493713</v>
      </c>
      <c r="AE83" s="45">
        <f t="shared" si="33"/>
        <v>323443.88633950596</v>
      </c>
      <c r="AF83" s="45">
        <f t="shared" si="33"/>
        <v>322512.99168642604</v>
      </c>
      <c r="AG83" s="46">
        <f>SUM(I83:AF83)</f>
        <v>9488470.1688337047</v>
      </c>
    </row>
    <row r="84" spans="2:33" ht="14.4" x14ac:dyDescent="0.25">
      <c r="B84">
        <f t="shared" si="26"/>
        <v>4</v>
      </c>
      <c r="C84">
        <f t="shared" si="27"/>
        <v>2029</v>
      </c>
      <c r="D84" t="str">
        <f t="shared" ref="D84:D87" si="34">+_xlfn.CONCAT(B84:C84,G84)</f>
        <v>42029OR</v>
      </c>
      <c r="E84" s="67">
        <v>47209</v>
      </c>
      <c r="F84" s="72">
        <f>+AG88</f>
        <v>10956969.151322631</v>
      </c>
      <c r="G84" s="37" t="s">
        <v>57</v>
      </c>
      <c r="H84" s="37">
        <v>21</v>
      </c>
      <c r="I84" s="65">
        <v>14356.159348246123</v>
      </c>
      <c r="J84" s="65">
        <v>13930.122402057934</v>
      </c>
      <c r="K84" s="65">
        <v>13518.231423635614</v>
      </c>
      <c r="L84" s="65">
        <v>13825.541903438332</v>
      </c>
      <c r="M84" s="65">
        <v>13278.515096062669</v>
      </c>
      <c r="N84" s="65">
        <v>13790.314193531052</v>
      </c>
      <c r="O84" s="65">
        <v>15328.216441560209</v>
      </c>
      <c r="P84" s="65">
        <v>18723.408547020874</v>
      </c>
      <c r="Q84" s="65">
        <v>21122.306921074858</v>
      </c>
      <c r="R84" s="65">
        <v>21972.572037856371</v>
      </c>
      <c r="S84" s="65">
        <v>22537.059332291716</v>
      </c>
      <c r="T84" s="65">
        <v>22870.941834705303</v>
      </c>
      <c r="U84" s="65">
        <v>21803.526817151385</v>
      </c>
      <c r="V84" s="65">
        <v>22964.829750019529</v>
      </c>
      <c r="W84" s="65">
        <v>23473.035863333131</v>
      </c>
      <c r="X84" s="65">
        <v>23615.337765839413</v>
      </c>
      <c r="Y84" s="65">
        <v>22604.440832000579</v>
      </c>
      <c r="Z84" s="65">
        <v>20779.809807166705</v>
      </c>
      <c r="AA84" s="65">
        <v>18748.027736118183</v>
      </c>
      <c r="AB84" s="65">
        <v>18768.491699683764</v>
      </c>
      <c r="AC84" s="65">
        <v>16961.382614692156</v>
      </c>
      <c r="AD84" s="65">
        <v>16373.079146931239</v>
      </c>
      <c r="AE84" s="65">
        <v>15108.026171489677</v>
      </c>
      <c r="AF84" s="65">
        <v>15180.178626835574</v>
      </c>
      <c r="AG84" s="38">
        <f>+SUM(I84:AF84)*H84</f>
        <v>9274304.682567589</v>
      </c>
    </row>
    <row r="85" spans="2:33" ht="14.4" x14ac:dyDescent="0.25">
      <c r="B85">
        <f t="shared" si="26"/>
        <v>4</v>
      </c>
      <c r="C85">
        <f t="shared" si="27"/>
        <v>2029</v>
      </c>
      <c r="D85" t="str">
        <f t="shared" si="34"/>
        <v>42029SA</v>
      </c>
      <c r="E85" s="68">
        <v>47209</v>
      </c>
      <c r="F85" s="73"/>
      <c r="G85" s="39" t="s">
        <v>60</v>
      </c>
      <c r="H85" s="39">
        <v>4</v>
      </c>
      <c r="I85" s="65">
        <v>12197.053310408468</v>
      </c>
      <c r="J85" s="65">
        <v>11531.678198579939</v>
      </c>
      <c r="K85" s="65">
        <v>11702.95751998762</v>
      </c>
      <c r="L85" s="65">
        <v>12216.794629542537</v>
      </c>
      <c r="M85" s="65">
        <v>11860.45144466501</v>
      </c>
      <c r="N85" s="65">
        <v>12171.317221333728</v>
      </c>
      <c r="O85" s="65">
        <v>12235.993679173771</v>
      </c>
      <c r="P85" s="65">
        <v>14810.88561135764</v>
      </c>
      <c r="Q85" s="65">
        <v>16449.704143183579</v>
      </c>
      <c r="R85" s="65">
        <v>16971.936662309337</v>
      </c>
      <c r="S85" s="65">
        <v>16909.590088177523</v>
      </c>
      <c r="T85" s="65">
        <v>17110.842151241268</v>
      </c>
      <c r="U85" s="65">
        <v>16315.009712839059</v>
      </c>
      <c r="V85" s="65">
        <v>16658.556895718673</v>
      </c>
      <c r="W85" s="65">
        <v>16068.594516808709</v>
      </c>
      <c r="X85" s="65">
        <v>15577.546615805968</v>
      </c>
      <c r="Y85" s="65">
        <v>14814.035470980994</v>
      </c>
      <c r="Z85" s="65">
        <v>14465.674935291448</v>
      </c>
      <c r="AA85" s="65">
        <v>13644.184168341595</v>
      </c>
      <c r="AB85" s="65">
        <v>14338.611370406434</v>
      </c>
      <c r="AC85" s="65">
        <v>13690.832429783834</v>
      </c>
      <c r="AD85" s="65">
        <v>12890.439187975591</v>
      </c>
      <c r="AE85" s="65">
        <v>11868.509651073226</v>
      </c>
      <c r="AF85" s="65">
        <v>11220.643037054831</v>
      </c>
      <c r="AG85" s="40">
        <f>+SUM(I85:AF85)*H85</f>
        <v>1350887.3706081631</v>
      </c>
    </row>
    <row r="86" spans="2:33" ht="14.4" x14ac:dyDescent="0.25">
      <c r="B86">
        <f t="shared" si="26"/>
        <v>4</v>
      </c>
      <c r="C86">
        <f t="shared" si="27"/>
        <v>2029</v>
      </c>
      <c r="D86" t="str">
        <f t="shared" si="34"/>
        <v>42029DO</v>
      </c>
      <c r="E86" s="68">
        <v>47209</v>
      </c>
      <c r="F86" s="73"/>
      <c r="G86" s="41" t="s">
        <v>58</v>
      </c>
      <c r="H86" s="41">
        <v>4</v>
      </c>
      <c r="I86" s="65">
        <v>4033.6366511982123</v>
      </c>
      <c r="J86" s="65">
        <v>4024.6165294682905</v>
      </c>
      <c r="K86" s="65">
        <v>3715.230466313571</v>
      </c>
      <c r="L86" s="65">
        <v>3678.2948521359522</v>
      </c>
      <c r="M86" s="65">
        <v>3533.3503856809348</v>
      </c>
      <c r="N86" s="65">
        <v>3864.1441356541818</v>
      </c>
      <c r="O86" s="65">
        <v>2825.4121598297224</v>
      </c>
      <c r="P86" s="65">
        <v>2864.3813130262497</v>
      </c>
      <c r="Q86" s="65">
        <v>2991.6580314921266</v>
      </c>
      <c r="R86" s="65">
        <v>3160.5696576098489</v>
      </c>
      <c r="S86" s="65">
        <v>2623.2893694132035</v>
      </c>
      <c r="T86" s="65">
        <v>2458.9474793890913</v>
      </c>
      <c r="U86" s="65">
        <v>1878.9376478554877</v>
      </c>
      <c r="V86" s="65">
        <v>1671.8421159688514</v>
      </c>
      <c r="W86" s="65">
        <v>1600.180348762271</v>
      </c>
      <c r="X86" s="65">
        <v>2329.3597404993816</v>
      </c>
      <c r="Y86" s="65">
        <v>2572.3855544947946</v>
      </c>
      <c r="Z86" s="65">
        <v>2927.389200087724</v>
      </c>
      <c r="AA86" s="65">
        <v>2300.6983879492509</v>
      </c>
      <c r="AB86" s="65">
        <v>3197.175339279529</v>
      </c>
      <c r="AC86" s="65">
        <v>3002.0637207366381</v>
      </c>
      <c r="AD86" s="65">
        <v>3082.578353033261</v>
      </c>
      <c r="AE86" s="65">
        <v>3157.0633201542169</v>
      </c>
      <c r="AF86" s="65">
        <v>3196.8688893864819</v>
      </c>
      <c r="AG86" s="40">
        <f>+SUM(I86:AF86)*H86</f>
        <v>282760.29459767719</v>
      </c>
    </row>
    <row r="87" spans="2:33" ht="14.4" x14ac:dyDescent="0.25">
      <c r="B87">
        <f t="shared" si="26"/>
        <v>4</v>
      </c>
      <c r="C87">
        <f t="shared" si="27"/>
        <v>2029</v>
      </c>
      <c r="D87" t="str">
        <f t="shared" si="34"/>
        <v>42029FE</v>
      </c>
      <c r="E87" s="68">
        <v>47209</v>
      </c>
      <c r="F87" s="73"/>
      <c r="G87" s="42" t="s">
        <v>59</v>
      </c>
      <c r="H87" s="42">
        <v>1</v>
      </c>
      <c r="I87" s="65">
        <v>6741.6539277787615</v>
      </c>
      <c r="J87" s="65">
        <v>6572.7656023027193</v>
      </c>
      <c r="K87" s="65">
        <v>6265.905469509702</v>
      </c>
      <c r="L87" s="65">
        <v>6203.0327671880586</v>
      </c>
      <c r="M87" s="65">
        <v>5528.5778303892512</v>
      </c>
      <c r="N87" s="65">
        <v>3466.971500500309</v>
      </c>
      <c r="O87" s="65">
        <v>543.08423432445488</v>
      </c>
      <c r="P87" s="65">
        <v>617.55800521206766</v>
      </c>
      <c r="Q87" s="65">
        <v>1311.5466874235572</v>
      </c>
      <c r="R87" s="65">
        <v>1574.1082488937245</v>
      </c>
      <c r="S87" s="65">
        <v>1269.7361004395607</v>
      </c>
      <c r="T87" s="65">
        <v>472.97623908910464</v>
      </c>
      <c r="U87" s="65">
        <v>0</v>
      </c>
      <c r="V87" s="65">
        <v>0</v>
      </c>
      <c r="W87" s="65">
        <v>0</v>
      </c>
      <c r="X87" s="65">
        <v>204.201024402646</v>
      </c>
      <c r="Y87" s="65">
        <v>0</v>
      </c>
      <c r="Z87" s="65">
        <v>1005.1019447323088</v>
      </c>
      <c r="AA87" s="65">
        <v>854.6408780502934</v>
      </c>
      <c r="AB87" s="65">
        <v>2151.9446280673947</v>
      </c>
      <c r="AC87" s="65">
        <v>1253.9483946781802</v>
      </c>
      <c r="AD87" s="65">
        <v>1100.1416341512013</v>
      </c>
      <c r="AE87" s="65">
        <v>947.46685987348246</v>
      </c>
      <c r="AF87" s="65">
        <v>931.4415721951118</v>
      </c>
      <c r="AG87" s="43">
        <f>+SUM(I87:AF87)*H87</f>
        <v>49016.803549201883</v>
      </c>
    </row>
    <row r="88" spans="2:33" ht="15" thickBot="1" x14ac:dyDescent="0.3">
      <c r="B88">
        <f t="shared" si="26"/>
        <v>4</v>
      </c>
      <c r="C88">
        <f t="shared" si="27"/>
        <v>2029</v>
      </c>
      <c r="D88" t="str">
        <f>+_xlfn.CONCAT(E88,G88)</f>
        <v>47209TOTAL</v>
      </c>
      <c r="E88" s="68">
        <v>47209</v>
      </c>
      <c r="F88" s="61"/>
      <c r="G88" s="44" t="s">
        <v>10</v>
      </c>
      <c r="H88" s="44">
        <v>30</v>
      </c>
      <c r="I88" s="45">
        <f t="shared" ref="I88:AF88" si="35">+SUMPRODUCT(I84:I87,$H84:$H87)</f>
        <v>373143.76008737407</v>
      </c>
      <c r="J88" s="45">
        <f t="shared" si="35"/>
        <v>361330.51495771221</v>
      </c>
      <c r="K88" s="45">
        <f t="shared" si="35"/>
        <v>351821.51731106237</v>
      </c>
      <c r="L88" s="45">
        <f t="shared" si="35"/>
        <v>360119.77066610695</v>
      </c>
      <c r="M88" s="45">
        <f t="shared" si="35"/>
        <v>345952.60216908914</v>
      </c>
      <c r="N88" s="45">
        <f t="shared" si="35"/>
        <v>357205.41499260406</v>
      </c>
      <c r="O88" s="45">
        <f t="shared" si="35"/>
        <v>382681.25286310283</v>
      </c>
      <c r="P88" s="45">
        <f t="shared" si="35"/>
        <v>464510.20519018598</v>
      </c>
      <c r="Q88" s="45">
        <f t="shared" si="35"/>
        <v>522645.44072869839</v>
      </c>
      <c r="R88" s="45">
        <f t="shared" si="35"/>
        <v>543528.14632355433</v>
      </c>
      <c r="S88" s="45">
        <f t="shared" si="35"/>
        <v>552679.49990892841</v>
      </c>
      <c r="T88" s="45">
        <f t="shared" si="35"/>
        <v>559041.91329042194</v>
      </c>
      <c r="U88" s="45">
        <f t="shared" si="35"/>
        <v>530649.85260295728</v>
      </c>
      <c r="V88" s="45">
        <f t="shared" si="35"/>
        <v>555583.02079716022</v>
      </c>
      <c r="W88" s="45">
        <f t="shared" si="35"/>
        <v>563608.85259227967</v>
      </c>
      <c r="X88" s="45">
        <f t="shared" si="35"/>
        <v>567753.91953225166</v>
      </c>
      <c r="Y88" s="45">
        <f t="shared" si="35"/>
        <v>544238.9415739153</v>
      </c>
      <c r="Z88" s="45">
        <f t="shared" si="35"/>
        <v>506953.36443674978</v>
      </c>
      <c r="AA88" s="45">
        <f t="shared" si="35"/>
        <v>458342.75356169551</v>
      </c>
      <c r="AB88" s="45">
        <f t="shared" si="35"/>
        <v>466433.41716017021</v>
      </c>
      <c r="AC88" s="45">
        <f t="shared" si="35"/>
        <v>424214.56790529535</v>
      </c>
      <c r="AD88" s="45">
        <f t="shared" si="35"/>
        <v>408826.87388374261</v>
      </c>
      <c r="AE88" s="45">
        <f t="shared" si="35"/>
        <v>378318.30834606651</v>
      </c>
      <c r="AF88" s="45">
        <f t="shared" si="35"/>
        <v>377385.24044150737</v>
      </c>
      <c r="AG88" s="46">
        <f>SUM(I88:AF88)</f>
        <v>10956969.151322631</v>
      </c>
    </row>
    <row r="89" spans="2:33" ht="14.4" x14ac:dyDescent="0.25">
      <c r="B89">
        <f t="shared" si="26"/>
        <v>5</v>
      </c>
      <c r="C89">
        <f t="shared" si="27"/>
        <v>2029</v>
      </c>
      <c r="D89" t="str">
        <f t="shared" ref="D89:D92" si="36">+_xlfn.CONCAT(B89:C89,G89)</f>
        <v>52029OR</v>
      </c>
      <c r="E89" s="67">
        <v>47239</v>
      </c>
      <c r="F89" s="72">
        <f>+AG93</f>
        <v>10379973.568099456</v>
      </c>
      <c r="G89" s="37" t="s">
        <v>57</v>
      </c>
      <c r="H89" s="37">
        <v>21</v>
      </c>
      <c r="I89" s="65">
        <v>13694.708599327303</v>
      </c>
      <c r="J89" s="65">
        <v>13268.390515830082</v>
      </c>
      <c r="K89" s="65">
        <v>12853.245359383985</v>
      </c>
      <c r="L89" s="65">
        <v>13162.854602236484</v>
      </c>
      <c r="M89" s="65">
        <v>12584.548368652489</v>
      </c>
      <c r="N89" s="65">
        <v>13022.657838368797</v>
      </c>
      <c r="O89" s="65">
        <v>14428.259667957222</v>
      </c>
      <c r="P89" s="65">
        <v>17767.806370446557</v>
      </c>
      <c r="Q89" s="65">
        <v>20118.311322021014</v>
      </c>
      <c r="R89" s="65">
        <v>20950.286172059416</v>
      </c>
      <c r="S89" s="65">
        <v>21456.970120794904</v>
      </c>
      <c r="T89" s="65">
        <v>21763.735531249709</v>
      </c>
      <c r="U89" s="65">
        <v>20708.72780926164</v>
      </c>
      <c r="V89" s="65">
        <v>21890.003187827355</v>
      </c>
      <c r="W89" s="65">
        <v>22400.684841729333</v>
      </c>
      <c r="X89" s="65">
        <v>22540.61728189496</v>
      </c>
      <c r="Y89" s="65">
        <v>21527.199809322501</v>
      </c>
      <c r="Z89" s="65">
        <v>19725.168444850209</v>
      </c>
      <c r="AA89" s="65">
        <v>17750.689310307724</v>
      </c>
      <c r="AB89" s="65">
        <v>17841.608051555064</v>
      </c>
      <c r="AC89" s="65">
        <v>16079.435762812134</v>
      </c>
      <c r="AD89" s="65">
        <v>15564.096199864713</v>
      </c>
      <c r="AE89" s="65">
        <v>14369.003353725919</v>
      </c>
      <c r="AF89" s="65">
        <v>14460.174483523213</v>
      </c>
      <c r="AG89" s="38">
        <f>+SUM(I89:AF89)*H89</f>
        <v>8818512.8431050591</v>
      </c>
    </row>
    <row r="90" spans="2:33" ht="14.4" x14ac:dyDescent="0.25">
      <c r="B90">
        <f t="shared" si="26"/>
        <v>5</v>
      </c>
      <c r="C90">
        <f t="shared" si="27"/>
        <v>2029</v>
      </c>
      <c r="D90" t="str">
        <f t="shared" si="36"/>
        <v>52029SA</v>
      </c>
      <c r="E90" s="68">
        <v>47239</v>
      </c>
      <c r="F90" s="73"/>
      <c r="G90" s="39" t="s">
        <v>60</v>
      </c>
      <c r="H90" s="39">
        <v>4</v>
      </c>
      <c r="I90" s="65">
        <v>11373.587606882767</v>
      </c>
      <c r="J90" s="65">
        <v>10725.416185365124</v>
      </c>
      <c r="K90" s="65">
        <v>10923.725765026949</v>
      </c>
      <c r="L90" s="65">
        <v>11456.621586607413</v>
      </c>
      <c r="M90" s="65">
        <v>11074.129015775554</v>
      </c>
      <c r="N90" s="65">
        <v>11323.012516164046</v>
      </c>
      <c r="O90" s="65">
        <v>11300.615472784426</v>
      </c>
      <c r="P90" s="65">
        <v>13835.833767391745</v>
      </c>
      <c r="Q90" s="65">
        <v>15422.835863918597</v>
      </c>
      <c r="R90" s="65">
        <v>15934.394913263492</v>
      </c>
      <c r="S90" s="65">
        <v>15806.256301535235</v>
      </c>
      <c r="T90" s="65">
        <v>16012.591903545013</v>
      </c>
      <c r="U90" s="65">
        <v>15261.955121345844</v>
      </c>
      <c r="V90" s="65">
        <v>15666.006585415682</v>
      </c>
      <c r="W90" s="65">
        <v>15068.436976307843</v>
      </c>
      <c r="X90" s="65">
        <v>14563.673508198019</v>
      </c>
      <c r="Y90" s="65">
        <v>13795.675234695951</v>
      </c>
      <c r="Z90" s="65">
        <v>13458.340225975084</v>
      </c>
      <c r="AA90" s="65">
        <v>12657.911806996213</v>
      </c>
      <c r="AB90" s="65">
        <v>13446.933075511275</v>
      </c>
      <c r="AC90" s="65">
        <v>12852.430237965553</v>
      </c>
      <c r="AD90" s="65">
        <v>12118.207956490009</v>
      </c>
      <c r="AE90" s="65">
        <v>11156.09054903672</v>
      </c>
      <c r="AF90" s="65">
        <v>10538.463200239874</v>
      </c>
      <c r="AG90" s="40">
        <f>+SUM(I90:AF90)*H90</f>
        <v>1263092.5815057538</v>
      </c>
    </row>
    <row r="91" spans="2:33" ht="14.4" x14ac:dyDescent="0.25">
      <c r="B91">
        <f t="shared" si="26"/>
        <v>5</v>
      </c>
      <c r="C91">
        <f t="shared" si="27"/>
        <v>2029</v>
      </c>
      <c r="D91" t="str">
        <f t="shared" si="36"/>
        <v>52029DO</v>
      </c>
      <c r="E91" s="68">
        <v>47239</v>
      </c>
      <c r="F91" s="73"/>
      <c r="G91" s="41" t="s">
        <v>58</v>
      </c>
      <c r="H91" s="41">
        <v>4</v>
      </c>
      <c r="I91" s="65">
        <v>3296.2736801550127</v>
      </c>
      <c r="J91" s="65">
        <v>3298.8670374129761</v>
      </c>
      <c r="K91" s="65">
        <v>2973.6144359560349</v>
      </c>
      <c r="L91" s="65">
        <v>2951.3158853289278</v>
      </c>
      <c r="M91" s="65">
        <v>2805.4587284741829</v>
      </c>
      <c r="N91" s="65">
        <v>3170.1305834247632</v>
      </c>
      <c r="O91" s="65">
        <v>2106.5266797660261</v>
      </c>
      <c r="P91" s="65">
        <v>2077.6448044217177</v>
      </c>
      <c r="Q91" s="65">
        <v>2158.3341150375782</v>
      </c>
      <c r="R91" s="65">
        <v>2305.0290456738549</v>
      </c>
      <c r="S91" s="65">
        <v>1728.4706874437143</v>
      </c>
      <c r="T91" s="65">
        <v>1553.6132452258971</v>
      </c>
      <c r="U91" s="65">
        <v>970.91510794663191</v>
      </c>
      <c r="V91" s="65">
        <v>745.72921317180953</v>
      </c>
      <c r="W91" s="65">
        <v>691.45436120881277</v>
      </c>
      <c r="X91" s="65">
        <v>1416.1436284624033</v>
      </c>
      <c r="Y91" s="65">
        <v>1659.5005418017754</v>
      </c>
      <c r="Z91" s="65">
        <v>2057.5516810845766</v>
      </c>
      <c r="AA91" s="65">
        <v>1395.5526031486843</v>
      </c>
      <c r="AB91" s="65">
        <v>2359.0382511851385</v>
      </c>
      <c r="AC91" s="65">
        <v>2212.3089722208679</v>
      </c>
      <c r="AD91" s="65">
        <v>2360.5910719794811</v>
      </c>
      <c r="AE91" s="65">
        <v>2459.7450411480768</v>
      </c>
      <c r="AF91" s="65">
        <v>2530.077573639619</v>
      </c>
      <c r="AG91" s="40">
        <f>+SUM(I91:AF91)*H91</f>
        <v>205135.5479012742</v>
      </c>
    </row>
    <row r="92" spans="2:33" ht="14.4" x14ac:dyDescent="0.25">
      <c r="B92">
        <f t="shared" si="26"/>
        <v>5</v>
      </c>
      <c r="C92">
        <f t="shared" si="27"/>
        <v>2029</v>
      </c>
      <c r="D92" t="str">
        <f t="shared" si="36"/>
        <v>52029FE</v>
      </c>
      <c r="E92" s="68">
        <v>47239</v>
      </c>
      <c r="F92" s="73"/>
      <c r="G92" s="42" t="s">
        <v>59</v>
      </c>
      <c r="H92" s="42">
        <v>2</v>
      </c>
      <c r="I92" s="65">
        <v>6791.0321165790538</v>
      </c>
      <c r="J92" s="65">
        <v>6605.2522343114197</v>
      </c>
      <c r="K92" s="65">
        <v>6267.8791406483051</v>
      </c>
      <c r="L92" s="65">
        <v>6212.2645798064423</v>
      </c>
      <c r="M92" s="65">
        <v>5490.6489919282703</v>
      </c>
      <c r="N92" s="65">
        <v>3342.7406050413119</v>
      </c>
      <c r="O92" s="65">
        <v>205.14578006139345</v>
      </c>
      <c r="P92" s="65">
        <v>301.76020926249112</v>
      </c>
      <c r="Q92" s="65">
        <v>1000.3026084104749</v>
      </c>
      <c r="R92" s="65">
        <v>1309.1653120458977</v>
      </c>
      <c r="S92" s="65">
        <v>1109.159009871084</v>
      </c>
      <c r="T92" s="65">
        <v>322.50185164411232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761.28706884849817</v>
      </c>
      <c r="AA92" s="65">
        <v>618.62111218307837</v>
      </c>
      <c r="AB92" s="65">
        <v>2114.9734140800465</v>
      </c>
      <c r="AC92" s="65">
        <v>1211.7673713533004</v>
      </c>
      <c r="AD92" s="65">
        <v>1058.8621539201449</v>
      </c>
      <c r="AE92" s="65">
        <v>931.09703595544852</v>
      </c>
      <c r="AF92" s="65">
        <v>961.83719773508346</v>
      </c>
      <c r="AG92" s="43">
        <f>+SUM(I92:AF92)*H92</f>
        <v>93232.595587371688</v>
      </c>
    </row>
    <row r="93" spans="2:33" ht="15" thickBot="1" x14ac:dyDescent="0.3">
      <c r="B93">
        <f t="shared" si="26"/>
        <v>5</v>
      </c>
      <c r="C93">
        <f t="shared" si="27"/>
        <v>2029</v>
      </c>
      <c r="D93" t="str">
        <f>+_xlfn.CONCAT(E93,G93)</f>
        <v>47239TOTAL</v>
      </c>
      <c r="E93" s="68">
        <v>47239</v>
      </c>
      <c r="F93" s="61"/>
      <c r="G93" s="44" t="s">
        <v>10</v>
      </c>
      <c r="H93" s="44">
        <v>31</v>
      </c>
      <c r="I93" s="45">
        <f t="shared" ref="I93:AF93" si="37">+SUMPRODUCT(I89:I92,$H89:$H92)</f>
        <v>359850.38996718265</v>
      </c>
      <c r="J93" s="45">
        <f t="shared" si="37"/>
        <v>347943.83819216699</v>
      </c>
      <c r="K93" s="45">
        <f t="shared" si="37"/>
        <v>338043.27163229219</v>
      </c>
      <c r="L93" s="45">
        <f t="shared" si="37"/>
        <v>346476.22569432441</v>
      </c>
      <c r="M93" s="45">
        <f t="shared" si="37"/>
        <v>330775.16470255778</v>
      </c>
      <c r="N93" s="45">
        <f t="shared" si="37"/>
        <v>338133.86821418256</v>
      </c>
      <c r="O93" s="45">
        <f t="shared" si="37"/>
        <v>357032.31319742627</v>
      </c>
      <c r="P93" s="45">
        <f t="shared" si="37"/>
        <v>437381.36848515645</v>
      </c>
      <c r="Q93" s="45">
        <f t="shared" si="37"/>
        <v>494809.82289508695</v>
      </c>
      <c r="R93" s="45">
        <f t="shared" si="37"/>
        <v>515532.03607308888</v>
      </c>
      <c r="S93" s="45">
        <f t="shared" si="37"/>
        <v>522953.59851235093</v>
      </c>
      <c r="T93" s="45">
        <f t="shared" si="37"/>
        <v>527948.27045461582</v>
      </c>
      <c r="U93" s="45">
        <f t="shared" si="37"/>
        <v>499814.7649116643</v>
      </c>
      <c r="V93" s="45">
        <f t="shared" si="37"/>
        <v>525337.01013872446</v>
      </c>
      <c r="W93" s="45">
        <f t="shared" si="37"/>
        <v>533453.94702638255</v>
      </c>
      <c r="X93" s="45">
        <f t="shared" si="37"/>
        <v>537272.23146643583</v>
      </c>
      <c r="Y93" s="45">
        <f t="shared" si="37"/>
        <v>513891.8991017635</v>
      </c>
      <c r="Z93" s="45">
        <f t="shared" si="37"/>
        <v>477814.67910779006</v>
      </c>
      <c r="AA93" s="45">
        <f t="shared" si="37"/>
        <v>430215.57538140792</v>
      </c>
      <c r="AB93" s="45">
        <f t="shared" si="37"/>
        <v>442127.60121760209</v>
      </c>
      <c r="AC93" s="45">
        <f t="shared" si="37"/>
        <v>400350.64260250714</v>
      </c>
      <c r="AD93" s="45">
        <f t="shared" si="37"/>
        <v>386878.94061887718</v>
      </c>
      <c r="AE93" s="45">
        <f t="shared" si="37"/>
        <v>358074.60686089436</v>
      </c>
      <c r="AF93" s="45">
        <f t="shared" si="37"/>
        <v>357861.50164497562</v>
      </c>
      <c r="AG93" s="46">
        <f>SUM(I93:AF93)</f>
        <v>10379973.568099456</v>
      </c>
    </row>
    <row r="94" spans="2:33" ht="14.4" x14ac:dyDescent="0.25">
      <c r="B94">
        <f t="shared" si="26"/>
        <v>6</v>
      </c>
      <c r="C94">
        <f t="shared" si="27"/>
        <v>2029</v>
      </c>
      <c r="D94" t="str">
        <f t="shared" ref="D94:D97" si="38">+_xlfn.CONCAT(B94:C94,G94)</f>
        <v>62029OR</v>
      </c>
      <c r="E94" s="67">
        <v>47270</v>
      </c>
      <c r="F94" s="72">
        <f>+AG98</f>
        <v>10126742.350631066</v>
      </c>
      <c r="G94" s="37" t="s">
        <v>57</v>
      </c>
      <c r="H94" s="37">
        <v>20</v>
      </c>
      <c r="I94" s="65">
        <v>13577.301871174737</v>
      </c>
      <c r="J94" s="65">
        <v>13151.893051585948</v>
      </c>
      <c r="K94" s="65">
        <v>12737.520992606713</v>
      </c>
      <c r="L94" s="65">
        <v>13048.457812355655</v>
      </c>
      <c r="M94" s="65">
        <v>12467.301761824025</v>
      </c>
      <c r="N94" s="65">
        <v>12897.641331878644</v>
      </c>
      <c r="O94" s="65">
        <v>14284.954743680693</v>
      </c>
      <c r="P94" s="65">
        <v>17611.01476812148</v>
      </c>
      <c r="Q94" s="65">
        <v>19949.121572625081</v>
      </c>
      <c r="R94" s="65">
        <v>20773.211665427643</v>
      </c>
      <c r="S94" s="65">
        <v>21270.669128379963</v>
      </c>
      <c r="T94" s="65">
        <v>21572.227703895263</v>
      </c>
      <c r="U94" s="65">
        <v>20521.057782844808</v>
      </c>
      <c r="V94" s="65">
        <v>21703.273361318927</v>
      </c>
      <c r="W94" s="65">
        <v>22213.16222288716</v>
      </c>
      <c r="X94" s="65">
        <v>22354.036954398376</v>
      </c>
      <c r="Y94" s="65">
        <v>21341.739878707198</v>
      </c>
      <c r="Z94" s="65">
        <v>19545.822115522536</v>
      </c>
      <c r="AA94" s="65">
        <v>17582.423190926314</v>
      </c>
      <c r="AB94" s="65">
        <v>17681.821070764745</v>
      </c>
      <c r="AC94" s="65">
        <v>15928.305252003682</v>
      </c>
      <c r="AD94" s="65">
        <v>15424.077063067269</v>
      </c>
      <c r="AE94" s="65">
        <v>14239.141767055955</v>
      </c>
      <c r="AF94" s="65">
        <v>14333.798539375284</v>
      </c>
      <c r="AG94" s="38">
        <f>+SUM(I94:AF94)*H94</f>
        <v>8324199.512048563</v>
      </c>
    </row>
    <row r="95" spans="2:33" ht="14.4" x14ac:dyDescent="0.25">
      <c r="B95">
        <f t="shared" si="26"/>
        <v>6</v>
      </c>
      <c r="C95">
        <f t="shared" si="27"/>
        <v>2029</v>
      </c>
      <c r="D95" t="str">
        <f t="shared" si="38"/>
        <v>62029SA</v>
      </c>
      <c r="E95" s="68">
        <v>47270</v>
      </c>
      <c r="F95" s="73"/>
      <c r="G95" s="39" t="s">
        <v>60</v>
      </c>
      <c r="H95" s="39">
        <v>5</v>
      </c>
      <c r="I95" s="65">
        <v>11353.450562204667</v>
      </c>
      <c r="J95" s="65">
        <v>10705.715410186553</v>
      </c>
      <c r="K95" s="65">
        <v>10904.584247716928</v>
      </c>
      <c r="L95" s="65">
        <v>11437.872757262237</v>
      </c>
      <c r="M95" s="65">
        <v>11055.004075466164</v>
      </c>
      <c r="N95" s="65">
        <v>11302.989024932074</v>
      </c>
      <c r="O95" s="65">
        <v>11278.832418672198</v>
      </c>
      <c r="P95" s="65">
        <v>13812.681894950903</v>
      </c>
      <c r="Q95" s="65">
        <v>15398.150892725122</v>
      </c>
      <c r="R95" s="65">
        <v>15908.797960872747</v>
      </c>
      <c r="S95" s="65">
        <v>15779.098867734323</v>
      </c>
      <c r="T95" s="65">
        <v>15985.284690266664</v>
      </c>
      <c r="U95" s="65">
        <v>15235.863229864146</v>
      </c>
      <c r="V95" s="65">
        <v>15640.953849933281</v>
      </c>
      <c r="W95" s="65">
        <v>15043.436663979321</v>
      </c>
      <c r="X95" s="65">
        <v>14538.729917098424</v>
      </c>
      <c r="Y95" s="65">
        <v>13770.809083919259</v>
      </c>
      <c r="Z95" s="65">
        <v>13433.907497892349</v>
      </c>
      <c r="AA95" s="65">
        <v>12633.967326960781</v>
      </c>
      <c r="AB95" s="65">
        <v>13424.708600541291</v>
      </c>
      <c r="AC95" s="65">
        <v>12831.663732044941</v>
      </c>
      <c r="AD95" s="65">
        <v>12099.231768727979</v>
      </c>
      <c r="AE95" s="65">
        <v>11138.745469551344</v>
      </c>
      <c r="AF95" s="65">
        <v>10521.736142423804</v>
      </c>
      <c r="AG95" s="40">
        <f>+SUM(I95:AF95)*H95</f>
        <v>1576181.0804296378</v>
      </c>
    </row>
    <row r="96" spans="2:33" ht="14.4" x14ac:dyDescent="0.25">
      <c r="B96">
        <f t="shared" si="26"/>
        <v>6</v>
      </c>
      <c r="C96">
        <f t="shared" si="27"/>
        <v>2029</v>
      </c>
      <c r="D96" t="str">
        <f t="shared" si="38"/>
        <v>62029DO</v>
      </c>
      <c r="E96" s="68">
        <v>47270</v>
      </c>
      <c r="F96" s="73"/>
      <c r="G96" s="41" t="s">
        <v>58</v>
      </c>
      <c r="H96" s="41">
        <v>4</v>
      </c>
      <c r="I96" s="65">
        <v>3029.8186980528517</v>
      </c>
      <c r="J96" s="65">
        <v>3038.0608964943531</v>
      </c>
      <c r="K96" s="65">
        <v>2712.8724131034651</v>
      </c>
      <c r="L96" s="65">
        <v>2694.1840540274607</v>
      </c>
      <c r="M96" s="65">
        <v>2549.206562987034</v>
      </c>
      <c r="N96" s="65">
        <v>2920.9016300691073</v>
      </c>
      <c r="O96" s="65">
        <v>1854.9080702467763</v>
      </c>
      <c r="P96" s="65">
        <v>1808.2554146035727</v>
      </c>
      <c r="Q96" s="65">
        <v>1876.5575192884753</v>
      </c>
      <c r="R96" s="65">
        <v>2013.6237986009728</v>
      </c>
      <c r="S96" s="65">
        <v>1419.5959047622091</v>
      </c>
      <c r="T96" s="65">
        <v>1236.009318178476</v>
      </c>
      <c r="U96" s="65">
        <v>654.41648936431011</v>
      </c>
      <c r="V96" s="65">
        <v>426.60577217108948</v>
      </c>
      <c r="W96" s="65">
        <v>379.40621803515751</v>
      </c>
      <c r="X96" s="65">
        <v>1103.8979495658314</v>
      </c>
      <c r="Y96" s="65">
        <v>1349.4148169451437</v>
      </c>
      <c r="Z96" s="65">
        <v>1754.9720254436179</v>
      </c>
      <c r="AA96" s="65">
        <v>1086.8816938790806</v>
      </c>
      <c r="AB96" s="65">
        <v>2066.1583468337922</v>
      </c>
      <c r="AC96" s="65">
        <v>1937.5531948174466</v>
      </c>
      <c r="AD96" s="65">
        <v>2103.7332815071277</v>
      </c>
      <c r="AE96" s="65">
        <v>2212.2010063253729</v>
      </c>
      <c r="AF96" s="65">
        <v>2289.5738661760915</v>
      </c>
      <c r="AG96" s="40">
        <f>+SUM(I96:AF96)*H96</f>
        <v>178075.23576591528</v>
      </c>
    </row>
    <row r="97" spans="2:33" ht="14.4" x14ac:dyDescent="0.25">
      <c r="B97">
        <f t="shared" si="26"/>
        <v>6</v>
      </c>
      <c r="C97">
        <f t="shared" si="27"/>
        <v>2029</v>
      </c>
      <c r="D97" t="str">
        <f t="shared" si="38"/>
        <v>62029FE</v>
      </c>
      <c r="E97" s="68">
        <v>47270</v>
      </c>
      <c r="F97" s="73"/>
      <c r="G97" s="42" t="s">
        <v>59</v>
      </c>
      <c r="H97" s="42">
        <v>1</v>
      </c>
      <c r="I97" s="65">
        <v>6859.8468213341057</v>
      </c>
      <c r="J97" s="65">
        <v>6673.1538713406371</v>
      </c>
      <c r="K97" s="65">
        <v>6335.779893249819</v>
      </c>
      <c r="L97" s="65">
        <v>6279.1745518694224</v>
      </c>
      <c r="M97" s="65">
        <v>5560.0673142185005</v>
      </c>
      <c r="N97" s="65">
        <v>3422.2074531748694</v>
      </c>
      <c r="O97" s="65">
        <v>295.39785034532542</v>
      </c>
      <c r="P97" s="65">
        <v>397.13417338192085</v>
      </c>
      <c r="Q97" s="65">
        <v>1096.6240960781179</v>
      </c>
      <c r="R97" s="65">
        <v>1407.8400729387868</v>
      </c>
      <c r="S97" s="65">
        <v>1211.7167671635834</v>
      </c>
      <c r="T97" s="65">
        <v>430.91119725706812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865.08031562717224</v>
      </c>
      <c r="AA97" s="65">
        <v>721.81359924775461</v>
      </c>
      <c r="AB97" s="65">
        <v>2210.6407031492708</v>
      </c>
      <c r="AC97" s="65">
        <v>1305.3071775789758</v>
      </c>
      <c r="AD97" s="65">
        <v>1148.1250825457537</v>
      </c>
      <c r="AE97" s="65">
        <v>1018.4938456606469</v>
      </c>
      <c r="AF97" s="65">
        <v>1047.2076007912583</v>
      </c>
      <c r="AG97" s="43">
        <f>+SUM(I97:AF97)*H97</f>
        <v>48286.522386952987</v>
      </c>
    </row>
    <row r="98" spans="2:33" ht="15" thickBot="1" x14ac:dyDescent="0.3">
      <c r="B98">
        <f t="shared" si="26"/>
        <v>6</v>
      </c>
      <c r="C98">
        <f t="shared" si="27"/>
        <v>2029</v>
      </c>
      <c r="D98" t="str">
        <f>+_xlfn.CONCAT(E98,G98)</f>
        <v>47270TOTAL</v>
      </c>
      <c r="E98" s="68">
        <v>47270</v>
      </c>
      <c r="F98" s="61"/>
      <c r="G98" s="44" t="s">
        <v>10</v>
      </c>
      <c r="H98" s="44">
        <v>30</v>
      </c>
      <c r="I98" s="45">
        <f t="shared" ref="I98:AF98" si="39">+SUMPRODUCT(I94:I97,$H94:$H97)</f>
        <v>347292.41184806358</v>
      </c>
      <c r="J98" s="45">
        <f t="shared" si="39"/>
        <v>335391.83553996973</v>
      </c>
      <c r="K98" s="45">
        <f t="shared" si="39"/>
        <v>326460.61063638254</v>
      </c>
      <c r="L98" s="45">
        <f t="shared" si="39"/>
        <v>335214.43080140359</v>
      </c>
      <c r="M98" s="45">
        <f t="shared" si="39"/>
        <v>320377.94917997794</v>
      </c>
      <c r="N98" s="45">
        <f t="shared" si="39"/>
        <v>329573.58573568449</v>
      </c>
      <c r="O98" s="45">
        <f t="shared" si="39"/>
        <v>349808.28709830728</v>
      </c>
      <c r="P98" s="45">
        <f t="shared" si="39"/>
        <v>428913.86066898028</v>
      </c>
      <c r="Q98" s="45">
        <f t="shared" si="39"/>
        <v>484576.04008935922</v>
      </c>
      <c r="R98" s="45">
        <f t="shared" si="39"/>
        <v>504470.55838025926</v>
      </c>
      <c r="S98" s="45">
        <f t="shared" si="39"/>
        <v>511198.97729248332</v>
      </c>
      <c r="T98" s="45">
        <f t="shared" si="39"/>
        <v>516745.92599920952</v>
      </c>
      <c r="U98" s="45">
        <f t="shared" si="39"/>
        <v>489218.13776367414</v>
      </c>
      <c r="V98" s="45">
        <f t="shared" si="39"/>
        <v>513976.65956472931</v>
      </c>
      <c r="W98" s="45">
        <f t="shared" si="39"/>
        <v>520998.05264978047</v>
      </c>
      <c r="X98" s="45">
        <f t="shared" si="39"/>
        <v>524189.98047172296</v>
      </c>
      <c r="Y98" s="45">
        <f t="shared" si="39"/>
        <v>501086.50226152083</v>
      </c>
      <c r="Z98" s="45">
        <f t="shared" si="39"/>
        <v>465970.94821731409</v>
      </c>
      <c r="AA98" s="45">
        <f t="shared" si="39"/>
        <v>419887.64082809433</v>
      </c>
      <c r="AB98" s="45">
        <f t="shared" si="39"/>
        <v>431235.23850848578</v>
      </c>
      <c r="AC98" s="45">
        <f t="shared" si="39"/>
        <v>391779.94365714706</v>
      </c>
      <c r="AD98" s="45">
        <f t="shared" si="39"/>
        <v>378540.75831355952</v>
      </c>
      <c r="AE98" s="45">
        <f t="shared" si="39"/>
        <v>350343.86055983795</v>
      </c>
      <c r="AF98" s="45">
        <f t="shared" si="39"/>
        <v>349490.15456512035</v>
      </c>
      <c r="AG98" s="46">
        <f>SUM(I98:AF98)</f>
        <v>10126742.350631066</v>
      </c>
    </row>
    <row r="99" spans="2:33" ht="14.4" x14ac:dyDescent="0.25">
      <c r="B99">
        <f t="shared" si="26"/>
        <v>7</v>
      </c>
      <c r="C99">
        <f t="shared" si="27"/>
        <v>2029</v>
      </c>
      <c r="D99" t="str">
        <f t="shared" ref="D99:D102" si="40">+_xlfn.CONCAT(B99:C99,G99)</f>
        <v>72029OR</v>
      </c>
      <c r="E99" s="67">
        <v>47300</v>
      </c>
      <c r="F99" s="72">
        <f>+AG103</f>
        <v>10035229.999117006</v>
      </c>
      <c r="G99" s="37" t="s">
        <v>57</v>
      </c>
      <c r="H99" s="37">
        <v>20</v>
      </c>
      <c r="I99" s="65">
        <v>13794.320496877039</v>
      </c>
      <c r="J99" s="65">
        <v>13366.781136226427</v>
      </c>
      <c r="K99" s="65">
        <v>12950.346605448283</v>
      </c>
      <c r="L99" s="65">
        <v>13258.398239174456</v>
      </c>
      <c r="M99" s="65">
        <v>12681.242597901386</v>
      </c>
      <c r="N99" s="65">
        <v>13123.454086162272</v>
      </c>
      <c r="O99" s="65">
        <v>14542.136219015785</v>
      </c>
      <c r="P99" s="65">
        <v>17894.818340758775</v>
      </c>
      <c r="Q99" s="65">
        <v>20257.628344167155</v>
      </c>
      <c r="R99" s="65">
        <v>21098.468128021974</v>
      </c>
      <c r="S99" s="65">
        <v>21612.495437584046</v>
      </c>
      <c r="T99" s="65">
        <v>21923.863086878097</v>
      </c>
      <c r="U99" s="65">
        <v>20864.832221465364</v>
      </c>
      <c r="V99" s="65">
        <v>22046.531533385205</v>
      </c>
      <c r="W99" s="65">
        <v>22558.463691859841</v>
      </c>
      <c r="X99" s="65">
        <v>22696.957506031442</v>
      </c>
      <c r="Y99" s="65">
        <v>21681.854193202857</v>
      </c>
      <c r="Z99" s="65">
        <v>19873.649961848339</v>
      </c>
      <c r="AA99" s="65">
        <v>17889.343693964936</v>
      </c>
      <c r="AB99" s="65">
        <v>17974.95677920388</v>
      </c>
      <c r="AC99" s="65">
        <v>16205.121026625409</v>
      </c>
      <c r="AD99" s="65">
        <v>15681.216938059975</v>
      </c>
      <c r="AE99" s="65">
        <v>14478.566101767987</v>
      </c>
      <c r="AF99" s="65">
        <v>14566.728375602421</v>
      </c>
      <c r="AG99" s="38">
        <f>+SUM(I99:AF99)*H99</f>
        <v>8460443.4948246665</v>
      </c>
    </row>
    <row r="100" spans="2:33" ht="14.4" x14ac:dyDescent="0.25">
      <c r="B100">
        <f t="shared" si="26"/>
        <v>7</v>
      </c>
      <c r="C100">
        <f t="shared" si="27"/>
        <v>2029</v>
      </c>
      <c r="D100" t="str">
        <f t="shared" si="40"/>
        <v>72029SA</v>
      </c>
      <c r="E100" s="68">
        <v>47300</v>
      </c>
      <c r="F100" s="73"/>
      <c r="G100" s="39" t="s">
        <v>60</v>
      </c>
      <c r="H100" s="39">
        <v>4</v>
      </c>
      <c r="I100" s="65">
        <v>11441.603693753787</v>
      </c>
      <c r="J100" s="65">
        <v>10791.896257176424</v>
      </c>
      <c r="K100" s="65">
        <v>10988.724890859932</v>
      </c>
      <c r="L100" s="65">
        <v>11520.588617587066</v>
      </c>
      <c r="M100" s="65">
        <v>11138.310253565658</v>
      </c>
      <c r="N100" s="65">
        <v>11387.753575109025</v>
      </c>
      <c r="O100" s="65">
        <v>11369.816894864511</v>
      </c>
      <c r="P100" s="65">
        <v>13911.257357060433</v>
      </c>
      <c r="Q100" s="65">
        <v>15504.504464201131</v>
      </c>
      <c r="R100" s="65">
        <v>16021.754640065861</v>
      </c>
      <c r="S100" s="65">
        <v>15898.692699570529</v>
      </c>
      <c r="T100" s="65">
        <v>16106.633470705045</v>
      </c>
      <c r="U100" s="65">
        <v>15351.450156093542</v>
      </c>
      <c r="V100" s="65">
        <v>15753.758023888706</v>
      </c>
      <c r="W100" s="65">
        <v>15155.055026426486</v>
      </c>
      <c r="X100" s="65">
        <v>14648.52734345639</v>
      </c>
      <c r="Y100" s="65">
        <v>13879.516851205095</v>
      </c>
      <c r="Z100" s="65">
        <v>13540.060940705833</v>
      </c>
      <c r="AA100" s="65">
        <v>12738.090913030286</v>
      </c>
      <c r="AB100" s="65">
        <v>13523.681655157176</v>
      </c>
      <c r="AC100" s="65">
        <v>12923.632038016316</v>
      </c>
      <c r="AD100" s="65">
        <v>12182.672162765804</v>
      </c>
      <c r="AE100" s="65">
        <v>11214.369801241533</v>
      </c>
      <c r="AF100" s="65">
        <v>10595.142067776778</v>
      </c>
      <c r="AG100" s="40">
        <f>+SUM(I100:AF100)*H100</f>
        <v>1270349.9751771335</v>
      </c>
    </row>
    <row r="101" spans="2:33" ht="14.4" x14ac:dyDescent="0.25">
      <c r="B101">
        <f t="shared" si="26"/>
        <v>7</v>
      </c>
      <c r="C101">
        <f t="shared" si="27"/>
        <v>2029</v>
      </c>
      <c r="D101" t="str">
        <f t="shared" si="40"/>
        <v>72029DO</v>
      </c>
      <c r="E101" s="68">
        <v>47300</v>
      </c>
      <c r="F101" s="73"/>
      <c r="G101" s="41" t="s">
        <v>58</v>
      </c>
      <c r="H101" s="41">
        <v>5</v>
      </c>
      <c r="I101" s="65">
        <v>2839.6864421062819</v>
      </c>
      <c r="J101" s="65">
        <v>2851.6412010263703</v>
      </c>
      <c r="K101" s="65">
        <v>2525.2279199171608</v>
      </c>
      <c r="L101" s="65">
        <v>2509.4836262756544</v>
      </c>
      <c r="M101" s="65">
        <v>2364.8687772363483</v>
      </c>
      <c r="N101" s="65">
        <v>2742.7190879743321</v>
      </c>
      <c r="O101" s="65">
        <v>1673.574396499178</v>
      </c>
      <c r="P101" s="65">
        <v>1612.7623690722321</v>
      </c>
      <c r="Q101" s="65">
        <v>1671.2507221099622</v>
      </c>
      <c r="R101" s="65">
        <v>1801.7970780474316</v>
      </c>
      <c r="S101" s="65">
        <v>1196.0214941876002</v>
      </c>
      <c r="T101" s="65">
        <v>1007.2863472926729</v>
      </c>
      <c r="U101" s="65">
        <v>426.02710742644194</v>
      </c>
      <c r="V101" s="65">
        <v>195.48603283560078</v>
      </c>
      <c r="W101" s="65">
        <v>153.16150843122887</v>
      </c>
      <c r="X101" s="65">
        <v>877.19999470991388</v>
      </c>
      <c r="Y101" s="65">
        <v>1123.8109950138933</v>
      </c>
      <c r="Z101" s="65">
        <v>1536.4883184683713</v>
      </c>
      <c r="AA101" s="65">
        <v>862.5902601345515</v>
      </c>
      <c r="AB101" s="65">
        <v>1854.9807495044624</v>
      </c>
      <c r="AC101" s="65">
        <v>1739.16790981546</v>
      </c>
      <c r="AD101" s="65">
        <v>1919.5636437458052</v>
      </c>
      <c r="AE101" s="65">
        <v>2034.5898053519595</v>
      </c>
      <c r="AF101" s="65">
        <v>2117.8609881646462</v>
      </c>
      <c r="AG101" s="40">
        <f>+SUM(I101:AF101)*H101</f>
        <v>198186.2338767378</v>
      </c>
    </row>
    <row r="102" spans="2:33" ht="14.4" x14ac:dyDescent="0.25">
      <c r="B102">
        <f t="shared" si="26"/>
        <v>7</v>
      </c>
      <c r="C102">
        <f t="shared" si="27"/>
        <v>2029</v>
      </c>
      <c r="D102" t="str">
        <f t="shared" si="40"/>
        <v>72029FE</v>
      </c>
      <c r="E102" s="68">
        <v>47300</v>
      </c>
      <c r="F102" s="73"/>
      <c r="G102" s="42" t="s">
        <v>59</v>
      </c>
      <c r="H102" s="42">
        <v>2</v>
      </c>
      <c r="I102" s="65">
        <v>7052.6996749355221</v>
      </c>
      <c r="J102" s="65">
        <v>6863.0146333562971</v>
      </c>
      <c r="K102" s="65">
        <v>6524.8240376428985</v>
      </c>
      <c r="L102" s="65">
        <v>6465.6546722832863</v>
      </c>
      <c r="M102" s="65">
        <v>5752.2706937733965</v>
      </c>
      <c r="N102" s="65">
        <v>3640.0766483676161</v>
      </c>
      <c r="O102" s="65">
        <v>537.58387228159336</v>
      </c>
      <c r="P102" s="65">
        <v>654.16697635329183</v>
      </c>
      <c r="Q102" s="65">
        <v>1356.4156912745202</v>
      </c>
      <c r="R102" s="65">
        <v>1675.4170694117347</v>
      </c>
      <c r="S102" s="65">
        <v>1492.8862179744428</v>
      </c>
      <c r="T102" s="65">
        <v>728.63722309323202</v>
      </c>
      <c r="U102" s="65">
        <v>0</v>
      </c>
      <c r="V102" s="65">
        <v>0</v>
      </c>
      <c r="W102" s="65">
        <v>0</v>
      </c>
      <c r="X102" s="65">
        <v>248.40997557953597</v>
      </c>
      <c r="Y102" s="65">
        <v>0</v>
      </c>
      <c r="Z102" s="65">
        <v>1147.4675891968</v>
      </c>
      <c r="AA102" s="65">
        <v>1002.7367404104807</v>
      </c>
      <c r="AB102" s="65">
        <v>2475.929666072956</v>
      </c>
      <c r="AC102" s="65">
        <v>1564.5356038650098</v>
      </c>
      <c r="AD102" s="65">
        <v>1395.4735216842091</v>
      </c>
      <c r="AE102" s="65">
        <v>1261.312871733342</v>
      </c>
      <c r="AF102" s="65">
        <v>1285.6342399437999</v>
      </c>
      <c r="AG102" s="43">
        <f>+SUM(I102:AF102)*H102</f>
        <v>106250.29523846792</v>
      </c>
    </row>
    <row r="103" spans="2:33" ht="15" thickBot="1" x14ac:dyDescent="0.3">
      <c r="B103">
        <f t="shared" si="26"/>
        <v>7</v>
      </c>
      <c r="C103">
        <f t="shared" si="27"/>
        <v>2029</v>
      </c>
      <c r="D103" t="str">
        <f>+_xlfn.CONCAT(E103,G103)</f>
        <v>47300TOTAL</v>
      </c>
      <c r="E103" s="68">
        <v>47300</v>
      </c>
      <c r="F103" s="61"/>
      <c r="G103" s="44" t="s">
        <v>10</v>
      </c>
      <c r="H103" s="44">
        <v>31</v>
      </c>
      <c r="I103" s="45">
        <f t="shared" ref="I103:AF103" si="41">+SUMPRODUCT(I99:I102,$H99:$H102)</f>
        <v>349956.65627295838</v>
      </c>
      <c r="J103" s="45">
        <f t="shared" si="41"/>
        <v>338487.44302507868</v>
      </c>
      <c r="K103" s="45">
        <f t="shared" si="41"/>
        <v>328637.61934727698</v>
      </c>
      <c r="L103" s="45">
        <f t="shared" si="41"/>
        <v>336729.04672978225</v>
      </c>
      <c r="M103" s="45">
        <f t="shared" si="41"/>
        <v>321506.97824601887</v>
      </c>
      <c r="N103" s="45">
        <f t="shared" si="41"/>
        <v>329013.84476028848</v>
      </c>
      <c r="O103" s="45">
        <f t="shared" si="41"/>
        <v>345765.03168683278</v>
      </c>
      <c r="P103" s="45">
        <f t="shared" si="41"/>
        <v>422913.54204148497</v>
      </c>
      <c r="Q103" s="45">
        <f t="shared" si="41"/>
        <v>478239.66973324644</v>
      </c>
      <c r="R103" s="45">
        <f t="shared" si="41"/>
        <v>498416.20064976357</v>
      </c>
      <c r="S103" s="45">
        <f t="shared" si="41"/>
        <v>504810.55945684994</v>
      </c>
      <c r="T103" s="45">
        <f t="shared" si="41"/>
        <v>509397.50180303189</v>
      </c>
      <c r="U103" s="45">
        <f t="shared" si="41"/>
        <v>480832.58059081365</v>
      </c>
      <c r="V103" s="45">
        <f t="shared" si="41"/>
        <v>504923.09292743693</v>
      </c>
      <c r="W103" s="45">
        <f t="shared" si="41"/>
        <v>512555.30148505891</v>
      </c>
      <c r="X103" s="45">
        <f t="shared" si="41"/>
        <v>517416.079419163</v>
      </c>
      <c r="Y103" s="45">
        <f t="shared" si="41"/>
        <v>494774.20624394703</v>
      </c>
      <c r="Z103" s="45">
        <f t="shared" si="41"/>
        <v>461610.61977052561</v>
      </c>
      <c r="AA103" s="45">
        <f t="shared" si="41"/>
        <v>415057.66231291363</v>
      </c>
      <c r="AB103" s="45">
        <f t="shared" si="41"/>
        <v>427820.62528437452</v>
      </c>
      <c r="AC103" s="45">
        <f t="shared" si="41"/>
        <v>387621.85944138077</v>
      </c>
      <c r="AD103" s="45">
        <f t="shared" si="41"/>
        <v>374743.79267436021</v>
      </c>
      <c r="AE103" s="45">
        <f t="shared" si="41"/>
        <v>347124.37601055234</v>
      </c>
      <c r="AF103" s="45">
        <f t="shared" si="41"/>
        <v>346875.70920386631</v>
      </c>
      <c r="AG103" s="46">
        <f>SUM(I103:AF103)</f>
        <v>10035229.999117006</v>
      </c>
    </row>
    <row r="104" spans="2:33" ht="14.4" x14ac:dyDescent="0.25">
      <c r="B104">
        <f t="shared" si="26"/>
        <v>8</v>
      </c>
      <c r="C104">
        <f t="shared" si="27"/>
        <v>2029</v>
      </c>
      <c r="D104" t="str">
        <f t="shared" ref="D104:D107" si="42">+_xlfn.CONCAT(B104:C104,G104)</f>
        <v>82029OR</v>
      </c>
      <c r="E104" s="67">
        <v>47331</v>
      </c>
      <c r="F104" s="72">
        <f>+AG108</f>
        <v>10454619.33507775</v>
      </c>
      <c r="G104" s="37" t="s">
        <v>57</v>
      </c>
      <c r="H104" s="37">
        <v>21</v>
      </c>
      <c r="I104" s="65">
        <v>13803.528345389666</v>
      </c>
      <c r="J104" s="65">
        <v>13375.090223021523</v>
      </c>
      <c r="K104" s="65">
        <v>12957.42983256687</v>
      </c>
      <c r="L104" s="65">
        <v>13264.58407367222</v>
      </c>
      <c r="M104" s="65">
        <v>12685.320768000347</v>
      </c>
      <c r="N104" s="65">
        <v>13123.560872277971</v>
      </c>
      <c r="O104" s="65">
        <v>14539.195912409961</v>
      </c>
      <c r="P104" s="65">
        <v>17896.049748388821</v>
      </c>
      <c r="Q104" s="65">
        <v>20263.117498812906</v>
      </c>
      <c r="R104" s="65">
        <v>21108.576981792408</v>
      </c>
      <c r="S104" s="65">
        <v>21622.436284071573</v>
      </c>
      <c r="T104" s="65">
        <v>21934.55182488693</v>
      </c>
      <c r="U104" s="65">
        <v>20873.809044886038</v>
      </c>
      <c r="V104" s="65">
        <v>22057.681797408863</v>
      </c>
      <c r="W104" s="65">
        <v>22570.739122160317</v>
      </c>
      <c r="X104" s="65">
        <v>22707.983318957369</v>
      </c>
      <c r="Y104" s="65">
        <v>21691.439639283304</v>
      </c>
      <c r="Z104" s="65">
        <v>19880.942425428635</v>
      </c>
      <c r="AA104" s="65">
        <v>17894.982991039502</v>
      </c>
      <c r="AB104" s="65">
        <v>17983.404657750158</v>
      </c>
      <c r="AC104" s="65">
        <v>16212.303175367013</v>
      </c>
      <c r="AD104" s="65">
        <v>15689.114666931353</v>
      </c>
      <c r="AE104" s="65">
        <v>14487.617108022245</v>
      </c>
      <c r="AF104" s="65">
        <v>14575.411248259887</v>
      </c>
      <c r="AG104" s="38">
        <f>+SUM(I104:AF104)*H104</f>
        <v>8887176.3027765043</v>
      </c>
    </row>
    <row r="105" spans="2:33" ht="14.4" x14ac:dyDescent="0.25">
      <c r="B105">
        <f t="shared" si="26"/>
        <v>8</v>
      </c>
      <c r="C105">
        <f t="shared" si="27"/>
        <v>2029</v>
      </c>
      <c r="D105" t="str">
        <f t="shared" si="42"/>
        <v>82029SA</v>
      </c>
      <c r="E105" s="68">
        <v>47331</v>
      </c>
      <c r="F105" s="73"/>
      <c r="G105" s="39" t="s">
        <v>60</v>
      </c>
      <c r="H105" s="39">
        <v>4</v>
      </c>
      <c r="I105" s="65">
        <v>11483.133598255474</v>
      </c>
      <c r="J105" s="65">
        <v>10832.416323956408</v>
      </c>
      <c r="K105" s="65">
        <v>11028.810938580118</v>
      </c>
      <c r="L105" s="65">
        <v>11560.383604241903</v>
      </c>
      <c r="M105" s="65">
        <v>11177.018880612079</v>
      </c>
      <c r="N105" s="65">
        <v>11423.951571615242</v>
      </c>
      <c r="O105" s="65">
        <v>11407.029481617461</v>
      </c>
      <c r="P105" s="65">
        <v>13954.111586542353</v>
      </c>
      <c r="Q105" s="65">
        <v>15552.401148755031</v>
      </c>
      <c r="R105" s="65">
        <v>16076.134970263367</v>
      </c>
      <c r="S105" s="65">
        <v>15955.949101614438</v>
      </c>
      <c r="T105" s="65">
        <v>16166.136789956265</v>
      </c>
      <c r="U105" s="65">
        <v>15407.668513720339</v>
      </c>
      <c r="V105" s="65">
        <v>15810.947306296737</v>
      </c>
      <c r="W105" s="65">
        <v>15210.450188149825</v>
      </c>
      <c r="X105" s="65">
        <v>14701.0329599574</v>
      </c>
      <c r="Y105" s="65">
        <v>13930.539349623403</v>
      </c>
      <c r="Z105" s="65">
        <v>13589.031357876753</v>
      </c>
      <c r="AA105" s="65">
        <v>12786.243956895618</v>
      </c>
      <c r="AB105" s="65">
        <v>13572.48174494975</v>
      </c>
      <c r="AC105" s="65">
        <v>12968.328220721014</v>
      </c>
      <c r="AD105" s="65">
        <v>12222.458684730431</v>
      </c>
      <c r="AE105" s="65">
        <v>11249.601249804115</v>
      </c>
      <c r="AF105" s="65">
        <v>10629.957663031941</v>
      </c>
      <c r="AG105" s="40">
        <f>+SUM(I105:AF105)*H105</f>
        <v>1274784.8767670703</v>
      </c>
    </row>
    <row r="106" spans="2:33" ht="14.4" x14ac:dyDescent="0.25">
      <c r="B106">
        <f t="shared" si="26"/>
        <v>8</v>
      </c>
      <c r="C106">
        <f t="shared" si="27"/>
        <v>2029</v>
      </c>
      <c r="D106" t="str">
        <f t="shared" si="42"/>
        <v>82029DO</v>
      </c>
      <c r="E106" s="68">
        <v>47331</v>
      </c>
      <c r="F106" s="73"/>
      <c r="G106" s="41" t="s">
        <v>58</v>
      </c>
      <c r="H106" s="41">
        <v>4</v>
      </c>
      <c r="I106" s="65">
        <v>3264.6724716996687</v>
      </c>
      <c r="J106" s="65">
        <v>3266.9934406241118</v>
      </c>
      <c r="K106" s="65">
        <v>2937.9862482414792</v>
      </c>
      <c r="L106" s="65">
        <v>2917.2054443086054</v>
      </c>
      <c r="M106" s="65">
        <v>2770.6677682426525</v>
      </c>
      <c r="N106" s="65">
        <v>3139.5592787158275</v>
      </c>
      <c r="O106" s="65">
        <v>2071.3903587562272</v>
      </c>
      <c r="P106" s="65">
        <v>2036.0220197792041</v>
      </c>
      <c r="Q106" s="65">
        <v>2112.3560416265718</v>
      </c>
      <c r="R106" s="65">
        <v>2258.9475360441756</v>
      </c>
      <c r="S106" s="65">
        <v>1682.4431111576669</v>
      </c>
      <c r="T106" s="65">
        <v>1509.749043970387</v>
      </c>
      <c r="U106" s="65">
        <v>925.83435688833197</v>
      </c>
      <c r="V106" s="65">
        <v>697.79838578844283</v>
      </c>
      <c r="W106" s="65">
        <v>643.84850313799689</v>
      </c>
      <c r="X106" s="65">
        <v>1367.5896249126235</v>
      </c>
      <c r="Y106" s="65">
        <v>1609.8787227291177</v>
      </c>
      <c r="Z106" s="65">
        <v>2014.0436063545967</v>
      </c>
      <c r="AA106" s="65">
        <v>1346.9952790299103</v>
      </c>
      <c r="AB106" s="65">
        <v>2317.8197744741046</v>
      </c>
      <c r="AC106" s="65">
        <v>2172.8243077709994</v>
      </c>
      <c r="AD106" s="65">
        <v>2327.5058171166675</v>
      </c>
      <c r="AE106" s="65">
        <v>2427.5052644913994</v>
      </c>
      <c r="AF106" s="65">
        <v>2501.2625576163446</v>
      </c>
      <c r="AG106" s="40">
        <f>+SUM(I106:AF106)*H106</f>
        <v>201283.59585390845</v>
      </c>
    </row>
    <row r="107" spans="2:33" ht="14.4" x14ac:dyDescent="0.25">
      <c r="B107">
        <f t="shared" si="26"/>
        <v>8</v>
      </c>
      <c r="C107">
        <f t="shared" si="27"/>
        <v>2029</v>
      </c>
      <c r="D107" t="str">
        <f t="shared" si="42"/>
        <v>82029FE</v>
      </c>
      <c r="E107" s="68">
        <v>47331</v>
      </c>
      <c r="F107" s="73"/>
      <c r="G107" s="42" t="s">
        <v>59</v>
      </c>
      <c r="H107" s="42">
        <v>2</v>
      </c>
      <c r="I107" s="65">
        <v>6765.2082862985917</v>
      </c>
      <c r="J107" s="65">
        <v>6578.3255128228247</v>
      </c>
      <c r="K107" s="65">
        <v>6238.2362207898404</v>
      </c>
      <c r="L107" s="65">
        <v>6183.7029581188617</v>
      </c>
      <c r="M107" s="65">
        <v>5456.7870870756087</v>
      </c>
      <c r="N107" s="65">
        <v>3296.782364240009</v>
      </c>
      <c r="O107" s="65">
        <v>135.42469649477425</v>
      </c>
      <c r="P107" s="65">
        <v>231.76104016933095</v>
      </c>
      <c r="Q107" s="65">
        <v>930.29275413609503</v>
      </c>
      <c r="R107" s="65">
        <v>1242.2442348798941</v>
      </c>
      <c r="S107" s="65">
        <v>1049.8244659927768</v>
      </c>
      <c r="T107" s="65">
        <v>261.49703047887306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693.99925062341936</v>
      </c>
      <c r="AA107" s="65">
        <v>552.29112098370751</v>
      </c>
      <c r="AB107" s="65">
        <v>2069.6695250416087</v>
      </c>
      <c r="AC107" s="65">
        <v>1166.9339347028872</v>
      </c>
      <c r="AD107" s="65">
        <v>1015.9871743282383</v>
      </c>
      <c r="AE107" s="65">
        <v>891.25928435900641</v>
      </c>
      <c r="AF107" s="65">
        <v>927.05289859741606</v>
      </c>
      <c r="AG107" s="43">
        <f>+SUM(I107:AF107)*H107</f>
        <v>91374.559680267543</v>
      </c>
    </row>
    <row r="108" spans="2:33" ht="15" thickBot="1" x14ac:dyDescent="0.3">
      <c r="B108">
        <f t="shared" si="26"/>
        <v>8</v>
      </c>
      <c r="C108">
        <f t="shared" si="27"/>
        <v>2029</v>
      </c>
      <c r="D108" t="str">
        <f>+_xlfn.CONCAT(E108,G108)</f>
        <v>47331TOTAL</v>
      </c>
      <c r="E108" s="68">
        <v>47331</v>
      </c>
      <c r="F108" s="61"/>
      <c r="G108" s="44" t="s">
        <v>10</v>
      </c>
      <c r="H108" s="44">
        <v>31</v>
      </c>
      <c r="I108" s="45">
        <f t="shared" ref="I108:AF108" si="43">+SUMPRODUCT(I104:I107,$H104:$H107)</f>
        <v>362395.73610560072</v>
      </c>
      <c r="J108" s="45">
        <f t="shared" si="43"/>
        <v>350431.18476741971</v>
      </c>
      <c r="K108" s="45">
        <f t="shared" si="43"/>
        <v>340449.68767277035</v>
      </c>
      <c r="L108" s="45">
        <f t="shared" si="43"/>
        <v>348834.02765755641</v>
      </c>
      <c r="M108" s="45">
        <f t="shared" si="43"/>
        <v>333096.05689757742</v>
      </c>
      <c r="N108" s="45">
        <f t="shared" si="43"/>
        <v>340442.38644764165</v>
      </c>
      <c r="O108" s="45">
        <f t="shared" si="43"/>
        <v>359507.64291509346</v>
      </c>
      <c r="P108" s="45">
        <f t="shared" si="43"/>
        <v>440241.10122179013</v>
      </c>
      <c r="Q108" s="45">
        <f t="shared" si="43"/>
        <v>498045.08174486959</v>
      </c>
      <c r="R108" s="45">
        <f t="shared" si="43"/>
        <v>519104.9351126306</v>
      </c>
      <c r="S108" s="45">
        <f t="shared" si="43"/>
        <v>526724.37974857702</v>
      </c>
      <c r="T108" s="45">
        <f t="shared" si="43"/>
        <v>531852.12571928999</v>
      </c>
      <c r="U108" s="45">
        <f t="shared" si="43"/>
        <v>503684.00142504153</v>
      </c>
      <c r="V108" s="45">
        <f t="shared" si="43"/>
        <v>529246.30051392689</v>
      </c>
      <c r="W108" s="45">
        <f t="shared" si="43"/>
        <v>537402.7163305179</v>
      </c>
      <c r="X108" s="45">
        <f t="shared" si="43"/>
        <v>541142.14003758482</v>
      </c>
      <c r="Y108" s="45">
        <f t="shared" si="43"/>
        <v>517681.90471435949</v>
      </c>
      <c r="Z108" s="45">
        <f t="shared" si="43"/>
        <v>481300.08929217356</v>
      </c>
      <c r="AA108" s="45">
        <f t="shared" si="43"/>
        <v>433432.18199749908</v>
      </c>
      <c r="AB108" s="45">
        <f t="shared" si="43"/>
        <v>445352.04294053197</v>
      </c>
      <c r="AC108" s="45">
        <f t="shared" si="43"/>
        <v>403356.84466608113</v>
      </c>
      <c r="AD108" s="45">
        <f t="shared" si="43"/>
        <v>389703.24036160333</v>
      </c>
      <c r="AE108" s="45">
        <f t="shared" si="43"/>
        <v>360730.90389436716</v>
      </c>
      <c r="AF108" s="45">
        <f t="shared" si="43"/>
        <v>360462.62289324554</v>
      </c>
      <c r="AG108" s="46">
        <f>SUM(I108:AF108)</f>
        <v>10454619.33507775</v>
      </c>
    </row>
    <row r="109" spans="2:33" ht="14.4" x14ac:dyDescent="0.25">
      <c r="B109">
        <f t="shared" si="26"/>
        <v>9</v>
      </c>
      <c r="C109">
        <f t="shared" si="27"/>
        <v>2029</v>
      </c>
      <c r="D109" t="str">
        <f t="shared" ref="D109:D112" si="44">+_xlfn.CONCAT(B109:C109,G109)</f>
        <v>92029OR</v>
      </c>
      <c r="E109" s="67">
        <v>47362</v>
      </c>
      <c r="F109" s="72">
        <f>+AG113</f>
        <v>10406006.522238141</v>
      </c>
      <c r="G109" s="37" t="s">
        <v>57</v>
      </c>
      <c r="H109" s="37">
        <v>20</v>
      </c>
      <c r="I109" s="65">
        <v>13827.725506501854</v>
      </c>
      <c r="J109" s="65">
        <v>13399.094948099952</v>
      </c>
      <c r="K109" s="65">
        <v>12981.26812786667</v>
      </c>
      <c r="L109" s="65">
        <v>13288.143928082727</v>
      </c>
      <c r="M109" s="65">
        <v>12709.453762886171</v>
      </c>
      <c r="N109" s="65">
        <v>13149.267320305638</v>
      </c>
      <c r="O109" s="65">
        <v>14568.644252541499</v>
      </c>
      <c r="P109" s="65">
        <v>17928.296616601114</v>
      </c>
      <c r="Q109" s="65">
        <v>20297.939596186723</v>
      </c>
      <c r="R109" s="65">
        <v>21145.048473052746</v>
      </c>
      <c r="S109" s="65">
        <v>21660.803894978017</v>
      </c>
      <c r="T109" s="65">
        <v>21973.994616196273</v>
      </c>
      <c r="U109" s="65">
        <v>20912.452284145034</v>
      </c>
      <c r="V109" s="65">
        <v>22096.144950784059</v>
      </c>
      <c r="W109" s="65">
        <v>22609.372141686323</v>
      </c>
      <c r="X109" s="65">
        <v>22746.414974494142</v>
      </c>
      <c r="Y109" s="65">
        <v>21729.632147152111</v>
      </c>
      <c r="Z109" s="65">
        <v>19917.863893951831</v>
      </c>
      <c r="AA109" s="65">
        <v>17929.616086761474</v>
      </c>
      <c r="AB109" s="65">
        <v>18016.311385143312</v>
      </c>
      <c r="AC109" s="65">
        <v>16243.422257176664</v>
      </c>
      <c r="AD109" s="65">
        <v>15717.953394812586</v>
      </c>
      <c r="AE109" s="65">
        <v>14514.374272292687</v>
      </c>
      <c r="AF109" s="65">
        <v>14601.449455292892</v>
      </c>
      <c r="AG109" s="38">
        <f>+SUM(I109:AF109)*H109</f>
        <v>8479293.7657398507</v>
      </c>
    </row>
    <row r="110" spans="2:33" ht="14.4" x14ac:dyDescent="0.25">
      <c r="B110">
        <f t="shared" si="26"/>
        <v>9</v>
      </c>
      <c r="C110">
        <f t="shared" si="27"/>
        <v>2029</v>
      </c>
      <c r="D110" t="str">
        <f t="shared" si="44"/>
        <v>92029SA</v>
      </c>
      <c r="E110" s="68">
        <v>47362</v>
      </c>
      <c r="F110" s="73"/>
      <c r="G110" s="39" t="s">
        <v>60</v>
      </c>
      <c r="H110" s="39">
        <v>5</v>
      </c>
      <c r="I110" s="65">
        <v>11771.191735653319</v>
      </c>
      <c r="J110" s="65">
        <v>11114.211736259062</v>
      </c>
      <c r="K110" s="65">
        <v>11302.749590159801</v>
      </c>
      <c r="L110" s="65">
        <v>11828.808288363911</v>
      </c>
      <c r="M110" s="65">
        <v>11450.452715508382</v>
      </c>
      <c r="N110" s="65">
        <v>11709.36944686668</v>
      </c>
      <c r="O110" s="65">
        <v>11717.09672278013</v>
      </c>
      <c r="P110" s="65">
        <v>14284.321328160422</v>
      </c>
      <c r="Q110" s="65">
        <v>15904.916476696579</v>
      </c>
      <c r="R110" s="65">
        <v>16442.613351001793</v>
      </c>
      <c r="S110" s="65">
        <v>16344.681795215414</v>
      </c>
      <c r="T110" s="65">
        <v>16557.398277492684</v>
      </c>
      <c r="U110" s="65">
        <v>15781.389813254544</v>
      </c>
      <c r="V110" s="65">
        <v>16170.424175457654</v>
      </c>
      <c r="W110" s="65">
        <v>15568.841156521079</v>
      </c>
      <c r="X110" s="65">
        <v>15058.060010172549</v>
      </c>
      <c r="Y110" s="65">
        <v>14286.194891019739</v>
      </c>
      <c r="Z110" s="65">
        <v>13938.256025117502</v>
      </c>
      <c r="AA110" s="65">
        <v>13128.522069818038</v>
      </c>
      <c r="AB110" s="65">
        <v>13890.99124111576</v>
      </c>
      <c r="AC110" s="65">
        <v>13265.763011878789</v>
      </c>
      <c r="AD110" s="65">
        <v>12494.040574990606</v>
      </c>
      <c r="AE110" s="65">
        <v>11497.612947396448</v>
      </c>
      <c r="AF110" s="65">
        <v>10869.299762211553</v>
      </c>
      <c r="AG110" s="40">
        <f>+SUM(I110:AF110)*H110</f>
        <v>1631886.0357155623</v>
      </c>
    </row>
    <row r="111" spans="2:33" ht="14.4" x14ac:dyDescent="0.25">
      <c r="B111">
        <f t="shared" si="26"/>
        <v>9</v>
      </c>
      <c r="C111">
        <f t="shared" si="27"/>
        <v>2029</v>
      </c>
      <c r="D111" t="str">
        <f t="shared" si="44"/>
        <v>92029DO</v>
      </c>
      <c r="E111" s="68">
        <v>47362</v>
      </c>
      <c r="F111" s="73"/>
      <c r="G111" s="41" t="s">
        <v>58</v>
      </c>
      <c r="H111" s="41">
        <v>5</v>
      </c>
      <c r="I111" s="65">
        <v>3605.1310066751867</v>
      </c>
      <c r="J111" s="65">
        <v>3600.2370544816877</v>
      </c>
      <c r="K111" s="65">
        <v>3271.1590917295871</v>
      </c>
      <c r="L111" s="65">
        <v>3245.7621932826041</v>
      </c>
      <c r="M111" s="65">
        <v>3098.1028656616036</v>
      </c>
      <c r="N111" s="65">
        <v>3458.0105385701813</v>
      </c>
      <c r="O111" s="65">
        <v>2392.9076586233423</v>
      </c>
      <c r="P111" s="65">
        <v>2380.258630151573</v>
      </c>
      <c r="Q111" s="65">
        <v>2472.4287615657086</v>
      </c>
      <c r="R111" s="65">
        <v>2631.3200298328993</v>
      </c>
      <c r="S111" s="65">
        <v>2077.13071764907</v>
      </c>
      <c r="T111" s="65">
        <v>1915.5806887751896</v>
      </c>
      <c r="U111" s="65">
        <v>1330.2577076558337</v>
      </c>
      <c r="V111" s="65">
        <v>1105.5830886965923</v>
      </c>
      <c r="W111" s="65">
        <v>1042.5943834497921</v>
      </c>
      <c r="X111" s="65">
        <v>1766.5906452148847</v>
      </c>
      <c r="Y111" s="65">
        <v>2006.1238225637244</v>
      </c>
      <c r="Z111" s="65">
        <v>2400.6824593675592</v>
      </c>
      <c r="AA111" s="65">
        <v>1741.4299623343177</v>
      </c>
      <c r="AB111" s="65">
        <v>2692.0615495272759</v>
      </c>
      <c r="AC111" s="65">
        <v>2523.9095059186184</v>
      </c>
      <c r="AD111" s="65">
        <v>2655.7094714079212</v>
      </c>
      <c r="AE111" s="65">
        <v>2743.8091867790354</v>
      </c>
      <c r="AF111" s="65">
        <v>2808.5631366311027</v>
      </c>
      <c r="AG111" s="40">
        <f>+SUM(I111:AF111)*H111</f>
        <v>294826.72078272648</v>
      </c>
    </row>
    <row r="112" spans="2:33" ht="14.4" x14ac:dyDescent="0.25">
      <c r="B112">
        <f t="shared" si="26"/>
        <v>9</v>
      </c>
      <c r="C112">
        <f t="shared" si="27"/>
        <v>2029</v>
      </c>
      <c r="D112" t="str">
        <f t="shared" si="44"/>
        <v>92029FE</v>
      </c>
      <c r="E112" s="68">
        <v>47362</v>
      </c>
      <c r="F112" s="73"/>
      <c r="G112" s="42" t="s">
        <v>59</v>
      </c>
      <c r="H112" s="42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0</v>
      </c>
      <c r="AE112" s="65">
        <v>0</v>
      </c>
      <c r="AF112" s="65">
        <v>0</v>
      </c>
      <c r="AG112" s="43">
        <f>+SUM(I112:AF112)*H112</f>
        <v>0</v>
      </c>
    </row>
    <row r="113" spans="2:33" ht="15" thickBot="1" x14ac:dyDescent="0.3">
      <c r="B113">
        <f t="shared" si="26"/>
        <v>9</v>
      </c>
      <c r="C113">
        <f t="shared" si="27"/>
        <v>2029</v>
      </c>
      <c r="D113" t="str">
        <f>+_xlfn.CONCAT(E113,G113)</f>
        <v>47362TOTAL</v>
      </c>
      <c r="E113" s="68">
        <v>47362</v>
      </c>
      <c r="F113" s="61"/>
      <c r="G113" s="44" t="s">
        <v>10</v>
      </c>
      <c r="H113" s="44">
        <v>30</v>
      </c>
      <c r="I113" s="45">
        <f t="shared" ref="I113:AF113" si="45">+SUMPRODUCT(I109:I112,$H109:$H112)</f>
        <v>353436.12384167966</v>
      </c>
      <c r="J113" s="45">
        <f t="shared" si="45"/>
        <v>341554.14291570277</v>
      </c>
      <c r="K113" s="45">
        <f t="shared" si="45"/>
        <v>332494.90596678032</v>
      </c>
      <c r="L113" s="45">
        <f t="shared" si="45"/>
        <v>341135.73096988711</v>
      </c>
      <c r="M113" s="45">
        <f t="shared" si="45"/>
        <v>326931.85316357331</v>
      </c>
      <c r="N113" s="45">
        <f t="shared" si="45"/>
        <v>338822.24633329711</v>
      </c>
      <c r="O113" s="45">
        <f t="shared" si="45"/>
        <v>361922.90695784736</v>
      </c>
      <c r="P113" s="45">
        <f t="shared" si="45"/>
        <v>441888.83212358225</v>
      </c>
      <c r="Q113" s="45">
        <f t="shared" si="45"/>
        <v>497845.51811504591</v>
      </c>
      <c r="R113" s="45">
        <f t="shared" si="45"/>
        <v>518270.63636522839</v>
      </c>
      <c r="S113" s="45">
        <f t="shared" si="45"/>
        <v>525325.14046388282</v>
      </c>
      <c r="T113" s="45">
        <f t="shared" si="45"/>
        <v>531844.78715526476</v>
      </c>
      <c r="U113" s="45">
        <f t="shared" si="45"/>
        <v>503807.28328745259</v>
      </c>
      <c r="V113" s="45">
        <f t="shared" si="45"/>
        <v>528302.93533645244</v>
      </c>
      <c r="W113" s="45">
        <f t="shared" si="45"/>
        <v>535244.62053358078</v>
      </c>
      <c r="X113" s="45">
        <f t="shared" si="45"/>
        <v>539051.55276682007</v>
      </c>
      <c r="Y113" s="45">
        <f t="shared" si="45"/>
        <v>516054.23651095951</v>
      </c>
      <c r="Z113" s="45">
        <f t="shared" si="45"/>
        <v>480051.97030146187</v>
      </c>
      <c r="AA113" s="45">
        <f t="shared" si="45"/>
        <v>432942.08189599123</v>
      </c>
      <c r="AB113" s="45">
        <f t="shared" si="45"/>
        <v>443241.49165608146</v>
      </c>
      <c r="AC113" s="45">
        <f t="shared" si="45"/>
        <v>403816.80773252033</v>
      </c>
      <c r="AD113" s="45">
        <f t="shared" si="45"/>
        <v>390107.81812824437</v>
      </c>
      <c r="AE113" s="45">
        <f t="shared" si="45"/>
        <v>361494.59611673112</v>
      </c>
      <c r="AF113" s="45">
        <f t="shared" si="45"/>
        <v>360418.30360007111</v>
      </c>
      <c r="AG113" s="46">
        <f>SUM(I113:AF113)</f>
        <v>10406006.522238141</v>
      </c>
    </row>
    <row r="114" spans="2:33" ht="14.4" x14ac:dyDescent="0.25">
      <c r="B114">
        <f t="shared" si="26"/>
        <v>10</v>
      </c>
      <c r="C114">
        <f t="shared" si="27"/>
        <v>2029</v>
      </c>
      <c r="D114" t="str">
        <f t="shared" ref="D114:D117" si="46">+_xlfn.CONCAT(B114:C114,G114)</f>
        <v>102029OR</v>
      </c>
      <c r="E114" s="67">
        <v>47392</v>
      </c>
      <c r="F114" s="72">
        <f>+AG118</f>
        <v>10906120.926819935</v>
      </c>
      <c r="G114" s="37" t="s">
        <v>57</v>
      </c>
      <c r="H114" s="37">
        <v>22</v>
      </c>
      <c r="I114" s="65">
        <v>13860.896651410783</v>
      </c>
      <c r="J114" s="65">
        <v>13432.007282884419</v>
      </c>
      <c r="K114" s="65">
        <v>13013.959342537442</v>
      </c>
      <c r="L114" s="65">
        <v>13320.458224926266</v>
      </c>
      <c r="M114" s="65">
        <v>12742.567831407448</v>
      </c>
      <c r="N114" s="65">
        <v>13184.566036996805</v>
      </c>
      <c r="O114" s="65">
        <v>14609.099664050269</v>
      </c>
      <c r="P114" s="65">
        <v>17972.56964810639</v>
      </c>
      <c r="Q114" s="65">
        <v>20345.723099465133</v>
      </c>
      <c r="R114" s="65">
        <v>21195.068927625587</v>
      </c>
      <c r="S114" s="65">
        <v>21713.429063533593</v>
      </c>
      <c r="T114" s="65">
        <v>22028.091667091896</v>
      </c>
      <c r="U114" s="65">
        <v>20965.461770103891</v>
      </c>
      <c r="V114" s="65">
        <v>22148.893998492978</v>
      </c>
      <c r="W114" s="65">
        <v>22662.347637438274</v>
      </c>
      <c r="X114" s="65">
        <v>22799.12152320414</v>
      </c>
      <c r="Y114" s="65">
        <v>21782.019019393148</v>
      </c>
      <c r="Z114" s="65">
        <v>19968.519283816222</v>
      </c>
      <c r="AA114" s="65">
        <v>17977.139149980849</v>
      </c>
      <c r="AB114" s="65">
        <v>18061.446856432183</v>
      </c>
      <c r="AC114" s="65">
        <v>16286.110642169464</v>
      </c>
      <c r="AD114" s="65">
        <v>15757.506133395464</v>
      </c>
      <c r="AE114" s="65">
        <v>14551.061689578237</v>
      </c>
      <c r="AF114" s="65">
        <v>14637.151848192891</v>
      </c>
      <c r="AG114" s="38">
        <f>+SUM(I114:AF114)*H114</f>
        <v>9350334.7738291435</v>
      </c>
    </row>
    <row r="115" spans="2:33" ht="14.4" x14ac:dyDescent="0.25">
      <c r="B115">
        <f t="shared" si="26"/>
        <v>10</v>
      </c>
      <c r="C115">
        <f t="shared" si="27"/>
        <v>2029</v>
      </c>
      <c r="D115" t="str">
        <f t="shared" si="46"/>
        <v>102029SA</v>
      </c>
      <c r="E115" s="68">
        <v>47392</v>
      </c>
      <c r="F115" s="73"/>
      <c r="G115" s="39" t="s">
        <v>60</v>
      </c>
      <c r="H115" s="39">
        <v>4</v>
      </c>
      <c r="I115" s="65">
        <v>11659.313219784075</v>
      </c>
      <c r="J115" s="65">
        <v>11004.765265830869</v>
      </c>
      <c r="K115" s="65">
        <v>11196.356726793059</v>
      </c>
      <c r="L115" s="65">
        <v>11724.558523770775</v>
      </c>
      <c r="M115" s="65">
        <v>11344.251939581234</v>
      </c>
      <c r="N115" s="65">
        <v>11598.501283305675</v>
      </c>
      <c r="O115" s="65">
        <v>11596.647283379454</v>
      </c>
      <c r="P115" s="65">
        <v>14156.057116550568</v>
      </c>
      <c r="Q115" s="65">
        <v>15767.994597214692</v>
      </c>
      <c r="R115" s="65">
        <v>16300.282010099068</v>
      </c>
      <c r="S115" s="65">
        <v>16193.706118054426</v>
      </c>
      <c r="T115" s="65">
        <v>16405.446184367836</v>
      </c>
      <c r="U115" s="65">
        <v>15636.247824952865</v>
      </c>
      <c r="V115" s="65">
        <v>16030.823783909567</v>
      </c>
      <c r="W115" s="65">
        <v>15429.657523861959</v>
      </c>
      <c r="X115" s="65">
        <v>14919.397897627434</v>
      </c>
      <c r="Y115" s="65">
        <v>14148.061538023288</v>
      </c>
      <c r="Z115" s="65">
        <v>13802.616921029232</v>
      </c>
      <c r="AA115" s="65">
        <v>12995.581490066099</v>
      </c>
      <c r="AB115" s="65">
        <v>13767.294543136268</v>
      </c>
      <c r="AC115" s="65">
        <v>13150.2482418582</v>
      </c>
      <c r="AD115" s="65">
        <v>12388.563173735427</v>
      </c>
      <c r="AE115" s="65">
        <v>11401.286414600396</v>
      </c>
      <c r="AF115" s="65">
        <v>10776.342946096482</v>
      </c>
      <c r="AG115" s="40">
        <f>+SUM(I115:AF115)*H115</f>
        <v>1293576.0102705159</v>
      </c>
    </row>
    <row r="116" spans="2:33" ht="14.4" x14ac:dyDescent="0.25">
      <c r="B116">
        <f t="shared" si="26"/>
        <v>10</v>
      </c>
      <c r="C116">
        <f t="shared" si="27"/>
        <v>2029</v>
      </c>
      <c r="D116" t="str">
        <f t="shared" si="46"/>
        <v>102029DO</v>
      </c>
      <c r="E116" s="68">
        <v>47392</v>
      </c>
      <c r="F116" s="73"/>
      <c r="G116" s="41" t="s">
        <v>58</v>
      </c>
      <c r="H116" s="41">
        <v>4</v>
      </c>
      <c r="I116" s="65">
        <v>3403.9535168841867</v>
      </c>
      <c r="J116" s="65">
        <v>3403.3203428989873</v>
      </c>
      <c r="K116" s="65">
        <v>3074.2740970171108</v>
      </c>
      <c r="L116" s="65">
        <v>3051.6077816780016</v>
      </c>
      <c r="M116" s="65">
        <v>2904.6091324406298</v>
      </c>
      <c r="N116" s="65">
        <v>3269.8344625390509</v>
      </c>
      <c r="O116" s="65">
        <v>2202.9083586057841</v>
      </c>
      <c r="P116" s="65">
        <v>2176.8226961973996</v>
      </c>
      <c r="Q116" s="65">
        <v>2259.6274959134244</v>
      </c>
      <c r="R116" s="65">
        <v>2411.2535966367323</v>
      </c>
      <c r="S116" s="65">
        <v>1843.88395660881</v>
      </c>
      <c r="T116" s="65">
        <v>1675.7574860856985</v>
      </c>
      <c r="U116" s="65">
        <v>1091.2630497594801</v>
      </c>
      <c r="V116" s="65">
        <v>864.59538588854775</v>
      </c>
      <c r="W116" s="65">
        <v>806.9463547978703</v>
      </c>
      <c r="X116" s="65">
        <v>1530.7893710789504</v>
      </c>
      <c r="Y116" s="65">
        <v>1771.9474713345589</v>
      </c>
      <c r="Z116" s="65">
        <v>2172.1964797970177</v>
      </c>
      <c r="AA116" s="65">
        <v>1508.3257967411955</v>
      </c>
      <c r="AB116" s="65">
        <v>2470.9040818341418</v>
      </c>
      <c r="AC116" s="65">
        <v>2316.4341802374474</v>
      </c>
      <c r="AD116" s="65">
        <v>2461.7663693621871</v>
      </c>
      <c r="AE116" s="65">
        <v>2556.8969595630697</v>
      </c>
      <c r="AF116" s="65">
        <v>2626.9779528247127</v>
      </c>
      <c r="AG116" s="40">
        <f>+SUM(I116:AF116)*H116</f>
        <v>215427.58550689998</v>
      </c>
    </row>
    <row r="117" spans="2:33" ht="14.4" x14ac:dyDescent="0.25">
      <c r="B117">
        <f t="shared" si="26"/>
        <v>10</v>
      </c>
      <c r="C117">
        <f t="shared" si="27"/>
        <v>2029</v>
      </c>
      <c r="D117" t="str">
        <f t="shared" si="46"/>
        <v>102029FE</v>
      </c>
      <c r="E117" s="68">
        <v>47392</v>
      </c>
      <c r="F117" s="73"/>
      <c r="G117" s="42" t="s">
        <v>59</v>
      </c>
      <c r="H117" s="42">
        <v>1</v>
      </c>
      <c r="I117" s="65">
        <v>6810.2628863565315</v>
      </c>
      <c r="J117" s="65">
        <v>6622.7906384812741</v>
      </c>
      <c r="K117" s="65">
        <v>6282.7164261857379</v>
      </c>
      <c r="L117" s="65">
        <v>6227.530386578017</v>
      </c>
      <c r="M117" s="65">
        <v>5502.2819175466375</v>
      </c>
      <c r="N117" s="65">
        <v>3348.9041902538829</v>
      </c>
      <c r="O117" s="65">
        <v>194.72150562373645</v>
      </c>
      <c r="P117" s="65">
        <v>294.40179685992189</v>
      </c>
      <c r="Q117" s="65">
        <v>993.55188867453398</v>
      </c>
      <c r="R117" s="65">
        <v>1307.0212175906236</v>
      </c>
      <c r="S117" s="65">
        <v>1117.0916072507316</v>
      </c>
      <c r="T117" s="65">
        <v>332.59231391262801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762.11846803681328</v>
      </c>
      <c r="AA117" s="65">
        <v>620.01278528866533</v>
      </c>
      <c r="AB117" s="65">
        <v>2132.3593438791613</v>
      </c>
      <c r="AC117" s="65">
        <v>1228.2327308761087</v>
      </c>
      <c r="AD117" s="65">
        <v>1074.4837608899288</v>
      </c>
      <c r="AE117" s="65">
        <v>948.5206084099118</v>
      </c>
      <c r="AF117" s="65">
        <v>982.96274068180719</v>
      </c>
      <c r="AG117" s="43">
        <f>+SUM(I117:AF117)*H117</f>
        <v>46782.557213376669</v>
      </c>
    </row>
    <row r="118" spans="2:33" ht="15" thickBot="1" x14ac:dyDescent="0.3">
      <c r="B118">
        <f t="shared" si="26"/>
        <v>10</v>
      </c>
      <c r="C118">
        <f t="shared" si="27"/>
        <v>2029</v>
      </c>
      <c r="D118" t="str">
        <f>+_xlfn.CONCAT(E118,G118)</f>
        <v>47392TOTAL</v>
      </c>
      <c r="E118" s="68">
        <v>47392</v>
      </c>
      <c r="F118" s="61"/>
      <c r="G118" s="44" t="s">
        <v>10</v>
      </c>
      <c r="H118" s="44">
        <v>31</v>
      </c>
      <c r="I118" s="45">
        <f t="shared" ref="I118:AF118" si="47">+SUMPRODUCT(I114:I117,$H114:$H117)</f>
        <v>372003.05616406677</v>
      </c>
      <c r="J118" s="45">
        <f t="shared" si="47"/>
        <v>359759.29329685785</v>
      </c>
      <c r="K118" s="45">
        <f t="shared" si="47"/>
        <v>349672.34525725018</v>
      </c>
      <c r="L118" s="45">
        <f t="shared" si="47"/>
        <v>358382.27655675093</v>
      </c>
      <c r="M118" s="45">
        <f t="shared" si="47"/>
        <v>342834.21849659801</v>
      </c>
      <c r="N118" s="45">
        <f t="shared" si="47"/>
        <v>352882.69998756249</v>
      </c>
      <c r="O118" s="45">
        <f t="shared" si="47"/>
        <v>376793.13668267056</v>
      </c>
      <c r="P118" s="45">
        <f t="shared" si="47"/>
        <v>461022.45330619236</v>
      </c>
      <c r="Q118" s="45">
        <f t="shared" si="47"/>
        <v>520709.94844941999</v>
      </c>
      <c r="R118" s="45">
        <f t="shared" si="47"/>
        <v>542444.68005229672</v>
      </c>
      <c r="S118" s="45">
        <f t="shared" si="47"/>
        <v>550962.89130364265</v>
      </c>
      <c r="T118" s="45">
        <f t="shared" si="47"/>
        <v>557275.42367174849</v>
      </c>
      <c r="U118" s="45">
        <f t="shared" si="47"/>
        <v>528150.20244113496</v>
      </c>
      <c r="V118" s="45">
        <f t="shared" si="47"/>
        <v>554857.34464603802</v>
      </c>
      <c r="W118" s="45">
        <f t="shared" si="47"/>
        <v>563518.06353828136</v>
      </c>
      <c r="X118" s="45">
        <f t="shared" si="47"/>
        <v>567381.42258531658</v>
      </c>
      <c r="Y118" s="45">
        <f t="shared" si="47"/>
        <v>542884.45446408074</v>
      </c>
      <c r="Z118" s="45">
        <f t="shared" si="47"/>
        <v>503968.79631529865</v>
      </c>
      <c r="AA118" s="45">
        <f t="shared" si="47"/>
        <v>454132.70323209651</v>
      </c>
      <c r="AB118" s="45">
        <f t="shared" si="47"/>
        <v>464436.98468526889</v>
      </c>
      <c r="AC118" s="45">
        <f t="shared" si="47"/>
        <v>421389.39654698694</v>
      </c>
      <c r="AD118" s="45">
        <f t="shared" si="47"/>
        <v>407140.93686798058</v>
      </c>
      <c r="AE118" s="45">
        <f t="shared" si="47"/>
        <v>376904.61127578502</v>
      </c>
      <c r="AF118" s="45">
        <f t="shared" si="47"/>
        <v>376613.58699661022</v>
      </c>
      <c r="AG118" s="46">
        <f>SUM(I118:AF118)</f>
        <v>10906120.926819935</v>
      </c>
    </row>
    <row r="119" spans="2:33" ht="14.4" x14ac:dyDescent="0.25">
      <c r="B119">
        <f t="shared" si="26"/>
        <v>11</v>
      </c>
      <c r="C119">
        <f t="shared" si="27"/>
        <v>2029</v>
      </c>
      <c r="D119" t="str">
        <f t="shared" ref="D119:D122" si="48">+_xlfn.CONCAT(B119:C119,G119)</f>
        <v>112029OR</v>
      </c>
      <c r="E119" s="67">
        <v>47423</v>
      </c>
      <c r="F119" s="72">
        <f>+AG123</f>
        <v>10051817.139869066</v>
      </c>
      <c r="G119" s="37" t="s">
        <v>57</v>
      </c>
      <c r="H119" s="37">
        <v>20</v>
      </c>
      <c r="I119" s="65">
        <v>13820.306442075995</v>
      </c>
      <c r="J119" s="65">
        <v>13391.453565862472</v>
      </c>
      <c r="K119" s="65">
        <v>12973.281615135193</v>
      </c>
      <c r="L119" s="65">
        <v>13279.973086731678</v>
      </c>
      <c r="M119" s="65">
        <v>12700.314631254845</v>
      </c>
      <c r="N119" s="65">
        <v>13138.088369335508</v>
      </c>
      <c r="O119" s="65">
        <v>14554.794399166884</v>
      </c>
      <c r="P119" s="65">
        <v>17914.647419564288</v>
      </c>
      <c r="Q119" s="65">
        <v>20284.617795235172</v>
      </c>
      <c r="R119" s="65">
        <v>21132.581340280878</v>
      </c>
      <c r="S119" s="65">
        <v>21647.452260862323</v>
      </c>
      <c r="T119" s="65">
        <v>21960.428758985716</v>
      </c>
      <c r="U119" s="65">
        <v>20898.651883304799</v>
      </c>
      <c r="V119" s="65">
        <v>22083.163771184343</v>
      </c>
      <c r="W119" s="65">
        <v>22596.700279631375</v>
      </c>
      <c r="X119" s="65">
        <v>22733.405127211536</v>
      </c>
      <c r="Y119" s="65">
        <v>21716.235796603589</v>
      </c>
      <c r="Z119" s="65">
        <v>19904.240689724142</v>
      </c>
      <c r="AA119" s="65">
        <v>17916.427909083133</v>
      </c>
      <c r="AB119" s="65">
        <v>18004.833488348384</v>
      </c>
      <c r="AC119" s="65">
        <v>16232.292955519359</v>
      </c>
      <c r="AD119" s="65">
        <v>15708.062828891498</v>
      </c>
      <c r="AE119" s="65">
        <v>14505.78486877328</v>
      </c>
      <c r="AF119" s="65">
        <v>14593.048271696494</v>
      </c>
      <c r="AG119" s="38">
        <f>+SUM(I119:AF119)*H119</f>
        <v>8473815.75108926</v>
      </c>
    </row>
    <row r="120" spans="2:33" ht="14.4" x14ac:dyDescent="0.25">
      <c r="B120">
        <f t="shared" si="26"/>
        <v>11</v>
      </c>
      <c r="C120">
        <f t="shared" si="27"/>
        <v>2029</v>
      </c>
      <c r="D120" t="str">
        <f t="shared" si="48"/>
        <v>112029SA</v>
      </c>
      <c r="E120" s="68">
        <v>47423</v>
      </c>
      <c r="F120" s="73"/>
      <c r="G120" s="39" t="s">
        <v>60</v>
      </c>
      <c r="H120" s="39">
        <v>4</v>
      </c>
      <c r="I120" s="65">
        <v>11601.195013172219</v>
      </c>
      <c r="J120" s="65">
        <v>10947.874666189757</v>
      </c>
      <c r="K120" s="65">
        <v>11141.286216324035</v>
      </c>
      <c r="L120" s="65">
        <v>11670.769925363351</v>
      </c>
      <c r="M120" s="65">
        <v>11288.844631516022</v>
      </c>
      <c r="N120" s="65">
        <v>11539.251051224648</v>
      </c>
      <c r="O120" s="65">
        <v>11531.570109397831</v>
      </c>
      <c r="P120" s="65">
        <v>14087.836480964703</v>
      </c>
      <c r="Q120" s="65">
        <v>15695.887765859839</v>
      </c>
      <c r="R120" s="65">
        <v>16226.861114882853</v>
      </c>
      <c r="S120" s="65">
        <v>16115.683471741206</v>
      </c>
      <c r="T120" s="65">
        <v>16327.546214838625</v>
      </c>
      <c r="U120" s="65">
        <v>15561.632502130822</v>
      </c>
      <c r="V120" s="65">
        <v>15960.099324986433</v>
      </c>
      <c r="W120" s="65">
        <v>15358.601569706469</v>
      </c>
      <c r="X120" s="65">
        <v>14847.711711404059</v>
      </c>
      <c r="Y120" s="65">
        <v>14076.219890847049</v>
      </c>
      <c r="Z120" s="65">
        <v>13731.694532004771</v>
      </c>
      <c r="AA120" s="65">
        <v>12926.122534986895</v>
      </c>
      <c r="AB120" s="65">
        <v>13704.000816569722</v>
      </c>
      <c r="AC120" s="65">
        <v>13090.848265143635</v>
      </c>
      <c r="AD120" s="65">
        <v>12333.981694117232</v>
      </c>
      <c r="AE120" s="65">
        <v>11351.071444621426</v>
      </c>
      <c r="AF120" s="65">
        <v>10728.157571321488</v>
      </c>
      <c r="AG120" s="40">
        <f>+SUM(I120:AF120)*H120</f>
        <v>1287378.9940772601</v>
      </c>
    </row>
    <row r="121" spans="2:33" ht="14.4" x14ac:dyDescent="0.25">
      <c r="B121">
        <f t="shared" si="26"/>
        <v>11</v>
      </c>
      <c r="C121">
        <f t="shared" si="27"/>
        <v>2029</v>
      </c>
      <c r="D121" t="str">
        <f t="shared" si="48"/>
        <v>112029DO</v>
      </c>
      <c r="E121" s="68">
        <v>47423</v>
      </c>
      <c r="F121" s="73"/>
      <c r="G121" s="41" t="s">
        <v>58</v>
      </c>
      <c r="H121" s="41">
        <v>4</v>
      </c>
      <c r="I121" s="65">
        <v>3234.8793399744791</v>
      </c>
      <c r="J121" s="65">
        <v>3237.6188124273431</v>
      </c>
      <c r="K121" s="65">
        <v>2907.7679621820425</v>
      </c>
      <c r="L121" s="65">
        <v>2887.6372356708234</v>
      </c>
      <c r="M121" s="65">
        <v>2741.020423279293</v>
      </c>
      <c r="N121" s="65">
        <v>3111.4631310564309</v>
      </c>
      <c r="O121" s="65">
        <v>2042.0587236547981</v>
      </c>
      <c r="P121" s="65">
        <v>2003.713090598525</v>
      </c>
      <c r="Q121" s="65">
        <v>2078.0093464771962</v>
      </c>
      <c r="R121" s="65">
        <v>2223.7590931398408</v>
      </c>
      <c r="S121" s="65">
        <v>1645.7820997960262</v>
      </c>
      <c r="T121" s="65">
        <v>1472.8353788476888</v>
      </c>
      <c r="U121" s="65">
        <v>888.73950892855646</v>
      </c>
      <c r="V121" s="65">
        <v>659.83589990931432</v>
      </c>
      <c r="W121" s="65">
        <v>606.56085125262689</v>
      </c>
      <c r="X121" s="65">
        <v>1330.0707593558545</v>
      </c>
      <c r="Y121" s="65">
        <v>1572.3019469784849</v>
      </c>
      <c r="Z121" s="65">
        <v>1978.4874182842468</v>
      </c>
      <c r="AA121" s="65">
        <v>1309.7794882782546</v>
      </c>
      <c r="AB121" s="65">
        <v>2283.6057814165142</v>
      </c>
      <c r="AC121" s="65">
        <v>2140.5428198279151</v>
      </c>
      <c r="AD121" s="65">
        <v>2298.1927473349933</v>
      </c>
      <c r="AE121" s="65">
        <v>2399.1749930506267</v>
      </c>
      <c r="AF121" s="65">
        <v>2474.3051712493634</v>
      </c>
      <c r="AG121" s="40">
        <f>+SUM(I121:AF121)*H121</f>
        <v>198112.56809188492</v>
      </c>
    </row>
    <row r="122" spans="2:33" ht="14.4" x14ac:dyDescent="0.25">
      <c r="B122">
        <f t="shared" si="26"/>
        <v>11</v>
      </c>
      <c r="C122">
        <f t="shared" si="27"/>
        <v>2029</v>
      </c>
      <c r="D122" t="str">
        <f t="shared" si="48"/>
        <v>112029FE</v>
      </c>
      <c r="E122" s="68">
        <v>47423</v>
      </c>
      <c r="F122" s="73"/>
      <c r="G122" s="42" t="s">
        <v>59</v>
      </c>
      <c r="H122" s="42">
        <v>2</v>
      </c>
      <c r="I122" s="65">
        <v>6791.312036261821</v>
      </c>
      <c r="J122" s="65">
        <v>6603.7675338517638</v>
      </c>
      <c r="K122" s="65">
        <v>6263.0852425948942</v>
      </c>
      <c r="L122" s="65">
        <v>6208.3309326623767</v>
      </c>
      <c r="M122" s="65">
        <v>5481.4155669894863</v>
      </c>
      <c r="N122" s="65">
        <v>3323.4062292139242</v>
      </c>
      <c r="O122" s="65">
        <v>161.83844031643457</v>
      </c>
      <c r="P122" s="65">
        <v>260.47635975802405</v>
      </c>
      <c r="Q122" s="65">
        <v>959.44274560006306</v>
      </c>
      <c r="R122" s="65">
        <v>1273.1534454500179</v>
      </c>
      <c r="S122" s="65">
        <v>1084.1796850709397</v>
      </c>
      <c r="T122" s="65">
        <v>298.18663080401893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727.18912327269936</v>
      </c>
      <c r="AA122" s="65">
        <v>585.4128884902857</v>
      </c>
      <c r="AB122" s="65">
        <v>2103.9078817042173</v>
      </c>
      <c r="AC122" s="65">
        <v>1200.2937229223753</v>
      </c>
      <c r="AD122" s="65">
        <v>1047.801718520197</v>
      </c>
      <c r="AE122" s="65">
        <v>922.87579443114737</v>
      </c>
      <c r="AF122" s="65">
        <v>958.83732741666972</v>
      </c>
      <c r="AG122" s="43">
        <f>+SUM(I122:AF122)*H122</f>
        <v>92509.826610662683</v>
      </c>
    </row>
    <row r="123" spans="2:33" ht="15" thickBot="1" x14ac:dyDescent="0.3">
      <c r="B123">
        <f t="shared" si="26"/>
        <v>11</v>
      </c>
      <c r="C123">
        <f t="shared" si="27"/>
        <v>2029</v>
      </c>
      <c r="D123" t="str">
        <f>+_xlfn.CONCAT(E123,G123)</f>
        <v>47423TOTAL</v>
      </c>
      <c r="E123" s="68">
        <v>47423</v>
      </c>
      <c r="F123" s="61"/>
      <c r="G123" s="44" t="s">
        <v>10</v>
      </c>
      <c r="H123" s="44">
        <v>30</v>
      </c>
      <c r="I123" s="45">
        <f t="shared" ref="I123:AF123" si="49">+SUMPRODUCT(I119:I122,$H119:$H122)</f>
        <v>349333.05032663024</v>
      </c>
      <c r="J123" s="45">
        <f t="shared" si="49"/>
        <v>337778.58029942139</v>
      </c>
      <c r="K123" s="45">
        <f t="shared" si="49"/>
        <v>328188.01950191794</v>
      </c>
      <c r="L123" s="45">
        <f t="shared" si="49"/>
        <v>336249.75224409503</v>
      </c>
      <c r="M123" s="45">
        <f t="shared" si="49"/>
        <v>321088.58397825714</v>
      </c>
      <c r="N123" s="45">
        <f t="shared" si="49"/>
        <v>328011.43657426233</v>
      </c>
      <c r="O123" s="45">
        <f t="shared" si="49"/>
        <v>345714.08019618108</v>
      </c>
      <c r="P123" s="45">
        <f t="shared" si="49"/>
        <v>423180.0993970547</v>
      </c>
      <c r="Q123" s="45">
        <f t="shared" si="49"/>
        <v>478706.82984525169</v>
      </c>
      <c r="R123" s="45">
        <f t="shared" si="49"/>
        <v>499000.41452860838</v>
      </c>
      <c r="S123" s="45">
        <f t="shared" si="49"/>
        <v>506163.26687353721</v>
      </c>
      <c r="T123" s="45">
        <f t="shared" si="49"/>
        <v>511006.47481606761</v>
      </c>
      <c r="U123" s="45">
        <f t="shared" si="49"/>
        <v>483774.52571033349</v>
      </c>
      <c r="V123" s="45">
        <f t="shared" si="49"/>
        <v>508143.01632326981</v>
      </c>
      <c r="W123" s="45">
        <f t="shared" si="49"/>
        <v>515794.65527646389</v>
      </c>
      <c r="X123" s="45">
        <f t="shared" si="49"/>
        <v>519379.23242727038</v>
      </c>
      <c r="Y123" s="45">
        <f t="shared" si="49"/>
        <v>496918.80328337394</v>
      </c>
      <c r="Z123" s="45">
        <f t="shared" si="49"/>
        <v>462379.91984218429</v>
      </c>
      <c r="AA123" s="45">
        <f t="shared" si="49"/>
        <v>416442.9920517038</v>
      </c>
      <c r="AB123" s="45">
        <f t="shared" si="49"/>
        <v>428254.91192232101</v>
      </c>
      <c r="AC123" s="45">
        <f t="shared" si="49"/>
        <v>387972.01089611812</v>
      </c>
      <c r="AD123" s="45">
        <f t="shared" si="49"/>
        <v>374785.55778067926</v>
      </c>
      <c r="AE123" s="45">
        <f t="shared" si="49"/>
        <v>346962.43471501605</v>
      </c>
      <c r="AF123" s="45">
        <f t="shared" si="49"/>
        <v>346588.49105904659</v>
      </c>
      <c r="AG123" s="46">
        <f>SUM(I123:AF123)</f>
        <v>10051817.139869066</v>
      </c>
    </row>
    <row r="124" spans="2:33" ht="14.4" x14ac:dyDescent="0.25">
      <c r="B124">
        <f t="shared" si="26"/>
        <v>12</v>
      </c>
      <c r="C124">
        <f t="shared" si="27"/>
        <v>2029</v>
      </c>
      <c r="D124" t="str">
        <f t="shared" ref="D124:D127" si="50">+_xlfn.CONCAT(B124:C124,G124)</f>
        <v>122029OR</v>
      </c>
      <c r="E124" s="67">
        <v>47453</v>
      </c>
      <c r="F124" s="72">
        <f>+AG128</f>
        <v>10605982.385636797</v>
      </c>
      <c r="G124" s="37" t="s">
        <v>57</v>
      </c>
      <c r="H124" s="37">
        <v>20</v>
      </c>
      <c r="I124" s="65">
        <v>14331.322643060728</v>
      </c>
      <c r="J124" s="65">
        <v>13898.219073439486</v>
      </c>
      <c r="K124" s="65">
        <v>13476.269451896229</v>
      </c>
      <c r="L124" s="65">
        <v>13776.901616327925</v>
      </c>
      <c r="M124" s="65">
        <v>13208.821337110243</v>
      </c>
      <c r="N124" s="65">
        <v>13678.791216673848</v>
      </c>
      <c r="O124" s="65">
        <v>15173.510737731118</v>
      </c>
      <c r="P124" s="65">
        <v>18593.167941690132</v>
      </c>
      <c r="Q124" s="65">
        <v>21018.265351699905</v>
      </c>
      <c r="R124" s="65">
        <v>21901.964861499724</v>
      </c>
      <c r="S124" s="65">
        <v>22456.6785072803</v>
      </c>
      <c r="T124" s="65">
        <v>22792.438174664177</v>
      </c>
      <c r="U124" s="65">
        <v>21713.45738654978</v>
      </c>
      <c r="V124" s="65">
        <v>22894.673011651437</v>
      </c>
      <c r="W124" s="65">
        <v>23412.036699128934</v>
      </c>
      <c r="X124" s="65">
        <v>23544.223739481109</v>
      </c>
      <c r="Y124" s="65">
        <v>22521.698773511162</v>
      </c>
      <c r="Z124" s="65">
        <v>20682.451665571723</v>
      </c>
      <c r="AA124" s="65">
        <v>18646.134180233021</v>
      </c>
      <c r="AB124" s="65">
        <v>18698.864455163486</v>
      </c>
      <c r="AC124" s="65">
        <v>16888.438520837753</v>
      </c>
      <c r="AD124" s="65">
        <v>16316.407959052385</v>
      </c>
      <c r="AE124" s="65">
        <v>15070.609651808138</v>
      </c>
      <c r="AF124" s="65">
        <v>15142.668126870814</v>
      </c>
      <c r="AG124" s="38">
        <f>+SUM(I124:AF124)*H124</f>
        <v>8796760.3016586713</v>
      </c>
    </row>
    <row r="125" spans="2:33" ht="14.4" x14ac:dyDescent="0.25">
      <c r="B125">
        <f t="shared" si="26"/>
        <v>12</v>
      </c>
      <c r="C125">
        <f t="shared" si="27"/>
        <v>2029</v>
      </c>
      <c r="D125" t="str">
        <f t="shared" si="50"/>
        <v>122029SA</v>
      </c>
      <c r="E125" s="68">
        <v>47453</v>
      </c>
      <c r="F125" s="73"/>
      <c r="G125" s="39" t="s">
        <v>60</v>
      </c>
      <c r="H125" s="39">
        <v>4</v>
      </c>
      <c r="I125" s="65">
        <v>12176.723400283812</v>
      </c>
      <c r="J125" s="65">
        <v>11510.855922055311</v>
      </c>
      <c r="K125" s="65">
        <v>11688.795174214563</v>
      </c>
      <c r="L125" s="65">
        <v>12207.424605246122</v>
      </c>
      <c r="M125" s="65">
        <v>11834.924508012664</v>
      </c>
      <c r="N125" s="65">
        <v>12107.908540157387</v>
      </c>
      <c r="O125" s="65">
        <v>12148.657667977142</v>
      </c>
      <c r="P125" s="65">
        <v>14746.050264607435</v>
      </c>
      <c r="Q125" s="65">
        <v>16399.255907339437</v>
      </c>
      <c r="R125" s="65">
        <v>16959.56770346158</v>
      </c>
      <c r="S125" s="65">
        <v>16892.746145095683</v>
      </c>
      <c r="T125" s="65">
        <v>17110.267981558463</v>
      </c>
      <c r="U125" s="65">
        <v>16309.065984341309</v>
      </c>
      <c r="V125" s="65">
        <v>16680.04782015644</v>
      </c>
      <c r="W125" s="65">
        <v>16075.852701640037</v>
      </c>
      <c r="X125" s="65">
        <v>15561.369881842438</v>
      </c>
      <c r="Y125" s="65">
        <v>14786.723570294638</v>
      </c>
      <c r="Z125" s="65">
        <v>14428.987029156549</v>
      </c>
      <c r="AA125" s="65">
        <v>13609.595442942325</v>
      </c>
      <c r="AB125" s="65">
        <v>14341.297967050778</v>
      </c>
      <c r="AC125" s="65">
        <v>13685.69560323609</v>
      </c>
      <c r="AD125" s="65">
        <v>12876.794912558869</v>
      </c>
      <c r="AE125" s="65">
        <v>11846.419514792615</v>
      </c>
      <c r="AF125" s="65">
        <v>11206.452950918492</v>
      </c>
      <c r="AG125" s="40">
        <f>+SUM(I125:AF125)*H125</f>
        <v>1348765.9247957608</v>
      </c>
    </row>
    <row r="126" spans="2:33" ht="14.4" x14ac:dyDescent="0.25">
      <c r="B126">
        <f t="shared" si="26"/>
        <v>12</v>
      </c>
      <c r="C126">
        <f t="shared" si="27"/>
        <v>2029</v>
      </c>
      <c r="D126" t="str">
        <f t="shared" si="50"/>
        <v>122029DO</v>
      </c>
      <c r="E126" s="68">
        <v>47453</v>
      </c>
      <c r="F126" s="73"/>
      <c r="G126" s="41" t="s">
        <v>58</v>
      </c>
      <c r="H126" s="41">
        <v>5</v>
      </c>
      <c r="I126" s="65">
        <v>3635.1767727446022</v>
      </c>
      <c r="J126" s="65">
        <v>3629.2258178442935</v>
      </c>
      <c r="K126" s="65">
        <v>3298.4636750781101</v>
      </c>
      <c r="L126" s="65">
        <v>3273.1453547891906</v>
      </c>
      <c r="M126" s="65">
        <v>3125.0369998907263</v>
      </c>
      <c r="N126" s="65">
        <v>3485.6623105431922</v>
      </c>
      <c r="O126" s="65">
        <v>2418.9204201979319</v>
      </c>
      <c r="P126" s="65">
        <v>2406.3234191129377</v>
      </c>
      <c r="Q126" s="65">
        <v>2498.6038672975228</v>
      </c>
      <c r="R126" s="65">
        <v>2659.0437752404396</v>
      </c>
      <c r="S126" s="65">
        <v>2107.7718943671753</v>
      </c>
      <c r="T126" s="65">
        <v>1948.6319262277648</v>
      </c>
      <c r="U126" s="65">
        <v>1362.5836170547882</v>
      </c>
      <c r="V126" s="65">
        <v>1137.0733494670385</v>
      </c>
      <c r="W126" s="65">
        <v>1073.057649145554</v>
      </c>
      <c r="X126" s="65">
        <v>1796.6640041439459</v>
      </c>
      <c r="Y126" s="65">
        <v>2035.3634741892893</v>
      </c>
      <c r="Z126" s="65">
        <v>2431.4040412026297</v>
      </c>
      <c r="AA126" s="65">
        <v>1770.9097700693128</v>
      </c>
      <c r="AB126" s="65">
        <v>2722.1971691728941</v>
      </c>
      <c r="AC126" s="65">
        <v>2551.8161421232217</v>
      </c>
      <c r="AD126" s="65">
        <v>2683.504208414146</v>
      </c>
      <c r="AE126" s="65">
        <v>2770.4381943361914</v>
      </c>
      <c r="AF126" s="65">
        <v>2835.5526330824086</v>
      </c>
      <c r="AG126" s="40">
        <f>+SUM(I126:AF126)*H126</f>
        <v>298282.85242867656</v>
      </c>
    </row>
    <row r="127" spans="2:33" ht="14.4" x14ac:dyDescent="0.25">
      <c r="B127">
        <f t="shared" si="26"/>
        <v>12</v>
      </c>
      <c r="C127">
        <f t="shared" si="27"/>
        <v>2029</v>
      </c>
      <c r="D127" t="str">
        <f t="shared" si="50"/>
        <v>122029FE</v>
      </c>
      <c r="E127" s="68">
        <v>47453</v>
      </c>
      <c r="F127" s="73"/>
      <c r="G127" s="42" t="s">
        <v>59</v>
      </c>
      <c r="H127" s="42">
        <v>2</v>
      </c>
      <c r="I127" s="65">
        <v>7966.0282549235671</v>
      </c>
      <c r="J127" s="65">
        <v>7762.985795571145</v>
      </c>
      <c r="K127" s="65">
        <v>7422.4552131746641</v>
      </c>
      <c r="L127" s="65">
        <v>7350.7440051014164</v>
      </c>
      <c r="M127" s="65">
        <v>6666.9156319244212</v>
      </c>
      <c r="N127" s="65">
        <v>4680.953035270164</v>
      </c>
      <c r="O127" s="65">
        <v>1704.7073184248002</v>
      </c>
      <c r="P127" s="65">
        <v>1890.6786802889255</v>
      </c>
      <c r="Q127" s="65">
        <v>2605.7987930287418</v>
      </c>
      <c r="R127" s="65">
        <v>2959.4376590105821</v>
      </c>
      <c r="S127" s="65">
        <v>2836.1941022568062</v>
      </c>
      <c r="T127" s="65">
        <v>2150.0595693223295</v>
      </c>
      <c r="U127" s="65">
        <v>1416.0609615442081</v>
      </c>
      <c r="V127" s="65">
        <v>1235.5560865797524</v>
      </c>
      <c r="W127" s="65">
        <v>793.49311428549481</v>
      </c>
      <c r="X127" s="65">
        <v>1650.5742393093133</v>
      </c>
      <c r="Y127" s="65">
        <v>1205.5687180818677</v>
      </c>
      <c r="Z127" s="65">
        <v>2500.7541254784337</v>
      </c>
      <c r="AA127" s="65">
        <v>2348.6775213551991</v>
      </c>
      <c r="AB127" s="65">
        <v>3737.5943131086242</v>
      </c>
      <c r="AC127" s="65">
        <v>2797.6826365507513</v>
      </c>
      <c r="AD127" s="65">
        <v>2572.1595673899392</v>
      </c>
      <c r="AE127" s="65">
        <v>2415.2341609000814</v>
      </c>
      <c r="AF127" s="65">
        <v>2416.3398739644908</v>
      </c>
      <c r="AG127" s="43">
        <f>+SUM(I127:AF127)*H127</f>
        <v>162173.30675369143</v>
      </c>
    </row>
    <row r="128" spans="2:33" ht="15" thickBot="1" x14ac:dyDescent="0.3">
      <c r="D128" t="str">
        <f>+_xlfn.CONCAT(E128,G128)</f>
        <v>47453TOTAL</v>
      </c>
      <c r="E128" s="68">
        <v>47453</v>
      </c>
      <c r="F128" s="74"/>
      <c r="G128" s="44" t="s">
        <v>10</v>
      </c>
      <c r="H128" s="44">
        <v>31</v>
      </c>
      <c r="I128" s="45">
        <f t="shared" ref="I128:AF128" si="51">+SUMPRODUCT(I124:I127,$H124:$H127)</f>
        <v>369441.28683591995</v>
      </c>
      <c r="J128" s="45">
        <f t="shared" si="51"/>
        <v>357679.90583737474</v>
      </c>
      <c r="K128" s="45">
        <f t="shared" si="51"/>
        <v>347617.79853652272</v>
      </c>
      <c r="L128" s="45">
        <f t="shared" si="51"/>
        <v>355434.94553169177</v>
      </c>
      <c r="M128" s="45">
        <f t="shared" si="51"/>
        <v>340475.14103755797</v>
      </c>
      <c r="N128" s="45">
        <f t="shared" si="51"/>
        <v>348797.67611736275</v>
      </c>
      <c r="O128" s="45">
        <f t="shared" si="51"/>
        <v>367568.86216437019</v>
      </c>
      <c r="P128" s="45">
        <f t="shared" si="51"/>
        <v>446660.53434837487</v>
      </c>
      <c r="Q128" s="45">
        <f t="shared" si="51"/>
        <v>503666.94758590095</v>
      </c>
      <c r="R128" s="45">
        <f t="shared" si="51"/>
        <v>525091.66223806422</v>
      </c>
      <c r="S128" s="45">
        <f t="shared" si="51"/>
        <v>532915.80240233825</v>
      </c>
      <c r="T128" s="45">
        <f t="shared" si="51"/>
        <v>538333.1141893008</v>
      </c>
      <c r="U128" s="45">
        <f t="shared" si="51"/>
        <v>509150.4516767232</v>
      </c>
      <c r="V128" s="45">
        <f t="shared" si="51"/>
        <v>532770.13043414918</v>
      </c>
      <c r="W128" s="45">
        <f t="shared" si="51"/>
        <v>539496.41926343762</v>
      </c>
      <c r="X128" s="45">
        <f t="shared" si="51"/>
        <v>545414.42281633033</v>
      </c>
      <c r="Y128" s="45">
        <f t="shared" si="51"/>
        <v>522168.82455851196</v>
      </c>
      <c r="Z128" s="45">
        <f t="shared" si="51"/>
        <v>488523.50988503068</v>
      </c>
      <c r="AA128" s="45">
        <f t="shared" si="51"/>
        <v>440912.96926948673</v>
      </c>
      <c r="AB128" s="45">
        <f t="shared" si="51"/>
        <v>452428.65544355451</v>
      </c>
      <c r="AC128" s="45">
        <f t="shared" si="51"/>
        <v>410865.99881341704</v>
      </c>
      <c r="AD128" s="45">
        <f t="shared" si="51"/>
        <v>396397.17900813371</v>
      </c>
      <c r="AE128" s="45">
        <f t="shared" si="51"/>
        <v>367480.5303888144</v>
      </c>
      <c r="AF128" s="45">
        <f t="shared" si="51"/>
        <v>366689.6172544313</v>
      </c>
      <c r="AG128" s="46">
        <f>SUM(I128:AF128)</f>
        <v>10605982.385636797</v>
      </c>
    </row>
    <row r="129" spans="2:33" ht="14.4" x14ac:dyDescent="0.25">
      <c r="B129">
        <f>+MONTH(E129)</f>
        <v>1</v>
      </c>
      <c r="C129">
        <f>+YEAR(E129)</f>
        <v>2030</v>
      </c>
      <c r="D129" t="str">
        <f>+_xlfn.CONCAT(B129:C129,G129)</f>
        <v>12030OR</v>
      </c>
      <c r="E129" s="67">
        <v>47484</v>
      </c>
      <c r="F129" s="72">
        <f>+AG133</f>
        <v>11493540.965649379</v>
      </c>
      <c r="G129" s="37" t="s">
        <v>57</v>
      </c>
      <c r="H129" s="37">
        <v>21</v>
      </c>
      <c r="I129" s="65">
        <v>14764.320675450839</v>
      </c>
      <c r="J129" s="65">
        <v>14346.188227490926</v>
      </c>
      <c r="K129" s="65">
        <v>13975.594262951197</v>
      </c>
      <c r="L129" s="65">
        <v>14302.461647447573</v>
      </c>
      <c r="M129" s="65">
        <v>13836.289853040997</v>
      </c>
      <c r="N129" s="65">
        <v>14474.15235033166</v>
      </c>
      <c r="O129" s="65">
        <v>16203.353583105629</v>
      </c>
      <c r="P129" s="65">
        <v>19551.479962730064</v>
      </c>
      <c r="Q129" s="65">
        <v>21899.197941277424</v>
      </c>
      <c r="R129" s="65">
        <v>22666.38479393442</v>
      </c>
      <c r="S129" s="65">
        <v>23295.621245486549</v>
      </c>
      <c r="T129" s="65">
        <v>23633.324777689108</v>
      </c>
      <c r="U129" s="65">
        <v>22599.214403192935</v>
      </c>
      <c r="V129" s="65">
        <v>23683.597006027139</v>
      </c>
      <c r="W129" s="65">
        <v>24167.112022557598</v>
      </c>
      <c r="X129" s="65">
        <v>24352.520215618362</v>
      </c>
      <c r="Y129" s="65">
        <v>23379.688628836237</v>
      </c>
      <c r="Z129" s="65">
        <v>21578.566107703253</v>
      </c>
      <c r="AA129" s="65">
        <v>19524.037045597208</v>
      </c>
      <c r="AB129" s="65">
        <v>19406.705677752423</v>
      </c>
      <c r="AC129" s="65">
        <v>17616.195241188623</v>
      </c>
      <c r="AD129" s="65">
        <v>16945.611323055757</v>
      </c>
      <c r="AE129" s="65">
        <v>15588.898812279005</v>
      </c>
      <c r="AF129" s="65">
        <v>15650.732360055299</v>
      </c>
      <c r="AG129" s="38">
        <f>ROUND(SUM(I129:AF129)*H129,2)</f>
        <v>9606266.2100000009</v>
      </c>
    </row>
    <row r="130" spans="2:33" ht="14.4" x14ac:dyDescent="0.25">
      <c r="B130">
        <f t="shared" ref="B130:B187" si="52">+MONTH(E130)</f>
        <v>1</v>
      </c>
      <c r="C130">
        <f t="shared" ref="C130:C187" si="53">+YEAR(E130)</f>
        <v>2030</v>
      </c>
      <c r="D130" t="str">
        <f t="shared" ref="D130:D132" si="54">+_xlfn.CONCAT(B130:C130,G130)</f>
        <v>12030SA</v>
      </c>
      <c r="E130" s="68">
        <v>47484</v>
      </c>
      <c r="F130" s="73"/>
      <c r="G130" s="39" t="s">
        <v>60</v>
      </c>
      <c r="H130" s="39">
        <v>4</v>
      </c>
      <c r="I130" s="65">
        <v>12489.80900418081</v>
      </c>
      <c r="J130" s="65">
        <v>11800.523031971406</v>
      </c>
      <c r="K130" s="65">
        <v>11951.131361053003</v>
      </c>
      <c r="L130" s="65">
        <v>12441.385032359141</v>
      </c>
      <c r="M130" s="65">
        <v>12155.533734715304</v>
      </c>
      <c r="N130" s="65">
        <v>12577.799943825259</v>
      </c>
      <c r="O130" s="65">
        <v>12742.688742105584</v>
      </c>
      <c r="P130" s="65">
        <v>15264.796651882818</v>
      </c>
      <c r="Q130" s="65">
        <v>16873.498183776162</v>
      </c>
      <c r="R130" s="65">
        <v>17266.356860183005</v>
      </c>
      <c r="S130" s="65">
        <v>17242.065894409941</v>
      </c>
      <c r="T130" s="65">
        <v>17377.60695802893</v>
      </c>
      <c r="U130" s="65">
        <v>16596.0498446245</v>
      </c>
      <c r="V130" s="65">
        <v>16820.066158740337</v>
      </c>
      <c r="W130" s="65">
        <v>16290.505154360031</v>
      </c>
      <c r="X130" s="65">
        <v>15877.061198151416</v>
      </c>
      <c r="Y130" s="65">
        <v>15140.479763898187</v>
      </c>
      <c r="Z130" s="65">
        <v>14840.683583226088</v>
      </c>
      <c r="AA130" s="65">
        <v>14026.767946392178</v>
      </c>
      <c r="AB130" s="65">
        <v>14564.095952797587</v>
      </c>
      <c r="AC130" s="65">
        <v>13934.157039825277</v>
      </c>
      <c r="AD130" s="65">
        <v>13143.129629289126</v>
      </c>
      <c r="AE130" s="65">
        <v>12130.198457801915</v>
      </c>
      <c r="AF130" s="65">
        <v>11445.31390028928</v>
      </c>
      <c r="AG130" s="40">
        <f>ROUND(SUM(I130:AF130)*H130,2)</f>
        <v>1379966.82</v>
      </c>
    </row>
    <row r="131" spans="2:33" ht="14.4" x14ac:dyDescent="0.25">
      <c r="B131">
        <f t="shared" si="52"/>
        <v>1</v>
      </c>
      <c r="C131">
        <f t="shared" si="53"/>
        <v>2030</v>
      </c>
      <c r="D131" t="str">
        <f t="shared" si="54"/>
        <v>12030DO</v>
      </c>
      <c r="E131" s="68">
        <v>47484</v>
      </c>
      <c r="F131" s="73"/>
      <c r="G131" s="41" t="s">
        <v>58</v>
      </c>
      <c r="H131" s="41">
        <v>4</v>
      </c>
      <c r="I131" s="65">
        <v>3916.3528532813289</v>
      </c>
      <c r="J131" s="65">
        <v>3904.0317102031804</v>
      </c>
      <c r="K131" s="65">
        <v>3693.3717042268854</v>
      </c>
      <c r="L131" s="65">
        <v>3638.5546267754162</v>
      </c>
      <c r="M131" s="65">
        <v>3515.945320744162</v>
      </c>
      <c r="N131" s="65">
        <v>3774.9583534892136</v>
      </c>
      <c r="O131" s="65">
        <v>2803.9402432777169</v>
      </c>
      <c r="P131" s="65">
        <v>2906.6063958312006</v>
      </c>
      <c r="Q131" s="65">
        <v>3113.0281395176135</v>
      </c>
      <c r="R131" s="65">
        <v>3263.3577270219503</v>
      </c>
      <c r="S131" s="65">
        <v>2661.2482833721078</v>
      </c>
      <c r="T131" s="65">
        <v>2424.2679786194094</v>
      </c>
      <c r="U131" s="65">
        <v>1870.5008036420768</v>
      </c>
      <c r="V131" s="65">
        <v>1738.9864400637816</v>
      </c>
      <c r="W131" s="65">
        <v>1689.9234264178813</v>
      </c>
      <c r="X131" s="65">
        <v>2447.6751121680099</v>
      </c>
      <c r="Y131" s="65">
        <v>2716.8108481687887</v>
      </c>
      <c r="Z131" s="65">
        <v>2957.7147788922521</v>
      </c>
      <c r="AA131" s="65">
        <v>2431.2210450343809</v>
      </c>
      <c r="AB131" s="65">
        <v>3204.3881973608877</v>
      </c>
      <c r="AC131" s="65">
        <v>3033.855761672814</v>
      </c>
      <c r="AD131" s="65">
        <v>3041.6910403277361</v>
      </c>
      <c r="AE131" s="65">
        <v>3133.8712547290233</v>
      </c>
      <c r="AF131" s="65">
        <v>3125.7546201719197</v>
      </c>
      <c r="AG131" s="40">
        <f>ROUND(SUM(I131:AF131)*H131,2)</f>
        <v>284032.23</v>
      </c>
    </row>
    <row r="132" spans="2:33" ht="14.4" x14ac:dyDescent="0.25">
      <c r="B132">
        <f t="shared" si="52"/>
        <v>1</v>
      </c>
      <c r="C132">
        <f t="shared" si="53"/>
        <v>2030</v>
      </c>
      <c r="D132" t="str">
        <f t="shared" si="54"/>
        <v>12030FE</v>
      </c>
      <c r="E132" s="68">
        <v>47484</v>
      </c>
      <c r="F132" s="73"/>
      <c r="G132" s="42" t="s">
        <v>59</v>
      </c>
      <c r="H132" s="42">
        <v>2</v>
      </c>
      <c r="I132" s="65">
        <v>8595.1619123888486</v>
      </c>
      <c r="J132" s="65">
        <v>8401.5555068885405</v>
      </c>
      <c r="K132" s="65">
        <v>8141.2463560328069</v>
      </c>
      <c r="L132" s="65">
        <v>8041.3419851235758</v>
      </c>
      <c r="M132" s="65">
        <v>7482.948178408582</v>
      </c>
      <c r="N132" s="65">
        <v>5794.2897831082537</v>
      </c>
      <c r="O132" s="65">
        <v>3334.7722888015705</v>
      </c>
      <c r="P132" s="65">
        <v>3526.319718339937</v>
      </c>
      <c r="Q132" s="65">
        <v>4217.1101038648303</v>
      </c>
      <c r="R132" s="65">
        <v>4481.5573424875911</v>
      </c>
      <c r="S132" s="65">
        <v>4190.3874648581659</v>
      </c>
      <c r="T132" s="65">
        <v>3537.024934220608</v>
      </c>
      <c r="U132" s="65">
        <v>2822.7711067186428</v>
      </c>
      <c r="V132" s="65">
        <v>2762.1958584343593</v>
      </c>
      <c r="W132" s="65">
        <v>2540.8729139110656</v>
      </c>
      <c r="X132" s="65">
        <v>3508.6726517831703</v>
      </c>
      <c r="Y132" s="65">
        <v>3236.9344499303188</v>
      </c>
      <c r="Z132" s="65">
        <v>4078.3907016595549</v>
      </c>
      <c r="AA132" s="65">
        <v>3935.5887220193435</v>
      </c>
      <c r="AB132" s="65">
        <v>4812.3791344132296</v>
      </c>
      <c r="AC132" s="65">
        <v>3885.2399232972239</v>
      </c>
      <c r="AD132" s="65">
        <v>3618.4771262502672</v>
      </c>
      <c r="AE132" s="65">
        <v>3409.0765398352814</v>
      </c>
      <c r="AF132" s="65">
        <v>3283.5410057173776</v>
      </c>
      <c r="AG132" s="43">
        <f>ROUND(SUM(I132:AF132)*H132,2)</f>
        <v>223275.71</v>
      </c>
    </row>
    <row r="133" spans="2:33" ht="15" thickBot="1" x14ac:dyDescent="0.3">
      <c r="B133">
        <f t="shared" si="52"/>
        <v>1</v>
      </c>
      <c r="C133">
        <f t="shared" si="53"/>
        <v>2030</v>
      </c>
      <c r="D133" t="str">
        <f>+_xlfn.CONCAT(E133,G133)</f>
        <v>47484TOTAL</v>
      </c>
      <c r="E133" s="68">
        <v>47484</v>
      </c>
      <c r="F133" s="61"/>
      <c r="G133" s="44" t="s">
        <v>10</v>
      </c>
      <c r="H133" s="44">
        <v>31</v>
      </c>
      <c r="I133" s="45">
        <f t="shared" ref="I133:AF133" si="55">+SUMPRODUCT(I129:I132,$H129:$H132)</f>
        <v>392865.70543909393</v>
      </c>
      <c r="J133" s="45">
        <f t="shared" si="55"/>
        <v>380891.2827597849</v>
      </c>
      <c r="K133" s="45">
        <f t="shared" si="55"/>
        <v>372347.98449516034</v>
      </c>
      <c r="L133" s="45">
        <f t="shared" si="55"/>
        <v>380754.13720318442</v>
      </c>
      <c r="M133" s="45">
        <f t="shared" si="55"/>
        <v>368213.89949251589</v>
      </c>
      <c r="N133" s="45">
        <f t="shared" si="55"/>
        <v>380956.81211243925</v>
      </c>
      <c r="O133" s="45">
        <f t="shared" si="55"/>
        <v>409126.48576435458</v>
      </c>
      <c r="P133" s="45">
        <f t="shared" si="55"/>
        <v>490319.33084486728</v>
      </c>
      <c r="Q133" s="45">
        <f t="shared" si="55"/>
        <v>548263.48226773064</v>
      </c>
      <c r="R133" s="45">
        <f t="shared" si="55"/>
        <v>567076.05370641779</v>
      </c>
      <c r="S133" s="45">
        <f t="shared" si="55"/>
        <v>577202.07779606211</v>
      </c>
      <c r="T133" s="45">
        <f t="shared" si="55"/>
        <v>582581.36994650576</v>
      </c>
      <c r="U133" s="45">
        <f t="shared" si="55"/>
        <v>554095.24727355514</v>
      </c>
      <c r="V133" s="45">
        <f t="shared" si="55"/>
        <v>577116.1392386551</v>
      </c>
      <c r="W133" s="45">
        <f t="shared" si="55"/>
        <v>584512.81262464344</v>
      </c>
      <c r="X133" s="45">
        <f t="shared" si="55"/>
        <v>591719.21507282963</v>
      </c>
      <c r="Y133" s="45">
        <f t="shared" si="55"/>
        <v>568876.49255368952</v>
      </c>
      <c r="Z133" s="45">
        <f t="shared" si="55"/>
        <v>532500.26311356074</v>
      </c>
      <c r="AA133" s="45">
        <f t="shared" si="55"/>
        <v>483707.91136728629</v>
      </c>
      <c r="AB133" s="45">
        <f t="shared" si="55"/>
        <v>488239.51410226122</v>
      </c>
      <c r="AC133" s="45">
        <f t="shared" si="55"/>
        <v>445582.63111754792</v>
      </c>
      <c r="AD133" s="45">
        <f t="shared" si="55"/>
        <v>427834.07471513888</v>
      </c>
      <c r="AE133" s="45">
        <f t="shared" si="55"/>
        <v>395241.30698765343</v>
      </c>
      <c r="AF133" s="45">
        <f t="shared" si="55"/>
        <v>393516.73565444088</v>
      </c>
      <c r="AG133" s="46">
        <f>SUM(I133:AF133)</f>
        <v>11493540.965649379</v>
      </c>
    </row>
    <row r="134" spans="2:33" ht="14.4" x14ac:dyDescent="0.25">
      <c r="B134">
        <f t="shared" si="52"/>
        <v>2</v>
      </c>
      <c r="C134">
        <f t="shared" si="53"/>
        <v>2030</v>
      </c>
      <c r="D134" t="str">
        <f t="shared" ref="D134:D137" si="56">+_xlfn.CONCAT(B134:C134,G134)</f>
        <v>22030OR</v>
      </c>
      <c r="E134" s="67">
        <v>47515</v>
      </c>
      <c r="F134" s="72">
        <f>+AG138</f>
        <v>9648628.0275890697</v>
      </c>
      <c r="G134" s="37" t="s">
        <v>57</v>
      </c>
      <c r="H134" s="37">
        <v>20</v>
      </c>
      <c r="I134" s="65">
        <v>13298.87335702436</v>
      </c>
      <c r="J134" s="65">
        <v>12900.972413163901</v>
      </c>
      <c r="K134" s="65">
        <v>12524.134178504868</v>
      </c>
      <c r="L134" s="65">
        <v>12862.523805252255</v>
      </c>
      <c r="M134" s="65">
        <v>12346.032094491784</v>
      </c>
      <c r="N134" s="65">
        <v>12898.291268202362</v>
      </c>
      <c r="O134" s="65">
        <v>14379.535664312163</v>
      </c>
      <c r="P134" s="65">
        <v>17578.205137729041</v>
      </c>
      <c r="Q134" s="65">
        <v>19786.251359450529</v>
      </c>
      <c r="R134" s="65">
        <v>20469.049744194544</v>
      </c>
      <c r="S134" s="65">
        <v>20971.944067224704</v>
      </c>
      <c r="T134" s="65">
        <v>21250.751962387407</v>
      </c>
      <c r="U134" s="65">
        <v>20251.911552937003</v>
      </c>
      <c r="V134" s="65">
        <v>21367.507433388262</v>
      </c>
      <c r="W134" s="65">
        <v>21842.94814818857</v>
      </c>
      <c r="X134" s="65">
        <v>22022.079288521418</v>
      </c>
      <c r="Y134" s="65">
        <v>21053.87724601449</v>
      </c>
      <c r="Z134" s="65">
        <v>19328.020451754383</v>
      </c>
      <c r="AA134" s="65">
        <v>17414.923917596687</v>
      </c>
      <c r="AB134" s="65">
        <v>17428.006066250869</v>
      </c>
      <c r="AC134" s="65">
        <v>15712.998323924799</v>
      </c>
      <c r="AD134" s="65">
        <v>15186.497527100899</v>
      </c>
      <c r="AE134" s="65">
        <v>13965.909308672792</v>
      </c>
      <c r="AF134" s="65">
        <v>14071.735672526987</v>
      </c>
      <c r="AG134" s="38">
        <f>+SUM(I134:AF134)*H134</f>
        <v>8218259.5997763006</v>
      </c>
    </row>
    <row r="135" spans="2:33" ht="14.4" x14ac:dyDescent="0.25">
      <c r="B135">
        <f t="shared" si="52"/>
        <v>2</v>
      </c>
      <c r="C135">
        <f t="shared" si="53"/>
        <v>2030</v>
      </c>
      <c r="D135" t="str">
        <f t="shared" si="56"/>
        <v>22030SA</v>
      </c>
      <c r="E135" s="68">
        <v>47515</v>
      </c>
      <c r="F135" s="73"/>
      <c r="G135" s="39" t="s">
        <v>60</v>
      </c>
      <c r="H135" s="39">
        <v>4</v>
      </c>
      <c r="I135" s="65">
        <v>11203.372391179324</v>
      </c>
      <c r="J135" s="65">
        <v>10562.143450027321</v>
      </c>
      <c r="K135" s="65">
        <v>10743.912644769815</v>
      </c>
      <c r="L135" s="65">
        <v>11264.789771539141</v>
      </c>
      <c r="M135" s="65">
        <v>10934.167600920016</v>
      </c>
      <c r="N135" s="65">
        <v>11304.467063024273</v>
      </c>
      <c r="O135" s="65">
        <v>11344.485410815127</v>
      </c>
      <c r="P135" s="65">
        <v>13784.802458817547</v>
      </c>
      <c r="Q135" s="65">
        <v>15303.245687039696</v>
      </c>
      <c r="R135" s="65">
        <v>15671.017617847418</v>
      </c>
      <c r="S135" s="65">
        <v>15539.805604862602</v>
      </c>
      <c r="T135" s="65">
        <v>15687.579240920146</v>
      </c>
      <c r="U135" s="65">
        <v>14970.231876331069</v>
      </c>
      <c r="V135" s="65">
        <v>15291.00304851391</v>
      </c>
      <c r="W135" s="65">
        <v>14743.721927152452</v>
      </c>
      <c r="X135" s="65">
        <v>14321.406546744423</v>
      </c>
      <c r="Y135" s="65">
        <v>13593.188340152574</v>
      </c>
      <c r="Z135" s="65">
        <v>13293.758402349202</v>
      </c>
      <c r="AA135" s="65">
        <v>12491.852536139977</v>
      </c>
      <c r="AB135" s="65">
        <v>13171.411044114087</v>
      </c>
      <c r="AC135" s="65">
        <v>12621.66542607388</v>
      </c>
      <c r="AD135" s="65">
        <v>11938.567086637133</v>
      </c>
      <c r="AE135" s="65">
        <v>11025.452119838123</v>
      </c>
      <c r="AF135" s="65">
        <v>10387.661099741061</v>
      </c>
      <c r="AG135" s="40">
        <f>+SUM(I135:AF135)*H135</f>
        <v>1244774.833582201</v>
      </c>
    </row>
    <row r="136" spans="2:33" ht="14.4" x14ac:dyDescent="0.25">
      <c r="B136">
        <f t="shared" si="52"/>
        <v>2</v>
      </c>
      <c r="C136">
        <f t="shared" si="53"/>
        <v>2030</v>
      </c>
      <c r="D136" t="str">
        <f t="shared" si="56"/>
        <v>22030DO</v>
      </c>
      <c r="E136" s="68">
        <v>47515</v>
      </c>
      <c r="F136" s="73"/>
      <c r="G136" s="41" t="s">
        <v>58</v>
      </c>
      <c r="H136" s="41">
        <v>4</v>
      </c>
      <c r="I136" s="65">
        <v>2978.9649381843556</v>
      </c>
      <c r="J136" s="65">
        <v>3006.8829259141385</v>
      </c>
      <c r="K136" s="65">
        <v>2755.9565581899078</v>
      </c>
      <c r="L136" s="65">
        <v>2716.4534438496776</v>
      </c>
      <c r="M136" s="65">
        <v>2587.1334002637122</v>
      </c>
      <c r="N136" s="65">
        <v>2893.3294503074721</v>
      </c>
      <c r="O136" s="65">
        <v>1911.3806797788857</v>
      </c>
      <c r="P136" s="65">
        <v>1947.7569060603455</v>
      </c>
      <c r="Q136" s="65">
        <v>2070.6559535239612</v>
      </c>
      <c r="R136" s="65">
        <v>2185.3887821059725</v>
      </c>
      <c r="S136" s="65">
        <v>1546.072496306846</v>
      </c>
      <c r="T136" s="65">
        <v>1297.6922522059649</v>
      </c>
      <c r="U136" s="65">
        <v>742.90706802866407</v>
      </c>
      <c r="V136" s="65">
        <v>564.70013123410536</v>
      </c>
      <c r="W136" s="65">
        <v>528.99810637588598</v>
      </c>
      <c r="X136" s="65">
        <v>1271.7021738150142</v>
      </c>
      <c r="Y136" s="65">
        <v>1543.7611239339531</v>
      </c>
      <c r="Z136" s="65">
        <v>1847.6603330650796</v>
      </c>
      <c r="AA136" s="65">
        <v>1263.8009498947285</v>
      </c>
      <c r="AB136" s="65">
        <v>2138.2144736465088</v>
      </c>
      <c r="AC136" s="65">
        <v>2021.2722419033162</v>
      </c>
      <c r="AD136" s="65">
        <v>2106.4635491106419</v>
      </c>
      <c r="AE136" s="65">
        <v>2221.8227875062221</v>
      </c>
      <c r="AF136" s="65">
        <v>2249.427832436555</v>
      </c>
      <c r="AG136" s="40">
        <f>+SUM(I136:AF136)*H136</f>
        <v>185593.59423056763</v>
      </c>
    </row>
    <row r="137" spans="2:33" ht="14.4" x14ac:dyDescent="0.25">
      <c r="B137">
        <f t="shared" si="52"/>
        <v>2</v>
      </c>
      <c r="C137">
        <f t="shared" si="53"/>
        <v>2030</v>
      </c>
      <c r="D137" t="str">
        <f t="shared" si="56"/>
        <v>22030FE</v>
      </c>
      <c r="E137" s="68">
        <v>47515</v>
      </c>
      <c r="F137" s="73"/>
      <c r="G137" s="42" t="s">
        <v>59</v>
      </c>
      <c r="H137" s="42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  <c r="AG137" s="43">
        <f>+SUM(I137:AF137)*H137</f>
        <v>0</v>
      </c>
    </row>
    <row r="138" spans="2:33" ht="15" thickBot="1" x14ac:dyDescent="0.3">
      <c r="B138">
        <f t="shared" si="52"/>
        <v>2</v>
      </c>
      <c r="C138">
        <f t="shared" si="53"/>
        <v>2030</v>
      </c>
      <c r="D138" t="str">
        <f>+_xlfn.CONCAT(E138,G138)</f>
        <v>47515TOTAL</v>
      </c>
      <c r="E138" s="68">
        <v>47515</v>
      </c>
      <c r="F138" s="61"/>
      <c r="G138" s="44" t="s">
        <v>10</v>
      </c>
      <c r="H138" s="44">
        <v>28</v>
      </c>
      <c r="I138" s="45">
        <f t="shared" ref="I138:AF138" si="57">+SUMPRODUCT(I134:I137,$H134:$H137)</f>
        <v>322706.8164579419</v>
      </c>
      <c r="J138" s="45">
        <f t="shared" si="57"/>
        <v>312295.55376704386</v>
      </c>
      <c r="K138" s="45">
        <f t="shared" si="57"/>
        <v>304482.16038193624</v>
      </c>
      <c r="L138" s="45">
        <f t="shared" si="57"/>
        <v>313175.44896660035</v>
      </c>
      <c r="M138" s="45">
        <f t="shared" si="57"/>
        <v>301005.84589457064</v>
      </c>
      <c r="N138" s="45">
        <f t="shared" si="57"/>
        <v>314757.01141737419</v>
      </c>
      <c r="O138" s="45">
        <f t="shared" si="57"/>
        <v>340614.17764861934</v>
      </c>
      <c r="P138" s="45">
        <f t="shared" si="57"/>
        <v>414494.34021409234</v>
      </c>
      <c r="Q138" s="45">
        <f t="shared" si="57"/>
        <v>465220.63375126524</v>
      </c>
      <c r="R138" s="45">
        <f t="shared" si="57"/>
        <v>480806.62048370449</v>
      </c>
      <c r="S138" s="45">
        <f t="shared" si="57"/>
        <v>487782.39374917187</v>
      </c>
      <c r="T138" s="45">
        <f t="shared" si="57"/>
        <v>492956.12522025261</v>
      </c>
      <c r="U138" s="45">
        <f t="shared" si="57"/>
        <v>467890.78683617897</v>
      </c>
      <c r="V138" s="45">
        <f t="shared" si="57"/>
        <v>490772.96138675732</v>
      </c>
      <c r="W138" s="45">
        <f t="shared" si="57"/>
        <v>497949.84309788479</v>
      </c>
      <c r="X138" s="45">
        <f t="shared" si="57"/>
        <v>502814.02065266611</v>
      </c>
      <c r="Y138" s="45">
        <f t="shared" si="57"/>
        <v>481625.34277663589</v>
      </c>
      <c r="Z138" s="45">
        <f t="shared" si="57"/>
        <v>447126.08397674479</v>
      </c>
      <c r="AA138" s="45">
        <f t="shared" si="57"/>
        <v>403321.09229607263</v>
      </c>
      <c r="AB138" s="45">
        <f t="shared" si="57"/>
        <v>409798.62339605985</v>
      </c>
      <c r="AC138" s="45">
        <f t="shared" si="57"/>
        <v>372831.71715040482</v>
      </c>
      <c r="AD138" s="45">
        <f t="shared" si="57"/>
        <v>359910.07308500912</v>
      </c>
      <c r="AE138" s="45">
        <f t="shared" si="57"/>
        <v>332307.28580283327</v>
      </c>
      <c r="AF138" s="45">
        <f t="shared" si="57"/>
        <v>331983.06917925022</v>
      </c>
      <c r="AG138" s="46">
        <f>SUM(I138:AF138)</f>
        <v>9648628.0275890697</v>
      </c>
    </row>
    <row r="139" spans="2:33" ht="14.4" x14ac:dyDescent="0.25">
      <c r="B139">
        <f t="shared" si="52"/>
        <v>3</v>
      </c>
      <c r="C139">
        <f t="shared" si="53"/>
        <v>2030</v>
      </c>
      <c r="D139" t="str">
        <f t="shared" ref="D139:D142" si="58">+_xlfn.CONCAT(B139:C139,G139)</f>
        <v>32030OR</v>
      </c>
      <c r="E139" s="67">
        <v>47543</v>
      </c>
      <c r="F139" s="72">
        <f>+AG143</f>
        <v>9831448.0658886172</v>
      </c>
      <c r="G139" s="37" t="s">
        <v>57</v>
      </c>
      <c r="H139" s="37">
        <v>20</v>
      </c>
      <c r="I139" s="65">
        <v>13072.822261930552</v>
      </c>
      <c r="J139" s="65">
        <v>12666.417409803511</v>
      </c>
      <c r="K139" s="65">
        <v>12276.627035023959</v>
      </c>
      <c r="L139" s="65">
        <v>12607.741703102247</v>
      </c>
      <c r="M139" s="65">
        <v>12056.872965719864</v>
      </c>
      <c r="N139" s="65">
        <v>12537.403085346361</v>
      </c>
      <c r="O139" s="65">
        <v>13927.897733767255</v>
      </c>
      <c r="P139" s="65">
        <v>17139.19205211283</v>
      </c>
      <c r="Q139" s="65">
        <v>19364.083132227315</v>
      </c>
      <c r="R139" s="65">
        <v>20081.288726989711</v>
      </c>
      <c r="S139" s="65">
        <v>20555.368950727159</v>
      </c>
      <c r="T139" s="65">
        <v>20828.359628501526</v>
      </c>
      <c r="U139" s="65">
        <v>19819.422810754462</v>
      </c>
      <c r="V139" s="65">
        <v>20964.678127775336</v>
      </c>
      <c r="W139" s="65">
        <v>21451.766030197898</v>
      </c>
      <c r="X139" s="65">
        <v>21618.140809076824</v>
      </c>
      <c r="Y139" s="65">
        <v>20635.334479449797</v>
      </c>
      <c r="Z139" s="65">
        <v>18898.773818441136</v>
      </c>
      <c r="AA139" s="65">
        <v>16997.292443629143</v>
      </c>
      <c r="AB139" s="65">
        <v>17069.747953868991</v>
      </c>
      <c r="AC139" s="65">
        <v>15364.134536466358</v>
      </c>
      <c r="AD139" s="65">
        <v>14878.694998834462</v>
      </c>
      <c r="AE139" s="65">
        <v>13701.828885356774</v>
      </c>
      <c r="AF139" s="65">
        <v>13813.191967388129</v>
      </c>
      <c r="AG139" s="38">
        <f>+SUM(I139:AF139)*H139</f>
        <v>8046541.6309298333</v>
      </c>
    </row>
    <row r="140" spans="2:33" ht="14.4" x14ac:dyDescent="0.25">
      <c r="B140">
        <f t="shared" si="52"/>
        <v>3</v>
      </c>
      <c r="C140">
        <f t="shared" si="53"/>
        <v>2030</v>
      </c>
      <c r="D140" t="str">
        <f t="shared" si="58"/>
        <v>32030SA</v>
      </c>
      <c r="E140" s="68">
        <v>47543</v>
      </c>
      <c r="F140" s="73"/>
      <c r="G140" s="39" t="s">
        <v>60</v>
      </c>
      <c r="H140" s="39">
        <v>5</v>
      </c>
      <c r="I140" s="65">
        <v>11101.478009450944</v>
      </c>
      <c r="J140" s="65">
        <v>10461.127735622878</v>
      </c>
      <c r="K140" s="65">
        <v>10654.410119248383</v>
      </c>
      <c r="L140" s="65">
        <v>11183.536574957918</v>
      </c>
      <c r="M140" s="65">
        <v>10828.535248214266</v>
      </c>
      <c r="N140" s="65">
        <v>11141.614426923832</v>
      </c>
      <c r="O140" s="65">
        <v>11141.173365464587</v>
      </c>
      <c r="P140" s="65">
        <v>13608.586997308481</v>
      </c>
      <c r="Q140" s="65">
        <v>15141.973340840883</v>
      </c>
      <c r="R140" s="65">
        <v>15560.689547474485</v>
      </c>
      <c r="S140" s="65">
        <v>15417.450750231696</v>
      </c>
      <c r="T140" s="65">
        <v>15587.859645747903</v>
      </c>
      <c r="U140" s="65">
        <v>14867.264538329295</v>
      </c>
      <c r="V140" s="65">
        <v>15230.882432290056</v>
      </c>
      <c r="W140" s="65">
        <v>14663.515380009869</v>
      </c>
      <c r="X140" s="65">
        <v>14208.02031644349</v>
      </c>
      <c r="Y140" s="65">
        <v>13464.21955330811</v>
      </c>
      <c r="Z140" s="65">
        <v>13153.002441796954</v>
      </c>
      <c r="AA140" s="65">
        <v>12355.855387893873</v>
      </c>
      <c r="AB140" s="65">
        <v>13094.745430625651</v>
      </c>
      <c r="AC140" s="65">
        <v>12539.135145819906</v>
      </c>
      <c r="AD140" s="65">
        <v>11850.401391035906</v>
      </c>
      <c r="AE140" s="65">
        <v>10931.162117922006</v>
      </c>
      <c r="AF140" s="65">
        <v>10306.863778129682</v>
      </c>
      <c r="AG140" s="40">
        <f>+SUM(I140:AF140)*H140</f>
        <v>1542467.5183754554</v>
      </c>
    </row>
    <row r="141" spans="2:33" ht="14.4" x14ac:dyDescent="0.25">
      <c r="B141">
        <f t="shared" si="52"/>
        <v>3</v>
      </c>
      <c r="C141">
        <f t="shared" si="53"/>
        <v>2030</v>
      </c>
      <c r="D141" t="str">
        <f t="shared" si="58"/>
        <v>32030DO</v>
      </c>
      <c r="E141" s="68">
        <v>47543</v>
      </c>
      <c r="F141" s="73"/>
      <c r="G141" s="41" t="s">
        <v>58</v>
      </c>
      <c r="H141" s="41">
        <v>5</v>
      </c>
      <c r="I141" s="65">
        <v>4165.5815433936004</v>
      </c>
      <c r="J141" s="65">
        <v>4117.1159968769189</v>
      </c>
      <c r="K141" s="65">
        <v>3826.2768428376162</v>
      </c>
      <c r="L141" s="65">
        <v>3786.8424928361069</v>
      </c>
      <c r="M141" s="65">
        <v>3436.8449170663503</v>
      </c>
      <c r="N141" s="65">
        <v>2820.1717151899866</v>
      </c>
      <c r="O141" s="65">
        <v>1038.5435251446288</v>
      </c>
      <c r="P141" s="65">
        <v>1048.4162554342329</v>
      </c>
      <c r="Q141" s="65">
        <v>1371.4322256143678</v>
      </c>
      <c r="R141" s="65">
        <v>1538.6513348502558</v>
      </c>
      <c r="S141" s="65">
        <v>1022.3873646471257</v>
      </c>
      <c r="T141" s="65">
        <v>559.19961231798879</v>
      </c>
      <c r="U141" s="65">
        <v>0</v>
      </c>
      <c r="V141" s="65">
        <v>0</v>
      </c>
      <c r="W141" s="65">
        <v>0</v>
      </c>
      <c r="X141" s="65">
        <v>417.56465945257878</v>
      </c>
      <c r="Y141" s="65">
        <v>409.01895475329729</v>
      </c>
      <c r="Z141" s="65">
        <v>1113.3115248319045</v>
      </c>
      <c r="AA141" s="65">
        <v>675.27163315047073</v>
      </c>
      <c r="AB141" s="65">
        <v>1763.3081614762195</v>
      </c>
      <c r="AC141" s="65">
        <v>1353.6593577609274</v>
      </c>
      <c r="AD141" s="65">
        <v>1384.6677273622881</v>
      </c>
      <c r="AE141" s="65">
        <v>1402.7315871242026</v>
      </c>
      <c r="AF141" s="65">
        <v>1433.4251747044618</v>
      </c>
      <c r="AG141" s="40">
        <f>+SUM(I141:AF141)*H141</f>
        <v>193422.11303412769</v>
      </c>
    </row>
    <row r="142" spans="2:33" ht="14.4" x14ac:dyDescent="0.25">
      <c r="B142">
        <f t="shared" si="52"/>
        <v>3</v>
      </c>
      <c r="C142">
        <f t="shared" si="53"/>
        <v>2030</v>
      </c>
      <c r="D142" t="str">
        <f t="shared" si="58"/>
        <v>32030FE</v>
      </c>
      <c r="E142" s="68">
        <v>47543</v>
      </c>
      <c r="F142" s="73"/>
      <c r="G142" s="42" t="s">
        <v>59</v>
      </c>
      <c r="H142" s="42">
        <v>1</v>
      </c>
      <c r="I142" s="65">
        <v>6741.6539277787615</v>
      </c>
      <c r="J142" s="65">
        <v>6572.7656023027193</v>
      </c>
      <c r="K142" s="65">
        <v>6265.905469509702</v>
      </c>
      <c r="L142" s="65">
        <v>6203.0327671880586</v>
      </c>
      <c r="M142" s="65">
        <v>5528.5778303892512</v>
      </c>
      <c r="N142" s="65">
        <v>3466.971500500309</v>
      </c>
      <c r="O142" s="65">
        <v>543.08423432445488</v>
      </c>
      <c r="P142" s="65">
        <v>617.55800521206766</v>
      </c>
      <c r="Q142" s="65">
        <v>1311.5466874235572</v>
      </c>
      <c r="R142" s="65">
        <v>1574.1082488937245</v>
      </c>
      <c r="S142" s="65">
        <v>1269.7361004395607</v>
      </c>
      <c r="T142" s="65">
        <v>472.97623908910464</v>
      </c>
      <c r="U142" s="65">
        <v>0</v>
      </c>
      <c r="V142" s="65">
        <v>0</v>
      </c>
      <c r="W142" s="65">
        <v>0</v>
      </c>
      <c r="X142" s="65">
        <v>204.201024402646</v>
      </c>
      <c r="Y142" s="65">
        <v>0</v>
      </c>
      <c r="Z142" s="65">
        <v>1005.1019447323088</v>
      </c>
      <c r="AA142" s="65">
        <v>854.6408780502934</v>
      </c>
      <c r="AB142" s="65">
        <v>2151.9446280673947</v>
      </c>
      <c r="AC142" s="65">
        <v>1253.9483946781802</v>
      </c>
      <c r="AD142" s="65">
        <v>1100.1416341512013</v>
      </c>
      <c r="AE142" s="65">
        <v>947.46685987348246</v>
      </c>
      <c r="AF142" s="65">
        <v>931.4415721951118</v>
      </c>
      <c r="AG142" s="43">
        <f>+SUM(I142:AF142)*H142</f>
        <v>49016.803549201883</v>
      </c>
    </row>
    <row r="143" spans="2:33" ht="15" thickBot="1" x14ac:dyDescent="0.3">
      <c r="B143">
        <f t="shared" si="52"/>
        <v>3</v>
      </c>
      <c r="C143">
        <f t="shared" si="53"/>
        <v>2030</v>
      </c>
      <c r="D143" t="str">
        <f>+_xlfn.CONCAT(E143,G143)</f>
        <v>47543TOTAL</v>
      </c>
      <c r="E143" s="68">
        <v>47543</v>
      </c>
      <c r="F143" s="61"/>
      <c r="G143" s="44" t="s">
        <v>10</v>
      </c>
      <c r="H143" s="44">
        <v>31</v>
      </c>
      <c r="I143" s="45">
        <f t="shared" ref="I143:AF143" si="59">+SUMPRODUCT(I139:I142,$H139:$H142)</f>
        <v>344533.39693061251</v>
      </c>
      <c r="J143" s="45">
        <f t="shared" si="59"/>
        <v>332792.33246087196</v>
      </c>
      <c r="K143" s="45">
        <f t="shared" si="59"/>
        <v>324201.88098041888</v>
      </c>
      <c r="L143" s="45">
        <f t="shared" si="59"/>
        <v>333209.76216820313</v>
      </c>
      <c r="M143" s="45">
        <f t="shared" si="59"/>
        <v>317992.93797118962</v>
      </c>
      <c r="N143" s="45">
        <f t="shared" si="59"/>
        <v>324023.96391799662</v>
      </c>
      <c r="O143" s="45">
        <f t="shared" si="59"/>
        <v>339999.62336271565</v>
      </c>
      <c r="P143" s="45">
        <f t="shared" si="59"/>
        <v>416686.41531118221</v>
      </c>
      <c r="Q143" s="45">
        <f t="shared" si="59"/>
        <v>471160.23716424609</v>
      </c>
      <c r="R143" s="45">
        <f t="shared" si="59"/>
        <v>488696.58720031159</v>
      </c>
      <c r="S143" s="45">
        <f t="shared" si="59"/>
        <v>494576.3056893769</v>
      </c>
      <c r="T143" s="45">
        <f t="shared" si="59"/>
        <v>497775.46509944909</v>
      </c>
      <c r="U143" s="45">
        <f t="shared" si="59"/>
        <v>470724.77890673571</v>
      </c>
      <c r="V143" s="45">
        <f t="shared" si="59"/>
        <v>495447.97471695696</v>
      </c>
      <c r="W143" s="45">
        <f t="shared" si="59"/>
        <v>502352.89750400733</v>
      </c>
      <c r="X143" s="45">
        <f t="shared" si="59"/>
        <v>505694.94208541943</v>
      </c>
      <c r="Y143" s="45">
        <f t="shared" si="59"/>
        <v>482072.88212930295</v>
      </c>
      <c r="Z143" s="45">
        <f t="shared" si="59"/>
        <v>450312.1481466993</v>
      </c>
      <c r="AA143" s="45">
        <f t="shared" si="59"/>
        <v>405956.12485585496</v>
      </c>
      <c r="AB143" s="45">
        <f t="shared" si="59"/>
        <v>417837.17166595656</v>
      </c>
      <c r="AC143" s="45">
        <f t="shared" si="59"/>
        <v>378000.61164190952</v>
      </c>
      <c r="AD143" s="45">
        <f t="shared" si="59"/>
        <v>364849.38720283139</v>
      </c>
      <c r="AE143" s="45">
        <f t="shared" si="59"/>
        <v>336653.51309223997</v>
      </c>
      <c r="AF143" s="45">
        <f t="shared" si="59"/>
        <v>335896.72568412841</v>
      </c>
      <c r="AG143" s="46">
        <f>SUM(I143:AF143)</f>
        <v>9831448.0658886172</v>
      </c>
    </row>
    <row r="144" spans="2:33" ht="14.4" x14ac:dyDescent="0.25">
      <c r="B144">
        <f t="shared" si="52"/>
        <v>4</v>
      </c>
      <c r="C144">
        <f t="shared" si="53"/>
        <v>2030</v>
      </c>
      <c r="D144" t="str">
        <f t="shared" ref="D144:D147" si="60">+_xlfn.CONCAT(B144:C144,G144)</f>
        <v>42030OR</v>
      </c>
      <c r="E144" s="67">
        <v>47574</v>
      </c>
      <c r="F144" s="72">
        <f>+AG148</f>
        <v>10542679.128458876</v>
      </c>
      <c r="G144" s="37" t="s">
        <v>57</v>
      </c>
      <c r="H144" s="37">
        <v>20</v>
      </c>
      <c r="I144" s="65">
        <v>14356.159348246123</v>
      </c>
      <c r="J144" s="65">
        <v>13930.122402057934</v>
      </c>
      <c r="K144" s="65">
        <v>13518.231423635614</v>
      </c>
      <c r="L144" s="65">
        <v>13825.541903438332</v>
      </c>
      <c r="M144" s="65">
        <v>13278.515096062669</v>
      </c>
      <c r="N144" s="65">
        <v>13790.314193531052</v>
      </c>
      <c r="O144" s="65">
        <v>15328.216441560211</v>
      </c>
      <c r="P144" s="65">
        <v>18723.408547020874</v>
      </c>
      <c r="Q144" s="65">
        <v>21122.306921074858</v>
      </c>
      <c r="R144" s="65">
        <v>21972.572037856371</v>
      </c>
      <c r="S144" s="65">
        <v>22537.059332291716</v>
      </c>
      <c r="T144" s="65">
        <v>22870.941834705303</v>
      </c>
      <c r="U144" s="65">
        <v>21803.526817151385</v>
      </c>
      <c r="V144" s="65">
        <v>22964.829750019529</v>
      </c>
      <c r="W144" s="65">
        <v>23473.035863333131</v>
      </c>
      <c r="X144" s="65">
        <v>23615.337765839413</v>
      </c>
      <c r="Y144" s="65">
        <v>22604.440832000579</v>
      </c>
      <c r="Z144" s="65">
        <v>20779.809807166705</v>
      </c>
      <c r="AA144" s="65">
        <v>18748.027736118183</v>
      </c>
      <c r="AB144" s="65">
        <v>18768.491699683764</v>
      </c>
      <c r="AC144" s="65">
        <v>16961.382614692156</v>
      </c>
      <c r="AD144" s="65">
        <v>16373.079146931239</v>
      </c>
      <c r="AE144" s="65">
        <v>15108.026171489677</v>
      </c>
      <c r="AF144" s="65">
        <v>15180.178626835574</v>
      </c>
      <c r="AG144" s="38">
        <f>+SUM(I144:AF144)*H144</f>
        <v>8832671.1262548473</v>
      </c>
    </row>
    <row r="145" spans="2:33" ht="14.4" x14ac:dyDescent="0.25">
      <c r="B145">
        <f t="shared" si="52"/>
        <v>4</v>
      </c>
      <c r="C145">
        <f t="shared" si="53"/>
        <v>2030</v>
      </c>
      <c r="D145" t="str">
        <f t="shared" si="60"/>
        <v>42030SA</v>
      </c>
      <c r="E145" s="68">
        <v>47574</v>
      </c>
      <c r="F145" s="73"/>
      <c r="G145" s="39" t="s">
        <v>60</v>
      </c>
      <c r="H145" s="39">
        <v>4</v>
      </c>
      <c r="I145" s="65">
        <v>12197.053310408468</v>
      </c>
      <c r="J145" s="65">
        <v>11531.678198579939</v>
      </c>
      <c r="K145" s="65">
        <v>11702.95751998762</v>
      </c>
      <c r="L145" s="65">
        <v>12216.794629542537</v>
      </c>
      <c r="M145" s="65">
        <v>11860.45144466501</v>
      </c>
      <c r="N145" s="65">
        <v>12171.317221333728</v>
      </c>
      <c r="O145" s="65">
        <v>12235.993679173771</v>
      </c>
      <c r="P145" s="65">
        <v>14810.88561135764</v>
      </c>
      <c r="Q145" s="65">
        <v>16449.704143183579</v>
      </c>
      <c r="R145" s="65">
        <v>16971.936662309337</v>
      </c>
      <c r="S145" s="65">
        <v>16909.590088177523</v>
      </c>
      <c r="T145" s="65">
        <v>17110.842151241268</v>
      </c>
      <c r="U145" s="65">
        <v>16315.009712839059</v>
      </c>
      <c r="V145" s="65">
        <v>16658.556895718673</v>
      </c>
      <c r="W145" s="65">
        <v>16068.594516808709</v>
      </c>
      <c r="X145" s="65">
        <v>15577.546615805968</v>
      </c>
      <c r="Y145" s="65">
        <v>14814.035470980994</v>
      </c>
      <c r="Z145" s="65">
        <v>14465.674935291448</v>
      </c>
      <c r="AA145" s="65">
        <v>13644.184168341595</v>
      </c>
      <c r="AB145" s="65">
        <v>14338.611370406434</v>
      </c>
      <c r="AC145" s="65">
        <v>13690.832429783834</v>
      </c>
      <c r="AD145" s="65">
        <v>12890.439187975591</v>
      </c>
      <c r="AE145" s="65">
        <v>11868.509651073226</v>
      </c>
      <c r="AF145" s="65">
        <v>11220.643037054831</v>
      </c>
      <c r="AG145" s="40">
        <f>+SUM(I145:AF145)*H145</f>
        <v>1350887.3706081631</v>
      </c>
    </row>
    <row r="146" spans="2:33" ht="14.4" x14ac:dyDescent="0.25">
      <c r="B146">
        <f t="shared" si="52"/>
        <v>4</v>
      </c>
      <c r="C146">
        <f t="shared" si="53"/>
        <v>2030</v>
      </c>
      <c r="D146" t="str">
        <f t="shared" si="60"/>
        <v>42030DO</v>
      </c>
      <c r="E146" s="68">
        <v>47574</v>
      </c>
      <c r="F146" s="73"/>
      <c r="G146" s="41" t="s">
        <v>58</v>
      </c>
      <c r="H146" s="41">
        <v>3</v>
      </c>
      <c r="I146" s="65">
        <v>4033.6366511982123</v>
      </c>
      <c r="J146" s="65">
        <v>4024.6165294682905</v>
      </c>
      <c r="K146" s="65">
        <v>3715.230466313571</v>
      </c>
      <c r="L146" s="65">
        <v>3678.2948521359522</v>
      </c>
      <c r="M146" s="65">
        <v>3533.3503856809348</v>
      </c>
      <c r="N146" s="65">
        <v>3864.1441356541818</v>
      </c>
      <c r="O146" s="65">
        <v>2825.4121598297224</v>
      </c>
      <c r="P146" s="65">
        <v>2864.3813130262497</v>
      </c>
      <c r="Q146" s="65">
        <v>2991.6580314921266</v>
      </c>
      <c r="R146" s="65">
        <v>3160.5696576098489</v>
      </c>
      <c r="S146" s="65">
        <v>2623.2893694132035</v>
      </c>
      <c r="T146" s="65">
        <v>2458.9474793890913</v>
      </c>
      <c r="U146" s="65">
        <v>1878.9376478554877</v>
      </c>
      <c r="V146" s="65">
        <v>1671.8421159688514</v>
      </c>
      <c r="W146" s="65">
        <v>1600.180348762271</v>
      </c>
      <c r="X146" s="65">
        <v>2329.3597404993816</v>
      </c>
      <c r="Y146" s="65">
        <v>2572.3855544947946</v>
      </c>
      <c r="Z146" s="65">
        <v>2927.389200087724</v>
      </c>
      <c r="AA146" s="65">
        <v>2300.6983879492509</v>
      </c>
      <c r="AB146" s="65">
        <v>3197.175339279529</v>
      </c>
      <c r="AC146" s="65">
        <v>3002.0637207366381</v>
      </c>
      <c r="AD146" s="65">
        <v>3082.578353033261</v>
      </c>
      <c r="AE146" s="65">
        <v>3157.0633201542169</v>
      </c>
      <c r="AF146" s="65">
        <v>3196.8688893864819</v>
      </c>
      <c r="AG146" s="40">
        <f>+SUM(I146:AF146)*H146</f>
        <v>212070.22094825789</v>
      </c>
    </row>
    <row r="147" spans="2:33" ht="14.4" x14ac:dyDescent="0.25">
      <c r="B147">
        <f t="shared" si="52"/>
        <v>4</v>
      </c>
      <c r="C147">
        <f t="shared" si="53"/>
        <v>2030</v>
      </c>
      <c r="D147" t="str">
        <f t="shared" si="60"/>
        <v>42030FE</v>
      </c>
      <c r="E147" s="68">
        <v>47574</v>
      </c>
      <c r="F147" s="73"/>
      <c r="G147" s="42" t="s">
        <v>59</v>
      </c>
      <c r="H147" s="42">
        <v>3</v>
      </c>
      <c r="I147" s="65">
        <v>6741.6539277787624</v>
      </c>
      <c r="J147" s="65">
        <v>6572.7656023027193</v>
      </c>
      <c r="K147" s="65">
        <v>6265.9054695097029</v>
      </c>
      <c r="L147" s="65">
        <v>6203.0327671880586</v>
      </c>
      <c r="M147" s="65">
        <v>5528.5778303892512</v>
      </c>
      <c r="N147" s="65">
        <v>3466.971500500309</v>
      </c>
      <c r="O147" s="65">
        <v>543.08423432445488</v>
      </c>
      <c r="P147" s="65">
        <v>617.55800521206766</v>
      </c>
      <c r="Q147" s="65">
        <v>1311.5466874235572</v>
      </c>
      <c r="R147" s="65">
        <v>1574.1082488937245</v>
      </c>
      <c r="S147" s="65">
        <v>1269.7361004395607</v>
      </c>
      <c r="T147" s="65">
        <v>472.97623908910464</v>
      </c>
      <c r="U147" s="65">
        <v>0</v>
      </c>
      <c r="V147" s="65">
        <v>0</v>
      </c>
      <c r="W147" s="65">
        <v>0</v>
      </c>
      <c r="X147" s="65">
        <v>204.201024402646</v>
      </c>
      <c r="Y147" s="65">
        <v>0</v>
      </c>
      <c r="Z147" s="65">
        <v>1005.1019447323088</v>
      </c>
      <c r="AA147" s="65">
        <v>854.6408780502934</v>
      </c>
      <c r="AB147" s="65">
        <v>2151.9446280673947</v>
      </c>
      <c r="AC147" s="65">
        <v>1253.9483946781802</v>
      </c>
      <c r="AD147" s="65">
        <v>1100.1416341512013</v>
      </c>
      <c r="AE147" s="65">
        <v>947.46685987348246</v>
      </c>
      <c r="AF147" s="65">
        <v>931.4415721951118</v>
      </c>
      <c r="AG147" s="43">
        <f>+SUM(I147:AF147)*H147</f>
        <v>147050.41064760569</v>
      </c>
    </row>
    <row r="148" spans="2:33" ht="15" thickBot="1" x14ac:dyDescent="0.3">
      <c r="B148">
        <f t="shared" si="52"/>
        <v>4</v>
      </c>
      <c r="C148">
        <f t="shared" si="53"/>
        <v>2030</v>
      </c>
      <c r="D148" t="str">
        <f>+_xlfn.CONCAT(E148,G148)</f>
        <v>47574TOTAL</v>
      </c>
      <c r="E148" s="68">
        <v>47574</v>
      </c>
      <c r="F148" s="61"/>
      <c r="G148" s="44" t="s">
        <v>10</v>
      </c>
      <c r="H148" s="44">
        <v>30</v>
      </c>
      <c r="I148" s="45">
        <f t="shared" ref="I148:AF148" si="61">+SUMPRODUCT(I144:I147,$H144:$H147)</f>
        <v>368237.27194348723</v>
      </c>
      <c r="J148" s="45">
        <f t="shared" si="61"/>
        <v>356521.30723079148</v>
      </c>
      <c r="K148" s="45">
        <f t="shared" si="61"/>
        <v>347119.86636013252</v>
      </c>
      <c r="L148" s="45">
        <f t="shared" si="61"/>
        <v>355021.99944490881</v>
      </c>
      <c r="M148" s="45">
        <f t="shared" si="61"/>
        <v>340197.89234812401</v>
      </c>
      <c r="N148" s="45">
        <f t="shared" si="61"/>
        <v>346484.89966441947</v>
      </c>
      <c r="O148" s="45">
        <f t="shared" si="61"/>
        <v>365613.79273036186</v>
      </c>
      <c r="P148" s="45">
        <f t="shared" si="61"/>
        <v>444157.53134056291</v>
      </c>
      <c r="Q148" s="45">
        <f t="shared" si="61"/>
        <v>501154.56915097858</v>
      </c>
      <c r="R148" s="45">
        <f t="shared" si="61"/>
        <v>521543.22112587548</v>
      </c>
      <c r="S148" s="45">
        <f t="shared" si="61"/>
        <v>530058.62340810266</v>
      </c>
      <c r="T148" s="45">
        <f t="shared" si="61"/>
        <v>534657.97645450581</v>
      </c>
      <c r="U148" s="45">
        <f t="shared" si="61"/>
        <v>506967.38813795045</v>
      </c>
      <c r="V148" s="45">
        <f t="shared" si="61"/>
        <v>530946.34893117181</v>
      </c>
      <c r="W148" s="45">
        <f t="shared" si="61"/>
        <v>538535.63638018433</v>
      </c>
      <c r="X148" s="45">
        <f t="shared" si="61"/>
        <v>542217.6240747181</v>
      </c>
      <c r="Y148" s="45">
        <f t="shared" si="61"/>
        <v>519062.11518741993</v>
      </c>
      <c r="Z148" s="45">
        <f t="shared" si="61"/>
        <v>485256.36931895994</v>
      </c>
      <c r="AA148" s="45">
        <f t="shared" si="61"/>
        <v>439003.30919372867</v>
      </c>
      <c r="AB148" s="45">
        <f t="shared" si="61"/>
        <v>448771.63937734178</v>
      </c>
      <c r="AC148" s="45">
        <f t="shared" si="61"/>
        <v>406759.01835922286</v>
      </c>
      <c r="AD148" s="45">
        <f t="shared" si="61"/>
        <v>391571.49965208053</v>
      </c>
      <c r="AE148" s="45">
        <f t="shared" si="61"/>
        <v>361948.15257416951</v>
      </c>
      <c r="AF148" s="45">
        <f t="shared" si="61"/>
        <v>360871.07606967556</v>
      </c>
      <c r="AG148" s="46">
        <f>SUM(I148:AF148)</f>
        <v>10542679.128458876</v>
      </c>
    </row>
    <row r="149" spans="2:33" ht="14.4" x14ac:dyDescent="0.25">
      <c r="B149">
        <f t="shared" si="52"/>
        <v>5</v>
      </c>
      <c r="C149">
        <f t="shared" si="53"/>
        <v>2030</v>
      </c>
      <c r="D149" t="str">
        <f t="shared" ref="D149:D152" si="62">+_xlfn.CONCAT(B149:C149,G149)</f>
        <v>52030OR</v>
      </c>
      <c r="E149" s="67">
        <v>47604</v>
      </c>
      <c r="F149" s="72">
        <f>+AG153</f>
        <v>10753286.453310773</v>
      </c>
      <c r="G149" s="37" t="s">
        <v>57</v>
      </c>
      <c r="H149" s="37">
        <v>22</v>
      </c>
      <c r="I149" s="65">
        <v>13694.708599327305</v>
      </c>
      <c r="J149" s="65">
        <v>13268.390515830082</v>
      </c>
      <c r="K149" s="65">
        <v>12853.245359383987</v>
      </c>
      <c r="L149" s="65">
        <v>13162.854602236483</v>
      </c>
      <c r="M149" s="65">
        <v>12584.548368652489</v>
      </c>
      <c r="N149" s="65">
        <v>13022.657838368796</v>
      </c>
      <c r="O149" s="65">
        <v>14428.25966795722</v>
      </c>
      <c r="P149" s="65">
        <v>17767.806370446557</v>
      </c>
      <c r="Q149" s="65">
        <v>20118.311322021011</v>
      </c>
      <c r="R149" s="65">
        <v>20950.286172059419</v>
      </c>
      <c r="S149" s="65">
        <v>21456.9701207949</v>
      </c>
      <c r="T149" s="65">
        <v>21763.735531249709</v>
      </c>
      <c r="U149" s="65">
        <v>20708.727809261643</v>
      </c>
      <c r="V149" s="65">
        <v>21890.003187827355</v>
      </c>
      <c r="W149" s="65">
        <v>22400.684841729337</v>
      </c>
      <c r="X149" s="65">
        <v>22540.61728189496</v>
      </c>
      <c r="Y149" s="65">
        <v>21527.199809322497</v>
      </c>
      <c r="Z149" s="65">
        <v>19725.168444850206</v>
      </c>
      <c r="AA149" s="65">
        <v>17750.689310307727</v>
      </c>
      <c r="AB149" s="65">
        <v>17841.60805155506</v>
      </c>
      <c r="AC149" s="65">
        <v>16079.435762812134</v>
      </c>
      <c r="AD149" s="65">
        <v>15564.096199864713</v>
      </c>
      <c r="AE149" s="65">
        <v>14369.003353725921</v>
      </c>
      <c r="AF149" s="65">
        <v>14460.174483523215</v>
      </c>
      <c r="AG149" s="38">
        <f>+SUM(I149:AF149)*H149</f>
        <v>9238442.0261100605</v>
      </c>
    </row>
    <row r="150" spans="2:33" ht="14.4" x14ac:dyDescent="0.25">
      <c r="B150">
        <f t="shared" si="52"/>
        <v>5</v>
      </c>
      <c r="C150">
        <f t="shared" si="53"/>
        <v>2030</v>
      </c>
      <c r="D150" t="str">
        <f t="shared" si="62"/>
        <v>52030SA</v>
      </c>
      <c r="E150" s="68">
        <v>47604</v>
      </c>
      <c r="F150" s="73"/>
      <c r="G150" s="39" t="s">
        <v>60</v>
      </c>
      <c r="H150" s="39">
        <v>4</v>
      </c>
      <c r="I150" s="65">
        <v>11373.587606882767</v>
      </c>
      <c r="J150" s="65">
        <v>10725.416185365124</v>
      </c>
      <c r="K150" s="65">
        <v>10923.725765026949</v>
      </c>
      <c r="L150" s="65">
        <v>11456.621586607413</v>
      </c>
      <c r="M150" s="65">
        <v>11074.129015775554</v>
      </c>
      <c r="N150" s="65">
        <v>11323.012516164046</v>
      </c>
      <c r="O150" s="65">
        <v>11300.615472784426</v>
      </c>
      <c r="P150" s="65">
        <v>13835.833767391745</v>
      </c>
      <c r="Q150" s="65">
        <v>15422.835863918597</v>
      </c>
      <c r="R150" s="65">
        <v>15934.394913263492</v>
      </c>
      <c r="S150" s="65">
        <v>15806.256301535235</v>
      </c>
      <c r="T150" s="65">
        <v>16012.591903545013</v>
      </c>
      <c r="U150" s="65">
        <v>15261.955121345844</v>
      </c>
      <c r="V150" s="65">
        <v>15666.006585415682</v>
      </c>
      <c r="W150" s="65">
        <v>15068.436976307843</v>
      </c>
      <c r="X150" s="65">
        <v>14563.673508198019</v>
      </c>
      <c r="Y150" s="65">
        <v>13795.675234695951</v>
      </c>
      <c r="Z150" s="65">
        <v>13458.340225975084</v>
      </c>
      <c r="AA150" s="65">
        <v>12657.911806996213</v>
      </c>
      <c r="AB150" s="65">
        <v>13446.933075511275</v>
      </c>
      <c r="AC150" s="65">
        <v>12852.430237965553</v>
      </c>
      <c r="AD150" s="65">
        <v>12118.207956490009</v>
      </c>
      <c r="AE150" s="65">
        <v>11156.09054903672</v>
      </c>
      <c r="AF150" s="65">
        <v>10538.463200239874</v>
      </c>
      <c r="AG150" s="40">
        <f>+SUM(I150:AF150)*H150</f>
        <v>1263092.5815057538</v>
      </c>
    </row>
    <row r="151" spans="2:33" ht="14.4" x14ac:dyDescent="0.25">
      <c r="B151">
        <f t="shared" si="52"/>
        <v>5</v>
      </c>
      <c r="C151">
        <f t="shared" si="53"/>
        <v>2030</v>
      </c>
      <c r="D151" t="str">
        <f t="shared" si="62"/>
        <v>52030DO</v>
      </c>
      <c r="E151" s="68">
        <v>47604</v>
      </c>
      <c r="F151" s="73"/>
      <c r="G151" s="41" t="s">
        <v>58</v>
      </c>
      <c r="H151" s="41">
        <v>4</v>
      </c>
      <c r="I151" s="65">
        <v>3296.2736801550127</v>
      </c>
      <c r="J151" s="65">
        <v>3298.8670374129761</v>
      </c>
      <c r="K151" s="65">
        <v>2973.6144359560349</v>
      </c>
      <c r="L151" s="65">
        <v>2951.3158853289278</v>
      </c>
      <c r="M151" s="65">
        <v>2805.4587284741829</v>
      </c>
      <c r="N151" s="65">
        <v>3170.1305834247632</v>
      </c>
      <c r="O151" s="65">
        <v>2106.5266797660261</v>
      </c>
      <c r="P151" s="65">
        <v>2077.6448044217177</v>
      </c>
      <c r="Q151" s="65">
        <v>2158.3341150375782</v>
      </c>
      <c r="R151" s="65">
        <v>2305.0290456738549</v>
      </c>
      <c r="S151" s="65">
        <v>1728.4706874437143</v>
      </c>
      <c r="T151" s="65">
        <v>1553.6132452258971</v>
      </c>
      <c r="U151" s="65">
        <v>970.91510794663191</v>
      </c>
      <c r="V151" s="65">
        <v>745.72921317180953</v>
      </c>
      <c r="W151" s="65">
        <v>691.45436120881277</v>
      </c>
      <c r="X151" s="65">
        <v>1416.1436284624033</v>
      </c>
      <c r="Y151" s="65">
        <v>1659.5005418017754</v>
      </c>
      <c r="Z151" s="65">
        <v>2057.5516810845766</v>
      </c>
      <c r="AA151" s="65">
        <v>1395.5526031486843</v>
      </c>
      <c r="AB151" s="65">
        <v>2359.0382511851385</v>
      </c>
      <c r="AC151" s="65">
        <v>2212.3089722208679</v>
      </c>
      <c r="AD151" s="65">
        <v>2360.5910719794811</v>
      </c>
      <c r="AE151" s="65">
        <v>2459.7450411480768</v>
      </c>
      <c r="AF151" s="65">
        <v>2530.077573639619</v>
      </c>
      <c r="AG151" s="40">
        <f>+SUM(I151:AF151)*H151</f>
        <v>205135.5479012742</v>
      </c>
    </row>
    <row r="152" spans="2:33" ht="14.4" x14ac:dyDescent="0.25">
      <c r="B152">
        <f t="shared" si="52"/>
        <v>5</v>
      </c>
      <c r="C152">
        <f t="shared" si="53"/>
        <v>2030</v>
      </c>
      <c r="D152" t="str">
        <f t="shared" si="62"/>
        <v>52030FE</v>
      </c>
      <c r="E152" s="68">
        <v>47604</v>
      </c>
      <c r="F152" s="73"/>
      <c r="G152" s="42" t="s">
        <v>59</v>
      </c>
      <c r="H152" s="42">
        <v>1</v>
      </c>
      <c r="I152" s="65">
        <v>6791.0321165790538</v>
      </c>
      <c r="J152" s="65">
        <v>6605.2522343114197</v>
      </c>
      <c r="K152" s="65">
        <v>6267.8791406483051</v>
      </c>
      <c r="L152" s="65">
        <v>6212.2645798064423</v>
      </c>
      <c r="M152" s="65">
        <v>5490.6489919282703</v>
      </c>
      <c r="N152" s="65">
        <v>3342.7406050413119</v>
      </c>
      <c r="O152" s="65">
        <v>205.14578006139345</v>
      </c>
      <c r="P152" s="65">
        <v>301.76020926249112</v>
      </c>
      <c r="Q152" s="65">
        <v>1000.3026084104749</v>
      </c>
      <c r="R152" s="65">
        <v>1309.1653120458977</v>
      </c>
      <c r="S152" s="65">
        <v>1109.159009871084</v>
      </c>
      <c r="T152" s="65">
        <v>322.50185164411232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761.28706884849817</v>
      </c>
      <c r="AA152" s="65">
        <v>618.62111218307837</v>
      </c>
      <c r="AB152" s="65">
        <v>2114.9734140800465</v>
      </c>
      <c r="AC152" s="65">
        <v>1211.7673713533004</v>
      </c>
      <c r="AD152" s="65">
        <v>1058.8621539201449</v>
      </c>
      <c r="AE152" s="65">
        <v>931.09703595544852</v>
      </c>
      <c r="AF152" s="65">
        <v>961.83719773508346</v>
      </c>
      <c r="AG152" s="43">
        <f>+SUM(I152:AF152)*H152</f>
        <v>46616.297793685844</v>
      </c>
    </row>
    <row r="153" spans="2:33" ht="15" thickBot="1" x14ac:dyDescent="0.3">
      <c r="B153">
        <f t="shared" si="52"/>
        <v>5</v>
      </c>
      <c r="C153">
        <f t="shared" si="53"/>
        <v>2030</v>
      </c>
      <c r="D153" t="str">
        <f>+_xlfn.CONCAT(E153,G153)</f>
        <v>47604TOTAL</v>
      </c>
      <c r="E153" s="68">
        <v>47604</v>
      </c>
      <c r="F153" s="61"/>
      <c r="G153" s="44" t="s">
        <v>10</v>
      </c>
      <c r="H153" s="44">
        <v>31</v>
      </c>
      <c r="I153" s="45">
        <f t="shared" ref="I153:AF153" si="63">+SUMPRODUCT(I149:I152,$H149:$H152)</f>
        <v>366754.06644993083</v>
      </c>
      <c r="J153" s="45">
        <f t="shared" si="63"/>
        <v>354606.97647368559</v>
      </c>
      <c r="K153" s="45">
        <f t="shared" si="63"/>
        <v>344628.63785102789</v>
      </c>
      <c r="L153" s="45">
        <f t="shared" si="63"/>
        <v>353426.81571675435</v>
      </c>
      <c r="M153" s="45">
        <f t="shared" si="63"/>
        <v>337869.06407928199</v>
      </c>
      <c r="N153" s="45">
        <f t="shared" si="63"/>
        <v>347813.78544751008</v>
      </c>
      <c r="O153" s="45">
        <f t="shared" si="63"/>
        <v>371255.42708532204</v>
      </c>
      <c r="P153" s="45">
        <f t="shared" si="63"/>
        <v>454847.41464634053</v>
      </c>
      <c r="Q153" s="45">
        <f t="shared" si="63"/>
        <v>513927.83160869742</v>
      </c>
      <c r="R153" s="45">
        <f t="shared" si="63"/>
        <v>535173.15693310252</v>
      </c>
      <c r="S153" s="45">
        <f t="shared" si="63"/>
        <v>543301.4096232747</v>
      </c>
      <c r="T153" s="45">
        <f t="shared" si="63"/>
        <v>549389.50413422135</v>
      </c>
      <c r="U153" s="45">
        <f t="shared" si="63"/>
        <v>520523.49272092606</v>
      </c>
      <c r="V153" s="45">
        <f t="shared" si="63"/>
        <v>547227.01332655177</v>
      </c>
      <c r="W153" s="45">
        <f t="shared" si="63"/>
        <v>555854.63186811202</v>
      </c>
      <c r="X153" s="45">
        <f t="shared" si="63"/>
        <v>559812.84874833073</v>
      </c>
      <c r="Y153" s="45">
        <f t="shared" si="63"/>
        <v>535419.09891108586</v>
      </c>
      <c r="Z153" s="45">
        <f t="shared" si="63"/>
        <v>496778.56048379169</v>
      </c>
      <c r="AA153" s="45">
        <f t="shared" si="63"/>
        <v>447347.64357953268</v>
      </c>
      <c r="AB153" s="45">
        <f t="shared" si="63"/>
        <v>457854.23585507699</v>
      </c>
      <c r="AC153" s="45">
        <f t="shared" si="63"/>
        <v>415218.31099396595</v>
      </c>
      <c r="AD153" s="45">
        <f t="shared" si="63"/>
        <v>401384.17466482177</v>
      </c>
      <c r="AE153" s="45">
        <f t="shared" si="63"/>
        <v>371512.5131786649</v>
      </c>
      <c r="AF153" s="45">
        <f t="shared" si="63"/>
        <v>371359.83893076377</v>
      </c>
      <c r="AG153" s="46">
        <f>SUM(I153:AF153)</f>
        <v>10753286.453310773</v>
      </c>
    </row>
    <row r="154" spans="2:33" ht="14.4" x14ac:dyDescent="0.25">
      <c r="B154">
        <f t="shared" si="52"/>
        <v>6</v>
      </c>
      <c r="C154">
        <f t="shared" si="53"/>
        <v>2030</v>
      </c>
      <c r="D154" t="str">
        <f t="shared" ref="D154:D157" si="64">+_xlfn.CONCAT(B154:C154,G154)</f>
        <v>62030OR</v>
      </c>
      <c r="E154" s="67">
        <v>47635</v>
      </c>
      <c r="F154" s="72">
        <f>+AG158</f>
        <v>9387127.7307546437</v>
      </c>
      <c r="G154" s="37" t="s">
        <v>57</v>
      </c>
      <c r="H154" s="37">
        <v>18</v>
      </c>
      <c r="I154" s="65">
        <v>13577.301871174735</v>
      </c>
      <c r="J154" s="65">
        <v>13151.893051585948</v>
      </c>
      <c r="K154" s="65">
        <v>12737.520992606713</v>
      </c>
      <c r="L154" s="65">
        <v>13048.457812355655</v>
      </c>
      <c r="M154" s="65">
        <v>12467.301761824025</v>
      </c>
      <c r="N154" s="65">
        <v>12897.641331878644</v>
      </c>
      <c r="O154" s="65">
        <v>14284.954743680692</v>
      </c>
      <c r="P154" s="65">
        <v>17611.01476812148</v>
      </c>
      <c r="Q154" s="65">
        <v>19949.121572625081</v>
      </c>
      <c r="R154" s="65">
        <v>20773.211665427643</v>
      </c>
      <c r="S154" s="65">
        <v>21270.669128379963</v>
      </c>
      <c r="T154" s="65">
        <v>21572.227703895263</v>
      </c>
      <c r="U154" s="65">
        <v>20521.057782844808</v>
      </c>
      <c r="V154" s="65">
        <v>21703.273361318927</v>
      </c>
      <c r="W154" s="65">
        <v>22213.16222288716</v>
      </c>
      <c r="X154" s="65">
        <v>22354.036954398376</v>
      </c>
      <c r="Y154" s="65">
        <v>21341.739878707198</v>
      </c>
      <c r="Z154" s="65">
        <v>19545.822115522536</v>
      </c>
      <c r="AA154" s="65">
        <v>17582.423190926314</v>
      </c>
      <c r="AB154" s="65">
        <v>17681.821070764745</v>
      </c>
      <c r="AC154" s="65">
        <v>15928.305252003684</v>
      </c>
      <c r="AD154" s="65">
        <v>15424.077063067267</v>
      </c>
      <c r="AE154" s="65">
        <v>14239.141767055953</v>
      </c>
      <c r="AF154" s="65">
        <v>14333.798539375282</v>
      </c>
      <c r="AG154" s="38">
        <f>+SUM(I154:AF154)*H154</f>
        <v>7491779.5608437061</v>
      </c>
    </row>
    <row r="155" spans="2:33" ht="14.4" x14ac:dyDescent="0.25">
      <c r="B155">
        <f t="shared" si="52"/>
        <v>6</v>
      </c>
      <c r="C155">
        <f t="shared" si="53"/>
        <v>2030</v>
      </c>
      <c r="D155" t="str">
        <f t="shared" si="64"/>
        <v>62030SA</v>
      </c>
      <c r="E155" s="68">
        <v>47635</v>
      </c>
      <c r="F155" s="73"/>
      <c r="G155" s="39" t="s">
        <v>60</v>
      </c>
      <c r="H155" s="39">
        <v>5</v>
      </c>
      <c r="I155" s="65">
        <v>11353.450562204667</v>
      </c>
      <c r="J155" s="65">
        <v>10705.715410186553</v>
      </c>
      <c r="K155" s="65">
        <v>10904.584247716928</v>
      </c>
      <c r="L155" s="65">
        <v>11437.872757262237</v>
      </c>
      <c r="M155" s="65">
        <v>11055.004075466164</v>
      </c>
      <c r="N155" s="65">
        <v>11302.989024932074</v>
      </c>
      <c r="O155" s="65">
        <v>11278.832418672198</v>
      </c>
      <c r="P155" s="65">
        <v>13812.681894950903</v>
      </c>
      <c r="Q155" s="65">
        <v>15398.150892725122</v>
      </c>
      <c r="R155" s="65">
        <v>15908.797960872747</v>
      </c>
      <c r="S155" s="65">
        <v>15779.098867734323</v>
      </c>
      <c r="T155" s="65">
        <v>15985.284690266664</v>
      </c>
      <c r="U155" s="65">
        <v>15235.863229864146</v>
      </c>
      <c r="V155" s="65">
        <v>15640.953849933281</v>
      </c>
      <c r="W155" s="65">
        <v>15043.436663979321</v>
      </c>
      <c r="X155" s="65">
        <v>14538.729917098424</v>
      </c>
      <c r="Y155" s="65">
        <v>13770.809083919259</v>
      </c>
      <c r="Z155" s="65">
        <v>13433.907497892349</v>
      </c>
      <c r="AA155" s="65">
        <v>12633.967326960781</v>
      </c>
      <c r="AB155" s="65">
        <v>13424.708600541291</v>
      </c>
      <c r="AC155" s="65">
        <v>12831.663732044941</v>
      </c>
      <c r="AD155" s="65">
        <v>12099.231768727979</v>
      </c>
      <c r="AE155" s="65">
        <v>11138.745469551344</v>
      </c>
      <c r="AF155" s="65">
        <v>10521.736142423804</v>
      </c>
      <c r="AG155" s="40">
        <f>+SUM(I155:AF155)*H155</f>
        <v>1576181.0804296378</v>
      </c>
    </row>
    <row r="156" spans="2:33" ht="14.4" x14ac:dyDescent="0.25">
      <c r="B156">
        <f t="shared" si="52"/>
        <v>6</v>
      </c>
      <c r="C156">
        <f t="shared" si="53"/>
        <v>2030</v>
      </c>
      <c r="D156" t="str">
        <f t="shared" si="64"/>
        <v>62030DO</v>
      </c>
      <c r="E156" s="68">
        <v>47635</v>
      </c>
      <c r="F156" s="73"/>
      <c r="G156" s="41" t="s">
        <v>58</v>
      </c>
      <c r="H156" s="41">
        <v>5</v>
      </c>
      <c r="I156" s="65">
        <v>3029.8186980528517</v>
      </c>
      <c r="J156" s="65">
        <v>3038.0608964943531</v>
      </c>
      <c r="K156" s="65">
        <v>2712.8724131034651</v>
      </c>
      <c r="L156" s="65">
        <v>2694.1840540274607</v>
      </c>
      <c r="M156" s="65">
        <v>2549.206562987034</v>
      </c>
      <c r="N156" s="65">
        <v>2920.9016300691073</v>
      </c>
      <c r="O156" s="65">
        <v>1854.9080702467763</v>
      </c>
      <c r="P156" s="65">
        <v>1808.2554146035727</v>
      </c>
      <c r="Q156" s="65">
        <v>1876.5575192884753</v>
      </c>
      <c r="R156" s="65">
        <v>2013.6237986009728</v>
      </c>
      <c r="S156" s="65">
        <v>1419.5959047622091</v>
      </c>
      <c r="T156" s="65">
        <v>1236.009318178476</v>
      </c>
      <c r="U156" s="65">
        <v>654.41648936431011</v>
      </c>
      <c r="V156" s="65">
        <v>426.60577217108948</v>
      </c>
      <c r="W156" s="65">
        <v>379.40621803515751</v>
      </c>
      <c r="X156" s="65">
        <v>1103.8979495658314</v>
      </c>
      <c r="Y156" s="65">
        <v>1349.4148169451437</v>
      </c>
      <c r="Z156" s="65">
        <v>1754.9720254436179</v>
      </c>
      <c r="AA156" s="65">
        <v>1086.8816938790806</v>
      </c>
      <c r="AB156" s="65">
        <v>2066.1583468337922</v>
      </c>
      <c r="AC156" s="65">
        <v>1937.5531948174466</v>
      </c>
      <c r="AD156" s="65">
        <v>2103.7332815071277</v>
      </c>
      <c r="AE156" s="65">
        <v>2212.2010063253729</v>
      </c>
      <c r="AF156" s="65">
        <v>2289.5738661760915</v>
      </c>
      <c r="AG156" s="40">
        <f>+SUM(I156:AF156)*H156</f>
        <v>222594.04470739409</v>
      </c>
    </row>
    <row r="157" spans="2:33" ht="14.4" x14ac:dyDescent="0.25">
      <c r="B157">
        <f t="shared" si="52"/>
        <v>6</v>
      </c>
      <c r="C157">
        <f t="shared" si="53"/>
        <v>2030</v>
      </c>
      <c r="D157" t="str">
        <f t="shared" si="64"/>
        <v>62030FE</v>
      </c>
      <c r="E157" s="68">
        <v>47635</v>
      </c>
      <c r="F157" s="73"/>
      <c r="G157" s="42" t="s">
        <v>59</v>
      </c>
      <c r="H157" s="42">
        <v>2</v>
      </c>
      <c r="I157" s="65">
        <v>6859.8468213341057</v>
      </c>
      <c r="J157" s="65">
        <v>6673.1538713406371</v>
      </c>
      <c r="K157" s="65">
        <v>6335.779893249819</v>
      </c>
      <c r="L157" s="65">
        <v>6279.1745518694224</v>
      </c>
      <c r="M157" s="65">
        <v>5560.0673142185005</v>
      </c>
      <c r="N157" s="65">
        <v>3422.2074531748694</v>
      </c>
      <c r="O157" s="65">
        <v>295.39785034532542</v>
      </c>
      <c r="P157" s="65">
        <v>397.13417338192085</v>
      </c>
      <c r="Q157" s="65">
        <v>1096.6240960781179</v>
      </c>
      <c r="R157" s="65">
        <v>1407.8400729387868</v>
      </c>
      <c r="S157" s="65">
        <v>1211.7167671635834</v>
      </c>
      <c r="T157" s="65">
        <v>430.91119725706812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865.08031562717224</v>
      </c>
      <c r="AA157" s="65">
        <v>721.81359924775461</v>
      </c>
      <c r="AB157" s="65">
        <v>2210.6407031492708</v>
      </c>
      <c r="AC157" s="65">
        <v>1305.3071775789758</v>
      </c>
      <c r="AD157" s="65">
        <v>1148.1250825457537</v>
      </c>
      <c r="AE157" s="65">
        <v>1018.4938456606469</v>
      </c>
      <c r="AF157" s="65">
        <v>1047.2076007912583</v>
      </c>
      <c r="AG157" s="43">
        <f>+SUM(I157:AF157)*H157</f>
        <v>96573.044773905975</v>
      </c>
    </row>
    <row r="158" spans="2:33" ht="15" thickBot="1" x14ac:dyDescent="0.3">
      <c r="B158">
        <f t="shared" si="52"/>
        <v>6</v>
      </c>
      <c r="C158">
        <f t="shared" si="53"/>
        <v>2030</v>
      </c>
      <c r="D158" t="str">
        <f>+_xlfn.CONCAT(E158,G158)</f>
        <v>47635TOTAL</v>
      </c>
      <c r="E158" s="68">
        <v>47635</v>
      </c>
      <c r="F158" s="61"/>
      <c r="G158" s="44" t="s">
        <v>10</v>
      </c>
      <c r="H158" s="44">
        <v>30</v>
      </c>
      <c r="I158" s="45">
        <f t="shared" ref="I158:AF158" si="65">+SUMPRODUCT(I154:I157,$H154:$H157)</f>
        <v>330027.47362510103</v>
      </c>
      <c r="J158" s="45">
        <f t="shared" si="65"/>
        <v>318799.2642046329</v>
      </c>
      <c r="K158" s="45">
        <f t="shared" si="65"/>
        <v>310034.22095752246</v>
      </c>
      <c r="L158" s="45">
        <f t="shared" si="65"/>
        <v>318090.87378258916</v>
      </c>
      <c r="M158" s="45">
        <f t="shared" si="65"/>
        <v>303552.61953353544</v>
      </c>
      <c r="N158" s="45">
        <f t="shared" si="65"/>
        <v>310121.41215517122</v>
      </c>
      <c r="O158" s="45">
        <f t="shared" si="65"/>
        <v>323388.68353153794</v>
      </c>
      <c r="P158" s="45">
        <f t="shared" si="65"/>
        <v>395897.22072072286</v>
      </c>
      <c r="Q158" s="45">
        <f t="shared" si="65"/>
        <v>447650.97855947568</v>
      </c>
      <c r="R158" s="45">
        <f t="shared" si="65"/>
        <v>466345.59892094374</v>
      </c>
      <c r="S158" s="45">
        <f t="shared" si="65"/>
        <v>471288.95170764916</v>
      </c>
      <c r="T158" s="45">
        <f t="shared" si="65"/>
        <v>475268.39110685454</v>
      </c>
      <c r="U158" s="45">
        <f t="shared" si="65"/>
        <v>448830.43868734885</v>
      </c>
      <c r="V158" s="45">
        <f t="shared" si="65"/>
        <v>470996.71861426253</v>
      </c>
      <c r="W158" s="45">
        <f t="shared" si="65"/>
        <v>476951.1344220413</v>
      </c>
      <c r="X158" s="45">
        <f t="shared" si="65"/>
        <v>480585.80451249203</v>
      </c>
      <c r="Y158" s="45">
        <f t="shared" si="65"/>
        <v>459752.43732105155</v>
      </c>
      <c r="Z158" s="45">
        <f t="shared" si="65"/>
        <v>429499.35632733977</v>
      </c>
      <c r="AA158" s="45">
        <f t="shared" si="65"/>
        <v>386531.4897393685</v>
      </c>
      <c r="AB158" s="45">
        <f t="shared" si="65"/>
        <v>400148.3954169394</v>
      </c>
      <c r="AC158" s="45">
        <f t="shared" si="65"/>
        <v>363166.19352553616</v>
      </c>
      <c r="AD158" s="45">
        <f t="shared" si="65"/>
        <v>350944.46255147783</v>
      </c>
      <c r="AE158" s="45">
        <f t="shared" si="65"/>
        <v>325096.27187771205</v>
      </c>
      <c r="AF158" s="45">
        <f t="shared" si="65"/>
        <v>324159.33895333711</v>
      </c>
      <c r="AG158" s="46">
        <f>SUM(I158:AF158)</f>
        <v>9387127.7307546437</v>
      </c>
    </row>
    <row r="159" spans="2:33" ht="14.4" x14ac:dyDescent="0.25">
      <c r="B159">
        <f t="shared" si="52"/>
        <v>7</v>
      </c>
      <c r="C159">
        <f t="shared" si="53"/>
        <v>2030</v>
      </c>
      <c r="D159" t="str">
        <f t="shared" ref="D159:D162" si="66">+_xlfn.CONCAT(B159:C159,G159)</f>
        <v>72030OR</v>
      </c>
      <c r="E159" s="67">
        <v>47665</v>
      </c>
      <c r="F159" s="72">
        <f>+AG163</f>
        <v>10524049.608029841</v>
      </c>
      <c r="G159" s="37" t="s">
        <v>57</v>
      </c>
      <c r="H159" s="37">
        <v>22</v>
      </c>
      <c r="I159" s="65">
        <v>13794.320496877037</v>
      </c>
      <c r="J159" s="65">
        <v>13366.781136226427</v>
      </c>
      <c r="K159" s="65">
        <v>12950.346605448283</v>
      </c>
      <c r="L159" s="65">
        <v>13258.398239174456</v>
      </c>
      <c r="M159" s="65">
        <v>12681.242597901386</v>
      </c>
      <c r="N159" s="65">
        <v>13123.454086162272</v>
      </c>
      <c r="O159" s="65">
        <v>14542.136219015787</v>
      </c>
      <c r="P159" s="65">
        <v>17894.818340758779</v>
      </c>
      <c r="Q159" s="65">
        <v>20257.628344167155</v>
      </c>
      <c r="R159" s="65">
        <v>21098.468128021977</v>
      </c>
      <c r="S159" s="65">
        <v>21612.495437584046</v>
      </c>
      <c r="T159" s="65">
        <v>21923.863086878093</v>
      </c>
      <c r="U159" s="65">
        <v>20864.832221465364</v>
      </c>
      <c r="V159" s="65">
        <v>22046.531533385205</v>
      </c>
      <c r="W159" s="65">
        <v>22558.463691859841</v>
      </c>
      <c r="X159" s="65">
        <v>22696.957506031442</v>
      </c>
      <c r="Y159" s="65">
        <v>21681.854193202857</v>
      </c>
      <c r="Z159" s="65">
        <v>19873.649961848339</v>
      </c>
      <c r="AA159" s="65">
        <v>17889.343693964936</v>
      </c>
      <c r="AB159" s="65">
        <v>17974.956779203883</v>
      </c>
      <c r="AC159" s="65">
        <v>16205.121026625407</v>
      </c>
      <c r="AD159" s="65">
        <v>15681.216938059973</v>
      </c>
      <c r="AE159" s="65">
        <v>14478.566101767989</v>
      </c>
      <c r="AF159" s="65">
        <v>14566.728375602419</v>
      </c>
      <c r="AG159" s="38">
        <f>+SUM(I159:AF159)*H159</f>
        <v>9306487.8443071339</v>
      </c>
    </row>
    <row r="160" spans="2:33" ht="14.4" x14ac:dyDescent="0.25">
      <c r="B160">
        <f t="shared" si="52"/>
        <v>7</v>
      </c>
      <c r="C160">
        <f t="shared" si="53"/>
        <v>2030</v>
      </c>
      <c r="D160" t="str">
        <f t="shared" si="66"/>
        <v>72030SA</v>
      </c>
      <c r="E160" s="68">
        <v>47665</v>
      </c>
      <c r="F160" s="73"/>
      <c r="G160" s="39" t="s">
        <v>60</v>
      </c>
      <c r="H160" s="39">
        <v>3</v>
      </c>
      <c r="I160" s="65">
        <v>11441.603693753787</v>
      </c>
      <c r="J160" s="65">
        <v>10791.896257176424</v>
      </c>
      <c r="K160" s="65">
        <v>10988.724890859934</v>
      </c>
      <c r="L160" s="65">
        <v>11520.588617587064</v>
      </c>
      <c r="M160" s="65">
        <v>11138.310253565658</v>
      </c>
      <c r="N160" s="65">
        <v>11387.753575109025</v>
      </c>
      <c r="O160" s="65">
        <v>11369.816894864511</v>
      </c>
      <c r="P160" s="65">
        <v>13911.257357060435</v>
      </c>
      <c r="Q160" s="65">
        <v>15504.504464201129</v>
      </c>
      <c r="R160" s="65">
        <v>16021.754640065861</v>
      </c>
      <c r="S160" s="65">
        <v>15898.692699570529</v>
      </c>
      <c r="T160" s="65">
        <v>16106.633470705046</v>
      </c>
      <c r="U160" s="65">
        <v>15351.45015609354</v>
      </c>
      <c r="V160" s="65">
        <v>15753.758023888708</v>
      </c>
      <c r="W160" s="65">
        <v>15155.055026426484</v>
      </c>
      <c r="X160" s="65">
        <v>14648.527343456391</v>
      </c>
      <c r="Y160" s="65">
        <v>13879.516851205095</v>
      </c>
      <c r="Z160" s="65">
        <v>13540.060940705831</v>
      </c>
      <c r="AA160" s="65">
        <v>12738.090913030284</v>
      </c>
      <c r="AB160" s="65">
        <v>13523.681655157176</v>
      </c>
      <c r="AC160" s="65">
        <v>12923.632038016316</v>
      </c>
      <c r="AD160" s="65">
        <v>12182.672162765804</v>
      </c>
      <c r="AE160" s="65">
        <v>11214.369801241533</v>
      </c>
      <c r="AF160" s="65">
        <v>10595.142067776778</v>
      </c>
      <c r="AG160" s="40">
        <f>+SUM(I160:AF160)*H160</f>
        <v>952762.48138285009</v>
      </c>
    </row>
    <row r="161" spans="2:33" ht="14.4" x14ac:dyDescent="0.25">
      <c r="B161">
        <f t="shared" si="52"/>
        <v>7</v>
      </c>
      <c r="C161">
        <f t="shared" si="53"/>
        <v>2030</v>
      </c>
      <c r="D161" t="str">
        <f t="shared" si="66"/>
        <v>72030DO</v>
      </c>
      <c r="E161" s="68">
        <v>47665</v>
      </c>
      <c r="F161" s="73"/>
      <c r="G161" s="41" t="s">
        <v>58</v>
      </c>
      <c r="H161" s="41">
        <v>4</v>
      </c>
      <c r="I161" s="65">
        <v>2839.6864421062819</v>
      </c>
      <c r="J161" s="65">
        <v>2851.6412010263703</v>
      </c>
      <c r="K161" s="65">
        <v>2525.2279199171608</v>
      </c>
      <c r="L161" s="65">
        <v>2509.4836262756544</v>
      </c>
      <c r="M161" s="65">
        <v>2364.8687772363483</v>
      </c>
      <c r="N161" s="65">
        <v>2742.7190879743321</v>
      </c>
      <c r="O161" s="65">
        <v>1673.574396499178</v>
      </c>
      <c r="P161" s="65">
        <v>1612.7623690722321</v>
      </c>
      <c r="Q161" s="65">
        <v>1671.2507221099622</v>
      </c>
      <c r="R161" s="65">
        <v>1801.7970780474316</v>
      </c>
      <c r="S161" s="65">
        <v>1196.0214941876002</v>
      </c>
      <c r="T161" s="65">
        <v>1007.2863472926729</v>
      </c>
      <c r="U161" s="65">
        <v>426.02710742644194</v>
      </c>
      <c r="V161" s="65">
        <v>195.48603283560078</v>
      </c>
      <c r="W161" s="65">
        <v>153.16150843122887</v>
      </c>
      <c r="X161" s="65">
        <v>877.19999470991388</v>
      </c>
      <c r="Y161" s="65">
        <v>1123.8109950138933</v>
      </c>
      <c r="Z161" s="65">
        <v>1536.4883184683713</v>
      </c>
      <c r="AA161" s="65">
        <v>862.5902601345515</v>
      </c>
      <c r="AB161" s="65">
        <v>1854.9807495044624</v>
      </c>
      <c r="AC161" s="65">
        <v>1739.16790981546</v>
      </c>
      <c r="AD161" s="65">
        <v>1919.5636437458052</v>
      </c>
      <c r="AE161" s="65">
        <v>2034.5898053519595</v>
      </c>
      <c r="AF161" s="65">
        <v>2117.8609881646462</v>
      </c>
      <c r="AG161" s="40">
        <f>+SUM(I161:AF161)*H161</f>
        <v>158548.98710139023</v>
      </c>
    </row>
    <row r="162" spans="2:33" ht="14.4" x14ac:dyDescent="0.25">
      <c r="B162">
        <f t="shared" si="52"/>
        <v>7</v>
      </c>
      <c r="C162">
        <f t="shared" si="53"/>
        <v>2030</v>
      </c>
      <c r="D162" t="str">
        <f t="shared" si="66"/>
        <v>72030FE</v>
      </c>
      <c r="E162" s="68">
        <v>47665</v>
      </c>
      <c r="F162" s="73"/>
      <c r="G162" s="42" t="s">
        <v>59</v>
      </c>
      <c r="H162" s="42">
        <v>2</v>
      </c>
      <c r="I162" s="65">
        <v>7052.6996749355221</v>
      </c>
      <c r="J162" s="65">
        <v>6863.0146333562971</v>
      </c>
      <c r="K162" s="65">
        <v>6524.8240376428985</v>
      </c>
      <c r="L162" s="65">
        <v>6465.6546722832863</v>
      </c>
      <c r="M162" s="65">
        <v>5752.2706937733965</v>
      </c>
      <c r="N162" s="65">
        <v>3640.0766483676161</v>
      </c>
      <c r="O162" s="65">
        <v>537.58387228159336</v>
      </c>
      <c r="P162" s="65">
        <v>654.16697635329183</v>
      </c>
      <c r="Q162" s="65">
        <v>1356.4156912745202</v>
      </c>
      <c r="R162" s="65">
        <v>1675.4170694117347</v>
      </c>
      <c r="S162" s="65">
        <v>1492.8862179744428</v>
      </c>
      <c r="T162" s="65">
        <v>728.63722309323202</v>
      </c>
      <c r="U162" s="65">
        <v>0</v>
      </c>
      <c r="V162" s="65">
        <v>0</v>
      </c>
      <c r="W162" s="65">
        <v>0</v>
      </c>
      <c r="X162" s="65">
        <v>248.40997557953597</v>
      </c>
      <c r="Y162" s="65">
        <v>0</v>
      </c>
      <c r="Z162" s="65">
        <v>1147.4675891968</v>
      </c>
      <c r="AA162" s="65">
        <v>1002.7367404104807</v>
      </c>
      <c r="AB162" s="65">
        <v>2475.929666072956</v>
      </c>
      <c r="AC162" s="65">
        <v>1564.5356038650098</v>
      </c>
      <c r="AD162" s="65">
        <v>1395.4735216842091</v>
      </c>
      <c r="AE162" s="65">
        <v>1261.312871733342</v>
      </c>
      <c r="AF162" s="65">
        <v>1285.6342399437999</v>
      </c>
      <c r="AG162" s="43">
        <f>+SUM(I162:AF162)*H162</f>
        <v>106250.29523846792</v>
      </c>
    </row>
    <row r="163" spans="2:33" ht="15" thickBot="1" x14ac:dyDescent="0.3">
      <c r="B163">
        <f t="shared" si="52"/>
        <v>7</v>
      </c>
      <c r="C163">
        <f t="shared" si="53"/>
        <v>2030</v>
      </c>
      <c r="D163" t="str">
        <f>+_xlfn.CONCAT(E163,G163)</f>
        <v>47665TOTAL</v>
      </c>
      <c r="E163" s="68">
        <v>47665</v>
      </c>
      <c r="F163" s="61"/>
      <c r="G163" s="44" t="s">
        <v>10</v>
      </c>
      <c r="H163" s="44">
        <v>31</v>
      </c>
      <c r="I163" s="45">
        <f t="shared" ref="I163:AF163" si="67">+SUMPRODUCT(I159:I162,$H159:$H162)</f>
        <v>363264.00713085232</v>
      </c>
      <c r="J163" s="45">
        <f t="shared" si="67"/>
        <v>351577.4678393288</v>
      </c>
      <c r="K163" s="45">
        <f t="shared" si="67"/>
        <v>341024.35974739643</v>
      </c>
      <c r="L163" s="45">
        <f t="shared" si="67"/>
        <v>349215.77096426848</v>
      </c>
      <c r="M163" s="45">
        <f t="shared" si="67"/>
        <v>333366.2844110197</v>
      </c>
      <c r="N163" s="45">
        <f t="shared" si="67"/>
        <v>341130.28026952961</v>
      </c>
      <c r="O163" s="45">
        <f t="shared" si="67"/>
        <v>361805.91283350077</v>
      </c>
      <c r="P163" s="45">
        <f t="shared" si="67"/>
        <v>443179.15899686998</v>
      </c>
      <c r="Q163" s="45">
        <f t="shared" si="67"/>
        <v>501579.17123526969</v>
      </c>
      <c r="R163" s="45">
        <f t="shared" si="67"/>
        <v>522789.58518769429</v>
      </c>
      <c r="S163" s="45">
        <f t="shared" si="67"/>
        <v>530940.83613825974</v>
      </c>
      <c r="T163" s="45">
        <f t="shared" si="67"/>
        <v>536131.30815879034</v>
      </c>
      <c r="U163" s="45">
        <f t="shared" si="67"/>
        <v>506784.76777022437</v>
      </c>
      <c r="V163" s="45">
        <f t="shared" si="67"/>
        <v>533066.91193748312</v>
      </c>
      <c r="W163" s="45">
        <f t="shared" si="67"/>
        <v>542364.01233392081</v>
      </c>
      <c r="X163" s="45">
        <f t="shared" si="67"/>
        <v>547284.26709305961</v>
      </c>
      <c r="Y163" s="45">
        <f t="shared" si="67"/>
        <v>523134.58678413369</v>
      </c>
      <c r="Z163" s="45">
        <f t="shared" si="67"/>
        <v>486281.37043504807</v>
      </c>
      <c r="AA163" s="45">
        <f t="shared" si="67"/>
        <v>437235.66852767864</v>
      </c>
      <c r="AB163" s="45">
        <f t="shared" si="67"/>
        <v>448391.87643812073</v>
      </c>
      <c r="AC163" s="45">
        <f t="shared" si="67"/>
        <v>405369.30154679978</v>
      </c>
      <c r="AD163" s="45">
        <f t="shared" si="67"/>
        <v>392003.99074396846</v>
      </c>
      <c r="AE163" s="45">
        <f t="shared" si="67"/>
        <v>362832.54860749486</v>
      </c>
      <c r="AF163" s="45">
        <f t="shared" si="67"/>
        <v>363296.16289912967</v>
      </c>
      <c r="AG163" s="46">
        <f>SUM(I163:AF163)</f>
        <v>10524049.608029841</v>
      </c>
    </row>
    <row r="164" spans="2:33" ht="14.4" x14ac:dyDescent="0.25">
      <c r="B164">
        <f t="shared" si="52"/>
        <v>8</v>
      </c>
      <c r="C164">
        <f t="shared" si="53"/>
        <v>2030</v>
      </c>
      <c r="D164" t="str">
        <f t="shared" ref="D164:D167" si="68">+_xlfn.CONCAT(B164:C164,G164)</f>
        <v>82030OR</v>
      </c>
      <c r="E164" s="67">
        <v>47696</v>
      </c>
      <c r="F164" s="72">
        <f>+AG168</f>
        <v>10350116.682708731</v>
      </c>
      <c r="G164" s="37" t="s">
        <v>57</v>
      </c>
      <c r="H164" s="37">
        <v>20</v>
      </c>
      <c r="I164" s="65">
        <v>13803.528345389666</v>
      </c>
      <c r="J164" s="65">
        <v>13375.090223021523</v>
      </c>
      <c r="K164" s="65">
        <v>12957.42983256687</v>
      </c>
      <c r="L164" s="65">
        <v>13264.58407367222</v>
      </c>
      <c r="M164" s="65">
        <v>12685.320768000347</v>
      </c>
      <c r="N164" s="65">
        <v>13123.560872277973</v>
      </c>
      <c r="O164" s="65">
        <v>14539.195912409961</v>
      </c>
      <c r="P164" s="65">
        <v>17896.049748388821</v>
      </c>
      <c r="Q164" s="65">
        <v>20263.117498812906</v>
      </c>
      <c r="R164" s="65">
        <v>21108.576981792408</v>
      </c>
      <c r="S164" s="65">
        <v>21622.436284071573</v>
      </c>
      <c r="T164" s="65">
        <v>21934.55182488693</v>
      </c>
      <c r="U164" s="65">
        <v>20873.809044886038</v>
      </c>
      <c r="V164" s="65">
        <v>22057.681797408863</v>
      </c>
      <c r="W164" s="65">
        <v>22570.739122160317</v>
      </c>
      <c r="X164" s="65">
        <v>22707.983318957369</v>
      </c>
      <c r="Y164" s="65">
        <v>21691.439639283304</v>
      </c>
      <c r="Z164" s="65">
        <v>19880.942425428635</v>
      </c>
      <c r="AA164" s="65">
        <v>17894.982991039498</v>
      </c>
      <c r="AB164" s="65">
        <v>17983.404657750158</v>
      </c>
      <c r="AC164" s="65">
        <v>16212.303175367013</v>
      </c>
      <c r="AD164" s="65">
        <v>15689.114666931355</v>
      </c>
      <c r="AE164" s="65">
        <v>14487.617108022245</v>
      </c>
      <c r="AF164" s="65">
        <v>14575.411248259887</v>
      </c>
      <c r="AG164" s="38">
        <f>+SUM(I164:AF164)*H164</f>
        <v>8463977.4312157184</v>
      </c>
    </row>
    <row r="165" spans="2:33" ht="14.4" x14ac:dyDescent="0.25">
      <c r="B165">
        <f t="shared" si="52"/>
        <v>8</v>
      </c>
      <c r="C165">
        <f t="shared" si="53"/>
        <v>2030</v>
      </c>
      <c r="D165" t="str">
        <f t="shared" si="68"/>
        <v>82030SA</v>
      </c>
      <c r="E165" s="68">
        <v>47696</v>
      </c>
      <c r="F165" s="73"/>
      <c r="G165" s="39" t="s">
        <v>60</v>
      </c>
      <c r="H165" s="39">
        <v>5</v>
      </c>
      <c r="I165" s="65">
        <v>11483.133598255474</v>
      </c>
      <c r="J165" s="65">
        <v>10832.416323956408</v>
      </c>
      <c r="K165" s="65">
        <v>11028.810938580118</v>
      </c>
      <c r="L165" s="65">
        <v>11560.383604241903</v>
      </c>
      <c r="M165" s="65">
        <v>11177.018880612079</v>
      </c>
      <c r="N165" s="65">
        <v>11423.951571615242</v>
      </c>
      <c r="O165" s="65">
        <v>11407.029481617461</v>
      </c>
      <c r="P165" s="65">
        <v>13954.111586542353</v>
      </c>
      <c r="Q165" s="65">
        <v>15552.401148755031</v>
      </c>
      <c r="R165" s="65">
        <v>16076.134970263369</v>
      </c>
      <c r="S165" s="65">
        <v>15955.94910161444</v>
      </c>
      <c r="T165" s="65">
        <v>16166.136789956265</v>
      </c>
      <c r="U165" s="65">
        <v>15407.668513720337</v>
      </c>
      <c r="V165" s="65">
        <v>15810.947306296735</v>
      </c>
      <c r="W165" s="65">
        <v>15210.450188149825</v>
      </c>
      <c r="X165" s="65">
        <v>14701.0329599574</v>
      </c>
      <c r="Y165" s="65">
        <v>13930.539349623403</v>
      </c>
      <c r="Z165" s="65">
        <v>13589.031357876753</v>
      </c>
      <c r="AA165" s="65">
        <v>12786.243956895618</v>
      </c>
      <c r="AB165" s="65">
        <v>13572.48174494975</v>
      </c>
      <c r="AC165" s="65">
        <v>12968.328220721014</v>
      </c>
      <c r="AD165" s="65">
        <v>12222.458684730431</v>
      </c>
      <c r="AE165" s="65">
        <v>11249.601249804115</v>
      </c>
      <c r="AF165" s="65">
        <v>10629.957663031941</v>
      </c>
      <c r="AG165" s="40">
        <f>+SUM(I165:AF165)*H165</f>
        <v>1593481.0959588378</v>
      </c>
    </row>
    <row r="166" spans="2:33" ht="14.4" x14ac:dyDescent="0.25">
      <c r="B166">
        <f t="shared" si="52"/>
        <v>8</v>
      </c>
      <c r="C166">
        <f t="shared" si="53"/>
        <v>2030</v>
      </c>
      <c r="D166" t="str">
        <f t="shared" si="68"/>
        <v>82030DO</v>
      </c>
      <c r="E166" s="68">
        <v>47696</v>
      </c>
      <c r="F166" s="73"/>
      <c r="G166" s="41" t="s">
        <v>58</v>
      </c>
      <c r="H166" s="41">
        <v>4</v>
      </c>
      <c r="I166" s="65">
        <v>3264.6724716996687</v>
      </c>
      <c r="J166" s="65">
        <v>3266.9934406241118</v>
      </c>
      <c r="K166" s="65">
        <v>2937.9862482414792</v>
      </c>
      <c r="L166" s="65">
        <v>2917.2054443086054</v>
      </c>
      <c r="M166" s="65">
        <v>2770.6677682426525</v>
      </c>
      <c r="N166" s="65">
        <v>3139.5592787158275</v>
      </c>
      <c r="O166" s="65">
        <v>2071.3903587562272</v>
      </c>
      <c r="P166" s="65">
        <v>2036.0220197792041</v>
      </c>
      <c r="Q166" s="65">
        <v>2112.3560416265718</v>
      </c>
      <c r="R166" s="65">
        <v>2258.9475360441756</v>
      </c>
      <c r="S166" s="65">
        <v>1682.4431111576669</v>
      </c>
      <c r="T166" s="65">
        <v>1509.749043970387</v>
      </c>
      <c r="U166" s="65">
        <v>925.83435688833197</v>
      </c>
      <c r="V166" s="65">
        <v>697.79838578844283</v>
      </c>
      <c r="W166" s="65">
        <v>643.84850313799689</v>
      </c>
      <c r="X166" s="65">
        <v>1367.5896249126235</v>
      </c>
      <c r="Y166" s="65">
        <v>1609.8787227291177</v>
      </c>
      <c r="Z166" s="65">
        <v>2014.0436063545967</v>
      </c>
      <c r="AA166" s="65">
        <v>1346.9952790299103</v>
      </c>
      <c r="AB166" s="65">
        <v>2317.8197744741046</v>
      </c>
      <c r="AC166" s="65">
        <v>2172.8243077709994</v>
      </c>
      <c r="AD166" s="65">
        <v>2327.5058171166675</v>
      </c>
      <c r="AE166" s="65">
        <v>2427.5052644913994</v>
      </c>
      <c r="AF166" s="65">
        <v>2501.2625576163446</v>
      </c>
      <c r="AG166" s="40">
        <f>+SUM(I166:AF166)*H166</f>
        <v>201283.59585390845</v>
      </c>
    </row>
    <row r="167" spans="2:33" ht="14.4" x14ac:dyDescent="0.25">
      <c r="B167">
        <f t="shared" si="52"/>
        <v>8</v>
      </c>
      <c r="C167">
        <f t="shared" si="53"/>
        <v>2030</v>
      </c>
      <c r="D167" t="str">
        <f t="shared" si="68"/>
        <v>82030FE</v>
      </c>
      <c r="E167" s="68">
        <v>47696</v>
      </c>
      <c r="F167" s="73"/>
      <c r="G167" s="42" t="s">
        <v>59</v>
      </c>
      <c r="H167" s="42">
        <v>2</v>
      </c>
      <c r="I167" s="65">
        <v>6765.2082862985917</v>
      </c>
      <c r="J167" s="65">
        <v>6578.3255128228247</v>
      </c>
      <c r="K167" s="65">
        <v>6238.2362207898404</v>
      </c>
      <c r="L167" s="65">
        <v>6183.7029581188617</v>
      </c>
      <c r="M167" s="65">
        <v>5456.7870870756087</v>
      </c>
      <c r="N167" s="65">
        <v>3296.782364240009</v>
      </c>
      <c r="O167" s="65">
        <v>135.42469649477425</v>
      </c>
      <c r="P167" s="65">
        <v>231.76104016933095</v>
      </c>
      <c r="Q167" s="65">
        <v>930.29275413609503</v>
      </c>
      <c r="R167" s="65">
        <v>1242.2442348798941</v>
      </c>
      <c r="S167" s="65">
        <v>1049.8244659927768</v>
      </c>
      <c r="T167" s="65">
        <v>261.49703047887306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693.99925062341936</v>
      </c>
      <c r="AA167" s="65">
        <v>552.29112098370751</v>
      </c>
      <c r="AB167" s="65">
        <v>2069.6695250416087</v>
      </c>
      <c r="AC167" s="65">
        <v>1166.9339347028872</v>
      </c>
      <c r="AD167" s="65">
        <v>1015.9871743282383</v>
      </c>
      <c r="AE167" s="65">
        <v>891.25928435900641</v>
      </c>
      <c r="AF167" s="65">
        <v>927.05289859741606</v>
      </c>
      <c r="AG167" s="43">
        <f>+SUM(I167:AF167)*H167</f>
        <v>91374.559680267543</v>
      </c>
    </row>
    <row r="168" spans="2:33" ht="15" thickBot="1" x14ac:dyDescent="0.3">
      <c r="B168">
        <f t="shared" si="52"/>
        <v>8</v>
      </c>
      <c r="C168">
        <f t="shared" si="53"/>
        <v>2030</v>
      </c>
      <c r="D168" t="str">
        <f>+_xlfn.CONCAT(E168,G168)</f>
        <v>47696TOTAL</v>
      </c>
      <c r="E168" s="68">
        <v>47696</v>
      </c>
      <c r="F168" s="61"/>
      <c r="G168" s="44" t="s">
        <v>10</v>
      </c>
      <c r="H168" s="44">
        <v>31</v>
      </c>
      <c r="I168" s="45">
        <f t="shared" ref="I168:AF168" si="69">+SUMPRODUCT(I164:I167,$H164:$H167)</f>
        <v>360075.34135846654</v>
      </c>
      <c r="J168" s="45">
        <f t="shared" si="69"/>
        <v>347888.51086835458</v>
      </c>
      <c r="K168" s="45">
        <f t="shared" si="69"/>
        <v>338521.06877878355</v>
      </c>
      <c r="L168" s="45">
        <f t="shared" si="69"/>
        <v>347129.82718812604</v>
      </c>
      <c r="M168" s="45">
        <f t="shared" si="69"/>
        <v>331587.7550101892</v>
      </c>
      <c r="N168" s="45">
        <f t="shared" si="69"/>
        <v>338742.77714697894</v>
      </c>
      <c r="O168" s="45">
        <f t="shared" si="69"/>
        <v>356375.47648430098</v>
      </c>
      <c r="P168" s="45">
        <f t="shared" si="69"/>
        <v>436299.16305994365</v>
      </c>
      <c r="Q168" s="45">
        <f t="shared" si="69"/>
        <v>493334.36539481173</v>
      </c>
      <c r="R168" s="45">
        <f t="shared" si="69"/>
        <v>514072.49310110149</v>
      </c>
      <c r="S168" s="45">
        <f t="shared" si="69"/>
        <v>521057.8925661199</v>
      </c>
      <c r="T168" s="45">
        <f t="shared" si="69"/>
        <v>526083.71068435931</v>
      </c>
      <c r="U168" s="45">
        <f t="shared" si="69"/>
        <v>498217.86089387577</v>
      </c>
      <c r="V168" s="45">
        <f t="shared" si="69"/>
        <v>522999.56602281466</v>
      </c>
      <c r="W168" s="45">
        <f t="shared" si="69"/>
        <v>530042.42739650747</v>
      </c>
      <c r="X168" s="45">
        <f t="shared" si="69"/>
        <v>533135.18967858492</v>
      </c>
      <c r="Y168" s="45">
        <f t="shared" si="69"/>
        <v>509921.00442469952</v>
      </c>
      <c r="Z168" s="45">
        <f t="shared" si="69"/>
        <v>475008.17822462163</v>
      </c>
      <c r="AA168" s="45">
        <f t="shared" si="69"/>
        <v>428323.4429633551</v>
      </c>
      <c r="AB168" s="45">
        <f t="shared" si="69"/>
        <v>440941.12002773152</v>
      </c>
      <c r="AC168" s="45">
        <f t="shared" si="69"/>
        <v>400112.86971143505</v>
      </c>
      <c r="AD168" s="45">
        <f t="shared" si="69"/>
        <v>386236.58437940245</v>
      </c>
      <c r="AE168" s="45">
        <f t="shared" si="69"/>
        <v>357492.88803614903</v>
      </c>
      <c r="AF168" s="45">
        <f t="shared" si="69"/>
        <v>356517.16930801765</v>
      </c>
      <c r="AG168" s="46">
        <f>SUM(I168:AF168)</f>
        <v>10350116.682708731</v>
      </c>
    </row>
    <row r="169" spans="2:33" ht="14.4" x14ac:dyDescent="0.25">
      <c r="B169">
        <f t="shared" si="52"/>
        <v>9</v>
      </c>
      <c r="C169">
        <f t="shared" si="53"/>
        <v>2030</v>
      </c>
      <c r="D169" t="str">
        <f t="shared" ref="D169:D172" si="70">+_xlfn.CONCAT(B169:C169,G169)</f>
        <v>92030OR</v>
      </c>
      <c r="E169" s="67">
        <v>47727</v>
      </c>
      <c r="F169" s="72">
        <f>+AG173</f>
        <v>10503594.00338202</v>
      </c>
      <c r="G169" s="37" t="s">
        <v>57</v>
      </c>
      <c r="H169" s="37">
        <v>21</v>
      </c>
      <c r="I169" s="65">
        <v>13827.725506501854</v>
      </c>
      <c r="J169" s="65">
        <v>13399.094948099952</v>
      </c>
      <c r="K169" s="65">
        <v>12981.268127866668</v>
      </c>
      <c r="L169" s="65">
        <v>13288.143928082727</v>
      </c>
      <c r="M169" s="65">
        <v>12709.453762886169</v>
      </c>
      <c r="N169" s="65">
        <v>13149.267320305638</v>
      </c>
      <c r="O169" s="65">
        <v>14568.644252541497</v>
      </c>
      <c r="P169" s="65">
        <v>17928.296616601114</v>
      </c>
      <c r="Q169" s="65">
        <v>20297.939596186723</v>
      </c>
      <c r="R169" s="65">
        <v>21145.048473052746</v>
      </c>
      <c r="S169" s="65">
        <v>21660.803894978017</v>
      </c>
      <c r="T169" s="65">
        <v>21973.994616196273</v>
      </c>
      <c r="U169" s="65">
        <v>20912.452284145034</v>
      </c>
      <c r="V169" s="65">
        <v>22096.144950784059</v>
      </c>
      <c r="W169" s="65">
        <v>22609.372141686323</v>
      </c>
      <c r="X169" s="65">
        <v>22746.414974494142</v>
      </c>
      <c r="Y169" s="65">
        <v>21729.632147152111</v>
      </c>
      <c r="Z169" s="65">
        <v>19917.863893951831</v>
      </c>
      <c r="AA169" s="65">
        <v>17929.616086761474</v>
      </c>
      <c r="AB169" s="65">
        <v>18016.311385143312</v>
      </c>
      <c r="AC169" s="65">
        <v>16243.422257176664</v>
      </c>
      <c r="AD169" s="65">
        <v>15717.953394812586</v>
      </c>
      <c r="AE169" s="65">
        <v>14514.374272292687</v>
      </c>
      <c r="AF169" s="65">
        <v>14601.449455292892</v>
      </c>
      <c r="AG169" s="38">
        <f>+SUM(I169:AF169)*H169</f>
        <v>8903258.4540268425</v>
      </c>
    </row>
    <row r="170" spans="2:33" ht="14.4" x14ac:dyDescent="0.25">
      <c r="B170">
        <f t="shared" si="52"/>
        <v>9</v>
      </c>
      <c r="C170">
        <f t="shared" si="53"/>
        <v>2030</v>
      </c>
      <c r="D170" t="str">
        <f t="shared" si="70"/>
        <v>92030SA</v>
      </c>
      <c r="E170" s="68">
        <v>47727</v>
      </c>
      <c r="F170" s="73"/>
      <c r="G170" s="39" t="s">
        <v>60</v>
      </c>
      <c r="H170" s="39">
        <v>4</v>
      </c>
      <c r="I170" s="65">
        <v>11771.191735653319</v>
      </c>
      <c r="J170" s="65">
        <v>11114.211736259062</v>
      </c>
      <c r="K170" s="65">
        <v>11302.749590159801</v>
      </c>
      <c r="L170" s="65">
        <v>11828.808288363911</v>
      </c>
      <c r="M170" s="65">
        <v>11450.452715508382</v>
      </c>
      <c r="N170" s="65">
        <v>11709.36944686668</v>
      </c>
      <c r="O170" s="65">
        <v>11717.09672278013</v>
      </c>
      <c r="P170" s="65">
        <v>14284.321328160422</v>
      </c>
      <c r="Q170" s="65">
        <v>15904.916476696577</v>
      </c>
      <c r="R170" s="65">
        <v>16442.613351001793</v>
      </c>
      <c r="S170" s="65">
        <v>16344.681795215416</v>
      </c>
      <c r="T170" s="65">
        <v>16557.398277492684</v>
      </c>
      <c r="U170" s="65">
        <v>15781.389813254544</v>
      </c>
      <c r="V170" s="65">
        <v>16170.424175457654</v>
      </c>
      <c r="W170" s="65">
        <v>15568.841156521077</v>
      </c>
      <c r="X170" s="65">
        <v>15058.06001017255</v>
      </c>
      <c r="Y170" s="65">
        <v>14286.194891019739</v>
      </c>
      <c r="Z170" s="65">
        <v>13938.256025117502</v>
      </c>
      <c r="AA170" s="65">
        <v>13128.522069818038</v>
      </c>
      <c r="AB170" s="65">
        <v>13890.99124111576</v>
      </c>
      <c r="AC170" s="65">
        <v>13265.763011878789</v>
      </c>
      <c r="AD170" s="65">
        <v>12494.040574990606</v>
      </c>
      <c r="AE170" s="65">
        <v>11497.612947396448</v>
      </c>
      <c r="AF170" s="65">
        <v>10869.299762211553</v>
      </c>
      <c r="AG170" s="40">
        <f>+SUM(I170:AF170)*H170</f>
        <v>1305508.8285724497</v>
      </c>
    </row>
    <row r="171" spans="2:33" ht="14.4" x14ac:dyDescent="0.25">
      <c r="B171">
        <f t="shared" si="52"/>
        <v>9</v>
      </c>
      <c r="C171">
        <f t="shared" si="53"/>
        <v>2030</v>
      </c>
      <c r="D171" t="str">
        <f t="shared" si="70"/>
        <v>92030DO</v>
      </c>
      <c r="E171" s="68">
        <v>47727</v>
      </c>
      <c r="F171" s="73"/>
      <c r="G171" s="41" t="s">
        <v>58</v>
      </c>
      <c r="H171" s="41">
        <v>5</v>
      </c>
      <c r="I171" s="65">
        <v>3605.1310066751867</v>
      </c>
      <c r="J171" s="65">
        <v>3600.2370544816877</v>
      </c>
      <c r="K171" s="65">
        <v>3271.1590917295871</v>
      </c>
      <c r="L171" s="65">
        <v>3245.7621932826041</v>
      </c>
      <c r="M171" s="65">
        <v>3098.1028656616036</v>
      </c>
      <c r="N171" s="65">
        <v>3458.0105385701813</v>
      </c>
      <c r="O171" s="65">
        <v>2392.9076586233423</v>
      </c>
      <c r="P171" s="65">
        <v>2380.258630151573</v>
      </c>
      <c r="Q171" s="65">
        <v>2472.4287615657086</v>
      </c>
      <c r="R171" s="65">
        <v>2631.3200298328993</v>
      </c>
      <c r="S171" s="65">
        <v>2077.13071764907</v>
      </c>
      <c r="T171" s="65">
        <v>1915.5806887751896</v>
      </c>
      <c r="U171" s="65">
        <v>1330.2577076558337</v>
      </c>
      <c r="V171" s="65">
        <v>1105.5830886965923</v>
      </c>
      <c r="W171" s="65">
        <v>1042.5943834497921</v>
      </c>
      <c r="X171" s="65">
        <v>1766.5906452148847</v>
      </c>
      <c r="Y171" s="65">
        <v>2006.1238225637244</v>
      </c>
      <c r="Z171" s="65">
        <v>2400.6824593675592</v>
      </c>
      <c r="AA171" s="65">
        <v>1741.4299623343177</v>
      </c>
      <c r="AB171" s="65">
        <v>2692.0615495272759</v>
      </c>
      <c r="AC171" s="65">
        <v>2523.9095059186184</v>
      </c>
      <c r="AD171" s="65">
        <v>2655.7094714079212</v>
      </c>
      <c r="AE171" s="65">
        <v>2743.8091867790354</v>
      </c>
      <c r="AF171" s="65">
        <v>2808.5631366311027</v>
      </c>
      <c r="AG171" s="40">
        <f>+SUM(I171:AF171)*H171</f>
        <v>294826.72078272648</v>
      </c>
    </row>
    <row r="172" spans="2:33" ht="14.4" x14ac:dyDescent="0.25">
      <c r="B172">
        <f t="shared" si="52"/>
        <v>9</v>
      </c>
      <c r="C172">
        <f t="shared" si="53"/>
        <v>2030</v>
      </c>
      <c r="D172" t="str">
        <f t="shared" si="70"/>
        <v>92030FE</v>
      </c>
      <c r="E172" s="68">
        <v>47727</v>
      </c>
      <c r="F172" s="73"/>
      <c r="G172" s="42" t="s">
        <v>59</v>
      </c>
      <c r="H172" s="42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  <c r="AG172" s="43">
        <f>+SUM(I172:AF172)*H172</f>
        <v>0</v>
      </c>
    </row>
    <row r="173" spans="2:33" ht="15" thickBot="1" x14ac:dyDescent="0.3">
      <c r="B173">
        <f t="shared" si="52"/>
        <v>9</v>
      </c>
      <c r="C173">
        <f t="shared" si="53"/>
        <v>2030</v>
      </c>
      <c r="D173" t="str">
        <f>+_xlfn.CONCAT(E173,G173)</f>
        <v>47727TOTAL</v>
      </c>
      <c r="E173" s="68">
        <v>47727</v>
      </c>
      <c r="F173" s="61"/>
      <c r="G173" s="44" t="s">
        <v>10</v>
      </c>
      <c r="H173" s="44">
        <v>30</v>
      </c>
      <c r="I173" s="45">
        <f t="shared" ref="I173:AF173" si="71">+SUMPRODUCT(I169:I172,$H169:$H172)</f>
        <v>355492.65761252819</v>
      </c>
      <c r="J173" s="45">
        <f t="shared" si="71"/>
        <v>343839.02612754365</v>
      </c>
      <c r="K173" s="45">
        <f t="shared" si="71"/>
        <v>334173.42450448719</v>
      </c>
      <c r="L173" s="45">
        <f t="shared" si="71"/>
        <v>342595.06660960591</v>
      </c>
      <c r="M173" s="45">
        <f t="shared" si="71"/>
        <v>328190.85421095107</v>
      </c>
      <c r="N173" s="45">
        <f t="shared" si="71"/>
        <v>340262.144206736</v>
      </c>
      <c r="O173" s="45">
        <f t="shared" si="71"/>
        <v>364774.45448760869</v>
      </c>
      <c r="P173" s="45">
        <f t="shared" si="71"/>
        <v>445532.80741202296</v>
      </c>
      <c r="Q173" s="45">
        <f t="shared" si="71"/>
        <v>502238.54123453598</v>
      </c>
      <c r="R173" s="45">
        <f t="shared" si="71"/>
        <v>522973.07148727938</v>
      </c>
      <c r="S173" s="45">
        <f t="shared" si="71"/>
        <v>530641.26256364537</v>
      </c>
      <c r="T173" s="45">
        <f t="shared" si="71"/>
        <v>537261.3834939684</v>
      </c>
      <c r="U173" s="45">
        <f t="shared" si="71"/>
        <v>508938.34575834306</v>
      </c>
      <c r="V173" s="45">
        <f t="shared" si="71"/>
        <v>534228.65611177881</v>
      </c>
      <c r="W173" s="45">
        <f t="shared" si="71"/>
        <v>542285.15151874605</v>
      </c>
      <c r="X173" s="45">
        <f t="shared" si="71"/>
        <v>546739.90773114166</v>
      </c>
      <c r="Y173" s="45">
        <f t="shared" si="71"/>
        <v>523497.67376709194</v>
      </c>
      <c r="Z173" s="45">
        <f t="shared" si="71"/>
        <v>486031.57817029627</v>
      </c>
      <c r="AA173" s="45">
        <f t="shared" si="71"/>
        <v>437743.1759129347</v>
      </c>
      <c r="AB173" s="45">
        <f t="shared" si="71"/>
        <v>447366.81180010899</v>
      </c>
      <c r="AC173" s="45">
        <f t="shared" si="71"/>
        <v>406794.46697781823</v>
      </c>
      <c r="AD173" s="45">
        <f t="shared" si="71"/>
        <v>393331.73094806634</v>
      </c>
      <c r="AE173" s="45">
        <f t="shared" si="71"/>
        <v>364511.35744162742</v>
      </c>
      <c r="AF173" s="45">
        <f t="shared" si="71"/>
        <v>364150.45329315244</v>
      </c>
      <c r="AG173" s="46">
        <f>SUM(I173:AF173)</f>
        <v>10503594.00338202</v>
      </c>
    </row>
    <row r="174" spans="2:33" ht="14.4" x14ac:dyDescent="0.25">
      <c r="B174">
        <f t="shared" si="52"/>
        <v>10</v>
      </c>
      <c r="C174">
        <f t="shared" si="53"/>
        <v>2030</v>
      </c>
      <c r="D174" t="str">
        <f t="shared" ref="D174:D177" si="72">+_xlfn.CONCAT(B174:C174,G174)</f>
        <v>102030OR</v>
      </c>
      <c r="E174" s="67">
        <v>47757</v>
      </c>
      <c r="F174" s="72">
        <f>+AG178</f>
        <v>10906120.926819935</v>
      </c>
      <c r="G174" s="37" t="s">
        <v>57</v>
      </c>
      <c r="H174" s="37">
        <v>22</v>
      </c>
      <c r="I174" s="65">
        <v>13860.896651410783</v>
      </c>
      <c r="J174" s="65">
        <v>13432.007282884419</v>
      </c>
      <c r="K174" s="65">
        <v>13013.959342537442</v>
      </c>
      <c r="L174" s="65">
        <v>13320.458224926266</v>
      </c>
      <c r="M174" s="65">
        <v>12742.567831407448</v>
      </c>
      <c r="N174" s="65">
        <v>13184.566036996805</v>
      </c>
      <c r="O174" s="65">
        <v>14609.099664050269</v>
      </c>
      <c r="P174" s="65">
        <v>17972.56964810639</v>
      </c>
      <c r="Q174" s="65">
        <v>20345.723099465133</v>
      </c>
      <c r="R174" s="65">
        <v>21195.068927625587</v>
      </c>
      <c r="S174" s="65">
        <v>21713.429063533593</v>
      </c>
      <c r="T174" s="65">
        <v>22028.091667091896</v>
      </c>
      <c r="U174" s="65">
        <v>20965.461770103891</v>
      </c>
      <c r="V174" s="65">
        <v>22148.893998492978</v>
      </c>
      <c r="W174" s="65">
        <v>22662.347637438274</v>
      </c>
      <c r="X174" s="65">
        <v>22799.12152320414</v>
      </c>
      <c r="Y174" s="65">
        <v>21782.019019393148</v>
      </c>
      <c r="Z174" s="65">
        <v>19968.519283816222</v>
      </c>
      <c r="AA174" s="65">
        <v>17977.139149980849</v>
      </c>
      <c r="AB174" s="65">
        <v>18061.446856432183</v>
      </c>
      <c r="AC174" s="65">
        <v>16286.110642169464</v>
      </c>
      <c r="AD174" s="65">
        <v>15757.506133395464</v>
      </c>
      <c r="AE174" s="65">
        <v>14551.061689578237</v>
      </c>
      <c r="AF174" s="65">
        <v>14637.151848192891</v>
      </c>
      <c r="AG174" s="38">
        <f>+SUM(I174:AF174)*H174</f>
        <v>9350334.7738291435</v>
      </c>
    </row>
    <row r="175" spans="2:33" ht="14.4" x14ac:dyDescent="0.25">
      <c r="B175">
        <f t="shared" si="52"/>
        <v>10</v>
      </c>
      <c r="C175">
        <f t="shared" si="53"/>
        <v>2030</v>
      </c>
      <c r="D175" t="str">
        <f t="shared" si="72"/>
        <v>102030SA</v>
      </c>
      <c r="E175" s="68">
        <v>47757</v>
      </c>
      <c r="F175" s="73"/>
      <c r="G175" s="39" t="s">
        <v>60</v>
      </c>
      <c r="H175" s="39">
        <v>4</v>
      </c>
      <c r="I175" s="65">
        <v>11659.313219784075</v>
      </c>
      <c r="J175" s="65">
        <v>11004.765265830869</v>
      </c>
      <c r="K175" s="65">
        <v>11196.356726793059</v>
      </c>
      <c r="L175" s="65">
        <v>11724.558523770775</v>
      </c>
      <c r="M175" s="65">
        <v>11344.251939581234</v>
      </c>
      <c r="N175" s="65">
        <v>11598.501283305675</v>
      </c>
      <c r="O175" s="65">
        <v>11596.647283379454</v>
      </c>
      <c r="P175" s="65">
        <v>14156.057116550568</v>
      </c>
      <c r="Q175" s="65">
        <v>15767.994597214692</v>
      </c>
      <c r="R175" s="65">
        <v>16300.282010099068</v>
      </c>
      <c r="S175" s="65">
        <v>16193.706118054426</v>
      </c>
      <c r="T175" s="65">
        <v>16405.446184367836</v>
      </c>
      <c r="U175" s="65">
        <v>15636.247824952865</v>
      </c>
      <c r="V175" s="65">
        <v>16030.823783909567</v>
      </c>
      <c r="W175" s="65">
        <v>15429.657523861959</v>
      </c>
      <c r="X175" s="65">
        <v>14919.397897627434</v>
      </c>
      <c r="Y175" s="65">
        <v>14148.061538023288</v>
      </c>
      <c r="Z175" s="65">
        <v>13802.616921029232</v>
      </c>
      <c r="AA175" s="65">
        <v>12995.581490066099</v>
      </c>
      <c r="AB175" s="65">
        <v>13767.294543136268</v>
      </c>
      <c r="AC175" s="65">
        <v>13150.2482418582</v>
      </c>
      <c r="AD175" s="65">
        <v>12388.563173735427</v>
      </c>
      <c r="AE175" s="65">
        <v>11401.286414600396</v>
      </c>
      <c r="AF175" s="65">
        <v>10776.342946096482</v>
      </c>
      <c r="AG175" s="40">
        <f>+SUM(I175:AF175)*H175</f>
        <v>1293576.0102705159</v>
      </c>
    </row>
    <row r="176" spans="2:33" ht="14.4" x14ac:dyDescent="0.25">
      <c r="B176">
        <f t="shared" si="52"/>
        <v>10</v>
      </c>
      <c r="C176">
        <f t="shared" si="53"/>
        <v>2030</v>
      </c>
      <c r="D176" t="str">
        <f t="shared" si="72"/>
        <v>102030DO</v>
      </c>
      <c r="E176" s="68">
        <v>47757</v>
      </c>
      <c r="F176" s="73"/>
      <c r="G176" s="41" t="s">
        <v>58</v>
      </c>
      <c r="H176" s="41">
        <v>4</v>
      </c>
      <c r="I176" s="65">
        <v>3403.9535168841867</v>
      </c>
      <c r="J176" s="65">
        <v>3403.3203428989873</v>
      </c>
      <c r="K176" s="65">
        <v>3074.2740970171108</v>
      </c>
      <c r="L176" s="65">
        <v>3051.6077816780016</v>
      </c>
      <c r="M176" s="65">
        <v>2904.6091324406298</v>
      </c>
      <c r="N176" s="65">
        <v>3269.8344625390509</v>
      </c>
      <c r="O176" s="65">
        <v>2202.9083586057841</v>
      </c>
      <c r="P176" s="65">
        <v>2176.8226961973996</v>
      </c>
      <c r="Q176" s="65">
        <v>2259.6274959134244</v>
      </c>
      <c r="R176" s="65">
        <v>2411.2535966367323</v>
      </c>
      <c r="S176" s="65">
        <v>1843.88395660881</v>
      </c>
      <c r="T176" s="65">
        <v>1675.7574860856985</v>
      </c>
      <c r="U176" s="65">
        <v>1091.2630497594801</v>
      </c>
      <c r="V176" s="65">
        <v>864.59538588854775</v>
      </c>
      <c r="W176" s="65">
        <v>806.9463547978703</v>
      </c>
      <c r="X176" s="65">
        <v>1530.7893710789504</v>
      </c>
      <c r="Y176" s="65">
        <v>1771.9474713345589</v>
      </c>
      <c r="Z176" s="65">
        <v>2172.1964797970177</v>
      </c>
      <c r="AA176" s="65">
        <v>1508.3257967411955</v>
      </c>
      <c r="AB176" s="65">
        <v>2470.9040818341418</v>
      </c>
      <c r="AC176" s="65">
        <v>2316.4341802374474</v>
      </c>
      <c r="AD176" s="65">
        <v>2461.7663693621871</v>
      </c>
      <c r="AE176" s="65">
        <v>2556.8969595630697</v>
      </c>
      <c r="AF176" s="65">
        <v>2626.9779528247127</v>
      </c>
      <c r="AG176" s="40">
        <f>+SUM(I176:AF176)*H176</f>
        <v>215427.58550689998</v>
      </c>
    </row>
    <row r="177" spans="2:33" ht="14.4" x14ac:dyDescent="0.25">
      <c r="B177">
        <f t="shared" si="52"/>
        <v>10</v>
      </c>
      <c r="C177">
        <f t="shared" si="53"/>
        <v>2030</v>
      </c>
      <c r="D177" t="str">
        <f t="shared" si="72"/>
        <v>102030FE</v>
      </c>
      <c r="E177" s="68">
        <v>47757</v>
      </c>
      <c r="F177" s="73"/>
      <c r="G177" s="42" t="s">
        <v>59</v>
      </c>
      <c r="H177" s="42">
        <v>1</v>
      </c>
      <c r="I177" s="65">
        <v>6810.2628863565315</v>
      </c>
      <c r="J177" s="65">
        <v>6622.7906384812741</v>
      </c>
      <c r="K177" s="65">
        <v>6282.7164261857379</v>
      </c>
      <c r="L177" s="65">
        <v>6227.530386578017</v>
      </c>
      <c r="M177" s="65">
        <v>5502.2819175466375</v>
      </c>
      <c r="N177" s="65">
        <v>3348.9041902538829</v>
      </c>
      <c r="O177" s="65">
        <v>194.72150562373645</v>
      </c>
      <c r="P177" s="65">
        <v>294.40179685992189</v>
      </c>
      <c r="Q177" s="65">
        <v>993.55188867453398</v>
      </c>
      <c r="R177" s="65">
        <v>1307.0212175906236</v>
      </c>
      <c r="S177" s="65">
        <v>1117.0916072507316</v>
      </c>
      <c r="T177" s="65">
        <v>332.59231391262801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762.11846803681328</v>
      </c>
      <c r="AA177" s="65">
        <v>620.01278528866533</v>
      </c>
      <c r="AB177" s="65">
        <v>2132.3593438791613</v>
      </c>
      <c r="AC177" s="65">
        <v>1228.2327308761087</v>
      </c>
      <c r="AD177" s="65">
        <v>1074.4837608899288</v>
      </c>
      <c r="AE177" s="65">
        <v>948.5206084099118</v>
      </c>
      <c r="AF177" s="65">
        <v>982.96274068180719</v>
      </c>
      <c r="AG177" s="43">
        <f>+SUM(I177:AF177)*H177</f>
        <v>46782.557213376669</v>
      </c>
    </row>
    <row r="178" spans="2:33" ht="15" thickBot="1" x14ac:dyDescent="0.3">
      <c r="B178">
        <f t="shared" si="52"/>
        <v>10</v>
      </c>
      <c r="C178">
        <f t="shared" si="53"/>
        <v>2030</v>
      </c>
      <c r="D178" t="str">
        <f>+_xlfn.CONCAT(E178,G178)</f>
        <v>47757TOTAL</v>
      </c>
      <c r="E178" s="68">
        <v>47757</v>
      </c>
      <c r="F178" s="61"/>
      <c r="G178" s="44" t="s">
        <v>10</v>
      </c>
      <c r="H178" s="44">
        <v>31</v>
      </c>
      <c r="I178" s="45">
        <f t="shared" ref="I178:AF178" si="73">+SUMPRODUCT(I174:I177,$H174:$H177)</f>
        <v>372003.05616406677</v>
      </c>
      <c r="J178" s="45">
        <f t="shared" si="73"/>
        <v>359759.29329685785</v>
      </c>
      <c r="K178" s="45">
        <f t="shared" si="73"/>
        <v>349672.34525725018</v>
      </c>
      <c r="L178" s="45">
        <f t="shared" si="73"/>
        <v>358382.27655675093</v>
      </c>
      <c r="M178" s="45">
        <f t="shared" si="73"/>
        <v>342834.21849659801</v>
      </c>
      <c r="N178" s="45">
        <f t="shared" si="73"/>
        <v>352882.69998756249</v>
      </c>
      <c r="O178" s="45">
        <f t="shared" si="73"/>
        <v>376793.13668267056</v>
      </c>
      <c r="P178" s="45">
        <f t="shared" si="73"/>
        <v>461022.45330619236</v>
      </c>
      <c r="Q178" s="45">
        <f t="shared" si="73"/>
        <v>520709.94844941999</v>
      </c>
      <c r="R178" s="45">
        <f t="shared" si="73"/>
        <v>542444.68005229672</v>
      </c>
      <c r="S178" s="45">
        <f t="shared" si="73"/>
        <v>550962.89130364265</v>
      </c>
      <c r="T178" s="45">
        <f t="shared" si="73"/>
        <v>557275.42367174849</v>
      </c>
      <c r="U178" s="45">
        <f t="shared" si="73"/>
        <v>528150.20244113496</v>
      </c>
      <c r="V178" s="45">
        <f t="shared" si="73"/>
        <v>554857.34464603802</v>
      </c>
      <c r="W178" s="45">
        <f t="shared" si="73"/>
        <v>563518.06353828136</v>
      </c>
      <c r="X178" s="45">
        <f t="shared" si="73"/>
        <v>567381.42258531658</v>
      </c>
      <c r="Y178" s="45">
        <f t="shared" si="73"/>
        <v>542884.45446408074</v>
      </c>
      <c r="Z178" s="45">
        <f t="shared" si="73"/>
        <v>503968.79631529865</v>
      </c>
      <c r="AA178" s="45">
        <f t="shared" si="73"/>
        <v>454132.70323209651</v>
      </c>
      <c r="AB178" s="45">
        <f t="shared" si="73"/>
        <v>464436.98468526889</v>
      </c>
      <c r="AC178" s="45">
        <f t="shared" si="73"/>
        <v>421389.39654698694</v>
      </c>
      <c r="AD178" s="45">
        <f t="shared" si="73"/>
        <v>407140.93686798058</v>
      </c>
      <c r="AE178" s="45">
        <f t="shared" si="73"/>
        <v>376904.61127578502</v>
      </c>
      <c r="AF178" s="45">
        <f t="shared" si="73"/>
        <v>376613.58699661022</v>
      </c>
      <c r="AG178" s="46">
        <f>SUM(I178:AF178)</f>
        <v>10906120.926819935</v>
      </c>
    </row>
    <row r="179" spans="2:33" ht="14.4" x14ac:dyDescent="0.25">
      <c r="B179">
        <f t="shared" si="52"/>
        <v>11</v>
      </c>
      <c r="C179">
        <f t="shared" si="53"/>
        <v>2030</v>
      </c>
      <c r="D179" t="str">
        <f t="shared" ref="D179:D182" si="74">+_xlfn.CONCAT(B179:C179,G179)</f>
        <v>112030OR</v>
      </c>
      <c r="E179" s="67">
        <v>47788</v>
      </c>
      <c r="F179" s="72">
        <f>+AG183</f>
        <v>9949971.100833917</v>
      </c>
      <c r="G179" s="37" t="s">
        <v>57</v>
      </c>
      <c r="H179" s="37">
        <v>19</v>
      </c>
      <c r="I179" s="65">
        <v>13820.306442075995</v>
      </c>
      <c r="J179" s="65">
        <v>13391.453565862472</v>
      </c>
      <c r="K179" s="65">
        <v>12973.281615135193</v>
      </c>
      <c r="L179" s="65">
        <v>13279.973086731678</v>
      </c>
      <c r="M179" s="65">
        <v>12700.314631254845</v>
      </c>
      <c r="N179" s="65">
        <v>13138.088369335508</v>
      </c>
      <c r="O179" s="65">
        <v>14554.794399166884</v>
      </c>
      <c r="P179" s="65">
        <v>17914.647419564284</v>
      </c>
      <c r="Q179" s="65">
        <v>20284.617795235172</v>
      </c>
      <c r="R179" s="65">
        <v>21132.581340280878</v>
      </c>
      <c r="S179" s="65">
        <v>21647.452260862323</v>
      </c>
      <c r="T179" s="65">
        <v>21960.428758985716</v>
      </c>
      <c r="U179" s="65">
        <v>20898.651883304799</v>
      </c>
      <c r="V179" s="65">
        <v>22083.163771184343</v>
      </c>
      <c r="W179" s="65">
        <v>22596.700279631375</v>
      </c>
      <c r="X179" s="65">
        <v>22733.405127211536</v>
      </c>
      <c r="Y179" s="65">
        <v>21716.235796603589</v>
      </c>
      <c r="Z179" s="65">
        <v>19904.240689724142</v>
      </c>
      <c r="AA179" s="65">
        <v>17916.427909083133</v>
      </c>
      <c r="AB179" s="65">
        <v>18004.833488348384</v>
      </c>
      <c r="AC179" s="65">
        <v>16232.292955519359</v>
      </c>
      <c r="AD179" s="65">
        <v>15708.062828891498</v>
      </c>
      <c r="AE179" s="65">
        <v>14505.784868773279</v>
      </c>
      <c r="AF179" s="65">
        <v>14593.048271696494</v>
      </c>
      <c r="AG179" s="38">
        <f>+SUM(I179:AF179)*H179</f>
        <v>8050124.9635347966</v>
      </c>
    </row>
    <row r="180" spans="2:33" ht="14.4" x14ac:dyDescent="0.25">
      <c r="B180">
        <f t="shared" si="52"/>
        <v>11</v>
      </c>
      <c r="C180">
        <f t="shared" si="53"/>
        <v>2030</v>
      </c>
      <c r="D180" t="str">
        <f t="shared" si="74"/>
        <v>112030SA</v>
      </c>
      <c r="E180" s="68">
        <v>47788</v>
      </c>
      <c r="F180" s="73"/>
      <c r="G180" s="39" t="s">
        <v>60</v>
      </c>
      <c r="H180" s="39">
        <v>5</v>
      </c>
      <c r="I180" s="65">
        <v>11601.195013172219</v>
      </c>
      <c r="J180" s="65">
        <v>10947.874666189757</v>
      </c>
      <c r="K180" s="65">
        <v>11141.286216324035</v>
      </c>
      <c r="L180" s="65">
        <v>11670.769925363351</v>
      </c>
      <c r="M180" s="65">
        <v>11288.844631516022</v>
      </c>
      <c r="N180" s="65">
        <v>11539.251051224648</v>
      </c>
      <c r="O180" s="65">
        <v>11531.570109397831</v>
      </c>
      <c r="P180" s="65">
        <v>14087.836480964703</v>
      </c>
      <c r="Q180" s="65">
        <v>15695.887765859839</v>
      </c>
      <c r="R180" s="65">
        <v>16226.861114882853</v>
      </c>
      <c r="S180" s="65">
        <v>16115.683471741208</v>
      </c>
      <c r="T180" s="65">
        <v>16327.546214838625</v>
      </c>
      <c r="U180" s="65">
        <v>15561.63250213082</v>
      </c>
      <c r="V180" s="65">
        <v>15960.099324986431</v>
      </c>
      <c r="W180" s="65">
        <v>15358.601569706469</v>
      </c>
      <c r="X180" s="65">
        <v>14847.711711404059</v>
      </c>
      <c r="Y180" s="65">
        <v>14076.219890847049</v>
      </c>
      <c r="Z180" s="65">
        <v>13731.694532004771</v>
      </c>
      <c r="AA180" s="65">
        <v>12926.122534986895</v>
      </c>
      <c r="AB180" s="65">
        <v>13704.000816569722</v>
      </c>
      <c r="AC180" s="65">
        <v>13090.848265143635</v>
      </c>
      <c r="AD180" s="65">
        <v>12333.981694117232</v>
      </c>
      <c r="AE180" s="65">
        <v>11351.071444621426</v>
      </c>
      <c r="AF180" s="65">
        <v>10728.157571321488</v>
      </c>
      <c r="AG180" s="40">
        <f>+SUM(I180:AF180)*H180</f>
        <v>1609223.7425965751</v>
      </c>
    </row>
    <row r="181" spans="2:33" ht="14.4" x14ac:dyDescent="0.25">
      <c r="B181">
        <f t="shared" si="52"/>
        <v>11</v>
      </c>
      <c r="C181">
        <f t="shared" si="53"/>
        <v>2030</v>
      </c>
      <c r="D181" t="str">
        <f t="shared" si="74"/>
        <v>112030DO</v>
      </c>
      <c r="E181" s="68">
        <v>47788</v>
      </c>
      <c r="F181" s="73"/>
      <c r="G181" s="41" t="s">
        <v>58</v>
      </c>
      <c r="H181" s="41">
        <v>4</v>
      </c>
      <c r="I181" s="65">
        <v>3234.8793399744791</v>
      </c>
      <c r="J181" s="65">
        <v>3237.6188124273431</v>
      </c>
      <c r="K181" s="65">
        <v>2907.7679621820425</v>
      </c>
      <c r="L181" s="65">
        <v>2887.6372356708234</v>
      </c>
      <c r="M181" s="65">
        <v>2741.020423279293</v>
      </c>
      <c r="N181" s="65">
        <v>3111.4631310564309</v>
      </c>
      <c r="O181" s="65">
        <v>2042.0587236547981</v>
      </c>
      <c r="P181" s="65">
        <v>2003.713090598525</v>
      </c>
      <c r="Q181" s="65">
        <v>2078.0093464771962</v>
      </c>
      <c r="R181" s="65">
        <v>2223.7590931398408</v>
      </c>
      <c r="S181" s="65">
        <v>1645.7820997960262</v>
      </c>
      <c r="T181" s="65">
        <v>1472.8353788476888</v>
      </c>
      <c r="U181" s="65">
        <v>888.73950892855646</v>
      </c>
      <c r="V181" s="65">
        <v>659.83589990931432</v>
      </c>
      <c r="W181" s="65">
        <v>606.56085125262689</v>
      </c>
      <c r="X181" s="65">
        <v>1330.0707593558545</v>
      </c>
      <c r="Y181" s="65">
        <v>1572.3019469784849</v>
      </c>
      <c r="Z181" s="65">
        <v>1978.4874182842468</v>
      </c>
      <c r="AA181" s="65">
        <v>1309.7794882782546</v>
      </c>
      <c r="AB181" s="65">
        <v>2283.6057814165142</v>
      </c>
      <c r="AC181" s="65">
        <v>2140.5428198279151</v>
      </c>
      <c r="AD181" s="65">
        <v>2298.1927473349933</v>
      </c>
      <c r="AE181" s="65">
        <v>2399.1749930506267</v>
      </c>
      <c r="AF181" s="65">
        <v>2474.3051712493634</v>
      </c>
      <c r="AG181" s="40">
        <f>+SUM(I181:AF181)*H181</f>
        <v>198112.56809188492</v>
      </c>
    </row>
    <row r="182" spans="2:33" ht="14.4" x14ac:dyDescent="0.25">
      <c r="B182">
        <f t="shared" si="52"/>
        <v>11</v>
      </c>
      <c r="C182">
        <f t="shared" si="53"/>
        <v>2030</v>
      </c>
      <c r="D182" t="str">
        <f t="shared" si="74"/>
        <v>112030FE</v>
      </c>
      <c r="E182" s="68">
        <v>47788</v>
      </c>
      <c r="F182" s="73"/>
      <c r="G182" s="42" t="s">
        <v>59</v>
      </c>
      <c r="H182" s="42">
        <v>2</v>
      </c>
      <c r="I182" s="65">
        <v>6791.312036261821</v>
      </c>
      <c r="J182" s="65">
        <v>6603.7675338517638</v>
      </c>
      <c r="K182" s="65">
        <v>6263.0852425948942</v>
      </c>
      <c r="L182" s="65">
        <v>6208.3309326623767</v>
      </c>
      <c r="M182" s="65">
        <v>5481.4155669894863</v>
      </c>
      <c r="N182" s="65">
        <v>3323.4062292139242</v>
      </c>
      <c r="O182" s="65">
        <v>161.83844031643457</v>
      </c>
      <c r="P182" s="65">
        <v>260.47635975802405</v>
      </c>
      <c r="Q182" s="65">
        <v>959.44274560006306</v>
      </c>
      <c r="R182" s="65">
        <v>1273.1534454500179</v>
      </c>
      <c r="S182" s="65">
        <v>1084.1796850709397</v>
      </c>
      <c r="T182" s="65">
        <v>298.18663080401893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727.18912327269936</v>
      </c>
      <c r="AA182" s="65">
        <v>585.4128884902857</v>
      </c>
      <c r="AB182" s="65">
        <v>2103.9078817042173</v>
      </c>
      <c r="AC182" s="65">
        <v>1200.2937229223753</v>
      </c>
      <c r="AD182" s="65">
        <v>1047.801718520197</v>
      </c>
      <c r="AE182" s="65">
        <v>922.87579443114737</v>
      </c>
      <c r="AF182" s="65">
        <v>958.83732741666972</v>
      </c>
      <c r="AG182" s="43">
        <f>+SUM(I182:AF182)*H182</f>
        <v>92509.826610662683</v>
      </c>
    </row>
    <row r="183" spans="2:33" ht="15" thickBot="1" x14ac:dyDescent="0.3">
      <c r="B183">
        <f t="shared" si="52"/>
        <v>11</v>
      </c>
      <c r="C183">
        <f t="shared" si="53"/>
        <v>2030</v>
      </c>
      <c r="D183" t="str">
        <f>+_xlfn.CONCAT(E183,G183)</f>
        <v>47788TOTAL</v>
      </c>
      <c r="E183" s="68">
        <v>47788</v>
      </c>
      <c r="F183" s="61"/>
      <c r="G183" s="44" t="s">
        <v>10</v>
      </c>
      <c r="H183" s="44">
        <v>30</v>
      </c>
      <c r="I183" s="45">
        <f t="shared" ref="I183:AF183" si="75">+SUMPRODUCT(I179:I182,$H179:$H182)</f>
        <v>347113.93889772648</v>
      </c>
      <c r="J183" s="45">
        <f t="shared" si="75"/>
        <v>335335.00139974867</v>
      </c>
      <c r="K183" s="45">
        <f t="shared" si="75"/>
        <v>326356.02410310676</v>
      </c>
      <c r="L183" s="45">
        <f t="shared" si="75"/>
        <v>334640.54908272665</v>
      </c>
      <c r="M183" s="45">
        <f t="shared" si="75"/>
        <v>319677.11397851829</v>
      </c>
      <c r="N183" s="45">
        <f t="shared" si="75"/>
        <v>326412.59925615147</v>
      </c>
      <c r="O183" s="45">
        <f t="shared" si="75"/>
        <v>342690.85590641201</v>
      </c>
      <c r="P183" s="45">
        <f t="shared" si="75"/>
        <v>419353.28845845506</v>
      </c>
      <c r="Q183" s="45">
        <f t="shared" si="75"/>
        <v>474118.09981587634</v>
      </c>
      <c r="R183" s="45">
        <f t="shared" si="75"/>
        <v>494094.69430321036</v>
      </c>
      <c r="S183" s="45">
        <f t="shared" si="75"/>
        <v>500631.49808441615</v>
      </c>
      <c r="T183" s="45">
        <f t="shared" si="75"/>
        <v>505373.59227192053</v>
      </c>
      <c r="U183" s="45">
        <f t="shared" si="75"/>
        <v>478437.50632915949</v>
      </c>
      <c r="V183" s="45">
        <f t="shared" si="75"/>
        <v>502019.95187707193</v>
      </c>
      <c r="W183" s="45">
        <f t="shared" si="75"/>
        <v>508556.55656653899</v>
      </c>
      <c r="X183" s="45">
        <f t="shared" si="75"/>
        <v>511493.53901146282</v>
      </c>
      <c r="Y183" s="45">
        <f t="shared" si="75"/>
        <v>489278.78737761732</v>
      </c>
      <c r="Z183" s="45">
        <f t="shared" si="75"/>
        <v>456207.3736844649</v>
      </c>
      <c r="AA183" s="45">
        <f t="shared" si="75"/>
        <v>411452.68667760765</v>
      </c>
      <c r="AB183" s="45">
        <f t="shared" si="75"/>
        <v>423954.07925054239</v>
      </c>
      <c r="AC183" s="45">
        <f t="shared" si="75"/>
        <v>384830.56620574242</v>
      </c>
      <c r="AD183" s="45">
        <f t="shared" si="75"/>
        <v>371411.476645905</v>
      </c>
      <c r="AE183" s="45">
        <f t="shared" si="75"/>
        <v>343807.72129086417</v>
      </c>
      <c r="AF183" s="45">
        <f t="shared" si="75"/>
        <v>342723.60035867163</v>
      </c>
      <c r="AG183" s="46">
        <f>SUM(I183:AF183)</f>
        <v>9949971.100833917</v>
      </c>
    </row>
    <row r="184" spans="2:33" ht="14.4" x14ac:dyDescent="0.25">
      <c r="B184">
        <f t="shared" si="52"/>
        <v>12</v>
      </c>
      <c r="C184">
        <f t="shared" si="53"/>
        <v>2030</v>
      </c>
      <c r="D184" t="str">
        <f t="shared" ref="D184:D187" si="76">+_xlfn.CONCAT(B184:C184,G184)</f>
        <v>122030OR</v>
      </c>
      <c r="E184" s="67">
        <v>47818</v>
      </c>
      <c r="F184" s="72">
        <f>+AG188</f>
        <v>10986163.830233997</v>
      </c>
      <c r="G184" s="37" t="s">
        <v>57</v>
      </c>
      <c r="H184" s="37">
        <v>21</v>
      </c>
      <c r="I184" s="65">
        <v>14331.322643060728</v>
      </c>
      <c r="J184" s="65">
        <v>13898.219073439486</v>
      </c>
      <c r="K184" s="65">
        <v>13476.269451896231</v>
      </c>
      <c r="L184" s="65">
        <v>13776.901616327925</v>
      </c>
      <c r="M184" s="65">
        <v>13208.821337110243</v>
      </c>
      <c r="N184" s="65">
        <v>13678.791216673848</v>
      </c>
      <c r="O184" s="65">
        <v>15173.510737731118</v>
      </c>
      <c r="P184" s="65">
        <v>18593.167941690132</v>
      </c>
      <c r="Q184" s="65">
        <v>21018.265351699905</v>
      </c>
      <c r="R184" s="65">
        <v>21901.964861499724</v>
      </c>
      <c r="S184" s="65">
        <v>22456.6785072803</v>
      </c>
      <c r="T184" s="65">
        <v>22792.438174664177</v>
      </c>
      <c r="U184" s="65">
        <v>21713.45738654978</v>
      </c>
      <c r="V184" s="65">
        <v>22894.673011651437</v>
      </c>
      <c r="W184" s="65">
        <v>23412.036699128934</v>
      </c>
      <c r="X184" s="65">
        <v>23544.223739481109</v>
      </c>
      <c r="Y184" s="65">
        <v>22521.698773511162</v>
      </c>
      <c r="Z184" s="65">
        <v>20682.451665571723</v>
      </c>
      <c r="AA184" s="65">
        <v>18646.134180233017</v>
      </c>
      <c r="AB184" s="65">
        <v>18698.864455163486</v>
      </c>
      <c r="AC184" s="65">
        <v>16888.438520837753</v>
      </c>
      <c r="AD184" s="65">
        <v>16316.407959052383</v>
      </c>
      <c r="AE184" s="65">
        <v>15070.609651808139</v>
      </c>
      <c r="AF184" s="65">
        <v>15142.668126870814</v>
      </c>
      <c r="AG184" s="38">
        <f>+SUM(I184:AF184)*H184</f>
        <v>9236598.3167416044</v>
      </c>
    </row>
    <row r="185" spans="2:33" ht="14.4" x14ac:dyDescent="0.25">
      <c r="B185">
        <f t="shared" si="52"/>
        <v>12</v>
      </c>
      <c r="C185">
        <f t="shared" si="53"/>
        <v>2030</v>
      </c>
      <c r="D185" t="str">
        <f t="shared" si="76"/>
        <v>122030SA</v>
      </c>
      <c r="E185" s="68">
        <v>47818</v>
      </c>
      <c r="F185" s="73"/>
      <c r="G185" s="39" t="s">
        <v>60</v>
      </c>
      <c r="H185" s="39">
        <v>4</v>
      </c>
      <c r="I185" s="65">
        <v>12176.723400283812</v>
      </c>
      <c r="J185" s="65">
        <v>11510.855922055311</v>
      </c>
      <c r="K185" s="65">
        <v>11688.795174214563</v>
      </c>
      <c r="L185" s="65">
        <v>12207.424605246122</v>
      </c>
      <c r="M185" s="65">
        <v>11834.924508012664</v>
      </c>
      <c r="N185" s="65">
        <v>12107.908540157387</v>
      </c>
      <c r="O185" s="65">
        <v>12148.657667977142</v>
      </c>
      <c r="P185" s="65">
        <v>14746.050264607435</v>
      </c>
      <c r="Q185" s="65">
        <v>16399.255907339437</v>
      </c>
      <c r="R185" s="65">
        <v>16959.56770346158</v>
      </c>
      <c r="S185" s="65">
        <v>16892.746145095683</v>
      </c>
      <c r="T185" s="65">
        <v>17110.267981558463</v>
      </c>
      <c r="U185" s="65">
        <v>16309.065984341309</v>
      </c>
      <c r="V185" s="65">
        <v>16680.04782015644</v>
      </c>
      <c r="W185" s="65">
        <v>16075.852701640037</v>
      </c>
      <c r="X185" s="65">
        <v>15561.369881842438</v>
      </c>
      <c r="Y185" s="65">
        <v>14786.723570294638</v>
      </c>
      <c r="Z185" s="65">
        <v>14428.987029156549</v>
      </c>
      <c r="AA185" s="65">
        <v>13609.595442942325</v>
      </c>
      <c r="AB185" s="65">
        <v>14341.297967050778</v>
      </c>
      <c r="AC185" s="65">
        <v>13685.69560323609</v>
      </c>
      <c r="AD185" s="65">
        <v>12876.794912558869</v>
      </c>
      <c r="AE185" s="65">
        <v>11846.419514792615</v>
      </c>
      <c r="AF185" s="65">
        <v>11206.452950918492</v>
      </c>
      <c r="AG185" s="40">
        <f>+SUM(I185:AF185)*H185</f>
        <v>1348765.9247957608</v>
      </c>
    </row>
    <row r="186" spans="2:33" ht="14.4" x14ac:dyDescent="0.25">
      <c r="B186">
        <f t="shared" si="52"/>
        <v>12</v>
      </c>
      <c r="C186">
        <f t="shared" si="53"/>
        <v>2030</v>
      </c>
      <c r="D186" t="str">
        <f t="shared" si="76"/>
        <v>122030DO</v>
      </c>
      <c r="E186" s="68">
        <v>47818</v>
      </c>
      <c r="F186" s="73"/>
      <c r="G186" s="41" t="s">
        <v>58</v>
      </c>
      <c r="H186" s="41">
        <v>4</v>
      </c>
      <c r="I186" s="65">
        <v>3635.1767727446022</v>
      </c>
      <c r="J186" s="65">
        <v>3629.2258178442935</v>
      </c>
      <c r="K186" s="65">
        <v>3298.4636750781101</v>
      </c>
      <c r="L186" s="65">
        <v>3273.1453547891906</v>
      </c>
      <c r="M186" s="65">
        <v>3125.0369998907263</v>
      </c>
      <c r="N186" s="65">
        <v>3485.6623105431918</v>
      </c>
      <c r="O186" s="65">
        <v>2418.9204201979319</v>
      </c>
      <c r="P186" s="65">
        <v>2406.3234191129377</v>
      </c>
      <c r="Q186" s="65">
        <v>2498.6038672975228</v>
      </c>
      <c r="R186" s="65">
        <v>2659.0437752404396</v>
      </c>
      <c r="S186" s="65">
        <v>2107.7718943671753</v>
      </c>
      <c r="T186" s="65">
        <v>1948.6319262277648</v>
      </c>
      <c r="U186" s="65">
        <v>1362.5836170547882</v>
      </c>
      <c r="V186" s="65">
        <v>1137.0733494670385</v>
      </c>
      <c r="W186" s="65">
        <v>1073.057649145554</v>
      </c>
      <c r="X186" s="65">
        <v>1796.6640041439459</v>
      </c>
      <c r="Y186" s="65">
        <v>2035.3634741892893</v>
      </c>
      <c r="Z186" s="65">
        <v>2431.4040412026297</v>
      </c>
      <c r="AA186" s="65">
        <v>1770.9097700693128</v>
      </c>
      <c r="AB186" s="65">
        <v>2722.1971691728941</v>
      </c>
      <c r="AC186" s="65">
        <v>2551.8161421232217</v>
      </c>
      <c r="AD186" s="65">
        <v>2683.504208414146</v>
      </c>
      <c r="AE186" s="65">
        <v>2770.4381943361914</v>
      </c>
      <c r="AF186" s="65">
        <v>2835.5526330824086</v>
      </c>
      <c r="AG186" s="40">
        <f>+SUM(I186:AF186)*H186</f>
        <v>238626.28194294125</v>
      </c>
    </row>
    <row r="187" spans="2:33" ht="14.4" x14ac:dyDescent="0.25">
      <c r="B187">
        <f t="shared" si="52"/>
        <v>12</v>
      </c>
      <c r="C187">
        <f t="shared" si="53"/>
        <v>2030</v>
      </c>
      <c r="D187" t="str">
        <f t="shared" si="76"/>
        <v>122030FE</v>
      </c>
      <c r="E187" s="68">
        <v>47818</v>
      </c>
      <c r="F187" s="73"/>
      <c r="G187" s="42" t="s">
        <v>59</v>
      </c>
      <c r="H187" s="42">
        <v>2</v>
      </c>
      <c r="I187" s="65">
        <v>7966.0282549235671</v>
      </c>
      <c r="J187" s="65">
        <v>7762.985795571145</v>
      </c>
      <c r="K187" s="65">
        <v>7422.4552131746641</v>
      </c>
      <c r="L187" s="65">
        <v>7350.7440051014164</v>
      </c>
      <c r="M187" s="65">
        <v>6666.9156319244212</v>
      </c>
      <c r="N187" s="65">
        <v>4680.953035270164</v>
      </c>
      <c r="O187" s="65">
        <v>1704.7073184248002</v>
      </c>
      <c r="P187" s="65">
        <v>1890.6786802889255</v>
      </c>
      <c r="Q187" s="65">
        <v>2605.7987930287418</v>
      </c>
      <c r="R187" s="65">
        <v>2959.4376590105821</v>
      </c>
      <c r="S187" s="65">
        <v>2836.1941022568062</v>
      </c>
      <c r="T187" s="65">
        <v>2150.0595693223295</v>
      </c>
      <c r="U187" s="65">
        <v>1416.0609615442081</v>
      </c>
      <c r="V187" s="65">
        <v>1235.5560865797524</v>
      </c>
      <c r="W187" s="65">
        <v>793.49311428549481</v>
      </c>
      <c r="X187" s="65">
        <v>1650.5742393093133</v>
      </c>
      <c r="Y187" s="65">
        <v>1205.5687180818677</v>
      </c>
      <c r="Z187" s="65">
        <v>2500.7541254784337</v>
      </c>
      <c r="AA187" s="65">
        <v>2348.6775213551991</v>
      </c>
      <c r="AB187" s="65">
        <v>3737.5943131086242</v>
      </c>
      <c r="AC187" s="65">
        <v>2797.6826365507513</v>
      </c>
      <c r="AD187" s="65">
        <v>2572.1595673899392</v>
      </c>
      <c r="AE187" s="65">
        <v>2415.2341609000814</v>
      </c>
      <c r="AF187" s="65">
        <v>2416.3398739644908</v>
      </c>
      <c r="AG187" s="43">
        <f>+SUM(I187:AF187)*H187</f>
        <v>162173.30675369143</v>
      </c>
    </row>
    <row r="188" spans="2:33" ht="15" thickBot="1" x14ac:dyDescent="0.3">
      <c r="D188" t="str">
        <f>+_xlfn.CONCAT(E188,G188)</f>
        <v>47818TOTAL</v>
      </c>
      <c r="E188" s="68">
        <v>47818</v>
      </c>
      <c r="F188" s="74"/>
      <c r="G188" s="44" t="s">
        <v>10</v>
      </c>
      <c r="H188" s="44">
        <v>31</v>
      </c>
      <c r="I188" s="45">
        <f t="shared" ref="I188:AF188" si="77">+SUMPRODUCT(I184:I187,$H184:$H187)</f>
        <v>380137.43270623602</v>
      </c>
      <c r="J188" s="45">
        <f t="shared" si="77"/>
        <v>367948.89909296989</v>
      </c>
      <c r="K188" s="45">
        <f t="shared" si="77"/>
        <v>357795.60431334085</v>
      </c>
      <c r="L188" s="45">
        <f t="shared" si="77"/>
        <v>365938.70179323049</v>
      </c>
      <c r="M188" s="45">
        <f t="shared" si="77"/>
        <v>350558.92537477752</v>
      </c>
      <c r="N188" s="45">
        <f t="shared" si="77"/>
        <v>358990.80502349342</v>
      </c>
      <c r="O188" s="45">
        <f t="shared" si="77"/>
        <v>380323.45248190337</v>
      </c>
      <c r="P188" s="45">
        <f t="shared" si="77"/>
        <v>462847.37887095212</v>
      </c>
      <c r="Q188" s="45">
        <f t="shared" si="77"/>
        <v>522186.60907030338</v>
      </c>
      <c r="R188" s="45">
        <f t="shared" si="77"/>
        <v>544334.58332432352</v>
      </c>
      <c r="S188" s="45">
        <f t="shared" si="77"/>
        <v>553264.70901525137</v>
      </c>
      <c r="T188" s="45">
        <f t="shared" si="77"/>
        <v>559176.92043773737</v>
      </c>
      <c r="U188" s="45">
        <f t="shared" si="77"/>
        <v>529501.32544621825</v>
      </c>
      <c r="V188" s="45">
        <f t="shared" si="77"/>
        <v>554527.73009633366</v>
      </c>
      <c r="W188" s="45">
        <f t="shared" si="77"/>
        <v>561835.39831342094</v>
      </c>
      <c r="X188" s="45">
        <f t="shared" si="77"/>
        <v>567161.98255166737</v>
      </c>
      <c r="Y188" s="45">
        <f t="shared" si="77"/>
        <v>542655.15985783387</v>
      </c>
      <c r="Z188" s="45">
        <f t="shared" si="77"/>
        <v>506774.55750939983</v>
      </c>
      <c r="AA188" s="45">
        <f t="shared" si="77"/>
        <v>457788.19367965031</v>
      </c>
      <c r="AB188" s="45">
        <f t="shared" si="77"/>
        <v>468405.32272954518</v>
      </c>
      <c r="AC188" s="45">
        <f t="shared" si="77"/>
        <v>425202.62119213154</v>
      </c>
      <c r="AD188" s="45">
        <f t="shared" si="77"/>
        <v>410030.08275877195</v>
      </c>
      <c r="AE188" s="45">
        <f t="shared" si="77"/>
        <v>379780.70184628636</v>
      </c>
      <c r="AF188" s="45">
        <f t="shared" si="77"/>
        <v>378996.73274821969</v>
      </c>
      <c r="AG188" s="46">
        <f>SUM(I188:AF188)</f>
        <v>10986163.830233997</v>
      </c>
    </row>
  </sheetData>
  <protectedRanges>
    <protectedRange algorithmName="SHA-512" hashValue="ddMXVrQS0fgB43c0atEM6OKu6oDWAMpeJLqJjfuwWmQe8OHAIs2JeDVHZWeRY9WToyZdUZnhWoqdJcb06CPmZw==" saltValue="nLR4AFgxssXjR1gopeih9Q==" spinCount="100000" sqref="E1:AG5" name="Rango2_1_2_2"/>
    <protectedRange algorithmName="SHA-512" hashValue="ddMXVrQS0fgB43c0atEM6OKu6oDWAMpeJLqJjfuwWmQe8OHAIs2JeDVHZWeRY9WToyZdUZnhWoqdJcb06CPmZw==" saltValue="nLR4AFgxssXjR1gopeih9Q==" spinCount="100000" sqref="AG69:AG72 AG74:AG77 AG79:AG82 AG84:AG87 AG89:AG92 AG94:AG97 AG99:AG102 AG104:AG107 AG109:AG112 AG114:AG117 AG119:AG122 AG124:AG127 AG129:AG132 AG134:AG137 AG139:AG142 AG144:AG147 AG149:AG152 AG154:AG157 AG159:AG162 AG164:AG167 AG169:AG172 AG174:AG177 AG179:AG182 AG184:AG187 AG9:AG12 AG14:AG17 AG19:AG22 AG24:AG27 AG29:AG32 AG34:AG37 AG39:AG42 AG44:AG47 AG49:AG52 AG54:AG57 AG59:AG62 AG64:AG67 E9:G188 I73:AG73 I78:AG78 I83:AG83 I88:AG88 I93:AG93 I98:AG98 I103:AG103 I108:AG108 I113:AG113 I118:AG118 I123:AG123 I128:AG128 I133:AG133 I138:AG138 I143:AG143 I148:AG148 I153:AG153 I158:AG158 I163:AG163 I168:AG168 I173:AG173 I178:AG178 I183:AG183 I188:AG188 I13:AG13 I18:AG18 I23:AG23 I28:AG28 I33:AG33 I38:AG38 I43:AG43 I48:AG48 I53:AG53 I58:AG58 I63:AG63 I68:AG68" name="Rango2_1_2"/>
    <protectedRange algorithmName="SHA-512" hashValue="ddMXVrQS0fgB43c0atEM6OKu6oDWAMpeJLqJjfuwWmQe8OHAIs2JeDVHZWeRY9WToyZdUZnhWoqdJcb06CPmZw==" saltValue="nLR4AFgxssXjR1gopeih9Q==" spinCount="100000" sqref="H9:H248" name="Rango2_1_2_1"/>
  </protectedRanges>
  <autoFilter ref="D8:AG188" xr:uid="{A4417EE0-3581-4D15-BFC8-A3F213F19E9D}"/>
  <mergeCells count="42">
    <mergeCell ref="G7:H7"/>
    <mergeCell ref="E1:AG1"/>
    <mergeCell ref="E2:AG2"/>
    <mergeCell ref="E3:AG3"/>
    <mergeCell ref="E4:AG4"/>
    <mergeCell ref="E5:AG5"/>
    <mergeCell ref="F64:F68"/>
    <mergeCell ref="F9:F12"/>
    <mergeCell ref="F14:F17"/>
    <mergeCell ref="F19:F22"/>
    <mergeCell ref="F24:F27"/>
    <mergeCell ref="F29:F32"/>
    <mergeCell ref="F34:F37"/>
    <mergeCell ref="F39:F42"/>
    <mergeCell ref="F44:F47"/>
    <mergeCell ref="F49:F52"/>
    <mergeCell ref="F54:F57"/>
    <mergeCell ref="F59:F62"/>
    <mergeCell ref="F124:F128"/>
    <mergeCell ref="F69:F72"/>
    <mergeCell ref="F74:F77"/>
    <mergeCell ref="F79:F82"/>
    <mergeCell ref="F84:F87"/>
    <mergeCell ref="F89:F92"/>
    <mergeCell ref="F94:F97"/>
    <mergeCell ref="F99:F102"/>
    <mergeCell ref="F104:F107"/>
    <mergeCell ref="F109:F112"/>
    <mergeCell ref="F114:F117"/>
    <mergeCell ref="F119:F122"/>
    <mergeCell ref="F184:F188"/>
    <mergeCell ref="F129:F132"/>
    <mergeCell ref="F134:F137"/>
    <mergeCell ref="F139:F142"/>
    <mergeCell ref="F144:F147"/>
    <mergeCell ref="F149:F152"/>
    <mergeCell ref="F154:F157"/>
    <mergeCell ref="F159:F162"/>
    <mergeCell ref="F164:F167"/>
    <mergeCell ref="F169:F172"/>
    <mergeCell ref="F174:F177"/>
    <mergeCell ref="F179:F18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4140625" defaultRowHeight="13.2" x14ac:dyDescent="0.25"/>
  <cols>
    <col min="1" max="1" width="6.44140625" style="1" customWidth="1"/>
    <col min="2" max="2" width="6" style="1" bestFit="1" customWidth="1"/>
    <col min="3" max="3" width="9.5546875" style="1" bestFit="1" customWidth="1"/>
    <col min="4" max="4" width="9.5546875" bestFit="1" customWidth="1"/>
  </cols>
  <sheetData>
    <row r="1" spans="1:7" x14ac:dyDescent="0.25">
      <c r="A1" s="77" t="s">
        <v>44</v>
      </c>
      <c r="B1" s="78"/>
      <c r="C1" s="78"/>
      <c r="D1" s="78"/>
    </row>
    <row r="2" spans="1:7" x14ac:dyDescent="0.25">
      <c r="A2" s="4" t="s">
        <v>45</v>
      </c>
      <c r="B2" s="4" t="s">
        <v>46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 x14ac:dyDescent="0.25">
      <c r="A3" s="4">
        <v>1</v>
      </c>
      <c r="B3" s="4" t="s">
        <v>47</v>
      </c>
      <c r="C3" s="3">
        <f>31-C4-C5</f>
        <v>21</v>
      </c>
      <c r="D3" s="3">
        <f>31-D4-D5</f>
        <v>20</v>
      </c>
      <c r="E3" s="3">
        <v>19</v>
      </c>
      <c r="F3" s="64">
        <v>21</v>
      </c>
      <c r="G3" s="64">
        <v>21</v>
      </c>
    </row>
    <row r="4" spans="1:7" x14ac:dyDescent="0.25">
      <c r="A4" s="4">
        <v>1</v>
      </c>
      <c r="B4" s="4" t="s">
        <v>48</v>
      </c>
      <c r="C4" s="3">
        <v>4</v>
      </c>
      <c r="D4" s="3">
        <v>5</v>
      </c>
      <c r="E4" s="3">
        <v>5</v>
      </c>
      <c r="F4" s="64">
        <v>4</v>
      </c>
      <c r="G4" s="64">
        <v>4</v>
      </c>
    </row>
    <row r="5" spans="1:7" x14ac:dyDescent="0.25">
      <c r="A5" s="4">
        <v>1</v>
      </c>
      <c r="B5" s="4" t="s">
        <v>49</v>
      </c>
      <c r="C5" s="3">
        <v>6</v>
      </c>
      <c r="D5" s="3">
        <v>6</v>
      </c>
      <c r="E5" s="3">
        <v>7</v>
      </c>
      <c r="F5" s="64">
        <v>6</v>
      </c>
      <c r="G5" s="64">
        <v>6</v>
      </c>
    </row>
    <row r="6" spans="1:7" x14ac:dyDescent="0.25">
      <c r="A6" s="4">
        <v>2</v>
      </c>
      <c r="B6" s="4" t="s">
        <v>47</v>
      </c>
      <c r="C6" s="3">
        <f>28-C7-C8</f>
        <v>20</v>
      </c>
      <c r="D6" s="3">
        <f>28-D7-D8</f>
        <v>20</v>
      </c>
      <c r="E6" s="3">
        <v>21</v>
      </c>
      <c r="F6" s="64">
        <v>20</v>
      </c>
      <c r="G6" s="64">
        <v>20</v>
      </c>
    </row>
    <row r="7" spans="1:7" x14ac:dyDescent="0.25">
      <c r="A7" s="4">
        <v>2</v>
      </c>
      <c r="B7" s="4" t="s">
        <v>48</v>
      </c>
      <c r="C7" s="3">
        <v>4</v>
      </c>
      <c r="D7" s="3">
        <v>4</v>
      </c>
      <c r="E7" s="3">
        <v>4</v>
      </c>
      <c r="F7" s="64">
        <v>4</v>
      </c>
      <c r="G7" s="64">
        <v>4</v>
      </c>
    </row>
    <row r="8" spans="1:7" x14ac:dyDescent="0.25">
      <c r="A8" s="4">
        <v>2</v>
      </c>
      <c r="B8" s="4" t="s">
        <v>49</v>
      </c>
      <c r="C8" s="3">
        <v>4</v>
      </c>
      <c r="D8" s="3">
        <v>4</v>
      </c>
      <c r="E8" s="3">
        <v>4</v>
      </c>
      <c r="F8" s="64">
        <v>4</v>
      </c>
      <c r="G8" s="64">
        <v>4</v>
      </c>
    </row>
    <row r="9" spans="1:7" x14ac:dyDescent="0.25">
      <c r="A9" s="4">
        <v>3</v>
      </c>
      <c r="B9" s="4" t="s">
        <v>47</v>
      </c>
      <c r="C9" s="3">
        <f>31-C10-C11</f>
        <v>20</v>
      </c>
      <c r="D9" s="3">
        <f>31-D10-D11</f>
        <v>21</v>
      </c>
      <c r="E9" s="3">
        <v>20</v>
      </c>
      <c r="F9" s="64">
        <v>22</v>
      </c>
      <c r="G9" s="64">
        <v>19</v>
      </c>
    </row>
    <row r="10" spans="1:7" x14ac:dyDescent="0.25">
      <c r="A10" s="4">
        <v>3</v>
      </c>
      <c r="B10" s="4" t="s">
        <v>48</v>
      </c>
      <c r="C10" s="3">
        <v>5</v>
      </c>
      <c r="D10" s="3">
        <v>4</v>
      </c>
      <c r="E10" s="3">
        <v>4</v>
      </c>
      <c r="F10" s="64">
        <v>4</v>
      </c>
      <c r="G10" s="64">
        <v>5</v>
      </c>
    </row>
    <row r="11" spans="1:7" x14ac:dyDescent="0.25">
      <c r="A11" s="4">
        <v>3</v>
      </c>
      <c r="B11" s="4" t="s">
        <v>49</v>
      </c>
      <c r="C11" s="3">
        <v>6</v>
      </c>
      <c r="D11" s="3">
        <v>6</v>
      </c>
      <c r="E11" s="3">
        <v>7</v>
      </c>
      <c r="F11" s="64">
        <v>5</v>
      </c>
      <c r="G11" s="64">
        <v>7</v>
      </c>
    </row>
    <row r="12" spans="1:7" x14ac:dyDescent="0.25">
      <c r="A12" s="4">
        <v>4</v>
      </c>
      <c r="B12" s="4" t="s">
        <v>47</v>
      </c>
      <c r="C12" s="3">
        <f>30-C13-C14</f>
        <v>20</v>
      </c>
      <c r="D12" s="3">
        <f>30-D13-D14</f>
        <v>20</v>
      </c>
      <c r="E12" s="3">
        <v>21</v>
      </c>
      <c r="F12" s="64">
        <v>18</v>
      </c>
      <c r="G12" s="64">
        <v>21</v>
      </c>
    </row>
    <row r="13" spans="1:7" x14ac:dyDescent="0.25">
      <c r="A13" s="4">
        <v>4</v>
      </c>
      <c r="B13" s="4" t="s">
        <v>48</v>
      </c>
      <c r="C13" s="3">
        <v>4</v>
      </c>
      <c r="D13" s="3">
        <v>4</v>
      </c>
      <c r="E13" s="3">
        <v>5</v>
      </c>
      <c r="F13" s="64">
        <v>5</v>
      </c>
      <c r="G13" s="64">
        <v>4</v>
      </c>
    </row>
    <row r="14" spans="1:7" x14ac:dyDescent="0.25">
      <c r="A14" s="4">
        <v>4</v>
      </c>
      <c r="B14" s="4" t="s">
        <v>49</v>
      </c>
      <c r="C14" s="3">
        <v>6</v>
      </c>
      <c r="D14" s="3">
        <v>6</v>
      </c>
      <c r="E14" s="3">
        <v>4</v>
      </c>
      <c r="F14" s="64">
        <v>7</v>
      </c>
      <c r="G14" s="64">
        <v>5</v>
      </c>
    </row>
    <row r="15" spans="1:7" x14ac:dyDescent="0.25">
      <c r="A15" s="4">
        <v>5</v>
      </c>
      <c r="B15" s="4" t="s">
        <v>47</v>
      </c>
      <c r="C15" s="3">
        <f>31-C16-C17</f>
        <v>21</v>
      </c>
      <c r="D15" s="3">
        <f>31-D16-D17</f>
        <v>19</v>
      </c>
      <c r="E15" s="3">
        <v>20</v>
      </c>
      <c r="F15" s="64">
        <v>21</v>
      </c>
      <c r="G15" s="64">
        <v>21</v>
      </c>
    </row>
    <row r="16" spans="1:7" x14ac:dyDescent="0.25">
      <c r="A16" s="4">
        <v>5</v>
      </c>
      <c r="B16" s="4" t="s">
        <v>48</v>
      </c>
      <c r="C16" s="3">
        <v>5</v>
      </c>
      <c r="D16" s="3">
        <v>5</v>
      </c>
      <c r="E16" s="3">
        <v>4</v>
      </c>
      <c r="F16" s="64">
        <v>4</v>
      </c>
      <c r="G16" s="64">
        <v>4</v>
      </c>
    </row>
    <row r="17" spans="1:7" x14ac:dyDescent="0.25">
      <c r="A17" s="4">
        <v>5</v>
      </c>
      <c r="B17" s="4" t="s">
        <v>49</v>
      </c>
      <c r="C17" s="3">
        <v>5</v>
      </c>
      <c r="D17" s="3">
        <v>7</v>
      </c>
      <c r="E17" s="3">
        <v>7</v>
      </c>
      <c r="F17" s="64">
        <v>6</v>
      </c>
      <c r="G17" s="64">
        <v>6</v>
      </c>
    </row>
    <row r="18" spans="1:7" x14ac:dyDescent="0.25">
      <c r="A18" s="4">
        <v>6</v>
      </c>
      <c r="B18" s="4" t="s">
        <v>47</v>
      </c>
      <c r="C18" s="3">
        <f>30-C19-C20</f>
        <v>18</v>
      </c>
      <c r="D18" s="3">
        <f>30-D19-D20</f>
        <v>19</v>
      </c>
      <c r="E18" s="3">
        <v>21</v>
      </c>
      <c r="F18" s="64">
        <v>20</v>
      </c>
      <c r="G18" s="64">
        <v>19</v>
      </c>
    </row>
    <row r="19" spans="1:7" x14ac:dyDescent="0.25">
      <c r="A19" s="4">
        <v>6</v>
      </c>
      <c r="B19" s="4" t="s">
        <v>48</v>
      </c>
      <c r="C19" s="3">
        <v>4</v>
      </c>
      <c r="D19" s="3">
        <v>4</v>
      </c>
      <c r="E19" s="3">
        <v>4</v>
      </c>
      <c r="F19" s="64">
        <v>4</v>
      </c>
      <c r="G19" s="64">
        <v>5</v>
      </c>
    </row>
    <row r="20" spans="1:7" x14ac:dyDescent="0.25">
      <c r="A20" s="4">
        <v>6</v>
      </c>
      <c r="B20" s="4" t="s">
        <v>49</v>
      </c>
      <c r="C20" s="3">
        <v>8</v>
      </c>
      <c r="D20" s="3">
        <v>7</v>
      </c>
      <c r="E20" s="3">
        <v>5</v>
      </c>
      <c r="F20" s="64">
        <v>6</v>
      </c>
      <c r="G20" s="64">
        <v>6</v>
      </c>
    </row>
    <row r="21" spans="1:7" x14ac:dyDescent="0.25">
      <c r="A21" s="4">
        <v>7</v>
      </c>
      <c r="B21" s="4" t="s">
        <v>47</v>
      </c>
      <c r="C21" s="3">
        <f>31-C22-C23</f>
        <v>23</v>
      </c>
      <c r="D21" s="3">
        <f>31-D22-D23</f>
        <v>22</v>
      </c>
      <c r="E21" s="3">
        <v>19</v>
      </c>
      <c r="F21" s="64">
        <v>19</v>
      </c>
      <c r="G21" s="64">
        <v>20</v>
      </c>
    </row>
    <row r="22" spans="1:7" x14ac:dyDescent="0.25">
      <c r="A22" s="4">
        <v>7</v>
      </c>
      <c r="B22" s="4" t="s">
        <v>48</v>
      </c>
      <c r="C22" s="3">
        <v>4</v>
      </c>
      <c r="D22" s="3">
        <v>4</v>
      </c>
      <c r="E22" s="3">
        <v>5</v>
      </c>
      <c r="F22" s="64">
        <v>5</v>
      </c>
      <c r="G22" s="64">
        <v>4</v>
      </c>
    </row>
    <row r="23" spans="1:7" x14ac:dyDescent="0.25">
      <c r="A23" s="4">
        <v>7</v>
      </c>
      <c r="B23" s="4" t="s">
        <v>49</v>
      </c>
      <c r="C23" s="3">
        <v>4</v>
      </c>
      <c r="D23" s="3">
        <v>5</v>
      </c>
      <c r="E23" s="3">
        <v>7</v>
      </c>
      <c r="F23" s="64">
        <v>7</v>
      </c>
      <c r="G23" s="64">
        <v>7</v>
      </c>
    </row>
    <row r="24" spans="1:7" x14ac:dyDescent="0.25">
      <c r="A24" s="4">
        <v>8</v>
      </c>
      <c r="B24" s="4" t="s">
        <v>47</v>
      </c>
      <c r="C24" s="3">
        <f>31-C25-C26</f>
        <v>19</v>
      </c>
      <c r="D24" s="3">
        <f>31-D25-D26</f>
        <v>19</v>
      </c>
      <c r="E24" s="3">
        <v>22</v>
      </c>
      <c r="F24" s="64">
        <v>21</v>
      </c>
      <c r="G24" s="64">
        <v>21</v>
      </c>
    </row>
    <row r="25" spans="1:7" x14ac:dyDescent="0.25">
      <c r="A25" s="4">
        <v>8</v>
      </c>
      <c r="B25" s="4" t="s">
        <v>48</v>
      </c>
      <c r="C25" s="3">
        <v>5</v>
      </c>
      <c r="D25" s="3">
        <v>5</v>
      </c>
      <c r="E25" s="3">
        <v>4</v>
      </c>
      <c r="F25" s="64">
        <v>4</v>
      </c>
      <c r="G25" s="64">
        <v>4</v>
      </c>
    </row>
    <row r="26" spans="1:7" x14ac:dyDescent="0.25">
      <c r="A26" s="4">
        <v>8</v>
      </c>
      <c r="B26" s="4" t="s">
        <v>49</v>
      </c>
      <c r="C26" s="3">
        <v>7</v>
      </c>
      <c r="D26" s="3">
        <v>7</v>
      </c>
      <c r="E26" s="3">
        <v>5</v>
      </c>
      <c r="F26" s="64">
        <v>6</v>
      </c>
      <c r="G26" s="64">
        <v>6</v>
      </c>
    </row>
    <row r="27" spans="1:7" x14ac:dyDescent="0.25">
      <c r="A27" s="4">
        <v>9</v>
      </c>
      <c r="B27" s="4" t="s">
        <v>47</v>
      </c>
      <c r="C27" s="3">
        <f>30-C28-C29</f>
        <v>22</v>
      </c>
      <c r="D27" s="3">
        <f>30-D28-D29</f>
        <v>22</v>
      </c>
      <c r="E27" s="3">
        <v>22</v>
      </c>
      <c r="F27" s="64">
        <v>21</v>
      </c>
      <c r="G27" s="64">
        <v>20</v>
      </c>
    </row>
    <row r="28" spans="1:7" x14ac:dyDescent="0.25">
      <c r="A28" s="4">
        <v>9</v>
      </c>
      <c r="B28" s="4" t="s">
        <v>48</v>
      </c>
      <c r="C28" s="3">
        <v>4</v>
      </c>
      <c r="D28" s="3">
        <v>4</v>
      </c>
      <c r="E28" s="3">
        <v>4</v>
      </c>
      <c r="F28" s="64">
        <v>5</v>
      </c>
      <c r="G28" s="64">
        <v>5</v>
      </c>
    </row>
    <row r="29" spans="1:7" x14ac:dyDescent="0.25">
      <c r="A29" s="4">
        <v>9</v>
      </c>
      <c r="B29" s="4" t="s">
        <v>49</v>
      </c>
      <c r="C29" s="3">
        <v>4</v>
      </c>
      <c r="D29" s="3">
        <v>4</v>
      </c>
      <c r="E29" s="3">
        <v>4</v>
      </c>
      <c r="F29" s="64">
        <v>4</v>
      </c>
      <c r="G29" s="64">
        <v>5</v>
      </c>
    </row>
    <row r="30" spans="1:7" x14ac:dyDescent="0.25">
      <c r="A30" s="4">
        <v>10</v>
      </c>
      <c r="B30" s="4" t="s">
        <v>47</v>
      </c>
      <c r="C30" s="3">
        <f>31-C31-C32</f>
        <v>22</v>
      </c>
      <c r="D30" s="3">
        <f>31-D31-D32</f>
        <v>21</v>
      </c>
      <c r="E30" s="3">
        <v>20</v>
      </c>
      <c r="F30" s="64">
        <v>21</v>
      </c>
      <c r="G30" s="64">
        <v>22</v>
      </c>
    </row>
    <row r="31" spans="1:7" x14ac:dyDescent="0.25">
      <c r="A31" s="4">
        <v>10</v>
      </c>
      <c r="B31" s="4" t="s">
        <v>48</v>
      </c>
      <c r="C31" s="3">
        <v>4</v>
      </c>
      <c r="D31" s="3">
        <v>5</v>
      </c>
      <c r="E31" s="3">
        <v>5</v>
      </c>
      <c r="F31" s="64">
        <v>4</v>
      </c>
      <c r="G31" s="64">
        <v>4</v>
      </c>
    </row>
    <row r="32" spans="1:7" x14ac:dyDescent="0.25">
      <c r="A32" s="4">
        <v>10</v>
      </c>
      <c r="B32" s="4" t="s">
        <v>49</v>
      </c>
      <c r="C32" s="3">
        <v>5</v>
      </c>
      <c r="D32" s="3">
        <v>5</v>
      </c>
      <c r="E32" s="3">
        <v>6</v>
      </c>
      <c r="F32" s="64">
        <v>6</v>
      </c>
      <c r="G32" s="64">
        <v>5</v>
      </c>
    </row>
    <row r="33" spans="1:7" x14ac:dyDescent="0.25">
      <c r="A33" s="4">
        <v>11</v>
      </c>
      <c r="B33" s="4" t="s">
        <v>47</v>
      </c>
      <c r="C33" s="3">
        <f>30-C34-C35</f>
        <v>18</v>
      </c>
      <c r="D33" s="3">
        <f>30-D34-D35</f>
        <v>19</v>
      </c>
      <c r="E33" s="3">
        <v>20</v>
      </c>
      <c r="F33" s="64">
        <v>20</v>
      </c>
      <c r="G33" s="64">
        <v>20</v>
      </c>
    </row>
    <row r="34" spans="1:7" x14ac:dyDescent="0.25">
      <c r="A34" s="4">
        <v>11</v>
      </c>
      <c r="B34" s="4" t="s">
        <v>48</v>
      </c>
      <c r="C34" s="3">
        <v>5</v>
      </c>
      <c r="D34" s="3">
        <v>4</v>
      </c>
      <c r="E34" s="3">
        <v>4</v>
      </c>
      <c r="F34" s="64">
        <v>4</v>
      </c>
      <c r="G34" s="64">
        <v>4</v>
      </c>
    </row>
    <row r="35" spans="1:7" x14ac:dyDescent="0.25">
      <c r="A35" s="4">
        <v>11</v>
      </c>
      <c r="B35" s="4" t="s">
        <v>49</v>
      </c>
      <c r="C35" s="3">
        <v>7</v>
      </c>
      <c r="D35" s="3">
        <v>7</v>
      </c>
      <c r="E35" s="3">
        <v>6</v>
      </c>
      <c r="F35" s="64">
        <v>6</v>
      </c>
      <c r="G35" s="64">
        <v>6</v>
      </c>
    </row>
    <row r="36" spans="1:7" x14ac:dyDescent="0.25">
      <c r="A36" s="4">
        <v>12</v>
      </c>
      <c r="B36" s="4" t="s">
        <v>47</v>
      </c>
      <c r="C36" s="3">
        <f>31-C37-C38</f>
        <v>21</v>
      </c>
      <c r="D36" s="3">
        <f>31-D37-D38</f>
        <v>21</v>
      </c>
      <c r="E36" s="3">
        <v>21</v>
      </c>
      <c r="F36" s="64">
        <v>19</v>
      </c>
      <c r="G36" s="64">
        <v>20</v>
      </c>
    </row>
    <row r="37" spans="1:7" x14ac:dyDescent="0.25">
      <c r="A37" s="4">
        <v>12</v>
      </c>
      <c r="B37" s="4" t="s">
        <v>48</v>
      </c>
      <c r="C37" s="3">
        <v>4</v>
      </c>
      <c r="D37" s="3">
        <v>4</v>
      </c>
      <c r="E37" s="3">
        <v>5</v>
      </c>
      <c r="F37" s="64">
        <v>5</v>
      </c>
      <c r="G37" s="64">
        <v>5</v>
      </c>
    </row>
    <row r="38" spans="1:7" x14ac:dyDescent="0.25">
      <c r="A38" s="4">
        <v>12</v>
      </c>
      <c r="B38" s="4" t="s">
        <v>49</v>
      </c>
      <c r="C38" s="3">
        <v>6</v>
      </c>
      <c r="D38" s="3">
        <v>6</v>
      </c>
      <c r="E38" s="3">
        <v>5</v>
      </c>
      <c r="F38" s="64">
        <v>7</v>
      </c>
      <c r="G38" s="64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4140625" defaultRowHeight="13.2" x14ac:dyDescent="0.25"/>
  <cols>
    <col min="1" max="1" width="8.44140625" bestFit="1" customWidth="1"/>
  </cols>
  <sheetData>
    <row r="2" spans="1:26" x14ac:dyDescent="0.25">
      <c r="A2" t="s">
        <v>50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6" x14ac:dyDescent="0.25">
      <c r="A3" s="2" t="s">
        <v>51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 x14ac:dyDescent="0.25">
      <c r="A4" s="2" t="s">
        <v>52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 x14ac:dyDescent="0.25">
      <c r="A5" s="2" t="s">
        <v>53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x14ac:dyDescent="0.25">
      <c r="A8" s="7" t="s">
        <v>54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9051b616218607a547ffc31e197de93b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95dc98024839dd5cd9bed517a990eb63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Props1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38166E4-62F3-4A0F-8850-93DDBE0D8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PRODUCTO 01</vt:lpstr>
      <vt:lpstr>Cantidades horarias PROD 01</vt:lpstr>
      <vt:lpstr>PRODUCTO 2</vt:lpstr>
      <vt:lpstr>Cantidades horarias PROD 02</vt:lpstr>
      <vt:lpstr>PRODUCTO 3</vt:lpstr>
      <vt:lpstr>Cantidades horarias PROD 03</vt:lpstr>
      <vt:lpstr>calendario</vt:lpstr>
      <vt:lpstr>curvas típicas de referencia</vt:lpstr>
      <vt:lpstr>'PRODUCTO 01'!Área_de_impresión</vt:lpstr>
      <vt:lpstr>'PRODUCTO 2'!Área_de_impresión</vt:lpstr>
      <vt:lpstr>'PRODUCTO 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Marysol Reyes Tobar</cp:lastModifiedBy>
  <cp:revision/>
  <cp:lastPrinted>2025-12-01T19:30:55Z</cp:lastPrinted>
  <dcterms:created xsi:type="dcterms:W3CDTF">2008-04-02T00:00:31Z</dcterms:created>
  <dcterms:modified xsi:type="dcterms:W3CDTF">2026-05-06T15:56:21Z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0x01010016F128B553CF4D45A32557018C565B05</vt:lpwstr>
  </property>
  <property fmtid="{D5CDD505-2E9C-101B-9397-08002B2CF9AE}" pid="3" name="MediaServiceImageTags">
    <vt:lpwstr/>
  </property>
</Properties>
</file>