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eva carpeta\Desktop\GERENCIA 2024\CONVOCATORIA 2025-2\"/>
    </mc:Choice>
  </mc:AlternateContent>
  <xr:revisionPtr revIDLastSave="0" documentId="13_ncr:1_{12910EB9-2F46-4B4C-8BD2-50C1BAE4B009}" xr6:coauthVersionLast="47" xr6:coauthVersionMax="47" xr10:uidLastSave="{00000000-0000-0000-0000-000000000000}"/>
  <bookViews>
    <workbookView xWindow="-120" yWindow="-120" windowWidth="29040" windowHeight="15720" activeTab="1" xr2:uid="{85D77D75-C968-46E6-B9AD-CAD854DA8C40}"/>
  </bookViews>
  <sheets>
    <sheet name="CANTIDADES" sheetId="1" r:id="rId1"/>
    <sheet name="PRESENT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6" i="2" l="1"/>
  <c r="B69" i="2"/>
  <c r="B17" i="2"/>
  <c r="B56" i="2" l="1"/>
  <c r="B43" i="2"/>
  <c r="B30" i="2"/>
  <c r="AB313" i="1" l="1"/>
  <c r="AB312" i="1"/>
  <c r="AB311" i="1"/>
  <c r="AB309" i="1"/>
  <c r="AB307" i="1"/>
  <c r="AB305" i="1"/>
  <c r="AB304" i="1"/>
  <c r="AB303" i="1"/>
  <c r="AB301" i="1"/>
  <c r="AB300" i="1"/>
  <c r="AB299" i="1"/>
  <c r="AB296" i="1"/>
  <c r="AB295" i="1"/>
  <c r="AB293" i="1"/>
  <c r="AB292" i="1"/>
  <c r="AB291" i="1"/>
  <c r="AB289" i="1"/>
  <c r="AB288" i="1"/>
  <c r="AB285" i="1"/>
  <c r="AB284" i="1"/>
  <c r="AB283" i="1"/>
  <c r="AB281" i="1"/>
  <c r="AB280" i="1"/>
  <c r="AB279" i="1"/>
  <c r="AB277" i="1"/>
  <c r="AB275" i="1"/>
  <c r="AB273" i="1"/>
  <c r="AB272" i="1"/>
  <c r="AB271" i="1"/>
  <c r="AB269" i="1"/>
  <c r="AB268" i="1"/>
  <c r="AB267" i="1"/>
  <c r="AB264" i="1"/>
  <c r="AB263" i="1"/>
  <c r="AB261" i="1"/>
  <c r="AB260" i="1"/>
  <c r="AB259" i="1"/>
  <c r="AB257" i="1"/>
  <c r="AB256" i="1"/>
  <c r="AB253" i="1"/>
  <c r="AB252" i="1"/>
  <c r="AB251" i="1"/>
  <c r="AB249" i="1"/>
  <c r="AB248" i="1"/>
  <c r="AB247" i="1"/>
  <c r="AB245" i="1"/>
  <c r="AB243" i="1"/>
  <c r="AB241" i="1"/>
  <c r="AB240" i="1"/>
  <c r="AB239" i="1"/>
  <c r="AB237" i="1"/>
  <c r="AB236" i="1"/>
  <c r="AB235" i="1"/>
  <c r="AB232" i="1"/>
  <c r="AB231" i="1"/>
  <c r="AB229" i="1"/>
  <c r="AB228" i="1"/>
  <c r="AB227" i="1"/>
  <c r="AB225" i="1"/>
  <c r="AB224" i="1"/>
  <c r="AB221" i="1"/>
  <c r="AB220" i="1"/>
  <c r="AB219" i="1"/>
  <c r="AB217" i="1"/>
  <c r="AB216" i="1"/>
  <c r="AB215" i="1"/>
  <c r="AB213" i="1"/>
  <c r="AB211" i="1"/>
  <c r="AB209" i="1"/>
  <c r="AB208" i="1"/>
  <c r="AB207" i="1"/>
  <c r="AB205" i="1"/>
  <c r="AB204" i="1"/>
  <c r="AB203" i="1"/>
  <c r="AB200" i="1"/>
  <c r="AB199" i="1"/>
  <c r="AB197" i="1"/>
  <c r="AB196" i="1"/>
  <c r="AB195" i="1"/>
  <c r="AB193" i="1"/>
  <c r="AB192" i="1"/>
  <c r="AB189" i="1"/>
  <c r="AB188" i="1"/>
  <c r="AB187" i="1"/>
  <c r="AB185" i="1"/>
  <c r="AB184" i="1"/>
  <c r="AB183" i="1"/>
  <c r="AB181" i="1"/>
  <c r="AB179" i="1"/>
  <c r="AB177" i="1"/>
  <c r="AB176" i="1"/>
  <c r="AB175" i="1"/>
  <c r="AB173" i="1"/>
  <c r="AB172" i="1"/>
  <c r="AB171" i="1"/>
  <c r="AB168" i="1"/>
  <c r="AB167" i="1"/>
  <c r="AB165" i="1"/>
  <c r="AB164" i="1"/>
  <c r="AB163" i="1"/>
  <c r="AB161" i="1"/>
  <c r="AB160" i="1"/>
  <c r="AB157" i="1"/>
  <c r="AB156" i="1"/>
  <c r="AB155" i="1"/>
  <c r="AB153" i="1"/>
  <c r="AB152" i="1"/>
  <c r="AB147" i="1"/>
  <c r="AB145" i="1"/>
  <c r="AB144" i="1"/>
  <c r="AB308" i="1"/>
  <c r="AB297" i="1"/>
  <c r="AB287" i="1"/>
  <c r="AB276" i="1"/>
  <c r="AB265" i="1"/>
  <c r="AB255" i="1"/>
  <c r="AB244" i="1"/>
  <c r="AB233" i="1"/>
  <c r="AB223" i="1"/>
  <c r="AB212" i="1"/>
  <c r="AB201" i="1"/>
  <c r="AB191" i="1"/>
  <c r="AB180" i="1"/>
  <c r="AB169" i="1"/>
  <c r="AB159" i="1"/>
  <c r="AB151" i="1"/>
  <c r="AB149" i="1"/>
  <c r="AB148" i="1"/>
  <c r="AB143" i="1"/>
  <c r="AB141" i="1"/>
  <c r="AB140" i="1"/>
  <c r="AB139" i="1"/>
  <c r="AB137" i="1"/>
  <c r="AB136" i="1"/>
  <c r="AB135" i="1"/>
  <c r="AB133" i="1"/>
  <c r="AB132" i="1"/>
  <c r="AB131" i="1"/>
  <c r="AB129" i="1"/>
  <c r="AB128" i="1"/>
  <c r="AB127" i="1"/>
  <c r="AB125" i="1"/>
  <c r="AB124" i="1"/>
  <c r="AB123" i="1"/>
  <c r="AB121" i="1"/>
  <c r="AB120" i="1"/>
  <c r="AB119" i="1"/>
  <c r="AB117" i="1"/>
  <c r="AB116" i="1"/>
  <c r="AB115" i="1"/>
  <c r="AB113" i="1"/>
  <c r="AB112" i="1"/>
  <c r="AB111" i="1"/>
  <c r="AB109" i="1"/>
  <c r="AB108" i="1"/>
  <c r="AB107" i="1"/>
  <c r="AB105" i="1"/>
  <c r="AB104" i="1"/>
  <c r="AB103" i="1"/>
  <c r="AB101" i="1"/>
  <c r="AB100" i="1"/>
  <c r="AB99" i="1"/>
  <c r="AB97" i="1"/>
  <c r="AB96" i="1"/>
  <c r="AB95" i="1"/>
  <c r="AB93" i="1"/>
  <c r="AB92" i="1"/>
  <c r="AB91" i="1"/>
  <c r="AB89" i="1"/>
  <c r="AB88" i="1"/>
  <c r="AB87" i="1"/>
  <c r="AB85" i="1"/>
  <c r="AB84" i="1"/>
  <c r="AB83" i="1"/>
  <c r="AB81" i="1"/>
  <c r="AB80" i="1"/>
  <c r="AB79" i="1"/>
  <c r="AB77" i="1"/>
  <c r="AB76" i="1"/>
  <c r="AB75" i="1"/>
  <c r="AB73" i="1"/>
  <c r="AB72" i="1"/>
  <c r="AB71" i="1"/>
  <c r="AB69" i="1"/>
  <c r="AB68" i="1"/>
  <c r="AB67" i="1"/>
  <c r="AB65" i="1"/>
  <c r="AB64" i="1"/>
  <c r="AB63" i="1"/>
  <c r="AB61" i="1"/>
  <c r="AB60" i="1"/>
  <c r="AB59" i="1"/>
  <c r="AB57" i="1"/>
  <c r="AB56" i="1"/>
  <c r="AB55" i="1"/>
  <c r="AB53" i="1"/>
  <c r="AB52" i="1"/>
  <c r="AB51" i="1"/>
  <c r="AB49" i="1"/>
  <c r="AB48" i="1"/>
  <c r="AB47" i="1"/>
  <c r="AB45" i="1"/>
  <c r="AB44" i="1"/>
  <c r="AB43" i="1"/>
  <c r="AB41" i="1"/>
  <c r="AB40" i="1"/>
  <c r="AB39" i="1"/>
  <c r="AB37" i="1"/>
  <c r="AB36" i="1"/>
  <c r="AB35" i="1"/>
  <c r="AB33" i="1"/>
  <c r="AB32" i="1"/>
  <c r="AB31" i="1"/>
  <c r="AB29" i="1"/>
  <c r="AB28" i="1"/>
  <c r="AB27" i="1"/>
  <c r="AB25" i="1"/>
  <c r="AB24" i="1"/>
  <c r="AB23" i="1"/>
  <c r="AB21" i="1"/>
  <c r="AB20" i="1"/>
  <c r="AB19" i="1"/>
  <c r="AB17" i="1"/>
  <c r="AB16" i="1"/>
  <c r="AB15" i="1"/>
  <c r="AB13" i="1"/>
  <c r="AB12" i="1"/>
  <c r="AB11" i="1"/>
  <c r="AB9" i="1"/>
  <c r="AB8" i="1"/>
  <c r="AB7" i="1"/>
  <c r="AB5" i="1"/>
  <c r="AB4" i="1"/>
  <c r="AB3" i="1"/>
  <c r="AC5" i="1" l="1"/>
  <c r="AC21" i="1"/>
  <c r="AC37" i="1"/>
  <c r="AC53" i="1"/>
  <c r="AC69" i="1"/>
  <c r="AC85" i="1"/>
  <c r="AC101" i="1"/>
  <c r="AC117" i="1"/>
  <c r="AC133" i="1"/>
  <c r="AC149" i="1"/>
  <c r="AC165" i="1"/>
  <c r="AC181" i="1"/>
  <c r="AC197" i="1"/>
  <c r="AC213" i="1"/>
  <c r="AC229" i="1"/>
  <c r="AC245" i="1"/>
  <c r="AC261" i="1"/>
  <c r="AC277" i="1"/>
  <c r="AC293" i="1"/>
  <c r="AC309" i="1"/>
  <c r="AC9" i="1"/>
  <c r="AC25" i="1"/>
  <c r="AC41" i="1"/>
  <c r="AC57" i="1"/>
  <c r="AC73" i="1"/>
  <c r="AC89" i="1"/>
  <c r="AC105" i="1"/>
  <c r="AC121" i="1"/>
  <c r="AC137" i="1"/>
  <c r="AC153" i="1"/>
  <c r="AC169" i="1"/>
  <c r="AC185" i="1"/>
  <c r="AC201" i="1"/>
  <c r="AC217" i="1"/>
  <c r="AC233" i="1"/>
  <c r="AC249" i="1"/>
  <c r="AC265" i="1"/>
  <c r="AC281" i="1"/>
  <c r="AC297" i="1"/>
  <c r="AC313" i="1"/>
  <c r="AC17" i="1"/>
  <c r="AC33" i="1"/>
  <c r="AC49" i="1"/>
  <c r="AC65" i="1"/>
  <c r="AC81" i="1"/>
  <c r="AC97" i="1"/>
  <c r="AC113" i="1"/>
  <c r="AC129" i="1"/>
  <c r="AC145" i="1"/>
  <c r="AC161" i="1"/>
  <c r="AC177" i="1"/>
  <c r="AC193" i="1"/>
  <c r="AC209" i="1"/>
  <c r="AC225" i="1"/>
  <c r="AC241" i="1"/>
  <c r="AC257" i="1"/>
  <c r="AC273" i="1"/>
  <c r="AC289" i="1"/>
  <c r="AC305" i="1"/>
  <c r="AC13" i="1"/>
  <c r="AC29" i="1"/>
  <c r="AC45" i="1"/>
  <c r="AC61" i="1"/>
  <c r="AC77" i="1"/>
  <c r="AC93" i="1"/>
  <c r="AC109" i="1"/>
  <c r="AC125" i="1"/>
  <c r="AC141" i="1"/>
  <c r="AC157" i="1"/>
  <c r="AC173" i="1"/>
  <c r="AC189" i="1"/>
  <c r="AC205" i="1"/>
  <c r="AC221" i="1"/>
  <c r="AC237" i="1"/>
  <c r="AC253" i="1"/>
  <c r="AC269" i="1"/>
  <c r="AC285" i="1"/>
  <c r="AC301" i="1"/>
</calcChain>
</file>

<file path=xl/sharedStrings.xml><?xml version="1.0" encoding="utf-8"?>
<sst xmlns="http://schemas.openxmlformats.org/spreadsheetml/2006/main" count="288" uniqueCount="57">
  <si>
    <t>Tipo de día</t>
  </si>
  <si>
    <t>N° días
mes</t>
  </si>
  <si>
    <t>MES-AÑO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</si>
  <si>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</si>
  <si>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</si>
  <si>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</si>
  <si>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</si>
  <si>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</si>
  <si>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</si>
  <si>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</si>
  <si>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</si>
  <si>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</si>
  <si>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</si>
  <si>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</si>
  <si>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</si>
  <si>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</si>
  <si>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</si>
  <si>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</si>
  <si>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</si>
  <si>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</si>
  <si>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</si>
  <si>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</si>
  <si>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</si>
  <si>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</si>
  <si>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</si>
  <si>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</si>
  <si>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</si>
  <si>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</si>
  <si>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TOTAL MES</t>
  </si>
  <si>
    <t>ORD.</t>
  </si>
  <si>
    <t>SAB.</t>
  </si>
  <si>
    <t>DOM- FES</t>
  </si>
  <si>
    <t>ANEXO No. 3</t>
  </si>
  <si>
    <t>CUADRO DE PRESENTACIÓN DE PRECIO OFERTADO</t>
  </si>
  <si>
    <t>Invitación N°</t>
  </si>
  <si>
    <t>Convoctatoria Pública No. CP-EGVC2025-002</t>
  </si>
  <si>
    <t>Oferente</t>
  </si>
  <si>
    <t>[Nombre del oferente]</t>
  </si>
  <si>
    <t>Modalidad</t>
  </si>
  <si>
    <t>Pague lo Contratado - PLC (1)</t>
  </si>
  <si>
    <t>Precio en</t>
  </si>
  <si>
    <t xml:space="preserve">$/kWh - Precios constantes de Diciembre-2024 </t>
  </si>
  <si>
    <t>CUADRO DE PRECIOS Y CANTIDAD DE ENERGÍA OFERTADOS</t>
  </si>
  <si>
    <t>AÑO</t>
  </si>
  <si>
    <t xml:space="preserve">Cantidad de energia Solicitada kWh/mes </t>
  </si>
  <si>
    <t>Precio ofertado $/kWh</t>
  </si>
  <si>
    <t xml:space="preserve">% Energia Ofertada </t>
  </si>
  <si>
    <t xml:space="preserve">Cantidad de energia ofertada kWh/mes </t>
  </si>
  <si>
    <t>2025 (6)</t>
  </si>
  <si>
    <t>Promedio total</t>
  </si>
  <si>
    <t>(1) PLC: Pague lo Contratado</t>
  </si>
  <si>
    <t>(2) Precios en Pesos colombianos, para cada periodo (mes), expresados con dos cifras decimales [$/kWh] - - Precios constantes de diciembre-2024</t>
  </si>
  <si>
    <t xml:space="preserve">(3) La energía ofertada y adjudicada se despachará de acuerdo con la curva de demanda definida en el Anexo No. 4. </t>
  </si>
  <si>
    <t>(4) Los oferentes que quieran participar en la totalidad de este producto deberán como mínimo, ofertar para el año 2025 un treinta porciento (30%) de la energía solicitada.</t>
  </si>
  <si>
    <t>(5) Si no se reciben la oferta minima para el año 2025 no se tendra en cuenta la oferta recibida para el 2026 hasta el 2031</t>
  </si>
  <si>
    <t>(6) Se tendran en cuenta ofertas únicas para el año 2025 mínimo el 30% de la energía solicitada.</t>
  </si>
  <si>
    <t>Firma Oferente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</si>
</sst>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b/>
      <sz val="1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ptos Narrow"/>
      <family val="2"/>
      <scheme val="minor"/>
    </font>
    <font>
      <sz val="11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2E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165" fontId="3" fillId="0" borderId="1" xfId="1" applyNumberFormat="1" applyFont="1" applyBorder="1"/>
    <xf numFmtId="165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1" xfId="1" applyNumberFormat="1" applyFont="1" applyBorder="1" applyAlignment="1">
      <alignment wrapText="1"/>
    </xf>
    <xf numFmtId="0" fontId="0" fillId="3" borderId="0" xfId="0" applyFill="1"/>
    <xf numFmtId="165" fontId="0" fillId="3" borderId="0" xfId="1" applyNumberFormat="1" applyFont="1" applyFill="1"/>
    <xf numFmtId="0" fontId="6" fillId="4" borderId="1" xfId="2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5" fontId="0" fillId="0" borderId="1" xfId="1" applyNumberFormat="1" applyFont="1" applyBorder="1"/>
    <xf numFmtId="165" fontId="3" fillId="5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wrapText="1"/>
    </xf>
    <xf numFmtId="0" fontId="5" fillId="2" borderId="0" xfId="2" applyFont="1" applyFill="1" applyAlignment="1" applyProtection="1">
      <alignment horizontal="center" vertical="center" wrapText="1"/>
      <protection locked="0"/>
    </xf>
    <xf numFmtId="165" fontId="0" fillId="0" borderId="0" xfId="1" applyNumberFormat="1" applyFont="1"/>
    <xf numFmtId="165" fontId="5" fillId="2" borderId="0" xfId="1" applyNumberFormat="1" applyFont="1" applyFill="1" applyAlignment="1" applyProtection="1">
      <alignment horizontal="center" vertical="center" wrapText="1"/>
      <protection locked="0"/>
    </xf>
    <xf numFmtId="165" fontId="3" fillId="0" borderId="0" xfId="1" applyNumberFormat="1" applyFont="1" applyAlignment="1">
      <alignment wrapText="1"/>
    </xf>
    <xf numFmtId="1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5" fontId="3" fillId="0" borderId="0" xfId="1" applyNumberFormat="1" applyFont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5" borderId="0" xfId="0" applyFill="1" applyAlignment="1">
      <alignment wrapText="1"/>
    </xf>
    <xf numFmtId="0" fontId="0" fillId="5" borderId="0" xfId="0" applyFill="1"/>
    <xf numFmtId="165" fontId="0" fillId="5" borderId="0" xfId="1" applyNumberFormat="1" applyFont="1" applyFill="1"/>
    <xf numFmtId="0" fontId="0" fillId="0" borderId="1" xfId="0" applyBorder="1" applyAlignment="1">
      <alignment wrapText="1"/>
    </xf>
    <xf numFmtId="165" fontId="0" fillId="0" borderId="3" xfId="1" applyNumberFormat="1" applyFont="1" applyBorder="1"/>
    <xf numFmtId="0" fontId="7" fillId="4" borderId="1" xfId="2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65" fontId="7" fillId="5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Border="1" applyAlignment="1">
      <alignment wrapText="1"/>
    </xf>
    <xf numFmtId="1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7" fontId="6" fillId="5" borderId="1" xfId="2" applyNumberFormat="1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0" fillId="0" borderId="0" xfId="0" applyNumberForma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" fontId="8" fillId="0" borderId="0" xfId="0" applyNumberFormat="1" applyFont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4" fontId="10" fillId="6" borderId="8" xfId="0" applyNumberFormat="1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17" fontId="9" fillId="7" borderId="7" xfId="0" applyNumberFormat="1" applyFont="1" applyFill="1" applyBorder="1" applyAlignment="1">
      <alignment horizontal="center" vertical="center" wrapText="1"/>
    </xf>
    <xf numFmtId="4" fontId="9" fillId="7" borderId="8" xfId="1" applyNumberFormat="1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9" fontId="9" fillId="7" borderId="8" xfId="3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4" fontId="8" fillId="6" borderId="8" xfId="0" applyNumberFormat="1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4" fontId="9" fillId="7" borderId="8" xfId="0" applyNumberFormat="1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4" fontId="8" fillId="6" borderId="6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17" fontId="9" fillId="7" borderId="9" xfId="0" applyNumberFormat="1" applyFont="1" applyFill="1" applyBorder="1" applyAlignment="1">
      <alignment horizontal="center" vertical="center" wrapText="1"/>
    </xf>
    <xf numFmtId="4" fontId="9" fillId="7" borderId="6" xfId="0" applyNumberFormat="1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4" fontId="8" fillId="8" borderId="6" xfId="0" applyNumberFormat="1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4" fontId="9" fillId="8" borderId="6" xfId="0" applyNumberFormat="1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4" fontId="9" fillId="8" borderId="11" xfId="0" applyNumberFormat="1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4" fontId="10" fillId="6" borderId="6" xfId="0" applyNumberFormat="1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left"/>
    </xf>
    <xf numFmtId="0" fontId="0" fillId="0" borderId="12" xfId="0" applyBorder="1"/>
    <xf numFmtId="4" fontId="0" fillId="0" borderId="12" xfId="0" applyNumberFormat="1" applyBorder="1"/>
  </cellXfs>
  <cellStyles count="4">
    <cellStyle name="Millares" xfId="1" builtinId="3"/>
    <cellStyle name="Normal" xfId="0" builtinId="0"/>
    <cellStyle name="Normal_ENE99" xfId="2" xr:uid="{EF6EC5A3-32A3-40AC-9EDD-D47440D81F9D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0B75-E28F-4591-99DB-C0629644E311}">
  <dimension ref="A1:AC313"/>
  <sheetViews>
    <sheetView zoomScale="66" workbookViewId="0">
      <pane xSplit="2" ySplit="1" topLeftCell="Q293" activePane="bottomRight" state="frozen"/>
      <selection pane="topRight" activeCell="C1" sqref="C1"/>
      <selection pane="bottomLeft" activeCell="A2" sqref="A2"/>
      <selection pane="bottomRight" activeCell="AB319" sqref="AB319"/>
    </sheetView>
  </sheetViews>
  <sheetFormatPr baseColWidth="10" defaultRowHeight="15" x14ac:dyDescent="0.25"/>
  <cols>
    <col min="4" max="27" width="11.5703125" style="13" bestFit="1" customWidth="1"/>
    <col min="28" max="28" width="16" style="13" bestFit="1" customWidth="1"/>
    <col min="29" max="29" width="20.42578125" style="13" bestFit="1" customWidth="1"/>
  </cols>
  <sheetData>
    <row r="1" spans="1:29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4" t="s">
        <v>28</v>
      </c>
    </row>
    <row r="2" spans="1:29" x14ac:dyDescent="0.25">
      <c r="A2" s="5">
        <v>2025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7" t="s">
        <v>29</v>
      </c>
      <c r="B3" s="8">
        <v>23</v>
      </c>
      <c r="C3" s="1"/>
      <c r="D3" s="9">
        <v>183.22531010869261</v>
      </c>
      <c r="E3" s="9">
        <v>150</v>
      </c>
      <c r="F3" s="9">
        <v>150</v>
      </c>
      <c r="G3" s="9">
        <v>150</v>
      </c>
      <c r="H3" s="9">
        <v>150</v>
      </c>
      <c r="I3" s="9">
        <v>150</v>
      </c>
      <c r="J3" s="9">
        <v>150</v>
      </c>
      <c r="K3" s="9">
        <v>150</v>
      </c>
      <c r="L3" s="9">
        <v>150</v>
      </c>
      <c r="M3" s="9">
        <v>239.22353445651243</v>
      </c>
      <c r="N3" s="9">
        <v>515.61348228260249</v>
      </c>
      <c r="O3" s="9">
        <v>743.66070652173039</v>
      </c>
      <c r="P3" s="9">
        <v>723.47016065216849</v>
      </c>
      <c r="Q3" s="9">
        <v>743.40398608694886</v>
      </c>
      <c r="R3" s="9">
        <v>788.260863043472</v>
      </c>
      <c r="S3" s="9">
        <v>892.80982826085983</v>
      </c>
      <c r="T3" s="9">
        <v>751.19329239130093</v>
      </c>
      <c r="U3" s="9">
        <v>1709.650717826079</v>
      </c>
      <c r="V3" s="9">
        <v>1803.5579434782601</v>
      </c>
      <c r="W3" s="9">
        <v>1787.1732002173801</v>
      </c>
      <c r="X3" s="9">
        <v>1653.2304245652099</v>
      </c>
      <c r="Y3" s="9">
        <v>1409.1515990217322</v>
      </c>
      <c r="Z3" s="9">
        <v>973.1316417391231</v>
      </c>
      <c r="AA3" s="9">
        <v>498.38631304347501</v>
      </c>
      <c r="AB3" s="10">
        <f>SUM(D3:AA3)*B3</f>
        <v>382148.28908499755</v>
      </c>
      <c r="AC3" s="11"/>
    </row>
    <row r="4" spans="1:29" x14ac:dyDescent="0.25">
      <c r="A4" s="7" t="s">
        <v>30</v>
      </c>
      <c r="B4" s="8">
        <v>4</v>
      </c>
      <c r="C4" s="16">
        <v>45839</v>
      </c>
      <c r="D4" s="9">
        <v>163.85950499999763</v>
      </c>
      <c r="E4" s="9">
        <v>150</v>
      </c>
      <c r="F4" s="9">
        <v>150</v>
      </c>
      <c r="G4" s="9">
        <v>150</v>
      </c>
      <c r="H4" s="9">
        <v>150</v>
      </c>
      <c r="I4" s="9">
        <v>150</v>
      </c>
      <c r="J4" s="9">
        <v>150</v>
      </c>
      <c r="K4" s="9">
        <v>150</v>
      </c>
      <c r="L4" s="9">
        <v>150</v>
      </c>
      <c r="M4" s="9">
        <v>230.01366374999725</v>
      </c>
      <c r="N4" s="9">
        <v>507.85478062499715</v>
      </c>
      <c r="O4" s="9">
        <v>699.52153124999677</v>
      </c>
      <c r="P4" s="9">
        <v>666.28250812499937</v>
      </c>
      <c r="Q4" s="9">
        <v>711.70008749999943</v>
      </c>
      <c r="R4" s="9">
        <v>817.164021874995</v>
      </c>
      <c r="S4" s="9">
        <v>915.58686937499806</v>
      </c>
      <c r="T4" s="9">
        <v>770.81204249999519</v>
      </c>
      <c r="U4" s="9">
        <v>1696.8356287499964</v>
      </c>
      <c r="V4" s="9">
        <v>1770.1981149999999</v>
      </c>
      <c r="W4" s="9">
        <v>1756.73351875</v>
      </c>
      <c r="X4" s="9">
        <v>1635.3125375</v>
      </c>
      <c r="Y4" s="9">
        <v>1456.9738518749973</v>
      </c>
      <c r="Z4" s="9">
        <v>1039.6876293749956</v>
      </c>
      <c r="AA4" s="9">
        <v>558.22420437499704</v>
      </c>
      <c r="AB4" s="10">
        <f t="shared" ref="AB4:AB5" si="0">SUM(D4:AA4)*B4</f>
        <v>66387.041982499839</v>
      </c>
      <c r="AC4" s="11"/>
    </row>
    <row r="5" spans="1:29" x14ac:dyDescent="0.25">
      <c r="A5" s="7" t="s">
        <v>31</v>
      </c>
      <c r="B5" s="8">
        <v>4</v>
      </c>
      <c r="C5" s="1"/>
      <c r="D5" s="9">
        <v>188.09505374999753</v>
      </c>
      <c r="E5" s="9">
        <v>150</v>
      </c>
      <c r="F5" s="9">
        <v>150</v>
      </c>
      <c r="G5" s="9">
        <v>150</v>
      </c>
      <c r="H5" s="9">
        <v>150</v>
      </c>
      <c r="I5" s="9">
        <v>150</v>
      </c>
      <c r="J5" s="9">
        <v>150</v>
      </c>
      <c r="K5" s="9">
        <v>150</v>
      </c>
      <c r="L5" s="9">
        <v>150</v>
      </c>
      <c r="M5" s="9">
        <v>223.07035499999711</v>
      </c>
      <c r="N5" s="9">
        <v>504.205439999997</v>
      </c>
      <c r="O5" s="9">
        <v>730.61783249999644</v>
      </c>
      <c r="P5" s="9">
        <v>690.00143062499592</v>
      </c>
      <c r="Q5" s="9">
        <v>714.76472249999733</v>
      </c>
      <c r="R5" s="9">
        <v>768.68928874999801</v>
      </c>
      <c r="S5" s="9">
        <v>932.97920062499725</v>
      </c>
      <c r="T5" s="9">
        <v>791.78232749999552</v>
      </c>
      <c r="U5" s="9">
        <v>1735.092365624997</v>
      </c>
      <c r="V5" s="9">
        <v>1796.9340024999999</v>
      </c>
      <c r="W5" s="9">
        <v>1752.41628625</v>
      </c>
      <c r="X5" s="9">
        <v>1611.6244456249999</v>
      </c>
      <c r="Y5" s="9">
        <v>1410.2757056249975</v>
      </c>
      <c r="Z5" s="9">
        <v>1043.294077499997</v>
      </c>
      <c r="AA5" s="9">
        <v>554.32865187499704</v>
      </c>
      <c r="AB5" s="10">
        <f t="shared" si="0"/>
        <v>66592.684744999846</v>
      </c>
      <c r="AC5" s="4">
        <f>+AB3+AB4+AB5</f>
        <v>515128.01581249724</v>
      </c>
    </row>
    <row r="6" spans="1:29" x14ac:dyDescent="0.25">
      <c r="A6" s="12"/>
      <c r="B6" s="12"/>
      <c r="C6" s="12"/>
      <c r="AB6" s="14"/>
      <c r="AC6" s="15"/>
    </row>
    <row r="7" spans="1:29" x14ac:dyDescent="0.25">
      <c r="A7" s="7" t="s">
        <v>29</v>
      </c>
      <c r="B7" s="8">
        <v>20</v>
      </c>
      <c r="C7" s="1"/>
      <c r="D7" s="9">
        <v>222.03956662499968</v>
      </c>
      <c r="E7" s="9">
        <v>150</v>
      </c>
      <c r="F7" s="9">
        <v>150</v>
      </c>
      <c r="G7" s="9">
        <v>150</v>
      </c>
      <c r="H7" s="9">
        <v>150</v>
      </c>
      <c r="I7" s="9">
        <v>150</v>
      </c>
      <c r="J7" s="9">
        <v>150</v>
      </c>
      <c r="K7" s="9">
        <v>150</v>
      </c>
      <c r="L7" s="9">
        <v>150</v>
      </c>
      <c r="M7" s="9">
        <v>218.25806850000117</v>
      </c>
      <c r="N7" s="9">
        <v>516.00590700000066</v>
      </c>
      <c r="O7" s="9">
        <v>764.79781575000015</v>
      </c>
      <c r="P7" s="9">
        <v>755.37804000000051</v>
      </c>
      <c r="Q7" s="9">
        <v>781.75624762499683</v>
      </c>
      <c r="R7" s="9">
        <v>936.35591662500156</v>
      </c>
      <c r="S7" s="9">
        <v>957.94237837499986</v>
      </c>
      <c r="T7" s="9">
        <v>826.44198487500034</v>
      </c>
      <c r="U7" s="9">
        <v>1674.3692510000001</v>
      </c>
      <c r="V7" s="9">
        <v>1865.0442343750001</v>
      </c>
      <c r="W7" s="9">
        <v>1953.584077625</v>
      </c>
      <c r="X7" s="9">
        <v>1727.178594125</v>
      </c>
      <c r="Y7" s="9">
        <v>1502.0859153750025</v>
      </c>
      <c r="Z7" s="9">
        <v>900</v>
      </c>
      <c r="AA7" s="9">
        <v>500</v>
      </c>
      <c r="AB7" s="10">
        <f>SUM(D7:AA7)*B7</f>
        <v>346024.75995750003</v>
      </c>
      <c r="AC7" s="11"/>
    </row>
    <row r="8" spans="1:29" x14ac:dyDescent="0.25">
      <c r="A8" s="7" t="s">
        <v>30</v>
      </c>
      <c r="B8" s="8">
        <v>5</v>
      </c>
      <c r="C8" s="16">
        <v>45870</v>
      </c>
      <c r="D8" s="9">
        <v>259.73870099999567</v>
      </c>
      <c r="E8" s="9">
        <v>150</v>
      </c>
      <c r="F8" s="9">
        <v>150</v>
      </c>
      <c r="G8" s="9">
        <v>150</v>
      </c>
      <c r="H8" s="9">
        <v>150</v>
      </c>
      <c r="I8" s="9">
        <v>150</v>
      </c>
      <c r="J8" s="9">
        <v>150</v>
      </c>
      <c r="K8" s="9">
        <v>150</v>
      </c>
      <c r="L8" s="9">
        <v>150</v>
      </c>
      <c r="M8" s="9">
        <v>215.10225150000133</v>
      </c>
      <c r="N8" s="9">
        <v>510.46840650000104</v>
      </c>
      <c r="O8" s="9">
        <v>741.55778250000094</v>
      </c>
      <c r="P8" s="9">
        <v>741.66552300000058</v>
      </c>
      <c r="Q8" s="9">
        <v>801.0361350000012</v>
      </c>
      <c r="R8" s="9">
        <v>953.24252850000084</v>
      </c>
      <c r="S8" s="9">
        <v>973.07976899999721</v>
      </c>
      <c r="T8" s="9">
        <v>829.85356350000166</v>
      </c>
      <c r="U8" s="9">
        <v>1612.0676005</v>
      </c>
      <c r="V8" s="9">
        <v>1894.9995925000001</v>
      </c>
      <c r="W8" s="9">
        <v>1971.3969365</v>
      </c>
      <c r="X8" s="9">
        <v>1735.9424795</v>
      </c>
      <c r="Y8" s="9">
        <v>1470.1729530000011</v>
      </c>
      <c r="Z8" s="9">
        <v>900</v>
      </c>
      <c r="AA8" s="9">
        <v>500</v>
      </c>
      <c r="AB8" s="10">
        <f t="shared" ref="AB8:AB9" si="1">SUM(D8:AA8)*B8</f>
        <v>86551.621112499997</v>
      </c>
      <c r="AC8" s="11"/>
    </row>
    <row r="9" spans="1:29" x14ac:dyDescent="0.25">
      <c r="A9" s="7" t="s">
        <v>31</v>
      </c>
      <c r="B9" s="8">
        <v>6</v>
      </c>
      <c r="C9" s="1"/>
      <c r="D9" s="9">
        <v>270.87853249999898</v>
      </c>
      <c r="E9" s="9">
        <v>150</v>
      </c>
      <c r="F9" s="9">
        <v>150</v>
      </c>
      <c r="G9" s="9">
        <v>150</v>
      </c>
      <c r="H9" s="9">
        <v>150</v>
      </c>
      <c r="I9" s="9">
        <v>150</v>
      </c>
      <c r="J9" s="9">
        <v>150</v>
      </c>
      <c r="K9" s="9">
        <v>150</v>
      </c>
      <c r="L9" s="9">
        <v>150</v>
      </c>
      <c r="M9" s="9">
        <v>258.77150124999662</v>
      </c>
      <c r="N9" s="9">
        <v>517.68281999999544</v>
      </c>
      <c r="O9" s="9">
        <v>744.48918999999842</v>
      </c>
      <c r="P9" s="9">
        <v>717.3503037499986</v>
      </c>
      <c r="Q9" s="9">
        <v>760.8691812499992</v>
      </c>
      <c r="R9" s="9">
        <v>941.99252749999596</v>
      </c>
      <c r="S9" s="9">
        <v>937.68263624999781</v>
      </c>
      <c r="T9" s="9">
        <v>798.74661874999583</v>
      </c>
      <c r="U9" s="9">
        <v>1670.1221725</v>
      </c>
      <c r="V9" s="9">
        <v>1871.0307175</v>
      </c>
      <c r="W9" s="9">
        <v>1935.75186375</v>
      </c>
      <c r="X9" s="9">
        <v>1706.5114362500001</v>
      </c>
      <c r="Y9" s="9">
        <v>1470.1160062499976</v>
      </c>
      <c r="Z9" s="9">
        <v>900</v>
      </c>
      <c r="AA9" s="9">
        <v>500</v>
      </c>
      <c r="AB9" s="10">
        <f t="shared" si="1"/>
        <v>103211.97304499985</v>
      </c>
      <c r="AC9" s="4">
        <f>+AB7+AB8+AB9</f>
        <v>535788.35411499988</v>
      </c>
    </row>
    <row r="10" spans="1:29" x14ac:dyDescent="0.25">
      <c r="A10" s="12"/>
      <c r="B10" s="12"/>
      <c r="C10" s="12"/>
      <c r="AB10" s="14"/>
      <c r="AC10" s="15"/>
    </row>
    <row r="11" spans="1:29" x14ac:dyDescent="0.25">
      <c r="A11" s="7" t="s">
        <v>29</v>
      </c>
      <c r="B11" s="8">
        <v>22</v>
      </c>
      <c r="C11" s="1"/>
      <c r="D11" s="9">
        <v>378.98990874999981</v>
      </c>
      <c r="E11" s="9">
        <v>216.06089090909063</v>
      </c>
      <c r="F11" s="9">
        <v>150</v>
      </c>
      <c r="G11" s="9">
        <v>150</v>
      </c>
      <c r="H11" s="9">
        <v>150</v>
      </c>
      <c r="I11" s="9">
        <v>150</v>
      </c>
      <c r="J11" s="9">
        <v>150</v>
      </c>
      <c r="K11" s="9">
        <v>150</v>
      </c>
      <c r="L11" s="9">
        <v>150</v>
      </c>
      <c r="M11" s="9">
        <v>271.97142386363703</v>
      </c>
      <c r="N11" s="9">
        <v>533.64948386363631</v>
      </c>
      <c r="O11" s="9">
        <v>761.96211863636381</v>
      </c>
      <c r="P11" s="9">
        <v>749.75535318181937</v>
      </c>
      <c r="Q11" s="9">
        <v>792.65254000000004</v>
      </c>
      <c r="R11" s="9">
        <v>960.33814852272462</v>
      </c>
      <c r="S11" s="9">
        <v>991.6595888636366</v>
      </c>
      <c r="T11" s="9">
        <v>861.83358693181617</v>
      </c>
      <c r="U11" s="9">
        <v>1800</v>
      </c>
      <c r="V11" s="9">
        <v>2000</v>
      </c>
      <c r="W11" s="9">
        <v>2000</v>
      </c>
      <c r="X11" s="9">
        <v>1800</v>
      </c>
      <c r="Y11" s="9">
        <v>1500</v>
      </c>
      <c r="Z11" s="9">
        <v>1182.1639206818195</v>
      </c>
      <c r="AA11" s="9">
        <v>600</v>
      </c>
      <c r="AB11" s="10">
        <f>SUM(D11:AA11)*B11</f>
        <v>405922.81321249995</v>
      </c>
      <c r="AC11" s="11"/>
    </row>
    <row r="12" spans="1:29" x14ac:dyDescent="0.25">
      <c r="A12" s="7" t="s">
        <v>30</v>
      </c>
      <c r="B12" s="8">
        <v>4</v>
      </c>
      <c r="C12" s="16">
        <v>45901</v>
      </c>
      <c r="D12" s="9">
        <v>330.40051562500048</v>
      </c>
      <c r="E12" s="9">
        <v>195.37808875000064</v>
      </c>
      <c r="F12" s="9">
        <v>150</v>
      </c>
      <c r="G12" s="9">
        <v>150</v>
      </c>
      <c r="H12" s="9">
        <v>150</v>
      </c>
      <c r="I12" s="9">
        <v>150</v>
      </c>
      <c r="J12" s="9">
        <v>150</v>
      </c>
      <c r="K12" s="9">
        <v>150</v>
      </c>
      <c r="L12" s="9">
        <v>150</v>
      </c>
      <c r="M12" s="9">
        <v>323.46269124999981</v>
      </c>
      <c r="N12" s="9">
        <v>603.4721762500003</v>
      </c>
      <c r="O12" s="9">
        <v>825.35548562499935</v>
      </c>
      <c r="P12" s="9">
        <v>758.9766512499973</v>
      </c>
      <c r="Q12" s="9">
        <v>759.65576499999588</v>
      </c>
      <c r="R12" s="9">
        <v>905.57402874999661</v>
      </c>
      <c r="S12" s="9">
        <v>956.76396999999997</v>
      </c>
      <c r="T12" s="9">
        <v>873.88661687500007</v>
      </c>
      <c r="U12" s="9">
        <v>1800</v>
      </c>
      <c r="V12" s="9">
        <v>2000</v>
      </c>
      <c r="W12" s="9">
        <v>2000</v>
      </c>
      <c r="X12" s="9">
        <v>1800</v>
      </c>
      <c r="Y12" s="9">
        <v>1500</v>
      </c>
      <c r="Z12" s="9">
        <v>1180.4639981250007</v>
      </c>
      <c r="AA12" s="9">
        <v>600</v>
      </c>
      <c r="AB12" s="10">
        <f t="shared" ref="AB12:AB13" si="2">SUM(D12:AA12)*B12</f>
        <v>73853.559949999966</v>
      </c>
      <c r="AC12" s="11"/>
    </row>
    <row r="13" spans="1:29" x14ac:dyDescent="0.25">
      <c r="A13" s="7" t="s">
        <v>31</v>
      </c>
      <c r="B13" s="8">
        <v>4</v>
      </c>
      <c r="C13" s="1"/>
      <c r="D13" s="9">
        <v>354.11943812499976</v>
      </c>
      <c r="E13" s="9">
        <v>198.44273687500117</v>
      </c>
      <c r="F13" s="9">
        <v>150</v>
      </c>
      <c r="G13" s="9">
        <v>150</v>
      </c>
      <c r="H13" s="9">
        <v>150</v>
      </c>
      <c r="I13" s="9">
        <v>150</v>
      </c>
      <c r="J13" s="9">
        <v>150</v>
      </c>
      <c r="K13" s="9">
        <v>150</v>
      </c>
      <c r="L13" s="9">
        <v>150</v>
      </c>
      <c r="M13" s="9">
        <v>276.76455812499989</v>
      </c>
      <c r="N13" s="9">
        <v>607.0786243750008</v>
      </c>
      <c r="O13" s="9">
        <v>821.45994625000003</v>
      </c>
      <c r="P13" s="9">
        <v>789.44200750000073</v>
      </c>
      <c r="Q13" s="9">
        <v>784.53728687500006</v>
      </c>
      <c r="R13" s="9">
        <v>920.37511749999976</v>
      </c>
      <c r="S13" s="9">
        <v>932.1172543749999</v>
      </c>
      <c r="T13" s="9">
        <v>818.93547062499965</v>
      </c>
      <c r="U13" s="9">
        <v>1800</v>
      </c>
      <c r="V13" s="9">
        <v>2000</v>
      </c>
      <c r="W13" s="9">
        <v>2000</v>
      </c>
      <c r="X13" s="9">
        <v>1800</v>
      </c>
      <c r="Y13" s="9">
        <v>1500</v>
      </c>
      <c r="Z13" s="9">
        <v>1180.5355162500014</v>
      </c>
      <c r="AA13" s="9">
        <v>600</v>
      </c>
      <c r="AB13" s="10">
        <f t="shared" si="2"/>
        <v>73735.231827500014</v>
      </c>
      <c r="AC13" s="4">
        <f>+AB11+AB12+AB13</f>
        <v>553511.60498999991</v>
      </c>
    </row>
    <row r="14" spans="1:29" x14ac:dyDescent="0.25">
      <c r="A14" s="12"/>
      <c r="B14" s="12"/>
      <c r="C14" s="12"/>
      <c r="AB14" s="14"/>
      <c r="AC14" s="15"/>
    </row>
    <row r="15" spans="1:29" x14ac:dyDescent="0.25">
      <c r="A15" s="7" t="s">
        <v>29</v>
      </c>
      <c r="B15" s="8">
        <v>22</v>
      </c>
      <c r="C15" s="1"/>
      <c r="D15" s="9">
        <v>375.42257795454225</v>
      </c>
      <c r="E15" s="9">
        <v>218.67610568181499</v>
      </c>
      <c r="F15" s="9">
        <v>150</v>
      </c>
      <c r="G15" s="9">
        <v>150</v>
      </c>
      <c r="H15" s="9">
        <v>150</v>
      </c>
      <c r="I15" s="9">
        <v>150</v>
      </c>
      <c r="J15" s="9">
        <v>150</v>
      </c>
      <c r="K15" s="9">
        <v>150</v>
      </c>
      <c r="L15" s="9">
        <v>150</v>
      </c>
      <c r="M15" s="9">
        <v>309.20571374998963</v>
      </c>
      <c r="N15" s="9">
        <v>585.42362488635808</v>
      </c>
      <c r="O15" s="9">
        <v>803.76498715908929</v>
      </c>
      <c r="P15" s="9">
        <v>762.68456522726774</v>
      </c>
      <c r="Q15" s="9">
        <v>777.98377397726563</v>
      </c>
      <c r="R15" s="9">
        <v>900</v>
      </c>
      <c r="S15" s="9">
        <v>951.55958420454226</v>
      </c>
      <c r="T15" s="9">
        <v>800</v>
      </c>
      <c r="U15" s="9">
        <v>1700</v>
      </c>
      <c r="V15" s="9">
        <v>2000</v>
      </c>
      <c r="W15" s="9">
        <v>2000</v>
      </c>
      <c r="X15" s="9">
        <v>1800</v>
      </c>
      <c r="Y15" s="9">
        <v>1500</v>
      </c>
      <c r="Z15" s="9">
        <v>950</v>
      </c>
      <c r="AA15" s="9">
        <v>600</v>
      </c>
      <c r="AB15" s="10">
        <f>SUM(D15:AA15)*B15</f>
        <v>397863.86052249919</v>
      </c>
      <c r="AC15" s="11"/>
    </row>
    <row r="16" spans="1:29" x14ac:dyDescent="0.25">
      <c r="A16" s="7" t="s">
        <v>30</v>
      </c>
      <c r="B16" s="8">
        <v>4</v>
      </c>
      <c r="C16" s="16">
        <v>45931</v>
      </c>
      <c r="D16" s="9">
        <v>346.86837562499932</v>
      </c>
      <c r="E16" s="9">
        <v>193.45879499999683</v>
      </c>
      <c r="F16" s="9">
        <v>150</v>
      </c>
      <c r="G16" s="9">
        <v>150</v>
      </c>
      <c r="H16" s="9">
        <v>150</v>
      </c>
      <c r="I16" s="9">
        <v>150</v>
      </c>
      <c r="J16" s="9">
        <v>150</v>
      </c>
      <c r="K16" s="9">
        <v>150</v>
      </c>
      <c r="L16" s="9">
        <v>150</v>
      </c>
      <c r="M16" s="9">
        <v>269.663579999994</v>
      </c>
      <c r="N16" s="9">
        <v>532.8191474999976</v>
      </c>
      <c r="O16" s="9">
        <v>785.3282268749972</v>
      </c>
      <c r="P16" s="9">
        <v>815.88455250000152</v>
      </c>
      <c r="Q16" s="9">
        <v>830.88389437499973</v>
      </c>
      <c r="R16" s="9">
        <v>900</v>
      </c>
      <c r="S16" s="9">
        <v>962.86469437499727</v>
      </c>
      <c r="T16" s="9">
        <v>800</v>
      </c>
      <c r="U16" s="9">
        <v>1700</v>
      </c>
      <c r="V16" s="9">
        <v>2000</v>
      </c>
      <c r="W16" s="9">
        <v>2000</v>
      </c>
      <c r="X16" s="9">
        <v>1800</v>
      </c>
      <c r="Y16" s="9">
        <v>1500</v>
      </c>
      <c r="Z16" s="9">
        <v>950</v>
      </c>
      <c r="AA16" s="9">
        <v>600</v>
      </c>
      <c r="AB16" s="10">
        <f t="shared" ref="AB16:AB17" si="3">SUM(D16:AA16)*B16</f>
        <v>72151.085064999934</v>
      </c>
      <c r="AC16" s="11"/>
    </row>
    <row r="17" spans="1:29" x14ac:dyDescent="0.25">
      <c r="A17" s="7" t="s">
        <v>31</v>
      </c>
      <c r="B17" s="8">
        <v>5</v>
      </c>
      <c r="C17" s="1"/>
      <c r="D17" s="9">
        <v>305.58808499999759</v>
      </c>
      <c r="E17" s="9">
        <v>157.1232194999975</v>
      </c>
      <c r="F17" s="9">
        <v>150</v>
      </c>
      <c r="G17" s="9">
        <v>150</v>
      </c>
      <c r="H17" s="9">
        <v>150</v>
      </c>
      <c r="I17" s="9">
        <v>150</v>
      </c>
      <c r="J17" s="9">
        <v>150</v>
      </c>
      <c r="K17" s="9">
        <v>150</v>
      </c>
      <c r="L17" s="9">
        <v>150</v>
      </c>
      <c r="M17" s="9">
        <v>346.58733599999778</v>
      </c>
      <c r="N17" s="9">
        <v>600.65542649999952</v>
      </c>
      <c r="O17" s="9">
        <v>811.97705099999985</v>
      </c>
      <c r="P17" s="9">
        <v>788.35485449999669</v>
      </c>
      <c r="Q17" s="9">
        <v>860.27632649999941</v>
      </c>
      <c r="R17" s="9">
        <v>900</v>
      </c>
      <c r="S17" s="9">
        <v>1034.1988304999995</v>
      </c>
      <c r="T17" s="9">
        <v>800</v>
      </c>
      <c r="U17" s="9">
        <v>1700</v>
      </c>
      <c r="V17" s="9">
        <v>2000</v>
      </c>
      <c r="W17" s="9">
        <v>2000</v>
      </c>
      <c r="X17" s="9">
        <v>1800</v>
      </c>
      <c r="Y17" s="9">
        <v>1500</v>
      </c>
      <c r="Z17" s="9">
        <v>950</v>
      </c>
      <c r="AA17" s="9">
        <v>600</v>
      </c>
      <c r="AB17" s="10">
        <f t="shared" si="3"/>
        <v>91023.805647499947</v>
      </c>
      <c r="AC17" s="4">
        <f>+AB15+AB16+AB17</f>
        <v>561038.75123499904</v>
      </c>
    </row>
    <row r="18" spans="1:29" x14ac:dyDescent="0.25">
      <c r="A18" s="12"/>
      <c r="B18" s="12"/>
      <c r="C18" s="12"/>
      <c r="AB18" s="14"/>
      <c r="AC18" s="15"/>
    </row>
    <row r="19" spans="1:29" x14ac:dyDescent="0.25">
      <c r="A19" s="7" t="s">
        <v>29</v>
      </c>
      <c r="B19" s="8">
        <v>18</v>
      </c>
      <c r="C19" s="34">
        <v>45962</v>
      </c>
      <c r="D19" s="9">
        <v>396.61603625000225</v>
      </c>
      <c r="E19" s="9">
        <v>262.8421745833366</v>
      </c>
      <c r="F19" s="9">
        <v>163.66536958333472</v>
      </c>
      <c r="G19" s="9">
        <v>150</v>
      </c>
      <c r="H19" s="9">
        <v>150</v>
      </c>
      <c r="I19" s="9">
        <v>150</v>
      </c>
      <c r="J19" s="9">
        <v>150</v>
      </c>
      <c r="K19" s="9">
        <v>150</v>
      </c>
      <c r="L19" s="9">
        <v>150</v>
      </c>
      <c r="M19" s="9">
        <v>390.22083291666604</v>
      </c>
      <c r="N19" s="9">
        <v>667.7528487499967</v>
      </c>
      <c r="O19" s="9">
        <v>900.04050749999533</v>
      </c>
      <c r="P19" s="9">
        <v>884.90220541666622</v>
      </c>
      <c r="Q19" s="9">
        <v>913.27969208333252</v>
      </c>
      <c r="R19" s="9">
        <v>1064.7113949999984</v>
      </c>
      <c r="S19" s="9">
        <v>1059.6242558333315</v>
      </c>
      <c r="T19" s="9">
        <v>904.80988458333286</v>
      </c>
      <c r="U19" s="9">
        <v>1897.3183712500027</v>
      </c>
      <c r="V19" s="9">
        <v>2000</v>
      </c>
      <c r="W19" s="9">
        <v>2000</v>
      </c>
      <c r="X19" s="9">
        <v>1971.3823845833326</v>
      </c>
      <c r="Y19" s="9">
        <v>1643.2926704166689</v>
      </c>
      <c r="Z19" s="9">
        <v>1206.8815087500011</v>
      </c>
      <c r="AA19" s="9">
        <v>820.46407000000227</v>
      </c>
      <c r="AB19" s="10">
        <f>SUM(D19:AA19)*B19</f>
        <v>360860.47573499999</v>
      </c>
      <c r="AC19" s="11"/>
    </row>
    <row r="20" spans="1:29" x14ac:dyDescent="0.25">
      <c r="A20" s="7" t="s">
        <v>30</v>
      </c>
      <c r="B20" s="8">
        <v>5</v>
      </c>
      <c r="C20" s="34"/>
      <c r="D20" s="9">
        <v>397.88035700000091</v>
      </c>
      <c r="E20" s="9">
        <v>255.7299290000019</v>
      </c>
      <c r="F20" s="9">
        <v>150</v>
      </c>
      <c r="G20" s="9">
        <v>150</v>
      </c>
      <c r="H20" s="9">
        <v>150</v>
      </c>
      <c r="I20" s="9">
        <v>150</v>
      </c>
      <c r="J20" s="9">
        <v>150</v>
      </c>
      <c r="K20" s="9">
        <v>150</v>
      </c>
      <c r="L20" s="9">
        <v>150</v>
      </c>
      <c r="M20" s="9">
        <v>418.50272000000132</v>
      </c>
      <c r="N20" s="9">
        <v>692.44388750000053</v>
      </c>
      <c r="O20" s="9">
        <v>908.06989250000061</v>
      </c>
      <c r="P20" s="9">
        <v>862.10406350000176</v>
      </c>
      <c r="Q20" s="9">
        <v>876.65695850000156</v>
      </c>
      <c r="R20" s="9">
        <v>1027.2116075000013</v>
      </c>
      <c r="S20" s="9">
        <v>1073.8320590000003</v>
      </c>
      <c r="T20" s="9">
        <v>932.16198500000064</v>
      </c>
      <c r="U20" s="9">
        <v>1920.490574500001</v>
      </c>
      <c r="V20" s="9">
        <v>2000</v>
      </c>
      <c r="W20" s="9">
        <v>2000</v>
      </c>
      <c r="X20" s="9">
        <v>1893.9851515000023</v>
      </c>
      <c r="Y20" s="9">
        <v>1587.4634605000006</v>
      </c>
      <c r="Z20" s="9">
        <v>1207.4302090000024</v>
      </c>
      <c r="AA20" s="9">
        <v>828.58993600000167</v>
      </c>
      <c r="AB20" s="10">
        <f t="shared" ref="AB20:AB21" si="4">SUM(D20:AA20)*B20</f>
        <v>99662.763955000089</v>
      </c>
      <c r="AC20" s="11"/>
    </row>
    <row r="21" spans="1:29" x14ac:dyDescent="0.25">
      <c r="A21" s="7" t="s">
        <v>31</v>
      </c>
      <c r="B21" s="8">
        <v>7</v>
      </c>
      <c r="C21" s="34"/>
      <c r="D21" s="9">
        <v>402.7922750000007</v>
      </c>
      <c r="E21" s="9">
        <v>248.69409500000165</v>
      </c>
      <c r="F21" s="9">
        <v>156.26159750000079</v>
      </c>
      <c r="G21" s="9">
        <v>150</v>
      </c>
      <c r="H21" s="9">
        <v>150</v>
      </c>
      <c r="I21" s="9">
        <v>150</v>
      </c>
      <c r="J21" s="9">
        <v>150</v>
      </c>
      <c r="K21" s="9">
        <v>150</v>
      </c>
      <c r="L21" s="9">
        <v>150</v>
      </c>
      <c r="M21" s="9">
        <v>412.17398000000139</v>
      </c>
      <c r="N21" s="9">
        <v>692.65110500000083</v>
      </c>
      <c r="O21" s="9">
        <v>902.47730750000119</v>
      </c>
      <c r="P21" s="9">
        <v>866.82125750000159</v>
      </c>
      <c r="Q21" s="9">
        <v>858.54245750000155</v>
      </c>
      <c r="R21" s="9">
        <v>1001.7247774999996</v>
      </c>
      <c r="S21" s="9">
        <v>1028.1326975000011</v>
      </c>
      <c r="T21" s="9">
        <v>928.56941000000097</v>
      </c>
      <c r="U21" s="9">
        <v>1927.7596750000016</v>
      </c>
      <c r="V21" s="9">
        <v>2000</v>
      </c>
      <c r="W21" s="9">
        <v>2000</v>
      </c>
      <c r="X21" s="9">
        <v>1931.8256950000018</v>
      </c>
      <c r="Y21" s="9">
        <v>1592.2045975000024</v>
      </c>
      <c r="Z21" s="9">
        <v>1169.2367350000027</v>
      </c>
      <c r="AA21" s="9">
        <v>824.17029250000132</v>
      </c>
      <c r="AB21" s="10">
        <f t="shared" si="4"/>
        <v>138908.26568500017</v>
      </c>
      <c r="AC21" s="4">
        <f>+AB19+AB20+AB21</f>
        <v>599431.50537500018</v>
      </c>
    </row>
    <row r="22" spans="1:29" x14ac:dyDescent="0.25">
      <c r="A22" s="12"/>
      <c r="B22" s="12"/>
      <c r="C22" s="12"/>
      <c r="AB22" s="14"/>
      <c r="AC22" s="15"/>
    </row>
    <row r="23" spans="1:29" x14ac:dyDescent="0.25">
      <c r="A23" s="7" t="s">
        <v>29</v>
      </c>
      <c r="B23" s="8">
        <v>21</v>
      </c>
      <c r="C23" s="34">
        <v>45992</v>
      </c>
      <c r="D23" s="9">
        <v>3302.2788130045474</v>
      </c>
      <c r="E23" s="9">
        <v>3049.3966964545466</v>
      </c>
      <c r="F23" s="9">
        <v>2862.3612616045475</v>
      </c>
      <c r="G23" s="9">
        <v>2752.7396924045497</v>
      </c>
      <c r="H23" s="9">
        <v>2721.8055676045483</v>
      </c>
      <c r="I23" s="9">
        <v>2814.545532004548</v>
      </c>
      <c r="J23" s="9">
        <v>2919.9154792045483</v>
      </c>
      <c r="K23" s="9">
        <v>2653.6389035609141</v>
      </c>
      <c r="L23" s="9">
        <v>3348.4935471609151</v>
      </c>
      <c r="M23" s="9">
        <v>3948.3249723109129</v>
      </c>
      <c r="N23" s="9">
        <v>4407.2073308609124</v>
      </c>
      <c r="O23" s="9">
        <v>4763.0248516109077</v>
      </c>
      <c r="P23" s="9">
        <v>4709.6024288109074</v>
      </c>
      <c r="Q23" s="9">
        <v>4746.0577964609129</v>
      </c>
      <c r="R23" s="9">
        <v>4983.7844661109102</v>
      </c>
      <c r="S23" s="9">
        <v>5015.6336242109101</v>
      </c>
      <c r="T23" s="9">
        <v>4814.8033120609116</v>
      </c>
      <c r="U23" s="9">
        <v>5660.689265011817</v>
      </c>
      <c r="V23" s="9">
        <v>6103.953817311819</v>
      </c>
      <c r="W23" s="9">
        <v>6050.2210430118157</v>
      </c>
      <c r="X23" s="9">
        <v>5675.0163929618193</v>
      </c>
      <c r="Y23" s="9">
        <v>5159.3025127618184</v>
      </c>
      <c r="Z23" s="9">
        <v>4507.262227261821</v>
      </c>
      <c r="AA23" s="9">
        <v>3915.6803020618181</v>
      </c>
      <c r="AB23" s="10">
        <f>SUM(D23:AA23)*B23</f>
        <v>2118600.536552297</v>
      </c>
      <c r="AC23" s="11"/>
    </row>
    <row r="24" spans="1:29" x14ac:dyDescent="0.25">
      <c r="A24" s="7" t="s">
        <v>30</v>
      </c>
      <c r="B24" s="8">
        <v>4</v>
      </c>
      <c r="C24" s="34"/>
      <c r="D24" s="9">
        <v>3387.0170263920472</v>
      </c>
      <c r="E24" s="9">
        <v>3125.6207766795465</v>
      </c>
      <c r="F24" s="9">
        <v>2932.5071005920472</v>
      </c>
      <c r="G24" s="9">
        <v>2763.3227782920476</v>
      </c>
      <c r="H24" s="9">
        <v>2684.7596512545474</v>
      </c>
      <c r="I24" s="9">
        <v>2749.701081829548</v>
      </c>
      <c r="J24" s="9">
        <v>2872.4197173795474</v>
      </c>
      <c r="K24" s="9">
        <v>2680.074007985912</v>
      </c>
      <c r="L24" s="9">
        <v>3380.8550390234109</v>
      </c>
      <c r="M24" s="9">
        <v>3965.1208502609124</v>
      </c>
      <c r="N24" s="9">
        <v>4377.2031782609083</v>
      </c>
      <c r="O24" s="9">
        <v>4741.9267175984123</v>
      </c>
      <c r="P24" s="9">
        <v>4700.3290552859116</v>
      </c>
      <c r="Q24" s="9">
        <v>4752.5595389234113</v>
      </c>
      <c r="R24" s="9">
        <v>4999.2837585359121</v>
      </c>
      <c r="S24" s="9">
        <v>4972.6087390109124</v>
      </c>
      <c r="T24" s="9">
        <v>4742.7162149609121</v>
      </c>
      <c r="U24" s="9">
        <v>5621.198389511821</v>
      </c>
      <c r="V24" s="9">
        <v>6163.6272069493198</v>
      </c>
      <c r="W24" s="9">
        <v>6109.4594882743186</v>
      </c>
      <c r="X24" s="9">
        <v>5735.4704339368209</v>
      </c>
      <c r="Y24" s="9">
        <v>5162.4234650368189</v>
      </c>
      <c r="Z24" s="9">
        <v>4467.0779193868202</v>
      </c>
      <c r="AA24" s="9">
        <v>3873.7003409743211</v>
      </c>
      <c r="AB24" s="10">
        <f t="shared" ref="AB24:AB25" si="5">SUM(D24:AA24)*B24</f>
        <v>403843.92990534467</v>
      </c>
      <c r="AC24" s="11"/>
    </row>
    <row r="25" spans="1:29" x14ac:dyDescent="0.25">
      <c r="A25" s="7" t="s">
        <v>31</v>
      </c>
      <c r="B25" s="8">
        <v>6</v>
      </c>
      <c r="C25" s="34"/>
      <c r="D25" s="9">
        <v>3254.8514711045473</v>
      </c>
      <c r="E25" s="9">
        <v>3057.6841460295477</v>
      </c>
      <c r="F25" s="9">
        <v>2886.3080220545467</v>
      </c>
      <c r="G25" s="9">
        <v>2773.0798066045472</v>
      </c>
      <c r="H25" s="9">
        <v>2700.8090661045476</v>
      </c>
      <c r="I25" s="9">
        <v>2782.6903936045464</v>
      </c>
      <c r="J25" s="9">
        <v>2873.8164847795474</v>
      </c>
      <c r="K25" s="9">
        <v>2640.6686934359127</v>
      </c>
      <c r="L25" s="9">
        <v>3360.1664449609116</v>
      </c>
      <c r="M25" s="9">
        <v>3902.5026003359135</v>
      </c>
      <c r="N25" s="9">
        <v>4348.5755710359108</v>
      </c>
      <c r="O25" s="9">
        <v>4730.7243408359127</v>
      </c>
      <c r="P25" s="9">
        <v>4754.1360935359135</v>
      </c>
      <c r="Q25" s="9">
        <v>4809.8741939609117</v>
      </c>
      <c r="R25" s="9">
        <v>5065.9621897609113</v>
      </c>
      <c r="S25" s="9">
        <v>5084.9709841109125</v>
      </c>
      <c r="T25" s="9">
        <v>4831.7401457609112</v>
      </c>
      <c r="U25" s="9">
        <v>5643.4198926618219</v>
      </c>
      <c r="V25" s="9">
        <v>6093.3857898118213</v>
      </c>
      <c r="W25" s="9">
        <v>6115.178261736819</v>
      </c>
      <c r="X25" s="9">
        <v>5769.6324098618215</v>
      </c>
      <c r="Y25" s="9">
        <v>5222.213382636819</v>
      </c>
      <c r="Z25" s="9">
        <v>4495.4016392868216</v>
      </c>
      <c r="AA25" s="9">
        <v>3851.6498046868205</v>
      </c>
      <c r="AB25" s="10">
        <f t="shared" si="5"/>
        <v>606296.65097219218</v>
      </c>
      <c r="AC25" s="4">
        <f>+AB23+AB24+AB25</f>
        <v>3128741.1174298339</v>
      </c>
    </row>
    <row r="26" spans="1:29" x14ac:dyDescent="0.25">
      <c r="A26" s="5">
        <v>2026</v>
      </c>
      <c r="B26" s="5"/>
      <c r="C26" s="5"/>
      <c r="AB26" s="6"/>
      <c r="AC26" s="6"/>
    </row>
    <row r="27" spans="1:29" x14ac:dyDescent="0.25">
      <c r="A27" s="7" t="s">
        <v>29</v>
      </c>
      <c r="B27" s="8">
        <v>20</v>
      </c>
      <c r="C27" s="35">
        <v>46023</v>
      </c>
      <c r="D27" s="9">
        <v>1038.8291402999994</v>
      </c>
      <c r="E27" s="9">
        <v>1008.0383790750002</v>
      </c>
      <c r="F27" s="9">
        <v>985.1797352249996</v>
      </c>
      <c r="G27" s="9">
        <v>966.22143292500004</v>
      </c>
      <c r="H27" s="9">
        <v>957.00456337499963</v>
      </c>
      <c r="I27" s="9">
        <v>965.75843804999977</v>
      </c>
      <c r="J27" s="9">
        <v>978.3490631249997</v>
      </c>
      <c r="K27" s="9">
        <v>1055.7662786999999</v>
      </c>
      <c r="L27" s="9">
        <v>1142.2611952500001</v>
      </c>
      <c r="M27" s="9">
        <v>1213.4829152249995</v>
      </c>
      <c r="N27" s="9">
        <v>1266.6550763999994</v>
      </c>
      <c r="O27" s="9">
        <v>1311.3709533749998</v>
      </c>
      <c r="P27" s="9">
        <v>1308.1763719499995</v>
      </c>
      <c r="Q27" s="9">
        <v>1317.4211336999997</v>
      </c>
      <c r="R27" s="9">
        <v>1352.4776600999994</v>
      </c>
      <c r="S27" s="9">
        <v>1360.2736875000001</v>
      </c>
      <c r="T27" s="9">
        <v>1335.5637571499992</v>
      </c>
      <c r="U27" s="9">
        <v>1315.3212397499992</v>
      </c>
      <c r="V27" s="9">
        <v>1373.7870656999994</v>
      </c>
      <c r="W27" s="9">
        <v>1371.1600339500001</v>
      </c>
      <c r="X27" s="9">
        <v>1325.9201077500002</v>
      </c>
      <c r="Y27" s="9">
        <v>1257.4425827249997</v>
      </c>
      <c r="Z27" s="9">
        <v>1171.0971237000003</v>
      </c>
      <c r="AA27" s="9">
        <v>1094.6659893750002</v>
      </c>
      <c r="AB27" s="10">
        <f>SUM(D27:AA27)*B27</f>
        <v>569444.47848749987</v>
      </c>
      <c r="AC27" s="11"/>
    </row>
    <row r="28" spans="1:29" x14ac:dyDescent="0.25">
      <c r="A28" s="7" t="s">
        <v>30</v>
      </c>
      <c r="B28" s="8">
        <v>5</v>
      </c>
      <c r="C28" s="36"/>
      <c r="D28" s="9">
        <v>1038.9416162999996</v>
      </c>
      <c r="E28" s="9">
        <v>1005.764193</v>
      </c>
      <c r="F28" s="9">
        <v>982.21970699999974</v>
      </c>
      <c r="G28" s="9">
        <v>972.94254329999967</v>
      </c>
      <c r="H28" s="9">
        <v>965.56301519999988</v>
      </c>
      <c r="I28" s="9">
        <v>973.35914760000014</v>
      </c>
      <c r="J28" s="9">
        <v>976.2680150999995</v>
      </c>
      <c r="K28" s="9">
        <v>1045.4355785999996</v>
      </c>
      <c r="L28" s="9">
        <v>1129.1182686000002</v>
      </c>
      <c r="M28" s="9">
        <v>1205.0440626</v>
      </c>
      <c r="N28" s="9">
        <v>1268.4965537999997</v>
      </c>
      <c r="O28" s="9">
        <v>1313.3978444999993</v>
      </c>
      <c r="P28" s="9">
        <v>1308.6686024999999</v>
      </c>
      <c r="Q28" s="9">
        <v>1314.0907688999996</v>
      </c>
      <c r="R28" s="9">
        <v>1348.8266882999997</v>
      </c>
      <c r="S28" s="9">
        <v>1353.3346280999995</v>
      </c>
      <c r="T28" s="9">
        <v>1330.9036628999993</v>
      </c>
      <c r="U28" s="9">
        <v>1317.7989824999995</v>
      </c>
      <c r="V28" s="9">
        <v>1375.8093530999995</v>
      </c>
      <c r="W28" s="9">
        <v>1373.2355573999994</v>
      </c>
      <c r="X28" s="9">
        <v>1326.2048939999995</v>
      </c>
      <c r="Y28" s="9">
        <v>1264.9053920999995</v>
      </c>
      <c r="Z28" s="9">
        <v>1178.8008707999998</v>
      </c>
      <c r="AA28" s="9">
        <v>1101.6621692999997</v>
      </c>
      <c r="AB28" s="10">
        <f t="shared" ref="AB28:AB29" si="6">SUM(D28:AA28)*B28</f>
        <v>142353.96057749994</v>
      </c>
      <c r="AC28" s="11"/>
    </row>
    <row r="29" spans="1:29" x14ac:dyDescent="0.25">
      <c r="A29" s="7" t="s">
        <v>31</v>
      </c>
      <c r="B29" s="8">
        <v>6</v>
      </c>
      <c r="C29" s="36"/>
      <c r="D29" s="9">
        <v>1041.2861025000002</v>
      </c>
      <c r="E29" s="9">
        <v>1003.8000752499997</v>
      </c>
      <c r="F29" s="9">
        <v>976.64543200000026</v>
      </c>
      <c r="G29" s="9">
        <v>964.96806524999965</v>
      </c>
      <c r="H29" s="9">
        <v>964.11227675000009</v>
      </c>
      <c r="I29" s="9">
        <v>974.50753749999967</v>
      </c>
      <c r="J29" s="9">
        <v>983.26185299999997</v>
      </c>
      <c r="K29" s="9">
        <v>1051.0792582499998</v>
      </c>
      <c r="L29" s="9">
        <v>1132.3907454999999</v>
      </c>
      <c r="M29" s="9">
        <v>1202.8476127499998</v>
      </c>
      <c r="N29" s="9">
        <v>1260.7364559999996</v>
      </c>
      <c r="O29" s="9">
        <v>1316.3607992499992</v>
      </c>
      <c r="P29" s="9">
        <v>1318.3153794999998</v>
      </c>
      <c r="Q29" s="9">
        <v>1326.0053309999994</v>
      </c>
      <c r="R29" s="9">
        <v>1355.2666435000001</v>
      </c>
      <c r="S29" s="9">
        <v>1357.0226669999993</v>
      </c>
      <c r="T29" s="9">
        <v>1326.8694022499994</v>
      </c>
      <c r="U29" s="9">
        <v>1306.9721209999998</v>
      </c>
      <c r="V29" s="9">
        <v>1365.9762304999995</v>
      </c>
      <c r="W29" s="9">
        <v>1361.2223274999997</v>
      </c>
      <c r="X29" s="9">
        <v>1314.7701735000001</v>
      </c>
      <c r="Y29" s="9">
        <v>1251.5586457499994</v>
      </c>
      <c r="Z29" s="9">
        <v>1175.9158092500002</v>
      </c>
      <c r="AA29" s="9">
        <v>1101.5723897500002</v>
      </c>
      <c r="AB29" s="10">
        <f t="shared" si="6"/>
        <v>170600.78000699996</v>
      </c>
      <c r="AC29" s="4">
        <f>+AB27+AB28+AB29</f>
        <v>882399.21907199977</v>
      </c>
    </row>
    <row r="30" spans="1:29" x14ac:dyDescent="0.25">
      <c r="A30" s="17"/>
      <c r="B30" s="18"/>
      <c r="C30" s="19"/>
      <c r="AC30" s="20"/>
    </row>
    <row r="31" spans="1:29" x14ac:dyDescent="0.25">
      <c r="A31" s="7" t="s">
        <v>29</v>
      </c>
      <c r="B31" s="21">
        <v>20</v>
      </c>
      <c r="C31" s="37">
        <v>46054</v>
      </c>
      <c r="D31" s="9">
        <v>2147.9215697500013</v>
      </c>
      <c r="E31" s="9">
        <v>2045.572303500001</v>
      </c>
      <c r="F31" s="9">
        <v>1956.8426668750017</v>
      </c>
      <c r="G31" s="9">
        <v>1886.0443736250049</v>
      </c>
      <c r="H31" s="9">
        <v>1819.4741532500034</v>
      </c>
      <c r="I31" s="9">
        <v>1798.8697738750025</v>
      </c>
      <c r="J31" s="9">
        <v>1675.4084543750027</v>
      </c>
      <c r="K31" s="9">
        <v>1904.2596651250028</v>
      </c>
      <c r="L31" s="9">
        <v>2249.1829380000036</v>
      </c>
      <c r="M31" s="9">
        <v>2561.6286082500037</v>
      </c>
      <c r="N31" s="9">
        <v>2802.2426646250015</v>
      </c>
      <c r="O31" s="9">
        <v>2993.2716722500018</v>
      </c>
      <c r="P31" s="9">
        <v>2943.4222775000026</v>
      </c>
      <c r="Q31" s="9">
        <v>2987.929256625001</v>
      </c>
      <c r="R31" s="9">
        <v>3158.5599765000006</v>
      </c>
      <c r="S31" s="9">
        <v>3205.7170925000028</v>
      </c>
      <c r="T31" s="9">
        <v>3111.029028875003</v>
      </c>
      <c r="U31" s="9">
        <v>3036.4914696250062</v>
      </c>
      <c r="V31" s="9">
        <v>3257.7478773750013</v>
      </c>
      <c r="W31" s="9">
        <v>3223.5548487500059</v>
      </c>
      <c r="X31" s="9">
        <v>3072.2812313750037</v>
      </c>
      <c r="Y31" s="9">
        <v>2866.7188080000046</v>
      </c>
      <c r="Z31" s="9">
        <v>2586.0782308750031</v>
      </c>
      <c r="AA31" s="9">
        <v>2339.9603852500031</v>
      </c>
      <c r="AB31" s="10">
        <f>SUM(D31:AA31)*B31</f>
        <v>1232604.1865350013</v>
      </c>
      <c r="AC31" s="11"/>
    </row>
    <row r="32" spans="1:29" x14ac:dyDescent="0.25">
      <c r="A32" s="7" t="s">
        <v>30</v>
      </c>
      <c r="B32" s="21">
        <v>4</v>
      </c>
      <c r="C32" s="38"/>
      <c r="D32" s="9">
        <v>2218.8654987500004</v>
      </c>
      <c r="E32" s="9">
        <v>2115.3877606250007</v>
      </c>
      <c r="F32" s="9">
        <v>2026.7002562500011</v>
      </c>
      <c r="G32" s="9">
        <v>1922.7260625000008</v>
      </c>
      <c r="H32" s="9">
        <v>1861.7468906250006</v>
      </c>
      <c r="I32" s="9">
        <v>1906.426783750002</v>
      </c>
      <c r="J32" s="9">
        <v>1929.5988093750002</v>
      </c>
      <c r="K32" s="9">
        <v>2182.8546156250004</v>
      </c>
      <c r="L32" s="9">
        <v>2503.7718799999993</v>
      </c>
      <c r="M32" s="9">
        <v>2754.2095912499999</v>
      </c>
      <c r="N32" s="9">
        <v>2955.2181681250013</v>
      </c>
      <c r="O32" s="9">
        <v>3138.6494731249995</v>
      </c>
      <c r="P32" s="9">
        <v>3102.5331725000015</v>
      </c>
      <c r="Q32" s="9">
        <v>3207.1102868750004</v>
      </c>
      <c r="R32" s="9">
        <v>3408.6582112500009</v>
      </c>
      <c r="S32" s="9">
        <v>3456.7968593750011</v>
      </c>
      <c r="T32" s="9">
        <v>3303.635437500001</v>
      </c>
      <c r="U32" s="9">
        <v>3176.6905293750006</v>
      </c>
      <c r="V32" s="9">
        <v>3385.3792500000018</v>
      </c>
      <c r="W32" s="9">
        <v>3384.5279906250007</v>
      </c>
      <c r="X32" s="9">
        <v>3265.0035049999997</v>
      </c>
      <c r="Y32" s="9">
        <v>3023.2916324999997</v>
      </c>
      <c r="Z32" s="9">
        <v>2710.2899987500014</v>
      </c>
      <c r="AA32" s="9">
        <v>2431.4541450000006</v>
      </c>
      <c r="AB32" s="10">
        <f t="shared" ref="AB32:AB33" si="7">SUM(D32:AA32)*B32</f>
        <v>261486.10723500006</v>
      </c>
      <c r="AC32" s="11"/>
    </row>
    <row r="33" spans="1:29" x14ac:dyDescent="0.25">
      <c r="A33" s="7" t="s">
        <v>31</v>
      </c>
      <c r="B33" s="21">
        <v>4</v>
      </c>
      <c r="C33" s="38"/>
      <c r="D33" s="9">
        <v>2383.8637718750015</v>
      </c>
      <c r="E33" s="9">
        <v>2247.6393206250004</v>
      </c>
      <c r="F33" s="9">
        <v>2144.2611481250005</v>
      </c>
      <c r="G33" s="9">
        <v>2043.4300418750008</v>
      </c>
      <c r="H33" s="9">
        <v>1992.4757556250006</v>
      </c>
      <c r="I33" s="9">
        <v>2046.0823943750001</v>
      </c>
      <c r="J33" s="9">
        <v>2076.2703518750004</v>
      </c>
      <c r="K33" s="9">
        <v>2441.5227175000018</v>
      </c>
      <c r="L33" s="9">
        <v>2795.684005000001</v>
      </c>
      <c r="M33" s="9">
        <v>3084.3402006249999</v>
      </c>
      <c r="N33" s="9">
        <v>3271.3090675000003</v>
      </c>
      <c r="O33" s="9">
        <v>3432.6951612500015</v>
      </c>
      <c r="P33" s="9">
        <v>3373.4672712500005</v>
      </c>
      <c r="Q33" s="9">
        <v>3442.9249200000013</v>
      </c>
      <c r="R33" s="9">
        <v>3681.7762950000006</v>
      </c>
      <c r="S33" s="9">
        <v>3727.8175150000006</v>
      </c>
      <c r="T33" s="9">
        <v>3609.9962868749999</v>
      </c>
      <c r="U33" s="9">
        <v>3503.0211787500011</v>
      </c>
      <c r="V33" s="9">
        <v>3740.8177925000018</v>
      </c>
      <c r="W33" s="9">
        <v>3682.7052606250008</v>
      </c>
      <c r="X33" s="9">
        <v>3495.3829375000005</v>
      </c>
      <c r="Y33" s="9">
        <v>3235.5075500000003</v>
      </c>
      <c r="Z33" s="9">
        <v>2881.5281681250008</v>
      </c>
      <c r="AA33" s="9">
        <v>2578.311718750002</v>
      </c>
      <c r="AB33" s="10">
        <f t="shared" si="7"/>
        <v>283651.3233225001</v>
      </c>
      <c r="AC33" s="4">
        <f>+AB31+AB32+AB33</f>
        <v>1777741.6170925014</v>
      </c>
    </row>
    <row r="34" spans="1:29" x14ac:dyDescent="0.25">
      <c r="A34" s="22"/>
      <c r="B34" s="18"/>
      <c r="C34" s="19"/>
      <c r="AB34" s="20"/>
      <c r="AC34" s="20"/>
    </row>
    <row r="35" spans="1:29" x14ac:dyDescent="0.25">
      <c r="A35" s="7" t="s">
        <v>29</v>
      </c>
      <c r="B35" s="21">
        <v>21</v>
      </c>
      <c r="C35" s="39">
        <v>46082</v>
      </c>
      <c r="D35" s="9">
        <v>285.38034750000315</v>
      </c>
      <c r="E35" s="9">
        <v>174.86918000000242</v>
      </c>
      <c r="F35" s="9">
        <v>150</v>
      </c>
      <c r="G35" s="9">
        <v>150</v>
      </c>
      <c r="H35" s="9">
        <v>150</v>
      </c>
      <c r="I35" s="9">
        <v>150</v>
      </c>
      <c r="J35" s="9">
        <v>150</v>
      </c>
      <c r="K35" s="9">
        <v>152.02847250000104</v>
      </c>
      <c r="L35" s="9">
        <v>514.60881500000323</v>
      </c>
      <c r="M35" s="9">
        <v>804.06473250000545</v>
      </c>
      <c r="N35" s="9">
        <v>933.24486000000002</v>
      </c>
      <c r="O35" s="9">
        <v>1125.2193600000001</v>
      </c>
      <c r="P35" s="9">
        <v>1085.0560674999999</v>
      </c>
      <c r="Q35" s="9">
        <v>1146.2595000000099</v>
      </c>
      <c r="R35" s="9">
        <v>1322.8450275</v>
      </c>
      <c r="S35" s="9">
        <v>1350.8630375</v>
      </c>
      <c r="T35" s="9">
        <v>1220.630735</v>
      </c>
      <c r="U35" s="9">
        <v>1114.2990625</v>
      </c>
      <c r="V35" s="9">
        <v>1327.198355</v>
      </c>
      <c r="W35" s="9">
        <v>1393.8065000000033</v>
      </c>
      <c r="X35" s="9">
        <v>1238.4868175000029</v>
      </c>
      <c r="Y35" s="9">
        <v>1025.076100000002</v>
      </c>
      <c r="Z35" s="9">
        <v>732.52112750000379</v>
      </c>
      <c r="AA35" s="9">
        <v>471.720942500001</v>
      </c>
      <c r="AB35" s="10">
        <f>SUM(D35:AA35)*B35</f>
        <v>381531.75984000077</v>
      </c>
      <c r="AC35" s="11"/>
    </row>
    <row r="36" spans="1:29" x14ac:dyDescent="0.25">
      <c r="A36" s="7" t="s">
        <v>30</v>
      </c>
      <c r="B36" s="21">
        <v>4</v>
      </c>
      <c r="C36" s="40"/>
      <c r="D36" s="9">
        <v>150</v>
      </c>
      <c r="E36" s="9">
        <v>150</v>
      </c>
      <c r="F36" s="9">
        <v>150</v>
      </c>
      <c r="G36" s="9">
        <v>150</v>
      </c>
      <c r="H36" s="9">
        <v>150</v>
      </c>
      <c r="I36" s="9">
        <v>150</v>
      </c>
      <c r="J36" s="9">
        <v>150</v>
      </c>
      <c r="K36" s="9">
        <v>150</v>
      </c>
      <c r="L36" s="9">
        <v>150</v>
      </c>
      <c r="M36" s="9">
        <v>280.22929125000155</v>
      </c>
      <c r="N36" s="9">
        <v>461.41768062500068</v>
      </c>
      <c r="O36" s="9">
        <v>598.66899687500154</v>
      </c>
      <c r="P36" s="9">
        <v>514.33399687500059</v>
      </c>
      <c r="Q36" s="9">
        <v>557.19018875000074</v>
      </c>
      <c r="R36" s="9">
        <v>767.81919562500116</v>
      </c>
      <c r="S36" s="9">
        <v>867.74357437500112</v>
      </c>
      <c r="T36" s="9">
        <v>826.98735187500006</v>
      </c>
      <c r="U36" s="9">
        <v>712.77265875000103</v>
      </c>
      <c r="V36" s="9">
        <v>875.86635687499984</v>
      </c>
      <c r="W36" s="9">
        <v>798.14772812500087</v>
      </c>
      <c r="X36" s="9">
        <v>640.44968500000141</v>
      </c>
      <c r="Y36" s="9">
        <v>448.61874250000074</v>
      </c>
      <c r="Z36" s="9">
        <v>217.60151374999987</v>
      </c>
      <c r="AA36" s="9">
        <v>150</v>
      </c>
      <c r="AB36" s="10">
        <f t="shared" ref="AB36:AB37" si="8">SUM(D36:AA36)*B36</f>
        <v>40271.387845000048</v>
      </c>
      <c r="AC36" s="11"/>
    </row>
    <row r="37" spans="1:29" x14ac:dyDescent="0.25">
      <c r="A37" s="7" t="s">
        <v>31</v>
      </c>
      <c r="B37" s="21">
        <v>6</v>
      </c>
      <c r="C37" s="40"/>
      <c r="D37" s="9">
        <v>489.1571887500013</v>
      </c>
      <c r="E37" s="9">
        <v>354.58908125000107</v>
      </c>
      <c r="F37" s="9">
        <v>244.95145875000253</v>
      </c>
      <c r="G37" s="9">
        <v>185.78081125000153</v>
      </c>
      <c r="H37" s="9">
        <v>138.89624375000039</v>
      </c>
      <c r="I37" s="9">
        <v>174.02812375000121</v>
      </c>
      <c r="J37" s="9">
        <v>194.93071250000139</v>
      </c>
      <c r="K37" s="9">
        <v>483.07292875000167</v>
      </c>
      <c r="L37" s="9">
        <v>833.73561625000275</v>
      </c>
      <c r="M37" s="9">
        <v>1153.6273300000012</v>
      </c>
      <c r="N37" s="9">
        <v>1408.1229375000012</v>
      </c>
      <c r="O37" s="9">
        <v>1584.956018750001</v>
      </c>
      <c r="P37" s="9">
        <v>1531.6310837500014</v>
      </c>
      <c r="Q37" s="9">
        <v>1537.7033475000017</v>
      </c>
      <c r="R37" s="9">
        <v>1701.8686275000009</v>
      </c>
      <c r="S37" s="9">
        <v>1751.5307462500014</v>
      </c>
      <c r="T37" s="9">
        <v>1634.574705</v>
      </c>
      <c r="U37" s="9">
        <v>1582.5773375000017</v>
      </c>
      <c r="V37" s="9">
        <v>1860.838111250001</v>
      </c>
      <c r="W37" s="9">
        <v>1834.5549312500034</v>
      </c>
      <c r="X37" s="9">
        <v>1627.760150000001</v>
      </c>
      <c r="Y37" s="9">
        <v>1356.5913500000015</v>
      </c>
      <c r="Z37" s="9">
        <v>994.53258125000048</v>
      </c>
      <c r="AA37" s="9">
        <v>697.96984875000089</v>
      </c>
      <c r="AB37" s="10">
        <f t="shared" si="8"/>
        <v>152147.88762750023</v>
      </c>
      <c r="AC37" s="4">
        <f>+AB35+AB36+AB37</f>
        <v>573951.03531250102</v>
      </c>
    </row>
    <row r="38" spans="1:29" x14ac:dyDescent="0.25">
      <c r="A38" s="22"/>
      <c r="B38" s="18"/>
      <c r="C38" s="19"/>
      <c r="AB38" s="20"/>
      <c r="AC38" s="20"/>
    </row>
    <row r="39" spans="1:29" x14ac:dyDescent="0.25">
      <c r="A39" s="7" t="s">
        <v>29</v>
      </c>
      <c r="B39" s="21">
        <v>20</v>
      </c>
      <c r="C39" s="37">
        <v>46113</v>
      </c>
      <c r="D39" s="9">
        <v>1058.7628516499999</v>
      </c>
      <c r="E39" s="9">
        <v>1026.1175121750002</v>
      </c>
      <c r="F39" s="9">
        <v>1002.9847584749996</v>
      </c>
      <c r="G39" s="9">
        <v>989.25971969999955</v>
      </c>
      <c r="H39" s="9">
        <v>985.38932729999988</v>
      </c>
      <c r="I39" s="9">
        <v>997.25420864999978</v>
      </c>
      <c r="J39" s="9">
        <v>1009.7137727250001</v>
      </c>
      <c r="K39" s="9">
        <v>1084.6743904499999</v>
      </c>
      <c r="L39" s="9">
        <v>1170.5367544499995</v>
      </c>
      <c r="M39" s="9">
        <v>1243.4473742249993</v>
      </c>
      <c r="N39" s="9">
        <v>1298.6915880749993</v>
      </c>
      <c r="O39" s="9">
        <v>1342.7400283499992</v>
      </c>
      <c r="P39" s="9">
        <v>1336.9164212249998</v>
      </c>
      <c r="Q39" s="9">
        <v>1341.0118889999994</v>
      </c>
      <c r="R39" s="9">
        <v>1371.6448793249992</v>
      </c>
      <c r="S39" s="9">
        <v>1376.05018845</v>
      </c>
      <c r="T39" s="9">
        <v>1349.9389270499996</v>
      </c>
      <c r="U39" s="9">
        <v>1330.3557182999994</v>
      </c>
      <c r="V39" s="9">
        <v>1388.5951731749992</v>
      </c>
      <c r="W39" s="9">
        <v>1381.8354054749998</v>
      </c>
      <c r="X39" s="9">
        <v>1333.7882680499997</v>
      </c>
      <c r="Y39" s="9">
        <v>1269.1911713250001</v>
      </c>
      <c r="Z39" s="9">
        <v>1186.186636425</v>
      </c>
      <c r="AA39" s="9">
        <v>1112.8783926750002</v>
      </c>
      <c r="AB39" s="10">
        <f>SUM(D39:AA39)*B39</f>
        <v>579759.30713399989</v>
      </c>
      <c r="AC39" s="11"/>
    </row>
    <row r="40" spans="1:29" x14ac:dyDescent="0.25">
      <c r="A40" s="7" t="s">
        <v>30</v>
      </c>
      <c r="B40" s="21">
        <v>4</v>
      </c>
      <c r="C40" s="38"/>
      <c r="D40" s="9">
        <v>1051.6897282499995</v>
      </c>
      <c r="E40" s="9">
        <v>1031.2681758749995</v>
      </c>
      <c r="F40" s="9">
        <v>1011.5455428750001</v>
      </c>
      <c r="G40" s="9">
        <v>998.7334848749997</v>
      </c>
      <c r="H40" s="9">
        <v>989.44622962499989</v>
      </c>
      <c r="I40" s="9">
        <v>999.77583037499971</v>
      </c>
      <c r="J40" s="9">
        <v>1010.2281551249998</v>
      </c>
      <c r="K40" s="9">
        <v>1085.7646616249995</v>
      </c>
      <c r="L40" s="9">
        <v>1171.7692428749997</v>
      </c>
      <c r="M40" s="9">
        <v>1236.5611702499991</v>
      </c>
      <c r="N40" s="9">
        <v>1289.8649084999997</v>
      </c>
      <c r="O40" s="9">
        <v>1338.8248229999999</v>
      </c>
      <c r="P40" s="9">
        <v>1344.303373875</v>
      </c>
      <c r="Q40" s="9">
        <v>1345.8214848749994</v>
      </c>
      <c r="R40" s="9">
        <v>1374.9332677499997</v>
      </c>
      <c r="S40" s="9">
        <v>1371.4572952499993</v>
      </c>
      <c r="T40" s="9">
        <v>1340.4939581250001</v>
      </c>
      <c r="U40" s="9">
        <v>1321.1970161250001</v>
      </c>
      <c r="V40" s="9">
        <v>1380.9340833749993</v>
      </c>
      <c r="W40" s="9">
        <v>1387.7867219999998</v>
      </c>
      <c r="X40" s="9">
        <v>1342.9991347499999</v>
      </c>
      <c r="Y40" s="9">
        <v>1276.6042432499999</v>
      </c>
      <c r="Z40" s="9">
        <v>1183.8208777500004</v>
      </c>
      <c r="AA40" s="9">
        <v>1103.1637496249996</v>
      </c>
      <c r="AB40" s="10">
        <f t="shared" ref="AB40:AB41" si="9">SUM(D40:AA40)*B40</f>
        <v>115955.94863999997</v>
      </c>
      <c r="AC40" s="11"/>
    </row>
    <row r="41" spans="1:29" x14ac:dyDescent="0.25">
      <c r="A41" s="7" t="s">
        <v>31</v>
      </c>
      <c r="B41" s="21">
        <v>6</v>
      </c>
      <c r="C41" s="38"/>
      <c r="D41" s="9">
        <v>1037.8964837499998</v>
      </c>
      <c r="E41" s="9">
        <v>1015.0340514999998</v>
      </c>
      <c r="F41" s="9">
        <v>1003.7398927499999</v>
      </c>
      <c r="G41" s="9">
        <v>998.03444124999987</v>
      </c>
      <c r="H41" s="9">
        <v>999.88850149999962</v>
      </c>
      <c r="I41" s="9">
        <v>1011.62711825</v>
      </c>
      <c r="J41" s="9">
        <v>1024.0077697500001</v>
      </c>
      <c r="K41" s="9">
        <v>1092.8798404999998</v>
      </c>
      <c r="L41" s="9">
        <v>1175.9553732499999</v>
      </c>
      <c r="M41" s="9">
        <v>1247.4820295</v>
      </c>
      <c r="N41" s="9">
        <v>1304.0494704999992</v>
      </c>
      <c r="O41" s="9">
        <v>1349.5001519999996</v>
      </c>
      <c r="P41" s="9">
        <v>1342.4737794999992</v>
      </c>
      <c r="Q41" s="9">
        <v>1350.00898375</v>
      </c>
      <c r="R41" s="9">
        <v>1377.2312784999995</v>
      </c>
      <c r="S41" s="9">
        <v>1374.8777629999995</v>
      </c>
      <c r="T41" s="9">
        <v>1341.5805584999998</v>
      </c>
      <c r="U41" s="9">
        <v>1315.8841377499994</v>
      </c>
      <c r="V41" s="9">
        <v>1371.3201879999997</v>
      </c>
      <c r="W41" s="9">
        <v>1372.0620479999998</v>
      </c>
      <c r="X41" s="9">
        <v>1330.5335084999997</v>
      </c>
      <c r="Y41" s="9">
        <v>1262.1375269999999</v>
      </c>
      <c r="Z41" s="9">
        <v>1176.6529110000001</v>
      </c>
      <c r="AA41" s="9">
        <v>1097.0362934999994</v>
      </c>
      <c r="AB41" s="10">
        <f t="shared" si="9"/>
        <v>173831.36460899998</v>
      </c>
      <c r="AC41" s="4">
        <f>+AB39+AB40+AB41</f>
        <v>869546.62038299977</v>
      </c>
    </row>
    <row r="42" spans="1:29" x14ac:dyDescent="0.25">
      <c r="A42" s="22"/>
      <c r="B42" s="18"/>
      <c r="C42" s="19"/>
      <c r="AB42" s="20"/>
      <c r="AC42" s="20"/>
    </row>
    <row r="43" spans="1:29" x14ac:dyDescent="0.25">
      <c r="A43" s="7" t="s">
        <v>29</v>
      </c>
      <c r="B43" s="21">
        <v>19</v>
      </c>
      <c r="C43" s="37">
        <v>46143</v>
      </c>
      <c r="D43" s="9">
        <v>1060.9595988157889</v>
      </c>
      <c r="E43" s="9">
        <v>1032.6055458157889</v>
      </c>
      <c r="F43" s="9">
        <v>1010.7638564210524</v>
      </c>
      <c r="G43" s="9">
        <v>995.5036703684209</v>
      </c>
      <c r="H43" s="9">
        <v>986.41681176315797</v>
      </c>
      <c r="I43" s="9">
        <v>994.06699792105246</v>
      </c>
      <c r="J43" s="9">
        <v>1004.4251368421051</v>
      </c>
      <c r="K43" s="9">
        <v>1081.6131828157895</v>
      </c>
      <c r="L43" s="9">
        <v>1171.2290956578945</v>
      </c>
      <c r="M43" s="9">
        <v>1247.4822464999997</v>
      </c>
      <c r="N43" s="9">
        <v>1306.0636436842105</v>
      </c>
      <c r="O43" s="9">
        <v>1352.0611274210523</v>
      </c>
      <c r="P43" s="9">
        <v>1347.6375039473678</v>
      </c>
      <c r="Q43" s="9">
        <v>1353.532497947368</v>
      </c>
      <c r="R43" s="9">
        <v>1384.4653360263155</v>
      </c>
      <c r="S43" s="9">
        <v>1385.9973086842101</v>
      </c>
      <c r="T43" s="9">
        <v>1358.8054216578939</v>
      </c>
      <c r="U43" s="9">
        <v>1340.5126902631582</v>
      </c>
      <c r="V43" s="9">
        <v>1399.728090710526</v>
      </c>
      <c r="W43" s="9">
        <v>1397.8159544999999</v>
      </c>
      <c r="X43" s="9">
        <v>1352.6159115</v>
      </c>
      <c r="Y43" s="9">
        <v>1284.3674981052627</v>
      </c>
      <c r="Z43" s="9">
        <v>1196.5593553421049</v>
      </c>
      <c r="AA43" s="9">
        <v>1117.4910986842106</v>
      </c>
      <c r="AB43" s="10">
        <f>SUM(D43:AA43)*B43</f>
        <v>554091.67204650003</v>
      </c>
      <c r="AC43" s="11"/>
    </row>
    <row r="44" spans="1:29" x14ac:dyDescent="0.25">
      <c r="A44" s="7" t="s">
        <v>30</v>
      </c>
      <c r="B44" s="21">
        <v>5</v>
      </c>
      <c r="C44" s="38"/>
      <c r="D44" s="9">
        <v>1057.8161307</v>
      </c>
      <c r="E44" s="9">
        <v>1021.9706427000001</v>
      </c>
      <c r="F44" s="9">
        <v>997.22424479999972</v>
      </c>
      <c r="G44" s="9">
        <v>986.38027529999999</v>
      </c>
      <c r="H44" s="9">
        <v>988.38319439999987</v>
      </c>
      <c r="I44" s="9">
        <v>997.44655289999992</v>
      </c>
      <c r="J44" s="9">
        <v>1008.4351578000001</v>
      </c>
      <c r="K44" s="9">
        <v>1082.7823775999996</v>
      </c>
      <c r="L44" s="9">
        <v>1172.2919732999999</v>
      </c>
      <c r="M44" s="9">
        <v>1244.9684225999999</v>
      </c>
      <c r="N44" s="9">
        <v>1304.9415119999994</v>
      </c>
      <c r="O44" s="9">
        <v>1356.6920325000001</v>
      </c>
      <c r="P44" s="9">
        <v>1351.5190751999999</v>
      </c>
      <c r="Q44" s="9">
        <v>1357.3200647999993</v>
      </c>
      <c r="R44" s="9">
        <v>1386.7415729999993</v>
      </c>
      <c r="S44" s="9">
        <v>1394.5036895999992</v>
      </c>
      <c r="T44" s="9">
        <v>1365.4542551999994</v>
      </c>
      <c r="U44" s="9">
        <v>1344.1296980999996</v>
      </c>
      <c r="V44" s="9">
        <v>1401.060066</v>
      </c>
      <c r="W44" s="9">
        <v>1390.4265437999993</v>
      </c>
      <c r="X44" s="9">
        <v>1341.5485775999996</v>
      </c>
      <c r="Y44" s="9">
        <v>1278.0776882999999</v>
      </c>
      <c r="Z44" s="9">
        <v>1200.7645649999995</v>
      </c>
      <c r="AA44" s="9">
        <v>1121.3199543000001</v>
      </c>
      <c r="AB44" s="10">
        <f t="shared" ref="AB44:AB45" si="10">SUM(D44:AA44)*B44</f>
        <v>145760.99133749993</v>
      </c>
      <c r="AC44" s="11"/>
    </row>
    <row r="45" spans="1:29" x14ac:dyDescent="0.25">
      <c r="A45" s="7" t="s">
        <v>31</v>
      </c>
      <c r="B45" s="21">
        <v>7</v>
      </c>
      <c r="C45" s="38"/>
      <c r="D45" s="9">
        <v>1065.4965149999998</v>
      </c>
      <c r="E45" s="9">
        <v>1030.5259289999995</v>
      </c>
      <c r="F45" s="9">
        <v>1003.9949804999997</v>
      </c>
      <c r="G45" s="9">
        <v>986.78200049999987</v>
      </c>
      <c r="H45" s="9">
        <v>981.49410900000021</v>
      </c>
      <c r="I45" s="9">
        <v>999.09649799999988</v>
      </c>
      <c r="J45" s="9">
        <v>1017.1044794999998</v>
      </c>
      <c r="K45" s="9">
        <v>1095.2453864999998</v>
      </c>
      <c r="L45" s="9">
        <v>1179.5779619999994</v>
      </c>
      <c r="M45" s="9">
        <v>1251.9277259999999</v>
      </c>
      <c r="N45" s="9">
        <v>1305.5631254999998</v>
      </c>
      <c r="O45" s="9">
        <v>1351.3587839999991</v>
      </c>
      <c r="P45" s="9">
        <v>1350.4767059999995</v>
      </c>
      <c r="Q45" s="9">
        <v>1352.8825874999993</v>
      </c>
      <c r="R45" s="9">
        <v>1385.6378324999996</v>
      </c>
      <c r="S45" s="9">
        <v>1388.8598834999993</v>
      </c>
      <c r="T45" s="9">
        <v>1362.2747804999999</v>
      </c>
      <c r="U45" s="9">
        <v>1337.6579414999997</v>
      </c>
      <c r="V45" s="9">
        <v>1394.6221844999991</v>
      </c>
      <c r="W45" s="9">
        <v>1388.5957859999999</v>
      </c>
      <c r="X45" s="9">
        <v>1339.0285079999994</v>
      </c>
      <c r="Y45" s="9">
        <v>1271.6619105</v>
      </c>
      <c r="Z45" s="9">
        <v>1187.6102519999995</v>
      </c>
      <c r="AA45" s="9">
        <v>1120.8675389999999</v>
      </c>
      <c r="AB45" s="10">
        <f t="shared" si="10"/>
        <v>204038.40384899994</v>
      </c>
      <c r="AC45" s="4">
        <f>+AB43+AB44+AB45</f>
        <v>903891.06723299995</v>
      </c>
    </row>
    <row r="46" spans="1:29" x14ac:dyDescent="0.25">
      <c r="A46" s="22"/>
      <c r="B46" s="18"/>
      <c r="C46" s="19"/>
      <c r="AB46" s="20"/>
      <c r="AC46" s="20"/>
    </row>
    <row r="47" spans="1:29" x14ac:dyDescent="0.25">
      <c r="A47" s="7" t="s">
        <v>29</v>
      </c>
      <c r="B47" s="21">
        <v>19</v>
      </c>
      <c r="C47" s="37">
        <v>46174</v>
      </c>
      <c r="D47" s="9">
        <v>585.20002539473626</v>
      </c>
      <c r="E47" s="9">
        <v>442.84446092105281</v>
      </c>
      <c r="F47" s="9">
        <v>328.71938171052534</v>
      </c>
      <c r="G47" s="9">
        <v>259.2666814473705</v>
      </c>
      <c r="H47" s="9">
        <v>207.23806671052807</v>
      </c>
      <c r="I47" s="9">
        <v>220.7563914473667</v>
      </c>
      <c r="J47" s="9">
        <v>153.27728328946887</v>
      </c>
      <c r="K47" s="9">
        <v>411.38569394736442</v>
      </c>
      <c r="L47" s="9">
        <v>763.06452315789284</v>
      </c>
      <c r="M47" s="9">
        <v>1081.7474096052583</v>
      </c>
      <c r="N47" s="9">
        <v>1339.9827917105167</v>
      </c>
      <c r="O47" s="9">
        <v>1555.047635789464</v>
      </c>
      <c r="P47" s="9">
        <v>1535.8669140789434</v>
      </c>
      <c r="Q47" s="9">
        <v>1605.3422206578916</v>
      </c>
      <c r="R47" s="9">
        <v>1788.1670755263076</v>
      </c>
      <c r="S47" s="9">
        <v>1832.1836028947364</v>
      </c>
      <c r="T47" s="9">
        <v>1725.7980419736768</v>
      </c>
      <c r="U47" s="9">
        <v>1633.1476065789393</v>
      </c>
      <c r="V47" s="9">
        <v>1856.1334717105219</v>
      </c>
      <c r="W47" s="9">
        <v>1810.0401876315746</v>
      </c>
      <c r="X47" s="9">
        <v>1633.5858397368374</v>
      </c>
      <c r="Y47" s="9">
        <v>1391.8275096052603</v>
      </c>
      <c r="Z47" s="9">
        <v>1081.4491202631543</v>
      </c>
      <c r="AA47" s="9">
        <v>811.46741381578886</v>
      </c>
      <c r="AB47" s="10">
        <f>SUM(D47:AA47)*B47</f>
        <v>495017.24764249829</v>
      </c>
      <c r="AC47" s="11"/>
    </row>
    <row r="48" spans="1:29" x14ac:dyDescent="0.25">
      <c r="A48" s="7" t="s">
        <v>30</v>
      </c>
      <c r="B48" s="21">
        <v>4</v>
      </c>
      <c r="C48" s="38"/>
      <c r="D48" s="9">
        <v>603.63440312499915</v>
      </c>
      <c r="E48" s="9">
        <v>469.95993875000022</v>
      </c>
      <c r="F48" s="9">
        <v>368.15176625000004</v>
      </c>
      <c r="G48" s="9">
        <v>263.04564687500078</v>
      </c>
      <c r="H48" s="9">
        <v>194.93137375000151</v>
      </c>
      <c r="I48" s="9">
        <v>224.85799937499996</v>
      </c>
      <c r="J48" s="9">
        <v>212.32596999999896</v>
      </c>
      <c r="K48" s="9">
        <v>544.78332249999858</v>
      </c>
      <c r="L48" s="9">
        <v>889.07463624999855</v>
      </c>
      <c r="M48" s="9">
        <v>1178.085818749998</v>
      </c>
      <c r="N48" s="9">
        <v>1361.324685624998</v>
      </c>
      <c r="O48" s="9">
        <v>1521.8007793749994</v>
      </c>
      <c r="P48" s="9">
        <v>1472.7978762499988</v>
      </c>
      <c r="Q48" s="9">
        <v>1558.5305249999983</v>
      </c>
      <c r="R48" s="9">
        <v>1804.5568999999987</v>
      </c>
      <c r="S48" s="9">
        <v>1850.9431462499988</v>
      </c>
      <c r="T48" s="9">
        <v>1741.5269049999988</v>
      </c>
      <c r="U48" s="9">
        <v>1641.7317837499977</v>
      </c>
      <c r="V48" s="9">
        <v>1879.1334106249997</v>
      </c>
      <c r="W48" s="9">
        <v>1837.2108656249984</v>
      </c>
      <c r="X48" s="9">
        <v>1663.728555624999</v>
      </c>
      <c r="Y48" s="9">
        <v>1415.0481681249976</v>
      </c>
      <c r="Z48" s="9">
        <v>1070.068786249999</v>
      </c>
      <c r="AA48" s="9">
        <v>777.95733687500069</v>
      </c>
      <c r="AB48" s="10">
        <f t="shared" ref="AB48:AB49" si="11">SUM(D48:AA48)*B48</f>
        <v>106180.84239999991</v>
      </c>
      <c r="AC48" s="11"/>
    </row>
    <row r="49" spans="1:29" x14ac:dyDescent="0.25">
      <c r="A49" s="7" t="s">
        <v>31</v>
      </c>
      <c r="B49" s="21">
        <v>7</v>
      </c>
      <c r="C49" s="38"/>
      <c r="D49" s="9">
        <v>474.13271500000155</v>
      </c>
      <c r="E49" s="9">
        <v>414.02854749999915</v>
      </c>
      <c r="F49" s="9">
        <v>354.83492250000018</v>
      </c>
      <c r="G49" s="9">
        <v>271.83921750000081</v>
      </c>
      <c r="H49" s="9">
        <v>219.38084750000053</v>
      </c>
      <c r="I49" s="9">
        <v>236.63852750000024</v>
      </c>
      <c r="J49" s="9">
        <v>222.09173499999997</v>
      </c>
      <c r="K49" s="9">
        <v>520.91329249999944</v>
      </c>
      <c r="L49" s="9">
        <v>858.30366250000043</v>
      </c>
      <c r="M49" s="9">
        <v>1121.3098625000002</v>
      </c>
      <c r="N49" s="9">
        <v>1320.3723824999988</v>
      </c>
      <c r="O49" s="9">
        <v>1468.0222149999981</v>
      </c>
      <c r="P49" s="9">
        <v>1375.5069224999979</v>
      </c>
      <c r="Q49" s="9">
        <v>1408.5390449999986</v>
      </c>
      <c r="R49" s="9">
        <v>1619.6033999999991</v>
      </c>
      <c r="S49" s="9">
        <v>1725.8714799999998</v>
      </c>
      <c r="T49" s="9">
        <v>1637.5333300000002</v>
      </c>
      <c r="U49" s="9">
        <v>1540.9612450000004</v>
      </c>
      <c r="V49" s="9">
        <v>1735.8518499999964</v>
      </c>
      <c r="W49" s="9">
        <v>1684.0243674999992</v>
      </c>
      <c r="X49" s="9">
        <v>1518.3779799999984</v>
      </c>
      <c r="Y49" s="9">
        <v>1293.004789999999</v>
      </c>
      <c r="Z49" s="9">
        <v>998.74312249999912</v>
      </c>
      <c r="AA49" s="9">
        <v>716.54773000000023</v>
      </c>
      <c r="AB49" s="10">
        <f t="shared" si="11"/>
        <v>173155.03232999993</v>
      </c>
      <c r="AC49" s="4">
        <f>+AB47+AB48+AB49</f>
        <v>774353.12237249815</v>
      </c>
    </row>
    <row r="50" spans="1:29" x14ac:dyDescent="0.25">
      <c r="A50" s="22"/>
      <c r="B50" s="18"/>
      <c r="C50" s="19"/>
      <c r="AB50" s="20"/>
      <c r="AC50" s="20"/>
    </row>
    <row r="51" spans="1:29" x14ac:dyDescent="0.25">
      <c r="A51" s="7" t="s">
        <v>29</v>
      </c>
      <c r="B51" s="21">
        <v>22</v>
      </c>
      <c r="C51" s="37">
        <v>46204</v>
      </c>
      <c r="D51" s="9">
        <v>1089.7764617727271</v>
      </c>
      <c r="E51" s="9">
        <v>1059.8999030454543</v>
      </c>
      <c r="F51" s="9">
        <v>1037.3227095000002</v>
      </c>
      <c r="G51" s="9">
        <v>1018.7611531363636</v>
      </c>
      <c r="H51" s="9">
        <v>1011.4371874090907</v>
      </c>
      <c r="I51" s="9">
        <v>1020.5336361818181</v>
      </c>
      <c r="J51" s="9">
        <v>1031.2209685909093</v>
      </c>
      <c r="K51" s="9">
        <v>1105.3888330227273</v>
      </c>
      <c r="L51" s="9">
        <v>1190.8548683181816</v>
      </c>
      <c r="M51" s="9">
        <v>1259.8947685227267</v>
      </c>
      <c r="N51" s="9">
        <v>1311.0936228409082</v>
      </c>
      <c r="O51" s="9">
        <v>1353.119734431818</v>
      </c>
      <c r="P51" s="9">
        <v>1346.0127879545453</v>
      </c>
      <c r="Q51" s="9">
        <v>1352.1652004318175</v>
      </c>
      <c r="R51" s="9">
        <v>1384.1522658409085</v>
      </c>
      <c r="S51" s="9">
        <v>1389.4298350227264</v>
      </c>
      <c r="T51" s="9">
        <v>1363.1199415909086</v>
      </c>
      <c r="U51" s="9">
        <v>1343.0018580681817</v>
      </c>
      <c r="V51" s="9">
        <v>1401.9676354090907</v>
      </c>
      <c r="W51" s="9">
        <v>1402.0131252272722</v>
      </c>
      <c r="X51" s="9">
        <v>1361.4173288863631</v>
      </c>
      <c r="Y51" s="9">
        <v>1299.9230346136364</v>
      </c>
      <c r="Z51" s="9">
        <v>1218.2685508636359</v>
      </c>
      <c r="AA51" s="9">
        <v>1144.2708756818183</v>
      </c>
      <c r="AB51" s="10">
        <f>SUM(D51:AA51)*B51</f>
        <v>648891.01829999976</v>
      </c>
      <c r="AC51" s="11"/>
    </row>
    <row r="52" spans="1:29" x14ac:dyDescent="0.25">
      <c r="A52" s="7" t="s">
        <v>30</v>
      </c>
      <c r="B52" s="21">
        <v>4</v>
      </c>
      <c r="C52" s="38"/>
      <c r="D52" s="9">
        <v>1081.57618275</v>
      </c>
      <c r="E52" s="9">
        <v>1050.4408425000001</v>
      </c>
      <c r="F52" s="9">
        <v>1027.5703357499997</v>
      </c>
      <c r="G52" s="9">
        <v>1021.8270693750001</v>
      </c>
      <c r="H52" s="9">
        <v>1014.5421772499999</v>
      </c>
      <c r="I52" s="9">
        <v>1020.3955046249998</v>
      </c>
      <c r="J52" s="9">
        <v>1025.2983562499994</v>
      </c>
      <c r="K52" s="9">
        <v>1093.6946474999995</v>
      </c>
      <c r="L52" s="9">
        <v>1176.7621188749999</v>
      </c>
      <c r="M52" s="9">
        <v>1253.7225093749994</v>
      </c>
      <c r="N52" s="9">
        <v>1319.78532</v>
      </c>
      <c r="O52" s="9">
        <v>1362.6615817499996</v>
      </c>
      <c r="P52" s="9">
        <v>1356.2579966249996</v>
      </c>
      <c r="Q52" s="9">
        <v>1355.2770524999996</v>
      </c>
      <c r="R52" s="9">
        <v>1382.4446159999998</v>
      </c>
      <c r="S52" s="9">
        <v>1384.7930459999998</v>
      </c>
      <c r="T52" s="9">
        <v>1362.1566866249996</v>
      </c>
      <c r="U52" s="9">
        <v>1352.8443284999994</v>
      </c>
      <c r="V52" s="9">
        <v>1414.3462042499996</v>
      </c>
      <c r="W52" s="9">
        <v>1413.5941548749997</v>
      </c>
      <c r="X52" s="9">
        <v>1364.9669906250001</v>
      </c>
      <c r="Y52" s="9">
        <v>1300.3629686249997</v>
      </c>
      <c r="Z52" s="9">
        <v>1215.5898457499998</v>
      </c>
      <c r="AA52" s="9">
        <v>1141.4083485000001</v>
      </c>
      <c r="AB52" s="10">
        <f t="shared" ref="AB52:AB53" si="12">SUM(D52:AA52)*B52</f>
        <v>117969.27553949997</v>
      </c>
      <c r="AC52" s="11"/>
    </row>
    <row r="53" spans="1:29" x14ac:dyDescent="0.25">
      <c r="A53" s="7" t="s">
        <v>31</v>
      </c>
      <c r="B53" s="21">
        <v>5</v>
      </c>
      <c r="C53" s="38"/>
      <c r="D53" s="9">
        <v>1082.7987911999999</v>
      </c>
      <c r="E53" s="9">
        <v>1044.8807649</v>
      </c>
      <c r="F53" s="9">
        <v>1020.2693255999998</v>
      </c>
      <c r="G53" s="9">
        <v>1009.4071239</v>
      </c>
      <c r="H53" s="9">
        <v>1008.1349544</v>
      </c>
      <c r="I53" s="9">
        <v>1014.0534242999997</v>
      </c>
      <c r="J53" s="9">
        <v>1023.7204445999996</v>
      </c>
      <c r="K53" s="9">
        <v>1092.4220411999995</v>
      </c>
      <c r="L53" s="9">
        <v>1174.6132208999998</v>
      </c>
      <c r="M53" s="9">
        <v>1248.1186829999997</v>
      </c>
      <c r="N53" s="9">
        <v>1305.7068443999997</v>
      </c>
      <c r="O53" s="9">
        <v>1363.9720982999997</v>
      </c>
      <c r="P53" s="9">
        <v>1366.6914050999994</v>
      </c>
      <c r="Q53" s="9">
        <v>1373.2875239999994</v>
      </c>
      <c r="R53" s="9">
        <v>1398.4497659999997</v>
      </c>
      <c r="S53" s="9">
        <v>1396.0658501999997</v>
      </c>
      <c r="T53" s="9">
        <v>1364.6410763999993</v>
      </c>
      <c r="U53" s="9">
        <v>1349.0222990999991</v>
      </c>
      <c r="V53" s="9">
        <v>1416.9459107999992</v>
      </c>
      <c r="W53" s="9">
        <v>1417.0529078999998</v>
      </c>
      <c r="X53" s="9">
        <v>1370.6482817999995</v>
      </c>
      <c r="Y53" s="9">
        <v>1302.5236286999998</v>
      </c>
      <c r="Z53" s="9">
        <v>1218.4257350999997</v>
      </c>
      <c r="AA53" s="9">
        <v>1139.3614974000002</v>
      </c>
      <c r="AB53" s="10">
        <f t="shared" si="12"/>
        <v>147506.06799600003</v>
      </c>
      <c r="AC53" s="4">
        <f>+AB51+AB52+AB53</f>
        <v>914366.36183549976</v>
      </c>
    </row>
    <row r="54" spans="1:29" x14ac:dyDescent="0.25">
      <c r="A54" s="22"/>
      <c r="B54" s="18"/>
      <c r="C54" s="19"/>
      <c r="AB54" s="20"/>
      <c r="AC54" s="20"/>
    </row>
    <row r="55" spans="1:29" x14ac:dyDescent="0.25">
      <c r="A55" s="7" t="s">
        <v>29</v>
      </c>
      <c r="B55" s="21">
        <v>19</v>
      </c>
      <c r="C55" s="37">
        <v>46235</v>
      </c>
      <c r="D55" s="9">
        <v>1090.2786471315785</v>
      </c>
      <c r="E55" s="9">
        <v>1063.3015088684206</v>
      </c>
      <c r="F55" s="9">
        <v>1041.4010034473686</v>
      </c>
      <c r="G55" s="9">
        <v>1027.8187638157897</v>
      </c>
      <c r="H55" s="9">
        <v>1022.7134068421051</v>
      </c>
      <c r="I55" s="9">
        <v>1029.7724778157899</v>
      </c>
      <c r="J55" s="9">
        <v>1039.6714180263161</v>
      </c>
      <c r="K55" s="9">
        <v>1113.1167450789471</v>
      </c>
      <c r="L55" s="9">
        <v>1199.5304436315791</v>
      </c>
      <c r="M55" s="9">
        <v>1272.1066558421053</v>
      </c>
      <c r="N55" s="9">
        <v>1329.1431532105262</v>
      </c>
      <c r="O55" s="9">
        <v>1374.7343167894733</v>
      </c>
      <c r="P55" s="9">
        <v>1367.7189213947368</v>
      </c>
      <c r="Q55" s="9">
        <v>1368.2682034736836</v>
      </c>
      <c r="R55" s="9">
        <v>1395.2403995526311</v>
      </c>
      <c r="S55" s="9">
        <v>1397.6156211315783</v>
      </c>
      <c r="T55" s="9">
        <v>1371.2037321315784</v>
      </c>
      <c r="U55" s="9">
        <v>1354.2770380263155</v>
      </c>
      <c r="V55" s="9">
        <v>1413.5155064210521</v>
      </c>
      <c r="W55" s="9">
        <v>1410.5072906842106</v>
      </c>
      <c r="X55" s="9">
        <v>1361.9992740789467</v>
      </c>
      <c r="Y55" s="9">
        <v>1294.0915801578949</v>
      </c>
      <c r="Z55" s="9">
        <v>1210.0022467105264</v>
      </c>
      <c r="AA55" s="9">
        <v>1137.5881699736847</v>
      </c>
      <c r="AB55" s="10">
        <f>SUM(D55:AA55)*B55</f>
        <v>564026.71396049985</v>
      </c>
      <c r="AC55" s="11"/>
    </row>
    <row r="56" spans="1:29" x14ac:dyDescent="0.25">
      <c r="A56" s="7" t="s">
        <v>30</v>
      </c>
      <c r="B56" s="21">
        <v>5</v>
      </c>
      <c r="C56" s="38"/>
      <c r="D56" s="9">
        <v>1086.6998939999994</v>
      </c>
      <c r="E56" s="9">
        <v>1062.1079783999994</v>
      </c>
      <c r="F56" s="9">
        <v>1046.4391623000001</v>
      </c>
      <c r="G56" s="9">
        <v>1027.7658363</v>
      </c>
      <c r="H56" s="9">
        <v>1021.1181896999997</v>
      </c>
      <c r="I56" s="9">
        <v>1031.7644315999996</v>
      </c>
      <c r="J56" s="9">
        <v>1048.0373294999999</v>
      </c>
      <c r="K56" s="9">
        <v>1117.8796713000002</v>
      </c>
      <c r="L56" s="9">
        <v>1203.1042694999996</v>
      </c>
      <c r="M56" s="9">
        <v>1272.6880445999996</v>
      </c>
      <c r="N56" s="9">
        <v>1323.4464221999997</v>
      </c>
      <c r="O56" s="9">
        <v>1366.2333971999997</v>
      </c>
      <c r="P56" s="9">
        <v>1360.7300909999994</v>
      </c>
      <c r="Q56" s="9">
        <v>1371.8877228000001</v>
      </c>
      <c r="R56" s="9">
        <v>1401.6204530999994</v>
      </c>
      <c r="S56" s="9">
        <v>1403.5445865000002</v>
      </c>
      <c r="T56" s="9">
        <v>1368.2830853999994</v>
      </c>
      <c r="U56" s="9">
        <v>1343.5467968999992</v>
      </c>
      <c r="V56" s="9">
        <v>1400.0249045999999</v>
      </c>
      <c r="W56" s="9">
        <v>1401.2409452999991</v>
      </c>
      <c r="X56" s="9">
        <v>1363.9039532999996</v>
      </c>
      <c r="Y56" s="9">
        <v>1298.0336901000001</v>
      </c>
      <c r="Z56" s="9">
        <v>1213.7968499999997</v>
      </c>
      <c r="AA56" s="9">
        <v>1138.4260671000002</v>
      </c>
      <c r="AB56" s="10">
        <f t="shared" ref="AB56:AB57" si="13">SUM(D56:AA56)*B56</f>
        <v>148361.61886349996</v>
      </c>
      <c r="AC56" s="11"/>
    </row>
    <row r="57" spans="1:29" x14ac:dyDescent="0.25">
      <c r="A57" s="7" t="s">
        <v>31</v>
      </c>
      <c r="B57" s="21">
        <v>7</v>
      </c>
      <c r="C57" s="38"/>
      <c r="D57" s="9">
        <v>1082.9754720000001</v>
      </c>
      <c r="E57" s="9">
        <v>1051.4116979999999</v>
      </c>
      <c r="F57" s="9">
        <v>1032.1315484999996</v>
      </c>
      <c r="G57" s="9">
        <v>1022.8539299999998</v>
      </c>
      <c r="H57" s="9">
        <v>1018.2415034999999</v>
      </c>
      <c r="I57" s="9">
        <v>1031.9114669999999</v>
      </c>
      <c r="J57" s="9">
        <v>1043.0380230000001</v>
      </c>
      <c r="K57" s="9">
        <v>1120.0831604999994</v>
      </c>
      <c r="L57" s="9">
        <v>1203.2375805000001</v>
      </c>
      <c r="M57" s="9">
        <v>1271.4315179999994</v>
      </c>
      <c r="N57" s="9">
        <v>1324.4063174999992</v>
      </c>
      <c r="O57" s="9">
        <v>1364.9686830000001</v>
      </c>
      <c r="P57" s="9">
        <v>1361.6291864999994</v>
      </c>
      <c r="Q57" s="9">
        <v>1368.1841849999992</v>
      </c>
      <c r="R57" s="9">
        <v>1405.9498169999997</v>
      </c>
      <c r="S57" s="9">
        <v>1409.7030869999999</v>
      </c>
      <c r="T57" s="9">
        <v>1381.4422994999995</v>
      </c>
      <c r="U57" s="9">
        <v>1356.0398969999997</v>
      </c>
      <c r="V57" s="9">
        <v>1410.6671804999996</v>
      </c>
      <c r="W57" s="9">
        <v>1404.3625425</v>
      </c>
      <c r="X57" s="9">
        <v>1358.1506730000001</v>
      </c>
      <c r="Y57" s="9">
        <v>1299.9032354999999</v>
      </c>
      <c r="Z57" s="9">
        <v>1217.5728044999996</v>
      </c>
      <c r="AA57" s="9">
        <v>1141.0787579999997</v>
      </c>
      <c r="AB57" s="10">
        <f t="shared" si="13"/>
        <v>207769.62197249994</v>
      </c>
      <c r="AC57" s="4">
        <f>+AB55+AB56+AB57</f>
        <v>920157.95479649981</v>
      </c>
    </row>
    <row r="58" spans="1:29" x14ac:dyDescent="0.25">
      <c r="A58" s="22"/>
      <c r="B58" s="18"/>
      <c r="C58" s="19"/>
      <c r="AB58" s="20"/>
      <c r="AC58" s="20"/>
    </row>
    <row r="59" spans="1:29" x14ac:dyDescent="0.25">
      <c r="A59" s="7" t="s">
        <v>29</v>
      </c>
      <c r="B59" s="21">
        <v>20</v>
      </c>
      <c r="C59" s="37">
        <v>46266</v>
      </c>
      <c r="D59" s="9">
        <v>1085.9799856499994</v>
      </c>
      <c r="E59" s="9">
        <v>1057.09372755</v>
      </c>
      <c r="F59" s="9">
        <v>1037.1561952499997</v>
      </c>
      <c r="G59" s="9">
        <v>1024.0021139250002</v>
      </c>
      <c r="H59" s="9">
        <v>1019.4629969999996</v>
      </c>
      <c r="I59" s="9">
        <v>1030.2444379500002</v>
      </c>
      <c r="J59" s="9">
        <v>1043.47118925</v>
      </c>
      <c r="K59" s="9">
        <v>1122.3503959499994</v>
      </c>
      <c r="L59" s="9">
        <v>1211.9254092749998</v>
      </c>
      <c r="M59" s="9">
        <v>1284.2678908499993</v>
      </c>
      <c r="N59" s="9">
        <v>1338.2561750249997</v>
      </c>
      <c r="O59" s="9">
        <v>1381.3448223749992</v>
      </c>
      <c r="P59" s="9">
        <v>1375.9868508749996</v>
      </c>
      <c r="Q59" s="9">
        <v>1382.3014988999994</v>
      </c>
      <c r="R59" s="9">
        <v>1415.1113460749993</v>
      </c>
      <c r="S59" s="9">
        <v>1418.1998071500002</v>
      </c>
      <c r="T59" s="9">
        <v>1388.9769647249996</v>
      </c>
      <c r="U59" s="9">
        <v>1365.2075351249996</v>
      </c>
      <c r="V59" s="9">
        <v>1421.3943875249997</v>
      </c>
      <c r="W59" s="9">
        <v>1418.5611404999991</v>
      </c>
      <c r="X59" s="9">
        <v>1373.1432476999998</v>
      </c>
      <c r="Y59" s="9">
        <v>1306.748372475</v>
      </c>
      <c r="Z59" s="9">
        <v>1221.4202306249999</v>
      </c>
      <c r="AA59" s="9">
        <v>1142.7823942499999</v>
      </c>
      <c r="AB59" s="10">
        <f>SUM(D59:AA59)*B59</f>
        <v>597307.78231949988</v>
      </c>
      <c r="AC59" s="11"/>
    </row>
    <row r="60" spans="1:29" x14ac:dyDescent="0.25">
      <c r="A60" s="7" t="s">
        <v>30</v>
      </c>
      <c r="B60" s="21">
        <v>4</v>
      </c>
      <c r="C60" s="38"/>
      <c r="D60" s="9">
        <v>1095.8805007499996</v>
      </c>
      <c r="E60" s="9">
        <v>1058.8115553749994</v>
      </c>
      <c r="F60" s="9">
        <v>1032.3237014999995</v>
      </c>
      <c r="G60" s="9">
        <v>1016.0708801249998</v>
      </c>
      <c r="H60" s="9">
        <v>1014.3890032499999</v>
      </c>
      <c r="I60" s="9">
        <v>1034.0939122499994</v>
      </c>
      <c r="J60" s="9">
        <v>1048.1303148749994</v>
      </c>
      <c r="K60" s="9">
        <v>1124.6780973750001</v>
      </c>
      <c r="L60" s="9">
        <v>1207.2767752499994</v>
      </c>
      <c r="M60" s="9">
        <v>1279.902889125</v>
      </c>
      <c r="N60" s="9">
        <v>1334.5889077499996</v>
      </c>
      <c r="O60" s="9">
        <v>1381.07675475</v>
      </c>
      <c r="P60" s="9">
        <v>1376.6934352499993</v>
      </c>
      <c r="Q60" s="9">
        <v>1375.1503919999996</v>
      </c>
      <c r="R60" s="9">
        <v>1404.1168181249996</v>
      </c>
      <c r="S60" s="9">
        <v>1411.3667925</v>
      </c>
      <c r="T60" s="9">
        <v>1394.3928363750001</v>
      </c>
      <c r="U60" s="9">
        <v>1370.932140375</v>
      </c>
      <c r="V60" s="9">
        <v>1427.6130119999998</v>
      </c>
      <c r="W60" s="9">
        <v>1417.5957993749998</v>
      </c>
      <c r="X60" s="9">
        <v>1368.2470357499997</v>
      </c>
      <c r="Y60" s="9">
        <v>1303.0337381250001</v>
      </c>
      <c r="Z60" s="9">
        <v>1220.079882</v>
      </c>
      <c r="AA60" s="9">
        <v>1154.5143539999999</v>
      </c>
      <c r="AB60" s="10">
        <f t="shared" ref="AB60:AB61" si="14">SUM(D60:AA60)*B60</f>
        <v>119403.83811299995</v>
      </c>
      <c r="AC60" s="11"/>
    </row>
    <row r="61" spans="1:29" x14ac:dyDescent="0.25">
      <c r="A61" s="7" t="s">
        <v>31</v>
      </c>
      <c r="B61" s="21">
        <v>6</v>
      </c>
      <c r="C61" s="38"/>
      <c r="D61" s="9">
        <v>1099.1347412499999</v>
      </c>
      <c r="E61" s="9">
        <v>1065.9107987500001</v>
      </c>
      <c r="F61" s="9">
        <v>1037.7506912499994</v>
      </c>
      <c r="G61" s="9">
        <v>1021.1533989999998</v>
      </c>
      <c r="H61" s="9">
        <v>1012.3806612499998</v>
      </c>
      <c r="I61" s="9">
        <v>1024.0259347499996</v>
      </c>
      <c r="J61" s="9">
        <v>1040.0840204999995</v>
      </c>
      <c r="K61" s="9">
        <v>1112.2686277499997</v>
      </c>
      <c r="L61" s="9">
        <v>1198.541295</v>
      </c>
      <c r="M61" s="9">
        <v>1271.6690524999995</v>
      </c>
      <c r="N61" s="9">
        <v>1330.7612604999995</v>
      </c>
      <c r="O61" s="9">
        <v>1379.3344354999999</v>
      </c>
      <c r="P61" s="9">
        <v>1376.6555127499996</v>
      </c>
      <c r="Q61" s="9">
        <v>1381.7366185000001</v>
      </c>
      <c r="R61" s="9">
        <v>1408.9937032499993</v>
      </c>
      <c r="S61" s="9">
        <v>1409.5855217499993</v>
      </c>
      <c r="T61" s="9">
        <v>1380.9847204999996</v>
      </c>
      <c r="U61" s="9">
        <v>1368.4828482499997</v>
      </c>
      <c r="V61" s="9">
        <v>1430.6122074999994</v>
      </c>
      <c r="W61" s="9">
        <v>1424.9079442499997</v>
      </c>
      <c r="X61" s="9">
        <v>1377.5412402499996</v>
      </c>
      <c r="Y61" s="9">
        <v>1311.68790025</v>
      </c>
      <c r="Z61" s="9">
        <v>1226.1592909999999</v>
      </c>
      <c r="AA61" s="9">
        <v>1153.1060450000004</v>
      </c>
      <c r="AB61" s="10">
        <f t="shared" si="14"/>
        <v>179060.81082749992</v>
      </c>
      <c r="AC61" s="4">
        <f>+AB59+AB60+AB61</f>
        <v>895772.43125999975</v>
      </c>
    </row>
    <row r="62" spans="1:29" x14ac:dyDescent="0.25">
      <c r="A62" s="22"/>
      <c r="B62" s="18"/>
      <c r="C62" s="19"/>
      <c r="AB62" s="20"/>
      <c r="AC62" s="20"/>
    </row>
    <row r="63" spans="1:29" x14ac:dyDescent="0.25">
      <c r="A63" s="7" t="s">
        <v>29</v>
      </c>
      <c r="B63" s="21">
        <v>21</v>
      </c>
      <c r="C63" s="37">
        <v>46296</v>
      </c>
      <c r="D63" s="9">
        <v>1101.962888</v>
      </c>
      <c r="E63" s="9">
        <v>1067.8300664999997</v>
      </c>
      <c r="F63" s="9">
        <v>1041.4478435000001</v>
      </c>
      <c r="G63" s="9">
        <v>1025.6623789999994</v>
      </c>
      <c r="H63" s="9">
        <v>1020.9839314999999</v>
      </c>
      <c r="I63" s="9">
        <v>1033.3698054999995</v>
      </c>
      <c r="J63" s="9">
        <v>1045.0495559999999</v>
      </c>
      <c r="K63" s="9">
        <v>1119.2536559999999</v>
      </c>
      <c r="L63" s="9">
        <v>1203.2787269999999</v>
      </c>
      <c r="M63" s="9">
        <v>1275.7005650000001</v>
      </c>
      <c r="N63" s="9">
        <v>1334.0094169999993</v>
      </c>
      <c r="O63" s="9">
        <v>1383.4036594999998</v>
      </c>
      <c r="P63" s="9">
        <v>1382.9126580000002</v>
      </c>
      <c r="Q63" s="9">
        <v>1391.9267649999992</v>
      </c>
      <c r="R63" s="9">
        <v>1424.4796954999993</v>
      </c>
      <c r="S63" s="9">
        <v>1427.0861409999998</v>
      </c>
      <c r="T63" s="9">
        <v>1400.1499779999995</v>
      </c>
      <c r="U63" s="9">
        <v>1381.7315904999996</v>
      </c>
      <c r="V63" s="9">
        <v>1440.1548034999996</v>
      </c>
      <c r="W63" s="9">
        <v>1433.6932674999998</v>
      </c>
      <c r="X63" s="9">
        <v>1385.6891989999995</v>
      </c>
      <c r="Y63" s="9">
        <v>1318.7042679999995</v>
      </c>
      <c r="Z63" s="9">
        <v>1233.7992979999999</v>
      </c>
      <c r="AA63" s="9">
        <v>1158.4624389999999</v>
      </c>
      <c r="AB63" s="10">
        <f>SUM(D63:AA63)*B63</f>
        <v>630645.59454749979</v>
      </c>
      <c r="AC63" s="11"/>
    </row>
    <row r="64" spans="1:29" x14ac:dyDescent="0.25">
      <c r="A64" s="7" t="s">
        <v>30</v>
      </c>
      <c r="B64" s="21">
        <v>5</v>
      </c>
      <c r="C64" s="38"/>
      <c r="D64" s="9">
        <v>1100.3525924999994</v>
      </c>
      <c r="E64" s="9">
        <v>1075.4222240999998</v>
      </c>
      <c r="F64" s="9">
        <v>1051.4995386000001</v>
      </c>
      <c r="G64" s="9">
        <v>1034.8224179999997</v>
      </c>
      <c r="H64" s="9">
        <v>1020.5154057</v>
      </c>
      <c r="I64" s="9">
        <v>1024.7963817</v>
      </c>
      <c r="J64" s="9">
        <v>1033.8090146999994</v>
      </c>
      <c r="K64" s="9">
        <v>1112.3248899</v>
      </c>
      <c r="L64" s="9">
        <v>1206.2137437000001</v>
      </c>
      <c r="M64" s="9">
        <v>1277.5736084999999</v>
      </c>
      <c r="N64" s="9">
        <v>1332.7959077999994</v>
      </c>
      <c r="O64" s="9">
        <v>1378.0944722999993</v>
      </c>
      <c r="P64" s="9">
        <v>1377.2161577999996</v>
      </c>
      <c r="Q64" s="9">
        <v>1383.5576390999995</v>
      </c>
      <c r="R64" s="9">
        <v>1419.1934210999998</v>
      </c>
      <c r="S64" s="9">
        <v>1429.2340019999992</v>
      </c>
      <c r="T64" s="9">
        <v>1401.6085376999999</v>
      </c>
      <c r="U64" s="9">
        <v>1382.4307181999993</v>
      </c>
      <c r="V64" s="9">
        <v>1439.4213161999996</v>
      </c>
      <c r="W64" s="9">
        <v>1440.6421952999999</v>
      </c>
      <c r="X64" s="9">
        <v>1393.2073322999995</v>
      </c>
      <c r="Y64" s="9">
        <v>1325.9664200999996</v>
      </c>
      <c r="Z64" s="9">
        <v>1240.2058703999992</v>
      </c>
      <c r="AA64" s="9">
        <v>1157.1541778999999</v>
      </c>
      <c r="AB64" s="10">
        <f t="shared" ref="AB64:AB65" si="15">SUM(D64:AA64)*B64</f>
        <v>150190.28992799995</v>
      </c>
      <c r="AC64" s="11"/>
    </row>
    <row r="65" spans="1:29" x14ac:dyDescent="0.25">
      <c r="A65" s="7" t="s">
        <v>31</v>
      </c>
      <c r="B65" s="21">
        <v>5</v>
      </c>
      <c r="C65" s="38"/>
      <c r="D65" s="9">
        <v>1098.7403426999999</v>
      </c>
      <c r="E65" s="9">
        <v>1070.8554779999995</v>
      </c>
      <c r="F65" s="9">
        <v>1057.7419650000002</v>
      </c>
      <c r="G65" s="9">
        <v>1044.2698118999997</v>
      </c>
      <c r="H65" s="9">
        <v>1035.2644133999993</v>
      </c>
      <c r="I65" s="9">
        <v>1036.8832068000002</v>
      </c>
      <c r="J65" s="9">
        <v>1043.0974238999997</v>
      </c>
      <c r="K65" s="9">
        <v>1114.3437479999993</v>
      </c>
      <c r="L65" s="9">
        <v>1201.8627894000001</v>
      </c>
      <c r="M65" s="9">
        <v>1280.8883723999998</v>
      </c>
      <c r="N65" s="9">
        <v>1337.3063886</v>
      </c>
      <c r="O65" s="9">
        <v>1383.4148243999998</v>
      </c>
      <c r="P65" s="9">
        <v>1375.6226925000001</v>
      </c>
      <c r="Q65" s="9">
        <v>1380.5892029999995</v>
      </c>
      <c r="R65" s="9">
        <v>1410.7903319999996</v>
      </c>
      <c r="S65" s="9">
        <v>1415.3518175999998</v>
      </c>
      <c r="T65" s="9">
        <v>1387.8455912999998</v>
      </c>
      <c r="U65" s="9">
        <v>1362.6490940999993</v>
      </c>
      <c r="V65" s="9">
        <v>1421.4798590999999</v>
      </c>
      <c r="W65" s="9">
        <v>1423.9603496999998</v>
      </c>
      <c r="X65" s="9">
        <v>1390.5064256999995</v>
      </c>
      <c r="Y65" s="9">
        <v>1328.3750087999997</v>
      </c>
      <c r="Z65" s="9">
        <v>1244.9911214999993</v>
      </c>
      <c r="AA65" s="9">
        <v>1164.7230881999994</v>
      </c>
      <c r="AB65" s="10">
        <f t="shared" si="15"/>
        <v>150057.76673999999</v>
      </c>
      <c r="AC65" s="4">
        <f>+AB63+AB64+AB65</f>
        <v>930893.65121549973</v>
      </c>
    </row>
    <row r="66" spans="1:29" x14ac:dyDescent="0.25">
      <c r="A66" s="22"/>
      <c r="B66" s="18"/>
      <c r="C66" s="19"/>
      <c r="AB66" s="20"/>
      <c r="AC66" s="20"/>
    </row>
    <row r="67" spans="1:29" x14ac:dyDescent="0.25">
      <c r="A67" s="7" t="s">
        <v>29</v>
      </c>
      <c r="B67" s="21">
        <v>19</v>
      </c>
      <c r="C67" s="37">
        <v>46327</v>
      </c>
      <c r="D67" s="9">
        <v>1114.690045736842</v>
      </c>
      <c r="E67" s="9">
        <v>1086.0744979736837</v>
      </c>
      <c r="F67" s="9">
        <v>1065.0252474473682</v>
      </c>
      <c r="G67" s="9">
        <v>1047.0236683421053</v>
      </c>
      <c r="H67" s="9">
        <v>1037.3666995263156</v>
      </c>
      <c r="I67" s="9">
        <v>1042.8052452631582</v>
      </c>
      <c r="J67" s="9">
        <v>1051.7940968684206</v>
      </c>
      <c r="K67" s="9">
        <v>1126.7779220526318</v>
      </c>
      <c r="L67" s="9">
        <v>1213.9409221578944</v>
      </c>
      <c r="M67" s="9">
        <v>1287.1252258421046</v>
      </c>
      <c r="N67" s="9">
        <v>1342.6043880789475</v>
      </c>
      <c r="O67" s="9">
        <v>1385.1562310526306</v>
      </c>
      <c r="P67" s="9">
        <v>1377.1454572105258</v>
      </c>
      <c r="Q67" s="9">
        <v>1382.3943746052628</v>
      </c>
      <c r="R67" s="9">
        <v>1415.8711211842101</v>
      </c>
      <c r="S67" s="9">
        <v>1423.1665565526309</v>
      </c>
      <c r="T67" s="9">
        <v>1398.6490156578939</v>
      </c>
      <c r="U67" s="9">
        <v>1381.0619892631576</v>
      </c>
      <c r="V67" s="9">
        <v>1440.2912591052627</v>
      </c>
      <c r="W67" s="9">
        <v>1439.2294532368414</v>
      </c>
      <c r="X67" s="9">
        <v>1396.1869331052631</v>
      </c>
      <c r="Y67" s="9">
        <v>1330.8668061315784</v>
      </c>
      <c r="Z67" s="9">
        <v>1246.4069083421055</v>
      </c>
      <c r="AA67" s="9">
        <v>1170.0385736052631</v>
      </c>
      <c r="AB67" s="10">
        <f>SUM(D67:AA67)*B67</f>
        <v>573832.16012849985</v>
      </c>
      <c r="AC67" s="11"/>
    </row>
    <row r="68" spans="1:29" x14ac:dyDescent="0.25">
      <c r="A68" s="7" t="s">
        <v>30</v>
      </c>
      <c r="B68" s="21">
        <v>4</v>
      </c>
      <c r="C68" s="38"/>
      <c r="D68" s="9">
        <v>1116.3159393750002</v>
      </c>
      <c r="E68" s="9">
        <v>1078.6848922499994</v>
      </c>
      <c r="F68" s="9">
        <v>1053.9959036250002</v>
      </c>
      <c r="G68" s="9">
        <v>1042.6446292499995</v>
      </c>
      <c r="H68" s="9">
        <v>1046.6251556249999</v>
      </c>
      <c r="I68" s="9">
        <v>1052.1817241250001</v>
      </c>
      <c r="J68" s="9">
        <v>1061.3971199999996</v>
      </c>
      <c r="K68" s="9">
        <v>1128.6797445000002</v>
      </c>
      <c r="L68" s="9">
        <v>1210.5568256249999</v>
      </c>
      <c r="M68" s="9">
        <v>1282.5736586249996</v>
      </c>
      <c r="N68" s="9">
        <v>1339.0789439999999</v>
      </c>
      <c r="O68" s="9">
        <v>1394.1827628749998</v>
      </c>
      <c r="P68" s="9">
        <v>1390.2331117499998</v>
      </c>
      <c r="Q68" s="9">
        <v>1394.7333828749997</v>
      </c>
      <c r="R68" s="9">
        <v>1417.0718467500001</v>
      </c>
      <c r="S68" s="9">
        <v>1415.3741279999995</v>
      </c>
      <c r="T68" s="9">
        <v>1386.4910351250001</v>
      </c>
      <c r="U68" s="9">
        <v>1373.5837604999997</v>
      </c>
      <c r="V68" s="9">
        <v>1442.6441242499995</v>
      </c>
      <c r="W68" s="9">
        <v>1439.1681307499994</v>
      </c>
      <c r="X68" s="9">
        <v>1394.3524612499996</v>
      </c>
      <c r="Y68" s="9">
        <v>1328.9640787499993</v>
      </c>
      <c r="Z68" s="9">
        <v>1247.1514833749998</v>
      </c>
      <c r="AA68" s="9">
        <v>1169.7998077499997</v>
      </c>
      <c r="AB68" s="10">
        <f t="shared" ref="AB68:AB69" si="16">SUM(D68:AA68)*B68</f>
        <v>120825.938604</v>
      </c>
      <c r="AC68" s="11"/>
    </row>
    <row r="69" spans="1:29" x14ac:dyDescent="0.25">
      <c r="A69" s="7" t="s">
        <v>31</v>
      </c>
      <c r="B69" s="21">
        <v>7</v>
      </c>
      <c r="C69" s="38"/>
      <c r="D69" s="9">
        <v>1114.7361270000001</v>
      </c>
      <c r="E69" s="9">
        <v>1080.5798234999993</v>
      </c>
      <c r="F69" s="9">
        <v>1053.0189794999997</v>
      </c>
      <c r="G69" s="9">
        <v>1035.8065244999998</v>
      </c>
      <c r="H69" s="9">
        <v>1028.7145949999995</v>
      </c>
      <c r="I69" s="9">
        <v>1045.2687779999997</v>
      </c>
      <c r="J69" s="9">
        <v>1059.4217355000001</v>
      </c>
      <c r="K69" s="9">
        <v>1133.26638</v>
      </c>
      <c r="L69" s="9">
        <v>1213.5106349999996</v>
      </c>
      <c r="M69" s="9">
        <v>1279.5006614999993</v>
      </c>
      <c r="N69" s="9">
        <v>1331.0709944999999</v>
      </c>
      <c r="O69" s="9">
        <v>1378.3755974999995</v>
      </c>
      <c r="P69" s="9">
        <v>1379.7988439999999</v>
      </c>
      <c r="Q69" s="9">
        <v>1387.3734059999997</v>
      </c>
      <c r="R69" s="9">
        <v>1418.5961699999998</v>
      </c>
      <c r="S69" s="9">
        <v>1422.0309914999998</v>
      </c>
      <c r="T69" s="9">
        <v>1399.1331659999996</v>
      </c>
      <c r="U69" s="9">
        <v>1383.3446684999999</v>
      </c>
      <c r="V69" s="9">
        <v>1445.5461584999994</v>
      </c>
      <c r="W69" s="9">
        <v>1447.0788329999996</v>
      </c>
      <c r="X69" s="9">
        <v>1399.3190445</v>
      </c>
      <c r="Y69" s="9">
        <v>1331.1219404999993</v>
      </c>
      <c r="Z69" s="9">
        <v>1244.6708385000002</v>
      </c>
      <c r="AA69" s="9">
        <v>1172.2576124999996</v>
      </c>
      <c r="AB69" s="10">
        <f t="shared" si="16"/>
        <v>211284.79753499999</v>
      </c>
      <c r="AC69" s="4">
        <f>+AB67+AB68+AB69</f>
        <v>905942.89626749989</v>
      </c>
    </row>
    <row r="70" spans="1:29" x14ac:dyDescent="0.25">
      <c r="A70" s="22"/>
      <c r="B70" s="18"/>
      <c r="C70" s="19"/>
      <c r="AB70" s="20"/>
      <c r="AC70" s="20"/>
    </row>
    <row r="71" spans="1:29" x14ac:dyDescent="0.25">
      <c r="A71" s="7" t="s">
        <v>29</v>
      </c>
      <c r="B71" s="21">
        <v>21</v>
      </c>
      <c r="C71" s="37">
        <v>46357</v>
      </c>
      <c r="D71" s="9">
        <v>2361.6529375000018</v>
      </c>
      <c r="E71" s="9">
        <v>2257.2990575000035</v>
      </c>
      <c r="F71" s="9">
        <v>2157.7334175000015</v>
      </c>
      <c r="G71" s="9">
        <v>2075.976217500001</v>
      </c>
      <c r="H71" s="9">
        <v>2005.9491200000011</v>
      </c>
      <c r="I71" s="9">
        <v>1995.2636650000018</v>
      </c>
      <c r="J71" s="9">
        <v>1881.0455825000026</v>
      </c>
      <c r="K71" s="9">
        <v>2100.2177950000032</v>
      </c>
      <c r="L71" s="9">
        <v>2428.7148250000046</v>
      </c>
      <c r="M71" s="9">
        <v>2723.5539950000052</v>
      </c>
      <c r="N71" s="9">
        <v>2947.568795000007</v>
      </c>
      <c r="O71" s="9">
        <v>3133.6824200000042</v>
      </c>
      <c r="P71" s="9">
        <v>3089.748517500002</v>
      </c>
      <c r="Q71" s="9">
        <v>3144.8962950000018</v>
      </c>
      <c r="R71" s="9">
        <v>3312.4928350000005</v>
      </c>
      <c r="S71" s="9">
        <v>3350.0924250000003</v>
      </c>
      <c r="T71" s="9">
        <v>3242.6849575000037</v>
      </c>
      <c r="U71" s="9">
        <v>3158.5195099999996</v>
      </c>
      <c r="V71" s="9">
        <v>3366.7419725000022</v>
      </c>
      <c r="W71" s="9">
        <v>3320.634030000002</v>
      </c>
      <c r="X71" s="9">
        <v>3173.9092775000013</v>
      </c>
      <c r="Y71" s="9">
        <v>2975.6924475000055</v>
      </c>
      <c r="Z71" s="9">
        <v>2710.7483075000041</v>
      </c>
      <c r="AA71" s="9">
        <v>2504.0516475000036</v>
      </c>
      <c r="AB71" s="10">
        <f>SUM(D71:AA71)*B71</f>
        <v>1373796.2710500013</v>
      </c>
      <c r="AC71" s="11"/>
    </row>
    <row r="72" spans="1:29" x14ac:dyDescent="0.25">
      <c r="A72" s="7" t="s">
        <v>30</v>
      </c>
      <c r="B72" s="21">
        <v>4</v>
      </c>
      <c r="C72" s="38"/>
      <c r="D72" s="9">
        <v>2360.9845575000008</v>
      </c>
      <c r="E72" s="9">
        <v>2248.4109275000019</v>
      </c>
      <c r="F72" s="9">
        <v>2166.6223781250019</v>
      </c>
      <c r="G72" s="9">
        <v>2098.3038262500004</v>
      </c>
      <c r="H72" s="9">
        <v>2026.8322887500017</v>
      </c>
      <c r="I72" s="9">
        <v>2047.6378943750015</v>
      </c>
      <c r="J72" s="9">
        <v>2006.5305387500011</v>
      </c>
      <c r="K72" s="9">
        <v>2310.4284225000001</v>
      </c>
      <c r="L72" s="9">
        <v>2619.7686406250023</v>
      </c>
      <c r="M72" s="9">
        <v>2876.2578168750006</v>
      </c>
      <c r="N72" s="9">
        <v>3057.100531250001</v>
      </c>
      <c r="O72" s="9">
        <v>3202.6537031250018</v>
      </c>
      <c r="P72" s="9">
        <v>3144.2615431250015</v>
      </c>
      <c r="Q72" s="9">
        <v>3230.2036293750007</v>
      </c>
      <c r="R72" s="9">
        <v>3488.7061350000004</v>
      </c>
      <c r="S72" s="9">
        <v>3534.6977693750005</v>
      </c>
      <c r="T72" s="9">
        <v>3419.8172693750021</v>
      </c>
      <c r="U72" s="9">
        <v>3286.8685268750014</v>
      </c>
      <c r="V72" s="9">
        <v>3473.9268143749996</v>
      </c>
      <c r="W72" s="9">
        <v>3430.6527506250031</v>
      </c>
      <c r="X72" s="9">
        <v>3289.328821250002</v>
      </c>
      <c r="Y72" s="9">
        <v>3115.0352525000008</v>
      </c>
      <c r="Z72" s="9">
        <v>2829.580027500002</v>
      </c>
      <c r="AA72" s="9">
        <v>2576.3389343750023</v>
      </c>
      <c r="AB72" s="10">
        <f t="shared" ref="AB72:AB73" si="17">SUM(D72:AA72)*B72</f>
        <v>271363.79599750013</v>
      </c>
      <c r="AC72" s="11"/>
    </row>
    <row r="73" spans="1:29" x14ac:dyDescent="0.25">
      <c r="A73" s="7" t="s">
        <v>31</v>
      </c>
      <c r="B73" s="21">
        <v>6</v>
      </c>
      <c r="C73" s="38"/>
      <c r="D73" s="9">
        <v>2504.6585162500014</v>
      </c>
      <c r="E73" s="9">
        <v>2411.5773750000008</v>
      </c>
      <c r="F73" s="9">
        <v>2348.6355949999997</v>
      </c>
      <c r="G73" s="9">
        <v>2303.3311575000007</v>
      </c>
      <c r="H73" s="9">
        <v>2276.6048950000004</v>
      </c>
      <c r="I73" s="9">
        <v>2300.6070287499997</v>
      </c>
      <c r="J73" s="9">
        <v>2300.1394050000017</v>
      </c>
      <c r="K73" s="9">
        <v>2597.6217475000012</v>
      </c>
      <c r="L73" s="9">
        <v>2962.7577925000014</v>
      </c>
      <c r="M73" s="9">
        <v>3230.5878812500005</v>
      </c>
      <c r="N73" s="9">
        <v>3459.900050000002</v>
      </c>
      <c r="O73" s="9">
        <v>3611.1408162500011</v>
      </c>
      <c r="P73" s="9">
        <v>3525.1119212500016</v>
      </c>
      <c r="Q73" s="9">
        <v>3552.8408900000004</v>
      </c>
      <c r="R73" s="9">
        <v>3740.8853287500015</v>
      </c>
      <c r="S73" s="9">
        <v>3818.0779225000006</v>
      </c>
      <c r="T73" s="9">
        <v>3696.5685825000028</v>
      </c>
      <c r="U73" s="9">
        <v>3583.8463287500008</v>
      </c>
      <c r="V73" s="9">
        <v>3775.2837812500011</v>
      </c>
      <c r="W73" s="9">
        <v>3730.7421975000007</v>
      </c>
      <c r="X73" s="9">
        <v>3553.2424100000017</v>
      </c>
      <c r="Y73" s="9">
        <v>3332.2259650000005</v>
      </c>
      <c r="Z73" s="9">
        <v>3048.5687712500012</v>
      </c>
      <c r="AA73" s="9">
        <v>2750.4060375000008</v>
      </c>
      <c r="AB73" s="10">
        <f t="shared" si="17"/>
        <v>446492.1743775002</v>
      </c>
      <c r="AC73" s="4">
        <f>+AB71+AB72+AB73</f>
        <v>2091652.2414250015</v>
      </c>
    </row>
    <row r="74" spans="1:29" x14ac:dyDescent="0.25">
      <c r="A74" s="5">
        <v>2027</v>
      </c>
      <c r="B74" s="5"/>
      <c r="C74" s="5"/>
      <c r="AB74" s="6"/>
      <c r="AC74" s="6"/>
    </row>
    <row r="75" spans="1:29" x14ac:dyDescent="0.25">
      <c r="A75" s="7" t="s">
        <v>29</v>
      </c>
      <c r="B75" s="8">
        <v>19</v>
      </c>
      <c r="C75" s="37">
        <v>46388</v>
      </c>
      <c r="D75" s="9">
        <v>2781.3182931578954</v>
      </c>
      <c r="E75" s="9">
        <v>2684.5972990789464</v>
      </c>
      <c r="F75" s="9">
        <v>2608.3664028947364</v>
      </c>
      <c r="G75" s="9">
        <v>2549.2039981578937</v>
      </c>
      <c r="H75" s="9">
        <v>2498.350202894736</v>
      </c>
      <c r="I75" s="9">
        <v>2497.0372257894737</v>
      </c>
      <c r="J75" s="9">
        <v>2373.3182144736852</v>
      </c>
      <c r="K75" s="9">
        <v>2601.7582352631571</v>
      </c>
      <c r="L75" s="9">
        <v>2938.4564263157913</v>
      </c>
      <c r="M75" s="9">
        <v>3228.9027602631545</v>
      </c>
      <c r="N75" s="9">
        <v>3449.761803157895</v>
      </c>
      <c r="O75" s="9">
        <v>3621.4524859210537</v>
      </c>
      <c r="P75" s="9">
        <v>3567.7777984210511</v>
      </c>
      <c r="Q75" s="9">
        <v>3631.5342598684215</v>
      </c>
      <c r="R75" s="9">
        <v>3820.2681373684218</v>
      </c>
      <c r="S75" s="9">
        <v>3866.7034617105273</v>
      </c>
      <c r="T75" s="9">
        <v>3763.570281578945</v>
      </c>
      <c r="U75" s="9">
        <v>3653.1311424999981</v>
      </c>
      <c r="V75" s="9">
        <v>3833.9458767105248</v>
      </c>
      <c r="W75" s="9">
        <v>3780.9623157894707</v>
      </c>
      <c r="X75" s="9">
        <v>3643.9684049999973</v>
      </c>
      <c r="Y75" s="9">
        <v>3465.2781026315806</v>
      </c>
      <c r="Z75" s="9">
        <v>3205.106309078948</v>
      </c>
      <c r="AA75" s="9">
        <v>2978.1584644736849</v>
      </c>
      <c r="AB75" s="10">
        <f>SUM(D75:AA75)*B75</f>
        <v>1463815.6301474997</v>
      </c>
      <c r="AC75" s="11"/>
    </row>
    <row r="76" spans="1:29" x14ac:dyDescent="0.25">
      <c r="A76" s="7" t="s">
        <v>30</v>
      </c>
      <c r="B76" s="8">
        <v>5</v>
      </c>
      <c r="C76" s="38"/>
      <c r="D76" s="9">
        <v>2994.0491454999992</v>
      </c>
      <c r="E76" s="9">
        <v>2887.5275030000003</v>
      </c>
      <c r="F76" s="9">
        <v>2779.5593594999991</v>
      </c>
      <c r="G76" s="9">
        <v>2720.8199759999989</v>
      </c>
      <c r="H76" s="9">
        <v>2676.8408449999997</v>
      </c>
      <c r="I76" s="9">
        <v>2736.3835765000003</v>
      </c>
      <c r="J76" s="9">
        <v>2755.049661</v>
      </c>
      <c r="K76" s="9">
        <v>3022.7322755000005</v>
      </c>
      <c r="L76" s="9">
        <v>3363.6636845000003</v>
      </c>
      <c r="M76" s="9">
        <v>3665.4124464999995</v>
      </c>
      <c r="N76" s="9">
        <v>3919.1903975000005</v>
      </c>
      <c r="O76" s="9">
        <v>4084.9388300000001</v>
      </c>
      <c r="P76" s="9">
        <v>4042.7072909999988</v>
      </c>
      <c r="Q76" s="9">
        <v>4083.4513160000006</v>
      </c>
      <c r="R76" s="9">
        <v>4253.0416564999996</v>
      </c>
      <c r="S76" s="9">
        <v>4288.5618334999999</v>
      </c>
      <c r="T76" s="9">
        <v>4170.8327465000002</v>
      </c>
      <c r="U76" s="9">
        <v>4099.5218914999996</v>
      </c>
      <c r="V76" s="9">
        <v>4320.8610024999989</v>
      </c>
      <c r="W76" s="9">
        <v>4281.1154399999996</v>
      </c>
      <c r="X76" s="9">
        <v>4060.6558334999991</v>
      </c>
      <c r="Y76" s="9">
        <v>3783.8325944999997</v>
      </c>
      <c r="Z76" s="9">
        <v>3443.1735239999998</v>
      </c>
      <c r="AA76" s="9">
        <v>3171.4428865</v>
      </c>
      <c r="AB76" s="10">
        <f t="shared" ref="AB76:AB77" si="18">SUM(D76:AA76)*B76</f>
        <v>428026.82858249987</v>
      </c>
      <c r="AC76" s="11"/>
    </row>
    <row r="77" spans="1:29" x14ac:dyDescent="0.25">
      <c r="A77" s="7" t="s">
        <v>31</v>
      </c>
      <c r="B77" s="8">
        <v>7</v>
      </c>
      <c r="C77" s="38"/>
      <c r="D77" s="9">
        <v>3087.9935174999982</v>
      </c>
      <c r="E77" s="9">
        <v>2977.3900549999998</v>
      </c>
      <c r="F77" s="9">
        <v>2903.4790199999998</v>
      </c>
      <c r="G77" s="9">
        <v>2847.6895124999992</v>
      </c>
      <c r="H77" s="9">
        <v>2822.0834024999995</v>
      </c>
      <c r="I77" s="9">
        <v>2869.357035</v>
      </c>
      <c r="J77" s="9">
        <v>2904.3708575000005</v>
      </c>
      <c r="K77" s="9">
        <v>3246.2168849999998</v>
      </c>
      <c r="L77" s="9">
        <v>3607.2422475000003</v>
      </c>
      <c r="M77" s="9">
        <v>3928.7104424999998</v>
      </c>
      <c r="N77" s="9">
        <v>4159.0609924999999</v>
      </c>
      <c r="O77" s="9">
        <v>4375.4767975000004</v>
      </c>
      <c r="P77" s="9">
        <v>4339.8296625000003</v>
      </c>
      <c r="Q77" s="9">
        <v>4367.7619750000003</v>
      </c>
      <c r="R77" s="9">
        <v>4541.57773</v>
      </c>
      <c r="S77" s="9">
        <v>4549.0117449999998</v>
      </c>
      <c r="T77" s="9">
        <v>4399.0434850000001</v>
      </c>
      <c r="U77" s="9">
        <v>4291.5063600000003</v>
      </c>
      <c r="V77" s="9">
        <v>4552.4943149999999</v>
      </c>
      <c r="W77" s="9">
        <v>4502.3392999999996</v>
      </c>
      <c r="X77" s="9">
        <v>4292.0628199999983</v>
      </c>
      <c r="Y77" s="9">
        <v>3989.3227424999995</v>
      </c>
      <c r="Z77" s="9">
        <v>3620.6115524999996</v>
      </c>
      <c r="AA77" s="9">
        <v>3302.4632000000001</v>
      </c>
      <c r="AB77" s="10">
        <f t="shared" si="18"/>
        <v>633339.66956749989</v>
      </c>
      <c r="AC77" s="4">
        <f>+AB75+AB76+AB77</f>
        <v>2525182.1282974994</v>
      </c>
    </row>
    <row r="78" spans="1:29" x14ac:dyDescent="0.25">
      <c r="A78" s="23"/>
    </row>
    <row r="79" spans="1:29" x14ac:dyDescent="0.25">
      <c r="A79" s="7" t="s">
        <v>29</v>
      </c>
      <c r="B79" s="8">
        <v>20</v>
      </c>
      <c r="C79" s="37">
        <v>46419</v>
      </c>
      <c r="D79" s="9">
        <v>2321.4262231249973</v>
      </c>
      <c r="E79" s="9">
        <v>2211.868660499998</v>
      </c>
      <c r="F79" s="9">
        <v>2106.4314947499975</v>
      </c>
      <c r="G79" s="9">
        <v>2023.4311682499983</v>
      </c>
      <c r="H79" s="9">
        <v>1953.7912149999979</v>
      </c>
      <c r="I79" s="9">
        <v>1949.9330713750005</v>
      </c>
      <c r="J79" s="9">
        <v>1845.4807557499998</v>
      </c>
      <c r="K79" s="9">
        <v>2093.5272992499995</v>
      </c>
      <c r="L79" s="9">
        <v>2445.6754557499999</v>
      </c>
      <c r="M79" s="9">
        <v>2747.5360331249963</v>
      </c>
      <c r="N79" s="9">
        <v>2976.701733874997</v>
      </c>
      <c r="O79" s="9">
        <v>3158.9954486249958</v>
      </c>
      <c r="P79" s="9">
        <v>3109.4687966250026</v>
      </c>
      <c r="Q79" s="9">
        <v>3164.8422152499993</v>
      </c>
      <c r="R79" s="9">
        <v>3344.6051368750009</v>
      </c>
      <c r="S79" s="9">
        <v>3395.2231614999951</v>
      </c>
      <c r="T79" s="9">
        <v>3293.9218809999988</v>
      </c>
      <c r="U79" s="9">
        <v>3207.7035407499975</v>
      </c>
      <c r="V79" s="9">
        <v>3407.0850718750012</v>
      </c>
      <c r="W79" s="9">
        <v>3346.0294679999975</v>
      </c>
      <c r="X79" s="9">
        <v>3183.0192149999971</v>
      </c>
      <c r="Y79" s="9">
        <v>2973.609361374999</v>
      </c>
      <c r="Z79" s="9">
        <v>2703.9901399999976</v>
      </c>
      <c r="AA79" s="9">
        <v>2482.7461896249997</v>
      </c>
      <c r="AB79" s="10">
        <f>SUM(D79:AA79)*B79</f>
        <v>1308940.8547449994</v>
      </c>
      <c r="AC79" s="11"/>
    </row>
    <row r="80" spans="1:29" x14ac:dyDescent="0.25">
      <c r="A80" s="7" t="s">
        <v>30</v>
      </c>
      <c r="B80" s="8">
        <v>4</v>
      </c>
      <c r="C80" s="38"/>
      <c r="D80" s="9">
        <v>2329.5240506249993</v>
      </c>
      <c r="E80" s="9">
        <v>2249.4961437499987</v>
      </c>
      <c r="F80" s="9">
        <v>2215.3265624999985</v>
      </c>
      <c r="G80" s="9">
        <v>2134.5219268749997</v>
      </c>
      <c r="H80" s="9">
        <v>2073.2088656249998</v>
      </c>
      <c r="I80" s="9">
        <v>2065.9564587499999</v>
      </c>
      <c r="J80" s="9">
        <v>2012.6423674999987</v>
      </c>
      <c r="K80" s="9">
        <v>2271.1124762499994</v>
      </c>
      <c r="L80" s="9">
        <v>2615.5577706249996</v>
      </c>
      <c r="M80" s="9">
        <v>2946.4298549999994</v>
      </c>
      <c r="N80" s="9">
        <v>3177.0203243749984</v>
      </c>
      <c r="O80" s="9">
        <v>3366.7409656249993</v>
      </c>
      <c r="P80" s="9">
        <v>3307.459838124998</v>
      </c>
      <c r="Q80" s="9">
        <v>3369.5405281249978</v>
      </c>
      <c r="R80" s="9">
        <v>3568.0790737500001</v>
      </c>
      <c r="S80" s="9">
        <v>3629.6986343749995</v>
      </c>
      <c r="T80" s="9">
        <v>3522.959475624999</v>
      </c>
      <c r="U80" s="9">
        <v>3387.4102243750003</v>
      </c>
      <c r="V80" s="9">
        <v>3588.7478118749987</v>
      </c>
      <c r="W80" s="9">
        <v>3571.4664962499983</v>
      </c>
      <c r="X80" s="9">
        <v>3454.4495568749999</v>
      </c>
      <c r="Y80" s="9">
        <v>3203.1143118749987</v>
      </c>
      <c r="Z80" s="9">
        <v>2886.0090662499988</v>
      </c>
      <c r="AA80" s="9">
        <v>2579.4271699999999</v>
      </c>
      <c r="AB80" s="10">
        <f t="shared" ref="AB80:AB81" si="19">SUM(D80:AA80)*B80</f>
        <v>278103.59981999989</v>
      </c>
      <c r="AC80" s="11"/>
    </row>
    <row r="81" spans="1:29" x14ac:dyDescent="0.25">
      <c r="A81" s="7" t="s">
        <v>31</v>
      </c>
      <c r="B81" s="8">
        <v>4</v>
      </c>
      <c r="C81" s="38"/>
      <c r="D81" s="9">
        <v>2506.1519531249996</v>
      </c>
      <c r="E81" s="9">
        <v>2393.5662718750009</v>
      </c>
      <c r="F81" s="9">
        <v>2306.9540775000005</v>
      </c>
      <c r="G81" s="9">
        <v>2291.2072143750001</v>
      </c>
      <c r="H81" s="9">
        <v>2262.9888362499996</v>
      </c>
      <c r="I81" s="9">
        <v>2311.3174793750004</v>
      </c>
      <c r="J81" s="9">
        <v>2289.7178899999999</v>
      </c>
      <c r="K81" s="9">
        <v>2574.9972681249992</v>
      </c>
      <c r="L81" s="9">
        <v>2910.258894999999</v>
      </c>
      <c r="M81" s="9">
        <v>3231.4863968749996</v>
      </c>
      <c r="N81" s="9">
        <v>3510.4043324999984</v>
      </c>
      <c r="O81" s="9">
        <v>3692.6302399999995</v>
      </c>
      <c r="P81" s="9">
        <v>3643.5865862499995</v>
      </c>
      <c r="Q81" s="9">
        <v>3680.6754737499987</v>
      </c>
      <c r="R81" s="9">
        <v>3881.2766437499995</v>
      </c>
      <c r="S81" s="9">
        <v>3922.6353256249986</v>
      </c>
      <c r="T81" s="9">
        <v>3807.1851349999988</v>
      </c>
      <c r="U81" s="9">
        <v>3698.7865124999989</v>
      </c>
      <c r="V81" s="9">
        <v>3902.3017343749989</v>
      </c>
      <c r="W81" s="9">
        <v>3848.9311181249996</v>
      </c>
      <c r="X81" s="9">
        <v>3659.0598237499989</v>
      </c>
      <c r="Y81" s="9">
        <v>3451.051643124998</v>
      </c>
      <c r="Z81" s="9">
        <v>3115.7193512499989</v>
      </c>
      <c r="AA81" s="9">
        <v>2803.1239199999991</v>
      </c>
      <c r="AB81" s="10">
        <f t="shared" si="19"/>
        <v>302784.05648999993</v>
      </c>
      <c r="AC81" s="4">
        <f>+AB79+AB80+AB81</f>
        <v>1889828.5110549992</v>
      </c>
    </row>
    <row r="82" spans="1:29" x14ac:dyDescent="0.25">
      <c r="A82" s="23"/>
    </row>
    <row r="83" spans="1:29" x14ac:dyDescent="0.25">
      <c r="A83" s="7" t="s">
        <v>29</v>
      </c>
      <c r="B83" s="8">
        <v>20</v>
      </c>
      <c r="C83" s="37">
        <v>46447</v>
      </c>
      <c r="D83" s="9">
        <v>150</v>
      </c>
      <c r="E83" s="9">
        <v>150</v>
      </c>
      <c r="F83" s="9">
        <v>150</v>
      </c>
      <c r="G83" s="9">
        <v>150</v>
      </c>
      <c r="H83" s="9">
        <v>150</v>
      </c>
      <c r="I83" s="9">
        <v>150</v>
      </c>
      <c r="J83" s="9">
        <v>150</v>
      </c>
      <c r="K83" s="9">
        <v>150</v>
      </c>
      <c r="L83" s="9">
        <v>150</v>
      </c>
      <c r="M83" s="9">
        <v>298.78088900000148</v>
      </c>
      <c r="N83" s="9">
        <v>500</v>
      </c>
      <c r="O83" s="9">
        <v>700</v>
      </c>
      <c r="P83" s="9">
        <v>600</v>
      </c>
      <c r="Q83" s="9">
        <v>600</v>
      </c>
      <c r="R83" s="9">
        <v>800</v>
      </c>
      <c r="S83" s="9">
        <v>800</v>
      </c>
      <c r="T83" s="9">
        <v>800</v>
      </c>
      <c r="U83" s="9">
        <v>800</v>
      </c>
      <c r="V83" s="9">
        <v>800</v>
      </c>
      <c r="W83" s="9">
        <v>800</v>
      </c>
      <c r="X83" s="9">
        <v>800</v>
      </c>
      <c r="Y83" s="9">
        <v>600</v>
      </c>
      <c r="Z83" s="9">
        <v>300</v>
      </c>
      <c r="AA83" s="9">
        <v>150</v>
      </c>
      <c r="AB83" s="10">
        <f>SUM(D83:AA83)*B83</f>
        <v>213975.61778000003</v>
      </c>
      <c r="AC83" s="11"/>
    </row>
    <row r="84" spans="1:29" x14ac:dyDescent="0.25">
      <c r="A84" s="7" t="s">
        <v>30</v>
      </c>
      <c r="B84" s="8">
        <v>4</v>
      </c>
      <c r="C84" s="38"/>
      <c r="D84" s="9">
        <v>150</v>
      </c>
      <c r="E84" s="9">
        <v>150</v>
      </c>
      <c r="F84" s="9">
        <v>150</v>
      </c>
      <c r="G84" s="9">
        <v>150</v>
      </c>
      <c r="H84" s="9">
        <v>150</v>
      </c>
      <c r="I84" s="9">
        <v>150</v>
      </c>
      <c r="J84" s="9">
        <v>150</v>
      </c>
      <c r="K84" s="9">
        <v>150</v>
      </c>
      <c r="L84" s="9">
        <v>207.55563250000068</v>
      </c>
      <c r="M84" s="9">
        <v>460.77461250000124</v>
      </c>
      <c r="N84" s="9">
        <v>667.61942375000035</v>
      </c>
      <c r="O84" s="9">
        <v>879.58405250000033</v>
      </c>
      <c r="P84" s="9">
        <v>888.63424749999922</v>
      </c>
      <c r="Q84" s="9">
        <v>900</v>
      </c>
      <c r="R84" s="9">
        <v>1100</v>
      </c>
      <c r="S84" s="9">
        <v>1100</v>
      </c>
      <c r="T84" s="9">
        <v>1100</v>
      </c>
      <c r="U84" s="9">
        <v>997.85169062499972</v>
      </c>
      <c r="V84" s="9">
        <v>1213.8056850000012</v>
      </c>
      <c r="W84" s="9">
        <v>1178.1371893750002</v>
      </c>
      <c r="X84" s="9">
        <v>993.11109375000069</v>
      </c>
      <c r="Y84" s="9">
        <v>758.94858562500031</v>
      </c>
      <c r="Z84" s="9">
        <v>450.20897875000082</v>
      </c>
      <c r="AA84" s="9">
        <v>225.29687000000013</v>
      </c>
      <c r="AB84" s="10">
        <f t="shared" ref="AB84:AB85" si="20">SUM(D84:AA84)*B84</f>
        <v>57286.112247500008</v>
      </c>
      <c r="AC84" s="11"/>
    </row>
    <row r="85" spans="1:29" x14ac:dyDescent="0.25">
      <c r="A85" s="7" t="s">
        <v>31</v>
      </c>
      <c r="B85" s="8">
        <v>7</v>
      </c>
      <c r="C85" s="38"/>
      <c r="D85" s="9">
        <v>150</v>
      </c>
      <c r="E85" s="9">
        <v>150</v>
      </c>
      <c r="F85" s="9">
        <v>150</v>
      </c>
      <c r="G85" s="9">
        <v>150</v>
      </c>
      <c r="H85" s="9">
        <v>150</v>
      </c>
      <c r="I85" s="9">
        <v>150</v>
      </c>
      <c r="J85" s="9">
        <v>150</v>
      </c>
      <c r="K85" s="9">
        <v>196.27299250000033</v>
      </c>
      <c r="L85" s="9">
        <v>554.9807875000015</v>
      </c>
      <c r="M85" s="9">
        <v>854.59880000000067</v>
      </c>
      <c r="N85" s="9">
        <v>1000</v>
      </c>
      <c r="O85" s="9">
        <v>1000</v>
      </c>
      <c r="P85" s="9">
        <v>1000</v>
      </c>
      <c r="Q85" s="9">
        <v>1238.0559599999999</v>
      </c>
      <c r="R85" s="9">
        <v>1431.9564949999999</v>
      </c>
      <c r="S85" s="9">
        <v>1462.5648325</v>
      </c>
      <c r="T85" s="9">
        <v>1328.7949675</v>
      </c>
      <c r="U85" s="9">
        <v>1231.6586374999999</v>
      </c>
      <c r="V85" s="9">
        <v>1451.1744925</v>
      </c>
      <c r="W85" s="9">
        <v>1375.7797399999999</v>
      </c>
      <c r="X85" s="9">
        <v>1174.067605</v>
      </c>
      <c r="Y85" s="9">
        <v>978.56467750000047</v>
      </c>
      <c r="Z85" s="9">
        <v>629.35747750000155</v>
      </c>
      <c r="AA85" s="9">
        <v>338.46236750000025</v>
      </c>
      <c r="AB85" s="10">
        <f t="shared" si="20"/>
        <v>128074.02882750003</v>
      </c>
      <c r="AC85" s="4">
        <f>+AB83+AB84+AB85</f>
        <v>399335.75885500002</v>
      </c>
    </row>
    <row r="86" spans="1:29" x14ac:dyDescent="0.25">
      <c r="A86" s="23"/>
    </row>
    <row r="87" spans="1:29" x14ac:dyDescent="0.25">
      <c r="A87" s="7" t="s">
        <v>29</v>
      </c>
      <c r="B87" s="8">
        <v>22</v>
      </c>
      <c r="C87" s="37">
        <v>46478</v>
      </c>
      <c r="D87" s="9">
        <v>1153.6315202045453</v>
      </c>
      <c r="E87" s="9">
        <v>1120.1853595227267</v>
      </c>
      <c r="F87" s="9">
        <v>1095.9858620454543</v>
      </c>
      <c r="G87" s="9">
        <v>1080.9993008181818</v>
      </c>
      <c r="H87" s="9">
        <v>1074.6505235454542</v>
      </c>
      <c r="I87" s="9">
        <v>1084.3149951136365</v>
      </c>
      <c r="J87" s="9">
        <v>1095.0800537727273</v>
      </c>
      <c r="K87" s="9">
        <v>1166.7825874090904</v>
      </c>
      <c r="L87" s="9">
        <v>1249.4520321818172</v>
      </c>
      <c r="M87" s="9">
        <v>1319.1961268181813</v>
      </c>
      <c r="N87" s="9">
        <v>1373.5697902499996</v>
      </c>
      <c r="O87" s="9">
        <v>1420.0316497499998</v>
      </c>
      <c r="P87" s="9">
        <v>1416.7582733181816</v>
      </c>
      <c r="Q87" s="9">
        <v>1423.1230134545449</v>
      </c>
      <c r="R87" s="9">
        <v>1453.9204522499995</v>
      </c>
      <c r="S87" s="9">
        <v>1455.4694208409092</v>
      </c>
      <c r="T87" s="9">
        <v>1427.4720070227268</v>
      </c>
      <c r="U87" s="9">
        <v>1411.2695753863636</v>
      </c>
      <c r="V87" s="9">
        <v>1474.1147819999996</v>
      </c>
      <c r="W87" s="9">
        <v>1474.9190762727267</v>
      </c>
      <c r="X87" s="9">
        <v>1432.1800466590903</v>
      </c>
      <c r="Y87" s="9">
        <v>1367.9149097727268</v>
      </c>
      <c r="Z87" s="9">
        <v>1283.2685927727271</v>
      </c>
      <c r="AA87" s="9">
        <v>1208.2674287727268</v>
      </c>
      <c r="AB87" s="10">
        <f>SUM(D87:AA87)*B87</f>
        <v>683376.26235899981</v>
      </c>
      <c r="AC87" s="11"/>
    </row>
    <row r="88" spans="1:29" x14ac:dyDescent="0.25">
      <c r="A88" s="7" t="s">
        <v>30</v>
      </c>
      <c r="B88" s="8">
        <v>4</v>
      </c>
      <c r="C88" s="38"/>
      <c r="D88" s="9">
        <v>1145.7032212499998</v>
      </c>
      <c r="E88" s="9">
        <v>1124.3067491249994</v>
      </c>
      <c r="F88" s="9">
        <v>1100.4787027499997</v>
      </c>
      <c r="G88" s="9">
        <v>1081.8587744999995</v>
      </c>
      <c r="H88" s="9">
        <v>1069.5457500000002</v>
      </c>
      <c r="I88" s="9">
        <v>1073.0554484999993</v>
      </c>
      <c r="J88" s="9">
        <v>1081.4528681250004</v>
      </c>
      <c r="K88" s="9">
        <v>1161.0033356249996</v>
      </c>
      <c r="L88" s="9">
        <v>1257.502509375</v>
      </c>
      <c r="M88" s="9">
        <v>1326.8373457499993</v>
      </c>
      <c r="N88" s="9">
        <v>1380.3853034999993</v>
      </c>
      <c r="O88" s="9">
        <v>1419.2807553749999</v>
      </c>
      <c r="P88" s="9">
        <v>1410.8340854999997</v>
      </c>
      <c r="Q88" s="9">
        <v>1415.0160569999998</v>
      </c>
      <c r="R88" s="9">
        <v>1450.4464432499999</v>
      </c>
      <c r="S88" s="9">
        <v>1464.279348</v>
      </c>
      <c r="T88" s="9">
        <v>1440.1453893749995</v>
      </c>
      <c r="U88" s="9">
        <v>1422.7893172499998</v>
      </c>
      <c r="V88" s="9">
        <v>1478.1834112500001</v>
      </c>
      <c r="W88" s="9">
        <v>1476.0997728749999</v>
      </c>
      <c r="X88" s="9">
        <v>1429.9963072499995</v>
      </c>
      <c r="Y88" s="9">
        <v>1365.7126008749992</v>
      </c>
      <c r="Z88" s="9">
        <v>1281.82168275</v>
      </c>
      <c r="AA88" s="9">
        <v>1199.485686</v>
      </c>
      <c r="AB88" s="10">
        <f t="shared" ref="AB88:AB89" si="21">SUM(D88:AA88)*B88</f>
        <v>124224.88346099998</v>
      </c>
      <c r="AC88" s="11"/>
    </row>
    <row r="89" spans="1:29" x14ac:dyDescent="0.25">
      <c r="A89" s="7" t="s">
        <v>31</v>
      </c>
      <c r="B89" s="8">
        <v>4</v>
      </c>
      <c r="C89" s="38"/>
      <c r="D89" s="9">
        <v>1142.3486681249997</v>
      </c>
      <c r="E89" s="9">
        <v>1115.3441827500001</v>
      </c>
      <c r="F89" s="9">
        <v>1102.7815548749995</v>
      </c>
      <c r="G89" s="9">
        <v>1083.8648703749996</v>
      </c>
      <c r="H89" s="9">
        <v>1075.8643927499998</v>
      </c>
      <c r="I89" s="9">
        <v>1078.2604245000002</v>
      </c>
      <c r="J89" s="9">
        <v>1085.4674486249996</v>
      </c>
      <c r="K89" s="9">
        <v>1160.074363875</v>
      </c>
      <c r="L89" s="9">
        <v>1247.0160123749993</v>
      </c>
      <c r="M89" s="9">
        <v>1328.5784006249996</v>
      </c>
      <c r="N89" s="9">
        <v>1384.5803002499997</v>
      </c>
      <c r="O89" s="9">
        <v>1428.9569621249993</v>
      </c>
      <c r="P89" s="9">
        <v>1415.6811926249993</v>
      </c>
      <c r="Q89" s="9">
        <v>1415.8170179999997</v>
      </c>
      <c r="R89" s="9">
        <v>1445.0006707499997</v>
      </c>
      <c r="S89" s="9">
        <v>1455.2386589999996</v>
      </c>
      <c r="T89" s="9">
        <v>1438.6631857499997</v>
      </c>
      <c r="U89" s="9">
        <v>1418.5831694999997</v>
      </c>
      <c r="V89" s="9">
        <v>1477.7887582499998</v>
      </c>
      <c r="W89" s="9">
        <v>1474.9207593749998</v>
      </c>
      <c r="X89" s="9">
        <v>1431.7778212499998</v>
      </c>
      <c r="Y89" s="9">
        <v>1364.3239364999999</v>
      </c>
      <c r="Z89" s="9">
        <v>1281.0918146249996</v>
      </c>
      <c r="AA89" s="9">
        <v>1205.7049488749999</v>
      </c>
      <c r="AB89" s="10">
        <f t="shared" si="21"/>
        <v>124230.91806299996</v>
      </c>
      <c r="AC89" s="4">
        <f>+AB87+AB88+AB89</f>
        <v>931832.0638829997</v>
      </c>
    </row>
    <row r="90" spans="1:29" x14ac:dyDescent="0.25">
      <c r="A90" s="23"/>
    </row>
    <row r="91" spans="1:29" x14ac:dyDescent="0.25">
      <c r="A91" s="7" t="s">
        <v>29</v>
      </c>
      <c r="B91" s="8">
        <v>19</v>
      </c>
      <c r="C91" s="37">
        <v>46508</v>
      </c>
      <c r="D91" s="9">
        <v>1160.4517602631577</v>
      </c>
      <c r="E91" s="9">
        <v>1130.2817123684208</v>
      </c>
      <c r="F91" s="9">
        <v>1107.6652633421054</v>
      </c>
      <c r="G91" s="9">
        <v>1090.7937638684207</v>
      </c>
      <c r="H91" s="9">
        <v>1083.2670041052634</v>
      </c>
      <c r="I91" s="9">
        <v>1090.8322049210528</v>
      </c>
      <c r="J91" s="9">
        <v>1101.1071158684208</v>
      </c>
      <c r="K91" s="9">
        <v>1175.2864603421049</v>
      </c>
      <c r="L91" s="9">
        <v>1261.7799086052628</v>
      </c>
      <c r="M91" s="9">
        <v>1333.6494851842099</v>
      </c>
      <c r="N91" s="9">
        <v>1389.1059044210524</v>
      </c>
      <c r="O91" s="9">
        <v>1430.5012784999999</v>
      </c>
      <c r="P91" s="9">
        <v>1422.7869036315788</v>
      </c>
      <c r="Q91" s="9">
        <v>1427.7679704473676</v>
      </c>
      <c r="R91" s="9">
        <v>1460.4063599999999</v>
      </c>
      <c r="S91" s="9">
        <v>1467.220918578947</v>
      </c>
      <c r="T91" s="9">
        <v>1441.0776444473677</v>
      </c>
      <c r="U91" s="9">
        <v>1420.9752209210519</v>
      </c>
      <c r="V91" s="9">
        <v>1476.7682248421052</v>
      </c>
      <c r="W91" s="9">
        <v>1472.5433006052635</v>
      </c>
      <c r="X91" s="9">
        <v>1427.552867447368</v>
      </c>
      <c r="Y91" s="9">
        <v>1364.4023869736839</v>
      </c>
      <c r="Z91" s="9">
        <v>1283.9588712631576</v>
      </c>
      <c r="AA91" s="9">
        <v>1212.8183986578942</v>
      </c>
      <c r="AB91" s="10">
        <f>SUM(D91:AA91)*B91</f>
        <v>593427.01766249991</v>
      </c>
      <c r="AC91" s="11"/>
    </row>
    <row r="92" spans="1:29" x14ac:dyDescent="0.25">
      <c r="A92" s="7" t="s">
        <v>30</v>
      </c>
      <c r="B92" s="8">
        <v>5</v>
      </c>
      <c r="C92" s="38"/>
      <c r="D92" s="9">
        <v>1164.5720519999995</v>
      </c>
      <c r="E92" s="9">
        <v>1130.2455171000001</v>
      </c>
      <c r="F92" s="9">
        <v>1107.0547151999999</v>
      </c>
      <c r="G92" s="9">
        <v>1093.2277040999998</v>
      </c>
      <c r="H92" s="9">
        <v>1092.2847222</v>
      </c>
      <c r="I92" s="9">
        <v>1097.2404723</v>
      </c>
      <c r="J92" s="9">
        <v>1107.7950155999997</v>
      </c>
      <c r="K92" s="9">
        <v>1179.9688698</v>
      </c>
      <c r="L92" s="9">
        <v>1261.1636141999998</v>
      </c>
      <c r="M92" s="9">
        <v>1330.4091611999993</v>
      </c>
      <c r="N92" s="9">
        <v>1384.8574004999991</v>
      </c>
      <c r="O92" s="9">
        <v>1435.8914282999995</v>
      </c>
      <c r="P92" s="9">
        <v>1430.0099246999998</v>
      </c>
      <c r="Q92" s="9">
        <v>1433.7675975000002</v>
      </c>
      <c r="R92" s="9">
        <v>1456.5728456999996</v>
      </c>
      <c r="S92" s="9">
        <v>1454.9818184999995</v>
      </c>
      <c r="T92" s="9">
        <v>1425.8240891999994</v>
      </c>
      <c r="U92" s="9">
        <v>1410.4361061</v>
      </c>
      <c r="V92" s="9">
        <v>1477.1203754999997</v>
      </c>
      <c r="W92" s="9">
        <v>1473.770491199999</v>
      </c>
      <c r="X92" s="9">
        <v>1428.2033114999995</v>
      </c>
      <c r="Y92" s="9">
        <v>1362.7303157999995</v>
      </c>
      <c r="Z92" s="9">
        <v>1282.3444094999995</v>
      </c>
      <c r="AA92" s="9">
        <v>1207.8929373000001</v>
      </c>
      <c r="AB92" s="10">
        <f t="shared" ref="AB92:AB93" si="22">SUM(D92:AA92)*B92</f>
        <v>156141.824475</v>
      </c>
      <c r="AC92" s="11"/>
    </row>
    <row r="93" spans="1:29" x14ac:dyDescent="0.25">
      <c r="A93" s="7" t="s">
        <v>31</v>
      </c>
      <c r="B93" s="8">
        <v>7</v>
      </c>
      <c r="C93" s="38"/>
      <c r="D93" s="9">
        <v>1147.7730750000001</v>
      </c>
      <c r="E93" s="9">
        <v>1125.3790275000001</v>
      </c>
      <c r="F93" s="9">
        <v>1106.8507019999997</v>
      </c>
      <c r="G93" s="9">
        <v>1094.5744049999994</v>
      </c>
      <c r="H93" s="9">
        <v>1089.0546089999998</v>
      </c>
      <c r="I93" s="9">
        <v>1103.9098905000001</v>
      </c>
      <c r="J93" s="9">
        <v>1116.3808154999997</v>
      </c>
      <c r="K93" s="9">
        <v>1189.8436889999994</v>
      </c>
      <c r="L93" s="9">
        <v>1275.9132569999992</v>
      </c>
      <c r="M93" s="9">
        <v>1343.4232094999998</v>
      </c>
      <c r="N93" s="9">
        <v>1393.1945175000001</v>
      </c>
      <c r="O93" s="9">
        <v>1436.9938844999997</v>
      </c>
      <c r="P93" s="9">
        <v>1436.6273354999994</v>
      </c>
      <c r="Q93" s="9">
        <v>1440.1178954999996</v>
      </c>
      <c r="R93" s="9">
        <v>1467.2542709999998</v>
      </c>
      <c r="S93" s="9">
        <v>1463.379441</v>
      </c>
      <c r="T93" s="9">
        <v>1431.6812069999996</v>
      </c>
      <c r="U93" s="9">
        <v>1410.1030484999992</v>
      </c>
      <c r="V93" s="9">
        <v>1467.1530869999997</v>
      </c>
      <c r="W93" s="9">
        <v>1468.2709724999995</v>
      </c>
      <c r="X93" s="9">
        <v>1423.4451179999996</v>
      </c>
      <c r="Y93" s="9">
        <v>1358.5702379999993</v>
      </c>
      <c r="Z93" s="9">
        <v>1271.400318</v>
      </c>
      <c r="AA93" s="9">
        <v>1196.7561224999999</v>
      </c>
      <c r="AB93" s="10">
        <f t="shared" si="22"/>
        <v>218806.35095549995</v>
      </c>
      <c r="AC93" s="4">
        <f>+AB91+AB92+AB93</f>
        <v>968375.19309299986</v>
      </c>
    </row>
    <row r="94" spans="1:29" x14ac:dyDescent="0.25">
      <c r="A94" s="23"/>
    </row>
    <row r="95" spans="1:29" x14ac:dyDescent="0.25">
      <c r="A95" s="7" t="s">
        <v>29</v>
      </c>
      <c r="B95" s="8">
        <v>21</v>
      </c>
      <c r="C95" s="37">
        <v>46539</v>
      </c>
      <c r="D95" s="9">
        <v>1156.6725525000002</v>
      </c>
      <c r="E95" s="9">
        <v>1128.6049304999997</v>
      </c>
      <c r="F95" s="9">
        <v>1107.0997324999998</v>
      </c>
      <c r="G95" s="9">
        <v>1092.6975579999998</v>
      </c>
      <c r="H95" s="9">
        <v>1088.1731764999995</v>
      </c>
      <c r="I95" s="9">
        <v>1101.4479030000002</v>
      </c>
      <c r="J95" s="9">
        <v>1115.7435264999995</v>
      </c>
      <c r="K95" s="9">
        <v>1190.4275074999996</v>
      </c>
      <c r="L95" s="9">
        <v>1274.6150774999996</v>
      </c>
      <c r="M95" s="9">
        <v>1344.041205999999</v>
      </c>
      <c r="N95" s="9">
        <v>1398.5183099999995</v>
      </c>
      <c r="O95" s="9">
        <v>1444.3928489999998</v>
      </c>
      <c r="P95" s="9">
        <v>1441.4361254999994</v>
      </c>
      <c r="Q95" s="9">
        <v>1446.3870504999995</v>
      </c>
      <c r="R95" s="9">
        <v>1475.1850039999999</v>
      </c>
      <c r="S95" s="9">
        <v>1474.7453289999994</v>
      </c>
      <c r="T95" s="9">
        <v>1445.8594349999994</v>
      </c>
      <c r="U95" s="9">
        <v>1427.0126794999996</v>
      </c>
      <c r="V95" s="9">
        <v>1486.5487045</v>
      </c>
      <c r="W95" s="9">
        <v>1484.2573509999993</v>
      </c>
      <c r="X95" s="9">
        <v>1438.1916709999996</v>
      </c>
      <c r="Y95" s="9">
        <v>1369.7868239999998</v>
      </c>
      <c r="Z95" s="9">
        <v>1282.7613219999994</v>
      </c>
      <c r="AA95" s="9">
        <v>1208.4787530000003</v>
      </c>
      <c r="AB95" s="10">
        <f>SUM(D95:AA95)*B95</f>
        <v>659884.7761484998</v>
      </c>
      <c r="AC95" s="11"/>
    </row>
    <row r="96" spans="1:29" x14ac:dyDescent="0.25">
      <c r="A96" s="7" t="s">
        <v>30</v>
      </c>
      <c r="B96" s="8">
        <v>4</v>
      </c>
      <c r="C96" s="38"/>
      <c r="D96" s="9">
        <v>1150.4565896249997</v>
      </c>
      <c r="E96" s="9">
        <v>1118.5505598749996</v>
      </c>
      <c r="F96" s="9">
        <v>1100.3255287499996</v>
      </c>
      <c r="G96" s="9">
        <v>1095.5571847499996</v>
      </c>
      <c r="H96" s="9">
        <v>1092.3777060000002</v>
      </c>
      <c r="I96" s="9">
        <v>1104.0388983749999</v>
      </c>
      <c r="J96" s="9">
        <v>1111.9675244999999</v>
      </c>
      <c r="K96" s="9">
        <v>1187.1837180000002</v>
      </c>
      <c r="L96" s="9">
        <v>1272.3060971249997</v>
      </c>
      <c r="M96" s="9">
        <v>1345.2525187499996</v>
      </c>
      <c r="N96" s="9">
        <v>1400.8207421249999</v>
      </c>
      <c r="O96" s="9">
        <v>1439.1540948749998</v>
      </c>
      <c r="P96" s="9">
        <v>1432.5062876249995</v>
      </c>
      <c r="Q96" s="9">
        <v>1441.5898061249991</v>
      </c>
      <c r="R96" s="9">
        <v>1482.6825903749996</v>
      </c>
      <c r="S96" s="9">
        <v>1482.3671598749997</v>
      </c>
      <c r="T96" s="9">
        <v>1453.4121944999997</v>
      </c>
      <c r="U96" s="9">
        <v>1426.79096175</v>
      </c>
      <c r="V96" s="9">
        <v>1481.4634616249996</v>
      </c>
      <c r="W96" s="9">
        <v>1478.7705397499994</v>
      </c>
      <c r="X96" s="9">
        <v>1434.4863434999997</v>
      </c>
      <c r="Y96" s="9">
        <v>1378.8186063749999</v>
      </c>
      <c r="Z96" s="9">
        <v>1295.3613644999996</v>
      </c>
      <c r="AA96" s="9">
        <v>1219.0686768750002</v>
      </c>
      <c r="AB96" s="10">
        <f t="shared" ref="AB96:AB97" si="23">SUM(D96:AA96)*B96</f>
        <v>125701.2366225</v>
      </c>
      <c r="AC96" s="11"/>
    </row>
    <row r="97" spans="1:29" x14ac:dyDescent="0.25">
      <c r="A97" s="7" t="s">
        <v>31</v>
      </c>
      <c r="B97" s="8">
        <v>5</v>
      </c>
      <c r="C97" s="38"/>
      <c r="D97" s="9">
        <v>1150.1919092999997</v>
      </c>
      <c r="E97" s="9">
        <v>1114.1461652999997</v>
      </c>
      <c r="F97" s="9">
        <v>1089.7598333999995</v>
      </c>
      <c r="G97" s="9">
        <v>1080.0881300999999</v>
      </c>
      <c r="H97" s="9">
        <v>1081.7446773000001</v>
      </c>
      <c r="I97" s="9">
        <v>1090.7189117999997</v>
      </c>
      <c r="J97" s="9">
        <v>1104.2202632999997</v>
      </c>
      <c r="K97" s="9">
        <v>1181.1391997999999</v>
      </c>
      <c r="L97" s="9">
        <v>1272.6842729999998</v>
      </c>
      <c r="M97" s="9">
        <v>1349.3215217999996</v>
      </c>
      <c r="N97" s="9">
        <v>1407.6191135999998</v>
      </c>
      <c r="O97" s="9">
        <v>1453.6592342999993</v>
      </c>
      <c r="P97" s="9">
        <v>1444.8313424999997</v>
      </c>
      <c r="Q97" s="9">
        <v>1446.6359102999995</v>
      </c>
      <c r="R97" s="9">
        <v>1476.4192526999996</v>
      </c>
      <c r="S97" s="9">
        <v>1488.5412884999996</v>
      </c>
      <c r="T97" s="9">
        <v>1463.8583315999995</v>
      </c>
      <c r="U97" s="9">
        <v>1438.4956844999997</v>
      </c>
      <c r="V97" s="9">
        <v>1490.8433252999994</v>
      </c>
      <c r="W97" s="9">
        <v>1480.9694717999992</v>
      </c>
      <c r="X97" s="9">
        <v>1431.5806490999994</v>
      </c>
      <c r="Y97" s="9">
        <v>1368.1342688999994</v>
      </c>
      <c r="Z97" s="9">
        <v>1291.8758432999994</v>
      </c>
      <c r="AA97" s="9">
        <v>1212.8871951000001</v>
      </c>
      <c r="AB97" s="10">
        <f t="shared" si="23"/>
        <v>157051.82898299998</v>
      </c>
      <c r="AC97" s="4">
        <f>+AB95+AB96+AB97</f>
        <v>942637.84175399982</v>
      </c>
    </row>
    <row r="98" spans="1:29" x14ac:dyDescent="0.25">
      <c r="A98" s="23"/>
    </row>
    <row r="99" spans="1:29" x14ac:dyDescent="0.25">
      <c r="A99" s="7" t="s">
        <v>29</v>
      </c>
      <c r="B99" s="8">
        <v>20</v>
      </c>
      <c r="C99" s="37">
        <v>46569</v>
      </c>
      <c r="D99" s="9">
        <v>175.91389049999725</v>
      </c>
      <c r="E99" s="9">
        <v>150</v>
      </c>
      <c r="F99" s="9">
        <v>150</v>
      </c>
      <c r="G99" s="9">
        <v>150</v>
      </c>
      <c r="H99" s="9">
        <v>150</v>
      </c>
      <c r="I99" s="9">
        <v>150</v>
      </c>
      <c r="J99" s="9">
        <v>150</v>
      </c>
      <c r="K99" s="9">
        <v>150</v>
      </c>
      <c r="L99" s="9">
        <v>324.74125187500067</v>
      </c>
      <c r="M99" s="9">
        <v>645.4724267499987</v>
      </c>
      <c r="N99" s="9">
        <v>899.96503837499768</v>
      </c>
      <c r="O99" s="9">
        <v>1000</v>
      </c>
      <c r="P99" s="9">
        <v>1000</v>
      </c>
      <c r="Q99" s="9">
        <v>1000</v>
      </c>
      <c r="R99" s="9">
        <v>1000</v>
      </c>
      <c r="S99" s="9">
        <v>1300</v>
      </c>
      <c r="T99" s="9">
        <v>1200</v>
      </c>
      <c r="U99" s="9">
        <v>1100</v>
      </c>
      <c r="V99" s="9">
        <v>1300</v>
      </c>
      <c r="W99" s="9">
        <v>1290.1981385000017</v>
      </c>
      <c r="X99" s="9">
        <v>1136.3858095000032</v>
      </c>
      <c r="Y99" s="9">
        <v>930.44937949999894</v>
      </c>
      <c r="Z99" s="9">
        <v>648.44773387500209</v>
      </c>
      <c r="AA99" s="9">
        <v>394.21857762500076</v>
      </c>
      <c r="AB99" s="10">
        <f>SUM(D99:AA99)*B99</f>
        <v>327915.84493000002</v>
      </c>
      <c r="AC99" s="11"/>
    </row>
    <row r="100" spans="1:29" x14ac:dyDescent="0.25">
      <c r="A100" s="7" t="s">
        <v>30</v>
      </c>
      <c r="B100" s="8">
        <v>5</v>
      </c>
      <c r="C100" s="38"/>
      <c r="D100" s="9">
        <v>361.02714149999974</v>
      </c>
      <c r="E100" s="9">
        <v>234.63548350000019</v>
      </c>
      <c r="F100" s="9">
        <v>150</v>
      </c>
      <c r="G100" s="9">
        <v>150</v>
      </c>
      <c r="H100" s="9">
        <v>150</v>
      </c>
      <c r="I100" s="9">
        <v>150</v>
      </c>
      <c r="J100" s="9">
        <v>150</v>
      </c>
      <c r="K100" s="9">
        <v>316.78718949999893</v>
      </c>
      <c r="L100" s="9">
        <v>665.91049899999962</v>
      </c>
      <c r="M100" s="9">
        <v>966.23118149999846</v>
      </c>
      <c r="N100" s="9">
        <v>1216.3223364999994</v>
      </c>
      <c r="O100" s="9">
        <v>1200</v>
      </c>
      <c r="P100" s="9">
        <v>1200</v>
      </c>
      <c r="Q100" s="9">
        <v>1200</v>
      </c>
      <c r="R100" s="9">
        <v>1500</v>
      </c>
      <c r="S100" s="9">
        <v>1700</v>
      </c>
      <c r="T100" s="9">
        <v>1500</v>
      </c>
      <c r="U100" s="9">
        <v>1500</v>
      </c>
      <c r="V100" s="9">
        <v>1734.4437934999987</v>
      </c>
      <c r="W100" s="9">
        <v>1695.3711164999995</v>
      </c>
      <c r="X100" s="9">
        <v>1504.2816594999995</v>
      </c>
      <c r="Y100" s="9">
        <v>1209.4921540000005</v>
      </c>
      <c r="Z100" s="9">
        <v>855.69901050000044</v>
      </c>
      <c r="AA100" s="9">
        <v>567.11561749999873</v>
      </c>
      <c r="AB100" s="10">
        <f t="shared" ref="AB100:AB101" si="24">SUM(D100:AA100)*B100</f>
        <v>109386.58591499997</v>
      </c>
      <c r="AC100" s="11"/>
    </row>
    <row r="101" spans="1:29" x14ac:dyDescent="0.25">
      <c r="A101" s="7" t="s">
        <v>31</v>
      </c>
      <c r="B101" s="8">
        <v>6</v>
      </c>
      <c r="C101" s="38"/>
      <c r="D101" s="9">
        <v>367.10170999999991</v>
      </c>
      <c r="E101" s="9">
        <v>256.66681625000001</v>
      </c>
      <c r="F101" s="9">
        <v>150</v>
      </c>
      <c r="G101" s="9">
        <v>150</v>
      </c>
      <c r="H101" s="9">
        <v>150</v>
      </c>
      <c r="I101" s="9">
        <v>150</v>
      </c>
      <c r="J101" s="9">
        <v>150</v>
      </c>
      <c r="K101" s="9">
        <v>467.66420875000131</v>
      </c>
      <c r="L101" s="9">
        <v>829.88636875000066</v>
      </c>
      <c r="M101" s="9">
        <v>1151.1742737499999</v>
      </c>
      <c r="N101" s="9">
        <v>1370.0325837499995</v>
      </c>
      <c r="O101" s="9">
        <v>1400</v>
      </c>
      <c r="P101" s="9">
        <v>1400</v>
      </c>
      <c r="Q101" s="9">
        <v>1400</v>
      </c>
      <c r="R101" s="9">
        <v>1700</v>
      </c>
      <c r="S101" s="9">
        <v>1700</v>
      </c>
      <c r="T101" s="9">
        <v>1600</v>
      </c>
      <c r="U101" s="9">
        <v>1500</v>
      </c>
      <c r="V101" s="9">
        <v>1788.2412399999994</v>
      </c>
      <c r="W101" s="9">
        <v>1736.4924712499997</v>
      </c>
      <c r="X101" s="9">
        <v>1531.4096712499986</v>
      </c>
      <c r="Y101" s="9">
        <v>1237.0497137499997</v>
      </c>
      <c r="Z101" s="9">
        <v>877.88334500000019</v>
      </c>
      <c r="AA101" s="9">
        <v>569.03661875000034</v>
      </c>
      <c r="AB101" s="10">
        <f t="shared" si="24"/>
        <v>141795.83412750001</v>
      </c>
      <c r="AC101" s="4">
        <f>+AB99+AB100+AB101</f>
        <v>579098.26497250004</v>
      </c>
    </row>
    <row r="102" spans="1:29" x14ac:dyDescent="0.25">
      <c r="A102" s="23"/>
    </row>
    <row r="103" spans="1:29" x14ac:dyDescent="0.25">
      <c r="A103" s="7" t="s">
        <v>29</v>
      </c>
      <c r="B103" s="8">
        <v>21</v>
      </c>
      <c r="C103" s="37">
        <v>46600</v>
      </c>
      <c r="D103" s="9">
        <v>1184.020407</v>
      </c>
      <c r="E103" s="9">
        <v>1150.9763745</v>
      </c>
      <c r="F103" s="9">
        <v>1124.3375075000004</v>
      </c>
      <c r="G103" s="9">
        <v>1104.8176804999994</v>
      </c>
      <c r="H103" s="9">
        <v>1096.0565944999998</v>
      </c>
      <c r="I103" s="9">
        <v>1105.3647879999999</v>
      </c>
      <c r="J103" s="9">
        <v>1117.1452149999996</v>
      </c>
      <c r="K103" s="9">
        <v>1192.2889644999996</v>
      </c>
      <c r="L103" s="9">
        <v>1277.8235109999996</v>
      </c>
      <c r="M103" s="9">
        <v>1346.874296</v>
      </c>
      <c r="N103" s="9">
        <v>1398.8380404999998</v>
      </c>
      <c r="O103" s="9">
        <v>1443.6897309999995</v>
      </c>
      <c r="P103" s="9">
        <v>1441.6998604999999</v>
      </c>
      <c r="Q103" s="9">
        <v>1451.0771074999993</v>
      </c>
      <c r="R103" s="9">
        <v>1485.1692004999995</v>
      </c>
      <c r="S103" s="9">
        <v>1492.0629804999999</v>
      </c>
      <c r="T103" s="9">
        <v>1466.5785529999994</v>
      </c>
      <c r="U103" s="9">
        <v>1449.5084699999998</v>
      </c>
      <c r="V103" s="9">
        <v>1510.8571455000001</v>
      </c>
      <c r="W103" s="9">
        <v>1508.8101804999988</v>
      </c>
      <c r="X103" s="9">
        <v>1463.3387869999997</v>
      </c>
      <c r="Y103" s="9">
        <v>1397.4090445000002</v>
      </c>
      <c r="Z103" s="9">
        <v>1313.1965645</v>
      </c>
      <c r="AA103" s="9">
        <v>1237.0230384999995</v>
      </c>
      <c r="AB103" s="10">
        <f>SUM(D103:AA103)*B103</f>
        <v>666938.24489249988</v>
      </c>
      <c r="AC103" s="11"/>
    </row>
    <row r="104" spans="1:29" x14ac:dyDescent="0.25">
      <c r="A104" s="7" t="s">
        <v>30</v>
      </c>
      <c r="B104" s="8">
        <v>4</v>
      </c>
      <c r="C104" s="38"/>
      <c r="D104" s="9">
        <v>1172.1287891250004</v>
      </c>
      <c r="E104" s="9">
        <v>1145.1243089999998</v>
      </c>
      <c r="F104" s="9">
        <v>1132.5616758750002</v>
      </c>
      <c r="G104" s="9">
        <v>1113.6449913750002</v>
      </c>
      <c r="H104" s="9">
        <v>1105.6445163749995</v>
      </c>
      <c r="I104" s="9">
        <v>1108.0405455</v>
      </c>
      <c r="J104" s="9">
        <v>1115.2475696249994</v>
      </c>
      <c r="K104" s="9">
        <v>1189.8544848749998</v>
      </c>
      <c r="L104" s="9">
        <v>1276.796133375</v>
      </c>
      <c r="M104" s="9">
        <v>1358.3585268749994</v>
      </c>
      <c r="N104" s="9">
        <v>1414.3604212499995</v>
      </c>
      <c r="O104" s="9">
        <v>1458.73708575</v>
      </c>
      <c r="P104" s="9">
        <v>1445.4613162499991</v>
      </c>
      <c r="Q104" s="9">
        <v>1445.5971389999995</v>
      </c>
      <c r="R104" s="9">
        <v>1474.7807917499995</v>
      </c>
      <c r="S104" s="9">
        <v>1485.0187799999994</v>
      </c>
      <c r="T104" s="9">
        <v>1468.4433119999994</v>
      </c>
      <c r="U104" s="9">
        <v>1448.3632957499995</v>
      </c>
      <c r="V104" s="9">
        <v>1507.5688818749995</v>
      </c>
      <c r="W104" s="9">
        <v>1504.7008829999995</v>
      </c>
      <c r="X104" s="9">
        <v>1461.5579422499995</v>
      </c>
      <c r="Y104" s="9">
        <v>1394.1040601249997</v>
      </c>
      <c r="Z104" s="9">
        <v>1310.8719382499994</v>
      </c>
      <c r="AA104" s="9">
        <v>1235.4850698749997</v>
      </c>
      <c r="AB104" s="10">
        <f t="shared" ref="AB104:AB105" si="25">SUM(D104:AA104)*B104</f>
        <v>127089.80983649998</v>
      </c>
      <c r="AC104" s="11"/>
    </row>
    <row r="105" spans="1:29" x14ac:dyDescent="0.25">
      <c r="A105" s="7" t="s">
        <v>31</v>
      </c>
      <c r="B105" s="8">
        <v>5</v>
      </c>
      <c r="C105" s="38"/>
      <c r="D105" s="9">
        <v>1403.1698120999999</v>
      </c>
      <c r="E105" s="9">
        <v>1365.3997896000001</v>
      </c>
      <c r="F105" s="9">
        <v>1338.6406950000001</v>
      </c>
      <c r="G105" s="9">
        <v>1331.4834939000002</v>
      </c>
      <c r="H105" s="9">
        <v>1329.6833801999992</v>
      </c>
      <c r="I105" s="9">
        <v>1341.2831081999993</v>
      </c>
      <c r="J105" s="9">
        <v>1347.5041733999997</v>
      </c>
      <c r="K105" s="9">
        <v>1429.7977154999999</v>
      </c>
      <c r="L105" s="9">
        <v>1527.7301885999996</v>
      </c>
      <c r="M105" s="9">
        <v>1616.6257778999998</v>
      </c>
      <c r="N105" s="9">
        <v>1692.1072349999995</v>
      </c>
      <c r="O105" s="9">
        <v>1749.5465525999998</v>
      </c>
      <c r="P105" s="9">
        <v>1742.4328067999995</v>
      </c>
      <c r="Q105" s="9">
        <v>1746.2200560000001</v>
      </c>
      <c r="R105" s="9">
        <v>1785.3325286999998</v>
      </c>
      <c r="S105" s="9">
        <v>1788.4494536999991</v>
      </c>
      <c r="T105" s="9">
        <v>1758.8062001999997</v>
      </c>
      <c r="U105" s="9">
        <v>1740.8632142999995</v>
      </c>
      <c r="V105" s="9">
        <v>1809.3218786999996</v>
      </c>
      <c r="W105" s="9">
        <v>1805.2069874999997</v>
      </c>
      <c r="X105" s="9">
        <v>1748.4479816999992</v>
      </c>
      <c r="Y105" s="9">
        <v>1672.9030478999994</v>
      </c>
      <c r="Z105" s="9">
        <v>1569.6963218999999</v>
      </c>
      <c r="AA105" s="9">
        <v>1477.5048959999995</v>
      </c>
      <c r="AB105" s="10">
        <f t="shared" si="25"/>
        <v>190590.78647699996</v>
      </c>
      <c r="AC105" s="4">
        <f>+AB103+AB104+AB105</f>
        <v>984618.84120599984</v>
      </c>
    </row>
    <row r="106" spans="1:29" x14ac:dyDescent="0.25">
      <c r="A106" s="23"/>
    </row>
    <row r="107" spans="1:29" x14ac:dyDescent="0.25">
      <c r="A107" s="7" t="s">
        <v>29</v>
      </c>
      <c r="B107" s="8">
        <v>22</v>
      </c>
      <c r="C107" s="37">
        <v>46631</v>
      </c>
      <c r="D107" s="9">
        <v>1189.36524525</v>
      </c>
      <c r="E107" s="9">
        <v>1157.5863957954543</v>
      </c>
      <c r="F107" s="9">
        <v>1135.4206738636358</v>
      </c>
      <c r="G107" s="9">
        <v>1121.211742159091</v>
      </c>
      <c r="H107" s="9">
        <v>1115.7631093636364</v>
      </c>
      <c r="I107" s="9">
        <v>1122.2663955681819</v>
      </c>
      <c r="J107" s="9">
        <v>1131.2047496590903</v>
      </c>
      <c r="K107" s="9">
        <v>1204.3020584318183</v>
      </c>
      <c r="L107" s="9">
        <v>1290.008453522727</v>
      </c>
      <c r="M107" s="9">
        <v>1362.2056459772721</v>
      </c>
      <c r="N107" s="9">
        <v>1417.5440069318183</v>
      </c>
      <c r="O107" s="9">
        <v>1460.9547210681812</v>
      </c>
      <c r="P107" s="9">
        <v>1452.9100806818178</v>
      </c>
      <c r="Q107" s="9">
        <v>1456.4346724772722</v>
      </c>
      <c r="R107" s="9">
        <v>1486.7754595909091</v>
      </c>
      <c r="S107" s="9">
        <v>1491.7447955454545</v>
      </c>
      <c r="T107" s="9">
        <v>1466.058155386364</v>
      </c>
      <c r="U107" s="9">
        <v>1448.0557727045443</v>
      </c>
      <c r="V107" s="9">
        <v>1506.7846447499996</v>
      </c>
      <c r="W107" s="9">
        <v>1502.9517027954544</v>
      </c>
      <c r="X107" s="9">
        <v>1458.2566119545454</v>
      </c>
      <c r="Y107" s="9">
        <v>1396.5876315681817</v>
      </c>
      <c r="Z107" s="9">
        <v>1316.5607695227263</v>
      </c>
      <c r="AA107" s="9">
        <v>1243.9815555681816</v>
      </c>
      <c r="AB107" s="10">
        <f>SUM(D107:AA107)*B107</f>
        <v>702568.57110299985</v>
      </c>
      <c r="AC107" s="11"/>
    </row>
    <row r="108" spans="1:29" x14ac:dyDescent="0.25">
      <c r="A108" s="7" t="s">
        <v>30</v>
      </c>
      <c r="B108" s="8">
        <v>4</v>
      </c>
      <c r="C108" s="38"/>
      <c r="D108" s="9">
        <v>1187.0583637499994</v>
      </c>
      <c r="E108" s="9">
        <v>1156.3764449999999</v>
      </c>
      <c r="F108" s="9">
        <v>1130.2119832500002</v>
      </c>
      <c r="G108" s="9">
        <v>1114.7298487500002</v>
      </c>
      <c r="H108" s="9">
        <v>1108.4024962499998</v>
      </c>
      <c r="I108" s="9">
        <v>1127.1324854999993</v>
      </c>
      <c r="J108" s="9">
        <v>1137.0634747499998</v>
      </c>
      <c r="K108" s="9">
        <v>1207.8033896249999</v>
      </c>
      <c r="L108" s="9">
        <v>1287.3762929999994</v>
      </c>
      <c r="M108" s="9">
        <v>1353.1825046249996</v>
      </c>
      <c r="N108" s="9">
        <v>1405.8136181249993</v>
      </c>
      <c r="O108" s="9">
        <v>1456.3154313750001</v>
      </c>
      <c r="P108" s="9">
        <v>1462.4266964999997</v>
      </c>
      <c r="Q108" s="9">
        <v>1465.4265648749997</v>
      </c>
      <c r="R108" s="9">
        <v>1494.637213125</v>
      </c>
      <c r="S108" s="9">
        <v>1491.8227274999999</v>
      </c>
      <c r="T108" s="9">
        <v>1460.9235479999998</v>
      </c>
      <c r="U108" s="9">
        <v>1440.1267124999995</v>
      </c>
      <c r="V108" s="9">
        <v>1503.126190125</v>
      </c>
      <c r="W108" s="9">
        <v>1510.4178547499996</v>
      </c>
      <c r="X108" s="9">
        <v>1467.898467</v>
      </c>
      <c r="Y108" s="9">
        <v>1404.6260392499998</v>
      </c>
      <c r="Z108" s="9">
        <v>1317.3292151249998</v>
      </c>
      <c r="AA108" s="9">
        <v>1242.827404875</v>
      </c>
      <c r="AB108" s="10">
        <f t="shared" ref="AB108:AB109" si="26">SUM(D108:AA108)*B108</f>
        <v>127732.21987049998</v>
      </c>
      <c r="AC108" s="11"/>
    </row>
    <row r="109" spans="1:29" x14ac:dyDescent="0.25">
      <c r="A109" s="7" t="s">
        <v>31</v>
      </c>
      <c r="B109" s="8">
        <v>4</v>
      </c>
      <c r="C109" s="38"/>
      <c r="D109" s="9">
        <v>1187.0726647499996</v>
      </c>
      <c r="E109" s="9">
        <v>1157.5961171250001</v>
      </c>
      <c r="F109" s="9">
        <v>1135.1716136249997</v>
      </c>
      <c r="G109" s="9">
        <v>1113.1937774999997</v>
      </c>
      <c r="H109" s="9">
        <v>1105.0479431249996</v>
      </c>
      <c r="I109" s="9">
        <v>1118.16992175</v>
      </c>
      <c r="J109" s="9">
        <v>1139.3663268749997</v>
      </c>
      <c r="K109" s="9">
        <v>1209.809482875</v>
      </c>
      <c r="L109" s="9">
        <v>1293.6949409999997</v>
      </c>
      <c r="M109" s="9">
        <v>1358.3874806249996</v>
      </c>
      <c r="N109" s="9">
        <v>1409.8281986249995</v>
      </c>
      <c r="O109" s="9">
        <v>1455.3864569999996</v>
      </c>
      <c r="P109" s="9">
        <v>1451.9401994999998</v>
      </c>
      <c r="Q109" s="9">
        <v>1467.1676223750001</v>
      </c>
      <c r="R109" s="9">
        <v>1498.8322072499996</v>
      </c>
      <c r="S109" s="9">
        <v>1501.4989342499994</v>
      </c>
      <c r="T109" s="9">
        <v>1465.7706524999994</v>
      </c>
      <c r="U109" s="9">
        <v>1440.9276708749994</v>
      </c>
      <c r="V109" s="9">
        <v>1497.6804149999998</v>
      </c>
      <c r="W109" s="9">
        <v>1501.3771631250002</v>
      </c>
      <c r="X109" s="9">
        <v>1466.4162659999993</v>
      </c>
      <c r="Y109" s="9">
        <v>1400.4198914999997</v>
      </c>
      <c r="Z109" s="9">
        <v>1316.9345647499995</v>
      </c>
      <c r="AA109" s="9">
        <v>1241.6483939999998</v>
      </c>
      <c r="AB109" s="10">
        <f t="shared" si="26"/>
        <v>127733.355624</v>
      </c>
      <c r="AC109" s="4">
        <f>+AB107+AB108+AB109</f>
        <v>958034.14659749984</v>
      </c>
    </row>
    <row r="110" spans="1:29" x14ac:dyDescent="0.25">
      <c r="A110" s="23"/>
    </row>
    <row r="111" spans="1:29" x14ac:dyDescent="0.25">
      <c r="A111" s="7" t="s">
        <v>29</v>
      </c>
      <c r="B111" s="8">
        <v>20</v>
      </c>
      <c r="C111" s="37">
        <v>46661</v>
      </c>
      <c r="D111" s="9">
        <v>1505.7144926249994</v>
      </c>
      <c r="E111" s="9">
        <v>1423.2794782500023</v>
      </c>
      <c r="F111" s="9">
        <v>1351.5020023749985</v>
      </c>
      <c r="G111" s="9">
        <v>1289.2805099999996</v>
      </c>
      <c r="H111" s="9">
        <v>1220.6789236250015</v>
      </c>
      <c r="I111" s="9">
        <v>1210.2412936250012</v>
      </c>
      <c r="J111" s="9">
        <v>1095.911732999999</v>
      </c>
      <c r="K111" s="9">
        <v>1327.6100127499994</v>
      </c>
      <c r="L111" s="9">
        <v>1662.9103898750009</v>
      </c>
      <c r="M111" s="9">
        <v>1961.0302739999988</v>
      </c>
      <c r="N111" s="9">
        <v>2193.8007988750005</v>
      </c>
      <c r="O111" s="9">
        <v>2376.1028339999975</v>
      </c>
      <c r="P111" s="9">
        <v>2331.3565222500019</v>
      </c>
      <c r="Q111" s="9">
        <v>2391.2730117499987</v>
      </c>
      <c r="R111" s="9">
        <v>2567.9300202499999</v>
      </c>
      <c r="S111" s="9">
        <v>2587.7477018749996</v>
      </c>
      <c r="T111" s="9">
        <v>2463.3227779999988</v>
      </c>
      <c r="U111" s="9">
        <v>2364.6426903750016</v>
      </c>
      <c r="V111" s="9">
        <v>2568.6554731249998</v>
      </c>
      <c r="W111" s="9">
        <v>2530.6001533749986</v>
      </c>
      <c r="X111" s="9">
        <v>2384.5792398749982</v>
      </c>
      <c r="Y111" s="9">
        <v>2181.8837416250026</v>
      </c>
      <c r="Z111" s="9">
        <v>1897.4859242499997</v>
      </c>
      <c r="AA111" s="9">
        <v>1659.9574389999998</v>
      </c>
      <c r="AB111" s="10">
        <f>SUM(D111:AA111)*B111</f>
        <v>930949.94877499982</v>
      </c>
      <c r="AC111" s="11"/>
    </row>
    <row r="112" spans="1:29" x14ac:dyDescent="0.25">
      <c r="A112" s="7" t="s">
        <v>30</v>
      </c>
      <c r="B112" s="8">
        <v>5</v>
      </c>
      <c r="C112" s="38"/>
      <c r="D112" s="9">
        <v>1665.4087974999993</v>
      </c>
      <c r="E112" s="9">
        <v>1561.2333589999989</v>
      </c>
      <c r="F112" s="9">
        <v>1472.268472499999</v>
      </c>
      <c r="G112" s="9">
        <v>1432.7199284999997</v>
      </c>
      <c r="H112" s="9">
        <v>1419.6966350000002</v>
      </c>
      <c r="I112" s="9">
        <v>1430.5662805000002</v>
      </c>
      <c r="J112" s="9">
        <v>1411.6224254999997</v>
      </c>
      <c r="K112" s="9">
        <v>1703.5365829999992</v>
      </c>
      <c r="L112" s="9">
        <v>2072.9913575</v>
      </c>
      <c r="M112" s="9">
        <v>2346.2876500000002</v>
      </c>
      <c r="N112" s="9">
        <v>2571.4738280000001</v>
      </c>
      <c r="O112" s="9">
        <v>2748.8798329999991</v>
      </c>
      <c r="P112" s="9">
        <v>2686.4990039999993</v>
      </c>
      <c r="Q112" s="9">
        <v>2725.5518989999982</v>
      </c>
      <c r="R112" s="9">
        <v>2913.5915375000004</v>
      </c>
      <c r="S112" s="9">
        <v>2990.3469890000006</v>
      </c>
      <c r="T112" s="9">
        <v>2870.7269149999984</v>
      </c>
      <c r="U112" s="9">
        <v>2762.4162649999998</v>
      </c>
      <c r="V112" s="9">
        <v>2949.1179444999998</v>
      </c>
      <c r="W112" s="9">
        <v>2891.7966104999996</v>
      </c>
      <c r="X112" s="9">
        <v>2701.8558315</v>
      </c>
      <c r="Y112" s="9">
        <v>2471.7741404999997</v>
      </c>
      <c r="Z112" s="9">
        <v>2182.1459099999993</v>
      </c>
      <c r="AA112" s="9">
        <v>1887.5856264999993</v>
      </c>
      <c r="AB112" s="10">
        <f t="shared" ref="AB112:AB113" si="27">SUM(D112:AA112)*B112</f>
        <v>269350.46911499993</v>
      </c>
      <c r="AC112" s="11"/>
    </row>
    <row r="113" spans="1:29" x14ac:dyDescent="0.25">
      <c r="A113" s="7" t="s">
        <v>31</v>
      </c>
      <c r="B113" s="8">
        <v>6</v>
      </c>
      <c r="C113" s="38"/>
      <c r="D113" s="9">
        <v>1820.7242024999996</v>
      </c>
      <c r="E113" s="9">
        <v>1687.9144100000003</v>
      </c>
      <c r="F113" s="9">
        <v>1599.2659637499992</v>
      </c>
      <c r="G113" s="9">
        <v>1527.3318899999986</v>
      </c>
      <c r="H113" s="9">
        <v>1507.8557637499998</v>
      </c>
      <c r="I113" s="9">
        <v>1582.5896624999996</v>
      </c>
      <c r="J113" s="9">
        <v>1603.5567275000003</v>
      </c>
      <c r="K113" s="9">
        <v>1924.8905024999995</v>
      </c>
      <c r="L113" s="9">
        <v>2276.9038600000003</v>
      </c>
      <c r="M113" s="9">
        <v>2591.6889599999986</v>
      </c>
      <c r="N113" s="9">
        <v>2818.7766424999991</v>
      </c>
      <c r="O113" s="9">
        <v>3004.4274225000008</v>
      </c>
      <c r="P113" s="9">
        <v>2948.6523850000003</v>
      </c>
      <c r="Q113" s="9">
        <v>2951.3173987499995</v>
      </c>
      <c r="R113" s="9">
        <v>3127.1071387499996</v>
      </c>
      <c r="S113" s="9">
        <v>3190.2858049999995</v>
      </c>
      <c r="T113" s="9">
        <v>3112.1667499999985</v>
      </c>
      <c r="U113" s="9">
        <v>3015.7710537500006</v>
      </c>
      <c r="V113" s="9">
        <v>3251.70332375</v>
      </c>
      <c r="W113" s="9">
        <v>3182.5848950000009</v>
      </c>
      <c r="X113" s="9">
        <v>2966.1876387499988</v>
      </c>
      <c r="Y113" s="9">
        <v>2684.8243187500002</v>
      </c>
      <c r="Z113" s="9">
        <v>2333.9201024999993</v>
      </c>
      <c r="AA113" s="9">
        <v>2059.7863475000004</v>
      </c>
      <c r="AB113" s="10">
        <f t="shared" si="27"/>
        <v>352621.39898999996</v>
      </c>
      <c r="AC113" s="4">
        <f>+AB111+AB112+AB113</f>
        <v>1552921.8168799996</v>
      </c>
    </row>
    <row r="114" spans="1:29" x14ac:dyDescent="0.25">
      <c r="A114" s="23"/>
    </row>
    <row r="115" spans="1:29" x14ac:dyDescent="0.25">
      <c r="A115" s="7" t="s">
        <v>29</v>
      </c>
      <c r="B115" s="8">
        <v>20</v>
      </c>
      <c r="C115" s="37">
        <v>46692</v>
      </c>
      <c r="D115" s="9">
        <v>1190.4914542500001</v>
      </c>
      <c r="E115" s="9">
        <v>1158.1218169499998</v>
      </c>
      <c r="F115" s="9">
        <v>1133.9965066499999</v>
      </c>
      <c r="G115" s="9">
        <v>1121.1981521999996</v>
      </c>
      <c r="H115" s="9">
        <v>1118.2693467749996</v>
      </c>
      <c r="I115" s="9">
        <v>1130.7051556500001</v>
      </c>
      <c r="J115" s="9">
        <v>1143.5460167250003</v>
      </c>
      <c r="K115" s="9">
        <v>1219.0904885250002</v>
      </c>
      <c r="L115" s="9">
        <v>1306.0824950249998</v>
      </c>
      <c r="M115" s="9">
        <v>1381.6215141749999</v>
      </c>
      <c r="N115" s="9">
        <v>1439.8838516999995</v>
      </c>
      <c r="O115" s="9">
        <v>1484.2404790499995</v>
      </c>
      <c r="P115" s="9">
        <v>1479.1882496999997</v>
      </c>
      <c r="Q115" s="9">
        <v>1483.6951804499995</v>
      </c>
      <c r="R115" s="9">
        <v>1514.68720725</v>
      </c>
      <c r="S115" s="9">
        <v>1519.8781972499992</v>
      </c>
      <c r="T115" s="9">
        <v>1494.5776838999991</v>
      </c>
      <c r="U115" s="9">
        <v>1473.0511194000001</v>
      </c>
      <c r="V115" s="9">
        <v>1527.8873216249995</v>
      </c>
      <c r="W115" s="9">
        <v>1520.4338913749998</v>
      </c>
      <c r="X115" s="9">
        <v>1472.5168337249997</v>
      </c>
      <c r="Y115" s="9">
        <v>1407.1214293499997</v>
      </c>
      <c r="Z115" s="9">
        <v>1323.8697275999994</v>
      </c>
      <c r="AA115" s="9">
        <v>1249.6230074999994</v>
      </c>
      <c r="AB115" s="10">
        <f>SUM(D115:AA115)*B115</f>
        <v>645875.54253599991</v>
      </c>
      <c r="AC115" s="11"/>
    </row>
    <row r="116" spans="1:29" x14ac:dyDescent="0.25">
      <c r="A116" s="7" t="s">
        <v>30</v>
      </c>
      <c r="B116" s="8">
        <v>4</v>
      </c>
      <c r="C116" s="38"/>
      <c r="D116" s="9">
        <v>1202.0492006249997</v>
      </c>
      <c r="E116" s="9">
        <v>1168.9610677499995</v>
      </c>
      <c r="F116" s="9">
        <v>1144.5162986249998</v>
      </c>
      <c r="G116" s="9">
        <v>1123.1005642499995</v>
      </c>
      <c r="H116" s="9">
        <v>1113.1558646249996</v>
      </c>
      <c r="I116" s="9">
        <v>1121.3762962499995</v>
      </c>
      <c r="J116" s="9">
        <v>1136.9103007499998</v>
      </c>
      <c r="K116" s="9">
        <v>1221.50179725</v>
      </c>
      <c r="L116" s="9">
        <v>1310.2082568749993</v>
      </c>
      <c r="M116" s="9">
        <v>1384.1659597499993</v>
      </c>
      <c r="N116" s="9">
        <v>1436.3282744999997</v>
      </c>
      <c r="O116" s="9">
        <v>1482.4958111249998</v>
      </c>
      <c r="P116" s="9">
        <v>1477.2302842499994</v>
      </c>
      <c r="Q116" s="9">
        <v>1483.8417404999991</v>
      </c>
      <c r="R116" s="9">
        <v>1515.0726517499997</v>
      </c>
      <c r="S116" s="9">
        <v>1511.6960669999999</v>
      </c>
      <c r="T116" s="9">
        <v>1482.5957474999996</v>
      </c>
      <c r="U116" s="9">
        <v>1466.7004589999997</v>
      </c>
      <c r="V116" s="9">
        <v>1535.3623372499997</v>
      </c>
      <c r="W116" s="9">
        <v>1528.5056613749994</v>
      </c>
      <c r="X116" s="9">
        <v>1481.1652747499993</v>
      </c>
      <c r="Y116" s="9">
        <v>1408.62768375</v>
      </c>
      <c r="Z116" s="9">
        <v>1320.6092628749993</v>
      </c>
      <c r="AA116" s="9">
        <v>1245.4981743749995</v>
      </c>
      <c r="AB116" s="10">
        <f t="shared" ref="AB116:AB117" si="28">SUM(D116:AA116)*B116</f>
        <v>129206.70014699998</v>
      </c>
      <c r="AC116" s="11"/>
    </row>
    <row r="117" spans="1:29" x14ac:dyDescent="0.25">
      <c r="A117" s="7" t="s">
        <v>31</v>
      </c>
      <c r="B117" s="8">
        <v>6</v>
      </c>
      <c r="C117" s="38"/>
      <c r="D117" s="9">
        <v>1189.9638292499994</v>
      </c>
      <c r="E117" s="9">
        <v>1166.77148175</v>
      </c>
      <c r="F117" s="9">
        <v>1146.9396837499999</v>
      </c>
      <c r="G117" s="9">
        <v>1130.1627959999996</v>
      </c>
      <c r="H117" s="9">
        <v>1118.3225392499999</v>
      </c>
      <c r="I117" s="9">
        <v>1126.7272624999996</v>
      </c>
      <c r="J117" s="9">
        <v>1140.81179625</v>
      </c>
      <c r="K117" s="9">
        <v>1219.4048265000001</v>
      </c>
      <c r="L117" s="9">
        <v>1312.4847452499998</v>
      </c>
      <c r="M117" s="9">
        <v>1381.04005375</v>
      </c>
      <c r="N117" s="9">
        <v>1434.1066022499999</v>
      </c>
      <c r="O117" s="9">
        <v>1479.328004</v>
      </c>
      <c r="P117" s="9">
        <v>1474.3593952499996</v>
      </c>
      <c r="Q117" s="9">
        <v>1481.0104732499994</v>
      </c>
      <c r="R117" s="9">
        <v>1511.4472099999994</v>
      </c>
      <c r="S117" s="9">
        <v>1512.7640342499999</v>
      </c>
      <c r="T117" s="9">
        <v>1481.4507014999999</v>
      </c>
      <c r="U117" s="9">
        <v>1461.1075814999995</v>
      </c>
      <c r="V117" s="9">
        <v>1519.1312237499997</v>
      </c>
      <c r="W117" s="9">
        <v>1525.8544419999998</v>
      </c>
      <c r="X117" s="9">
        <v>1484.23414125</v>
      </c>
      <c r="Y117" s="9">
        <v>1417.157021</v>
      </c>
      <c r="Z117" s="9">
        <v>1329.2793219999994</v>
      </c>
      <c r="AA117" s="9">
        <v>1247.5293354999994</v>
      </c>
      <c r="AB117" s="10">
        <f t="shared" si="28"/>
        <v>193748.33101049994</v>
      </c>
      <c r="AC117" s="4">
        <f>+AB115+AB116+AB117</f>
        <v>968830.5736934999</v>
      </c>
    </row>
    <row r="118" spans="1:29" x14ac:dyDescent="0.25">
      <c r="A118" s="23"/>
    </row>
    <row r="119" spans="1:29" x14ac:dyDescent="0.25">
      <c r="A119" s="7" t="s">
        <v>29</v>
      </c>
      <c r="B119" s="8">
        <v>22</v>
      </c>
      <c r="C119" s="37">
        <v>46722</v>
      </c>
      <c r="D119" s="9">
        <v>1203.9946279772721</v>
      </c>
      <c r="E119" s="9">
        <v>1172.8847917499997</v>
      </c>
      <c r="F119" s="9">
        <v>1149.451173340909</v>
      </c>
      <c r="G119" s="9">
        <v>1131.0446084318182</v>
      </c>
      <c r="H119" s="9">
        <v>1121.9329799999996</v>
      </c>
      <c r="I119" s="9">
        <v>1131.9367466590902</v>
      </c>
      <c r="J119" s="9">
        <v>1144.0978953409094</v>
      </c>
      <c r="K119" s="9">
        <v>1220.9858019545454</v>
      </c>
      <c r="L119" s="9">
        <v>1307.3990212500003</v>
      </c>
      <c r="M119" s="9">
        <v>1378.8318036818173</v>
      </c>
      <c r="N119" s="9">
        <v>1433.7179978863633</v>
      </c>
      <c r="O119" s="9">
        <v>1481.0048576590907</v>
      </c>
      <c r="P119" s="9">
        <v>1479.4336915909089</v>
      </c>
      <c r="Q119" s="9">
        <v>1488.7194133636358</v>
      </c>
      <c r="R119" s="9">
        <v>1523.2963381363634</v>
      </c>
      <c r="S119" s="9">
        <v>1528.965133499999</v>
      </c>
      <c r="T119" s="9">
        <v>1502.7809799545448</v>
      </c>
      <c r="U119" s="9">
        <v>1481.3815518409083</v>
      </c>
      <c r="V119" s="9">
        <v>1539.1425195681813</v>
      </c>
      <c r="W119" s="9">
        <v>1536.1629312272726</v>
      </c>
      <c r="X119" s="9">
        <v>1490.4661112727272</v>
      </c>
      <c r="Y119" s="9">
        <v>1422.1180097727274</v>
      </c>
      <c r="Z119" s="9">
        <v>1336.7096576590902</v>
      </c>
      <c r="AA119" s="9">
        <v>1261.1934953863638</v>
      </c>
      <c r="AB119" s="10">
        <f>SUM(D119:AA119)*B119</f>
        <v>714288.34706249984</v>
      </c>
      <c r="AC119" s="11"/>
    </row>
    <row r="120" spans="1:29" x14ac:dyDescent="0.25">
      <c r="A120" s="7" t="s">
        <v>30</v>
      </c>
      <c r="B120" s="8">
        <v>4</v>
      </c>
      <c r="C120" s="38"/>
      <c r="D120" s="9">
        <v>1196.7956883750003</v>
      </c>
      <c r="E120" s="9">
        <v>1166.3895494999997</v>
      </c>
      <c r="F120" s="9">
        <v>1144.9021080000002</v>
      </c>
      <c r="G120" s="9">
        <v>1139.6947380000001</v>
      </c>
      <c r="H120" s="9">
        <v>1134.2470649999996</v>
      </c>
      <c r="I120" s="9">
        <v>1142.7857910000002</v>
      </c>
      <c r="J120" s="9">
        <v>1145.2278731249999</v>
      </c>
      <c r="K120" s="9">
        <v>1214.2887487500002</v>
      </c>
      <c r="L120" s="9">
        <v>1298.2460741249997</v>
      </c>
      <c r="M120" s="9">
        <v>1376.6525744999999</v>
      </c>
      <c r="N120" s="9">
        <v>1442.4811589999999</v>
      </c>
      <c r="O120" s="9">
        <v>1487.25634575</v>
      </c>
      <c r="P120" s="9">
        <v>1483.2786097499993</v>
      </c>
      <c r="Q120" s="9">
        <v>1488.785389875</v>
      </c>
      <c r="R120" s="9">
        <v>1522.0946212499994</v>
      </c>
      <c r="S120" s="9">
        <v>1523.7023576249994</v>
      </c>
      <c r="T120" s="9">
        <v>1497.5253194999996</v>
      </c>
      <c r="U120" s="9">
        <v>1477.9525976249997</v>
      </c>
      <c r="V120" s="9">
        <v>1533.0126446249997</v>
      </c>
      <c r="W120" s="9">
        <v>1529.5905187499993</v>
      </c>
      <c r="X120" s="9">
        <v>1483.9232572499996</v>
      </c>
      <c r="Y120" s="9">
        <v>1427.7196237499993</v>
      </c>
      <c r="Z120" s="9">
        <v>1342.4251653749998</v>
      </c>
      <c r="AA120" s="9">
        <v>1263.4470764999996</v>
      </c>
      <c r="AB120" s="10">
        <f t="shared" ref="AB120:AB121" si="29">SUM(D120:AA120)*B120</f>
        <v>129849.69958799999</v>
      </c>
      <c r="AC120" s="11"/>
    </row>
    <row r="121" spans="1:29" x14ac:dyDescent="0.25">
      <c r="A121" s="7" t="s">
        <v>31</v>
      </c>
      <c r="B121" s="8">
        <v>5</v>
      </c>
      <c r="C121" s="38"/>
      <c r="D121" s="9">
        <v>1210.4974854000002</v>
      </c>
      <c r="E121" s="9">
        <v>1172.1507419999998</v>
      </c>
      <c r="F121" s="9">
        <v>1146.0695294999996</v>
      </c>
      <c r="G121" s="9">
        <v>1133.0590068000001</v>
      </c>
      <c r="H121" s="9">
        <v>1133.7554528999999</v>
      </c>
      <c r="I121" s="9">
        <v>1139.1422553000002</v>
      </c>
      <c r="J121" s="9">
        <v>1148.0973944999996</v>
      </c>
      <c r="K121" s="9">
        <v>1215.6421031999998</v>
      </c>
      <c r="L121" s="9">
        <v>1298.0206595999998</v>
      </c>
      <c r="M121" s="9">
        <v>1370.0069858999996</v>
      </c>
      <c r="N121" s="9">
        <v>1425.6544679999997</v>
      </c>
      <c r="O121" s="9">
        <v>1478.7295424999993</v>
      </c>
      <c r="P121" s="9">
        <v>1476.5355129</v>
      </c>
      <c r="Q121" s="9">
        <v>1483.7241887999999</v>
      </c>
      <c r="R121" s="9">
        <v>1511.7189737999997</v>
      </c>
      <c r="S121" s="9">
        <v>1517.5433469</v>
      </c>
      <c r="T121" s="9">
        <v>1491.2720402999994</v>
      </c>
      <c r="U121" s="9">
        <v>1477.7893178999993</v>
      </c>
      <c r="V121" s="9">
        <v>1543.3450073999993</v>
      </c>
      <c r="W121" s="9">
        <v>1536.7316957999992</v>
      </c>
      <c r="X121" s="9">
        <v>1490.7441380999999</v>
      </c>
      <c r="Y121" s="9">
        <v>1426.4567582999998</v>
      </c>
      <c r="Z121" s="9">
        <v>1347.504207</v>
      </c>
      <c r="AA121" s="9">
        <v>1267.6285440000001</v>
      </c>
      <c r="AB121" s="10">
        <f t="shared" si="29"/>
        <v>162209.09678399994</v>
      </c>
      <c r="AC121" s="4">
        <f>+AB119+AB120+AB121</f>
        <v>1006347.1434344997</v>
      </c>
    </row>
    <row r="122" spans="1:29" x14ac:dyDescent="0.25">
      <c r="A122" s="5">
        <v>2028</v>
      </c>
      <c r="B122" s="5"/>
      <c r="C122" s="5"/>
      <c r="AB122" s="6"/>
      <c r="AC122" s="6"/>
    </row>
    <row r="123" spans="1:29" x14ac:dyDescent="0.25">
      <c r="A123" s="7" t="s">
        <v>29</v>
      </c>
      <c r="B123" s="8">
        <v>20</v>
      </c>
      <c r="C123" s="37">
        <v>46753</v>
      </c>
      <c r="D123" s="9">
        <v>3086.723369750001</v>
      </c>
      <c r="E123" s="9">
        <v>2926.7405843750016</v>
      </c>
      <c r="F123" s="9">
        <v>2812.5095697500014</v>
      </c>
      <c r="G123" s="9">
        <v>2742.8506508750002</v>
      </c>
      <c r="H123" s="9">
        <v>2718.8158201250003</v>
      </c>
      <c r="I123" s="9">
        <v>2755.263729875001</v>
      </c>
      <c r="J123" s="9">
        <v>2794.6470878750019</v>
      </c>
      <c r="K123" s="9">
        <v>3151.1252798750006</v>
      </c>
      <c r="L123" s="9">
        <v>3572.7165706250021</v>
      </c>
      <c r="M123" s="9">
        <v>3939.3774631250012</v>
      </c>
      <c r="N123" s="9">
        <v>4224.8063236250018</v>
      </c>
      <c r="O123" s="9">
        <v>4457.1609260000005</v>
      </c>
      <c r="P123" s="9">
        <v>4432.999683125001</v>
      </c>
      <c r="Q123" s="9">
        <v>4448.0333285000015</v>
      </c>
      <c r="R123" s="9">
        <v>4588.2176341249997</v>
      </c>
      <c r="S123" s="9">
        <v>4611.7011308750025</v>
      </c>
      <c r="T123" s="9">
        <v>4489.0769911250009</v>
      </c>
      <c r="U123" s="9">
        <v>4407.1053233750008</v>
      </c>
      <c r="V123" s="9">
        <v>4718.7278750000023</v>
      </c>
      <c r="W123" s="9">
        <v>4719.2892023749991</v>
      </c>
      <c r="X123" s="9">
        <v>4495.6337030000032</v>
      </c>
      <c r="Y123" s="9">
        <v>4177.0268191250016</v>
      </c>
      <c r="Z123" s="9">
        <v>3765.1051017500017</v>
      </c>
      <c r="AA123" s="9">
        <v>3381.8108836250017</v>
      </c>
      <c r="AB123" s="10">
        <f>SUM(D123:AA123)*B123</f>
        <v>1828349.3010375006</v>
      </c>
      <c r="AC123" s="11"/>
    </row>
    <row r="124" spans="1:29" x14ac:dyDescent="0.25">
      <c r="A124" s="7" t="s">
        <v>30</v>
      </c>
      <c r="B124" s="8">
        <v>5</v>
      </c>
      <c r="C124" s="38"/>
      <c r="D124" s="9">
        <v>3118.1899219999996</v>
      </c>
      <c r="E124" s="9">
        <v>2956.0211495000003</v>
      </c>
      <c r="F124" s="9">
        <v>2834.5504820000006</v>
      </c>
      <c r="G124" s="9">
        <v>2721.0828094999997</v>
      </c>
      <c r="H124" s="9">
        <v>2673.3925130000007</v>
      </c>
      <c r="I124" s="9">
        <v>2730.7061750000003</v>
      </c>
      <c r="J124" s="9">
        <v>2820.2678045000002</v>
      </c>
      <c r="K124" s="9">
        <v>3171.6347750000004</v>
      </c>
      <c r="L124" s="9">
        <v>3589.7607349999998</v>
      </c>
      <c r="M124" s="9">
        <v>3914.5338620000002</v>
      </c>
      <c r="N124" s="9">
        <v>4174.2448414999999</v>
      </c>
      <c r="O124" s="9">
        <v>4401.883613</v>
      </c>
      <c r="P124" s="9">
        <v>4380.3632855000014</v>
      </c>
      <c r="Q124" s="9">
        <v>4446.3566885</v>
      </c>
      <c r="R124" s="9">
        <v>4613.4577100000006</v>
      </c>
      <c r="S124" s="9">
        <v>4640.2333715000004</v>
      </c>
      <c r="T124" s="9">
        <v>4489.8735815</v>
      </c>
      <c r="U124" s="9">
        <v>4403.2691299999997</v>
      </c>
      <c r="V124" s="9">
        <v>4700.0917714999996</v>
      </c>
      <c r="W124" s="9">
        <v>4715.6982784999991</v>
      </c>
      <c r="X124" s="9">
        <v>4523.3704294999998</v>
      </c>
      <c r="Y124" s="9">
        <v>4177.7019664999989</v>
      </c>
      <c r="Z124" s="9">
        <v>3754.415876</v>
      </c>
      <c r="AA124" s="9">
        <v>3383.4900305000001</v>
      </c>
      <c r="AB124" s="10">
        <f t="shared" ref="AB124:AB125" si="30">SUM(D124:AA124)*B124</f>
        <v>456672.95400750003</v>
      </c>
      <c r="AC124" s="11"/>
    </row>
    <row r="125" spans="1:29" x14ac:dyDescent="0.25">
      <c r="A125" s="7" t="s">
        <v>31</v>
      </c>
      <c r="B125" s="8">
        <v>6</v>
      </c>
      <c r="C125" s="38"/>
      <c r="D125" s="9">
        <v>3122.7656662500003</v>
      </c>
      <c r="E125" s="9">
        <v>2977.6029562499998</v>
      </c>
      <c r="F125" s="9">
        <v>2871.406883749999</v>
      </c>
      <c r="G125" s="9">
        <v>2790.4315137500007</v>
      </c>
      <c r="H125" s="9">
        <v>2734.931235</v>
      </c>
      <c r="I125" s="9">
        <v>2758.2611062499991</v>
      </c>
      <c r="J125" s="9">
        <v>2805.7223049999993</v>
      </c>
      <c r="K125" s="9">
        <v>3206.0141725000003</v>
      </c>
      <c r="L125" s="9">
        <v>3643.4434550000005</v>
      </c>
      <c r="M125" s="9">
        <v>3983.1263912499999</v>
      </c>
      <c r="N125" s="9">
        <v>4220.4146574999986</v>
      </c>
      <c r="O125" s="9">
        <v>4416.3235000000013</v>
      </c>
      <c r="P125" s="9">
        <v>4377.1578612500007</v>
      </c>
      <c r="Q125" s="9">
        <v>4412.7381524999992</v>
      </c>
      <c r="R125" s="9">
        <v>4598.56392375</v>
      </c>
      <c r="S125" s="9">
        <v>4607.8516549999995</v>
      </c>
      <c r="T125" s="9">
        <v>4470.6671949999991</v>
      </c>
      <c r="U125" s="9">
        <v>4377.9729587499996</v>
      </c>
      <c r="V125" s="9">
        <v>4672.909165</v>
      </c>
      <c r="W125" s="9">
        <v>4660.2311062500003</v>
      </c>
      <c r="X125" s="9">
        <v>4452.59423625</v>
      </c>
      <c r="Y125" s="9">
        <v>4152.1376375</v>
      </c>
      <c r="Z125" s="9">
        <v>3727.2620762500001</v>
      </c>
      <c r="AA125" s="9">
        <v>3358.4056162499992</v>
      </c>
      <c r="AB125" s="10">
        <f t="shared" si="30"/>
        <v>548393.61255750014</v>
      </c>
      <c r="AC125" s="4">
        <f>+AB123+AB124+AB125</f>
        <v>2833415.8676025006</v>
      </c>
    </row>
    <row r="126" spans="1:29" x14ac:dyDescent="0.25">
      <c r="A126" s="23"/>
    </row>
    <row r="127" spans="1:29" x14ac:dyDescent="0.25">
      <c r="A127" s="7" t="s">
        <v>29</v>
      </c>
      <c r="B127" s="8">
        <v>21</v>
      </c>
      <c r="C127" s="37">
        <v>46784</v>
      </c>
      <c r="D127" s="9">
        <v>2920.1737675000008</v>
      </c>
      <c r="E127" s="9">
        <v>2774.1007300000015</v>
      </c>
      <c r="F127" s="9">
        <v>2661.2116725000019</v>
      </c>
      <c r="G127" s="9">
        <v>2581.1638925000002</v>
      </c>
      <c r="H127" s="9">
        <v>2545.8639425000024</v>
      </c>
      <c r="I127" s="9">
        <v>2592.6552699999997</v>
      </c>
      <c r="J127" s="9">
        <v>2654.1309500000011</v>
      </c>
      <c r="K127" s="9">
        <v>3032.3438775000018</v>
      </c>
      <c r="L127" s="9">
        <v>3462.616512500002</v>
      </c>
      <c r="M127" s="9">
        <v>3797.9292525000005</v>
      </c>
      <c r="N127" s="9">
        <v>4058.917785000001</v>
      </c>
      <c r="O127" s="9">
        <v>4284.4736150000008</v>
      </c>
      <c r="P127" s="9">
        <v>4263.2152450000012</v>
      </c>
      <c r="Q127" s="9">
        <v>4296.5819025000019</v>
      </c>
      <c r="R127" s="9">
        <v>4455.0787600000021</v>
      </c>
      <c r="S127" s="9">
        <v>4465.4094875000028</v>
      </c>
      <c r="T127" s="9">
        <v>4314.1363425000036</v>
      </c>
      <c r="U127" s="9">
        <v>4209.5706625000039</v>
      </c>
      <c r="V127" s="9">
        <v>4499.371250000002</v>
      </c>
      <c r="W127" s="9">
        <v>4491.6759500000026</v>
      </c>
      <c r="X127" s="9">
        <v>4278.0734075</v>
      </c>
      <c r="Y127" s="9">
        <v>3962.3039375000021</v>
      </c>
      <c r="Z127" s="9">
        <v>3547.8582325000002</v>
      </c>
      <c r="AA127" s="9">
        <v>3174.1626800000008</v>
      </c>
      <c r="AB127" s="10">
        <f>SUM(D127:AA127)*B127</f>
        <v>1833783.4016250004</v>
      </c>
      <c r="AC127" s="11"/>
    </row>
    <row r="128" spans="1:29" x14ac:dyDescent="0.25">
      <c r="A128" s="7" t="s">
        <v>30</v>
      </c>
      <c r="B128" s="8">
        <v>4</v>
      </c>
      <c r="C128" s="38"/>
      <c r="D128" s="9">
        <v>2917.6655562500005</v>
      </c>
      <c r="E128" s="9">
        <v>2764.7594637500001</v>
      </c>
      <c r="F128" s="9">
        <v>2663.0285337500013</v>
      </c>
      <c r="G128" s="9">
        <v>2578.0609456249999</v>
      </c>
      <c r="H128" s="9">
        <v>2551.9481937500009</v>
      </c>
      <c r="I128" s="9">
        <v>2599.1709068750001</v>
      </c>
      <c r="J128" s="9">
        <v>2637.1437631250005</v>
      </c>
      <c r="K128" s="9">
        <v>3006.5323193750005</v>
      </c>
      <c r="L128" s="9">
        <v>3434.3252225000001</v>
      </c>
      <c r="M128" s="9">
        <v>3839.4577212499994</v>
      </c>
      <c r="N128" s="9">
        <v>4110.2811237500009</v>
      </c>
      <c r="O128" s="9">
        <v>4318.7374400000008</v>
      </c>
      <c r="P128" s="9">
        <v>4264.6624268750002</v>
      </c>
      <c r="Q128" s="9">
        <v>4262.0186187500003</v>
      </c>
      <c r="R128" s="9">
        <v>4403.4876256250009</v>
      </c>
      <c r="S128" s="9">
        <v>4447.4470043749989</v>
      </c>
      <c r="T128" s="9">
        <v>4365.7407949999997</v>
      </c>
      <c r="U128" s="9">
        <v>4255.8461018750004</v>
      </c>
      <c r="V128" s="9">
        <v>4539.7447868750005</v>
      </c>
      <c r="W128" s="9">
        <v>4492.9661712500001</v>
      </c>
      <c r="X128" s="9">
        <v>4246.5431150000004</v>
      </c>
      <c r="Y128" s="9">
        <v>3912.9771724999996</v>
      </c>
      <c r="Z128" s="9">
        <v>3514.5199568749999</v>
      </c>
      <c r="AA128" s="9">
        <v>3188.8874337500006</v>
      </c>
      <c r="AB128" s="10">
        <f t="shared" ref="AB128:AB129" si="31">SUM(D128:AA128)*B128</f>
        <v>349263.809595</v>
      </c>
      <c r="AC128" s="11"/>
    </row>
    <row r="129" spans="1:29" x14ac:dyDescent="0.25">
      <c r="A129" s="7" t="s">
        <v>31</v>
      </c>
      <c r="B129" s="8">
        <v>4</v>
      </c>
      <c r="C129" s="38"/>
      <c r="D129" s="9">
        <v>2928.0341225000006</v>
      </c>
      <c r="E129" s="9">
        <v>2785.7077643750004</v>
      </c>
      <c r="F129" s="9">
        <v>2656.5557300000005</v>
      </c>
      <c r="G129" s="9">
        <v>2585.8374556249996</v>
      </c>
      <c r="H129" s="9">
        <v>2552.0196987500008</v>
      </c>
      <c r="I129" s="9">
        <v>2605.2692675000003</v>
      </c>
      <c r="J129" s="9">
        <v>2661.9419281250007</v>
      </c>
      <c r="K129" s="9">
        <v>2998.8519500000007</v>
      </c>
      <c r="L129" s="9">
        <v>3417.5524568749993</v>
      </c>
      <c r="M129" s="9">
        <v>3794.6449025000006</v>
      </c>
      <c r="N129" s="9">
        <v>4121.7953843750001</v>
      </c>
      <c r="O129" s="9">
        <v>4328.767906250001</v>
      </c>
      <c r="P129" s="9">
        <v>4296.2556537500004</v>
      </c>
      <c r="Q129" s="9">
        <v>4288.0434987500012</v>
      </c>
      <c r="R129" s="9">
        <v>4423.5605281250009</v>
      </c>
      <c r="S129" s="9">
        <v>4442.8021456250008</v>
      </c>
      <c r="T129" s="9">
        <v>4313.3082968750005</v>
      </c>
      <c r="U129" s="9">
        <v>4264.5513762500013</v>
      </c>
      <c r="V129" s="9">
        <v>4560.7197575000009</v>
      </c>
      <c r="W129" s="9">
        <v>4541.3471918750001</v>
      </c>
      <c r="X129" s="9">
        <v>4270.7786637499994</v>
      </c>
      <c r="Y129" s="9">
        <v>3916.9819643750002</v>
      </c>
      <c r="Z129" s="9">
        <v>3487.2910812499999</v>
      </c>
      <c r="AA129" s="9">
        <v>3143.6839756250006</v>
      </c>
      <c r="AB129" s="10">
        <f t="shared" si="31"/>
        <v>349545.21080250002</v>
      </c>
      <c r="AC129" s="4">
        <f>+AB127+AB128+AB129</f>
        <v>2532592.4220225005</v>
      </c>
    </row>
    <row r="130" spans="1:29" x14ac:dyDescent="0.25">
      <c r="A130" s="23"/>
    </row>
    <row r="131" spans="1:29" x14ac:dyDescent="0.25">
      <c r="A131" s="7" t="s">
        <v>29</v>
      </c>
      <c r="B131" s="8">
        <v>22</v>
      </c>
      <c r="C131" s="37">
        <v>46813</v>
      </c>
      <c r="D131" s="9">
        <v>3106.5183639772749</v>
      </c>
      <c r="E131" s="9">
        <v>2950.3819655681846</v>
      </c>
      <c r="F131" s="9">
        <v>2839.0883204545471</v>
      </c>
      <c r="G131" s="9">
        <v>2779.0157109090933</v>
      </c>
      <c r="H131" s="9">
        <v>2772.7362765909111</v>
      </c>
      <c r="I131" s="9">
        <v>2839.9329189772752</v>
      </c>
      <c r="J131" s="9">
        <v>2907.7877204545466</v>
      </c>
      <c r="K131" s="9">
        <v>3286.3893752272743</v>
      </c>
      <c r="L131" s="9">
        <v>3715.7721585227282</v>
      </c>
      <c r="M131" s="9">
        <v>4081.4119594318172</v>
      </c>
      <c r="N131" s="9">
        <v>4362.3827313636375</v>
      </c>
      <c r="O131" s="9">
        <v>4581.2235356818201</v>
      </c>
      <c r="P131" s="9">
        <v>4549.0993345454544</v>
      </c>
      <c r="Q131" s="9">
        <v>4567.2125814772744</v>
      </c>
      <c r="R131" s="9">
        <v>4720.5495653409116</v>
      </c>
      <c r="S131" s="9">
        <v>4734.0386194318198</v>
      </c>
      <c r="T131" s="9">
        <v>4599.4655412500006</v>
      </c>
      <c r="U131" s="9">
        <v>4496.2208906818214</v>
      </c>
      <c r="V131" s="9">
        <v>4781.5965032954564</v>
      </c>
      <c r="W131" s="9">
        <v>4744.5631369318216</v>
      </c>
      <c r="X131" s="9">
        <v>4495.8330540909101</v>
      </c>
      <c r="Y131" s="9">
        <v>4161.4101254545485</v>
      </c>
      <c r="Z131" s="9">
        <v>3742.7187428409125</v>
      </c>
      <c r="AA131" s="9">
        <v>3375.801834090913</v>
      </c>
      <c r="AB131" s="10">
        <f>SUM(D131:AA131)*B131</f>
        <v>2050205.3212650011</v>
      </c>
      <c r="AC131" s="11"/>
    </row>
    <row r="132" spans="1:29" x14ac:dyDescent="0.25">
      <c r="A132" s="7" t="s">
        <v>30</v>
      </c>
      <c r="B132" s="8">
        <v>4</v>
      </c>
      <c r="C132" s="38"/>
      <c r="D132" s="9">
        <v>3101.7020843749997</v>
      </c>
      <c r="E132" s="9">
        <v>2999.5943093750002</v>
      </c>
      <c r="F132" s="9">
        <v>2900.9811575000003</v>
      </c>
      <c r="G132" s="9">
        <v>2836.9208543749992</v>
      </c>
      <c r="H132" s="9">
        <v>2790.4845781249996</v>
      </c>
      <c r="I132" s="9">
        <v>2842.1325949999991</v>
      </c>
      <c r="J132" s="9">
        <v>2894.3942187499997</v>
      </c>
      <c r="K132" s="9">
        <v>3272.0767381250007</v>
      </c>
      <c r="L132" s="9">
        <v>3702.0996574999999</v>
      </c>
      <c r="M132" s="9">
        <v>4026.0593074999997</v>
      </c>
      <c r="N132" s="9">
        <v>4292.5779856249992</v>
      </c>
      <c r="O132" s="9">
        <v>4537.3775450000003</v>
      </c>
      <c r="P132" s="9">
        <v>4564.770299374999</v>
      </c>
      <c r="Q132" s="9">
        <v>4572.3608543749997</v>
      </c>
      <c r="R132" s="9">
        <v>4717.91976875</v>
      </c>
      <c r="S132" s="9">
        <v>4700.539919374999</v>
      </c>
      <c r="T132" s="9">
        <v>4545.7232206249992</v>
      </c>
      <c r="U132" s="9">
        <v>4449.2385106250003</v>
      </c>
      <c r="V132" s="9">
        <v>4747.923846875</v>
      </c>
      <c r="W132" s="9">
        <v>4782.1870399999998</v>
      </c>
      <c r="X132" s="9">
        <v>4558.2491168750003</v>
      </c>
      <c r="Y132" s="9">
        <v>4226.2746593749998</v>
      </c>
      <c r="Z132" s="9">
        <v>3762.3578318749996</v>
      </c>
      <c r="AA132" s="9">
        <v>3359.0721781249995</v>
      </c>
      <c r="AB132" s="10">
        <f t="shared" ref="AB132:AB133" si="32">SUM(D132:AA132)*B132</f>
        <v>372732.07311</v>
      </c>
      <c r="AC132" s="11"/>
    </row>
    <row r="133" spans="1:29" x14ac:dyDescent="0.25">
      <c r="A133" s="7" t="s">
        <v>31</v>
      </c>
      <c r="B133" s="8">
        <v>5</v>
      </c>
      <c r="C133" s="38"/>
      <c r="D133" s="9">
        <v>3114.1240385000001</v>
      </c>
      <c r="E133" s="9">
        <v>2980.4841649999998</v>
      </c>
      <c r="F133" s="9">
        <v>2913.9796955000002</v>
      </c>
      <c r="G133" s="9">
        <v>2854.2146195000005</v>
      </c>
      <c r="H133" s="9">
        <v>2818.8910339999993</v>
      </c>
      <c r="I133" s="9">
        <v>2852.9358875000007</v>
      </c>
      <c r="J133" s="9">
        <v>2908.5736550000011</v>
      </c>
      <c r="K133" s="9">
        <v>3261.8424905000002</v>
      </c>
      <c r="L133" s="9">
        <v>3685.274993</v>
      </c>
      <c r="M133" s="9">
        <v>4039.3614529999995</v>
      </c>
      <c r="N133" s="9">
        <v>4295.6842085000008</v>
      </c>
      <c r="O133" s="9">
        <v>4515.5461025000004</v>
      </c>
      <c r="P133" s="9">
        <v>4488.4250540000003</v>
      </c>
      <c r="Q133" s="9">
        <v>4546.8591499999984</v>
      </c>
      <c r="R133" s="9">
        <v>4695.7794424999993</v>
      </c>
      <c r="S133" s="9">
        <v>4699.4005250000009</v>
      </c>
      <c r="T133" s="9">
        <v>4536.1426714999998</v>
      </c>
      <c r="U133" s="9">
        <v>4414.2173119999998</v>
      </c>
      <c r="V133" s="9">
        <v>4705.6806484999988</v>
      </c>
      <c r="W133" s="9">
        <v>4724.2507070000001</v>
      </c>
      <c r="X133" s="9">
        <v>4559.511933499999</v>
      </c>
      <c r="Y133" s="9">
        <v>4254.7818784999999</v>
      </c>
      <c r="Z133" s="9">
        <v>3838.2579034999999</v>
      </c>
      <c r="AA133" s="9">
        <v>3439.5636844999999</v>
      </c>
      <c r="AB133" s="10">
        <f t="shared" si="32"/>
        <v>465718.91626499995</v>
      </c>
      <c r="AC133" s="4">
        <f>+AB131+AB132+AB133</f>
        <v>2888656.3106400012</v>
      </c>
    </row>
    <row r="134" spans="1:29" x14ac:dyDescent="0.25">
      <c r="A134" s="23"/>
    </row>
    <row r="135" spans="1:29" x14ac:dyDescent="0.25">
      <c r="A135" s="7" t="s">
        <v>29</v>
      </c>
      <c r="B135" s="8">
        <v>18</v>
      </c>
      <c r="C135" s="37">
        <v>46844</v>
      </c>
      <c r="D135" s="9">
        <v>3047.0311274999999</v>
      </c>
      <c r="E135" s="9">
        <v>2907.3171066666669</v>
      </c>
      <c r="F135" s="9">
        <v>2790.4321741666668</v>
      </c>
      <c r="G135" s="9">
        <v>2708.7845008333347</v>
      </c>
      <c r="H135" s="9">
        <v>2664.8543529166677</v>
      </c>
      <c r="I135" s="9">
        <v>2710.9326200000019</v>
      </c>
      <c r="J135" s="9">
        <v>2772.123233750001</v>
      </c>
      <c r="K135" s="9">
        <v>3160.6922391666662</v>
      </c>
      <c r="L135" s="9">
        <v>3611.5822854166659</v>
      </c>
      <c r="M135" s="9">
        <v>3994.7170770833359</v>
      </c>
      <c r="N135" s="9">
        <v>4288.2793583333332</v>
      </c>
      <c r="O135" s="9">
        <v>4515.1182083333351</v>
      </c>
      <c r="P135" s="9">
        <v>4497.4350474999992</v>
      </c>
      <c r="Q135" s="9">
        <v>4526.8881891666679</v>
      </c>
      <c r="R135" s="9">
        <v>4681.3596945833342</v>
      </c>
      <c r="S135" s="9">
        <v>4690.1064045833336</v>
      </c>
      <c r="T135" s="9">
        <v>4551.133450416668</v>
      </c>
      <c r="U135" s="9">
        <v>4457.3933850000012</v>
      </c>
      <c r="V135" s="9">
        <v>4749.3012716666672</v>
      </c>
      <c r="W135" s="9">
        <v>4729.4456404166667</v>
      </c>
      <c r="X135" s="9">
        <v>4487.9722579166664</v>
      </c>
      <c r="Y135" s="9">
        <v>4136.4651783333338</v>
      </c>
      <c r="Z135" s="9">
        <v>3693.5900504166671</v>
      </c>
      <c r="AA135" s="9">
        <v>3305.7099295833345</v>
      </c>
      <c r="AB135" s="10">
        <f>SUM(D135:AA135)*B135</f>
        <v>1650215.9661075003</v>
      </c>
      <c r="AC135" s="11"/>
    </row>
    <row r="136" spans="1:29" x14ac:dyDescent="0.25">
      <c r="A136" s="7" t="s">
        <v>30</v>
      </c>
      <c r="B136" s="8">
        <v>5</v>
      </c>
      <c r="C136" s="38"/>
      <c r="D136" s="9">
        <v>3032.6440939999993</v>
      </c>
      <c r="E136" s="9">
        <v>2853.4166435000016</v>
      </c>
      <c r="F136" s="9">
        <v>2729.6846540000006</v>
      </c>
      <c r="G136" s="9">
        <v>2675.464806500001</v>
      </c>
      <c r="H136" s="9">
        <v>2685.4794125000008</v>
      </c>
      <c r="I136" s="9">
        <v>2730.7961945000006</v>
      </c>
      <c r="J136" s="9">
        <v>2785.7392295</v>
      </c>
      <c r="K136" s="9">
        <v>3157.4753180000007</v>
      </c>
      <c r="L136" s="9">
        <v>3605.0232965000005</v>
      </c>
      <c r="M136" s="9">
        <v>3968.4055429999999</v>
      </c>
      <c r="N136" s="9">
        <v>4268.2709900000009</v>
      </c>
      <c r="O136" s="9">
        <v>4527.0235925000006</v>
      </c>
      <c r="P136" s="9">
        <v>4501.1588165000003</v>
      </c>
      <c r="Q136" s="9">
        <v>4530.1637645000001</v>
      </c>
      <c r="R136" s="9">
        <v>4677.2712950000005</v>
      </c>
      <c r="S136" s="9">
        <v>4716.0818779999991</v>
      </c>
      <c r="T136" s="9">
        <v>4570.8347060000006</v>
      </c>
      <c r="U136" s="9">
        <v>4464.2119309999998</v>
      </c>
      <c r="V136" s="9">
        <v>4748.863770500001</v>
      </c>
      <c r="W136" s="9">
        <v>4695.6961594999993</v>
      </c>
      <c r="X136" s="9">
        <v>4451.3063179999999</v>
      </c>
      <c r="Y136" s="9">
        <v>4133.9518715000004</v>
      </c>
      <c r="Z136" s="9">
        <v>3747.3862654999994</v>
      </c>
      <c r="AA136" s="9">
        <v>3350.1632120000004</v>
      </c>
      <c r="AB136" s="10">
        <f t="shared" ref="AB136:AB137" si="33">SUM(D136:AA136)*B136</f>
        <v>458032.56881250005</v>
      </c>
      <c r="AC136" s="11"/>
    </row>
    <row r="137" spans="1:29" x14ac:dyDescent="0.25">
      <c r="A137" s="7" t="s">
        <v>31</v>
      </c>
      <c r="B137" s="8">
        <v>7</v>
      </c>
      <c r="C137" s="38"/>
      <c r="D137" s="9">
        <v>3099.0090800000007</v>
      </c>
      <c r="E137" s="9">
        <v>2920.4434099999999</v>
      </c>
      <c r="F137" s="9">
        <v>2810.3387525000007</v>
      </c>
      <c r="G137" s="9">
        <v>2738.0875550000001</v>
      </c>
      <c r="H137" s="9">
        <v>2698.9107950000007</v>
      </c>
      <c r="I137" s="9">
        <v>2756.5591925000008</v>
      </c>
      <c r="J137" s="9">
        <v>2807.8810700000004</v>
      </c>
      <c r="K137" s="9">
        <v>3170.76638</v>
      </c>
      <c r="L137" s="9">
        <v>3579.9163400000007</v>
      </c>
      <c r="M137" s="9">
        <v>3937.3761424999993</v>
      </c>
      <c r="N137" s="9">
        <v>4211.2082300000002</v>
      </c>
      <c r="O137" s="9">
        <v>4460.3606300000001</v>
      </c>
      <c r="P137" s="9">
        <v>4448.4128750000009</v>
      </c>
      <c r="Q137" s="9">
        <v>4456.843565000001</v>
      </c>
      <c r="R137" s="9">
        <v>4609.2033874999988</v>
      </c>
      <c r="S137" s="9">
        <v>4631.4790025000011</v>
      </c>
      <c r="T137" s="9">
        <v>4510.7161850000011</v>
      </c>
      <c r="U137" s="9">
        <v>4402.1044249999995</v>
      </c>
      <c r="V137" s="9">
        <v>4704.4353574999996</v>
      </c>
      <c r="W137" s="9">
        <v>4709.1478100000004</v>
      </c>
      <c r="X137" s="9">
        <v>4503.8403574999993</v>
      </c>
      <c r="Y137" s="9">
        <v>4197.4207474999994</v>
      </c>
      <c r="Z137" s="9">
        <v>3785.5648850000007</v>
      </c>
      <c r="AA137" s="9">
        <v>3425.6624900000015</v>
      </c>
      <c r="AB137" s="10">
        <f t="shared" si="33"/>
        <v>641029.82065499993</v>
      </c>
      <c r="AC137" s="4">
        <f>+AB135+AB136+AB137</f>
        <v>2749278.3555750004</v>
      </c>
    </row>
    <row r="138" spans="1:29" x14ac:dyDescent="0.25">
      <c r="A138" s="23"/>
    </row>
    <row r="139" spans="1:29" x14ac:dyDescent="0.25">
      <c r="A139" s="7" t="s">
        <v>29</v>
      </c>
      <c r="B139" s="8">
        <v>21</v>
      </c>
      <c r="C139" s="37">
        <v>46874</v>
      </c>
      <c r="D139" s="9">
        <v>1812.714210000001</v>
      </c>
      <c r="E139" s="9">
        <v>1643.1464275000008</v>
      </c>
      <c r="F139" s="9">
        <v>1526.8374000000013</v>
      </c>
      <c r="G139" s="9">
        <v>1454.3901174999992</v>
      </c>
      <c r="H139" s="9">
        <v>1428.0160650000007</v>
      </c>
      <c r="I139" s="9">
        <v>1478.0535275000002</v>
      </c>
      <c r="J139" s="9">
        <v>1528.7867674999989</v>
      </c>
      <c r="K139" s="9">
        <v>1881.8667724999987</v>
      </c>
      <c r="L139" s="9">
        <v>2299.2133549999999</v>
      </c>
      <c r="M139" s="9">
        <v>2661.9388050000007</v>
      </c>
      <c r="N139" s="9">
        <v>2943.8206149999987</v>
      </c>
      <c r="O139" s="9">
        <v>3183.3646250000002</v>
      </c>
      <c r="P139" s="9">
        <v>3169.5535924999986</v>
      </c>
      <c r="Q139" s="9">
        <v>3201.1567799999993</v>
      </c>
      <c r="R139" s="9">
        <v>3357.1289125000012</v>
      </c>
      <c r="S139" s="9">
        <v>3381.2389525000008</v>
      </c>
      <c r="T139" s="9">
        <v>3253.4406499999986</v>
      </c>
      <c r="U139" s="9">
        <v>3166.7362249999996</v>
      </c>
      <c r="V139" s="9">
        <v>3466.7677975000006</v>
      </c>
      <c r="W139" s="9">
        <v>3451.3711975000006</v>
      </c>
      <c r="X139" s="9">
        <v>3224.1293400000004</v>
      </c>
      <c r="Y139" s="9">
        <v>2895.8218075000013</v>
      </c>
      <c r="Z139" s="9">
        <v>2476.5673350000015</v>
      </c>
      <c r="AA139" s="9">
        <v>2100.4045925000009</v>
      </c>
      <c r="AB139" s="10">
        <f>SUM(D139:AA139)*B139</f>
        <v>1280715.7832700005</v>
      </c>
      <c r="AC139" s="11"/>
    </row>
    <row r="140" spans="1:29" x14ac:dyDescent="0.25">
      <c r="A140" s="7" t="s">
        <v>30</v>
      </c>
      <c r="B140" s="8">
        <v>4</v>
      </c>
      <c r="C140" s="38"/>
      <c r="D140" s="9">
        <v>1851.5928331249997</v>
      </c>
      <c r="E140" s="9">
        <v>1678.7433687499997</v>
      </c>
      <c r="F140" s="9">
        <v>1556.0251962499997</v>
      </c>
      <c r="G140" s="9">
        <v>1445.6390899999997</v>
      </c>
      <c r="H140" s="9">
        <v>1395.5948168749992</v>
      </c>
      <c r="I140" s="9">
        <v>1444.1964293749998</v>
      </c>
      <c r="J140" s="9">
        <v>1505.5544</v>
      </c>
      <c r="K140" s="9">
        <v>1926.3167524999999</v>
      </c>
      <c r="L140" s="9">
        <v>2358.5080662499995</v>
      </c>
      <c r="M140" s="9">
        <v>2712.6842618750006</v>
      </c>
      <c r="N140" s="9">
        <v>2946.0631156250001</v>
      </c>
      <c r="O140" s="9">
        <v>3146.1242224999996</v>
      </c>
      <c r="P140" s="9">
        <v>3113.9713062499995</v>
      </c>
      <c r="Q140" s="9">
        <v>3174.3289681249998</v>
      </c>
      <c r="R140" s="9">
        <v>3381.7853299999997</v>
      </c>
      <c r="S140" s="9">
        <v>3397.1115762500003</v>
      </c>
      <c r="T140" s="9">
        <v>3264.9603349999998</v>
      </c>
      <c r="U140" s="9">
        <v>3167.60021375</v>
      </c>
      <c r="V140" s="9">
        <v>3471.9918537499989</v>
      </c>
      <c r="W140" s="9">
        <v>3447.3242956249996</v>
      </c>
      <c r="X140" s="9">
        <v>3224.5119856249994</v>
      </c>
      <c r="Y140" s="9">
        <v>2897.0665981250004</v>
      </c>
      <c r="Z140" s="9">
        <v>2458.9122162500007</v>
      </c>
      <c r="AA140" s="9">
        <v>2079.7107668750004</v>
      </c>
      <c r="AB140" s="10">
        <f t="shared" ref="AB140:AB141" si="34">SUM(D140:AA140)*B140</f>
        <v>244185.27199499999</v>
      </c>
      <c r="AC140" s="11"/>
    </row>
    <row r="141" spans="1:29" x14ac:dyDescent="0.25">
      <c r="A141" s="7" t="s">
        <v>31</v>
      </c>
      <c r="B141" s="8">
        <v>6</v>
      </c>
      <c r="C141" s="38"/>
      <c r="D141" s="9">
        <v>1811.0234975000003</v>
      </c>
      <c r="E141" s="9">
        <v>1675.7277250000006</v>
      </c>
      <c r="F141" s="9">
        <v>1545.8868162500003</v>
      </c>
      <c r="G141" s="9">
        <v>1445.9386725000004</v>
      </c>
      <c r="H141" s="9">
        <v>1389.0627100000002</v>
      </c>
      <c r="I141" s="9">
        <v>1404.734178749999</v>
      </c>
      <c r="J141" s="9">
        <v>1448.702421250001</v>
      </c>
      <c r="K141" s="9">
        <v>1842.9609275000003</v>
      </c>
      <c r="L141" s="9">
        <v>2291.504495000001</v>
      </c>
      <c r="M141" s="9">
        <v>2640.1883550000002</v>
      </c>
      <c r="N141" s="9">
        <v>2919.0875175000001</v>
      </c>
      <c r="O141" s="9">
        <v>3134.6953049999993</v>
      </c>
      <c r="P141" s="9">
        <v>3113.26099875</v>
      </c>
      <c r="Q141" s="9">
        <v>3169.5936474999999</v>
      </c>
      <c r="R141" s="9">
        <v>3354.215725</v>
      </c>
      <c r="S141" s="9">
        <v>3430.7935900000011</v>
      </c>
      <c r="T141" s="9">
        <v>3327.7168574999996</v>
      </c>
      <c r="U141" s="9">
        <v>3231.725017499999</v>
      </c>
      <c r="V141" s="9">
        <v>3514.182516249999</v>
      </c>
      <c r="W141" s="9">
        <v>3499.7095787500002</v>
      </c>
      <c r="X141" s="9">
        <v>3272.0150312500009</v>
      </c>
      <c r="Y141" s="9">
        <v>2930.6901924999993</v>
      </c>
      <c r="Z141" s="9">
        <v>2509.6035212500001</v>
      </c>
      <c r="AA141" s="9">
        <v>2115.0231287500001</v>
      </c>
      <c r="AB141" s="10">
        <f t="shared" si="34"/>
        <v>366108.25455750007</v>
      </c>
      <c r="AC141" s="4">
        <f>+AB139+AB140+AB141</f>
        <v>1891009.3098225007</v>
      </c>
    </row>
    <row r="142" spans="1:29" x14ac:dyDescent="0.25">
      <c r="A142" s="23"/>
    </row>
    <row r="143" spans="1:29" x14ac:dyDescent="0.25">
      <c r="A143" s="7" t="s">
        <v>29</v>
      </c>
      <c r="B143" s="8">
        <v>20</v>
      </c>
      <c r="C143" s="37">
        <v>46905</v>
      </c>
      <c r="D143" s="9">
        <v>150</v>
      </c>
      <c r="E143" s="9">
        <v>150</v>
      </c>
      <c r="F143" s="9">
        <v>150</v>
      </c>
      <c r="G143" s="9">
        <v>150</v>
      </c>
      <c r="H143" s="9">
        <v>150</v>
      </c>
      <c r="I143" s="9">
        <v>150</v>
      </c>
      <c r="J143" s="9">
        <v>150</v>
      </c>
      <c r="K143" s="9">
        <v>150</v>
      </c>
      <c r="L143" s="9">
        <v>150</v>
      </c>
      <c r="M143" s="9">
        <v>500</v>
      </c>
      <c r="N143" s="9">
        <v>700</v>
      </c>
      <c r="O143" s="9">
        <v>900</v>
      </c>
      <c r="P143" s="9">
        <v>900</v>
      </c>
      <c r="Q143" s="9">
        <v>900</v>
      </c>
      <c r="R143" s="9">
        <v>900</v>
      </c>
      <c r="S143" s="9">
        <v>1000</v>
      </c>
      <c r="T143" s="9">
        <v>1000</v>
      </c>
      <c r="U143" s="9">
        <v>900</v>
      </c>
      <c r="V143" s="9">
        <v>1000</v>
      </c>
      <c r="W143" s="9">
        <v>1000</v>
      </c>
      <c r="X143" s="9">
        <v>900</v>
      </c>
      <c r="Y143" s="9">
        <v>600</v>
      </c>
      <c r="Z143" s="9">
        <v>200</v>
      </c>
      <c r="AA143" s="9">
        <v>150</v>
      </c>
      <c r="AB143" s="10">
        <f>SUM(D143:AA143)*B143</f>
        <v>258000</v>
      </c>
      <c r="AC143" s="11"/>
    </row>
    <row r="144" spans="1:29" x14ac:dyDescent="0.25">
      <c r="A144" s="7" t="s">
        <v>30</v>
      </c>
      <c r="B144" s="8">
        <v>4</v>
      </c>
      <c r="C144" s="38"/>
      <c r="D144" s="9">
        <v>150</v>
      </c>
      <c r="E144" s="9">
        <v>150</v>
      </c>
      <c r="F144" s="9">
        <v>150</v>
      </c>
      <c r="G144" s="9">
        <v>150</v>
      </c>
      <c r="H144" s="9">
        <v>150</v>
      </c>
      <c r="I144" s="9">
        <v>150</v>
      </c>
      <c r="J144" s="9">
        <v>150</v>
      </c>
      <c r="K144" s="9">
        <v>150</v>
      </c>
      <c r="L144" s="9">
        <v>150</v>
      </c>
      <c r="M144" s="9">
        <v>400</v>
      </c>
      <c r="N144" s="9">
        <v>800</v>
      </c>
      <c r="O144" s="9">
        <v>1000</v>
      </c>
      <c r="P144" s="9">
        <v>900</v>
      </c>
      <c r="Q144" s="9">
        <v>900</v>
      </c>
      <c r="R144" s="9">
        <v>900</v>
      </c>
      <c r="S144" s="9">
        <v>900</v>
      </c>
      <c r="T144" s="9">
        <v>1000</v>
      </c>
      <c r="U144" s="9">
        <v>900</v>
      </c>
      <c r="V144" s="9">
        <v>1000</v>
      </c>
      <c r="W144" s="9">
        <v>1100</v>
      </c>
      <c r="X144" s="9">
        <v>1000</v>
      </c>
      <c r="Y144" s="9">
        <v>700</v>
      </c>
      <c r="Z144" s="9">
        <v>200</v>
      </c>
      <c r="AA144" s="9">
        <v>150</v>
      </c>
      <c r="AB144" s="10">
        <f t="shared" ref="AB144:AB145" si="35">SUM(D144:AA144)*B144</f>
        <v>52800</v>
      </c>
      <c r="AC144" s="11"/>
    </row>
    <row r="145" spans="1:29" x14ac:dyDescent="0.25">
      <c r="A145" s="7" t="s">
        <v>31</v>
      </c>
      <c r="B145" s="8">
        <v>6</v>
      </c>
      <c r="C145" s="38"/>
      <c r="D145" s="9">
        <v>150</v>
      </c>
      <c r="E145" s="9">
        <v>150</v>
      </c>
      <c r="F145" s="9">
        <v>150</v>
      </c>
      <c r="G145" s="9">
        <v>150</v>
      </c>
      <c r="H145" s="9">
        <v>150</v>
      </c>
      <c r="I145" s="9">
        <v>150</v>
      </c>
      <c r="J145" s="9">
        <v>150</v>
      </c>
      <c r="K145" s="9">
        <v>150</v>
      </c>
      <c r="L145" s="9">
        <v>150</v>
      </c>
      <c r="M145" s="9">
        <v>400</v>
      </c>
      <c r="N145" s="9">
        <v>700</v>
      </c>
      <c r="O145" s="9">
        <v>900</v>
      </c>
      <c r="P145" s="9">
        <v>900</v>
      </c>
      <c r="Q145" s="9">
        <v>1000</v>
      </c>
      <c r="R145" s="9">
        <v>1000</v>
      </c>
      <c r="S145" s="9">
        <v>1000</v>
      </c>
      <c r="T145" s="9">
        <v>1000</v>
      </c>
      <c r="U145" s="9">
        <v>900</v>
      </c>
      <c r="V145" s="9">
        <v>1000</v>
      </c>
      <c r="W145" s="9">
        <v>1200</v>
      </c>
      <c r="X145" s="9">
        <v>1000</v>
      </c>
      <c r="Y145" s="9">
        <v>700</v>
      </c>
      <c r="Z145" s="9">
        <v>200</v>
      </c>
      <c r="AA145" s="9">
        <v>150</v>
      </c>
      <c r="AB145" s="10">
        <f t="shared" si="35"/>
        <v>80400</v>
      </c>
      <c r="AC145" s="4">
        <f>+AB143+AB144+AB145</f>
        <v>391200</v>
      </c>
    </row>
    <row r="146" spans="1:29" x14ac:dyDescent="0.25">
      <c r="A146" s="23"/>
    </row>
    <row r="147" spans="1:29" x14ac:dyDescent="0.25">
      <c r="A147" s="7" t="s">
        <v>29</v>
      </c>
      <c r="B147" s="8">
        <v>19</v>
      </c>
      <c r="C147" s="37">
        <v>46935</v>
      </c>
      <c r="D147" s="9">
        <v>1864.4732528947361</v>
      </c>
      <c r="E147" s="9">
        <v>1722.0598103947377</v>
      </c>
      <c r="F147" s="9">
        <v>1611.3755911842109</v>
      </c>
      <c r="G147" s="9">
        <v>1547.3895582894729</v>
      </c>
      <c r="H147" s="9">
        <v>1529.5425176315784</v>
      </c>
      <c r="I147" s="9">
        <v>1579.1697507894733</v>
      </c>
      <c r="J147" s="9">
        <v>1633.1015473684211</v>
      </c>
      <c r="K147" s="9">
        <v>2000.5462013157885</v>
      </c>
      <c r="L147" s="9">
        <v>2426.4607573684207</v>
      </c>
      <c r="M147" s="9">
        <v>2787.3395236842107</v>
      </c>
      <c r="N147" s="9">
        <v>3076.2406739473672</v>
      </c>
      <c r="O147" s="9">
        <v>3308.9723367105271</v>
      </c>
      <c r="P147" s="9">
        <v>3282.9850163157898</v>
      </c>
      <c r="Q147" s="9">
        <v>3287.9864149999994</v>
      </c>
      <c r="R147" s="9">
        <v>3427.9071243421058</v>
      </c>
      <c r="S147" s="9">
        <v>3445.6303147368444</v>
      </c>
      <c r="T147" s="9">
        <v>3312.8991764473676</v>
      </c>
      <c r="U147" s="9">
        <v>3218.1007194736849</v>
      </c>
      <c r="V147" s="9">
        <v>3506.804707368422</v>
      </c>
      <c r="W147" s="9">
        <v>3483.3233943421046</v>
      </c>
      <c r="X147" s="9">
        <v>3237.4422610526317</v>
      </c>
      <c r="Y147" s="9">
        <v>2903.2678407894746</v>
      </c>
      <c r="Z147" s="9">
        <v>2487.3710749999982</v>
      </c>
      <c r="AA147" s="9">
        <v>2120.6980356578933</v>
      </c>
      <c r="AB147" s="10">
        <f>SUM(D147:AA147)*B147</f>
        <v>1193220.6644399997</v>
      </c>
      <c r="AC147" s="11"/>
    </row>
    <row r="148" spans="1:29" x14ac:dyDescent="0.25">
      <c r="A148" s="7" t="s">
        <v>30</v>
      </c>
      <c r="B148" s="8">
        <v>5</v>
      </c>
      <c r="C148" s="38"/>
      <c r="D148" s="9">
        <v>1865.4629104999985</v>
      </c>
      <c r="E148" s="9">
        <v>1742.5033324999995</v>
      </c>
      <c r="F148" s="9">
        <v>1664.1592415000005</v>
      </c>
      <c r="G148" s="9">
        <v>1570.7926115</v>
      </c>
      <c r="H148" s="9">
        <v>1537.5543785</v>
      </c>
      <c r="I148" s="9">
        <v>1590.7855879999997</v>
      </c>
      <c r="J148" s="9">
        <v>1672.1500775000004</v>
      </c>
      <c r="K148" s="9">
        <v>2021.3617864999997</v>
      </c>
      <c r="L148" s="9">
        <v>2447.4847775000007</v>
      </c>
      <c r="M148" s="9">
        <v>2795.4036529999985</v>
      </c>
      <c r="N148" s="9">
        <v>3049.195541</v>
      </c>
      <c r="O148" s="9">
        <v>3263.130416</v>
      </c>
      <c r="P148" s="9">
        <v>3235.6138850000007</v>
      </c>
      <c r="Q148" s="9">
        <v>3291.4020439999995</v>
      </c>
      <c r="R148" s="9">
        <v>3440.0657060000003</v>
      </c>
      <c r="S148" s="9">
        <v>3449.6863624999996</v>
      </c>
      <c r="T148" s="9">
        <v>3273.3788779999986</v>
      </c>
      <c r="U148" s="9">
        <v>3149.6974250000003</v>
      </c>
      <c r="V148" s="9">
        <v>3432.0879529999993</v>
      </c>
      <c r="W148" s="9">
        <v>3438.168156499999</v>
      </c>
      <c r="X148" s="9">
        <v>3251.4832069999993</v>
      </c>
      <c r="Y148" s="9">
        <v>2922.131891</v>
      </c>
      <c r="Z148" s="9">
        <v>2500.9476905000001</v>
      </c>
      <c r="AA148" s="9">
        <v>2124.0937655000007</v>
      </c>
      <c r="AB148" s="10">
        <f t="shared" ref="AB148:AB149" si="36">SUM(D148:AA148)*B148</f>
        <v>313643.70638999989</v>
      </c>
      <c r="AC148" s="11"/>
    </row>
    <row r="149" spans="1:29" x14ac:dyDescent="0.25">
      <c r="A149" s="7" t="s">
        <v>31</v>
      </c>
      <c r="B149" s="8">
        <v>7</v>
      </c>
      <c r="C149" s="38"/>
      <c r="D149" s="9">
        <v>1898.0957749999998</v>
      </c>
      <c r="E149" s="9">
        <v>1760.7093799999993</v>
      </c>
      <c r="F149" s="9">
        <v>1667.5160750000014</v>
      </c>
      <c r="G149" s="9">
        <v>1610.4739624999993</v>
      </c>
      <c r="H149" s="9">
        <v>1566.5668175000001</v>
      </c>
      <c r="I149" s="9">
        <v>1596.0158225000005</v>
      </c>
      <c r="J149" s="9">
        <v>1639.6050649999997</v>
      </c>
      <c r="K149" s="9">
        <v>2024.2389874999999</v>
      </c>
      <c r="L149" s="9">
        <v>2456.7146225000006</v>
      </c>
      <c r="M149" s="9">
        <v>2803.1191024999998</v>
      </c>
      <c r="N149" s="9">
        <v>3057.8995925000008</v>
      </c>
      <c r="O149" s="9">
        <v>3247.7484199999999</v>
      </c>
      <c r="P149" s="9">
        <v>3206.3789975</v>
      </c>
      <c r="Q149" s="9">
        <v>3233.0333000000001</v>
      </c>
      <c r="R149" s="9">
        <v>3408.1279175</v>
      </c>
      <c r="S149" s="9">
        <v>3411.0236149999982</v>
      </c>
      <c r="T149" s="9">
        <v>3271.5428449999999</v>
      </c>
      <c r="U149" s="9">
        <v>3172.1215174999998</v>
      </c>
      <c r="V149" s="9">
        <v>3465.5834600000007</v>
      </c>
      <c r="W149" s="9">
        <v>3456.9695000000011</v>
      </c>
      <c r="X149" s="9">
        <v>3234.9787024999996</v>
      </c>
      <c r="Y149" s="9">
        <v>2929.1819524999992</v>
      </c>
      <c r="Z149" s="9">
        <v>2505.1800724999994</v>
      </c>
      <c r="AA149" s="9">
        <v>2135.2027399999997</v>
      </c>
      <c r="AB149" s="10">
        <f t="shared" si="36"/>
        <v>439306.1976975</v>
      </c>
      <c r="AC149" s="4">
        <f>+AB147+AB148+AB149</f>
        <v>1946170.5685274997</v>
      </c>
    </row>
    <row r="150" spans="1:29" x14ac:dyDescent="0.25">
      <c r="A150" s="23"/>
    </row>
    <row r="151" spans="1:29" x14ac:dyDescent="0.25">
      <c r="A151" s="7" t="s">
        <v>29</v>
      </c>
      <c r="B151" s="8">
        <v>21</v>
      </c>
      <c r="C151" s="37">
        <v>46966</v>
      </c>
      <c r="D151" s="9">
        <v>3258.8270725000002</v>
      </c>
      <c r="E151" s="9">
        <v>3111.5056974999998</v>
      </c>
      <c r="F151" s="9">
        <v>3007.1660300000003</v>
      </c>
      <c r="G151" s="9">
        <v>2946.6708075000006</v>
      </c>
      <c r="H151" s="9">
        <v>2925.4069450000006</v>
      </c>
      <c r="I151" s="9">
        <v>2977.4143575000007</v>
      </c>
      <c r="J151" s="9">
        <v>3039.1733550000008</v>
      </c>
      <c r="K151" s="9">
        <v>3427.6731024999999</v>
      </c>
      <c r="L151" s="9">
        <v>3875.808787500001</v>
      </c>
      <c r="M151" s="9">
        <v>4245.6138075000008</v>
      </c>
      <c r="N151" s="9">
        <v>4524.6380900000004</v>
      </c>
      <c r="O151" s="9">
        <v>4744.2618124999999</v>
      </c>
      <c r="P151" s="9">
        <v>4720.3305900000005</v>
      </c>
      <c r="Q151" s="9">
        <v>4749.3492824999985</v>
      </c>
      <c r="R151" s="9">
        <v>4910.6851375000015</v>
      </c>
      <c r="S151" s="9">
        <v>4925.7588975000008</v>
      </c>
      <c r="T151" s="9">
        <v>4781.3189874999989</v>
      </c>
      <c r="U151" s="9">
        <v>4668.9051849999996</v>
      </c>
      <c r="V151" s="9">
        <v>4951.2456000000002</v>
      </c>
      <c r="W151" s="9">
        <v>4936.7690899999998</v>
      </c>
      <c r="X151" s="9">
        <v>4712.9152499999991</v>
      </c>
      <c r="Y151" s="9">
        <v>4386.4267674999992</v>
      </c>
      <c r="Z151" s="9">
        <v>3958.3602274999994</v>
      </c>
      <c r="AA151" s="9">
        <v>3562.7625150000013</v>
      </c>
      <c r="AB151" s="10">
        <f>SUM(D151:AA151)*B151</f>
        <v>2044328.735295</v>
      </c>
      <c r="AC151" s="11"/>
    </row>
    <row r="152" spans="1:29" x14ac:dyDescent="0.25">
      <c r="A152" s="7" t="s">
        <v>30</v>
      </c>
      <c r="B152" s="8">
        <v>4</v>
      </c>
      <c r="C152" s="38"/>
      <c r="D152" s="9">
        <v>3313.2459337500004</v>
      </c>
      <c r="E152" s="9">
        <v>3127.9012068749998</v>
      </c>
      <c r="F152" s="9">
        <v>2995.4619374999993</v>
      </c>
      <c r="G152" s="9">
        <v>2914.1978306250003</v>
      </c>
      <c r="H152" s="9">
        <v>2905.7884593750005</v>
      </c>
      <c r="I152" s="9">
        <v>3004.3129912499999</v>
      </c>
      <c r="J152" s="9">
        <v>3074.4950043750005</v>
      </c>
      <c r="K152" s="9">
        <v>3457.2339168749995</v>
      </c>
      <c r="L152" s="9">
        <v>3870.2273062499999</v>
      </c>
      <c r="M152" s="9">
        <v>4233.3578756249999</v>
      </c>
      <c r="N152" s="9">
        <v>4506.7879687499999</v>
      </c>
      <c r="O152" s="9">
        <v>4739.2272168749996</v>
      </c>
      <c r="P152" s="9">
        <v>4717.310606250001</v>
      </c>
      <c r="Q152" s="9">
        <v>4709.5953900000004</v>
      </c>
      <c r="R152" s="9">
        <v>4854.4275206249995</v>
      </c>
      <c r="S152" s="9">
        <v>4890.6774056250006</v>
      </c>
      <c r="T152" s="9">
        <v>4805.8076118749996</v>
      </c>
      <c r="U152" s="9">
        <v>4688.504131875</v>
      </c>
      <c r="V152" s="9">
        <v>4971.9084900000007</v>
      </c>
      <c r="W152" s="9">
        <v>4921.8224399999999</v>
      </c>
      <c r="X152" s="9">
        <v>4675.0786087500001</v>
      </c>
      <c r="Y152" s="9">
        <v>4349.0121206250005</v>
      </c>
      <c r="Z152" s="9">
        <v>3934.2428399999999</v>
      </c>
      <c r="AA152" s="9">
        <v>3606.4151999999995</v>
      </c>
      <c r="AB152" s="10">
        <f t="shared" ref="AB152:AB153" si="37">SUM(D152:AA152)*B152</f>
        <v>389068.1600550001</v>
      </c>
      <c r="AC152" s="11"/>
    </row>
    <row r="153" spans="1:29" x14ac:dyDescent="0.25">
      <c r="A153" s="7" t="s">
        <v>31</v>
      </c>
      <c r="B153" s="8">
        <v>6</v>
      </c>
      <c r="C153" s="38"/>
      <c r="D153" s="9">
        <v>3337.5476675</v>
      </c>
      <c r="E153" s="9">
        <v>3185.1492237499997</v>
      </c>
      <c r="F153" s="9">
        <v>3044.8902062499992</v>
      </c>
      <c r="G153" s="9">
        <v>2940.1463362499999</v>
      </c>
      <c r="H153" s="9">
        <v>2890.2689299999993</v>
      </c>
      <c r="I153" s="9">
        <v>2954.0691087500009</v>
      </c>
      <c r="J153" s="9">
        <v>3045.9635162500008</v>
      </c>
      <c r="K153" s="9">
        <v>3430.1659362499995</v>
      </c>
      <c r="L153" s="9">
        <v>3862.9346099999993</v>
      </c>
      <c r="M153" s="9">
        <v>4221.1051762500019</v>
      </c>
      <c r="N153" s="9">
        <v>4514.2415162500001</v>
      </c>
      <c r="O153" s="9">
        <v>4752.2817224999999</v>
      </c>
      <c r="P153" s="9">
        <v>4734.0494875000004</v>
      </c>
      <c r="Q153" s="9">
        <v>4760.3877487499994</v>
      </c>
      <c r="R153" s="9">
        <v>4892.5578287499993</v>
      </c>
      <c r="S153" s="9">
        <v>4891.4668787500004</v>
      </c>
      <c r="T153" s="9">
        <v>4748.4058049999994</v>
      </c>
      <c r="U153" s="9">
        <v>4681.3833512499996</v>
      </c>
      <c r="V153" s="9">
        <v>4983.0035775000006</v>
      </c>
      <c r="W153" s="9">
        <v>4944.1381250000004</v>
      </c>
      <c r="X153" s="9">
        <v>4688.3536887500013</v>
      </c>
      <c r="Y153" s="9">
        <v>4331.8681537500015</v>
      </c>
      <c r="Z153" s="9">
        <v>3902.7251912499996</v>
      </c>
      <c r="AA153" s="9">
        <v>3544.7489624999989</v>
      </c>
      <c r="AB153" s="10">
        <f t="shared" si="37"/>
        <v>583691.11649249995</v>
      </c>
      <c r="AC153" s="4">
        <f>+AB151+AB152+AB153</f>
        <v>3017088.0118425</v>
      </c>
    </row>
    <row r="154" spans="1:29" x14ac:dyDescent="0.25">
      <c r="A154" s="23"/>
    </row>
    <row r="155" spans="1:29" x14ac:dyDescent="0.25">
      <c r="A155" s="7" t="s">
        <v>29</v>
      </c>
      <c r="B155" s="8">
        <v>21</v>
      </c>
      <c r="C155" s="37">
        <v>46997</v>
      </c>
      <c r="D155" s="9">
        <v>150</v>
      </c>
      <c r="E155" s="9">
        <v>150</v>
      </c>
      <c r="F155" s="9">
        <v>150</v>
      </c>
      <c r="G155" s="9">
        <v>150</v>
      </c>
      <c r="H155" s="9">
        <v>150</v>
      </c>
      <c r="I155" s="9">
        <v>150</v>
      </c>
      <c r="J155" s="9">
        <v>150</v>
      </c>
      <c r="K155" s="9">
        <v>150</v>
      </c>
      <c r="L155" s="9">
        <v>222.6180875</v>
      </c>
      <c r="M155" s="9">
        <v>500</v>
      </c>
      <c r="N155" s="9">
        <v>800</v>
      </c>
      <c r="O155" s="9">
        <v>1000</v>
      </c>
      <c r="P155" s="9">
        <v>1000</v>
      </c>
      <c r="Q155" s="9">
        <v>1000</v>
      </c>
      <c r="R155" s="9">
        <v>1100</v>
      </c>
      <c r="S155" s="9">
        <v>1100</v>
      </c>
      <c r="T155" s="9">
        <v>1100</v>
      </c>
      <c r="U155" s="9">
        <v>1000</v>
      </c>
      <c r="V155" s="9">
        <v>1300</v>
      </c>
      <c r="W155" s="9">
        <v>1300</v>
      </c>
      <c r="X155" s="9">
        <v>1100</v>
      </c>
      <c r="Y155" s="9">
        <v>800</v>
      </c>
      <c r="Z155" s="9">
        <v>300</v>
      </c>
      <c r="AA155" s="9">
        <v>150</v>
      </c>
      <c r="AB155" s="10">
        <f>SUM(D155:AA155)*B155</f>
        <v>314424.97983749997</v>
      </c>
      <c r="AC155" s="11"/>
    </row>
    <row r="156" spans="1:29" x14ac:dyDescent="0.25">
      <c r="A156" s="7" t="s">
        <v>30</v>
      </c>
      <c r="B156" s="8">
        <v>5</v>
      </c>
      <c r="C156" s="38"/>
      <c r="D156" s="9">
        <v>150</v>
      </c>
      <c r="E156" s="9">
        <v>150</v>
      </c>
      <c r="F156" s="9">
        <v>150</v>
      </c>
      <c r="G156" s="9">
        <v>150</v>
      </c>
      <c r="H156" s="9">
        <v>150</v>
      </c>
      <c r="I156" s="9">
        <v>150</v>
      </c>
      <c r="J156" s="9">
        <v>150</v>
      </c>
      <c r="K156" s="9">
        <v>150</v>
      </c>
      <c r="L156" s="9">
        <v>232.9721485</v>
      </c>
      <c r="M156" s="9">
        <v>500</v>
      </c>
      <c r="N156" s="9">
        <v>900</v>
      </c>
      <c r="O156" s="9">
        <v>1000</v>
      </c>
      <c r="P156" s="9">
        <v>1000</v>
      </c>
      <c r="Q156" s="9">
        <v>1000</v>
      </c>
      <c r="R156" s="9">
        <v>1100</v>
      </c>
      <c r="S156" s="9">
        <v>1100</v>
      </c>
      <c r="T156" s="9">
        <v>1100</v>
      </c>
      <c r="U156" s="9">
        <v>1100</v>
      </c>
      <c r="V156" s="9">
        <v>1300</v>
      </c>
      <c r="W156" s="9">
        <v>1400</v>
      </c>
      <c r="X156" s="9">
        <v>1100</v>
      </c>
      <c r="Y156" s="9">
        <v>800</v>
      </c>
      <c r="Z156" s="9">
        <v>400</v>
      </c>
      <c r="AA156" s="9">
        <v>150</v>
      </c>
      <c r="AB156" s="10">
        <f t="shared" ref="AB156:AB157" si="38">SUM(D156:AA156)*B156</f>
        <v>76914.860742500008</v>
      </c>
      <c r="AC156" s="11"/>
    </row>
    <row r="157" spans="1:29" x14ac:dyDescent="0.25">
      <c r="A157" s="7" t="s">
        <v>31</v>
      </c>
      <c r="B157" s="8">
        <v>4</v>
      </c>
      <c r="C157" s="38"/>
      <c r="D157" s="9">
        <v>150</v>
      </c>
      <c r="E157" s="9">
        <v>150</v>
      </c>
      <c r="F157" s="9">
        <v>150</v>
      </c>
      <c r="G157" s="9">
        <v>150</v>
      </c>
      <c r="H157" s="9">
        <v>150</v>
      </c>
      <c r="I157" s="9">
        <v>150</v>
      </c>
      <c r="J157" s="9">
        <v>150</v>
      </c>
      <c r="K157" s="9">
        <v>150</v>
      </c>
      <c r="L157" s="9">
        <v>214.10059562500101</v>
      </c>
      <c r="M157" s="9">
        <v>600</v>
      </c>
      <c r="N157" s="9">
        <v>900</v>
      </c>
      <c r="O157" s="9">
        <v>1000</v>
      </c>
      <c r="P157" s="9">
        <v>1000</v>
      </c>
      <c r="Q157" s="9">
        <v>1000</v>
      </c>
      <c r="R157" s="9">
        <v>1100</v>
      </c>
      <c r="S157" s="9">
        <v>1100</v>
      </c>
      <c r="T157" s="9">
        <v>1100</v>
      </c>
      <c r="U157" s="9">
        <v>1000</v>
      </c>
      <c r="V157" s="9">
        <v>1300</v>
      </c>
      <c r="W157" s="9">
        <v>1300</v>
      </c>
      <c r="X157" s="9">
        <v>1100</v>
      </c>
      <c r="Y157" s="9">
        <v>800</v>
      </c>
      <c r="Z157" s="9">
        <v>300</v>
      </c>
      <c r="AA157" s="9">
        <v>150</v>
      </c>
      <c r="AB157" s="10">
        <f t="shared" si="38"/>
        <v>60656.402382500004</v>
      </c>
      <c r="AC157" s="4">
        <f>+AB155+AB156+AB157</f>
        <v>451996.24296249996</v>
      </c>
    </row>
    <row r="158" spans="1:29" x14ac:dyDescent="0.25">
      <c r="A158" s="23"/>
    </row>
    <row r="159" spans="1:29" x14ac:dyDescent="0.25">
      <c r="A159" s="7" t="s">
        <v>29</v>
      </c>
      <c r="B159" s="8">
        <v>21</v>
      </c>
      <c r="C159" s="37">
        <v>47027</v>
      </c>
      <c r="D159" s="9">
        <v>150</v>
      </c>
      <c r="E159" s="9">
        <v>150</v>
      </c>
      <c r="F159" s="9">
        <v>150</v>
      </c>
      <c r="G159" s="9">
        <v>150</v>
      </c>
      <c r="H159" s="9">
        <v>150</v>
      </c>
      <c r="I159" s="9">
        <v>150</v>
      </c>
      <c r="J159" s="9">
        <v>150</v>
      </c>
      <c r="K159" s="9">
        <v>150</v>
      </c>
      <c r="L159" s="9">
        <v>400</v>
      </c>
      <c r="M159" s="9">
        <v>800</v>
      </c>
      <c r="N159" s="9">
        <v>1000</v>
      </c>
      <c r="O159" s="9">
        <v>1300</v>
      </c>
      <c r="P159" s="9">
        <v>1200</v>
      </c>
      <c r="Q159" s="9">
        <v>1300</v>
      </c>
      <c r="R159" s="9">
        <v>1400</v>
      </c>
      <c r="S159" s="9">
        <v>1300</v>
      </c>
      <c r="T159" s="9">
        <v>1400.2306400000007</v>
      </c>
      <c r="U159" s="9">
        <v>1200</v>
      </c>
      <c r="V159" s="9">
        <v>1600</v>
      </c>
      <c r="W159" s="9">
        <v>1600</v>
      </c>
      <c r="X159" s="9">
        <v>1400</v>
      </c>
      <c r="Y159" s="9">
        <v>1000</v>
      </c>
      <c r="Z159" s="9">
        <v>600</v>
      </c>
      <c r="AA159" s="9">
        <v>200</v>
      </c>
      <c r="AB159" s="10">
        <f>SUM(D159:AA159)*B159</f>
        <v>396904.84344000003</v>
      </c>
      <c r="AC159" s="11"/>
    </row>
    <row r="160" spans="1:29" x14ac:dyDescent="0.25">
      <c r="A160" s="7" t="s">
        <v>30</v>
      </c>
      <c r="B160" s="8">
        <v>4</v>
      </c>
      <c r="C160" s="38"/>
      <c r="D160" s="9">
        <v>150</v>
      </c>
      <c r="E160" s="9">
        <v>150</v>
      </c>
      <c r="F160" s="9">
        <v>150</v>
      </c>
      <c r="G160" s="9">
        <v>150</v>
      </c>
      <c r="H160" s="9">
        <v>150</v>
      </c>
      <c r="I160" s="9">
        <v>150</v>
      </c>
      <c r="J160" s="9">
        <v>150</v>
      </c>
      <c r="K160" s="9">
        <v>150</v>
      </c>
      <c r="L160" s="9">
        <v>400</v>
      </c>
      <c r="M160" s="9">
        <v>800</v>
      </c>
      <c r="N160" s="9">
        <v>1000</v>
      </c>
      <c r="O160" s="9">
        <v>1300</v>
      </c>
      <c r="P160" s="9">
        <v>1200</v>
      </c>
      <c r="Q160" s="9">
        <v>1300</v>
      </c>
      <c r="R160" s="9">
        <v>1400</v>
      </c>
      <c r="S160" s="9">
        <v>1300</v>
      </c>
      <c r="T160" s="9">
        <v>1300</v>
      </c>
      <c r="U160" s="9">
        <v>1200</v>
      </c>
      <c r="V160" s="9">
        <v>1600</v>
      </c>
      <c r="W160" s="9">
        <v>1600</v>
      </c>
      <c r="X160" s="9">
        <v>1300</v>
      </c>
      <c r="Y160" s="9">
        <v>1000</v>
      </c>
      <c r="Z160" s="9">
        <v>600</v>
      </c>
      <c r="AA160" s="9">
        <v>200</v>
      </c>
      <c r="AB160" s="10">
        <f t="shared" ref="AB160:AB161" si="39">SUM(D160:AA160)*B160</f>
        <v>74800</v>
      </c>
      <c r="AC160" s="11"/>
    </row>
    <row r="161" spans="1:29" x14ac:dyDescent="0.25">
      <c r="A161" s="7" t="s">
        <v>31</v>
      </c>
      <c r="B161" s="8">
        <v>6</v>
      </c>
      <c r="C161" s="38"/>
      <c r="D161" s="9">
        <v>150</v>
      </c>
      <c r="E161" s="9">
        <v>150</v>
      </c>
      <c r="F161" s="9">
        <v>150</v>
      </c>
      <c r="G161" s="9">
        <v>150</v>
      </c>
      <c r="H161" s="9">
        <v>150</v>
      </c>
      <c r="I161" s="9">
        <v>150</v>
      </c>
      <c r="J161" s="9">
        <v>150</v>
      </c>
      <c r="K161" s="9">
        <v>150</v>
      </c>
      <c r="L161" s="9">
        <v>500</v>
      </c>
      <c r="M161" s="9">
        <v>800</v>
      </c>
      <c r="N161" s="9">
        <v>1000</v>
      </c>
      <c r="O161" s="9">
        <v>1300</v>
      </c>
      <c r="P161" s="9">
        <v>1200</v>
      </c>
      <c r="Q161" s="9">
        <v>1300</v>
      </c>
      <c r="R161" s="9">
        <v>1400</v>
      </c>
      <c r="S161" s="9">
        <v>1300</v>
      </c>
      <c r="T161" s="9">
        <v>1400</v>
      </c>
      <c r="U161" s="9">
        <v>1200</v>
      </c>
      <c r="V161" s="9">
        <v>1600</v>
      </c>
      <c r="W161" s="9">
        <v>1600</v>
      </c>
      <c r="X161" s="9">
        <v>1300</v>
      </c>
      <c r="Y161" s="9">
        <v>1000</v>
      </c>
      <c r="Z161" s="9">
        <v>600</v>
      </c>
      <c r="AA161" s="9">
        <v>200</v>
      </c>
      <c r="AB161" s="10">
        <f t="shared" si="39"/>
        <v>113400</v>
      </c>
      <c r="AC161" s="4">
        <f>+AB159+AB160+AB161</f>
        <v>585104.84343999997</v>
      </c>
    </row>
    <row r="162" spans="1:29" x14ac:dyDescent="0.25">
      <c r="A162" s="23"/>
    </row>
    <row r="163" spans="1:29" x14ac:dyDescent="0.25">
      <c r="A163" s="7" t="s">
        <v>29</v>
      </c>
      <c r="B163" s="8">
        <v>20</v>
      </c>
      <c r="C163" s="37">
        <v>47058</v>
      </c>
      <c r="D163" s="9">
        <v>1920.7494533750005</v>
      </c>
      <c r="E163" s="9">
        <v>1769.4192481250002</v>
      </c>
      <c r="F163" s="9">
        <v>1645.9846448750013</v>
      </c>
      <c r="G163" s="9">
        <v>1562.3837945000005</v>
      </c>
      <c r="H163" s="9">
        <v>1533.9317502500007</v>
      </c>
      <c r="I163" s="9">
        <v>1587.9191592500001</v>
      </c>
      <c r="J163" s="9">
        <v>1648.3577105000013</v>
      </c>
      <c r="K163" s="9">
        <v>2002.4254358750013</v>
      </c>
      <c r="L163" s="9">
        <v>2413.2779435000011</v>
      </c>
      <c r="M163" s="9">
        <v>2752.7602081249988</v>
      </c>
      <c r="N163" s="9">
        <v>3028.0931584999989</v>
      </c>
      <c r="O163" s="9">
        <v>3259.4624303750006</v>
      </c>
      <c r="P163" s="9">
        <v>3240.4343855000006</v>
      </c>
      <c r="Q163" s="9">
        <v>3263.850459125003</v>
      </c>
      <c r="R163" s="9">
        <v>3403.5376396250003</v>
      </c>
      <c r="S163" s="9">
        <v>3410.8054167499995</v>
      </c>
      <c r="T163" s="9">
        <v>3269.2755413749974</v>
      </c>
      <c r="U163" s="9">
        <v>3183.9247006249998</v>
      </c>
      <c r="V163" s="9">
        <v>3486.7341612499986</v>
      </c>
      <c r="W163" s="9">
        <v>3484.6586472500012</v>
      </c>
      <c r="X163" s="9">
        <v>3260.8385183750006</v>
      </c>
      <c r="Y163" s="9">
        <v>2931.2749448750001</v>
      </c>
      <c r="Z163" s="9">
        <v>2516.5062312500004</v>
      </c>
      <c r="AA163" s="9">
        <v>2162.7590341249997</v>
      </c>
      <c r="AB163" s="10">
        <f>SUM(D163:AA163)*B163</f>
        <v>1254787.2923475001</v>
      </c>
      <c r="AC163" s="11"/>
    </row>
    <row r="164" spans="1:29" x14ac:dyDescent="0.25">
      <c r="A164" s="7" t="s">
        <v>30</v>
      </c>
      <c r="B164" s="8">
        <v>4</v>
      </c>
      <c r="C164" s="38"/>
      <c r="D164" s="9">
        <v>1901.9229875000019</v>
      </c>
      <c r="E164" s="9">
        <v>1738.6893575000013</v>
      </c>
      <c r="F164" s="9">
        <v>1629.8608081250004</v>
      </c>
      <c r="G164" s="9">
        <v>1554.7172693750017</v>
      </c>
      <c r="H164" s="9">
        <v>1506.6107187500011</v>
      </c>
      <c r="I164" s="9">
        <v>1551.5663243750005</v>
      </c>
      <c r="J164" s="9">
        <v>1606.0089687500003</v>
      </c>
      <c r="K164" s="9">
        <v>2024.0918656250005</v>
      </c>
      <c r="L164" s="9">
        <v>2447.0970706250009</v>
      </c>
      <c r="M164" s="9">
        <v>2787.8462600000012</v>
      </c>
      <c r="N164" s="9">
        <v>3033.5289612500019</v>
      </c>
      <c r="O164" s="9">
        <v>3230.2671462500011</v>
      </c>
      <c r="P164" s="9">
        <v>3193.6649731250009</v>
      </c>
      <c r="Q164" s="9">
        <v>3246.7920856250012</v>
      </c>
      <c r="R164" s="9">
        <v>3455.4195781250019</v>
      </c>
      <c r="S164" s="9">
        <v>3461.2511993750013</v>
      </c>
      <c r="T164" s="9">
        <v>3316.9706993750005</v>
      </c>
      <c r="U164" s="9">
        <v>3187.1719700000012</v>
      </c>
      <c r="V164" s="9">
        <v>3460.8552575000012</v>
      </c>
      <c r="W164" s="9">
        <v>3439.8911806250017</v>
      </c>
      <c r="X164" s="9">
        <v>3234.7822512500015</v>
      </c>
      <c r="Y164" s="9">
        <v>2958.6386825000009</v>
      </c>
      <c r="Z164" s="9">
        <v>2552.6934575000014</v>
      </c>
      <c r="AA164" s="9">
        <v>2186.8423643750011</v>
      </c>
      <c r="AB164" s="10">
        <f t="shared" ref="AB164:AB165" si="40">SUM(D164:AA164)*B164</f>
        <v>250828.7257500001</v>
      </c>
      <c r="AC164" s="11"/>
    </row>
    <row r="165" spans="1:29" x14ac:dyDescent="0.25">
      <c r="A165" s="7" t="s">
        <v>31</v>
      </c>
      <c r="B165" s="8">
        <v>6</v>
      </c>
      <c r="C165" s="38"/>
      <c r="D165" s="9">
        <v>1840.6038187500008</v>
      </c>
      <c r="E165" s="9">
        <v>1706.7197800000013</v>
      </c>
      <c r="F165" s="9">
        <v>1618.4551875000016</v>
      </c>
      <c r="G165" s="9">
        <v>1555.4101075000017</v>
      </c>
      <c r="H165" s="9">
        <v>1527.5654375000004</v>
      </c>
      <c r="I165" s="9">
        <v>1544.1047225000011</v>
      </c>
      <c r="J165" s="9">
        <v>1588.6091650000008</v>
      </c>
      <c r="K165" s="9">
        <v>1977.2263975000005</v>
      </c>
      <c r="L165" s="9">
        <v>2460.0936950000014</v>
      </c>
      <c r="M165" s="9">
        <v>2847.2956062500025</v>
      </c>
      <c r="N165" s="9">
        <v>3120.9666700000007</v>
      </c>
      <c r="O165" s="9">
        <v>3315.7236537500012</v>
      </c>
      <c r="P165" s="9">
        <v>3266.2060475000017</v>
      </c>
      <c r="Q165" s="9">
        <v>3271.8878162500023</v>
      </c>
      <c r="R165" s="9">
        <v>3418.9330537500018</v>
      </c>
      <c r="S165" s="9">
        <v>3470.3559725000005</v>
      </c>
      <c r="T165" s="9">
        <v>3345.8057425000015</v>
      </c>
      <c r="U165" s="9">
        <v>3228.821462500001</v>
      </c>
      <c r="V165" s="9">
        <v>3484.8836937500009</v>
      </c>
      <c r="W165" s="9">
        <v>3438.7022525000011</v>
      </c>
      <c r="X165" s="9">
        <v>3196.8471950000012</v>
      </c>
      <c r="Y165" s="9">
        <v>2882.8361375000013</v>
      </c>
      <c r="Z165" s="9">
        <v>2491.6095325000015</v>
      </c>
      <c r="AA165" s="9">
        <v>2105.7288800000015</v>
      </c>
      <c r="AB165" s="10">
        <f t="shared" si="40"/>
        <v>376232.35216500022</v>
      </c>
      <c r="AC165" s="4">
        <f>+AB163+AB164+AB165</f>
        <v>1881848.3702625006</v>
      </c>
    </row>
    <row r="166" spans="1:29" x14ac:dyDescent="0.25">
      <c r="A166" s="23"/>
    </row>
    <row r="167" spans="1:29" x14ac:dyDescent="0.25">
      <c r="A167" s="7" t="s">
        <v>29</v>
      </c>
      <c r="B167" s="8">
        <v>19</v>
      </c>
      <c r="C167" s="37">
        <v>47088</v>
      </c>
      <c r="D167" s="9">
        <v>3194.7731702631572</v>
      </c>
      <c r="E167" s="9">
        <v>3045.3646415789472</v>
      </c>
      <c r="F167" s="9">
        <v>2951.2924696052632</v>
      </c>
      <c r="G167" s="9">
        <v>2895.9663227631581</v>
      </c>
      <c r="H167" s="9">
        <v>2885.6351102631597</v>
      </c>
      <c r="I167" s="9">
        <v>2948.5517540789469</v>
      </c>
      <c r="J167" s="9">
        <v>3001.29731868421</v>
      </c>
      <c r="K167" s="9">
        <v>3368.9366453947368</v>
      </c>
      <c r="L167" s="9">
        <v>3789.1187540789469</v>
      </c>
      <c r="M167" s="9">
        <v>4140.5498524999994</v>
      </c>
      <c r="N167" s="9">
        <v>4408.6732960526288</v>
      </c>
      <c r="O167" s="9">
        <v>4630.7010957894736</v>
      </c>
      <c r="P167" s="9">
        <v>4614.2186876315782</v>
      </c>
      <c r="Q167" s="9">
        <v>4647.3068734210519</v>
      </c>
      <c r="R167" s="9">
        <v>4807.2927539473694</v>
      </c>
      <c r="S167" s="9">
        <v>4823.0239396052648</v>
      </c>
      <c r="T167" s="9">
        <v>4678.8604952631576</v>
      </c>
      <c r="U167" s="9">
        <v>4560.7279463157902</v>
      </c>
      <c r="V167" s="9">
        <v>4844.4129121052638</v>
      </c>
      <c r="W167" s="9">
        <v>4833.9007790789492</v>
      </c>
      <c r="X167" s="9">
        <v>4614.7768980263136</v>
      </c>
      <c r="Y167" s="9">
        <v>4302.7942415789466</v>
      </c>
      <c r="Z167" s="9">
        <v>3885.1373967105274</v>
      </c>
      <c r="AA167" s="9">
        <v>3502.8743248684195</v>
      </c>
      <c r="AB167" s="10">
        <f>SUM(D167:AA167)*B167</f>
        <v>1812147.5659124998</v>
      </c>
      <c r="AC167" s="11"/>
    </row>
    <row r="168" spans="1:29" x14ac:dyDescent="0.25">
      <c r="A168" s="7" t="s">
        <v>30</v>
      </c>
      <c r="B168" s="8">
        <v>5</v>
      </c>
      <c r="C168" s="38"/>
      <c r="D168" s="9">
        <v>3218.3025754999999</v>
      </c>
      <c r="E168" s="9">
        <v>3073.8059329999987</v>
      </c>
      <c r="F168" s="9">
        <v>2945.5027894999994</v>
      </c>
      <c r="G168" s="9">
        <v>2881.6184059999996</v>
      </c>
      <c r="H168" s="9">
        <v>2855.0342854999999</v>
      </c>
      <c r="I168" s="9">
        <v>2932.7070064999989</v>
      </c>
      <c r="J168" s="9">
        <v>3023.1580910000002</v>
      </c>
      <c r="K168" s="9">
        <v>3376.5907054999989</v>
      </c>
      <c r="L168" s="9">
        <v>3802.7821249999997</v>
      </c>
      <c r="M168" s="9">
        <v>4167.4958765000001</v>
      </c>
      <c r="N168" s="9">
        <v>4470.0288275000003</v>
      </c>
      <c r="O168" s="9">
        <v>4673.9972599999992</v>
      </c>
      <c r="P168" s="9">
        <v>4648.1807209999997</v>
      </c>
      <c r="Q168" s="9">
        <v>4664.4247459999997</v>
      </c>
      <c r="R168" s="9">
        <v>4796.5300864999999</v>
      </c>
      <c r="S168" s="9">
        <v>4801.915273999999</v>
      </c>
      <c r="T168" s="9">
        <v>4662.1361974999991</v>
      </c>
      <c r="U168" s="9">
        <v>4593.0303215000004</v>
      </c>
      <c r="V168" s="9">
        <v>4879.5394324999997</v>
      </c>
      <c r="W168" s="9">
        <v>4856.4538700000003</v>
      </c>
      <c r="X168" s="9">
        <v>4588.2192635000001</v>
      </c>
      <c r="Y168" s="9">
        <v>4234.9560350000002</v>
      </c>
      <c r="Z168" s="9">
        <v>3803.8919645000005</v>
      </c>
      <c r="AA168" s="9">
        <v>3447.8813270000001</v>
      </c>
      <c r="AB168" s="10">
        <f t="shared" ref="AB168:AB169" si="41">SUM(D168:AA168)*B168</f>
        <v>476990.91560249979</v>
      </c>
      <c r="AC168" s="11"/>
    </row>
    <row r="169" spans="1:29" x14ac:dyDescent="0.25">
      <c r="A169" s="7" t="s">
        <v>31</v>
      </c>
      <c r="B169" s="8">
        <v>7</v>
      </c>
      <c r="C169" s="38"/>
      <c r="D169" s="9">
        <v>3198.8551849999994</v>
      </c>
      <c r="E169" s="9">
        <v>3063.0857224999991</v>
      </c>
      <c r="F169" s="9">
        <v>2956.4360225</v>
      </c>
      <c r="G169" s="9">
        <v>2884.1438149999985</v>
      </c>
      <c r="H169" s="9">
        <v>2859.6728224999988</v>
      </c>
      <c r="I169" s="9">
        <v>2898.4389199999996</v>
      </c>
      <c r="J169" s="9">
        <v>2973.527472499999</v>
      </c>
      <c r="K169" s="9">
        <v>3381.2418049999997</v>
      </c>
      <c r="L169" s="9">
        <v>3833.992977500001</v>
      </c>
      <c r="M169" s="9">
        <v>4206.7910750000001</v>
      </c>
      <c r="N169" s="9">
        <v>4481.3675749999993</v>
      </c>
      <c r="O169" s="9">
        <v>4717.7440474999985</v>
      </c>
      <c r="P169" s="9">
        <v>4676.2414325</v>
      </c>
      <c r="Q169" s="9">
        <v>4677.8312074999994</v>
      </c>
      <c r="R169" s="9">
        <v>4820.6872625000005</v>
      </c>
      <c r="S169" s="9">
        <v>4809.1910750000006</v>
      </c>
      <c r="T169" s="9">
        <v>4672.310667499999</v>
      </c>
      <c r="U169" s="9">
        <v>4575.6106474999988</v>
      </c>
      <c r="V169" s="9">
        <v>4876.7194024999999</v>
      </c>
      <c r="W169" s="9">
        <v>4838.1947974999994</v>
      </c>
      <c r="X169" s="9">
        <v>4597.1975299999995</v>
      </c>
      <c r="Y169" s="9">
        <v>4237.9309774999992</v>
      </c>
      <c r="Z169" s="9">
        <v>3800.9742199999991</v>
      </c>
      <c r="AA169" s="9">
        <v>3424.4407849999998</v>
      </c>
      <c r="AB169" s="10">
        <f t="shared" si="41"/>
        <v>668238.39211500005</v>
      </c>
      <c r="AC169" s="4">
        <f>+AB167+AB168+AB169</f>
        <v>2957376.8736299998</v>
      </c>
    </row>
    <row r="170" spans="1:29" x14ac:dyDescent="0.25">
      <c r="A170" s="5">
        <v>2029</v>
      </c>
      <c r="B170" s="5"/>
      <c r="C170" s="5"/>
      <c r="AB170" s="6"/>
      <c r="AC170" s="6"/>
    </row>
    <row r="171" spans="1:29" x14ac:dyDescent="0.25">
      <c r="A171" s="7" t="s">
        <v>29</v>
      </c>
      <c r="B171" s="8">
        <v>21</v>
      </c>
      <c r="C171" s="37">
        <v>47119</v>
      </c>
      <c r="D171" s="9">
        <v>3195.5669649999982</v>
      </c>
      <c r="E171" s="9">
        <v>3036.03226</v>
      </c>
      <c r="F171" s="9">
        <v>2907.4507799999992</v>
      </c>
      <c r="G171" s="9">
        <v>2825.577047499999</v>
      </c>
      <c r="H171" s="9">
        <v>2792.7180600000002</v>
      </c>
      <c r="I171" s="9">
        <v>2846.850562499998</v>
      </c>
      <c r="J171" s="9">
        <v>2916.4556024999983</v>
      </c>
      <c r="K171" s="9">
        <v>3301.1827699999985</v>
      </c>
      <c r="L171" s="9">
        <v>3735.8022124999979</v>
      </c>
      <c r="M171" s="9">
        <v>4097.6401749999977</v>
      </c>
      <c r="N171" s="9">
        <v>4382.2661074999987</v>
      </c>
      <c r="O171" s="9">
        <v>4627.8294174999992</v>
      </c>
      <c r="P171" s="9">
        <v>4620.7182824999991</v>
      </c>
      <c r="Q171" s="9">
        <v>4649.5129199999974</v>
      </c>
      <c r="R171" s="9">
        <v>4796.5824324999976</v>
      </c>
      <c r="S171" s="9">
        <v>4802.8704925000011</v>
      </c>
      <c r="T171" s="9">
        <v>4663.2357424999991</v>
      </c>
      <c r="U171" s="9">
        <v>4568.3324274999986</v>
      </c>
      <c r="V171" s="9">
        <v>4869.465432500001</v>
      </c>
      <c r="W171" s="9">
        <v>4852.3461500000003</v>
      </c>
      <c r="X171" s="9">
        <v>4614.0750599999983</v>
      </c>
      <c r="Y171" s="9">
        <v>4266.5685875000008</v>
      </c>
      <c r="Z171" s="9">
        <v>3836.863707499997</v>
      </c>
      <c r="AA171" s="9">
        <v>3463.5591899999972</v>
      </c>
      <c r="AB171" s="10">
        <f>SUM(D171:AA171)*B171</f>
        <v>1988059.5500849998</v>
      </c>
      <c r="AC171" s="11"/>
    </row>
    <row r="172" spans="1:29" x14ac:dyDescent="0.25">
      <c r="A172" s="7" t="s">
        <v>30</v>
      </c>
      <c r="B172" s="8">
        <v>4</v>
      </c>
      <c r="C172" s="38"/>
      <c r="D172" s="9">
        <v>3147.3774806250003</v>
      </c>
      <c r="E172" s="9">
        <v>3020.0645868749998</v>
      </c>
      <c r="F172" s="9">
        <v>2960.4149924999992</v>
      </c>
      <c r="G172" s="9">
        <v>2873.2403568749996</v>
      </c>
      <c r="H172" s="9">
        <v>2833.732308749999</v>
      </c>
      <c r="I172" s="9">
        <v>2849.0198887500001</v>
      </c>
      <c r="J172" s="9">
        <v>2885.375797499999</v>
      </c>
      <c r="K172" s="9">
        <v>3250.910919375</v>
      </c>
      <c r="L172" s="9">
        <v>3701.9312006250002</v>
      </c>
      <c r="M172" s="9">
        <v>4111.9382850000002</v>
      </c>
      <c r="N172" s="9">
        <v>4403.2887543749994</v>
      </c>
      <c r="O172" s="9">
        <v>4640.7844087499998</v>
      </c>
      <c r="P172" s="9">
        <v>4601.8382681250005</v>
      </c>
      <c r="Q172" s="9">
        <v>4633.2939581249993</v>
      </c>
      <c r="R172" s="9">
        <v>4785.0375037499998</v>
      </c>
      <c r="S172" s="9">
        <v>4808.9270775000005</v>
      </c>
      <c r="T172" s="9">
        <v>4674.7479056249995</v>
      </c>
      <c r="U172" s="9">
        <v>4542.1386674999994</v>
      </c>
      <c r="V172" s="9">
        <v>4824.8162418749998</v>
      </c>
      <c r="W172" s="9">
        <v>4828.3599262500002</v>
      </c>
      <c r="X172" s="9">
        <v>4651.563013125</v>
      </c>
      <c r="Y172" s="9">
        <v>4304.6777418749998</v>
      </c>
      <c r="Z172" s="9">
        <v>3874.627509375</v>
      </c>
      <c r="AA172" s="9">
        <v>3462.4506000000001</v>
      </c>
      <c r="AB172" s="10">
        <f t="shared" ref="AB172:AB173" si="42">SUM(D172:AA172)*B172</f>
        <v>378682.22957249999</v>
      </c>
      <c r="AC172" s="11"/>
    </row>
    <row r="173" spans="1:29" x14ac:dyDescent="0.25">
      <c r="A173" s="7" t="s">
        <v>31</v>
      </c>
      <c r="B173" s="8">
        <v>7</v>
      </c>
      <c r="C173" s="38"/>
      <c r="D173" s="9">
        <v>2232.9951749999991</v>
      </c>
      <c r="E173" s="9">
        <v>2093.2848449999992</v>
      </c>
      <c r="F173" s="9">
        <v>1993.3666949999997</v>
      </c>
      <c r="G173" s="9">
        <v>1953.7528725000002</v>
      </c>
      <c r="H173" s="9">
        <v>1923.2750699999997</v>
      </c>
      <c r="I173" s="9">
        <v>1963.2937275000004</v>
      </c>
      <c r="J173" s="9">
        <v>1988.5568775000002</v>
      </c>
      <c r="K173" s="9">
        <v>2306.2684424999989</v>
      </c>
      <c r="L173" s="9">
        <v>2691.9804374999994</v>
      </c>
      <c r="M173" s="9">
        <v>3025.4124450000008</v>
      </c>
      <c r="N173" s="9">
        <v>3294.2162024999998</v>
      </c>
      <c r="O173" s="9">
        <v>3480.3891075000001</v>
      </c>
      <c r="P173" s="9">
        <v>3458.8023449999991</v>
      </c>
      <c r="Q173" s="9">
        <v>3486.2904975000001</v>
      </c>
      <c r="R173" s="9">
        <v>3643.1937299999991</v>
      </c>
      <c r="S173" s="9">
        <v>3688.4250750000001</v>
      </c>
      <c r="T173" s="9">
        <v>3577.776967499999</v>
      </c>
      <c r="U173" s="9">
        <v>3486.8992724999998</v>
      </c>
      <c r="V173" s="9">
        <v>3716.3485650000002</v>
      </c>
      <c r="W173" s="9">
        <v>3683.2432799999997</v>
      </c>
      <c r="X173" s="9">
        <v>3477.6782774999992</v>
      </c>
      <c r="Y173" s="9">
        <v>3224.2455674999992</v>
      </c>
      <c r="Z173" s="9">
        <v>2867.7172499999988</v>
      </c>
      <c r="AA173" s="9">
        <v>2520.568942500001</v>
      </c>
      <c r="AB173" s="10">
        <f t="shared" si="42"/>
        <v>488445.87167249992</v>
      </c>
      <c r="AC173" s="4">
        <f>+AB171+AB172+AB173</f>
        <v>2855187.6513299998</v>
      </c>
    </row>
    <row r="174" spans="1:29" x14ac:dyDescent="0.25">
      <c r="A174" s="23"/>
    </row>
    <row r="175" spans="1:29" x14ac:dyDescent="0.25">
      <c r="A175" s="7" t="s">
        <v>29</v>
      </c>
      <c r="B175" s="8">
        <v>20</v>
      </c>
      <c r="C175" s="37">
        <v>47150</v>
      </c>
      <c r="D175" s="9">
        <v>2881.5014417499988</v>
      </c>
      <c r="E175" s="9">
        <v>2731.5076948750002</v>
      </c>
      <c r="F175" s="9">
        <v>2623.7243259999996</v>
      </c>
      <c r="G175" s="9">
        <v>2549.0937358749989</v>
      </c>
      <c r="H175" s="9">
        <v>2517.9369467499992</v>
      </c>
      <c r="I175" s="9">
        <v>2549.1400644999985</v>
      </c>
      <c r="J175" s="9">
        <v>2588.7724457499999</v>
      </c>
      <c r="K175" s="9">
        <v>2964.087288624999</v>
      </c>
      <c r="L175" s="9">
        <v>3399.8649193749989</v>
      </c>
      <c r="M175" s="9">
        <v>3770.5208334999998</v>
      </c>
      <c r="N175" s="9">
        <v>4052.3427418749989</v>
      </c>
      <c r="O175" s="9">
        <v>4275.9450981250002</v>
      </c>
      <c r="P175" s="9">
        <v>4242.132903624999</v>
      </c>
      <c r="Q175" s="9">
        <v>4271.6517399999993</v>
      </c>
      <c r="R175" s="9">
        <v>4438.8912958749997</v>
      </c>
      <c r="S175" s="9">
        <v>4472.0927657499979</v>
      </c>
      <c r="T175" s="9">
        <v>4351.0580136250001</v>
      </c>
      <c r="U175" s="9">
        <v>4256.2098283750001</v>
      </c>
      <c r="V175" s="9">
        <v>4545.5478861249994</v>
      </c>
      <c r="W175" s="9">
        <v>4522.3227812499999</v>
      </c>
      <c r="X175" s="9">
        <v>4295.3609211249995</v>
      </c>
      <c r="Y175" s="9">
        <v>3980.1189696249994</v>
      </c>
      <c r="Z175" s="9">
        <v>3566.0415549999989</v>
      </c>
      <c r="AA175" s="9">
        <v>3174.2254712499989</v>
      </c>
      <c r="AB175" s="10">
        <f>SUM(D175:AA175)*B175</f>
        <v>1740401.8333724998</v>
      </c>
      <c r="AC175" s="11"/>
    </row>
    <row r="176" spans="1:29" x14ac:dyDescent="0.25">
      <c r="A176" s="7" t="s">
        <v>30</v>
      </c>
      <c r="B176" s="8">
        <v>4</v>
      </c>
      <c r="C176" s="38"/>
      <c r="D176" s="9">
        <v>2902.73965</v>
      </c>
      <c r="E176" s="9">
        <v>2714.087475625</v>
      </c>
      <c r="F176" s="9">
        <v>2581.3274312500002</v>
      </c>
      <c r="G176" s="9">
        <v>2507.5627787499993</v>
      </c>
      <c r="H176" s="9">
        <v>2482.8413424999994</v>
      </c>
      <c r="I176" s="9">
        <v>2579.1707706249995</v>
      </c>
      <c r="J176" s="9">
        <v>2638.0117862499997</v>
      </c>
      <c r="K176" s="9">
        <v>3005.138379999999</v>
      </c>
      <c r="L176" s="9">
        <v>3390.6990624999994</v>
      </c>
      <c r="M176" s="9">
        <v>3723.0530424999993</v>
      </c>
      <c r="N176" s="9">
        <v>3990.6578537499995</v>
      </c>
      <c r="O176" s="9">
        <v>4250.3974825000005</v>
      </c>
      <c r="P176" s="9">
        <v>4279.7826906249993</v>
      </c>
      <c r="Q176" s="9">
        <v>4304.2766312500007</v>
      </c>
      <c r="R176" s="9">
        <v>4462.4591312499997</v>
      </c>
      <c r="S176" s="9">
        <v>4480.8253243749987</v>
      </c>
      <c r="T176" s="9">
        <v>4357.0377662499995</v>
      </c>
      <c r="U176" s="9">
        <v>4249.3501206250003</v>
      </c>
      <c r="V176" s="9">
        <v>4546.644115000001</v>
      </c>
      <c r="W176" s="9">
        <v>4531.8006193749989</v>
      </c>
      <c r="X176" s="9">
        <v>4286.9945237499996</v>
      </c>
      <c r="Y176" s="9">
        <v>3957.2820156249995</v>
      </c>
      <c r="Z176" s="9">
        <v>3535.5974087499994</v>
      </c>
      <c r="AA176" s="9">
        <v>3205.0902999999994</v>
      </c>
      <c r="AB176" s="10">
        <f t="shared" ref="AB176:AB177" si="43">SUM(D176:AA176)*B176</f>
        <v>347851.3108124999</v>
      </c>
      <c r="AC176" s="11"/>
    </row>
    <row r="177" spans="1:29" x14ac:dyDescent="0.25">
      <c r="A177" s="7" t="s">
        <v>31</v>
      </c>
      <c r="B177" s="8">
        <v>4</v>
      </c>
      <c r="C177" s="38"/>
      <c r="D177" s="9">
        <v>2923.7099087499996</v>
      </c>
      <c r="E177" s="9">
        <v>2752.3442256249996</v>
      </c>
      <c r="F177" s="9">
        <v>2608.0633187499993</v>
      </c>
      <c r="G177" s="9">
        <v>2503.2455462499997</v>
      </c>
      <c r="H177" s="9">
        <v>2459.1532506250001</v>
      </c>
      <c r="I177" s="9">
        <v>2532.4726506249995</v>
      </c>
      <c r="J177" s="9">
        <v>2641.6182474999991</v>
      </c>
      <c r="K177" s="9">
        <v>3001.2428274999997</v>
      </c>
      <c r="L177" s="9">
        <v>3421.1644318749991</v>
      </c>
      <c r="M177" s="9">
        <v>3747.9345643749998</v>
      </c>
      <c r="N177" s="9">
        <v>4005.458942499999</v>
      </c>
      <c r="O177" s="9">
        <v>4225.7507800000003</v>
      </c>
      <c r="P177" s="9">
        <v>4224.8315312499999</v>
      </c>
      <c r="Q177" s="9">
        <v>4303.1637625000003</v>
      </c>
      <c r="R177" s="9">
        <v>4472.8276843749991</v>
      </c>
      <c r="S177" s="9">
        <v>4501.7736512499996</v>
      </c>
      <c r="T177" s="9">
        <v>4350.5649362499989</v>
      </c>
      <c r="U177" s="9">
        <v>4257.126630625</v>
      </c>
      <c r="V177" s="9">
        <v>4546.7156331249989</v>
      </c>
      <c r="W177" s="9">
        <v>4537.8989799999999</v>
      </c>
      <c r="X177" s="9">
        <v>4311.7926887499998</v>
      </c>
      <c r="Y177" s="9">
        <v>3949.6016462499997</v>
      </c>
      <c r="Z177" s="9">
        <v>3518.8246431249995</v>
      </c>
      <c r="AA177" s="9">
        <v>3160.2774812499997</v>
      </c>
      <c r="AB177" s="10">
        <f t="shared" si="43"/>
        <v>347830.23185249988</v>
      </c>
      <c r="AC177" s="4">
        <f>+AB175+AB176+AB177</f>
        <v>2436083.3760374994</v>
      </c>
    </row>
    <row r="178" spans="1:29" x14ac:dyDescent="0.25">
      <c r="A178" s="23"/>
    </row>
    <row r="179" spans="1:29" x14ac:dyDescent="0.25">
      <c r="A179" s="7" t="s">
        <v>29</v>
      </c>
      <c r="B179" s="8">
        <v>19</v>
      </c>
      <c r="C179" s="37">
        <v>47178</v>
      </c>
      <c r="D179" s="9">
        <v>3307.4714897368399</v>
      </c>
      <c r="E179" s="9">
        <v>3136.78564223684</v>
      </c>
      <c r="F179" s="9">
        <v>3013.188545131577</v>
      </c>
      <c r="G179" s="9">
        <v>2938.0931032894719</v>
      </c>
      <c r="H179" s="9">
        <v>2909.6473874999997</v>
      </c>
      <c r="I179" s="9">
        <v>2964.5435565789453</v>
      </c>
      <c r="J179" s="9">
        <v>3023.4441493421041</v>
      </c>
      <c r="K179" s="9">
        <v>3383.4270031578931</v>
      </c>
      <c r="L179" s="9">
        <v>3795.9017719736826</v>
      </c>
      <c r="M179" s="9">
        <v>4139.7231418421052</v>
      </c>
      <c r="N179" s="9">
        <v>4403.9791314473659</v>
      </c>
      <c r="O179" s="9">
        <v>4634.3354482894702</v>
      </c>
      <c r="P179" s="9">
        <v>4622.6858005263148</v>
      </c>
      <c r="Q179" s="9">
        <v>4659.6131151315785</v>
      </c>
      <c r="R179" s="9">
        <v>4817.5309349999989</v>
      </c>
      <c r="S179" s="9">
        <v>4825.4472911842076</v>
      </c>
      <c r="T179" s="9">
        <v>4684.893815921052</v>
      </c>
      <c r="U179" s="9">
        <v>4600.014982499999</v>
      </c>
      <c r="V179" s="9">
        <v>4915.32302210526</v>
      </c>
      <c r="W179" s="9">
        <v>4915.8536699999968</v>
      </c>
      <c r="X179" s="9">
        <v>4692.5867486842089</v>
      </c>
      <c r="Y179" s="9">
        <v>4363.9678507894714</v>
      </c>
      <c r="Z179" s="9">
        <v>3938.294499078946</v>
      </c>
      <c r="AA179" s="9">
        <v>3566.1015627631564</v>
      </c>
      <c r="AB179" s="10">
        <f>SUM(D179:AA179)*B179</f>
        <v>1828804.2196199992</v>
      </c>
      <c r="AC179" s="11"/>
    </row>
    <row r="180" spans="1:29" x14ac:dyDescent="0.25">
      <c r="A180" s="7" t="s">
        <v>30</v>
      </c>
      <c r="B180" s="8">
        <v>5</v>
      </c>
      <c r="C180" s="38"/>
      <c r="D180" s="9">
        <v>3314.601160499999</v>
      </c>
      <c r="E180" s="9">
        <v>3182.1394605</v>
      </c>
      <c r="F180" s="9">
        <v>3058.9489140000001</v>
      </c>
      <c r="G180" s="9">
        <v>2975.046196499999</v>
      </c>
      <c r="H180" s="9">
        <v>2936.2912949999995</v>
      </c>
      <c r="I180" s="9">
        <v>2945.1898980000001</v>
      </c>
      <c r="J180" s="9">
        <v>2983.5790004999994</v>
      </c>
      <c r="K180" s="9">
        <v>3365.3255999999997</v>
      </c>
      <c r="L180" s="9">
        <v>3828.2375145000001</v>
      </c>
      <c r="M180" s="9">
        <v>4166.6540789999999</v>
      </c>
      <c r="N180" s="9">
        <v>4432.5982259999982</v>
      </c>
      <c r="O180" s="9">
        <v>4625.0784719999992</v>
      </c>
      <c r="P180" s="9">
        <v>4585.0317344999985</v>
      </c>
      <c r="Q180" s="9">
        <v>4613.2885260000003</v>
      </c>
      <c r="R180" s="9">
        <v>4769.839367999999</v>
      </c>
      <c r="S180" s="9">
        <v>4826.6650635000005</v>
      </c>
      <c r="T180" s="9">
        <v>4703.4323594999987</v>
      </c>
      <c r="U180" s="9">
        <v>4614.4817039999998</v>
      </c>
      <c r="V180" s="9">
        <v>4892.3010779999986</v>
      </c>
      <c r="W180" s="9">
        <v>4888.7167559999998</v>
      </c>
      <c r="X180" s="9">
        <v>4665.4330799999989</v>
      </c>
      <c r="Y180" s="9">
        <v>4368.4377029999996</v>
      </c>
      <c r="Z180" s="9">
        <v>3982.7615625000003</v>
      </c>
      <c r="AA180" s="9">
        <v>3587.6041529999989</v>
      </c>
      <c r="AB180" s="10">
        <f t="shared" ref="AB180:AB181" si="44">SUM(D180:AA180)*B180</f>
        <v>481558.41452250001</v>
      </c>
      <c r="AC180" s="11"/>
    </row>
    <row r="181" spans="1:29" x14ac:dyDescent="0.25">
      <c r="A181" s="7" t="s">
        <v>31</v>
      </c>
      <c r="B181" s="8">
        <v>7</v>
      </c>
      <c r="C181" s="38"/>
      <c r="D181" s="9">
        <v>3280.8787875000007</v>
      </c>
      <c r="E181" s="9">
        <v>3141.4307550000003</v>
      </c>
      <c r="F181" s="9">
        <v>3060.7375499999998</v>
      </c>
      <c r="G181" s="9">
        <v>2975.0172524999989</v>
      </c>
      <c r="H181" s="9">
        <v>2929.6020375000007</v>
      </c>
      <c r="I181" s="9">
        <v>2939.31423</v>
      </c>
      <c r="J181" s="9">
        <v>2969.1979050000009</v>
      </c>
      <c r="K181" s="9">
        <v>3332.0182949999989</v>
      </c>
      <c r="L181" s="9">
        <v>3759.9399224999988</v>
      </c>
      <c r="M181" s="9">
        <v>4155.7245074999992</v>
      </c>
      <c r="N181" s="9">
        <v>4452.9069600000003</v>
      </c>
      <c r="O181" s="9">
        <v>4684.5594825000007</v>
      </c>
      <c r="P181" s="9">
        <v>4626.8104574999988</v>
      </c>
      <c r="Q181" s="9">
        <v>4626.9845549999991</v>
      </c>
      <c r="R181" s="9">
        <v>4765.6920899999996</v>
      </c>
      <c r="S181" s="9">
        <v>4797.797160000001</v>
      </c>
      <c r="T181" s="9">
        <v>4691.9816250000003</v>
      </c>
      <c r="U181" s="9">
        <v>4610.3858924999995</v>
      </c>
      <c r="V181" s="9">
        <v>4911.2761650000011</v>
      </c>
      <c r="W181" s="9">
        <v>4914.2804474999994</v>
      </c>
      <c r="X181" s="9">
        <v>4725.4118024999998</v>
      </c>
      <c r="Y181" s="9">
        <v>4414.7712750000001</v>
      </c>
      <c r="Z181" s="9">
        <v>4002.2078849999998</v>
      </c>
      <c r="AA181" s="9">
        <v>3618.4651049999993</v>
      </c>
      <c r="AB181" s="10">
        <f t="shared" si="44"/>
        <v>674711.74501499999</v>
      </c>
      <c r="AC181" s="4">
        <f>+AB179+AB180+AB181</f>
        <v>2985074.3791574994</v>
      </c>
    </row>
    <row r="182" spans="1:29" x14ac:dyDescent="0.25">
      <c r="A182" s="23"/>
    </row>
    <row r="183" spans="1:29" x14ac:dyDescent="0.25">
      <c r="A183" s="7" t="s">
        <v>29</v>
      </c>
      <c r="B183" s="8">
        <v>21</v>
      </c>
      <c r="C183" s="37">
        <v>47209</v>
      </c>
      <c r="D183" s="9">
        <v>3215.7990574999994</v>
      </c>
      <c r="E183" s="9">
        <v>3070.8181374999995</v>
      </c>
      <c r="F183" s="9">
        <v>2965.2609624999996</v>
      </c>
      <c r="G183" s="9">
        <v>2885.8982199999991</v>
      </c>
      <c r="H183" s="9">
        <v>2851.8045899999997</v>
      </c>
      <c r="I183" s="9">
        <v>2894.5558224999995</v>
      </c>
      <c r="J183" s="9">
        <v>2950.9641949999996</v>
      </c>
      <c r="K183" s="9">
        <v>3322.5716174999989</v>
      </c>
      <c r="L183" s="9">
        <v>3757.1401224999991</v>
      </c>
      <c r="M183" s="9">
        <v>4118.4997574999989</v>
      </c>
      <c r="N183" s="9">
        <v>4390.5267924999998</v>
      </c>
      <c r="O183" s="9">
        <v>4594.4802050000008</v>
      </c>
      <c r="P183" s="9">
        <v>4556.3584600000013</v>
      </c>
      <c r="Q183" s="9">
        <v>4583.1042900000002</v>
      </c>
      <c r="R183" s="9">
        <v>4741.6343924999992</v>
      </c>
      <c r="S183" s="9">
        <v>4769.8301624999986</v>
      </c>
      <c r="T183" s="9">
        <v>4634.9966924999999</v>
      </c>
      <c r="U183" s="9">
        <v>4531.1024300000008</v>
      </c>
      <c r="V183" s="9">
        <v>4808.4883975000002</v>
      </c>
      <c r="W183" s="9">
        <v>4785.496047499998</v>
      </c>
      <c r="X183" s="9">
        <v>4558.486677500001</v>
      </c>
      <c r="Y183" s="9">
        <v>4240.5221875000007</v>
      </c>
      <c r="Z183" s="9">
        <v>3835.0505125</v>
      </c>
      <c r="AA183" s="9">
        <v>3475.8830949999992</v>
      </c>
      <c r="AB183" s="10">
        <f>SUM(D183:AA183)*B183</f>
        <v>1985324.7293249997</v>
      </c>
      <c r="AC183" s="11"/>
    </row>
    <row r="184" spans="1:29" x14ac:dyDescent="0.25">
      <c r="A184" s="7" t="s">
        <v>30</v>
      </c>
      <c r="B184" s="8">
        <v>5</v>
      </c>
      <c r="C184" s="38"/>
      <c r="D184" s="9">
        <v>3218.1947855000008</v>
      </c>
      <c r="E184" s="9">
        <v>3097.1254069999995</v>
      </c>
      <c r="F184" s="9">
        <v>2981.0547110000007</v>
      </c>
      <c r="G184" s="9">
        <v>2907.8856920000007</v>
      </c>
      <c r="H184" s="9">
        <v>2869.43192</v>
      </c>
      <c r="I184" s="9">
        <v>2937.602519</v>
      </c>
      <c r="J184" s="9">
        <v>2983.2071585000012</v>
      </c>
      <c r="K184" s="9">
        <v>3346.1036645000004</v>
      </c>
      <c r="L184" s="9">
        <v>3766.7784050000009</v>
      </c>
      <c r="M184" s="9">
        <v>4087.1595605000011</v>
      </c>
      <c r="N184" s="9">
        <v>4346.7171245000009</v>
      </c>
      <c r="O184" s="9">
        <v>4583.2204790000005</v>
      </c>
      <c r="P184" s="9">
        <v>4594.1928319999997</v>
      </c>
      <c r="Q184" s="9">
        <v>4600.9345565000003</v>
      </c>
      <c r="R184" s="9">
        <v>4745.192156000001</v>
      </c>
      <c r="S184" s="9">
        <v>4729.1227145000012</v>
      </c>
      <c r="T184" s="9">
        <v>4576.8134315000007</v>
      </c>
      <c r="U184" s="9">
        <v>4480.1761880000013</v>
      </c>
      <c r="V184" s="9">
        <v>4774.5725000000011</v>
      </c>
      <c r="W184" s="9">
        <v>4798.6919765000002</v>
      </c>
      <c r="X184" s="9">
        <v>4583.5321295000003</v>
      </c>
      <c r="Y184" s="9">
        <v>4264.9996984999998</v>
      </c>
      <c r="Z184" s="9">
        <v>3829.364484499999</v>
      </c>
      <c r="AA184" s="9">
        <v>3463.689311000001</v>
      </c>
      <c r="AB184" s="10">
        <f t="shared" ref="AB184:AB185" si="45">SUM(D184:AA184)*B184</f>
        <v>472828.817025</v>
      </c>
      <c r="AC184" s="11"/>
    </row>
    <row r="185" spans="1:29" x14ac:dyDescent="0.25">
      <c r="A185" s="7" t="s">
        <v>31</v>
      </c>
      <c r="B185" s="8">
        <v>4</v>
      </c>
      <c r="C185" s="38"/>
      <c r="D185" s="9">
        <v>3220.9502112499999</v>
      </c>
      <c r="E185" s="9">
        <v>3065.0041325000007</v>
      </c>
      <c r="F185" s="9">
        <v>2954.9095587500001</v>
      </c>
      <c r="G185" s="9">
        <v>2880.269495</v>
      </c>
      <c r="H185" s="9">
        <v>2861.2543625000003</v>
      </c>
      <c r="I185" s="9">
        <v>2898.6530525000003</v>
      </c>
      <c r="J185" s="9">
        <v>2958.6196681249999</v>
      </c>
      <c r="K185" s="9">
        <v>3330.2753449999996</v>
      </c>
      <c r="L185" s="9">
        <v>3741.5984731249996</v>
      </c>
      <c r="M185" s="9">
        <v>4098.036618125001</v>
      </c>
      <c r="N185" s="9">
        <v>4373.6477187500004</v>
      </c>
      <c r="O185" s="9">
        <v>4646.4873312500004</v>
      </c>
      <c r="P185" s="9">
        <v>4617.5530062500002</v>
      </c>
      <c r="Q185" s="9">
        <v>4626.6273424999999</v>
      </c>
      <c r="R185" s="9">
        <v>4750.6235093750001</v>
      </c>
      <c r="S185" s="9">
        <v>4738.8119937500014</v>
      </c>
      <c r="T185" s="9">
        <v>4589.9472724999996</v>
      </c>
      <c r="U185" s="9">
        <v>4518.1803368750006</v>
      </c>
      <c r="V185" s="9">
        <v>4864.6532993750006</v>
      </c>
      <c r="W185" s="9">
        <v>4837.7787068750004</v>
      </c>
      <c r="X185" s="9">
        <v>4601.5711137500002</v>
      </c>
      <c r="Y185" s="9">
        <v>4242.1905800000004</v>
      </c>
      <c r="Z185" s="9">
        <v>3802.4192506249997</v>
      </c>
      <c r="AA185" s="9">
        <v>3419.3643537500006</v>
      </c>
      <c r="AB185" s="10">
        <f t="shared" si="45"/>
        <v>378557.70693000004</v>
      </c>
      <c r="AC185" s="4">
        <f>+AB183+AB184+AB185</f>
        <v>2836711.2532799994</v>
      </c>
    </row>
    <row r="186" spans="1:29" x14ac:dyDescent="0.25">
      <c r="A186" s="23"/>
    </row>
    <row r="187" spans="1:29" x14ac:dyDescent="0.25">
      <c r="A187" s="7" t="s">
        <v>29</v>
      </c>
      <c r="B187" s="24">
        <v>21</v>
      </c>
      <c r="C187" s="37">
        <v>47239</v>
      </c>
      <c r="D187" s="9">
        <v>490.25159250000161</v>
      </c>
      <c r="E187" s="9">
        <v>347.63577250000253</v>
      </c>
      <c r="F187" s="9">
        <v>237.30480500000067</v>
      </c>
      <c r="G187" s="9">
        <v>160.17327500000101</v>
      </c>
      <c r="H187" s="9">
        <v>134.431192500002</v>
      </c>
      <c r="I187" s="9">
        <v>203.6601550000014</v>
      </c>
      <c r="J187" s="9">
        <v>281.01992750000409</v>
      </c>
      <c r="K187" s="9">
        <v>665.92455000000245</v>
      </c>
      <c r="L187" s="9">
        <v>1104.7250274999997</v>
      </c>
      <c r="M187" s="9">
        <v>1460.9952875000026</v>
      </c>
      <c r="N187" s="9">
        <v>1733.3142899999993</v>
      </c>
      <c r="O187" s="9">
        <v>1964.9787300000007</v>
      </c>
      <c r="P187" s="9">
        <v>1947.1173625000001</v>
      </c>
      <c r="Q187" s="9">
        <v>1967.1056800000015</v>
      </c>
      <c r="R187" s="9">
        <v>2111.5384675000023</v>
      </c>
      <c r="S187" s="9">
        <v>2111.2564400000028</v>
      </c>
      <c r="T187" s="9">
        <v>1961.7976400000025</v>
      </c>
      <c r="U187" s="9">
        <v>1860.5746300000001</v>
      </c>
      <c r="V187" s="9">
        <v>2153.675470000002</v>
      </c>
      <c r="W187" s="9">
        <v>2137.7578575000007</v>
      </c>
      <c r="X187" s="9">
        <v>1910.4871400000002</v>
      </c>
      <c r="Y187" s="9">
        <v>1566.9600200000014</v>
      </c>
      <c r="Z187" s="9">
        <v>1128.2396600000029</v>
      </c>
      <c r="AA187" s="9">
        <v>749.54709000000275</v>
      </c>
      <c r="AB187" s="10">
        <f>SUM(D187:AA187)*B187</f>
        <v>638199.91331250081</v>
      </c>
      <c r="AC187" s="11"/>
    </row>
    <row r="188" spans="1:29" x14ac:dyDescent="0.25">
      <c r="A188" s="7" t="s">
        <v>30</v>
      </c>
      <c r="B188" s="24">
        <v>4</v>
      </c>
      <c r="C188" s="38"/>
      <c r="D188" s="9">
        <v>470.53637812499892</v>
      </c>
      <c r="E188" s="9">
        <v>311.00624249999964</v>
      </c>
      <c r="F188" s="9">
        <v>219.88107374999981</v>
      </c>
      <c r="G188" s="9">
        <v>196.03935375000037</v>
      </c>
      <c r="H188" s="9">
        <v>180.14195999999993</v>
      </c>
      <c r="I188" s="9">
        <v>238.44792187500025</v>
      </c>
      <c r="J188" s="9">
        <v>278.09105249999993</v>
      </c>
      <c r="K188" s="9">
        <v>654.17201999999997</v>
      </c>
      <c r="L188" s="9">
        <v>1079.7839156250002</v>
      </c>
      <c r="M188" s="9">
        <v>1444.5160368750003</v>
      </c>
      <c r="N188" s="9">
        <v>1722.3571406249994</v>
      </c>
      <c r="O188" s="9">
        <v>1914.0239174999997</v>
      </c>
      <c r="P188" s="9">
        <v>1880.7848681249998</v>
      </c>
      <c r="Q188" s="9">
        <v>1926.2024737499996</v>
      </c>
      <c r="R188" s="9">
        <v>2131.6664081249983</v>
      </c>
      <c r="S188" s="9">
        <v>2130.0892293750003</v>
      </c>
      <c r="T188" s="9">
        <v>1985.3144024999992</v>
      </c>
      <c r="U188" s="9">
        <v>1852.2082518750003</v>
      </c>
      <c r="V188" s="9">
        <v>2125.5707381249995</v>
      </c>
      <c r="W188" s="9">
        <v>2112.1061287499997</v>
      </c>
      <c r="X188" s="9">
        <v>1890.6851474999994</v>
      </c>
      <c r="Y188" s="9">
        <v>1612.3464618749995</v>
      </c>
      <c r="Z188" s="9">
        <v>1195.0602524999995</v>
      </c>
      <c r="AA188" s="9">
        <v>813.59682749999956</v>
      </c>
      <c r="AB188" s="10">
        <f t="shared" ref="AB188:AB189" si="46">SUM(D188:AA188)*B188</f>
        <v>121458.51281249998</v>
      </c>
      <c r="AC188" s="11"/>
    </row>
    <row r="189" spans="1:29" x14ac:dyDescent="0.25">
      <c r="A189" s="7" t="s">
        <v>31</v>
      </c>
      <c r="B189" s="24">
        <v>6</v>
      </c>
      <c r="C189" s="38"/>
      <c r="D189" s="9">
        <v>491.92572249999921</v>
      </c>
      <c r="E189" s="9">
        <v>322.40677499999947</v>
      </c>
      <c r="F189" s="9">
        <v>212.0432087500003</v>
      </c>
      <c r="G189" s="9">
        <v>177.18145875000027</v>
      </c>
      <c r="H189" s="9">
        <v>187.9723962500002</v>
      </c>
      <c r="I189" s="9">
        <v>229.67428374999963</v>
      </c>
      <c r="J189" s="9">
        <v>280.08242125000015</v>
      </c>
      <c r="K189" s="9">
        <v>643.68118999999933</v>
      </c>
      <c r="L189" s="9">
        <v>1062.4189937499987</v>
      </c>
      <c r="M189" s="9">
        <v>1417.5142587500004</v>
      </c>
      <c r="N189" s="9">
        <v>1711.3159399999995</v>
      </c>
      <c r="O189" s="9">
        <v>1925.6130300000004</v>
      </c>
      <c r="P189" s="9">
        <v>1883.6531137499996</v>
      </c>
      <c r="Q189" s="9">
        <v>1906.6159049999997</v>
      </c>
      <c r="R189" s="9">
        <v>2059.0021862499998</v>
      </c>
      <c r="S189" s="9">
        <v>2120.2869412499986</v>
      </c>
      <c r="T189" s="9">
        <v>2006.3980875000007</v>
      </c>
      <c r="U189" s="9">
        <v>1897.5549124999998</v>
      </c>
      <c r="V189" s="9">
        <v>2172.9074200000014</v>
      </c>
      <c r="W189" s="9">
        <v>2136.1324212500003</v>
      </c>
      <c r="X189" s="9">
        <v>1874.2713724999994</v>
      </c>
      <c r="Y189" s="9">
        <v>1556.7483099999999</v>
      </c>
      <c r="Z189" s="9">
        <v>1176.2053237499995</v>
      </c>
      <c r="AA189" s="9">
        <v>805.79525750000084</v>
      </c>
      <c r="AB189" s="10">
        <f t="shared" si="46"/>
        <v>181544.40557999996</v>
      </c>
      <c r="AC189" s="4">
        <f>+AB187+AB188+AB189</f>
        <v>941202.83170500072</v>
      </c>
    </row>
    <row r="190" spans="1:29" x14ac:dyDescent="0.25">
      <c r="A190" s="23"/>
    </row>
    <row r="191" spans="1:29" x14ac:dyDescent="0.25">
      <c r="A191" s="7" t="s">
        <v>29</v>
      </c>
      <c r="B191" s="8">
        <v>19</v>
      </c>
      <c r="C191" s="37">
        <v>47270</v>
      </c>
      <c r="D191" s="9">
        <v>322.35750171052405</v>
      </c>
      <c r="E191" s="9">
        <v>167.51913842105023</v>
      </c>
      <c r="F191" s="9">
        <v>150</v>
      </c>
      <c r="G191" s="9">
        <v>150</v>
      </c>
      <c r="H191" s="9">
        <v>150</v>
      </c>
      <c r="I191" s="9">
        <v>150</v>
      </c>
      <c r="J191" s="9">
        <v>150</v>
      </c>
      <c r="K191" s="9">
        <v>437.20233763157739</v>
      </c>
      <c r="L191" s="9">
        <v>874.15468434210197</v>
      </c>
      <c r="M191" s="9">
        <v>1200</v>
      </c>
      <c r="N191" s="9">
        <v>1500</v>
      </c>
      <c r="O191" s="9">
        <v>1700</v>
      </c>
      <c r="P191" s="9">
        <v>1700</v>
      </c>
      <c r="Q191" s="9">
        <v>1700</v>
      </c>
      <c r="R191" s="9">
        <v>1900</v>
      </c>
      <c r="S191" s="9">
        <v>1900</v>
      </c>
      <c r="T191" s="9">
        <v>1800</v>
      </c>
      <c r="U191" s="9">
        <v>1700</v>
      </c>
      <c r="V191" s="9">
        <v>2000</v>
      </c>
      <c r="W191" s="9">
        <v>1978.3573836842088</v>
      </c>
      <c r="X191" s="9">
        <v>1700</v>
      </c>
      <c r="Y191" s="9">
        <v>1428.6792143421053</v>
      </c>
      <c r="Z191" s="9">
        <v>1012.0249923684187</v>
      </c>
      <c r="AA191" s="9">
        <v>628.15092763157463</v>
      </c>
      <c r="AB191" s="10">
        <f>SUM(D191:AA191)*B191</f>
        <v>501570.47742249962</v>
      </c>
      <c r="AC191" s="11"/>
    </row>
    <row r="192" spans="1:29" x14ac:dyDescent="0.25">
      <c r="A192" s="7" t="s">
        <v>30</v>
      </c>
      <c r="B192" s="8">
        <v>5</v>
      </c>
      <c r="C192" s="38"/>
      <c r="D192" s="9">
        <v>362.56057150000015</v>
      </c>
      <c r="E192" s="9">
        <v>200.90892400000121</v>
      </c>
      <c r="F192" s="9">
        <v>150</v>
      </c>
      <c r="G192" s="9">
        <v>150</v>
      </c>
      <c r="H192" s="9">
        <v>150</v>
      </c>
      <c r="I192" s="9">
        <v>150</v>
      </c>
      <c r="J192" s="9">
        <v>150</v>
      </c>
      <c r="K192" s="9">
        <v>438.67063000000053</v>
      </c>
      <c r="L192" s="9">
        <v>866.96392900000046</v>
      </c>
      <c r="M192" s="9">
        <v>1200</v>
      </c>
      <c r="N192" s="9">
        <v>1500</v>
      </c>
      <c r="O192" s="9">
        <v>1700</v>
      </c>
      <c r="P192" s="9">
        <v>1700</v>
      </c>
      <c r="Q192" s="9">
        <v>1800</v>
      </c>
      <c r="R192" s="9">
        <v>1900</v>
      </c>
      <c r="S192" s="9">
        <v>1900</v>
      </c>
      <c r="T192" s="9">
        <v>1800</v>
      </c>
      <c r="U192" s="9">
        <v>1700</v>
      </c>
      <c r="V192" s="9">
        <v>2000</v>
      </c>
      <c r="W192" s="9">
        <v>2000</v>
      </c>
      <c r="X192" s="9">
        <v>1700</v>
      </c>
      <c r="Y192" s="9">
        <v>1400</v>
      </c>
      <c r="Z192" s="9">
        <v>983.95244050000019</v>
      </c>
      <c r="AA192" s="9">
        <v>617.10904749999918</v>
      </c>
      <c r="AB192" s="10">
        <f t="shared" ref="AB192:AB193" si="47">SUM(D192:AA192)*B192</f>
        <v>132600.8277125</v>
      </c>
      <c r="AC192" s="11"/>
    </row>
    <row r="193" spans="1:29" x14ac:dyDescent="0.25">
      <c r="A193" s="7" t="s">
        <v>31</v>
      </c>
      <c r="B193" s="8">
        <v>6</v>
      </c>
      <c r="C193" s="38"/>
      <c r="D193" s="9">
        <v>373.23951250000027</v>
      </c>
      <c r="E193" s="9">
        <v>219.3288849999999</v>
      </c>
      <c r="F193" s="9">
        <v>150</v>
      </c>
      <c r="G193" s="9">
        <v>150</v>
      </c>
      <c r="H193" s="9">
        <v>150</v>
      </c>
      <c r="I193" s="9">
        <v>150</v>
      </c>
      <c r="J193" s="9">
        <v>150</v>
      </c>
      <c r="K193" s="9">
        <v>423.3501499999993</v>
      </c>
      <c r="L193" s="9">
        <v>854.78304875000049</v>
      </c>
      <c r="M193" s="9">
        <v>1200</v>
      </c>
      <c r="N193" s="9">
        <v>1400</v>
      </c>
      <c r="O193" s="9">
        <v>1700</v>
      </c>
      <c r="P193" s="9">
        <v>1700</v>
      </c>
      <c r="Q193" s="9">
        <v>1700</v>
      </c>
      <c r="R193" s="9">
        <v>1900</v>
      </c>
      <c r="S193" s="9">
        <v>1900</v>
      </c>
      <c r="T193" s="9">
        <v>1700</v>
      </c>
      <c r="U193" s="9">
        <v>1600</v>
      </c>
      <c r="V193" s="9">
        <v>2000</v>
      </c>
      <c r="W193" s="9">
        <v>2000</v>
      </c>
      <c r="X193" s="9">
        <v>1800</v>
      </c>
      <c r="Y193" s="9">
        <v>1400</v>
      </c>
      <c r="Z193" s="9">
        <v>1000</v>
      </c>
      <c r="AA193" s="9">
        <v>622.72931250000056</v>
      </c>
      <c r="AB193" s="10">
        <f t="shared" si="47"/>
        <v>157460.5854525</v>
      </c>
      <c r="AC193" s="4">
        <f>+AB191+AB192+AB193</f>
        <v>791631.8905874996</v>
      </c>
    </row>
    <row r="194" spans="1:29" x14ac:dyDescent="0.25">
      <c r="A194" s="23"/>
    </row>
    <row r="195" spans="1:29" x14ac:dyDescent="0.25">
      <c r="A195" s="7" t="s">
        <v>29</v>
      </c>
      <c r="B195" s="8">
        <v>20</v>
      </c>
      <c r="C195" s="37">
        <v>47300</v>
      </c>
      <c r="D195" s="9">
        <v>637.44963600000301</v>
      </c>
      <c r="E195" s="9">
        <v>476.7201851250029</v>
      </c>
      <c r="F195" s="9">
        <v>346.33178625000073</v>
      </c>
      <c r="G195" s="9">
        <v>255.16011562500171</v>
      </c>
      <c r="H195" s="9">
        <v>221.35823475000143</v>
      </c>
      <c r="I195" s="9">
        <v>269.51295150000078</v>
      </c>
      <c r="J195" s="9">
        <v>329.10041475000253</v>
      </c>
      <c r="K195" s="9">
        <v>697.87439812500179</v>
      </c>
      <c r="L195" s="9">
        <v>1113.7011206250027</v>
      </c>
      <c r="M195" s="9">
        <v>1454.1352916250016</v>
      </c>
      <c r="N195" s="9">
        <v>1713.7284243750019</v>
      </c>
      <c r="O195" s="9">
        <v>1944.4869952500012</v>
      </c>
      <c r="P195" s="9">
        <v>1934.6371867500011</v>
      </c>
      <c r="Q195" s="9">
        <v>1977.710013750002</v>
      </c>
      <c r="R195" s="9">
        <v>2140.557291000001</v>
      </c>
      <c r="S195" s="9">
        <v>2160.7876357500008</v>
      </c>
      <c r="T195" s="9">
        <v>2030.5288278750013</v>
      </c>
      <c r="U195" s="9">
        <v>1947.0974842500027</v>
      </c>
      <c r="V195" s="9">
        <v>2256.9911951250033</v>
      </c>
      <c r="W195" s="9">
        <v>2252.4829781250028</v>
      </c>
      <c r="X195" s="9">
        <v>2027.8782341250026</v>
      </c>
      <c r="Y195" s="9">
        <v>1696.4381032500023</v>
      </c>
      <c r="Z195" s="9">
        <v>1272.4352748750007</v>
      </c>
      <c r="AA195" s="9">
        <v>896.23217662500247</v>
      </c>
      <c r="AB195" s="10">
        <f>SUM(D195:AA195)*B195</f>
        <v>641066.71911000099</v>
      </c>
      <c r="AC195" s="11"/>
    </row>
    <row r="196" spans="1:29" x14ac:dyDescent="0.25">
      <c r="A196" s="7" t="s">
        <v>30</v>
      </c>
      <c r="B196" s="8">
        <v>4</v>
      </c>
      <c r="C196" s="38"/>
      <c r="D196" s="9">
        <v>578.89738874999966</v>
      </c>
      <c r="E196" s="9">
        <v>443.87497500000063</v>
      </c>
      <c r="F196" s="9">
        <v>381.06182250000074</v>
      </c>
      <c r="G196" s="9">
        <v>286.47838687500007</v>
      </c>
      <c r="H196" s="9">
        <v>246.47602499999994</v>
      </c>
      <c r="I196" s="9">
        <v>258.45615749999979</v>
      </c>
      <c r="J196" s="9">
        <v>294.49127812499955</v>
      </c>
      <c r="K196" s="9">
        <v>667.52585437499965</v>
      </c>
      <c r="L196" s="9">
        <v>1102.2340968749995</v>
      </c>
      <c r="M196" s="9">
        <v>1510.0460643749993</v>
      </c>
      <c r="N196" s="9">
        <v>1790.0555362499999</v>
      </c>
      <c r="O196" s="9">
        <v>2011.9388718750006</v>
      </c>
      <c r="P196" s="9">
        <v>1945.5600112499997</v>
      </c>
      <c r="Q196" s="9">
        <v>1946.2391250000001</v>
      </c>
      <c r="R196" s="9">
        <v>2092.1573887499999</v>
      </c>
      <c r="S196" s="9">
        <v>2143.3473431250004</v>
      </c>
      <c r="T196" s="9">
        <v>2060.4699899999996</v>
      </c>
      <c r="U196" s="9">
        <v>1960.0699087499997</v>
      </c>
      <c r="V196" s="9">
        <v>2256.0978524999991</v>
      </c>
      <c r="W196" s="9">
        <v>2241.7578450000001</v>
      </c>
      <c r="X196" s="9">
        <v>2026.0431674999991</v>
      </c>
      <c r="Y196" s="9">
        <v>1688.7737306250001</v>
      </c>
      <c r="Z196" s="9">
        <v>1272.6131343750003</v>
      </c>
      <c r="AA196" s="9">
        <v>895.67877937499907</v>
      </c>
      <c r="AB196" s="10">
        <f t="shared" ref="AB196:AB197" si="48">SUM(D196:AA196)*B196</f>
        <v>128401.37893499999</v>
      </c>
      <c r="AC196" s="11"/>
    </row>
    <row r="197" spans="1:29" x14ac:dyDescent="0.25">
      <c r="A197" s="7" t="s">
        <v>31</v>
      </c>
      <c r="B197" s="8">
        <v>7</v>
      </c>
      <c r="C197" s="38"/>
      <c r="D197" s="9">
        <v>577.89117749999969</v>
      </c>
      <c r="E197" s="9">
        <v>406.56471749999946</v>
      </c>
      <c r="F197" s="9">
        <v>283.95180749999963</v>
      </c>
      <c r="G197" s="9">
        <v>226.08346499999971</v>
      </c>
      <c r="H197" s="9">
        <v>184.81498499999998</v>
      </c>
      <c r="I197" s="9">
        <v>228.28060500000083</v>
      </c>
      <c r="J197" s="9">
        <v>256.95518249999895</v>
      </c>
      <c r="K197" s="9">
        <v>624.37699500000053</v>
      </c>
      <c r="L197" s="9">
        <v>1069.077652500001</v>
      </c>
      <c r="M197" s="9">
        <v>1449.65463</v>
      </c>
      <c r="N197" s="9">
        <v>1756.992765</v>
      </c>
      <c r="O197" s="9">
        <v>1975.5983325000007</v>
      </c>
      <c r="P197" s="9">
        <v>1948.4863574999999</v>
      </c>
      <c r="Q197" s="9">
        <v>1979.60574</v>
      </c>
      <c r="R197" s="9">
        <v>2165.3965950000002</v>
      </c>
      <c r="S197" s="9">
        <v>2222.134184999999</v>
      </c>
      <c r="T197" s="9">
        <v>2106.1670324999996</v>
      </c>
      <c r="U197" s="9">
        <v>2024.4089700000004</v>
      </c>
      <c r="V197" s="9">
        <v>2303.7237450000011</v>
      </c>
      <c r="W197" s="9">
        <v>2271.2038275000014</v>
      </c>
      <c r="X197" s="9">
        <v>2028.1500524999992</v>
      </c>
      <c r="Y197" s="9">
        <v>1716.3723674999992</v>
      </c>
      <c r="Z197" s="9">
        <v>1296.026355</v>
      </c>
      <c r="AA197" s="9">
        <v>899.03435999999965</v>
      </c>
      <c r="AB197" s="10">
        <f t="shared" si="48"/>
        <v>224006.66331750003</v>
      </c>
      <c r="AC197" s="4">
        <f>+AB195+AB196+AB197</f>
        <v>993474.76136250107</v>
      </c>
    </row>
    <row r="198" spans="1:29" x14ac:dyDescent="0.25">
      <c r="A198" s="23"/>
    </row>
    <row r="199" spans="1:29" x14ac:dyDescent="0.25">
      <c r="A199" s="7" t="s">
        <v>29</v>
      </c>
      <c r="B199" s="8">
        <v>21</v>
      </c>
      <c r="C199" s="37">
        <v>47331</v>
      </c>
      <c r="D199" s="9">
        <v>680.81395125000199</v>
      </c>
      <c r="E199" s="9">
        <v>517.18407375000243</v>
      </c>
      <c r="F199" s="9">
        <v>400.67305500000111</v>
      </c>
      <c r="G199" s="9">
        <v>324.16931250000198</v>
      </c>
      <c r="H199" s="9">
        <v>299.34912625000197</v>
      </c>
      <c r="I199" s="9">
        <v>338.5869100000009</v>
      </c>
      <c r="J199" s="9">
        <v>392.02684375000172</v>
      </c>
      <c r="K199" s="9">
        <v>752.54378875000384</v>
      </c>
      <c r="L199" s="9">
        <v>1175.501453750001</v>
      </c>
      <c r="M199" s="9">
        <v>1536.7859187500017</v>
      </c>
      <c r="N199" s="9">
        <v>1813.1061412499994</v>
      </c>
      <c r="O199" s="9">
        <v>2027.9194424999996</v>
      </c>
      <c r="P199" s="9">
        <v>1986.1942575000048</v>
      </c>
      <c r="Q199" s="9">
        <v>1997.929223750004</v>
      </c>
      <c r="R199" s="9">
        <v>2141.6261212500031</v>
      </c>
      <c r="S199" s="9">
        <v>2167.2822150000011</v>
      </c>
      <c r="T199" s="9">
        <v>2034.6261075000011</v>
      </c>
      <c r="U199" s="9">
        <v>1945.1601800000026</v>
      </c>
      <c r="V199" s="9">
        <v>2244.7434037500025</v>
      </c>
      <c r="W199" s="9">
        <v>2225.9890237500003</v>
      </c>
      <c r="X199" s="9">
        <v>1999.6956775000026</v>
      </c>
      <c r="Y199" s="9">
        <v>1687.5848300000007</v>
      </c>
      <c r="Z199" s="9">
        <v>1293.2839612500011</v>
      </c>
      <c r="AA199" s="9">
        <v>941.95310625000275</v>
      </c>
      <c r="AB199" s="10">
        <f>SUM(D199:AA199)*B199</f>
        <v>691419.29062500084</v>
      </c>
      <c r="AC199" s="11"/>
    </row>
    <row r="200" spans="1:29" x14ac:dyDescent="0.25">
      <c r="A200" s="7" t="s">
        <v>30</v>
      </c>
      <c r="B200" s="8">
        <v>4</v>
      </c>
      <c r="C200" s="38"/>
      <c r="D200" s="9">
        <v>653.5452750000004</v>
      </c>
      <c r="E200" s="9">
        <v>500.13566812499994</v>
      </c>
      <c r="F200" s="9">
        <v>369.31334624999909</v>
      </c>
      <c r="G200" s="9">
        <v>291.90267375000076</v>
      </c>
      <c r="H200" s="9">
        <v>260.2659112500005</v>
      </c>
      <c r="I200" s="9">
        <v>353.91587062500003</v>
      </c>
      <c r="J200" s="9">
        <v>403.57080374999987</v>
      </c>
      <c r="K200" s="9">
        <v>757.27037812500021</v>
      </c>
      <c r="L200" s="9">
        <v>1155.134921249999</v>
      </c>
      <c r="M200" s="9">
        <v>1484.1659662500006</v>
      </c>
      <c r="N200" s="9">
        <v>1747.3215206250006</v>
      </c>
      <c r="O200" s="9">
        <v>1999.8305868749994</v>
      </c>
      <c r="P200" s="9">
        <v>2030.386925625</v>
      </c>
      <c r="Q200" s="9">
        <v>2045.3862543749992</v>
      </c>
      <c r="R200" s="9">
        <v>2191.4394956249998</v>
      </c>
      <c r="S200" s="9">
        <v>2177.3670806249993</v>
      </c>
      <c r="T200" s="9">
        <v>2022.8711700000003</v>
      </c>
      <c r="U200" s="9">
        <v>1918.8869924999999</v>
      </c>
      <c r="V200" s="9">
        <v>2233.8843806250006</v>
      </c>
      <c r="W200" s="9">
        <v>2270.3427037499987</v>
      </c>
      <c r="X200" s="9">
        <v>2057.7457649999997</v>
      </c>
      <c r="Y200" s="9">
        <v>1741.3836262500008</v>
      </c>
      <c r="Z200" s="9">
        <v>1304.8995056250005</v>
      </c>
      <c r="AA200" s="9">
        <v>932.39046750000034</v>
      </c>
      <c r="AB200" s="10">
        <f t="shared" ref="AB200:AB201" si="49">SUM(D200:AA200)*B200</f>
        <v>131613.42915750001</v>
      </c>
      <c r="AC200" s="11"/>
    </row>
    <row r="201" spans="1:29" x14ac:dyDescent="0.25">
      <c r="A201" s="7" t="s">
        <v>31</v>
      </c>
      <c r="B201" s="8">
        <v>6</v>
      </c>
      <c r="C201" s="38"/>
      <c r="D201" s="9">
        <v>646.75410250000004</v>
      </c>
      <c r="E201" s="9">
        <v>515.42605249999997</v>
      </c>
      <c r="F201" s="9">
        <v>409.30001500000071</v>
      </c>
      <c r="G201" s="9">
        <v>307.16284874999928</v>
      </c>
      <c r="H201" s="9">
        <v>262.59135499999957</v>
      </c>
      <c r="I201" s="9">
        <v>313.67962999999963</v>
      </c>
      <c r="J201" s="9">
        <v>385.01233374999993</v>
      </c>
      <c r="K201" s="9">
        <v>746.64745374999893</v>
      </c>
      <c r="L201" s="9">
        <v>1183.3711975000006</v>
      </c>
      <c r="M201" s="9">
        <v>1506.4661112499998</v>
      </c>
      <c r="N201" s="9">
        <v>1762.9720987499995</v>
      </c>
      <c r="O201" s="9">
        <v>1987.7475412499989</v>
      </c>
      <c r="P201" s="9">
        <v>1966.6728687499999</v>
      </c>
      <c r="Q201" s="9">
        <v>2038.9116524999999</v>
      </c>
      <c r="R201" s="9">
        <v>2221.4805687500011</v>
      </c>
      <c r="S201" s="9">
        <v>2237.3150674999997</v>
      </c>
      <c r="T201" s="9">
        <v>2076.2858249999999</v>
      </c>
      <c r="U201" s="9">
        <v>1958.7059937500007</v>
      </c>
      <c r="V201" s="9">
        <v>2219.9174162500003</v>
      </c>
      <c r="W201" s="9">
        <v>2219.8166337499988</v>
      </c>
      <c r="X201" s="9">
        <v>2031.8411800000003</v>
      </c>
      <c r="Y201" s="9">
        <v>1717.249822499999</v>
      </c>
      <c r="Z201" s="9">
        <v>1290.7336887499996</v>
      </c>
      <c r="AA201" s="9">
        <v>909.25024374999975</v>
      </c>
      <c r="AB201" s="10">
        <f t="shared" si="49"/>
        <v>197491.87020749995</v>
      </c>
      <c r="AC201" s="4">
        <f>+AB199+AB200+AB201</f>
        <v>1020524.5899900008</v>
      </c>
    </row>
    <row r="202" spans="1:29" x14ac:dyDescent="0.25">
      <c r="A202" s="23"/>
    </row>
    <row r="203" spans="1:29" x14ac:dyDescent="0.25">
      <c r="A203" s="7" t="s">
        <v>29</v>
      </c>
      <c r="B203" s="24">
        <v>20</v>
      </c>
      <c r="C203" s="37">
        <v>47362</v>
      </c>
      <c r="D203" s="9">
        <v>743.67999999999756</v>
      </c>
      <c r="E203" s="9">
        <v>604.75499999999738</v>
      </c>
      <c r="F203" s="9">
        <v>407.7049999999972</v>
      </c>
      <c r="G203" s="9">
        <v>190.87999999999738</v>
      </c>
      <c r="H203" s="9">
        <v>164.35499999999774</v>
      </c>
      <c r="I203" s="9">
        <v>317.27999999999793</v>
      </c>
      <c r="J203" s="9">
        <v>461.12999999999738</v>
      </c>
      <c r="K203" s="9">
        <v>751.85499999999774</v>
      </c>
      <c r="L203" s="9">
        <v>1148.8049999999976</v>
      </c>
      <c r="M203" s="9">
        <v>1438.3299999999972</v>
      </c>
      <c r="N203" s="9">
        <v>1663.2299999999977</v>
      </c>
      <c r="O203" s="9">
        <v>1836.2799999999979</v>
      </c>
      <c r="P203" s="9">
        <v>1786.8799999999974</v>
      </c>
      <c r="Q203" s="9">
        <v>1775.2799999999979</v>
      </c>
      <c r="R203" s="9">
        <v>1918.0299999999979</v>
      </c>
      <c r="S203" s="9">
        <v>1952.4049999999979</v>
      </c>
      <c r="T203" s="9">
        <v>1740.3799999999974</v>
      </c>
      <c r="U203" s="9">
        <v>1633.0549999999976</v>
      </c>
      <c r="V203" s="9">
        <v>1895.4299999999976</v>
      </c>
      <c r="W203" s="9">
        <v>1849.5549999999976</v>
      </c>
      <c r="X203" s="9">
        <v>1584.2799999999979</v>
      </c>
      <c r="Y203" s="9">
        <v>1245.8049999999976</v>
      </c>
      <c r="Z203" s="9">
        <v>879.47999999999774</v>
      </c>
      <c r="AA203" s="9">
        <v>702.3299999999972</v>
      </c>
      <c r="AB203" s="10">
        <f>SUM(D203:AA203)*B203</f>
        <v>573823.89999999886</v>
      </c>
      <c r="AC203" s="11"/>
    </row>
    <row r="204" spans="1:29" x14ac:dyDescent="0.25">
      <c r="A204" s="7" t="s">
        <v>30</v>
      </c>
      <c r="B204" s="24">
        <v>5</v>
      </c>
      <c r="C204" s="38"/>
      <c r="D204" s="9">
        <v>743.15500000000065</v>
      </c>
      <c r="E204" s="9">
        <v>604.15500000000065</v>
      </c>
      <c r="F204" s="9">
        <v>407.15500000000065</v>
      </c>
      <c r="G204" s="9">
        <v>190.35500000000047</v>
      </c>
      <c r="H204" s="9">
        <v>163.85500000000047</v>
      </c>
      <c r="I204" s="9">
        <v>316.65500000000065</v>
      </c>
      <c r="J204" s="9">
        <v>460.55500000000029</v>
      </c>
      <c r="K204" s="9">
        <v>751.35500000000047</v>
      </c>
      <c r="L204" s="9">
        <v>1148.1550000000007</v>
      </c>
      <c r="M204" s="9">
        <v>1437.8550000000005</v>
      </c>
      <c r="N204" s="9">
        <v>1662.6550000000007</v>
      </c>
      <c r="O204" s="9">
        <v>1835.8550000000005</v>
      </c>
      <c r="P204" s="9">
        <v>1786.4549999999999</v>
      </c>
      <c r="Q204" s="9">
        <v>1774.7550000000001</v>
      </c>
      <c r="R204" s="9">
        <v>1917.4549999999999</v>
      </c>
      <c r="S204" s="9">
        <v>1951.8549999999996</v>
      </c>
      <c r="T204" s="9">
        <v>1739.8550000000005</v>
      </c>
      <c r="U204" s="9">
        <v>1632.5550000000003</v>
      </c>
      <c r="V204" s="9">
        <v>1894.9549999999999</v>
      </c>
      <c r="W204" s="9">
        <v>1849.0550000000003</v>
      </c>
      <c r="X204" s="9">
        <v>1583.7550000000001</v>
      </c>
      <c r="Y204" s="9">
        <v>1245.3550000000005</v>
      </c>
      <c r="Z204" s="9">
        <v>878.95499999999993</v>
      </c>
      <c r="AA204" s="9">
        <v>701.85500000000047</v>
      </c>
      <c r="AB204" s="10">
        <f t="shared" ref="AB204:AB205" si="50">SUM(D204:AA204)*B204</f>
        <v>143393.10000000003</v>
      </c>
      <c r="AC204" s="11"/>
    </row>
    <row r="205" spans="1:29" x14ac:dyDescent="0.25">
      <c r="A205" s="7" t="s">
        <v>31</v>
      </c>
      <c r="B205" s="24">
        <v>5</v>
      </c>
      <c r="C205" s="38"/>
      <c r="D205" s="9">
        <v>744.15500000000065</v>
      </c>
      <c r="E205" s="9">
        <v>605.15500000000065</v>
      </c>
      <c r="F205" s="9">
        <v>408.15500000000065</v>
      </c>
      <c r="G205" s="9">
        <v>191.35500000000047</v>
      </c>
      <c r="H205" s="9">
        <v>164.85500000000047</v>
      </c>
      <c r="I205" s="9">
        <v>317.75500000000011</v>
      </c>
      <c r="J205" s="9">
        <v>461.65500000000065</v>
      </c>
      <c r="K205" s="9">
        <v>752.35500000000047</v>
      </c>
      <c r="L205" s="9">
        <v>1149.2550000000001</v>
      </c>
      <c r="M205" s="9">
        <v>1438.8550000000005</v>
      </c>
      <c r="N205" s="9">
        <v>1663.6550000000007</v>
      </c>
      <c r="O205" s="9">
        <v>1836.7550000000001</v>
      </c>
      <c r="P205" s="9">
        <v>1787.3550000000005</v>
      </c>
      <c r="Q205" s="9">
        <v>1775.6550000000007</v>
      </c>
      <c r="R205" s="9">
        <v>1918.4549999999999</v>
      </c>
      <c r="S205" s="9">
        <v>1952.8549999999996</v>
      </c>
      <c r="T205" s="9">
        <v>1740.8550000000005</v>
      </c>
      <c r="U205" s="9">
        <v>1633.4549999999999</v>
      </c>
      <c r="V205" s="9">
        <v>1895.8549999999996</v>
      </c>
      <c r="W205" s="9">
        <v>1850.0550000000003</v>
      </c>
      <c r="X205" s="9">
        <v>1584.6550000000007</v>
      </c>
      <c r="Y205" s="9">
        <v>1246.2550000000001</v>
      </c>
      <c r="Z205" s="9">
        <v>879.85500000000047</v>
      </c>
      <c r="AA205" s="9">
        <v>702.85500000000047</v>
      </c>
      <c r="AB205" s="10">
        <f t="shared" si="50"/>
        <v>143510.60000000003</v>
      </c>
      <c r="AC205" s="4">
        <f>+AB203+AB204+AB205</f>
        <v>860727.59999999893</v>
      </c>
    </row>
    <row r="206" spans="1:29" x14ac:dyDescent="0.25">
      <c r="A206" s="23"/>
    </row>
    <row r="207" spans="1:29" x14ac:dyDescent="0.25">
      <c r="A207" s="7" t="s">
        <v>29</v>
      </c>
      <c r="B207" s="8">
        <v>22</v>
      </c>
      <c r="C207" s="37">
        <v>47392</v>
      </c>
      <c r="D207" s="9">
        <v>978.61454545454762</v>
      </c>
      <c r="E207" s="9">
        <v>839.88727272727556</v>
      </c>
      <c r="F207" s="9">
        <v>642.68272727272961</v>
      </c>
      <c r="G207" s="9">
        <v>425.0918181818206</v>
      </c>
      <c r="H207" s="9">
        <v>398.5918181818206</v>
      </c>
      <c r="I207" s="9">
        <v>552.43272727272961</v>
      </c>
      <c r="J207" s="9">
        <v>696.93272727272961</v>
      </c>
      <c r="K207" s="9">
        <v>987.16000000000258</v>
      </c>
      <c r="L207" s="9">
        <v>1383.9327272727296</v>
      </c>
      <c r="M207" s="9">
        <v>1672.5918181818206</v>
      </c>
      <c r="N207" s="9">
        <v>1896.2509090909116</v>
      </c>
      <c r="O207" s="9">
        <v>2068.5690909090936</v>
      </c>
      <c r="P207" s="9">
        <v>2018.3872727272756</v>
      </c>
      <c r="Q207" s="9">
        <v>2007.3645454545476</v>
      </c>
      <c r="R207" s="9">
        <v>2151.5918181818206</v>
      </c>
      <c r="S207" s="9">
        <v>2186.5918181818206</v>
      </c>
      <c r="T207" s="9">
        <v>1974.5918181818206</v>
      </c>
      <c r="U207" s="9">
        <v>1866.5918181818206</v>
      </c>
      <c r="V207" s="9">
        <v>2127.8872727272746</v>
      </c>
      <c r="W207" s="9">
        <v>2083.2054545454566</v>
      </c>
      <c r="X207" s="9">
        <v>1816.4554545454575</v>
      </c>
      <c r="Y207" s="9">
        <v>1478.0918181818206</v>
      </c>
      <c r="Z207" s="9">
        <v>1111.9781818181846</v>
      </c>
      <c r="AA207" s="9">
        <v>935.75090909091159</v>
      </c>
      <c r="AB207" s="10">
        <f>SUM(D207:AA207)*B207</f>
        <v>754626.98000000126</v>
      </c>
      <c r="AC207" s="11"/>
    </row>
    <row r="208" spans="1:29" x14ac:dyDescent="0.25">
      <c r="A208" s="7" t="s">
        <v>30</v>
      </c>
      <c r="B208" s="8">
        <v>4</v>
      </c>
      <c r="C208" s="38"/>
      <c r="D208" s="9">
        <v>979.40999999999985</v>
      </c>
      <c r="E208" s="9">
        <v>840.65999999999985</v>
      </c>
      <c r="F208" s="9">
        <v>643.53499999999985</v>
      </c>
      <c r="G208" s="9">
        <v>425.90999999999985</v>
      </c>
      <c r="H208" s="9">
        <v>399.40999999999985</v>
      </c>
      <c r="I208" s="9">
        <v>553.40999999999985</v>
      </c>
      <c r="J208" s="9">
        <v>697.78499999999985</v>
      </c>
      <c r="K208" s="9">
        <v>988.03499999999985</v>
      </c>
      <c r="L208" s="9">
        <v>1384.6599999999999</v>
      </c>
      <c r="M208" s="9">
        <v>1673.4099999999999</v>
      </c>
      <c r="N208" s="9">
        <v>1897.0349999999999</v>
      </c>
      <c r="O208" s="9">
        <v>2069.2849999999999</v>
      </c>
      <c r="P208" s="9">
        <v>2019.1599999999999</v>
      </c>
      <c r="Q208" s="9">
        <v>2008.1599999999999</v>
      </c>
      <c r="R208" s="9">
        <v>2152.41</v>
      </c>
      <c r="S208" s="9">
        <v>2187.41</v>
      </c>
      <c r="T208" s="9">
        <v>1975.4099999999999</v>
      </c>
      <c r="U208" s="9">
        <v>1867.4099999999999</v>
      </c>
      <c r="V208" s="9">
        <v>2128.66</v>
      </c>
      <c r="W208" s="9">
        <v>2083.91</v>
      </c>
      <c r="X208" s="9">
        <v>1817.1599999999999</v>
      </c>
      <c r="Y208" s="9">
        <v>1478.7849999999999</v>
      </c>
      <c r="Z208" s="9">
        <v>1112.7849999999999</v>
      </c>
      <c r="AA208" s="9">
        <v>936.53499999999985</v>
      </c>
      <c r="AB208" s="10">
        <f t="shared" ref="AB208:AB209" si="51">SUM(D208:AA208)*B208</f>
        <v>137281.35999999999</v>
      </c>
      <c r="AC208" s="11"/>
    </row>
    <row r="209" spans="1:29" x14ac:dyDescent="0.25">
      <c r="A209" s="7" t="s">
        <v>31</v>
      </c>
      <c r="B209" s="8">
        <v>5</v>
      </c>
      <c r="C209" s="38"/>
      <c r="D209" s="9">
        <v>980.01000000000022</v>
      </c>
      <c r="E209" s="9">
        <v>841.10999999999967</v>
      </c>
      <c r="F209" s="9">
        <v>644.10999999999967</v>
      </c>
      <c r="G209" s="9">
        <v>426.40999999999985</v>
      </c>
      <c r="H209" s="9">
        <v>399.90999999999985</v>
      </c>
      <c r="I209" s="9">
        <v>553.90999999999985</v>
      </c>
      <c r="J209" s="9">
        <v>698.40999999999985</v>
      </c>
      <c r="K209" s="9">
        <v>988.51000000000022</v>
      </c>
      <c r="L209" s="9">
        <v>1385.4099999999999</v>
      </c>
      <c r="M209" s="9">
        <v>1673.9099999999999</v>
      </c>
      <c r="N209" s="9">
        <v>1897.4099999999999</v>
      </c>
      <c r="O209" s="9">
        <v>2069.71</v>
      </c>
      <c r="P209" s="9">
        <v>2019.71</v>
      </c>
      <c r="Q209" s="9">
        <v>2008.71</v>
      </c>
      <c r="R209" s="9">
        <v>2152.91</v>
      </c>
      <c r="S209" s="9">
        <v>2187.91</v>
      </c>
      <c r="T209" s="9">
        <v>1975.9099999999999</v>
      </c>
      <c r="U209" s="9">
        <v>1867.9099999999999</v>
      </c>
      <c r="V209" s="9">
        <v>2129.2099999999991</v>
      </c>
      <c r="W209" s="9">
        <v>2084.41</v>
      </c>
      <c r="X209" s="9">
        <v>1817.71</v>
      </c>
      <c r="Y209" s="9">
        <v>1479.3099999999995</v>
      </c>
      <c r="Z209" s="9">
        <v>1113.3099999999995</v>
      </c>
      <c r="AA209" s="9">
        <v>937.01000000000022</v>
      </c>
      <c r="AB209" s="10">
        <f t="shared" si="51"/>
        <v>171664.19999999998</v>
      </c>
      <c r="AC209" s="4">
        <f>+AB207+AB208+AB209</f>
        <v>1063572.5400000012</v>
      </c>
    </row>
    <row r="210" spans="1:29" x14ac:dyDescent="0.25">
      <c r="A210" s="23"/>
    </row>
    <row r="211" spans="1:29" x14ac:dyDescent="0.25">
      <c r="A211" s="7" t="s">
        <v>29</v>
      </c>
      <c r="B211" s="24">
        <v>20</v>
      </c>
      <c r="C211" s="37">
        <v>47423</v>
      </c>
      <c r="D211" s="9">
        <v>807.8299999999972</v>
      </c>
      <c r="E211" s="9">
        <v>669.30499999999756</v>
      </c>
      <c r="F211" s="9">
        <v>472.00499999999738</v>
      </c>
      <c r="G211" s="9">
        <v>253.85499999999774</v>
      </c>
      <c r="H211" s="9">
        <v>227.30499999999756</v>
      </c>
      <c r="I211" s="9">
        <v>381.90499999999793</v>
      </c>
      <c r="J211" s="9">
        <v>527.10499999999774</v>
      </c>
      <c r="K211" s="9">
        <v>816.8299999999972</v>
      </c>
      <c r="L211" s="9">
        <v>1213.3299999999972</v>
      </c>
      <c r="M211" s="9">
        <v>1500.9799999999977</v>
      </c>
      <c r="N211" s="9">
        <v>1723.3799999999974</v>
      </c>
      <c r="O211" s="9">
        <v>1894.9299999999976</v>
      </c>
      <c r="P211" s="9">
        <v>1844.0299999999979</v>
      </c>
      <c r="Q211" s="9">
        <v>1833.6549999999979</v>
      </c>
      <c r="R211" s="9">
        <v>1979.3549999999968</v>
      </c>
      <c r="S211" s="9">
        <v>2015.2299999999968</v>
      </c>
      <c r="T211" s="9">
        <v>1803.1799999999976</v>
      </c>
      <c r="U211" s="9">
        <v>1694.4049999999979</v>
      </c>
      <c r="V211" s="9">
        <v>1954.4799999999968</v>
      </c>
      <c r="W211" s="9">
        <v>1911.1049999999968</v>
      </c>
      <c r="X211" s="9">
        <v>1642.7549999999974</v>
      </c>
      <c r="Y211" s="9">
        <v>1304.5049999999974</v>
      </c>
      <c r="Z211" s="9">
        <v>938.67999999999756</v>
      </c>
      <c r="AA211" s="9">
        <v>763.25499999999738</v>
      </c>
      <c r="AB211" s="10">
        <f>SUM(D211:AA211)*B211</f>
        <v>603467.89999999874</v>
      </c>
      <c r="AC211" s="11"/>
    </row>
    <row r="212" spans="1:29" x14ac:dyDescent="0.25">
      <c r="A212" s="7" t="s">
        <v>30</v>
      </c>
      <c r="B212" s="24">
        <v>4</v>
      </c>
      <c r="C212" s="38"/>
      <c r="D212" s="9">
        <v>804.43000000000029</v>
      </c>
      <c r="E212" s="9">
        <v>665.80500000000029</v>
      </c>
      <c r="F212" s="9">
        <v>468.55500000000029</v>
      </c>
      <c r="G212" s="9">
        <v>250.55500000000029</v>
      </c>
      <c r="H212" s="9">
        <v>223.93000000000029</v>
      </c>
      <c r="I212" s="9">
        <v>378.55500000000029</v>
      </c>
      <c r="J212" s="9">
        <v>523.68000000000029</v>
      </c>
      <c r="K212" s="9">
        <v>813.30500000000029</v>
      </c>
      <c r="L212" s="9">
        <v>1210.0550000000003</v>
      </c>
      <c r="M212" s="9">
        <v>1497.5550000000003</v>
      </c>
      <c r="N212" s="9">
        <v>1720.3050000000003</v>
      </c>
      <c r="O212" s="9">
        <v>1891.8050000000003</v>
      </c>
      <c r="P212" s="9">
        <v>1840.9300000000003</v>
      </c>
      <c r="Q212" s="9">
        <v>1830.5550000000003</v>
      </c>
      <c r="R212" s="9">
        <v>1976.0550000000003</v>
      </c>
      <c r="S212" s="9">
        <v>2011.9300000000003</v>
      </c>
      <c r="T212" s="9">
        <v>1799.8050000000003</v>
      </c>
      <c r="U212" s="9">
        <v>1691.1800000000003</v>
      </c>
      <c r="V212" s="9">
        <v>1951.4300000000003</v>
      </c>
      <c r="W212" s="9">
        <v>1907.8050000000003</v>
      </c>
      <c r="X212" s="9">
        <v>1639.6800000000003</v>
      </c>
      <c r="Y212" s="9">
        <v>1301.3050000000003</v>
      </c>
      <c r="Z212" s="9">
        <v>935.55500000000029</v>
      </c>
      <c r="AA212" s="9">
        <v>759.93000000000029</v>
      </c>
      <c r="AB212" s="10">
        <f t="shared" ref="AB212:AB213" si="52">SUM(D212:AA212)*B212</f>
        <v>120378.78000000003</v>
      </c>
      <c r="AC212" s="11"/>
    </row>
    <row r="213" spans="1:29" x14ac:dyDescent="0.25">
      <c r="A213" s="7" t="s">
        <v>31</v>
      </c>
      <c r="B213" s="24">
        <v>6</v>
      </c>
      <c r="C213" s="38"/>
      <c r="D213" s="9">
        <v>803.38833333333332</v>
      </c>
      <c r="E213" s="9">
        <v>664.72166666666726</v>
      </c>
      <c r="F213" s="9">
        <v>467.47166666666726</v>
      </c>
      <c r="G213" s="9">
        <v>249.55500000000029</v>
      </c>
      <c r="H213" s="9">
        <v>223.05500000000029</v>
      </c>
      <c r="I213" s="9">
        <v>377.47166666666726</v>
      </c>
      <c r="J213" s="9">
        <v>522.63833333333332</v>
      </c>
      <c r="K213" s="9">
        <v>812.30500000000029</v>
      </c>
      <c r="L213" s="9">
        <v>1208.9716666666673</v>
      </c>
      <c r="M213" s="9">
        <v>1496.6383333333333</v>
      </c>
      <c r="N213" s="9">
        <v>1719.3050000000003</v>
      </c>
      <c r="O213" s="9">
        <v>1890.9716666666664</v>
      </c>
      <c r="P213" s="9">
        <v>1839.9716666666673</v>
      </c>
      <c r="Q213" s="9">
        <v>1829.5550000000003</v>
      </c>
      <c r="R213" s="9">
        <v>1975.0550000000003</v>
      </c>
      <c r="S213" s="9">
        <v>2010.8883333333342</v>
      </c>
      <c r="T213" s="9">
        <v>1798.7216666666673</v>
      </c>
      <c r="U213" s="9">
        <v>1690.2216666666673</v>
      </c>
      <c r="V213" s="9">
        <v>1950.4716666666664</v>
      </c>
      <c r="W213" s="9">
        <v>1906.8883333333342</v>
      </c>
      <c r="X213" s="9">
        <v>1638.6383333333333</v>
      </c>
      <c r="Y213" s="9">
        <v>1300.4716666666673</v>
      </c>
      <c r="Z213" s="9">
        <v>934.63833333333332</v>
      </c>
      <c r="AA213" s="9">
        <v>758.97166666666726</v>
      </c>
      <c r="AB213" s="10">
        <f t="shared" si="52"/>
        <v>180425.92000000007</v>
      </c>
      <c r="AC213" s="4">
        <f>+AB211+AB212+AB213</f>
        <v>904272.59999999881</v>
      </c>
    </row>
    <row r="214" spans="1:29" x14ac:dyDescent="0.25">
      <c r="A214" s="23"/>
    </row>
    <row r="215" spans="1:29" x14ac:dyDescent="0.25">
      <c r="A215" s="7" t="s">
        <v>29</v>
      </c>
      <c r="B215" s="8">
        <v>20</v>
      </c>
      <c r="C215" s="37">
        <v>47453</v>
      </c>
      <c r="D215" s="9">
        <v>3393.684999999999</v>
      </c>
      <c r="E215" s="9">
        <v>3255.309999999999</v>
      </c>
      <c r="F215" s="9">
        <v>3057.8849999999989</v>
      </c>
      <c r="G215" s="9">
        <v>2839.0099999999989</v>
      </c>
      <c r="H215" s="9">
        <v>2812.4599999999987</v>
      </c>
      <c r="I215" s="9">
        <v>2968.0099999999989</v>
      </c>
      <c r="J215" s="9">
        <v>3113.8349999999987</v>
      </c>
      <c r="K215" s="9">
        <v>3403.0349999999994</v>
      </c>
      <c r="L215" s="9">
        <v>3799.4099999999994</v>
      </c>
      <c r="M215" s="9">
        <v>4086.3599999999992</v>
      </c>
      <c r="N215" s="9">
        <v>4307.41</v>
      </c>
      <c r="O215" s="9">
        <v>4478.16</v>
      </c>
      <c r="P215" s="9">
        <v>4426.5849999999991</v>
      </c>
      <c r="Q215" s="9">
        <v>4416.8349999999991</v>
      </c>
      <c r="R215" s="9">
        <v>4563.8850000000002</v>
      </c>
      <c r="S215" s="9">
        <v>4600.3599999999988</v>
      </c>
      <c r="T215" s="9">
        <v>4388.3599999999988</v>
      </c>
      <c r="U215" s="9">
        <v>4279.0349999999999</v>
      </c>
      <c r="V215" s="9">
        <v>4538.01</v>
      </c>
      <c r="W215" s="9">
        <v>4495.8349999999991</v>
      </c>
      <c r="X215" s="9">
        <v>4226.0099999999984</v>
      </c>
      <c r="Y215" s="9">
        <v>3887.7599999999989</v>
      </c>
      <c r="Z215" s="9">
        <v>3522.2849999999994</v>
      </c>
      <c r="AA215" s="9">
        <v>3347.6099999999992</v>
      </c>
      <c r="AB215" s="10">
        <f>SUM(D215:AA215)*B215</f>
        <v>1844142.7999999993</v>
      </c>
      <c r="AC215" s="11"/>
    </row>
    <row r="216" spans="1:29" x14ac:dyDescent="0.25">
      <c r="A216" s="7" t="s">
        <v>30</v>
      </c>
      <c r="B216" s="8">
        <v>5</v>
      </c>
      <c r="C216" s="38"/>
      <c r="D216" s="9">
        <v>3392.86</v>
      </c>
      <c r="E216" s="9">
        <v>3254.4599999999996</v>
      </c>
      <c r="F216" s="9">
        <v>3057.06</v>
      </c>
      <c r="G216" s="9">
        <v>2838.2599999999998</v>
      </c>
      <c r="H216" s="9">
        <v>2811.6600000000003</v>
      </c>
      <c r="I216" s="9">
        <v>2967.1600000000003</v>
      </c>
      <c r="J216" s="9">
        <v>3113.06</v>
      </c>
      <c r="K216" s="9">
        <v>3402.1600000000003</v>
      </c>
      <c r="L216" s="9">
        <v>3798.6600000000003</v>
      </c>
      <c r="M216" s="9">
        <v>4085.56</v>
      </c>
      <c r="N216" s="9">
        <v>4306.66</v>
      </c>
      <c r="O216" s="9">
        <v>4477.4599999999991</v>
      </c>
      <c r="P216" s="9">
        <v>4425.8600000000006</v>
      </c>
      <c r="Q216" s="9">
        <v>4416.0599999999995</v>
      </c>
      <c r="R216" s="9">
        <v>4563.16</v>
      </c>
      <c r="S216" s="9">
        <v>4599.5599999999995</v>
      </c>
      <c r="T216" s="9">
        <v>4387.5599999999995</v>
      </c>
      <c r="U216" s="9">
        <v>4278.26</v>
      </c>
      <c r="V216" s="9">
        <v>4537.26</v>
      </c>
      <c r="W216" s="9">
        <v>4494.9599999999991</v>
      </c>
      <c r="X216" s="9">
        <v>4225.16</v>
      </c>
      <c r="Y216" s="9">
        <v>3887.06</v>
      </c>
      <c r="Z216" s="9">
        <v>3521.56</v>
      </c>
      <c r="AA216" s="9">
        <v>3346.86</v>
      </c>
      <c r="AB216" s="10">
        <f t="shared" ref="AB216:AB217" si="53">SUM(D216:AA216)*B216</f>
        <v>460941.6999999999</v>
      </c>
      <c r="AC216" s="11"/>
    </row>
    <row r="217" spans="1:29" x14ac:dyDescent="0.25">
      <c r="A217" s="7" t="s">
        <v>31</v>
      </c>
      <c r="B217" s="8">
        <v>6</v>
      </c>
      <c r="C217" s="38"/>
      <c r="D217" s="9">
        <v>3395.4766666666669</v>
      </c>
      <c r="E217" s="9">
        <v>3257.06</v>
      </c>
      <c r="F217" s="9">
        <v>3059.7266666666669</v>
      </c>
      <c r="G217" s="9">
        <v>2840.81</v>
      </c>
      <c r="H217" s="9">
        <v>2814.143333333333</v>
      </c>
      <c r="I217" s="9">
        <v>2969.7266666666669</v>
      </c>
      <c r="J217" s="9">
        <v>3115.643333333333</v>
      </c>
      <c r="K217" s="9">
        <v>3404.81</v>
      </c>
      <c r="L217" s="9">
        <v>3801.2266666666669</v>
      </c>
      <c r="M217" s="9">
        <v>4088.06</v>
      </c>
      <c r="N217" s="9">
        <v>4309.1433333333334</v>
      </c>
      <c r="O217" s="9">
        <v>4479.8933333333334</v>
      </c>
      <c r="P217" s="9">
        <v>4428.1433333333334</v>
      </c>
      <c r="Q217" s="9">
        <v>4418.4766666666674</v>
      </c>
      <c r="R217" s="9">
        <v>4565.6433333333334</v>
      </c>
      <c r="S217" s="9">
        <v>4602.0599999999995</v>
      </c>
      <c r="T217" s="9">
        <v>4390.0599999999995</v>
      </c>
      <c r="U217" s="9">
        <v>4280.7266666666674</v>
      </c>
      <c r="V217" s="9">
        <v>4539.6433333333334</v>
      </c>
      <c r="W217" s="9">
        <v>4497.4766666666656</v>
      </c>
      <c r="X217" s="9">
        <v>4227.4766666666674</v>
      </c>
      <c r="Y217" s="9">
        <v>3889.393333333333</v>
      </c>
      <c r="Z217" s="9">
        <v>3523.81</v>
      </c>
      <c r="AA217" s="9">
        <v>3349.31</v>
      </c>
      <c r="AB217" s="10">
        <f t="shared" si="53"/>
        <v>553487.6399999999</v>
      </c>
      <c r="AC217" s="4">
        <f>+AB215+AB216+AB217</f>
        <v>2858572.1399999987</v>
      </c>
    </row>
    <row r="218" spans="1:29" x14ac:dyDescent="0.25">
      <c r="A218" s="5">
        <v>2030</v>
      </c>
      <c r="B218" s="5"/>
      <c r="C218" s="5"/>
      <c r="AB218" s="6"/>
      <c r="AC218" s="6"/>
    </row>
    <row r="219" spans="1:29" x14ac:dyDescent="0.25">
      <c r="A219" s="7" t="s">
        <v>29</v>
      </c>
      <c r="B219" s="8">
        <v>22</v>
      </c>
      <c r="C219" s="37">
        <v>47484</v>
      </c>
      <c r="D219" s="9">
        <v>14379.954545454546</v>
      </c>
      <c r="E219" s="9">
        <v>14103.545454545454</v>
      </c>
      <c r="F219" s="9">
        <v>13708.545454545454</v>
      </c>
      <c r="G219" s="9">
        <v>13269.363636363636</v>
      </c>
      <c r="H219" s="9">
        <v>13216.363636363636</v>
      </c>
      <c r="I219" s="9">
        <v>13529.181818181818</v>
      </c>
      <c r="J219" s="9">
        <v>13822.181818181818</v>
      </c>
      <c r="K219" s="9">
        <v>14399.40909090909</v>
      </c>
      <c r="L219" s="9">
        <v>15191.863636363636</v>
      </c>
      <c r="M219" s="9">
        <v>15763.363636363636</v>
      </c>
      <c r="N219" s="9">
        <v>16203.40909090909</v>
      </c>
      <c r="O219" s="9">
        <v>16543.272727272728</v>
      </c>
      <c r="P219" s="9">
        <v>16438.454545454544</v>
      </c>
      <c r="Q219" s="9">
        <v>16420.31818181818</v>
      </c>
      <c r="R219" s="9">
        <v>16717.5</v>
      </c>
      <c r="S219" s="9">
        <v>16792.18181818182</v>
      </c>
      <c r="T219" s="9">
        <v>16367.863636363636</v>
      </c>
      <c r="U219" s="9">
        <v>16147.90909090909</v>
      </c>
      <c r="V219" s="9">
        <v>16663.409090909092</v>
      </c>
      <c r="W219" s="9">
        <v>16581.363636363636</v>
      </c>
      <c r="X219" s="9">
        <v>16038.727272727272</v>
      </c>
      <c r="Y219" s="9">
        <v>15362.5</v>
      </c>
      <c r="Z219" s="9">
        <v>14632.045454545454</v>
      </c>
      <c r="AA219" s="9">
        <v>14284.5</v>
      </c>
      <c r="AB219" s="10">
        <f>SUM(D219:AA219)*B219</f>
        <v>8064699.0000000028</v>
      </c>
      <c r="AC219" s="11"/>
    </row>
    <row r="220" spans="1:29" x14ac:dyDescent="0.25">
      <c r="A220" s="7" t="s">
        <v>30</v>
      </c>
      <c r="B220" s="8">
        <v>4</v>
      </c>
      <c r="C220" s="38"/>
      <c r="D220" s="9">
        <v>14377.5</v>
      </c>
      <c r="E220" s="9">
        <v>14101</v>
      </c>
      <c r="F220" s="9">
        <v>13706</v>
      </c>
      <c r="G220" s="9">
        <v>13267</v>
      </c>
      <c r="H220" s="9">
        <v>13214</v>
      </c>
      <c r="I220" s="9">
        <v>13526.5</v>
      </c>
      <c r="J220" s="9">
        <v>13819.5</v>
      </c>
      <c r="K220" s="9">
        <v>14397</v>
      </c>
      <c r="L220" s="9">
        <v>15189.5</v>
      </c>
      <c r="M220" s="9">
        <v>15761</v>
      </c>
      <c r="N220" s="9">
        <v>16201</v>
      </c>
      <c r="O220" s="9">
        <v>16541</v>
      </c>
      <c r="P220" s="9">
        <v>16436.5</v>
      </c>
      <c r="Q220" s="9">
        <v>16418.25</v>
      </c>
      <c r="R220" s="9">
        <v>16715.25</v>
      </c>
      <c r="S220" s="9">
        <v>16789.75</v>
      </c>
      <c r="T220" s="9">
        <v>16365.5</v>
      </c>
      <c r="U220" s="9">
        <v>16145.5</v>
      </c>
      <c r="V220" s="9">
        <v>16661</v>
      </c>
      <c r="W220" s="9">
        <v>16579</v>
      </c>
      <c r="X220" s="9">
        <v>16036.5</v>
      </c>
      <c r="Y220" s="9">
        <v>15360.5</v>
      </c>
      <c r="Z220" s="9">
        <v>14629.75</v>
      </c>
      <c r="AA220" s="9">
        <v>14282.25</v>
      </c>
      <c r="AB220" s="10">
        <f t="shared" ref="AB220:AB221" si="54">SUM(D220:AA220)*B220</f>
        <v>1466083</v>
      </c>
      <c r="AC220" s="11"/>
    </row>
    <row r="221" spans="1:29" x14ac:dyDescent="0.25">
      <c r="A221" s="7" t="s">
        <v>31</v>
      </c>
      <c r="B221" s="8">
        <v>5</v>
      </c>
      <c r="C221" s="38"/>
      <c r="D221" s="9">
        <v>14373.2</v>
      </c>
      <c r="E221" s="9">
        <v>14096.6</v>
      </c>
      <c r="F221" s="9">
        <v>13701.6</v>
      </c>
      <c r="G221" s="9">
        <v>13262.8</v>
      </c>
      <c r="H221" s="9">
        <v>13209.8</v>
      </c>
      <c r="I221" s="9">
        <v>13522.4</v>
      </c>
      <c r="J221" s="9">
        <v>13815.2</v>
      </c>
      <c r="K221" s="9">
        <v>14392.6</v>
      </c>
      <c r="L221" s="9">
        <v>15185</v>
      </c>
      <c r="M221" s="9">
        <v>15756.8</v>
      </c>
      <c r="N221" s="9">
        <v>16197</v>
      </c>
      <c r="O221" s="9">
        <v>16537.2</v>
      </c>
      <c r="P221" s="9">
        <v>16432.599999999999</v>
      </c>
      <c r="Q221" s="9">
        <v>16414.2</v>
      </c>
      <c r="R221" s="9">
        <v>16711.2</v>
      </c>
      <c r="S221" s="9">
        <v>16785.400000000001</v>
      </c>
      <c r="T221" s="9">
        <v>16361.2</v>
      </c>
      <c r="U221" s="9">
        <v>16141.4</v>
      </c>
      <c r="V221" s="9">
        <v>16657.2</v>
      </c>
      <c r="W221" s="9">
        <v>16574.8</v>
      </c>
      <c r="X221" s="9">
        <v>16032.6</v>
      </c>
      <c r="Y221" s="9">
        <v>15356.4</v>
      </c>
      <c r="Z221" s="9">
        <v>14625.8</v>
      </c>
      <c r="AA221" s="9">
        <v>14278.2</v>
      </c>
      <c r="AB221" s="10">
        <f t="shared" si="54"/>
        <v>1832106.0000000005</v>
      </c>
      <c r="AC221" s="4">
        <f>+AB219+AB220+AB221</f>
        <v>11362888.000000004</v>
      </c>
    </row>
    <row r="222" spans="1:29" x14ac:dyDescent="0.25">
      <c r="A222" s="25"/>
      <c r="B222" s="26"/>
      <c r="C222" s="26"/>
      <c r="AB222" s="27"/>
      <c r="AC222" s="27"/>
    </row>
    <row r="223" spans="1:29" x14ac:dyDescent="0.25">
      <c r="A223" s="7" t="s">
        <v>29</v>
      </c>
      <c r="B223" s="8">
        <v>20</v>
      </c>
      <c r="C223" s="37">
        <v>47515</v>
      </c>
      <c r="D223" s="9">
        <v>14440.65</v>
      </c>
      <c r="E223" s="9">
        <v>14164.5</v>
      </c>
      <c r="F223" s="9">
        <v>13769.15</v>
      </c>
      <c r="G223" s="9">
        <v>13328.95</v>
      </c>
      <c r="H223" s="9">
        <v>13275.65</v>
      </c>
      <c r="I223" s="9">
        <v>13590.1</v>
      </c>
      <c r="J223" s="9">
        <v>13884.5</v>
      </c>
      <c r="K223" s="9">
        <v>14460.75</v>
      </c>
      <c r="L223" s="9">
        <v>15252.9</v>
      </c>
      <c r="M223" s="9">
        <v>15823.05</v>
      </c>
      <c r="N223" s="9">
        <v>16260.3</v>
      </c>
      <c r="O223" s="9">
        <v>16598.7</v>
      </c>
      <c r="P223" s="9">
        <v>16492.45</v>
      </c>
      <c r="Q223" s="9">
        <v>16475.55</v>
      </c>
      <c r="R223" s="9">
        <v>16775.5</v>
      </c>
      <c r="S223" s="9">
        <v>16851.2</v>
      </c>
      <c r="T223" s="9">
        <v>16427.2</v>
      </c>
      <c r="U223" s="9">
        <v>16206</v>
      </c>
      <c r="V223" s="9">
        <v>16719.150000000001</v>
      </c>
      <c r="W223" s="9">
        <v>16639.5</v>
      </c>
      <c r="X223" s="9">
        <v>16093.9</v>
      </c>
      <c r="Y223" s="9">
        <v>15417.9</v>
      </c>
      <c r="Z223" s="9">
        <v>14688.1</v>
      </c>
      <c r="AA223" s="9">
        <v>14341.95</v>
      </c>
      <c r="AB223" s="10">
        <f>SUM(D223:AA223)*B223</f>
        <v>7359552.0000000009</v>
      </c>
      <c r="AC223" s="11"/>
    </row>
    <row r="224" spans="1:29" x14ac:dyDescent="0.25">
      <c r="A224" s="7" t="s">
        <v>30</v>
      </c>
      <c r="B224" s="8">
        <v>4</v>
      </c>
      <c r="C224" s="38"/>
      <c r="D224" s="9">
        <v>14435.25</v>
      </c>
      <c r="E224" s="9">
        <v>14159</v>
      </c>
      <c r="F224" s="9">
        <v>13764</v>
      </c>
      <c r="G224" s="9">
        <v>13323.75</v>
      </c>
      <c r="H224" s="9">
        <v>13270.5</v>
      </c>
      <c r="I224" s="9">
        <v>13584.75</v>
      </c>
      <c r="J224" s="9">
        <v>13879</v>
      </c>
      <c r="K224" s="9">
        <v>14455.25</v>
      </c>
      <c r="L224" s="9">
        <v>15247.5</v>
      </c>
      <c r="M224" s="9">
        <v>15817.75</v>
      </c>
      <c r="N224" s="9">
        <v>16255.25</v>
      </c>
      <c r="O224" s="9">
        <v>16593.75</v>
      </c>
      <c r="P224" s="9">
        <v>16487.5</v>
      </c>
      <c r="Q224" s="9">
        <v>16470.5</v>
      </c>
      <c r="R224" s="9">
        <v>16770.25</v>
      </c>
      <c r="S224" s="9">
        <v>16846</v>
      </c>
      <c r="T224" s="9">
        <v>16422</v>
      </c>
      <c r="U224" s="9">
        <v>16200.75</v>
      </c>
      <c r="V224" s="9">
        <v>16714.25</v>
      </c>
      <c r="W224" s="9">
        <v>16634.5</v>
      </c>
      <c r="X224" s="9">
        <v>16089</v>
      </c>
      <c r="Y224" s="9">
        <v>15413</v>
      </c>
      <c r="Z224" s="9">
        <v>14683</v>
      </c>
      <c r="AA224" s="9">
        <v>14336.75</v>
      </c>
      <c r="AB224" s="10">
        <f t="shared" ref="AB224:AB225" si="55">SUM(D224:AA224)*B224</f>
        <v>1471413</v>
      </c>
      <c r="AC224" s="11"/>
    </row>
    <row r="225" spans="1:29" x14ac:dyDescent="0.25">
      <c r="A225" s="7" t="s">
        <v>31</v>
      </c>
      <c r="B225" s="8">
        <v>4</v>
      </c>
      <c r="C225" s="38"/>
      <c r="D225" s="9">
        <v>14437.25</v>
      </c>
      <c r="E225" s="9">
        <v>14161</v>
      </c>
      <c r="F225" s="9">
        <v>13766</v>
      </c>
      <c r="G225" s="9">
        <v>13325.75</v>
      </c>
      <c r="H225" s="9">
        <v>13272.5</v>
      </c>
      <c r="I225" s="9">
        <v>13587</v>
      </c>
      <c r="J225" s="9">
        <v>13881.25</v>
      </c>
      <c r="K225" s="9">
        <v>14457.5</v>
      </c>
      <c r="L225" s="9">
        <v>15249.5</v>
      </c>
      <c r="M225" s="9">
        <v>15819.75</v>
      </c>
      <c r="N225" s="9">
        <v>16257</v>
      </c>
      <c r="O225" s="9">
        <v>16595.5</v>
      </c>
      <c r="P225" s="9">
        <v>16489.5</v>
      </c>
      <c r="Q225" s="9">
        <v>16472.5</v>
      </c>
      <c r="R225" s="9">
        <v>16772.25</v>
      </c>
      <c r="S225" s="9">
        <v>16848</v>
      </c>
      <c r="T225" s="9">
        <v>16424</v>
      </c>
      <c r="U225" s="9">
        <v>16202.75</v>
      </c>
      <c r="V225" s="9">
        <v>16716</v>
      </c>
      <c r="W225" s="9">
        <v>16636.25</v>
      </c>
      <c r="X225" s="9">
        <v>16090.75</v>
      </c>
      <c r="Y225" s="9">
        <v>15415</v>
      </c>
      <c r="Z225" s="9">
        <v>14685</v>
      </c>
      <c r="AA225" s="9">
        <v>14338.75</v>
      </c>
      <c r="AB225" s="10">
        <f t="shared" si="55"/>
        <v>1471603</v>
      </c>
      <c r="AC225" s="4">
        <f>+AB223+AB224+AB225</f>
        <v>10302568</v>
      </c>
    </row>
    <row r="226" spans="1:29" x14ac:dyDescent="0.25">
      <c r="A226" s="23"/>
    </row>
    <row r="227" spans="1:29" x14ac:dyDescent="0.25">
      <c r="A227" s="7" t="s">
        <v>29</v>
      </c>
      <c r="B227" s="8">
        <v>21</v>
      </c>
      <c r="C227" s="37">
        <v>47543</v>
      </c>
      <c r="D227" s="9">
        <v>14499.619047619048</v>
      </c>
      <c r="E227" s="9">
        <v>14223.857142857143</v>
      </c>
      <c r="F227" s="9">
        <v>13828.380952380952</v>
      </c>
      <c r="G227" s="9">
        <v>13386.523809523809</v>
      </c>
      <c r="H227" s="9">
        <v>13333.523809523809</v>
      </c>
      <c r="I227" s="9">
        <v>13649.619047619048</v>
      </c>
      <c r="J227" s="9">
        <v>13945.190476190477</v>
      </c>
      <c r="K227" s="9">
        <v>14520.523809523809</v>
      </c>
      <c r="L227" s="9">
        <v>15312.380952380952</v>
      </c>
      <c r="M227" s="9">
        <v>15880.523809523809</v>
      </c>
      <c r="N227" s="9">
        <v>16315.619047619048</v>
      </c>
      <c r="O227" s="9">
        <v>16652.571428571428</v>
      </c>
      <c r="P227" s="9">
        <v>16545</v>
      </c>
      <c r="Q227" s="9">
        <v>16529.190476190477</v>
      </c>
      <c r="R227" s="9">
        <v>16832</v>
      </c>
      <c r="S227" s="9">
        <v>16909.238095238095</v>
      </c>
      <c r="T227" s="9">
        <v>16484.857142857141</v>
      </c>
      <c r="U227" s="9">
        <v>16262.523809523809</v>
      </c>
      <c r="V227" s="9">
        <v>16773.523809523809</v>
      </c>
      <c r="W227" s="9">
        <v>16696.285714285714</v>
      </c>
      <c r="X227" s="9">
        <v>16147.809523809523</v>
      </c>
      <c r="Y227" s="9">
        <v>15471.952380952382</v>
      </c>
      <c r="Z227" s="9">
        <v>14742.476190476191</v>
      </c>
      <c r="AA227" s="9">
        <v>14398.047619047618</v>
      </c>
      <c r="AB227" s="10">
        <f>SUM(D227:AA227)*B227</f>
        <v>7756166</v>
      </c>
      <c r="AC227" s="11"/>
    </row>
    <row r="228" spans="1:29" x14ac:dyDescent="0.25">
      <c r="A228" s="7" t="s">
        <v>30</v>
      </c>
      <c r="B228" s="8">
        <v>5</v>
      </c>
      <c r="C228" s="38"/>
      <c r="D228" s="9">
        <v>14500.2</v>
      </c>
      <c r="E228" s="9">
        <v>14224.2</v>
      </c>
      <c r="F228" s="9">
        <v>13828.8</v>
      </c>
      <c r="G228" s="9">
        <v>13387.2</v>
      </c>
      <c r="H228" s="9">
        <v>13334</v>
      </c>
      <c r="I228" s="9">
        <v>13650.2</v>
      </c>
      <c r="J228" s="9">
        <v>13945.8</v>
      </c>
      <c r="K228" s="9">
        <v>14521</v>
      </c>
      <c r="L228" s="9">
        <v>15312.8</v>
      </c>
      <c r="M228" s="9">
        <v>15881</v>
      </c>
      <c r="N228" s="9">
        <v>16316.2</v>
      </c>
      <c r="O228" s="9">
        <v>16653</v>
      </c>
      <c r="P228" s="9">
        <v>16545.400000000001</v>
      </c>
      <c r="Q228" s="9">
        <v>16529.8</v>
      </c>
      <c r="R228" s="9">
        <v>16832.400000000001</v>
      </c>
      <c r="S228" s="9">
        <v>16909.8</v>
      </c>
      <c r="T228" s="9">
        <v>16485.400000000001</v>
      </c>
      <c r="U228" s="9">
        <v>16263</v>
      </c>
      <c r="V228" s="9">
        <v>16774</v>
      </c>
      <c r="W228" s="9">
        <v>16696.8</v>
      </c>
      <c r="X228" s="9">
        <v>16148</v>
      </c>
      <c r="Y228" s="9">
        <v>15472.4</v>
      </c>
      <c r="Z228" s="9">
        <v>14743</v>
      </c>
      <c r="AA228" s="9">
        <v>14398.4</v>
      </c>
      <c r="AB228" s="10">
        <f t="shared" ref="AB228:AB229" si="56">SUM(D228:AA228)*B228</f>
        <v>1846764</v>
      </c>
      <c r="AC228" s="11"/>
    </row>
    <row r="229" spans="1:29" x14ac:dyDescent="0.25">
      <c r="A229" s="7" t="s">
        <v>31</v>
      </c>
      <c r="B229" s="8">
        <v>5</v>
      </c>
      <c r="C229" s="38"/>
      <c r="D229" s="9">
        <v>14502.2</v>
      </c>
      <c r="E229" s="9">
        <v>14226.2</v>
      </c>
      <c r="F229" s="9">
        <v>13830.8</v>
      </c>
      <c r="G229" s="9">
        <v>13389.2</v>
      </c>
      <c r="H229" s="9">
        <v>13336</v>
      </c>
      <c r="I229" s="9">
        <v>13652.2</v>
      </c>
      <c r="J229" s="9">
        <v>13948</v>
      </c>
      <c r="K229" s="9">
        <v>14523</v>
      </c>
      <c r="L229" s="9">
        <v>15314.8</v>
      </c>
      <c r="M229" s="9">
        <v>15883</v>
      </c>
      <c r="N229" s="9">
        <v>16318.2</v>
      </c>
      <c r="O229" s="9">
        <v>16655</v>
      </c>
      <c r="P229" s="9">
        <v>16547.2</v>
      </c>
      <c r="Q229" s="9">
        <v>16531.599999999999</v>
      </c>
      <c r="R229" s="9">
        <v>16834.400000000001</v>
      </c>
      <c r="S229" s="9">
        <v>16911.8</v>
      </c>
      <c r="T229" s="9">
        <v>16487.400000000001</v>
      </c>
      <c r="U229" s="9">
        <v>16265</v>
      </c>
      <c r="V229" s="9">
        <v>16775.8</v>
      </c>
      <c r="W229" s="9">
        <v>16698.599999999999</v>
      </c>
      <c r="X229" s="9">
        <v>16150</v>
      </c>
      <c r="Y229" s="9">
        <v>15474.2</v>
      </c>
      <c r="Z229" s="9">
        <v>14745</v>
      </c>
      <c r="AA229" s="9">
        <v>14400.4</v>
      </c>
      <c r="AB229" s="10">
        <f t="shared" si="56"/>
        <v>1847000</v>
      </c>
      <c r="AC229" s="4">
        <f>+AB227+AB228+AB229</f>
        <v>11449930</v>
      </c>
    </row>
    <row r="230" spans="1:29" x14ac:dyDescent="0.25">
      <c r="A230" s="23"/>
    </row>
    <row r="231" spans="1:29" x14ac:dyDescent="0.25">
      <c r="A231" s="7" t="s">
        <v>29</v>
      </c>
      <c r="B231" s="8">
        <v>21</v>
      </c>
      <c r="C231" s="37">
        <v>47574</v>
      </c>
      <c r="D231" s="9">
        <v>14561.428571428571</v>
      </c>
      <c r="E231" s="9">
        <v>14286</v>
      </c>
      <c r="F231" s="9">
        <v>13890.238095238095</v>
      </c>
      <c r="G231" s="9">
        <v>13447.523809523809</v>
      </c>
      <c r="H231" s="9">
        <v>13394.238095238095</v>
      </c>
      <c r="I231" s="9">
        <v>13711.857142857143</v>
      </c>
      <c r="J231" s="9">
        <v>14008.857142857143</v>
      </c>
      <c r="K231" s="9">
        <v>14583.047619047618</v>
      </c>
      <c r="L231" s="9">
        <v>15374.619047619048</v>
      </c>
      <c r="M231" s="9">
        <v>15940.857142857143</v>
      </c>
      <c r="N231" s="9">
        <v>16373.666666666666</v>
      </c>
      <c r="O231" s="9">
        <v>16709</v>
      </c>
      <c r="P231" s="9">
        <v>16599.952380952382</v>
      </c>
      <c r="Q231" s="9">
        <v>16585.571428571428</v>
      </c>
      <c r="R231" s="9">
        <v>16891.142857142859</v>
      </c>
      <c r="S231" s="9">
        <v>16969.523809523809</v>
      </c>
      <c r="T231" s="9">
        <v>16545.523809523809</v>
      </c>
      <c r="U231" s="9">
        <v>16321.523809523809</v>
      </c>
      <c r="V231" s="9">
        <v>16830.380952380954</v>
      </c>
      <c r="W231" s="9">
        <v>16755.523809523809</v>
      </c>
      <c r="X231" s="9">
        <v>16204.047619047618</v>
      </c>
      <c r="Y231" s="9">
        <v>15528.428571428571</v>
      </c>
      <c r="Z231" s="9">
        <v>14799.571428571429</v>
      </c>
      <c r="AA231" s="9">
        <v>14456.714285714286</v>
      </c>
      <c r="AB231" s="10">
        <f>SUM(D231:AA231)*B231</f>
        <v>7786154</v>
      </c>
      <c r="AC231" s="11"/>
    </row>
    <row r="232" spans="1:29" x14ac:dyDescent="0.25">
      <c r="A232" s="7" t="s">
        <v>30</v>
      </c>
      <c r="B232" s="8">
        <v>4</v>
      </c>
      <c r="C232" s="38"/>
      <c r="D232" s="9">
        <v>14565</v>
      </c>
      <c r="E232" s="9">
        <v>14289.5</v>
      </c>
      <c r="F232" s="9">
        <v>13894</v>
      </c>
      <c r="G232" s="9">
        <v>13451</v>
      </c>
      <c r="H232" s="9">
        <v>13397.75</v>
      </c>
      <c r="I232" s="9">
        <v>13715.5</v>
      </c>
      <c r="J232" s="9">
        <v>14012.5</v>
      </c>
      <c r="K232" s="9">
        <v>14586.75</v>
      </c>
      <c r="L232" s="9">
        <v>15378</v>
      </c>
      <c r="M232" s="9">
        <v>15944.5</v>
      </c>
      <c r="N232" s="9">
        <v>16377</v>
      </c>
      <c r="O232" s="9">
        <v>16712.5</v>
      </c>
      <c r="P232" s="9">
        <v>16603.25</v>
      </c>
      <c r="Q232" s="9">
        <v>16588.5</v>
      </c>
      <c r="R232" s="9">
        <v>16894.5</v>
      </c>
      <c r="S232" s="9">
        <v>16973</v>
      </c>
      <c r="T232" s="9">
        <v>16549</v>
      </c>
      <c r="U232" s="9">
        <v>16325</v>
      </c>
      <c r="V232" s="9">
        <v>16833.75</v>
      </c>
      <c r="W232" s="9">
        <v>16759</v>
      </c>
      <c r="X232" s="9">
        <v>16207.5</v>
      </c>
      <c r="Y232" s="9">
        <v>15531.5</v>
      </c>
      <c r="Z232" s="9">
        <v>14803</v>
      </c>
      <c r="AA232" s="9">
        <v>14460.25</v>
      </c>
      <c r="AB232" s="10">
        <f t="shared" ref="AB232:AB233" si="57">SUM(D232:AA232)*B232</f>
        <v>1483409</v>
      </c>
      <c r="AC232" s="11"/>
    </row>
    <row r="233" spans="1:29" x14ac:dyDescent="0.25">
      <c r="A233" s="7" t="s">
        <v>31</v>
      </c>
      <c r="B233" s="8">
        <v>5</v>
      </c>
      <c r="C233" s="38"/>
      <c r="D233" s="9">
        <v>14567.6</v>
      </c>
      <c r="E233" s="9">
        <v>14292.2</v>
      </c>
      <c r="F233" s="9">
        <v>13896.6</v>
      </c>
      <c r="G233" s="9">
        <v>13453.6</v>
      </c>
      <c r="H233" s="9">
        <v>13400.4</v>
      </c>
      <c r="I233" s="9">
        <v>13718.2</v>
      </c>
      <c r="J233" s="9">
        <v>14015.2</v>
      </c>
      <c r="K233" s="9">
        <v>14589.4</v>
      </c>
      <c r="L233" s="9">
        <v>15380.6</v>
      </c>
      <c r="M233" s="9">
        <v>15947.2</v>
      </c>
      <c r="N233" s="9">
        <v>16379.6</v>
      </c>
      <c r="O233" s="9">
        <v>16714.8</v>
      </c>
      <c r="P233" s="9">
        <v>16605.599999999999</v>
      </c>
      <c r="Q233" s="9">
        <v>16591</v>
      </c>
      <c r="R233" s="9">
        <v>16897</v>
      </c>
      <c r="S233" s="9">
        <v>16975.599999999999</v>
      </c>
      <c r="T233" s="9">
        <v>16551.599999999999</v>
      </c>
      <c r="U233" s="9">
        <v>16327.6</v>
      </c>
      <c r="V233" s="9">
        <v>16836.2</v>
      </c>
      <c r="W233" s="9">
        <v>16761.599999999999</v>
      </c>
      <c r="X233" s="9">
        <v>16209.8</v>
      </c>
      <c r="Y233" s="9">
        <v>15534</v>
      </c>
      <c r="Z233" s="9">
        <v>14805.4</v>
      </c>
      <c r="AA233" s="9">
        <v>14462.8</v>
      </c>
      <c r="AB233" s="10">
        <f t="shared" si="57"/>
        <v>1854568</v>
      </c>
      <c r="AC233" s="4">
        <f>+AB231+AB232+AB233</f>
        <v>11124131</v>
      </c>
    </row>
    <row r="234" spans="1:29" x14ac:dyDescent="0.25">
      <c r="A234" s="23"/>
    </row>
    <row r="235" spans="1:29" x14ac:dyDescent="0.25">
      <c r="A235" s="7" t="s">
        <v>29</v>
      </c>
      <c r="B235" s="8">
        <v>21</v>
      </c>
      <c r="C235" s="37">
        <v>47604</v>
      </c>
      <c r="D235" s="9">
        <v>14629.380952380952</v>
      </c>
      <c r="E235" s="9">
        <v>14354.285714285714</v>
      </c>
      <c r="F235" s="9">
        <v>13958.428571428571</v>
      </c>
      <c r="G235" s="9">
        <v>13514</v>
      </c>
      <c r="H235" s="9">
        <v>13460.571428571429</v>
      </c>
      <c r="I235" s="9">
        <v>13780.476190476191</v>
      </c>
      <c r="J235" s="9">
        <v>14078.761904761905</v>
      </c>
      <c r="K235" s="9">
        <v>14651.857142857143</v>
      </c>
      <c r="L235" s="9">
        <v>15442.952380952382</v>
      </c>
      <c r="M235" s="9">
        <v>16007.523809523809</v>
      </c>
      <c r="N235" s="9">
        <v>16437.523809523809</v>
      </c>
      <c r="O235" s="9">
        <v>16771.142857142859</v>
      </c>
      <c r="P235" s="9">
        <v>16660.428571428572</v>
      </c>
      <c r="Q235" s="9">
        <v>16647.285714285714</v>
      </c>
      <c r="R235" s="9">
        <v>16956.095238095237</v>
      </c>
      <c r="S235" s="9">
        <v>17036.380952380954</v>
      </c>
      <c r="T235" s="9">
        <v>16611.857142857141</v>
      </c>
      <c r="U235" s="9">
        <v>16386.619047619046</v>
      </c>
      <c r="V235" s="9">
        <v>16893</v>
      </c>
      <c r="W235" s="9">
        <v>16820.571428571428</v>
      </c>
      <c r="X235" s="9">
        <v>16266.047619047618</v>
      </c>
      <c r="Y235" s="9">
        <v>15590.571428571429</v>
      </c>
      <c r="Z235" s="9">
        <v>14862.428571428571</v>
      </c>
      <c r="AA235" s="9">
        <v>14521.190476190477</v>
      </c>
      <c r="AB235" s="10">
        <f>SUM(D235:AA235)*B235</f>
        <v>7819127</v>
      </c>
      <c r="AC235" s="11"/>
    </row>
    <row r="236" spans="1:29" x14ac:dyDescent="0.25">
      <c r="A236" s="7" t="s">
        <v>30</v>
      </c>
      <c r="B236" s="8">
        <v>4</v>
      </c>
      <c r="C236" s="38"/>
      <c r="D236" s="9">
        <v>14622.5</v>
      </c>
      <c r="E236" s="9">
        <v>14347.5</v>
      </c>
      <c r="F236" s="9">
        <v>13951.5</v>
      </c>
      <c r="G236" s="9">
        <v>13507.5</v>
      </c>
      <c r="H236" s="9">
        <v>13454</v>
      </c>
      <c r="I236" s="9">
        <v>13773.5</v>
      </c>
      <c r="J236" s="9">
        <v>14071.75</v>
      </c>
      <c r="K236" s="9">
        <v>14645</v>
      </c>
      <c r="L236" s="9">
        <v>15436</v>
      </c>
      <c r="M236" s="9">
        <v>16001</v>
      </c>
      <c r="N236" s="9">
        <v>16431</v>
      </c>
      <c r="O236" s="9">
        <v>16765</v>
      </c>
      <c r="P236" s="9">
        <v>16654.5</v>
      </c>
      <c r="Q236" s="9">
        <v>16641.5</v>
      </c>
      <c r="R236" s="9">
        <v>16949.75</v>
      </c>
      <c r="S236" s="9">
        <v>17029.75</v>
      </c>
      <c r="T236" s="9">
        <v>16605.25</v>
      </c>
      <c r="U236" s="9">
        <v>16380.25</v>
      </c>
      <c r="V236" s="9">
        <v>16886.75</v>
      </c>
      <c r="W236" s="9">
        <v>16814.25</v>
      </c>
      <c r="X236" s="9">
        <v>16259.75</v>
      </c>
      <c r="Y236" s="9">
        <v>15584.5</v>
      </c>
      <c r="Z236" s="9">
        <v>14856</v>
      </c>
      <c r="AA236" s="9">
        <v>14514.75</v>
      </c>
      <c r="AB236" s="10">
        <f t="shared" ref="AB236:AB237" si="58">SUM(D236:AA236)*B236</f>
        <v>1488733</v>
      </c>
      <c r="AC236" s="11"/>
    </row>
    <row r="237" spans="1:29" x14ac:dyDescent="0.25">
      <c r="A237" s="7" t="s">
        <v>31</v>
      </c>
      <c r="B237" s="8">
        <v>6</v>
      </c>
      <c r="C237" s="38"/>
      <c r="D237" s="9">
        <v>14615.166666666666</v>
      </c>
      <c r="E237" s="9">
        <v>14340</v>
      </c>
      <c r="F237" s="9">
        <v>13944</v>
      </c>
      <c r="G237" s="9">
        <v>13500</v>
      </c>
      <c r="H237" s="9">
        <v>13446.666666666666</v>
      </c>
      <c r="I237" s="9">
        <v>13766</v>
      </c>
      <c r="J237" s="9">
        <v>14064</v>
      </c>
      <c r="K237" s="9">
        <v>14637.333333333334</v>
      </c>
      <c r="L237" s="9">
        <v>15428.5</v>
      </c>
      <c r="M237" s="9">
        <v>15993.666666666666</v>
      </c>
      <c r="N237" s="9">
        <v>16424</v>
      </c>
      <c r="O237" s="9">
        <v>16758</v>
      </c>
      <c r="P237" s="9">
        <v>16648</v>
      </c>
      <c r="Q237" s="9">
        <v>16634.5</v>
      </c>
      <c r="R237" s="9">
        <v>16942.5</v>
      </c>
      <c r="S237" s="9">
        <v>17022.166666666668</v>
      </c>
      <c r="T237" s="9">
        <v>16597.833333333332</v>
      </c>
      <c r="U237" s="9">
        <v>16373.166666666666</v>
      </c>
      <c r="V237" s="9">
        <v>16879.833333333332</v>
      </c>
      <c r="W237" s="9">
        <v>16807.166666666668</v>
      </c>
      <c r="X237" s="9">
        <v>16252.833333333334</v>
      </c>
      <c r="Y237" s="9">
        <v>15577.666666666666</v>
      </c>
      <c r="Z237" s="9">
        <v>14849</v>
      </c>
      <c r="AA237" s="9">
        <v>14507.5</v>
      </c>
      <c r="AB237" s="10">
        <f t="shared" si="58"/>
        <v>2232057</v>
      </c>
      <c r="AC237" s="4">
        <f>+AB235+AB236+AB237</f>
        <v>11539917</v>
      </c>
    </row>
    <row r="238" spans="1:29" x14ac:dyDescent="0.25">
      <c r="A238" s="23"/>
    </row>
    <row r="239" spans="1:29" x14ac:dyDescent="0.25">
      <c r="A239" s="7" t="s">
        <v>29</v>
      </c>
      <c r="B239" s="8">
        <v>19</v>
      </c>
      <c r="C239" s="37">
        <v>47635</v>
      </c>
      <c r="D239" s="9">
        <v>14688.052631578947</v>
      </c>
      <c r="E239" s="9">
        <v>14413.315789473685</v>
      </c>
      <c r="F239" s="9">
        <v>14017.105263157895</v>
      </c>
      <c r="G239" s="9">
        <v>13571.526315789473</v>
      </c>
      <c r="H239" s="9">
        <v>13518.526315789473</v>
      </c>
      <c r="I239" s="9">
        <v>13839.526315789473</v>
      </c>
      <c r="J239" s="9">
        <v>14139.105263157895</v>
      </c>
      <c r="K239" s="9">
        <v>14711.315789473685</v>
      </c>
      <c r="L239" s="9">
        <v>15502</v>
      </c>
      <c r="M239" s="9">
        <v>16064.526315789473</v>
      </c>
      <c r="N239" s="9">
        <v>16492.526315789473</v>
      </c>
      <c r="O239" s="9">
        <v>16824.842105263157</v>
      </c>
      <c r="P239" s="9">
        <v>16712.78947368421</v>
      </c>
      <c r="Q239" s="9">
        <v>16700.894736842107</v>
      </c>
      <c r="R239" s="9">
        <v>17012.263157894737</v>
      </c>
      <c r="S239" s="9">
        <v>17093.526315789473</v>
      </c>
      <c r="T239" s="9">
        <v>16669.526315789473</v>
      </c>
      <c r="U239" s="9">
        <v>16442.947368421053</v>
      </c>
      <c r="V239" s="9">
        <v>16947.052631578947</v>
      </c>
      <c r="W239" s="9">
        <v>16877.052631578947</v>
      </c>
      <c r="X239" s="9">
        <v>16319.526315789473</v>
      </c>
      <c r="Y239" s="9">
        <v>15644.21052631579</v>
      </c>
      <c r="Z239" s="9">
        <v>14916.526315789473</v>
      </c>
      <c r="AA239" s="9">
        <v>14577</v>
      </c>
      <c r="AB239" s="10">
        <f>SUM(D239:AA239)*B239</f>
        <v>7100218</v>
      </c>
      <c r="AC239" s="11"/>
    </row>
    <row r="240" spans="1:29" x14ac:dyDescent="0.25">
      <c r="A240" s="7" t="s">
        <v>30</v>
      </c>
      <c r="B240" s="8">
        <v>5</v>
      </c>
      <c r="C240" s="38"/>
      <c r="D240" s="9">
        <v>14687.6</v>
      </c>
      <c r="E240" s="9">
        <v>14412.8</v>
      </c>
      <c r="F240" s="9">
        <v>14016.8</v>
      </c>
      <c r="G240" s="9">
        <v>13571</v>
      </c>
      <c r="H240" s="9">
        <v>13518</v>
      </c>
      <c r="I240" s="9">
        <v>13839</v>
      </c>
      <c r="J240" s="9">
        <v>14138.6</v>
      </c>
      <c r="K240" s="9">
        <v>14710.8</v>
      </c>
      <c r="L240" s="9">
        <v>15501.6</v>
      </c>
      <c r="M240" s="9">
        <v>16064</v>
      </c>
      <c r="N240" s="9">
        <v>16492.2</v>
      </c>
      <c r="O240" s="9">
        <v>16824.2</v>
      </c>
      <c r="P240" s="9">
        <v>16712.2</v>
      </c>
      <c r="Q240" s="9">
        <v>16700.400000000001</v>
      </c>
      <c r="R240" s="9">
        <v>17011.8</v>
      </c>
      <c r="S240" s="9">
        <v>17093</v>
      </c>
      <c r="T240" s="9">
        <v>16669</v>
      </c>
      <c r="U240" s="9">
        <v>16442.400000000001</v>
      </c>
      <c r="V240" s="9">
        <v>16946.599999999999</v>
      </c>
      <c r="W240" s="9">
        <v>16876.599999999999</v>
      </c>
      <c r="X240" s="9">
        <v>16319</v>
      </c>
      <c r="Y240" s="9">
        <v>15643.8</v>
      </c>
      <c r="Z240" s="9">
        <v>14916</v>
      </c>
      <c r="AA240" s="9">
        <v>14576.4</v>
      </c>
      <c r="AB240" s="10">
        <f t="shared" ref="AB240:AB241" si="59">SUM(D240:AA240)*B240</f>
        <v>1868419</v>
      </c>
      <c r="AC240" s="11"/>
    </row>
    <row r="241" spans="1:29" x14ac:dyDescent="0.25">
      <c r="A241" s="7" t="s">
        <v>31</v>
      </c>
      <c r="B241" s="8">
        <v>6</v>
      </c>
      <c r="C241" s="38"/>
      <c r="D241" s="9">
        <v>14691</v>
      </c>
      <c r="E241" s="9">
        <v>14416.166666666666</v>
      </c>
      <c r="F241" s="9">
        <v>14020.166666666666</v>
      </c>
      <c r="G241" s="9">
        <v>13574.333333333334</v>
      </c>
      <c r="H241" s="9">
        <v>13521.333333333334</v>
      </c>
      <c r="I241" s="9">
        <v>13842.5</v>
      </c>
      <c r="J241" s="9">
        <v>14142.166666666666</v>
      </c>
      <c r="K241" s="9">
        <v>14714.166666666666</v>
      </c>
      <c r="L241" s="9">
        <v>15505.166666666666</v>
      </c>
      <c r="M241" s="9">
        <v>16067.5</v>
      </c>
      <c r="N241" s="9">
        <v>16495.333333333332</v>
      </c>
      <c r="O241" s="9">
        <v>16827.333333333332</v>
      </c>
      <c r="P241" s="9">
        <v>16715.166666666668</v>
      </c>
      <c r="Q241" s="9">
        <v>16703.5</v>
      </c>
      <c r="R241" s="9">
        <v>17015.166666666668</v>
      </c>
      <c r="S241" s="9">
        <v>17096.333333333332</v>
      </c>
      <c r="T241" s="9">
        <v>16672.333333333332</v>
      </c>
      <c r="U241" s="9">
        <v>16445.666666666668</v>
      </c>
      <c r="V241" s="9">
        <v>16949.666666666668</v>
      </c>
      <c r="W241" s="9">
        <v>16879.833333333332</v>
      </c>
      <c r="X241" s="9">
        <v>16322.166666666666</v>
      </c>
      <c r="Y241" s="9">
        <v>15646.833333333334</v>
      </c>
      <c r="Z241" s="9">
        <v>14919.333333333334</v>
      </c>
      <c r="AA241" s="9">
        <v>14579.666666666666</v>
      </c>
      <c r="AB241" s="10">
        <f t="shared" si="59"/>
        <v>2242577</v>
      </c>
      <c r="AC241" s="4">
        <f>+AB239+AB240+AB241</f>
        <v>11211214</v>
      </c>
    </row>
    <row r="242" spans="1:29" x14ac:dyDescent="0.25">
      <c r="A242" s="23"/>
    </row>
    <row r="243" spans="1:29" x14ac:dyDescent="0.25">
      <c r="A243" s="7" t="s">
        <v>29</v>
      </c>
      <c r="B243" s="8">
        <v>23</v>
      </c>
      <c r="C243" s="37">
        <v>47665</v>
      </c>
      <c r="D243" s="9">
        <v>14750.739130434782</v>
      </c>
      <c r="E243" s="9">
        <v>14476.260869565218</v>
      </c>
      <c r="F243" s="9">
        <v>14079.95652173913</v>
      </c>
      <c r="G243" s="9">
        <v>13633.08695652174</v>
      </c>
      <c r="H243" s="9">
        <v>13579.652173913044</v>
      </c>
      <c r="I243" s="9">
        <v>13902.521739130434</v>
      </c>
      <c r="J243" s="9">
        <v>14203.521739130434</v>
      </c>
      <c r="K243" s="9">
        <v>14774.608695652174</v>
      </c>
      <c r="L243" s="9">
        <v>15565.08695652174</v>
      </c>
      <c r="M243" s="9">
        <v>16126.304347826086</v>
      </c>
      <c r="N243" s="9">
        <v>16551.304347826088</v>
      </c>
      <c r="O243" s="9">
        <v>16881.91304347826</v>
      </c>
      <c r="P243" s="9">
        <v>16768.478260869564</v>
      </c>
      <c r="Q243" s="9">
        <v>16757.869565217392</v>
      </c>
      <c r="R243" s="9">
        <v>17072.17391304348</v>
      </c>
      <c r="S243" s="9">
        <v>17155.08695652174</v>
      </c>
      <c r="T243" s="9">
        <v>16730.478260869564</v>
      </c>
      <c r="U243" s="9">
        <v>16502.91304347826</v>
      </c>
      <c r="V243" s="9">
        <v>17004.695652173912</v>
      </c>
      <c r="W243" s="9">
        <v>16937.217391304348</v>
      </c>
      <c r="X243" s="9">
        <v>16376.565217391304</v>
      </c>
      <c r="Y243" s="9">
        <v>15701.521739130434</v>
      </c>
      <c r="Z243" s="9">
        <v>14974.347826086956</v>
      </c>
      <c r="AA243" s="9">
        <v>14636.391304347826</v>
      </c>
      <c r="AB243" s="10">
        <f>SUM(D243:AA243)*B243</f>
        <v>8628282</v>
      </c>
      <c r="AC243" s="11"/>
    </row>
    <row r="244" spans="1:29" x14ac:dyDescent="0.25">
      <c r="A244" s="7" t="s">
        <v>30</v>
      </c>
      <c r="B244" s="8">
        <v>4</v>
      </c>
      <c r="C244" s="38"/>
      <c r="D244" s="9">
        <v>14752.5</v>
      </c>
      <c r="E244" s="9">
        <v>14478</v>
      </c>
      <c r="F244" s="9">
        <v>14081.5</v>
      </c>
      <c r="G244" s="9">
        <v>13634.75</v>
      </c>
      <c r="H244" s="9">
        <v>13581.25</v>
      </c>
      <c r="I244" s="9">
        <v>13904.5</v>
      </c>
      <c r="J244" s="9">
        <v>14205.5</v>
      </c>
      <c r="K244" s="9">
        <v>14776.5</v>
      </c>
      <c r="L244" s="9">
        <v>15567</v>
      </c>
      <c r="M244" s="9">
        <v>16128</v>
      </c>
      <c r="N244" s="9">
        <v>16553</v>
      </c>
      <c r="O244" s="9">
        <v>16883.5</v>
      </c>
      <c r="P244" s="9">
        <v>16770</v>
      </c>
      <c r="Q244" s="9">
        <v>16759.5</v>
      </c>
      <c r="R244" s="9">
        <v>17073.75</v>
      </c>
      <c r="S244" s="9">
        <v>17156.75</v>
      </c>
      <c r="T244" s="9">
        <v>16732.25</v>
      </c>
      <c r="U244" s="9">
        <v>16504.5</v>
      </c>
      <c r="V244" s="9">
        <v>17006.25</v>
      </c>
      <c r="W244" s="9">
        <v>16939</v>
      </c>
      <c r="X244" s="9">
        <v>16378.25</v>
      </c>
      <c r="Y244" s="9">
        <v>15703.25</v>
      </c>
      <c r="Z244" s="9">
        <v>14976</v>
      </c>
      <c r="AA244" s="9">
        <v>14638.25</v>
      </c>
      <c r="AB244" s="10">
        <f t="shared" ref="AB244:AB245" si="60">SUM(D244:AA244)*B244</f>
        <v>1500735</v>
      </c>
      <c r="AC244" s="11"/>
    </row>
    <row r="245" spans="1:29" x14ac:dyDescent="0.25">
      <c r="A245" s="7" t="s">
        <v>31</v>
      </c>
      <c r="B245" s="8">
        <v>4</v>
      </c>
      <c r="C245" s="38"/>
      <c r="D245" s="9">
        <v>14754.5</v>
      </c>
      <c r="E245" s="9">
        <v>14480</v>
      </c>
      <c r="F245" s="9">
        <v>14083.75</v>
      </c>
      <c r="G245" s="9">
        <v>13637</v>
      </c>
      <c r="H245" s="9">
        <v>13583.25</v>
      </c>
      <c r="I245" s="9">
        <v>13906.5</v>
      </c>
      <c r="J245" s="9">
        <v>14207.5</v>
      </c>
      <c r="K245" s="9">
        <v>14778.5</v>
      </c>
      <c r="L245" s="9">
        <v>15569</v>
      </c>
      <c r="M245" s="9">
        <v>16130</v>
      </c>
      <c r="N245" s="9">
        <v>16555</v>
      </c>
      <c r="O245" s="9">
        <v>16885.5</v>
      </c>
      <c r="P245" s="9">
        <v>16771.75</v>
      </c>
      <c r="Q245" s="9">
        <v>16761.5</v>
      </c>
      <c r="R245" s="9">
        <v>17075.75</v>
      </c>
      <c r="S245" s="9">
        <v>17159</v>
      </c>
      <c r="T245" s="9">
        <v>16734.25</v>
      </c>
      <c r="U245" s="9">
        <v>16506.5</v>
      </c>
      <c r="V245" s="9">
        <v>17008.25</v>
      </c>
      <c r="W245" s="9">
        <v>16941</v>
      </c>
      <c r="X245" s="9">
        <v>16380</v>
      </c>
      <c r="Y245" s="9">
        <v>15705</v>
      </c>
      <c r="Z245" s="9">
        <v>14978</v>
      </c>
      <c r="AA245" s="9">
        <v>14640</v>
      </c>
      <c r="AB245" s="10">
        <f t="shared" si="60"/>
        <v>1500926</v>
      </c>
      <c r="AC245" s="4">
        <f>+AB243+AB244+AB245</f>
        <v>11629943</v>
      </c>
    </row>
    <row r="246" spans="1:29" x14ac:dyDescent="0.25">
      <c r="A246" s="23"/>
    </row>
    <row r="247" spans="1:29" x14ac:dyDescent="0.25">
      <c r="A247" s="7" t="s">
        <v>29</v>
      </c>
      <c r="B247" s="8">
        <v>21</v>
      </c>
      <c r="C247" s="37">
        <v>47696</v>
      </c>
      <c r="D247" s="9">
        <v>14815.523809523809</v>
      </c>
      <c r="E247" s="9">
        <v>14541.380952380952</v>
      </c>
      <c r="F247" s="9">
        <v>14144.761904761905</v>
      </c>
      <c r="G247" s="9">
        <v>13696.428571428571</v>
      </c>
      <c r="H247" s="9">
        <v>13643.190476190477</v>
      </c>
      <c r="I247" s="9">
        <v>13967.952380952382</v>
      </c>
      <c r="J247" s="9">
        <v>14270.238095238095</v>
      </c>
      <c r="K247" s="9">
        <v>14840.190476190477</v>
      </c>
      <c r="L247" s="9">
        <v>15630.238095238095</v>
      </c>
      <c r="M247" s="9">
        <v>16189.190476190477</v>
      </c>
      <c r="N247" s="9">
        <v>16612.142857142859</v>
      </c>
      <c r="O247" s="9">
        <v>16941.095238095237</v>
      </c>
      <c r="P247" s="9">
        <v>16826.047619047618</v>
      </c>
      <c r="Q247" s="9">
        <v>16816.857142857141</v>
      </c>
      <c r="R247" s="9">
        <v>17134.142857142859</v>
      </c>
      <c r="S247" s="9">
        <v>17218.190476190477</v>
      </c>
      <c r="T247" s="9">
        <v>16794.190476190477</v>
      </c>
      <c r="U247" s="9">
        <v>16564.952380952382</v>
      </c>
      <c r="V247" s="9">
        <v>17064.380952380954</v>
      </c>
      <c r="W247" s="9">
        <v>16999.190476190477</v>
      </c>
      <c r="X247" s="9">
        <v>16435.666666666668</v>
      </c>
      <c r="Y247" s="9">
        <v>15760.714285714286</v>
      </c>
      <c r="Z247" s="9">
        <v>15034.142857142857</v>
      </c>
      <c r="AA247" s="9">
        <v>14697.761904761905</v>
      </c>
      <c r="AB247" s="10">
        <f>SUM(D247:AA247)*B247</f>
        <v>7909409.9999999981</v>
      </c>
      <c r="AC247" s="11"/>
    </row>
    <row r="248" spans="1:29" x14ac:dyDescent="0.25">
      <c r="A248" s="7" t="s">
        <v>30</v>
      </c>
      <c r="B248" s="8">
        <v>5</v>
      </c>
      <c r="C248" s="38"/>
      <c r="D248" s="9">
        <v>14817.4</v>
      </c>
      <c r="E248" s="9">
        <v>14543.2</v>
      </c>
      <c r="F248" s="9">
        <v>14146.8</v>
      </c>
      <c r="G248" s="9">
        <v>13698.2</v>
      </c>
      <c r="H248" s="9">
        <v>13645</v>
      </c>
      <c r="I248" s="9">
        <v>13969.8</v>
      </c>
      <c r="J248" s="9">
        <v>14272</v>
      </c>
      <c r="K248" s="9">
        <v>14842</v>
      </c>
      <c r="L248" s="9">
        <v>15632.2</v>
      </c>
      <c r="M248" s="9">
        <v>16191</v>
      </c>
      <c r="N248" s="9">
        <v>16613.8</v>
      </c>
      <c r="O248" s="9">
        <v>16942.8</v>
      </c>
      <c r="P248" s="9">
        <v>16827.8</v>
      </c>
      <c r="Q248" s="9">
        <v>16818.599999999999</v>
      </c>
      <c r="R248" s="9">
        <v>17135.8</v>
      </c>
      <c r="S248" s="9">
        <v>17220</v>
      </c>
      <c r="T248" s="9">
        <v>16796</v>
      </c>
      <c r="U248" s="9">
        <v>16566.8</v>
      </c>
      <c r="V248" s="9">
        <v>17066</v>
      </c>
      <c r="W248" s="9">
        <v>17001</v>
      </c>
      <c r="X248" s="9">
        <v>16437.2</v>
      </c>
      <c r="Y248" s="9">
        <v>15762.4</v>
      </c>
      <c r="Z248" s="9">
        <v>15036</v>
      </c>
      <c r="AA248" s="9">
        <v>14699.6</v>
      </c>
      <c r="AB248" s="10">
        <f t="shared" ref="AB248:AB249" si="61">SUM(D248:AA248)*B248</f>
        <v>1883406.9999999995</v>
      </c>
      <c r="AC248" s="11"/>
    </row>
    <row r="249" spans="1:29" x14ac:dyDescent="0.25">
      <c r="A249" s="7" t="s">
        <v>31</v>
      </c>
      <c r="B249" s="8">
        <v>5</v>
      </c>
      <c r="C249" s="38"/>
      <c r="D249" s="9">
        <v>14812.4</v>
      </c>
      <c r="E249" s="9">
        <v>14538.2</v>
      </c>
      <c r="F249" s="9">
        <v>14141.8</v>
      </c>
      <c r="G249" s="9">
        <v>13693.2</v>
      </c>
      <c r="H249" s="9">
        <v>13640.2</v>
      </c>
      <c r="I249" s="9">
        <v>13964.8</v>
      </c>
      <c r="J249" s="9">
        <v>14267</v>
      </c>
      <c r="K249" s="9">
        <v>14837.2</v>
      </c>
      <c r="L249" s="9">
        <v>15627.2</v>
      </c>
      <c r="M249" s="9">
        <v>16186.2</v>
      </c>
      <c r="N249" s="9">
        <v>16609.2</v>
      </c>
      <c r="O249" s="9">
        <v>16938.400000000001</v>
      </c>
      <c r="P249" s="9">
        <v>16823.400000000001</v>
      </c>
      <c r="Q249" s="9">
        <v>16814</v>
      </c>
      <c r="R249" s="9">
        <v>17131.2</v>
      </c>
      <c r="S249" s="9">
        <v>17215.2</v>
      </c>
      <c r="T249" s="9">
        <v>16791.2</v>
      </c>
      <c r="U249" s="9">
        <v>16562</v>
      </c>
      <c r="V249" s="9">
        <v>17061.400000000001</v>
      </c>
      <c r="W249" s="9">
        <v>16996.2</v>
      </c>
      <c r="X249" s="9">
        <v>16432.8</v>
      </c>
      <c r="Y249" s="9">
        <v>15757.8</v>
      </c>
      <c r="Z249" s="9">
        <v>15031.2</v>
      </c>
      <c r="AA249" s="9">
        <v>14695</v>
      </c>
      <c r="AB249" s="10">
        <f t="shared" si="61"/>
        <v>1882836</v>
      </c>
      <c r="AC249" s="4">
        <f>+AB247+AB248+AB249</f>
        <v>11675652.999999998</v>
      </c>
    </row>
    <row r="250" spans="1:29" x14ac:dyDescent="0.25">
      <c r="A250" s="23"/>
    </row>
    <row r="251" spans="1:29" x14ac:dyDescent="0.25">
      <c r="A251" s="7" t="s">
        <v>29</v>
      </c>
      <c r="B251" s="8">
        <v>21</v>
      </c>
      <c r="C251" s="37">
        <v>47727</v>
      </c>
      <c r="D251" s="9">
        <v>14877.571428571429</v>
      </c>
      <c r="E251" s="9">
        <v>14603.809523809523</v>
      </c>
      <c r="F251" s="9">
        <v>14207</v>
      </c>
      <c r="G251" s="9">
        <v>13757.476190476191</v>
      </c>
      <c r="H251" s="9">
        <v>13704.095238095239</v>
      </c>
      <c r="I251" s="9">
        <v>14030.476190476191</v>
      </c>
      <c r="J251" s="9">
        <v>14334.047619047618</v>
      </c>
      <c r="K251" s="9">
        <v>14903.047619047618</v>
      </c>
      <c r="L251" s="9">
        <v>15692.761904761905</v>
      </c>
      <c r="M251" s="9">
        <v>16250.190476190477</v>
      </c>
      <c r="N251" s="9">
        <v>16670.380952380954</v>
      </c>
      <c r="O251" s="9">
        <v>16997.857142857141</v>
      </c>
      <c r="P251" s="9">
        <v>16881.333333333332</v>
      </c>
      <c r="Q251" s="9">
        <v>16873.380952380954</v>
      </c>
      <c r="R251" s="9">
        <v>17193.476190476191</v>
      </c>
      <c r="S251" s="9">
        <v>17279.380952380954</v>
      </c>
      <c r="T251" s="9">
        <v>16854.571428571428</v>
      </c>
      <c r="U251" s="9">
        <v>16624.428571428572</v>
      </c>
      <c r="V251" s="9">
        <v>17121.476190476191</v>
      </c>
      <c r="W251" s="9">
        <v>17058.761904761905</v>
      </c>
      <c r="X251" s="9">
        <v>16492.142857142859</v>
      </c>
      <c r="Y251" s="9">
        <v>15817.523809523809</v>
      </c>
      <c r="Z251" s="9">
        <v>15091.523809523809</v>
      </c>
      <c r="AA251" s="9">
        <v>14756.857142857143</v>
      </c>
      <c r="AB251" s="10">
        <f>SUM(D251:AA251)*B251</f>
        <v>7939545</v>
      </c>
      <c r="AC251" s="11"/>
    </row>
    <row r="252" spans="1:29" x14ac:dyDescent="0.25">
      <c r="A252" s="7" t="s">
        <v>30</v>
      </c>
      <c r="B252" s="8">
        <v>4</v>
      </c>
      <c r="C252" s="38"/>
      <c r="D252" s="9">
        <v>14882.25</v>
      </c>
      <c r="E252" s="9">
        <v>14608.5</v>
      </c>
      <c r="F252" s="9">
        <v>14211.5</v>
      </c>
      <c r="G252" s="9">
        <v>13762</v>
      </c>
      <c r="H252" s="9">
        <v>13708.75</v>
      </c>
      <c r="I252" s="9">
        <v>14035</v>
      </c>
      <c r="J252" s="9">
        <v>14338.75</v>
      </c>
      <c r="K252" s="9">
        <v>14907.75</v>
      </c>
      <c r="L252" s="9">
        <v>15697.5</v>
      </c>
      <c r="M252" s="9">
        <v>16254.75</v>
      </c>
      <c r="N252" s="9">
        <v>16674.5</v>
      </c>
      <c r="O252" s="9">
        <v>17002.25</v>
      </c>
      <c r="P252" s="9">
        <v>16885.5</v>
      </c>
      <c r="Q252" s="9">
        <v>16877.5</v>
      </c>
      <c r="R252" s="9">
        <v>17198</v>
      </c>
      <c r="S252" s="9">
        <v>17284</v>
      </c>
      <c r="T252" s="9">
        <v>16859.25</v>
      </c>
      <c r="U252" s="9">
        <v>16629</v>
      </c>
      <c r="V252" s="9">
        <v>17125.75</v>
      </c>
      <c r="W252" s="9">
        <v>17063.25</v>
      </c>
      <c r="X252" s="9">
        <v>16496.5</v>
      </c>
      <c r="Y252" s="9">
        <v>15821.75</v>
      </c>
      <c r="Z252" s="9">
        <v>15095.75</v>
      </c>
      <c r="AA252" s="9">
        <v>14761.25</v>
      </c>
      <c r="AB252" s="10">
        <f t="shared" ref="AB252:AB253" si="62">SUM(D252:AA252)*B252</f>
        <v>1512724</v>
      </c>
      <c r="AC252" s="11"/>
    </row>
    <row r="253" spans="1:29" x14ac:dyDescent="0.25">
      <c r="A253" s="7" t="s">
        <v>31</v>
      </c>
      <c r="B253" s="8">
        <v>5</v>
      </c>
      <c r="C253" s="38"/>
      <c r="D253" s="9">
        <v>14877.2</v>
      </c>
      <c r="E253" s="9">
        <v>14603.2</v>
      </c>
      <c r="F253" s="9">
        <v>14206.6</v>
      </c>
      <c r="G253" s="9">
        <v>13757</v>
      </c>
      <c r="H253" s="9">
        <v>13703.6</v>
      </c>
      <c r="I253" s="9">
        <v>14029.8</v>
      </c>
      <c r="J253" s="9">
        <v>14333.6</v>
      </c>
      <c r="K253" s="9">
        <v>14902.6</v>
      </c>
      <c r="L253" s="9">
        <v>15692.2</v>
      </c>
      <c r="M253" s="9">
        <v>16249.6</v>
      </c>
      <c r="N253" s="9">
        <v>16669.8</v>
      </c>
      <c r="O253" s="9">
        <v>16997.400000000001</v>
      </c>
      <c r="P253" s="9">
        <v>16881</v>
      </c>
      <c r="Q253" s="9">
        <v>16873</v>
      </c>
      <c r="R253" s="9">
        <v>17193</v>
      </c>
      <c r="S253" s="9">
        <v>17278.8</v>
      </c>
      <c r="T253" s="9">
        <v>16854.2</v>
      </c>
      <c r="U253" s="9">
        <v>16624</v>
      </c>
      <c r="V253" s="9">
        <v>17121</v>
      </c>
      <c r="W253" s="9">
        <v>17058.400000000001</v>
      </c>
      <c r="X253" s="9">
        <v>16491.8</v>
      </c>
      <c r="Y253" s="9">
        <v>15817</v>
      </c>
      <c r="Z253" s="9">
        <v>15091</v>
      </c>
      <c r="AA253" s="9">
        <v>14756.4</v>
      </c>
      <c r="AB253" s="10">
        <f t="shared" si="62"/>
        <v>1890311</v>
      </c>
      <c r="AC253" s="4">
        <f>+AB251+AB252+AB253</f>
        <v>11342580</v>
      </c>
    </row>
    <row r="254" spans="1:29" x14ac:dyDescent="0.25">
      <c r="A254" s="23"/>
    </row>
    <row r="255" spans="1:29" x14ac:dyDescent="0.25">
      <c r="A255" s="7" t="s">
        <v>29</v>
      </c>
      <c r="B255" s="8">
        <v>23</v>
      </c>
      <c r="C255" s="37">
        <v>47757</v>
      </c>
      <c r="D255" s="9">
        <v>14940.91304347826</v>
      </c>
      <c r="E255" s="9">
        <v>14667.565217391304</v>
      </c>
      <c r="F255" s="9">
        <v>14270.521739130434</v>
      </c>
      <c r="G255" s="9">
        <v>13819.608695652174</v>
      </c>
      <c r="H255" s="9">
        <v>13766</v>
      </c>
      <c r="I255" s="9">
        <v>14094.217391304348</v>
      </c>
      <c r="J255" s="9">
        <v>14399.217391304348</v>
      </c>
      <c r="K255" s="9">
        <v>14967.130434782608</v>
      </c>
      <c r="L255" s="9">
        <v>15756.652173913044</v>
      </c>
      <c r="M255" s="9">
        <v>16312</v>
      </c>
      <c r="N255" s="9">
        <v>16729.782608695652</v>
      </c>
      <c r="O255" s="9">
        <v>17055.739130434784</v>
      </c>
      <c r="P255" s="9">
        <v>16937.782608695652</v>
      </c>
      <c r="Q255" s="9">
        <v>16931.043478260868</v>
      </c>
      <c r="R255" s="9">
        <v>17254.043478260868</v>
      </c>
      <c r="S255" s="9">
        <v>17341</v>
      </c>
      <c r="T255" s="9">
        <v>16917</v>
      </c>
      <c r="U255" s="9">
        <v>16685</v>
      </c>
      <c r="V255" s="9">
        <v>17179.782608695652</v>
      </c>
      <c r="W255" s="9">
        <v>17119.652173913044</v>
      </c>
      <c r="X255" s="9">
        <v>16549.956521739132</v>
      </c>
      <c r="Y255" s="9">
        <v>15875.434782608696</v>
      </c>
      <c r="Z255" s="9">
        <v>15150</v>
      </c>
      <c r="AA255" s="9">
        <v>14816.95652173913</v>
      </c>
      <c r="AB255" s="10">
        <f>SUM(D255:AA255)*B255</f>
        <v>8729351</v>
      </c>
      <c r="AC255" s="11"/>
    </row>
    <row r="256" spans="1:29" x14ac:dyDescent="0.25">
      <c r="A256" s="7" t="s">
        <v>30</v>
      </c>
      <c r="B256" s="8">
        <v>4</v>
      </c>
      <c r="C256" s="38"/>
      <c r="D256" s="9">
        <v>14940</v>
      </c>
      <c r="E256" s="9">
        <v>14666.5</v>
      </c>
      <c r="F256" s="9">
        <v>14269.5</v>
      </c>
      <c r="G256" s="9">
        <v>13818.5</v>
      </c>
      <c r="H256" s="9">
        <v>13765</v>
      </c>
      <c r="I256" s="9">
        <v>14093.25</v>
      </c>
      <c r="J256" s="9">
        <v>14398.25</v>
      </c>
      <c r="K256" s="9">
        <v>14966</v>
      </c>
      <c r="L256" s="9">
        <v>15755.5</v>
      </c>
      <c r="M256" s="9">
        <v>16311</v>
      </c>
      <c r="N256" s="9">
        <v>16729</v>
      </c>
      <c r="O256" s="9">
        <v>17054.75</v>
      </c>
      <c r="P256" s="9">
        <v>16936.75</v>
      </c>
      <c r="Q256" s="9">
        <v>16930.25</v>
      </c>
      <c r="R256" s="9">
        <v>17253</v>
      </c>
      <c r="S256" s="9">
        <v>17340</v>
      </c>
      <c r="T256" s="9">
        <v>16916</v>
      </c>
      <c r="U256" s="9">
        <v>16684</v>
      </c>
      <c r="V256" s="9">
        <v>17179</v>
      </c>
      <c r="W256" s="9">
        <v>17118.75</v>
      </c>
      <c r="X256" s="9">
        <v>16549</v>
      </c>
      <c r="Y256" s="9">
        <v>15874.5</v>
      </c>
      <c r="Z256" s="9">
        <v>15149</v>
      </c>
      <c r="AA256" s="9">
        <v>14816</v>
      </c>
      <c r="AB256" s="10">
        <f t="shared" ref="AB256:AB257" si="63">SUM(D256:AA256)*B256</f>
        <v>1518054</v>
      </c>
      <c r="AC256" s="11"/>
    </row>
    <row r="257" spans="1:29" x14ac:dyDescent="0.25">
      <c r="A257" s="7" t="s">
        <v>31</v>
      </c>
      <c r="B257" s="8">
        <v>4</v>
      </c>
      <c r="C257" s="38"/>
      <c r="D257" s="9">
        <v>14942</v>
      </c>
      <c r="E257" s="9">
        <v>14668.5</v>
      </c>
      <c r="F257" s="9">
        <v>14271.5</v>
      </c>
      <c r="G257" s="9">
        <v>13820.5</v>
      </c>
      <c r="H257" s="9">
        <v>13767</v>
      </c>
      <c r="I257" s="9">
        <v>14095.5</v>
      </c>
      <c r="J257" s="9">
        <v>14400.5</v>
      </c>
      <c r="K257" s="9">
        <v>14968.25</v>
      </c>
      <c r="L257" s="9">
        <v>15757.5</v>
      </c>
      <c r="M257" s="9">
        <v>16313</v>
      </c>
      <c r="N257" s="9">
        <v>16730.75</v>
      </c>
      <c r="O257" s="9">
        <v>17056.5</v>
      </c>
      <c r="P257" s="9">
        <v>16938.5</v>
      </c>
      <c r="Q257" s="9">
        <v>16932</v>
      </c>
      <c r="R257" s="9">
        <v>17255</v>
      </c>
      <c r="S257" s="9">
        <v>17342</v>
      </c>
      <c r="T257" s="9">
        <v>16918</v>
      </c>
      <c r="U257" s="9">
        <v>16686</v>
      </c>
      <c r="V257" s="9">
        <v>17180.75</v>
      </c>
      <c r="W257" s="9">
        <v>17120.75</v>
      </c>
      <c r="X257" s="9">
        <v>16550.75</v>
      </c>
      <c r="Y257" s="9">
        <v>15876.5</v>
      </c>
      <c r="Z257" s="9">
        <v>15151</v>
      </c>
      <c r="AA257" s="9">
        <v>14817.75</v>
      </c>
      <c r="AB257" s="10">
        <f t="shared" si="63"/>
        <v>1518242</v>
      </c>
      <c r="AC257" s="4">
        <f>+AB255+AB256+AB257</f>
        <v>11765647</v>
      </c>
    </row>
    <row r="258" spans="1:29" x14ac:dyDescent="0.25">
      <c r="A258" s="23"/>
    </row>
    <row r="259" spans="1:29" x14ac:dyDescent="0.25">
      <c r="A259" s="7" t="s">
        <v>29</v>
      </c>
      <c r="B259" s="8">
        <v>20</v>
      </c>
      <c r="C259" s="37">
        <v>47788</v>
      </c>
      <c r="D259" s="9">
        <v>15005.85</v>
      </c>
      <c r="E259" s="9">
        <v>14732.8</v>
      </c>
      <c r="F259" s="9">
        <v>14335.5</v>
      </c>
      <c r="G259" s="9">
        <v>13883</v>
      </c>
      <c r="H259" s="9">
        <v>13830</v>
      </c>
      <c r="I259" s="9">
        <v>14159.65</v>
      </c>
      <c r="J259" s="9">
        <v>14466</v>
      </c>
      <c r="K259" s="9">
        <v>15032.9</v>
      </c>
      <c r="L259" s="9">
        <v>15821.95</v>
      </c>
      <c r="M259" s="9">
        <v>16375.35</v>
      </c>
      <c r="N259" s="9">
        <v>16790.650000000001</v>
      </c>
      <c r="O259" s="9">
        <v>17115</v>
      </c>
      <c r="P259" s="9">
        <v>16995.5</v>
      </c>
      <c r="Q259" s="9">
        <v>16990.2</v>
      </c>
      <c r="R259" s="9">
        <v>17316.05</v>
      </c>
      <c r="S259" s="9">
        <v>17405</v>
      </c>
      <c r="T259" s="9">
        <v>16980.05</v>
      </c>
      <c r="U259" s="9">
        <v>16747.099999999999</v>
      </c>
      <c r="V259" s="9">
        <v>17239.55</v>
      </c>
      <c r="W259" s="9">
        <v>17182</v>
      </c>
      <c r="X259" s="9">
        <v>16609.2</v>
      </c>
      <c r="Y259" s="9">
        <v>15934.7</v>
      </c>
      <c r="Z259" s="9">
        <v>15209.9</v>
      </c>
      <c r="AA259" s="9">
        <v>14878.5</v>
      </c>
      <c r="AB259" s="10">
        <f>SUM(D259:AA259)*B259</f>
        <v>7620728</v>
      </c>
      <c r="AC259" s="11"/>
    </row>
    <row r="260" spans="1:29" x14ac:dyDescent="0.25">
      <c r="A260" s="7" t="s">
        <v>30</v>
      </c>
      <c r="B260" s="8">
        <v>5</v>
      </c>
      <c r="C260" s="38"/>
      <c r="D260" s="9">
        <v>15004.8</v>
      </c>
      <c r="E260" s="9">
        <v>14731.8</v>
      </c>
      <c r="F260" s="9">
        <v>14334.4</v>
      </c>
      <c r="G260" s="9">
        <v>13882</v>
      </c>
      <c r="H260" s="9">
        <v>13828.8</v>
      </c>
      <c r="I260" s="9">
        <v>14158.8</v>
      </c>
      <c r="J260" s="9">
        <v>14465</v>
      </c>
      <c r="K260" s="9">
        <v>15031.8</v>
      </c>
      <c r="L260" s="9">
        <v>15820.8</v>
      </c>
      <c r="M260" s="9">
        <v>16374.4</v>
      </c>
      <c r="N260" s="9">
        <v>16789.8</v>
      </c>
      <c r="O260" s="9">
        <v>17114</v>
      </c>
      <c r="P260" s="9">
        <v>16994.599999999999</v>
      </c>
      <c r="Q260" s="9">
        <v>16989</v>
      </c>
      <c r="R260" s="9">
        <v>17315.2</v>
      </c>
      <c r="S260" s="9">
        <v>17403.8</v>
      </c>
      <c r="T260" s="9">
        <v>16979.2</v>
      </c>
      <c r="U260" s="9">
        <v>16746.2</v>
      </c>
      <c r="V260" s="9">
        <v>17238.599999999999</v>
      </c>
      <c r="W260" s="9">
        <v>17181</v>
      </c>
      <c r="X260" s="9">
        <v>16608</v>
      </c>
      <c r="Y260" s="9">
        <v>15933.8</v>
      </c>
      <c r="Z260" s="9">
        <v>15209</v>
      </c>
      <c r="AA260" s="9">
        <v>14877.6</v>
      </c>
      <c r="AB260" s="10">
        <f t="shared" ref="AB260:AB261" si="64">SUM(D260:AA260)*B260</f>
        <v>1905061.9999999998</v>
      </c>
      <c r="AC260" s="11"/>
    </row>
    <row r="261" spans="1:29" x14ac:dyDescent="0.25">
      <c r="A261" s="7" t="s">
        <v>31</v>
      </c>
      <c r="B261" s="8">
        <v>5</v>
      </c>
      <c r="C261" s="38"/>
      <c r="D261" s="9">
        <v>14994.4</v>
      </c>
      <c r="E261" s="9">
        <v>14721.4</v>
      </c>
      <c r="F261" s="9">
        <v>14324.4</v>
      </c>
      <c r="G261" s="9">
        <v>13872</v>
      </c>
      <c r="H261" s="9">
        <v>13818.8</v>
      </c>
      <c r="I261" s="9">
        <v>14148.2</v>
      </c>
      <c r="J261" s="9">
        <v>14454.2</v>
      </c>
      <c r="K261" s="9">
        <v>15021.4</v>
      </c>
      <c r="L261" s="9">
        <v>15810.4</v>
      </c>
      <c r="M261" s="9">
        <v>16364.2</v>
      </c>
      <c r="N261" s="9">
        <v>16780.2</v>
      </c>
      <c r="O261" s="9">
        <v>17104.8</v>
      </c>
      <c r="P261" s="9">
        <v>16985.400000000001</v>
      </c>
      <c r="Q261" s="9">
        <v>16979.8</v>
      </c>
      <c r="R261" s="9">
        <v>17305.400000000001</v>
      </c>
      <c r="S261" s="9">
        <v>17393.8</v>
      </c>
      <c r="T261" s="9">
        <v>16969</v>
      </c>
      <c r="U261" s="9">
        <v>16736.400000000001</v>
      </c>
      <c r="V261" s="9">
        <v>17229.2</v>
      </c>
      <c r="W261" s="9">
        <v>17171</v>
      </c>
      <c r="X261" s="9">
        <v>16598.8</v>
      </c>
      <c r="Y261" s="9">
        <v>15924.6</v>
      </c>
      <c r="Z261" s="9">
        <v>15199.4</v>
      </c>
      <c r="AA261" s="9">
        <v>14867.8</v>
      </c>
      <c r="AB261" s="10">
        <f t="shared" si="64"/>
        <v>1903874.9999999998</v>
      </c>
      <c r="AC261" s="4">
        <f>+AB259+AB260+AB261</f>
        <v>11429665</v>
      </c>
    </row>
    <row r="262" spans="1:29" x14ac:dyDescent="0.25">
      <c r="A262" s="23"/>
    </row>
    <row r="263" spans="1:29" x14ac:dyDescent="0.25">
      <c r="A263" s="7" t="s">
        <v>29</v>
      </c>
      <c r="B263" s="8">
        <v>20</v>
      </c>
      <c r="C263" s="37">
        <v>47818</v>
      </c>
      <c r="D263" s="9">
        <v>15066.6</v>
      </c>
      <c r="E263" s="9">
        <v>14793.9</v>
      </c>
      <c r="F263" s="9">
        <v>14396.45</v>
      </c>
      <c r="G263" s="9">
        <v>13942.95</v>
      </c>
      <c r="H263" s="9">
        <v>13889.2</v>
      </c>
      <c r="I263" s="9">
        <v>14220.9</v>
      </c>
      <c r="J263" s="9">
        <v>14528.55</v>
      </c>
      <c r="K263" s="9">
        <v>15094.35</v>
      </c>
      <c r="L263" s="9">
        <v>15883.1</v>
      </c>
      <c r="M263" s="9">
        <v>16435</v>
      </c>
      <c r="N263" s="9">
        <v>16847.8</v>
      </c>
      <c r="O263" s="9">
        <v>17170.5</v>
      </c>
      <c r="P263" s="9">
        <v>17049.55</v>
      </c>
      <c r="Q263" s="9">
        <v>17045.400000000001</v>
      </c>
      <c r="R263" s="9">
        <v>17374.2</v>
      </c>
      <c r="S263" s="9">
        <v>17464</v>
      </c>
      <c r="T263" s="9">
        <v>17040</v>
      </c>
      <c r="U263" s="9">
        <v>16805.349999999999</v>
      </c>
      <c r="V263" s="9">
        <v>17295.5</v>
      </c>
      <c r="W263" s="9">
        <v>17240.099999999999</v>
      </c>
      <c r="X263" s="9">
        <v>16664.45</v>
      </c>
      <c r="Y263" s="9">
        <v>15990.4</v>
      </c>
      <c r="Z263" s="9">
        <v>15266.05</v>
      </c>
      <c r="AA263" s="9">
        <v>14936.3</v>
      </c>
      <c r="AB263" s="10">
        <f>SUM(D263:AA263)*B263</f>
        <v>7648811.9999999981</v>
      </c>
      <c r="AC263" s="11"/>
    </row>
    <row r="264" spans="1:29" x14ac:dyDescent="0.25">
      <c r="A264" s="7" t="s">
        <v>30</v>
      </c>
      <c r="B264" s="8">
        <v>4</v>
      </c>
      <c r="C264" s="38"/>
      <c r="D264" s="9">
        <v>15069.75</v>
      </c>
      <c r="E264" s="9">
        <v>14797</v>
      </c>
      <c r="F264" s="9">
        <v>14399.5</v>
      </c>
      <c r="G264" s="9">
        <v>13946</v>
      </c>
      <c r="H264" s="9">
        <v>13892.25</v>
      </c>
      <c r="I264" s="9">
        <v>14224</v>
      </c>
      <c r="J264" s="9">
        <v>14531.5</v>
      </c>
      <c r="K264" s="9">
        <v>15097.5</v>
      </c>
      <c r="L264" s="9">
        <v>15886</v>
      </c>
      <c r="M264" s="9">
        <v>16438</v>
      </c>
      <c r="N264" s="9">
        <v>16850.5</v>
      </c>
      <c r="O264" s="9">
        <v>17173.5</v>
      </c>
      <c r="P264" s="9">
        <v>17052.5</v>
      </c>
      <c r="Q264" s="9">
        <v>17048.5</v>
      </c>
      <c r="R264" s="9">
        <v>17377.25</v>
      </c>
      <c r="S264" s="9">
        <v>17467</v>
      </c>
      <c r="T264" s="9">
        <v>17043</v>
      </c>
      <c r="U264" s="9">
        <v>16808.25</v>
      </c>
      <c r="V264" s="9">
        <v>17298.25</v>
      </c>
      <c r="W264" s="9">
        <v>17243</v>
      </c>
      <c r="X264" s="9">
        <v>16667.5</v>
      </c>
      <c r="Y264" s="9">
        <v>15993.25</v>
      </c>
      <c r="Z264" s="9">
        <v>15269</v>
      </c>
      <c r="AA264" s="9">
        <v>14939.25</v>
      </c>
      <c r="AB264" s="10">
        <f t="shared" ref="AB264:AB265" si="65">SUM(D264:AA264)*B264</f>
        <v>1530049</v>
      </c>
      <c r="AC264" s="11"/>
    </row>
    <row r="265" spans="1:29" x14ac:dyDescent="0.25">
      <c r="A265" s="7" t="s">
        <v>31</v>
      </c>
      <c r="B265" s="8">
        <v>7</v>
      </c>
      <c r="C265" s="38"/>
      <c r="D265" s="9">
        <v>15064.857142857143</v>
      </c>
      <c r="E265" s="9">
        <v>14792.142857142857</v>
      </c>
      <c r="F265" s="9">
        <v>14394.571428571429</v>
      </c>
      <c r="G265" s="9">
        <v>13941.142857142857</v>
      </c>
      <c r="H265" s="9">
        <v>13887.571428571429</v>
      </c>
      <c r="I265" s="9">
        <v>14219.142857142857</v>
      </c>
      <c r="J265" s="9">
        <v>14526.714285714286</v>
      </c>
      <c r="K265" s="9">
        <v>15092.571428571429</v>
      </c>
      <c r="L265" s="9">
        <v>15881.285714285714</v>
      </c>
      <c r="M265" s="9">
        <v>16433.285714285714</v>
      </c>
      <c r="N265" s="9">
        <v>16846</v>
      </c>
      <c r="O265" s="9">
        <v>17168.857142857141</v>
      </c>
      <c r="P265" s="9">
        <v>17048</v>
      </c>
      <c r="Q265" s="9">
        <v>17043.857142857141</v>
      </c>
      <c r="R265" s="9">
        <v>17372.571428571428</v>
      </c>
      <c r="S265" s="9">
        <v>17462.285714285714</v>
      </c>
      <c r="T265" s="9">
        <v>17038.285714285714</v>
      </c>
      <c r="U265" s="9">
        <v>16803.714285714286</v>
      </c>
      <c r="V265" s="9">
        <v>17294</v>
      </c>
      <c r="W265" s="9">
        <v>17238.428571428572</v>
      </c>
      <c r="X265" s="9">
        <v>16662.857142857141</v>
      </c>
      <c r="Y265" s="9">
        <v>15988.714285714286</v>
      </c>
      <c r="Z265" s="9">
        <v>15264.285714285714</v>
      </c>
      <c r="AA265" s="9">
        <v>14934.714285714286</v>
      </c>
      <c r="AB265" s="10">
        <f t="shared" si="65"/>
        <v>2676798.9999999995</v>
      </c>
      <c r="AC265" s="4">
        <f>+AB263+AB264+AB265</f>
        <v>11855659.999999998</v>
      </c>
    </row>
    <row r="266" spans="1:29" x14ac:dyDescent="0.25">
      <c r="A266" s="5">
        <v>2031</v>
      </c>
      <c r="B266" s="5"/>
      <c r="C266" s="5"/>
      <c r="AB266" s="6"/>
      <c r="AC266" s="6"/>
    </row>
    <row r="267" spans="1:29" x14ac:dyDescent="0.25">
      <c r="A267" s="7" t="s">
        <v>29</v>
      </c>
      <c r="B267" s="8">
        <v>23</v>
      </c>
      <c r="C267" s="37">
        <v>47849</v>
      </c>
      <c r="D267" s="9">
        <v>13817.695652173914</v>
      </c>
      <c r="E267" s="9">
        <v>13569.08695652174</v>
      </c>
      <c r="F267" s="9">
        <v>13205.869565217392</v>
      </c>
      <c r="G267" s="9">
        <v>12790.391304347826</v>
      </c>
      <c r="H267" s="9">
        <v>12741.652173913044</v>
      </c>
      <c r="I267" s="9">
        <v>13046.04347826087</v>
      </c>
      <c r="J267" s="9">
        <v>13328.260869565218</v>
      </c>
      <c r="K267" s="9">
        <v>13843.739130434782</v>
      </c>
      <c r="L267" s="9">
        <v>14563.521739130434</v>
      </c>
      <c r="M267" s="9">
        <v>15065.347826086956</v>
      </c>
      <c r="N267" s="9">
        <v>15440.260869565218</v>
      </c>
      <c r="O267" s="9">
        <v>15733.391304347826</v>
      </c>
      <c r="P267" s="9">
        <v>15621.478260869566</v>
      </c>
      <c r="Q267" s="9">
        <v>15619.04347826087</v>
      </c>
      <c r="R267" s="9">
        <v>15922.04347826087</v>
      </c>
      <c r="S267" s="9">
        <v>16005.782608695652</v>
      </c>
      <c r="T267" s="9">
        <v>15617.739130434782</v>
      </c>
      <c r="U267" s="9">
        <v>15402.739130434782</v>
      </c>
      <c r="V267" s="9">
        <v>15848</v>
      </c>
      <c r="W267" s="9">
        <v>15799.782608695652</v>
      </c>
      <c r="X267" s="9">
        <v>15271.260869565218</v>
      </c>
      <c r="Y267" s="9">
        <v>14655.869565217392</v>
      </c>
      <c r="Z267" s="9">
        <v>13995.130434782608</v>
      </c>
      <c r="AA267" s="9">
        <v>13695.521739130434</v>
      </c>
      <c r="AB267" s="10">
        <f>SUM(D267:AA267)*B267</f>
        <v>8063792.0000000009</v>
      </c>
      <c r="AC267" s="11"/>
    </row>
    <row r="268" spans="1:29" x14ac:dyDescent="0.25">
      <c r="A268" s="7" t="s">
        <v>30</v>
      </c>
      <c r="B268" s="8">
        <v>4</v>
      </c>
      <c r="C268" s="38"/>
      <c r="D268" s="9">
        <v>15127.5</v>
      </c>
      <c r="E268" s="9">
        <v>14855</v>
      </c>
      <c r="F268" s="9">
        <v>14457.5</v>
      </c>
      <c r="G268" s="9">
        <v>14002.25</v>
      </c>
      <c r="H268" s="9">
        <v>13949</v>
      </c>
      <c r="I268" s="9">
        <v>14282</v>
      </c>
      <c r="J268" s="9">
        <v>14591</v>
      </c>
      <c r="K268" s="9">
        <v>15156</v>
      </c>
      <c r="L268" s="9">
        <v>15944.25</v>
      </c>
      <c r="M268" s="9">
        <v>16494</v>
      </c>
      <c r="N268" s="9">
        <v>16904.75</v>
      </c>
      <c r="O268" s="9">
        <v>17226</v>
      </c>
      <c r="P268" s="9">
        <v>17103.5</v>
      </c>
      <c r="Q268" s="9">
        <v>17100.5</v>
      </c>
      <c r="R268" s="9">
        <v>17432.25</v>
      </c>
      <c r="S268" s="9">
        <v>17524</v>
      </c>
      <c r="T268" s="9">
        <v>17099</v>
      </c>
      <c r="U268" s="9">
        <v>16863.5</v>
      </c>
      <c r="V268" s="9">
        <v>17351.5</v>
      </c>
      <c r="W268" s="9">
        <v>17298.5</v>
      </c>
      <c r="X268" s="9">
        <v>16719.75</v>
      </c>
      <c r="Y268" s="9">
        <v>16045.75</v>
      </c>
      <c r="Z268" s="9">
        <v>15322</v>
      </c>
      <c r="AA268" s="9">
        <v>14993.75</v>
      </c>
      <c r="AB268" s="10">
        <f t="shared" ref="AB268:AB269" si="66">SUM(D268:AA268)*B268</f>
        <v>1535373</v>
      </c>
      <c r="AC268" s="11"/>
    </row>
    <row r="269" spans="1:29" x14ac:dyDescent="0.25">
      <c r="A269" s="7" t="s">
        <v>31</v>
      </c>
      <c r="B269" s="8">
        <v>6</v>
      </c>
      <c r="C269" s="38"/>
      <c r="D269" s="9">
        <v>15121.333333333334</v>
      </c>
      <c r="E269" s="9">
        <v>14848.666666666666</v>
      </c>
      <c r="F269" s="9">
        <v>14451.166666666666</v>
      </c>
      <c r="G269" s="9">
        <v>13996.166666666666</v>
      </c>
      <c r="H269" s="9">
        <v>13943</v>
      </c>
      <c r="I269" s="9">
        <v>14275.666666666666</v>
      </c>
      <c r="J269" s="9">
        <v>14584.666666666666</v>
      </c>
      <c r="K269" s="9">
        <v>15149.666666666666</v>
      </c>
      <c r="L269" s="9">
        <v>15938.166666666666</v>
      </c>
      <c r="M269" s="9">
        <v>16488</v>
      </c>
      <c r="N269" s="9">
        <v>16898.833333333332</v>
      </c>
      <c r="O269" s="9">
        <v>17220.333333333332</v>
      </c>
      <c r="P269" s="9">
        <v>17098.166666666668</v>
      </c>
      <c r="Q269" s="9">
        <v>17095</v>
      </c>
      <c r="R269" s="9">
        <v>17426.5</v>
      </c>
      <c r="S269" s="9">
        <v>17517.833333333332</v>
      </c>
      <c r="T269" s="9">
        <v>17093</v>
      </c>
      <c r="U269" s="9">
        <v>16857.666666666668</v>
      </c>
      <c r="V269" s="9">
        <v>17345.666666666668</v>
      </c>
      <c r="W269" s="9">
        <v>17292.666666666668</v>
      </c>
      <c r="X269" s="9">
        <v>16714.166666666668</v>
      </c>
      <c r="Y269" s="9">
        <v>16040.166666666666</v>
      </c>
      <c r="Z269" s="9">
        <v>15316.333333333334</v>
      </c>
      <c r="AA269" s="9">
        <v>14988</v>
      </c>
      <c r="AB269" s="10">
        <f t="shared" si="66"/>
        <v>2302205.0000000005</v>
      </c>
      <c r="AC269" s="4">
        <f>+AB267+AB268+AB269</f>
        <v>11901370</v>
      </c>
    </row>
    <row r="270" spans="1:29" x14ac:dyDescent="0.25">
      <c r="A270" s="23"/>
    </row>
    <row r="271" spans="1:29" x14ac:dyDescent="0.25">
      <c r="A271" s="7" t="s">
        <v>29</v>
      </c>
      <c r="B271" s="8">
        <v>20</v>
      </c>
      <c r="C271" s="37">
        <v>47880</v>
      </c>
      <c r="D271" s="9">
        <v>15193.4</v>
      </c>
      <c r="E271" s="9">
        <v>14921.25</v>
      </c>
      <c r="F271" s="9">
        <v>14523.4</v>
      </c>
      <c r="G271" s="9">
        <v>14067</v>
      </c>
      <c r="H271" s="9">
        <v>14013.5</v>
      </c>
      <c r="I271" s="9">
        <v>14348.5</v>
      </c>
      <c r="J271" s="9">
        <v>14658.8</v>
      </c>
      <c r="K271" s="9">
        <v>15222.6</v>
      </c>
      <c r="L271" s="9">
        <v>16010.55</v>
      </c>
      <c r="M271" s="9">
        <v>16559</v>
      </c>
      <c r="N271" s="9">
        <v>16966.55</v>
      </c>
      <c r="O271" s="9">
        <v>17286.3</v>
      </c>
      <c r="P271" s="9">
        <v>17162.2</v>
      </c>
      <c r="Q271" s="9">
        <v>17160.650000000001</v>
      </c>
      <c r="R271" s="9">
        <v>17495.400000000001</v>
      </c>
      <c r="S271" s="9">
        <v>17588</v>
      </c>
      <c r="T271" s="9">
        <v>17164</v>
      </c>
      <c r="U271" s="9">
        <v>16926.75</v>
      </c>
      <c r="V271" s="9">
        <v>17412.150000000001</v>
      </c>
      <c r="W271" s="9">
        <v>17361.900000000001</v>
      </c>
      <c r="X271" s="9">
        <v>16779.900000000001</v>
      </c>
      <c r="Y271" s="9">
        <v>16106.25</v>
      </c>
      <c r="Z271" s="9">
        <v>15383</v>
      </c>
      <c r="AA271" s="9">
        <v>15056.5</v>
      </c>
      <c r="AB271" s="10">
        <f>SUM(D271:AA271)*B271</f>
        <v>7707351.0000000009</v>
      </c>
      <c r="AC271" s="11"/>
    </row>
    <row r="272" spans="1:29" x14ac:dyDescent="0.25">
      <c r="A272" s="7" t="s">
        <v>30</v>
      </c>
      <c r="B272" s="8">
        <v>4</v>
      </c>
      <c r="C272" s="38"/>
      <c r="D272" s="9">
        <v>15185</v>
      </c>
      <c r="E272" s="9">
        <v>14913</v>
      </c>
      <c r="F272" s="9">
        <v>14515</v>
      </c>
      <c r="G272" s="9">
        <v>14059</v>
      </c>
      <c r="H272" s="9">
        <v>14005.5</v>
      </c>
      <c r="I272" s="9">
        <v>14340</v>
      </c>
      <c r="J272" s="9">
        <v>14650.5</v>
      </c>
      <c r="K272" s="9">
        <v>15214.25</v>
      </c>
      <c r="L272" s="9">
        <v>16002.5</v>
      </c>
      <c r="M272" s="9">
        <v>16550.75</v>
      </c>
      <c r="N272" s="9">
        <v>16959</v>
      </c>
      <c r="O272" s="9">
        <v>17278.5</v>
      </c>
      <c r="P272" s="9">
        <v>17154.75</v>
      </c>
      <c r="Q272" s="9">
        <v>17153.5</v>
      </c>
      <c r="R272" s="9">
        <v>17487.5</v>
      </c>
      <c r="S272" s="9">
        <v>17580</v>
      </c>
      <c r="T272" s="9">
        <v>17156</v>
      </c>
      <c r="U272" s="9">
        <v>16919</v>
      </c>
      <c r="V272" s="9">
        <v>17404.5</v>
      </c>
      <c r="W272" s="9">
        <v>17354</v>
      </c>
      <c r="X272" s="9">
        <v>16772.5</v>
      </c>
      <c r="Y272" s="9">
        <v>16098.5</v>
      </c>
      <c r="Z272" s="9">
        <v>15375.25</v>
      </c>
      <c r="AA272" s="9">
        <v>15048.75</v>
      </c>
      <c r="AB272" s="10">
        <f t="shared" ref="AB272:AB273" si="67">SUM(D272:AA272)*B272</f>
        <v>1540709</v>
      </c>
      <c r="AC272" s="11"/>
    </row>
    <row r="273" spans="1:29" x14ac:dyDescent="0.25">
      <c r="A273" s="7" t="s">
        <v>31</v>
      </c>
      <c r="B273" s="8">
        <v>4</v>
      </c>
      <c r="C273" s="38"/>
      <c r="D273" s="9">
        <v>15187.25</v>
      </c>
      <c r="E273" s="9">
        <v>14915</v>
      </c>
      <c r="F273" s="9">
        <v>14517</v>
      </c>
      <c r="G273" s="9">
        <v>14061</v>
      </c>
      <c r="H273" s="9">
        <v>14007.5</v>
      </c>
      <c r="I273" s="9">
        <v>14342.5</v>
      </c>
      <c r="J273" s="9">
        <v>14652.5</v>
      </c>
      <c r="K273" s="9">
        <v>15216.25</v>
      </c>
      <c r="L273" s="9">
        <v>16004.5</v>
      </c>
      <c r="M273" s="9">
        <v>16553</v>
      </c>
      <c r="N273" s="9">
        <v>16961</v>
      </c>
      <c r="O273" s="9">
        <v>17280.5</v>
      </c>
      <c r="P273" s="9">
        <v>17156.5</v>
      </c>
      <c r="Q273" s="9">
        <v>17155.25</v>
      </c>
      <c r="R273" s="9">
        <v>17489.5</v>
      </c>
      <c r="S273" s="9">
        <v>17582</v>
      </c>
      <c r="T273" s="9">
        <v>17158</v>
      </c>
      <c r="U273" s="9">
        <v>16920.75</v>
      </c>
      <c r="V273" s="9">
        <v>17406.5</v>
      </c>
      <c r="W273" s="9">
        <v>17356</v>
      </c>
      <c r="X273" s="9">
        <v>16774.5</v>
      </c>
      <c r="Y273" s="9">
        <v>16100.5</v>
      </c>
      <c r="Z273" s="9">
        <v>15377.25</v>
      </c>
      <c r="AA273" s="9">
        <v>15050.5</v>
      </c>
      <c r="AB273" s="10">
        <f t="shared" si="67"/>
        <v>1540901</v>
      </c>
      <c r="AC273" s="4">
        <f>+AB271+AB272+AB273</f>
        <v>10788961</v>
      </c>
    </row>
    <row r="274" spans="1:29" x14ac:dyDescent="0.25">
      <c r="A274" s="23"/>
    </row>
    <row r="275" spans="1:29" x14ac:dyDescent="0.25">
      <c r="A275" s="7" t="s">
        <v>29</v>
      </c>
      <c r="B275" s="8">
        <v>20</v>
      </c>
      <c r="C275" s="37">
        <v>47908</v>
      </c>
      <c r="D275" s="9">
        <v>15251.7</v>
      </c>
      <c r="E275" s="9">
        <v>14979.9</v>
      </c>
      <c r="F275" s="9">
        <v>14581.8</v>
      </c>
      <c r="G275" s="9">
        <v>14124.35</v>
      </c>
      <c r="H275" s="9">
        <v>14070.7</v>
      </c>
      <c r="I275" s="9">
        <v>14407.4</v>
      </c>
      <c r="J275" s="9">
        <v>14719</v>
      </c>
      <c r="K275" s="9">
        <v>15281.65</v>
      </c>
      <c r="L275" s="9">
        <v>16069.4</v>
      </c>
      <c r="M275" s="9">
        <v>16615.7</v>
      </c>
      <c r="N275" s="9">
        <v>17021.45</v>
      </c>
      <c r="O275" s="9">
        <v>17339.55</v>
      </c>
      <c r="P275" s="9">
        <v>17214.150000000001</v>
      </c>
      <c r="Q275" s="9">
        <v>17214</v>
      </c>
      <c r="R275" s="9">
        <v>17551.3</v>
      </c>
      <c r="S275" s="9">
        <v>17645.7</v>
      </c>
      <c r="T275" s="9">
        <v>17220.7</v>
      </c>
      <c r="U275" s="9">
        <v>16982.650000000001</v>
      </c>
      <c r="V275" s="9">
        <v>17465.95</v>
      </c>
      <c r="W275" s="9">
        <v>17417.7</v>
      </c>
      <c r="X275" s="9">
        <v>16833.2</v>
      </c>
      <c r="Y275" s="9">
        <v>16159.55</v>
      </c>
      <c r="Z275" s="9">
        <v>15436.85</v>
      </c>
      <c r="AA275" s="9">
        <v>15111.95</v>
      </c>
      <c r="AB275" s="10">
        <f>SUM(D275:AA275)*B275</f>
        <v>7734326.0000000009</v>
      </c>
      <c r="AC275" s="11"/>
    </row>
    <row r="276" spans="1:29" x14ac:dyDescent="0.25">
      <c r="A276" s="7" t="s">
        <v>30</v>
      </c>
      <c r="B276" s="8">
        <v>5</v>
      </c>
      <c r="C276" s="38"/>
      <c r="D276" s="9">
        <v>15250</v>
      </c>
      <c r="E276" s="9">
        <v>14978.2</v>
      </c>
      <c r="F276" s="9">
        <v>14580.2</v>
      </c>
      <c r="G276" s="9">
        <v>14122.6</v>
      </c>
      <c r="H276" s="9">
        <v>14069</v>
      </c>
      <c r="I276" s="9">
        <v>14405.8</v>
      </c>
      <c r="J276" s="9">
        <v>14717</v>
      </c>
      <c r="K276" s="9">
        <v>15280</v>
      </c>
      <c r="L276" s="9">
        <v>16067.8</v>
      </c>
      <c r="M276" s="9">
        <v>16614</v>
      </c>
      <c r="N276" s="9">
        <v>17019.8</v>
      </c>
      <c r="O276" s="9">
        <v>17338</v>
      </c>
      <c r="P276" s="9">
        <v>17212.599999999999</v>
      </c>
      <c r="Q276" s="9">
        <v>17212.2</v>
      </c>
      <c r="R276" s="9">
        <v>17549.599999999999</v>
      </c>
      <c r="S276" s="9">
        <v>17643.8</v>
      </c>
      <c r="T276" s="9">
        <v>17219</v>
      </c>
      <c r="U276" s="9">
        <v>16981</v>
      </c>
      <c r="V276" s="9">
        <v>17464.400000000001</v>
      </c>
      <c r="W276" s="9">
        <v>17416</v>
      </c>
      <c r="X276" s="9">
        <v>16831.599999999999</v>
      </c>
      <c r="Y276" s="9">
        <v>16158</v>
      </c>
      <c r="Z276" s="9">
        <v>15435.4</v>
      </c>
      <c r="AA276" s="9">
        <v>15110.4</v>
      </c>
      <c r="AB276" s="10">
        <f t="shared" ref="AB276:AB277" si="68">SUM(D276:AA276)*B276</f>
        <v>1933382</v>
      </c>
      <c r="AC276" s="11"/>
    </row>
    <row r="277" spans="1:29" x14ac:dyDescent="0.25">
      <c r="A277" s="7" t="s">
        <v>31</v>
      </c>
      <c r="B277" s="8">
        <v>6</v>
      </c>
      <c r="C277" s="38"/>
      <c r="D277" s="9">
        <v>15254.833333333334</v>
      </c>
      <c r="E277" s="9">
        <v>14983</v>
      </c>
      <c r="F277" s="9">
        <v>14585</v>
      </c>
      <c r="G277" s="9">
        <v>14127.333333333334</v>
      </c>
      <c r="H277" s="9">
        <v>14073.666666666666</v>
      </c>
      <c r="I277" s="9">
        <v>14410.5</v>
      </c>
      <c r="J277" s="9">
        <v>14722</v>
      </c>
      <c r="K277" s="9">
        <v>15284.833333333334</v>
      </c>
      <c r="L277" s="9">
        <v>16072.5</v>
      </c>
      <c r="M277" s="9">
        <v>16618.666666666668</v>
      </c>
      <c r="N277" s="9">
        <v>17024.333333333332</v>
      </c>
      <c r="O277" s="9">
        <v>17342.5</v>
      </c>
      <c r="P277" s="9">
        <v>17216.833333333332</v>
      </c>
      <c r="Q277" s="9">
        <v>17216.5</v>
      </c>
      <c r="R277" s="9">
        <v>17554.166666666668</v>
      </c>
      <c r="S277" s="9">
        <v>17648.5</v>
      </c>
      <c r="T277" s="9">
        <v>17223.666666666668</v>
      </c>
      <c r="U277" s="9">
        <v>16985.666666666668</v>
      </c>
      <c r="V277" s="9">
        <v>17468.666666666668</v>
      </c>
      <c r="W277" s="9">
        <v>17420.666666666668</v>
      </c>
      <c r="X277" s="9">
        <v>16835.833333333332</v>
      </c>
      <c r="Y277" s="9">
        <v>16162.333333333334</v>
      </c>
      <c r="Z277" s="9">
        <v>15439.833333333334</v>
      </c>
      <c r="AA277" s="9">
        <v>15115</v>
      </c>
      <c r="AB277" s="10">
        <f t="shared" si="68"/>
        <v>2320721</v>
      </c>
      <c r="AC277" s="4">
        <f>+AB275+AB276+AB277</f>
        <v>11988429</v>
      </c>
    </row>
    <row r="278" spans="1:29" x14ac:dyDescent="0.25">
      <c r="A278" s="23"/>
    </row>
    <row r="279" spans="1:29" x14ac:dyDescent="0.25">
      <c r="A279" s="7" t="s">
        <v>29</v>
      </c>
      <c r="B279" s="8">
        <v>20</v>
      </c>
      <c r="C279" s="37">
        <v>47939</v>
      </c>
      <c r="D279" s="9">
        <v>15315.4</v>
      </c>
      <c r="E279" s="9">
        <v>15044</v>
      </c>
      <c r="F279" s="9">
        <v>14645.75</v>
      </c>
      <c r="G279" s="9">
        <v>14186.6</v>
      </c>
      <c r="H279" s="9">
        <v>14133.35</v>
      </c>
      <c r="I279" s="9">
        <v>14471.55</v>
      </c>
      <c r="J279" s="9">
        <v>14784.55</v>
      </c>
      <c r="K279" s="9">
        <v>15346.25</v>
      </c>
      <c r="L279" s="9">
        <v>16133.55</v>
      </c>
      <c r="M279" s="9">
        <v>16678.2</v>
      </c>
      <c r="N279" s="9">
        <v>17081.349999999999</v>
      </c>
      <c r="O279" s="9">
        <v>17397.8</v>
      </c>
      <c r="P279" s="9">
        <v>17270.849999999999</v>
      </c>
      <c r="Q279" s="9">
        <v>17271.900000000001</v>
      </c>
      <c r="R279" s="9">
        <v>17612.2</v>
      </c>
      <c r="S279" s="9">
        <v>17707.599999999999</v>
      </c>
      <c r="T279" s="9">
        <v>17283.400000000001</v>
      </c>
      <c r="U279" s="9">
        <v>17043.599999999999</v>
      </c>
      <c r="V279" s="9">
        <v>17524.599999999999</v>
      </c>
      <c r="W279" s="9">
        <v>17478.95</v>
      </c>
      <c r="X279" s="9">
        <v>16891.349999999999</v>
      </c>
      <c r="Y279" s="9">
        <v>16217.85</v>
      </c>
      <c r="Z279" s="9">
        <v>15495.75</v>
      </c>
      <c r="AA279" s="9">
        <v>15172.4</v>
      </c>
      <c r="AB279" s="10">
        <f>SUM(D279:AA279)*B279</f>
        <v>7763776</v>
      </c>
      <c r="AC279" s="11"/>
    </row>
    <row r="280" spans="1:29" x14ac:dyDescent="0.25">
      <c r="A280" s="7" t="s">
        <v>30</v>
      </c>
      <c r="B280" s="8">
        <v>4</v>
      </c>
      <c r="C280" s="38"/>
      <c r="D280" s="9">
        <v>15314.75</v>
      </c>
      <c r="E280" s="9">
        <v>15043.5</v>
      </c>
      <c r="F280" s="9">
        <v>14645</v>
      </c>
      <c r="G280" s="9">
        <v>14186</v>
      </c>
      <c r="H280" s="9">
        <v>14132.75</v>
      </c>
      <c r="I280" s="9">
        <v>14471</v>
      </c>
      <c r="J280" s="9">
        <v>14783.75</v>
      </c>
      <c r="K280" s="9">
        <v>15345.5</v>
      </c>
      <c r="L280" s="9">
        <v>16133</v>
      </c>
      <c r="M280" s="9">
        <v>16677.5</v>
      </c>
      <c r="N280" s="9">
        <v>17080.5</v>
      </c>
      <c r="O280" s="9">
        <v>17397.5</v>
      </c>
      <c r="P280" s="9">
        <v>17270.5</v>
      </c>
      <c r="Q280" s="9">
        <v>17271.5</v>
      </c>
      <c r="R280" s="9">
        <v>17611.75</v>
      </c>
      <c r="S280" s="9">
        <v>17707</v>
      </c>
      <c r="T280" s="9">
        <v>17283</v>
      </c>
      <c r="U280" s="9">
        <v>17043</v>
      </c>
      <c r="V280" s="9">
        <v>17524</v>
      </c>
      <c r="W280" s="9">
        <v>17478.25</v>
      </c>
      <c r="X280" s="9">
        <v>16890.5</v>
      </c>
      <c r="Y280" s="9">
        <v>16217.5</v>
      </c>
      <c r="Z280" s="9">
        <v>15495.25</v>
      </c>
      <c r="AA280" s="9">
        <v>15171.75</v>
      </c>
      <c r="AB280" s="10">
        <f t="shared" ref="AB280:AB281" si="69">SUM(D280:AA280)*B280</f>
        <v>1552699</v>
      </c>
      <c r="AC280" s="11"/>
    </row>
    <row r="281" spans="1:29" x14ac:dyDescent="0.25">
      <c r="A281" s="7" t="s">
        <v>31</v>
      </c>
      <c r="B281" s="8">
        <v>6</v>
      </c>
      <c r="C281" s="38"/>
      <c r="D281" s="9">
        <v>15313</v>
      </c>
      <c r="E281" s="9">
        <v>15041.333333333334</v>
      </c>
      <c r="F281" s="9">
        <v>14643</v>
      </c>
      <c r="G281" s="9">
        <v>14184</v>
      </c>
      <c r="H281" s="9">
        <v>14130.833333333334</v>
      </c>
      <c r="I281" s="9">
        <v>14469</v>
      </c>
      <c r="J281" s="9">
        <v>14781.666666666666</v>
      </c>
      <c r="K281" s="9">
        <v>15343.5</v>
      </c>
      <c r="L281" s="9">
        <v>16131</v>
      </c>
      <c r="M281" s="9">
        <v>16675.333333333332</v>
      </c>
      <c r="N281" s="9">
        <v>17078.666666666668</v>
      </c>
      <c r="O281" s="9">
        <v>17395.5</v>
      </c>
      <c r="P281" s="9">
        <v>17268.5</v>
      </c>
      <c r="Q281" s="9">
        <v>17269.666666666668</v>
      </c>
      <c r="R281" s="9">
        <v>17609.833333333332</v>
      </c>
      <c r="S281" s="9">
        <v>17705</v>
      </c>
      <c r="T281" s="9">
        <v>17281</v>
      </c>
      <c r="U281" s="9">
        <v>17041</v>
      </c>
      <c r="V281" s="9">
        <v>17522.333333333332</v>
      </c>
      <c r="W281" s="9">
        <v>17476.166666666668</v>
      </c>
      <c r="X281" s="9">
        <v>16888.666666666668</v>
      </c>
      <c r="Y281" s="9">
        <v>16215.5</v>
      </c>
      <c r="Z281" s="9">
        <v>15493.333333333334</v>
      </c>
      <c r="AA281" s="9">
        <v>15169.833333333334</v>
      </c>
      <c r="AB281" s="10">
        <f t="shared" si="69"/>
        <v>2328766</v>
      </c>
      <c r="AC281" s="4">
        <f>+AB279+AB280+AB281</f>
        <v>11645241</v>
      </c>
    </row>
    <row r="282" spans="1:29" x14ac:dyDescent="0.25">
      <c r="A282" s="23"/>
    </row>
    <row r="283" spans="1:29" x14ac:dyDescent="0.25">
      <c r="A283" s="7" t="s">
        <v>29</v>
      </c>
      <c r="B283" s="24">
        <v>20</v>
      </c>
      <c r="C283" s="37">
        <v>47969</v>
      </c>
      <c r="D283" s="9">
        <v>15378.3</v>
      </c>
      <c r="E283" s="9">
        <v>15107.25</v>
      </c>
      <c r="F283" s="9">
        <v>14708.6</v>
      </c>
      <c r="G283" s="9">
        <v>14248.6</v>
      </c>
      <c r="H283" s="9">
        <v>14194.65</v>
      </c>
      <c r="I283" s="9">
        <v>14534.95</v>
      </c>
      <c r="J283" s="9">
        <v>14849.1</v>
      </c>
      <c r="K283" s="9">
        <v>15409.75</v>
      </c>
      <c r="L283" s="9">
        <v>16196.8</v>
      </c>
      <c r="M283" s="9">
        <v>16739.599999999999</v>
      </c>
      <c r="N283" s="9">
        <v>17140.2</v>
      </c>
      <c r="O283" s="9">
        <v>17455.2</v>
      </c>
      <c r="P283" s="9">
        <v>17326.8</v>
      </c>
      <c r="Q283" s="9">
        <v>17329.2</v>
      </c>
      <c r="R283" s="9">
        <v>17672.400000000001</v>
      </c>
      <c r="S283" s="9">
        <v>17769.599999999999</v>
      </c>
      <c r="T283" s="9">
        <v>17344.599999999999</v>
      </c>
      <c r="U283" s="9">
        <v>17103.75</v>
      </c>
      <c r="V283" s="9">
        <v>17582.45</v>
      </c>
      <c r="W283" s="9">
        <v>17539.3</v>
      </c>
      <c r="X283" s="9">
        <v>16948.45</v>
      </c>
      <c r="Y283" s="9">
        <v>16275.25</v>
      </c>
      <c r="Z283" s="9">
        <v>15553.85</v>
      </c>
      <c r="AA283" s="9">
        <v>15232.1</v>
      </c>
      <c r="AB283" s="10">
        <f>SUM(D283:AA283)*B283</f>
        <v>7792815</v>
      </c>
      <c r="AC283" s="11"/>
    </row>
    <row r="284" spans="1:29" x14ac:dyDescent="0.25">
      <c r="A284" s="7" t="s">
        <v>30</v>
      </c>
      <c r="B284" s="24">
        <v>5</v>
      </c>
      <c r="C284" s="38"/>
      <c r="D284" s="9">
        <v>15379.8</v>
      </c>
      <c r="E284" s="9">
        <v>15108.8</v>
      </c>
      <c r="F284" s="9">
        <v>14710.2</v>
      </c>
      <c r="G284" s="9">
        <v>14250</v>
      </c>
      <c r="H284" s="9">
        <v>14196.2</v>
      </c>
      <c r="I284" s="9">
        <v>14536.2</v>
      </c>
      <c r="J284" s="9">
        <v>14850.6</v>
      </c>
      <c r="K284" s="9">
        <v>15411.2</v>
      </c>
      <c r="L284" s="9">
        <v>16198.2</v>
      </c>
      <c r="M284" s="9">
        <v>16741</v>
      </c>
      <c r="N284" s="9">
        <v>17141.8</v>
      </c>
      <c r="O284" s="9">
        <v>17456.599999999999</v>
      </c>
      <c r="P284" s="9">
        <v>17328</v>
      </c>
      <c r="Q284" s="9">
        <v>17330.400000000001</v>
      </c>
      <c r="R284" s="9">
        <v>17673.8</v>
      </c>
      <c r="S284" s="9">
        <v>17771</v>
      </c>
      <c r="T284" s="9">
        <v>17346</v>
      </c>
      <c r="U284" s="9">
        <v>17105.2</v>
      </c>
      <c r="V284" s="9">
        <v>17583.8</v>
      </c>
      <c r="W284" s="9">
        <v>17540.599999999999</v>
      </c>
      <c r="X284" s="9">
        <v>16950</v>
      </c>
      <c r="Y284" s="9">
        <v>16276.6</v>
      </c>
      <c r="Z284" s="9">
        <v>15555</v>
      </c>
      <c r="AA284" s="9">
        <v>15233.4</v>
      </c>
      <c r="AB284" s="10">
        <f t="shared" ref="AB284:AB285" si="70">SUM(D284:AA284)*B284</f>
        <v>1948371.9999999998</v>
      </c>
      <c r="AC284" s="11"/>
    </row>
    <row r="285" spans="1:29" x14ac:dyDescent="0.25">
      <c r="A285" s="7" t="s">
        <v>31</v>
      </c>
      <c r="B285" s="24">
        <v>6</v>
      </c>
      <c r="C285" s="38"/>
      <c r="D285" s="9">
        <v>15373.833333333334</v>
      </c>
      <c r="E285" s="9">
        <v>15102.833333333334</v>
      </c>
      <c r="F285" s="9">
        <v>14704.333333333334</v>
      </c>
      <c r="G285" s="9">
        <v>14244.333333333334</v>
      </c>
      <c r="H285" s="9">
        <v>14190.333333333334</v>
      </c>
      <c r="I285" s="9">
        <v>14530.333333333334</v>
      </c>
      <c r="J285" s="9">
        <v>14844.833333333334</v>
      </c>
      <c r="K285" s="9">
        <v>15405.333333333334</v>
      </c>
      <c r="L285" s="9">
        <v>16192.333333333334</v>
      </c>
      <c r="M285" s="9">
        <v>16735.333333333332</v>
      </c>
      <c r="N285" s="9">
        <v>17136.166666666668</v>
      </c>
      <c r="O285" s="9">
        <v>17451</v>
      </c>
      <c r="P285" s="9">
        <v>17323</v>
      </c>
      <c r="Q285" s="9">
        <v>17324.833333333332</v>
      </c>
      <c r="R285" s="9">
        <v>17668</v>
      </c>
      <c r="S285" s="9">
        <v>17765.166666666668</v>
      </c>
      <c r="T285" s="9">
        <v>17340.333333333332</v>
      </c>
      <c r="U285" s="9">
        <v>17099.666666666668</v>
      </c>
      <c r="V285" s="9">
        <v>17578.333333333332</v>
      </c>
      <c r="W285" s="9">
        <v>17535</v>
      </c>
      <c r="X285" s="9">
        <v>16944.666666666668</v>
      </c>
      <c r="Y285" s="9">
        <v>16271.5</v>
      </c>
      <c r="Z285" s="9">
        <v>15549.666666666666</v>
      </c>
      <c r="AA285" s="9">
        <v>15227.833333333334</v>
      </c>
      <c r="AB285" s="10">
        <f t="shared" si="70"/>
        <v>2337234</v>
      </c>
      <c r="AC285" s="4">
        <f>+AB283+AB284+AB285</f>
        <v>12078421</v>
      </c>
    </row>
    <row r="286" spans="1:29" x14ac:dyDescent="0.25">
      <c r="A286" s="23"/>
    </row>
    <row r="287" spans="1:29" x14ac:dyDescent="0.25">
      <c r="A287" s="7" t="s">
        <v>29</v>
      </c>
      <c r="B287" s="8">
        <v>18</v>
      </c>
      <c r="C287" s="37">
        <v>48000</v>
      </c>
      <c r="D287" s="9">
        <v>15437.333333333334</v>
      </c>
      <c r="E287" s="9">
        <v>15166.555555555555</v>
      </c>
      <c r="F287" s="9">
        <v>14767.833333333334</v>
      </c>
      <c r="G287" s="9">
        <v>14306.222222222223</v>
      </c>
      <c r="H287" s="9">
        <v>14252.888888888889</v>
      </c>
      <c r="I287" s="9">
        <v>14594.333333333334</v>
      </c>
      <c r="J287" s="9">
        <v>14909.888888888889</v>
      </c>
      <c r="K287" s="9">
        <v>15469.555555555555</v>
      </c>
      <c r="L287" s="9">
        <v>16256.277777777777</v>
      </c>
      <c r="M287" s="9">
        <v>16797</v>
      </c>
      <c r="N287" s="9">
        <v>17195.5</v>
      </c>
      <c r="O287" s="9">
        <v>17509.222222222223</v>
      </c>
      <c r="P287" s="9">
        <v>17379.333333333332</v>
      </c>
      <c r="Q287" s="9">
        <v>17382.722222222223</v>
      </c>
      <c r="R287" s="9">
        <v>17728.888888888891</v>
      </c>
      <c r="S287" s="9">
        <v>17826.888888888891</v>
      </c>
      <c r="T287" s="9">
        <v>17402.611111111109</v>
      </c>
      <c r="U287" s="9">
        <v>17160.333333333332</v>
      </c>
      <c r="V287" s="9">
        <v>17636.777777777777</v>
      </c>
      <c r="W287" s="9">
        <v>17595.888888888891</v>
      </c>
      <c r="X287" s="9">
        <v>17002.444444444445</v>
      </c>
      <c r="Y287" s="9">
        <v>16329.333333333334</v>
      </c>
      <c r="Z287" s="9">
        <v>15608.222222222223</v>
      </c>
      <c r="AA287" s="9">
        <v>15288.166666666666</v>
      </c>
      <c r="AB287" s="10">
        <f>SUM(D287:AA287)*B287</f>
        <v>7038075.9999999991</v>
      </c>
      <c r="AC287" s="11"/>
    </row>
    <row r="288" spans="1:29" x14ac:dyDescent="0.25">
      <c r="A288" s="7" t="s">
        <v>30</v>
      </c>
      <c r="B288" s="8">
        <v>4</v>
      </c>
      <c r="C288" s="38"/>
      <c r="D288" s="9">
        <v>15444.5</v>
      </c>
      <c r="E288" s="9">
        <v>15174</v>
      </c>
      <c r="F288" s="9">
        <v>14775</v>
      </c>
      <c r="G288" s="9">
        <v>14313.5</v>
      </c>
      <c r="H288" s="9">
        <v>14260</v>
      </c>
      <c r="I288" s="9">
        <v>14601.75</v>
      </c>
      <c r="J288" s="9">
        <v>14917.5</v>
      </c>
      <c r="K288" s="9">
        <v>15477</v>
      </c>
      <c r="L288" s="9">
        <v>16263.5</v>
      </c>
      <c r="M288" s="9">
        <v>16804.25</v>
      </c>
      <c r="N288" s="9">
        <v>17202.5</v>
      </c>
      <c r="O288" s="9">
        <v>17515.75</v>
      </c>
      <c r="P288" s="9">
        <v>17385.75</v>
      </c>
      <c r="Q288" s="9">
        <v>17389.5</v>
      </c>
      <c r="R288" s="9">
        <v>17735.75</v>
      </c>
      <c r="S288" s="9">
        <v>17834</v>
      </c>
      <c r="T288" s="9">
        <v>17410</v>
      </c>
      <c r="U288" s="9">
        <v>17167.25</v>
      </c>
      <c r="V288" s="9">
        <v>17643.5</v>
      </c>
      <c r="W288" s="9">
        <v>17603</v>
      </c>
      <c r="X288" s="9">
        <v>17009</v>
      </c>
      <c r="Y288" s="9">
        <v>16336</v>
      </c>
      <c r="Z288" s="9">
        <v>15615</v>
      </c>
      <c r="AA288" s="9">
        <v>15295.25</v>
      </c>
      <c r="AB288" s="10">
        <f t="shared" ref="AB288:AB289" si="71">SUM(D288:AA288)*B288</f>
        <v>1564693</v>
      </c>
      <c r="AC288" s="11"/>
    </row>
    <row r="289" spans="1:29" x14ac:dyDescent="0.25">
      <c r="A289" s="7" t="s">
        <v>31</v>
      </c>
      <c r="B289" s="8">
        <v>8</v>
      </c>
      <c r="C289" s="38"/>
      <c r="D289" s="9">
        <v>15445.625</v>
      </c>
      <c r="E289" s="9">
        <v>15175</v>
      </c>
      <c r="F289" s="9">
        <v>14776.125</v>
      </c>
      <c r="G289" s="9">
        <v>14314.5</v>
      </c>
      <c r="H289" s="9">
        <v>14261</v>
      </c>
      <c r="I289" s="9">
        <v>14602.875</v>
      </c>
      <c r="J289" s="9">
        <v>14918.375</v>
      </c>
      <c r="K289" s="9">
        <v>15478</v>
      </c>
      <c r="L289" s="9">
        <v>16264.5</v>
      </c>
      <c r="M289" s="9">
        <v>16805.25</v>
      </c>
      <c r="N289" s="9">
        <v>17203.625</v>
      </c>
      <c r="O289" s="9">
        <v>17516.625</v>
      </c>
      <c r="P289" s="9">
        <v>17386.75</v>
      </c>
      <c r="Q289" s="9">
        <v>17390.625</v>
      </c>
      <c r="R289" s="9">
        <v>17736.75</v>
      </c>
      <c r="S289" s="9">
        <v>17835.125</v>
      </c>
      <c r="T289" s="9">
        <v>17410.875</v>
      </c>
      <c r="U289" s="9">
        <v>17168.25</v>
      </c>
      <c r="V289" s="9">
        <v>17644.5</v>
      </c>
      <c r="W289" s="9">
        <v>17604</v>
      </c>
      <c r="X289" s="9">
        <v>17009.75</v>
      </c>
      <c r="Y289" s="9">
        <v>16336.875</v>
      </c>
      <c r="Z289" s="9">
        <v>15616</v>
      </c>
      <c r="AA289" s="9">
        <v>15296</v>
      </c>
      <c r="AB289" s="10">
        <f t="shared" si="71"/>
        <v>3129576</v>
      </c>
      <c r="AC289" s="4">
        <f>+AB287+AB288+AB289</f>
        <v>11732345</v>
      </c>
    </row>
    <row r="290" spans="1:29" x14ac:dyDescent="0.25">
      <c r="A290" s="23"/>
    </row>
    <row r="291" spans="1:29" x14ac:dyDescent="0.25">
      <c r="A291" s="7" t="s">
        <v>29</v>
      </c>
      <c r="B291" s="8">
        <v>23</v>
      </c>
      <c r="C291" s="37">
        <v>48030</v>
      </c>
      <c r="D291" s="9">
        <v>15503.347826086956</v>
      </c>
      <c r="E291" s="9">
        <v>15232.95652173913</v>
      </c>
      <c r="F291" s="9">
        <v>14833.91304347826</v>
      </c>
      <c r="G291" s="9">
        <v>14371</v>
      </c>
      <c r="H291" s="9">
        <v>14317.391304347826</v>
      </c>
      <c r="I291" s="9">
        <v>14660.869565217392</v>
      </c>
      <c r="J291" s="9">
        <v>14977.826086956522</v>
      </c>
      <c r="K291" s="9">
        <v>15536.347826086956</v>
      </c>
      <c r="L291" s="9">
        <v>16322.782608695652</v>
      </c>
      <c r="M291" s="9">
        <v>16862</v>
      </c>
      <c r="N291" s="9">
        <v>17257.565217391304</v>
      </c>
      <c r="O291" s="9">
        <v>17569.478260869564</v>
      </c>
      <c r="P291" s="9">
        <v>17438.08695652174</v>
      </c>
      <c r="Q291" s="9">
        <v>17442.956521739132</v>
      </c>
      <c r="R291" s="9">
        <v>17791.956521739132</v>
      </c>
      <c r="S291" s="9">
        <v>17892</v>
      </c>
      <c r="T291" s="9">
        <v>17467</v>
      </c>
      <c r="U291" s="9">
        <v>17223.608695652172</v>
      </c>
      <c r="V291" s="9">
        <v>17697.565217391304</v>
      </c>
      <c r="W291" s="9">
        <v>17659.130434782608</v>
      </c>
      <c r="X291" s="9">
        <v>17062.521739130436</v>
      </c>
      <c r="Y291" s="9">
        <v>16389.652173913044</v>
      </c>
      <c r="Z291" s="9">
        <v>15669.217391304348</v>
      </c>
      <c r="AA291" s="9">
        <v>15350.695652173914</v>
      </c>
      <c r="AB291" s="10">
        <f>SUM(D291:AA291)*B291</f>
        <v>9028186.9999999981</v>
      </c>
      <c r="AC291" s="11"/>
    </row>
    <row r="292" spans="1:29" x14ac:dyDescent="0.25">
      <c r="A292" s="7" t="s">
        <v>30</v>
      </c>
      <c r="B292" s="8">
        <v>4</v>
      </c>
      <c r="C292" s="38"/>
      <c r="D292" s="9">
        <v>15502.5</v>
      </c>
      <c r="E292" s="9">
        <v>15232</v>
      </c>
      <c r="F292" s="9">
        <v>14833</v>
      </c>
      <c r="G292" s="9">
        <v>14370</v>
      </c>
      <c r="H292" s="9">
        <v>14316.25</v>
      </c>
      <c r="I292" s="9">
        <v>14660</v>
      </c>
      <c r="J292" s="9">
        <v>14976.5</v>
      </c>
      <c r="K292" s="9">
        <v>15535.25</v>
      </c>
      <c r="L292" s="9">
        <v>16321.5</v>
      </c>
      <c r="M292" s="9">
        <v>16861</v>
      </c>
      <c r="N292" s="9">
        <v>17256.5</v>
      </c>
      <c r="O292" s="9">
        <v>17568.5</v>
      </c>
      <c r="P292" s="9">
        <v>17437.25</v>
      </c>
      <c r="Q292" s="9">
        <v>17442</v>
      </c>
      <c r="R292" s="9">
        <v>17791</v>
      </c>
      <c r="S292" s="9">
        <v>17891</v>
      </c>
      <c r="T292" s="9">
        <v>17466</v>
      </c>
      <c r="U292" s="9">
        <v>17222.5</v>
      </c>
      <c r="V292" s="9">
        <v>17696.75</v>
      </c>
      <c r="W292" s="9">
        <v>17658</v>
      </c>
      <c r="X292" s="9">
        <v>17061.5</v>
      </c>
      <c r="Y292" s="9">
        <v>16388.5</v>
      </c>
      <c r="Z292" s="9">
        <v>15668.25</v>
      </c>
      <c r="AA292" s="9">
        <v>15349.75</v>
      </c>
      <c r="AB292" s="10">
        <f t="shared" ref="AB292:AB293" si="72">SUM(D292:AA292)*B292</f>
        <v>1570022</v>
      </c>
      <c r="AC292" s="11"/>
    </row>
    <row r="293" spans="1:29" x14ac:dyDescent="0.25">
      <c r="A293" s="7" t="s">
        <v>31</v>
      </c>
      <c r="B293" s="8">
        <v>8</v>
      </c>
      <c r="C293" s="38"/>
      <c r="D293" s="9">
        <v>7752.25</v>
      </c>
      <c r="E293" s="9">
        <v>7617</v>
      </c>
      <c r="F293" s="9">
        <v>7417.5</v>
      </c>
      <c r="G293" s="9">
        <v>7186</v>
      </c>
      <c r="H293" s="9">
        <v>7159.125</v>
      </c>
      <c r="I293" s="9">
        <v>7331</v>
      </c>
      <c r="J293" s="9">
        <v>7489.375</v>
      </c>
      <c r="K293" s="9">
        <v>7768.75</v>
      </c>
      <c r="L293" s="9">
        <v>8161.875</v>
      </c>
      <c r="M293" s="9">
        <v>8431.5</v>
      </c>
      <c r="N293" s="9">
        <v>8629.25</v>
      </c>
      <c r="O293" s="9">
        <v>8785.25</v>
      </c>
      <c r="P293" s="9">
        <v>8719.5</v>
      </c>
      <c r="Q293" s="9">
        <v>8721.875</v>
      </c>
      <c r="R293" s="9">
        <v>8896.5</v>
      </c>
      <c r="S293" s="9">
        <v>8946.5</v>
      </c>
      <c r="T293" s="9">
        <v>8734</v>
      </c>
      <c r="U293" s="9">
        <v>8612.25</v>
      </c>
      <c r="V293" s="9">
        <v>8849.25</v>
      </c>
      <c r="W293" s="9">
        <v>8830</v>
      </c>
      <c r="X293" s="9">
        <v>8531.75</v>
      </c>
      <c r="Y293" s="9">
        <v>8195.25</v>
      </c>
      <c r="Z293" s="9">
        <v>7835.125</v>
      </c>
      <c r="AA293" s="9">
        <v>7675.875</v>
      </c>
      <c r="AB293" s="10">
        <f t="shared" si="72"/>
        <v>1570214</v>
      </c>
      <c r="AC293" s="4">
        <f>+AB291+AB292+AB293</f>
        <v>12168422.999999998</v>
      </c>
    </row>
    <row r="294" spans="1:29" x14ac:dyDescent="0.25">
      <c r="A294" s="28"/>
      <c r="B294" s="24"/>
      <c r="C294" s="24"/>
      <c r="AB294" s="29"/>
      <c r="AC294" s="9"/>
    </row>
    <row r="295" spans="1:29" x14ac:dyDescent="0.25">
      <c r="A295" s="7" t="s">
        <v>29</v>
      </c>
      <c r="B295" s="8">
        <v>19</v>
      </c>
      <c r="C295" s="37">
        <v>48061</v>
      </c>
      <c r="D295" s="9">
        <v>15567.473684210527</v>
      </c>
      <c r="E295" s="9">
        <v>15297.368421052632</v>
      </c>
      <c r="F295" s="9">
        <v>14898.157894736842</v>
      </c>
      <c r="G295" s="9">
        <v>14434</v>
      </c>
      <c r="H295" s="9">
        <v>14380.21052631579</v>
      </c>
      <c r="I295" s="9">
        <v>14725.421052631578</v>
      </c>
      <c r="J295" s="9">
        <v>15043.736842105263</v>
      </c>
      <c r="K295" s="9">
        <v>15601.21052631579</v>
      </c>
      <c r="L295" s="9">
        <v>16387.21052631579</v>
      </c>
      <c r="M295" s="9">
        <v>16924.21052631579</v>
      </c>
      <c r="N295" s="9">
        <v>17317.736842105263</v>
      </c>
      <c r="O295" s="9">
        <v>17627.894736842107</v>
      </c>
      <c r="P295" s="9">
        <v>17495.052631578947</v>
      </c>
      <c r="Q295" s="9">
        <v>17501.263157894737</v>
      </c>
      <c r="R295" s="9">
        <v>17853.21052631579</v>
      </c>
      <c r="S295" s="9">
        <v>17954.263157894737</v>
      </c>
      <c r="T295" s="9">
        <v>17529.947368421053</v>
      </c>
      <c r="U295" s="9">
        <v>17284.947368421053</v>
      </c>
      <c r="V295" s="9">
        <v>17756.57894736842</v>
      </c>
      <c r="W295" s="9">
        <v>17720.684210526317</v>
      </c>
      <c r="X295" s="9">
        <v>17120.842105263157</v>
      </c>
      <c r="Y295" s="9">
        <v>16448.263157894737</v>
      </c>
      <c r="Z295" s="9">
        <v>15728.368421052632</v>
      </c>
      <c r="AA295" s="9">
        <v>15411.631578947368</v>
      </c>
      <c r="AB295" s="10">
        <f>SUM(D295:AA295)*B295</f>
        <v>7486184</v>
      </c>
      <c r="AC295" s="11"/>
    </row>
    <row r="296" spans="1:29" x14ac:dyDescent="0.25">
      <c r="A296" s="7" t="s">
        <v>30</v>
      </c>
      <c r="B296" s="8">
        <v>5</v>
      </c>
      <c r="C296" s="38"/>
      <c r="D296" s="9">
        <v>15567.2</v>
      </c>
      <c r="E296" s="9">
        <v>15297.2</v>
      </c>
      <c r="F296" s="9">
        <v>14897.8</v>
      </c>
      <c r="G296" s="9">
        <v>14433.8</v>
      </c>
      <c r="H296" s="9">
        <v>14380</v>
      </c>
      <c r="I296" s="9">
        <v>14725.2</v>
      </c>
      <c r="J296" s="9">
        <v>15043.4</v>
      </c>
      <c r="K296" s="9">
        <v>15601</v>
      </c>
      <c r="L296" s="9">
        <v>16386.8</v>
      </c>
      <c r="M296" s="9">
        <v>16924</v>
      </c>
      <c r="N296" s="9">
        <v>17317.400000000001</v>
      </c>
      <c r="O296" s="9">
        <v>17627.8</v>
      </c>
      <c r="P296" s="9">
        <v>17495</v>
      </c>
      <c r="Q296" s="9">
        <v>17501</v>
      </c>
      <c r="R296" s="9">
        <v>17853</v>
      </c>
      <c r="S296" s="9">
        <v>17954.2</v>
      </c>
      <c r="T296" s="9">
        <v>17529.599999999999</v>
      </c>
      <c r="U296" s="9">
        <v>17284.8</v>
      </c>
      <c r="V296" s="9">
        <v>17756.400000000001</v>
      </c>
      <c r="W296" s="9">
        <v>17720.400000000001</v>
      </c>
      <c r="X296" s="9">
        <v>17120.8</v>
      </c>
      <c r="Y296" s="9">
        <v>16448</v>
      </c>
      <c r="Z296" s="9">
        <v>15728.2</v>
      </c>
      <c r="AA296" s="9">
        <v>15411.4</v>
      </c>
      <c r="AB296" s="10">
        <f t="shared" ref="AB296:AB297" si="73">SUM(D296:AA296)*B296</f>
        <v>1970022</v>
      </c>
      <c r="AC296" s="11"/>
    </row>
    <row r="297" spans="1:29" x14ac:dyDescent="0.25">
      <c r="A297" s="7" t="s">
        <v>31</v>
      </c>
      <c r="B297" s="8">
        <v>7</v>
      </c>
      <c r="C297" s="38"/>
      <c r="D297" s="9">
        <v>15566.571428571429</v>
      </c>
      <c r="E297" s="9">
        <v>15296.571428571429</v>
      </c>
      <c r="F297" s="9">
        <v>14897.285714285714</v>
      </c>
      <c r="G297" s="9">
        <v>14433.142857142857</v>
      </c>
      <c r="H297" s="9">
        <v>14379.428571428571</v>
      </c>
      <c r="I297" s="9">
        <v>14724.571428571429</v>
      </c>
      <c r="J297" s="9">
        <v>15042.857142857143</v>
      </c>
      <c r="K297" s="9">
        <v>15600.285714285714</v>
      </c>
      <c r="L297" s="9">
        <v>16386.428571428572</v>
      </c>
      <c r="M297" s="9">
        <v>16923.428571428572</v>
      </c>
      <c r="N297" s="9">
        <v>17316.714285714286</v>
      </c>
      <c r="O297" s="9">
        <v>17627.285714285714</v>
      </c>
      <c r="P297" s="9">
        <v>17494.428571428572</v>
      </c>
      <c r="Q297" s="9">
        <v>17500.571428571428</v>
      </c>
      <c r="R297" s="9">
        <v>17852.428571428572</v>
      </c>
      <c r="S297" s="9">
        <v>17953.571428571428</v>
      </c>
      <c r="T297" s="9">
        <v>17529.142857142859</v>
      </c>
      <c r="U297" s="9">
        <v>17284.142857142859</v>
      </c>
      <c r="V297" s="9">
        <v>17755.857142857141</v>
      </c>
      <c r="W297" s="9">
        <v>17719.857142857141</v>
      </c>
      <c r="X297" s="9">
        <v>17120.142857142859</v>
      </c>
      <c r="Y297" s="9">
        <v>16447.571428571428</v>
      </c>
      <c r="Z297" s="9">
        <v>15727.571428571429</v>
      </c>
      <c r="AA297" s="9">
        <v>15410.857142857143</v>
      </c>
      <c r="AB297" s="10">
        <f t="shared" si="73"/>
        <v>2757935</v>
      </c>
      <c r="AC297" s="4">
        <f>+AB295+AB296+AB297</f>
        <v>12214141</v>
      </c>
    </row>
    <row r="298" spans="1:29" x14ac:dyDescent="0.25">
      <c r="A298" s="23"/>
    </row>
    <row r="299" spans="1:29" x14ac:dyDescent="0.25">
      <c r="A299" s="7" t="s">
        <v>29</v>
      </c>
      <c r="B299" s="8">
        <v>22</v>
      </c>
      <c r="C299" s="37">
        <v>48092</v>
      </c>
      <c r="D299" s="9">
        <v>15628.90909090909</v>
      </c>
      <c r="E299" s="9">
        <v>15359.181818181818</v>
      </c>
      <c r="F299" s="9">
        <v>14959.727272727272</v>
      </c>
      <c r="G299" s="9">
        <v>14494</v>
      </c>
      <c r="H299" s="9">
        <v>14440.545454545454</v>
      </c>
      <c r="I299" s="9">
        <v>14787.454545454546</v>
      </c>
      <c r="J299" s="9">
        <v>15106.954545454546</v>
      </c>
      <c r="K299" s="9">
        <v>15663.454545454546</v>
      </c>
      <c r="L299" s="9">
        <v>16449</v>
      </c>
      <c r="M299" s="9">
        <v>16984.68181818182</v>
      </c>
      <c r="N299" s="9">
        <v>17375.31818181818</v>
      </c>
      <c r="O299" s="9">
        <v>17684.18181818182</v>
      </c>
      <c r="P299" s="9">
        <v>17549.863636363636</v>
      </c>
      <c r="Q299" s="9">
        <v>17557.227272727272</v>
      </c>
      <c r="R299" s="9">
        <v>17912</v>
      </c>
      <c r="S299" s="9">
        <v>18014.909090909092</v>
      </c>
      <c r="T299" s="9">
        <v>17589.909090909092</v>
      </c>
      <c r="U299" s="9">
        <v>17343.863636363636</v>
      </c>
      <c r="V299" s="9">
        <v>17813.227272727272</v>
      </c>
      <c r="W299" s="9">
        <v>17779.81818181818</v>
      </c>
      <c r="X299" s="9">
        <v>17177</v>
      </c>
      <c r="Y299" s="9">
        <v>16504.454545454544</v>
      </c>
      <c r="Z299" s="9">
        <v>15785.181818181818</v>
      </c>
      <c r="AA299" s="9">
        <v>15470.045454545454</v>
      </c>
      <c r="AB299" s="10">
        <f>SUM(D299:AA299)*B299</f>
        <v>8699480</v>
      </c>
      <c r="AC299" s="11"/>
    </row>
    <row r="300" spans="1:29" x14ac:dyDescent="0.25">
      <c r="A300" s="7" t="s">
        <v>30</v>
      </c>
      <c r="B300" s="8">
        <v>4</v>
      </c>
      <c r="C300" s="38"/>
      <c r="D300" s="9">
        <v>15632</v>
      </c>
      <c r="E300" s="9">
        <v>15362.5</v>
      </c>
      <c r="F300" s="9">
        <v>14963</v>
      </c>
      <c r="G300" s="9">
        <v>14497.25</v>
      </c>
      <c r="H300" s="9">
        <v>14443.75</v>
      </c>
      <c r="I300" s="9">
        <v>14790.5</v>
      </c>
      <c r="J300" s="9">
        <v>15110.25</v>
      </c>
      <c r="K300" s="9">
        <v>15666.75</v>
      </c>
      <c r="L300" s="9">
        <v>16452.5</v>
      </c>
      <c r="M300" s="9">
        <v>16988</v>
      </c>
      <c r="N300" s="9">
        <v>17378.5</v>
      </c>
      <c r="O300" s="9">
        <v>17687</v>
      </c>
      <c r="P300" s="9">
        <v>17552.5</v>
      </c>
      <c r="Q300" s="9">
        <v>17560.25</v>
      </c>
      <c r="R300" s="9">
        <v>17915</v>
      </c>
      <c r="S300" s="9">
        <v>18018</v>
      </c>
      <c r="T300" s="9">
        <v>17593</v>
      </c>
      <c r="U300" s="9">
        <v>17347</v>
      </c>
      <c r="V300" s="9">
        <v>17816</v>
      </c>
      <c r="W300" s="9">
        <v>17782.75</v>
      </c>
      <c r="X300" s="9">
        <v>17179.75</v>
      </c>
      <c r="Y300" s="9">
        <v>16507.5</v>
      </c>
      <c r="Z300" s="9">
        <v>15788</v>
      </c>
      <c r="AA300" s="9">
        <v>15473</v>
      </c>
      <c r="AB300" s="10">
        <f t="shared" ref="AB300:AB301" si="74">SUM(D300:AA300)*B300</f>
        <v>1582019</v>
      </c>
      <c r="AC300" s="11"/>
    </row>
    <row r="301" spans="1:29" x14ac:dyDescent="0.25">
      <c r="A301" s="7" t="s">
        <v>31</v>
      </c>
      <c r="B301" s="8">
        <v>4</v>
      </c>
      <c r="C301" s="38"/>
      <c r="D301" s="9">
        <v>15634.25</v>
      </c>
      <c r="E301" s="9">
        <v>15364.5</v>
      </c>
      <c r="F301" s="9">
        <v>14965</v>
      </c>
      <c r="G301" s="9">
        <v>14499.25</v>
      </c>
      <c r="H301" s="9">
        <v>14445.75</v>
      </c>
      <c r="I301" s="9">
        <v>14792.5</v>
      </c>
      <c r="J301" s="9">
        <v>15112.5</v>
      </c>
      <c r="K301" s="9">
        <v>15668.75</v>
      </c>
      <c r="L301" s="9">
        <v>16454.5</v>
      </c>
      <c r="M301" s="9">
        <v>16990</v>
      </c>
      <c r="N301" s="9">
        <v>17380.5</v>
      </c>
      <c r="O301" s="9">
        <v>17689</v>
      </c>
      <c r="P301" s="9">
        <v>17554.5</v>
      </c>
      <c r="Q301" s="9">
        <v>17562</v>
      </c>
      <c r="R301" s="9">
        <v>17917</v>
      </c>
      <c r="S301" s="9">
        <v>18020</v>
      </c>
      <c r="T301" s="9">
        <v>17595</v>
      </c>
      <c r="U301" s="9">
        <v>17349</v>
      </c>
      <c r="V301" s="9">
        <v>17818</v>
      </c>
      <c r="W301" s="9">
        <v>17784.75</v>
      </c>
      <c r="X301" s="9">
        <v>17181.5</v>
      </c>
      <c r="Y301" s="9">
        <v>16509.25</v>
      </c>
      <c r="Z301" s="9">
        <v>15790</v>
      </c>
      <c r="AA301" s="9">
        <v>15474.75</v>
      </c>
      <c r="AB301" s="10">
        <f t="shared" si="74"/>
        <v>1582209</v>
      </c>
      <c r="AC301" s="4">
        <f>+AB299+AB300+AB301</f>
        <v>11863708</v>
      </c>
    </row>
    <row r="302" spans="1:29" x14ac:dyDescent="0.25">
      <c r="A302" s="23"/>
    </row>
    <row r="303" spans="1:29" x14ac:dyDescent="0.25">
      <c r="A303" s="7" t="s">
        <v>29</v>
      </c>
      <c r="B303" s="8">
        <v>22</v>
      </c>
      <c r="C303" s="37">
        <v>48122</v>
      </c>
      <c r="D303" s="9">
        <v>15693.90909090909</v>
      </c>
      <c r="E303" s="9">
        <v>15424.59090909091</v>
      </c>
      <c r="F303" s="9">
        <v>15024.863636363636</v>
      </c>
      <c r="G303" s="9">
        <v>14558</v>
      </c>
      <c r="H303" s="9">
        <v>14504</v>
      </c>
      <c r="I303" s="9">
        <v>14852.863636363636</v>
      </c>
      <c r="J303" s="9">
        <v>15173.863636363636</v>
      </c>
      <c r="K303" s="9">
        <v>15729.181818181818</v>
      </c>
      <c r="L303" s="9">
        <v>16514.454545454544</v>
      </c>
      <c r="M303" s="9">
        <v>17048</v>
      </c>
      <c r="N303" s="9">
        <v>17436.31818181818</v>
      </c>
      <c r="O303" s="9">
        <v>17743.545454545456</v>
      </c>
      <c r="P303" s="9">
        <v>17607.68181818182</v>
      </c>
      <c r="Q303" s="9">
        <v>17616.409090909092</v>
      </c>
      <c r="R303" s="9">
        <v>17974.136363636364</v>
      </c>
      <c r="S303" s="9">
        <v>18078.18181818182</v>
      </c>
      <c r="T303" s="9">
        <v>17653.636363636364</v>
      </c>
      <c r="U303" s="9">
        <v>17406</v>
      </c>
      <c r="V303" s="9">
        <v>17873.090909090908</v>
      </c>
      <c r="W303" s="9">
        <v>17842</v>
      </c>
      <c r="X303" s="9">
        <v>17236.090909090908</v>
      </c>
      <c r="Y303" s="9">
        <v>16563.863636363636</v>
      </c>
      <c r="Z303" s="9">
        <v>15845.181818181818</v>
      </c>
      <c r="AA303" s="9">
        <v>15531.545454545454</v>
      </c>
      <c r="AB303" s="10">
        <f>SUM(D303:AA303)*B303</f>
        <v>8732491</v>
      </c>
      <c r="AC303" s="11"/>
    </row>
    <row r="304" spans="1:29" x14ac:dyDescent="0.25">
      <c r="A304" s="7" t="s">
        <v>30</v>
      </c>
      <c r="B304" s="8">
        <v>4</v>
      </c>
      <c r="C304" s="38"/>
      <c r="D304" s="9">
        <v>15689.75</v>
      </c>
      <c r="E304" s="9">
        <v>15420.5</v>
      </c>
      <c r="F304" s="9">
        <v>15020.5</v>
      </c>
      <c r="G304" s="9">
        <v>14554</v>
      </c>
      <c r="H304" s="9">
        <v>14500</v>
      </c>
      <c r="I304" s="9">
        <v>14848.75</v>
      </c>
      <c r="J304" s="9">
        <v>15169.5</v>
      </c>
      <c r="K304" s="9">
        <v>15725</v>
      </c>
      <c r="L304" s="9">
        <v>16510.5</v>
      </c>
      <c r="M304" s="9">
        <v>17044</v>
      </c>
      <c r="N304" s="9">
        <v>17432.5</v>
      </c>
      <c r="O304" s="9">
        <v>17739.75</v>
      </c>
      <c r="P304" s="9">
        <v>17604</v>
      </c>
      <c r="Q304" s="9">
        <v>17612.5</v>
      </c>
      <c r="R304" s="9">
        <v>17970.25</v>
      </c>
      <c r="S304" s="9">
        <v>18074</v>
      </c>
      <c r="T304" s="9">
        <v>17649.5</v>
      </c>
      <c r="U304" s="9">
        <v>17402</v>
      </c>
      <c r="V304" s="9">
        <v>17869.25</v>
      </c>
      <c r="W304" s="9">
        <v>17838</v>
      </c>
      <c r="X304" s="9">
        <v>17232.5</v>
      </c>
      <c r="Y304" s="9">
        <v>16560.25</v>
      </c>
      <c r="Z304" s="9">
        <v>15841.25</v>
      </c>
      <c r="AA304" s="9">
        <v>15527.75</v>
      </c>
      <c r="AB304" s="10">
        <f t="shared" ref="AB304:AB305" si="75">SUM(D304:AA304)*B304</f>
        <v>1587344</v>
      </c>
      <c r="AC304" s="11"/>
    </row>
    <row r="305" spans="1:29" x14ac:dyDescent="0.25">
      <c r="A305" s="7" t="s">
        <v>31</v>
      </c>
      <c r="B305" s="8">
        <v>5</v>
      </c>
      <c r="C305" s="38"/>
      <c r="D305" s="9">
        <v>15690.8</v>
      </c>
      <c r="E305" s="9">
        <v>15421.4</v>
      </c>
      <c r="F305" s="9">
        <v>15021.8</v>
      </c>
      <c r="G305" s="9">
        <v>14555</v>
      </c>
      <c r="H305" s="9">
        <v>14501</v>
      </c>
      <c r="I305" s="9">
        <v>14850</v>
      </c>
      <c r="J305" s="9">
        <v>15170.4</v>
      </c>
      <c r="K305" s="9">
        <v>15726</v>
      </c>
      <c r="L305" s="9">
        <v>16511.400000000001</v>
      </c>
      <c r="M305" s="9">
        <v>17045</v>
      </c>
      <c r="N305" s="9">
        <v>17433.599999999999</v>
      </c>
      <c r="O305" s="9">
        <v>17740.599999999999</v>
      </c>
      <c r="P305" s="9">
        <v>17604.8</v>
      </c>
      <c r="Q305" s="9">
        <v>17613.599999999999</v>
      </c>
      <c r="R305" s="9">
        <v>17971.2</v>
      </c>
      <c r="S305" s="9">
        <v>18075</v>
      </c>
      <c r="T305" s="9">
        <v>17650.8</v>
      </c>
      <c r="U305" s="9">
        <v>17403</v>
      </c>
      <c r="V305" s="9">
        <v>17870</v>
      </c>
      <c r="W305" s="9">
        <v>17839</v>
      </c>
      <c r="X305" s="9">
        <v>17233.599999999999</v>
      </c>
      <c r="Y305" s="9">
        <v>16561</v>
      </c>
      <c r="Z305" s="9">
        <v>15842.2</v>
      </c>
      <c r="AA305" s="9">
        <v>15528.8</v>
      </c>
      <c r="AB305" s="10">
        <f t="shared" si="75"/>
        <v>1984300</v>
      </c>
      <c r="AC305" s="4">
        <f>+AB303+AB304+AB305</f>
        <v>12304135</v>
      </c>
    </row>
    <row r="306" spans="1:29" x14ac:dyDescent="0.25">
      <c r="A306" s="23"/>
    </row>
    <row r="307" spans="1:29" x14ac:dyDescent="0.25">
      <c r="A307" s="7" t="s">
        <v>29</v>
      </c>
      <c r="B307" s="8">
        <v>18</v>
      </c>
      <c r="C307" s="37">
        <v>48153</v>
      </c>
      <c r="D307" s="9">
        <v>15756.888888888889</v>
      </c>
      <c r="E307" s="9">
        <v>15487.888888888889</v>
      </c>
      <c r="F307" s="9">
        <v>15088.388888888889</v>
      </c>
      <c r="G307" s="9">
        <v>14619.722222222223</v>
      </c>
      <c r="H307" s="9">
        <v>14566.222222222223</v>
      </c>
      <c r="I307" s="9">
        <v>14916.055555555555</v>
      </c>
      <c r="J307" s="9">
        <v>15238.333333333334</v>
      </c>
      <c r="K307" s="9">
        <v>15793.055555555555</v>
      </c>
      <c r="L307" s="9">
        <v>16578.055555555555</v>
      </c>
      <c r="M307" s="9">
        <v>17109.555555555555</v>
      </c>
      <c r="N307" s="9">
        <v>17495.277777777777</v>
      </c>
      <c r="O307" s="9">
        <v>17801.166666666668</v>
      </c>
      <c r="P307" s="9">
        <v>17663.777777777777</v>
      </c>
      <c r="Q307" s="9">
        <v>17674.166666666668</v>
      </c>
      <c r="R307" s="9">
        <v>18034.444444444445</v>
      </c>
      <c r="S307" s="9">
        <v>18140.222222222223</v>
      </c>
      <c r="T307" s="9">
        <v>17715.222222222223</v>
      </c>
      <c r="U307" s="9">
        <v>17466.277777777777</v>
      </c>
      <c r="V307" s="9">
        <v>17930.833333333332</v>
      </c>
      <c r="W307" s="9">
        <v>17902.444444444445</v>
      </c>
      <c r="X307" s="9">
        <v>17293.666666666668</v>
      </c>
      <c r="Y307" s="9">
        <v>16621.333333333332</v>
      </c>
      <c r="Z307" s="9">
        <v>15903.277777777777</v>
      </c>
      <c r="AA307" s="9">
        <v>15591.055555555555</v>
      </c>
      <c r="AB307" s="10">
        <f>SUM(D307:AA307)*B307</f>
        <v>7170971.9999999981</v>
      </c>
      <c r="AC307" s="11"/>
    </row>
    <row r="308" spans="1:29" x14ac:dyDescent="0.25">
      <c r="A308" s="7" t="s">
        <v>30</v>
      </c>
      <c r="B308" s="8">
        <v>5</v>
      </c>
      <c r="C308" s="38"/>
      <c r="D308" s="9">
        <v>15754.8</v>
      </c>
      <c r="E308" s="9">
        <v>15485.8</v>
      </c>
      <c r="F308" s="9">
        <v>15086</v>
      </c>
      <c r="G308" s="9">
        <v>14617.6</v>
      </c>
      <c r="H308" s="9">
        <v>14563.8</v>
      </c>
      <c r="I308" s="9">
        <v>14914</v>
      </c>
      <c r="J308" s="9">
        <v>15236</v>
      </c>
      <c r="K308" s="9">
        <v>15790.8</v>
      </c>
      <c r="L308" s="9">
        <v>16575.8</v>
      </c>
      <c r="M308" s="9">
        <v>17107.400000000001</v>
      </c>
      <c r="N308" s="9">
        <v>17493</v>
      </c>
      <c r="O308" s="9">
        <v>17799.2</v>
      </c>
      <c r="P308" s="9">
        <v>17661.8</v>
      </c>
      <c r="Q308" s="9">
        <v>17672</v>
      </c>
      <c r="R308" s="9">
        <v>18032.400000000001</v>
      </c>
      <c r="S308" s="9">
        <v>18138</v>
      </c>
      <c r="T308" s="9">
        <v>17713.2</v>
      </c>
      <c r="U308" s="9">
        <v>17464.2</v>
      </c>
      <c r="V308" s="9">
        <v>17928.8</v>
      </c>
      <c r="W308" s="9">
        <v>17900.2</v>
      </c>
      <c r="X308" s="9">
        <v>17291.400000000001</v>
      </c>
      <c r="Y308" s="9">
        <v>16619</v>
      </c>
      <c r="Z308" s="9">
        <v>15901.2</v>
      </c>
      <c r="AA308" s="9">
        <v>15589</v>
      </c>
      <c r="AB308" s="10">
        <f t="shared" ref="AB308:AB309" si="76">SUM(D308:AA308)*B308</f>
        <v>1991677</v>
      </c>
      <c r="AC308" s="11"/>
    </row>
    <row r="309" spans="1:29" x14ac:dyDescent="0.25">
      <c r="A309" s="30" t="s">
        <v>31</v>
      </c>
      <c r="B309" s="31">
        <v>7</v>
      </c>
      <c r="C309" s="38"/>
      <c r="D309" s="9">
        <v>15753.285714285714</v>
      </c>
      <c r="E309" s="9">
        <v>15484.285714285714</v>
      </c>
      <c r="F309" s="9">
        <v>15084.571428571429</v>
      </c>
      <c r="G309" s="9">
        <v>14616.142857142857</v>
      </c>
      <c r="H309" s="9">
        <v>14562.571428571429</v>
      </c>
      <c r="I309" s="9">
        <v>14912.428571428571</v>
      </c>
      <c r="J309" s="9">
        <v>15234.714285714286</v>
      </c>
      <c r="K309" s="9">
        <v>15789.285714285714</v>
      </c>
      <c r="L309" s="9">
        <v>16574.285714285714</v>
      </c>
      <c r="M309" s="9">
        <v>17105.857142857141</v>
      </c>
      <c r="N309" s="9">
        <v>17491.714285714286</v>
      </c>
      <c r="O309" s="9">
        <v>17797.714285714286</v>
      </c>
      <c r="P309" s="9">
        <v>17660.428571428572</v>
      </c>
      <c r="Q309" s="9">
        <v>17670.428571428572</v>
      </c>
      <c r="R309" s="9">
        <v>18030.857142857141</v>
      </c>
      <c r="S309" s="9">
        <v>18136.571428571428</v>
      </c>
      <c r="T309" s="9">
        <v>17711.714285714286</v>
      </c>
      <c r="U309" s="9">
        <v>17462.857142857141</v>
      </c>
      <c r="V309" s="9">
        <v>17927.571428571428</v>
      </c>
      <c r="W309" s="9">
        <v>17898.857142857141</v>
      </c>
      <c r="X309" s="9">
        <v>17289.857142857141</v>
      </c>
      <c r="Y309" s="9">
        <v>16617.857142857141</v>
      </c>
      <c r="Z309" s="9">
        <v>15899.857142857143</v>
      </c>
      <c r="AA309" s="9">
        <v>15587.714285714286</v>
      </c>
      <c r="AB309" s="32">
        <f t="shared" si="76"/>
        <v>2788110</v>
      </c>
      <c r="AC309" s="33">
        <f>+AB307+AB308+AB309</f>
        <v>11950758.999999998</v>
      </c>
    </row>
    <row r="310" spans="1:29" x14ac:dyDescent="0.25">
      <c r="A310" s="23"/>
    </row>
    <row r="311" spans="1:29" x14ac:dyDescent="0.25">
      <c r="A311" s="7" t="s">
        <v>29</v>
      </c>
      <c r="B311" s="8">
        <v>21</v>
      </c>
      <c r="C311" s="37">
        <v>48183</v>
      </c>
      <c r="D311" s="9">
        <v>15815.761904761905</v>
      </c>
      <c r="E311" s="9">
        <v>15543</v>
      </c>
      <c r="F311" s="9">
        <v>15145.523809523809</v>
      </c>
      <c r="G311" s="9">
        <v>14692.047619047618</v>
      </c>
      <c r="H311" s="9">
        <v>14638.333333333334</v>
      </c>
      <c r="I311" s="9">
        <v>14970</v>
      </c>
      <c r="J311" s="9">
        <v>15277.619047619048</v>
      </c>
      <c r="K311" s="9">
        <v>15843.428571428571</v>
      </c>
      <c r="L311" s="9">
        <v>16632.238095238095</v>
      </c>
      <c r="M311" s="9">
        <v>17184.142857142859</v>
      </c>
      <c r="N311" s="9">
        <v>17597</v>
      </c>
      <c r="O311" s="9">
        <v>17919.714285714286</v>
      </c>
      <c r="P311" s="9">
        <v>17798.761904761905</v>
      </c>
      <c r="Q311" s="9">
        <v>17794.619047619046</v>
      </c>
      <c r="R311" s="9">
        <v>18123.380952380954</v>
      </c>
      <c r="S311" s="9">
        <v>18213.142857142859</v>
      </c>
      <c r="T311" s="9">
        <v>17789.142857142859</v>
      </c>
      <c r="U311" s="9">
        <v>17554.523809523809</v>
      </c>
      <c r="V311" s="9">
        <v>18044.714285714286</v>
      </c>
      <c r="W311" s="9">
        <v>17989.285714285714</v>
      </c>
      <c r="X311" s="9">
        <v>17413.666666666668</v>
      </c>
      <c r="Y311" s="9">
        <v>16739.571428571428</v>
      </c>
      <c r="Z311" s="9">
        <v>16015.190476190477</v>
      </c>
      <c r="AA311" s="9">
        <v>15685.476190476191</v>
      </c>
      <c r="AB311" s="10">
        <f>SUM(D311:AA311)*B311</f>
        <v>8408826</v>
      </c>
      <c r="AC311" s="11"/>
    </row>
    <row r="312" spans="1:29" x14ac:dyDescent="0.25">
      <c r="A312" s="7" t="s">
        <v>30</v>
      </c>
      <c r="B312" s="8">
        <v>4</v>
      </c>
      <c r="C312" s="38"/>
      <c r="D312" s="9">
        <v>15817.5</v>
      </c>
      <c r="E312" s="9">
        <v>15545</v>
      </c>
      <c r="F312" s="9">
        <v>15147.5</v>
      </c>
      <c r="G312" s="9">
        <v>14694</v>
      </c>
      <c r="H312" s="9">
        <v>14640.25</v>
      </c>
      <c r="I312" s="9">
        <v>14972</v>
      </c>
      <c r="J312" s="9">
        <v>15279.5</v>
      </c>
      <c r="K312" s="9">
        <v>15845.5</v>
      </c>
      <c r="L312" s="9">
        <v>16634</v>
      </c>
      <c r="M312" s="9">
        <v>17186</v>
      </c>
      <c r="N312" s="9">
        <v>17598.5</v>
      </c>
      <c r="O312" s="9">
        <v>17921.5</v>
      </c>
      <c r="P312" s="9">
        <v>17800.5</v>
      </c>
      <c r="Q312" s="9">
        <v>17796.5</v>
      </c>
      <c r="R312" s="9">
        <v>18125.25</v>
      </c>
      <c r="S312" s="9">
        <v>18215</v>
      </c>
      <c r="T312" s="9">
        <v>17791</v>
      </c>
      <c r="U312" s="9">
        <v>17556.25</v>
      </c>
      <c r="V312" s="9">
        <v>18046.5</v>
      </c>
      <c r="W312" s="9">
        <v>17991</v>
      </c>
      <c r="X312" s="9">
        <v>17415.5</v>
      </c>
      <c r="Y312" s="9">
        <v>16741.5</v>
      </c>
      <c r="Z312" s="9">
        <v>16017</v>
      </c>
      <c r="AA312" s="9">
        <v>15687.25</v>
      </c>
      <c r="AB312" s="10">
        <f t="shared" ref="AB312:AB313" si="77">SUM(D312:AA312)*B312</f>
        <v>1601858</v>
      </c>
      <c r="AC312" s="11"/>
    </row>
    <row r="313" spans="1:29" x14ac:dyDescent="0.25">
      <c r="A313" s="7" t="s">
        <v>31</v>
      </c>
      <c r="B313" s="8">
        <v>6</v>
      </c>
      <c r="C313" s="38"/>
      <c r="D313" s="9">
        <v>15819</v>
      </c>
      <c r="E313" s="9">
        <v>15546.333333333334</v>
      </c>
      <c r="F313" s="9">
        <v>15148.833333333334</v>
      </c>
      <c r="G313" s="9">
        <v>14695.333333333334</v>
      </c>
      <c r="H313" s="9">
        <v>14641.666666666666</v>
      </c>
      <c r="I313" s="9">
        <v>14973.333333333334</v>
      </c>
      <c r="J313" s="9">
        <v>15281</v>
      </c>
      <c r="K313" s="9">
        <v>15846.833333333334</v>
      </c>
      <c r="L313" s="9">
        <v>16635.333333333332</v>
      </c>
      <c r="M313" s="9">
        <v>17187.333333333332</v>
      </c>
      <c r="N313" s="9">
        <v>17599.833333333332</v>
      </c>
      <c r="O313" s="9">
        <v>17922.666666666668</v>
      </c>
      <c r="P313" s="9">
        <v>17801.833333333332</v>
      </c>
      <c r="Q313" s="9">
        <v>17797.666666666668</v>
      </c>
      <c r="R313" s="9">
        <v>18126.5</v>
      </c>
      <c r="S313" s="9">
        <v>18216.333333333332</v>
      </c>
      <c r="T313" s="9">
        <v>17792.333333333332</v>
      </c>
      <c r="U313" s="9">
        <v>17557.666666666668</v>
      </c>
      <c r="V313" s="9">
        <v>18047.666666666668</v>
      </c>
      <c r="W313" s="9">
        <v>17992.333333333332</v>
      </c>
      <c r="X313" s="9">
        <v>17416.666666666668</v>
      </c>
      <c r="Y313" s="9">
        <v>16742.5</v>
      </c>
      <c r="Z313" s="9">
        <v>16018.333333333334</v>
      </c>
      <c r="AA313" s="9">
        <v>15688.666666666666</v>
      </c>
      <c r="AB313" s="10">
        <f t="shared" si="77"/>
        <v>2402976</v>
      </c>
      <c r="AC313" s="4">
        <f>+AB311+AB312+AB313</f>
        <v>12413660</v>
      </c>
    </row>
  </sheetData>
  <mergeCells count="74">
    <mergeCell ref="C299:C301"/>
    <mergeCell ref="C303:C305"/>
    <mergeCell ref="C307:C309"/>
    <mergeCell ref="C311:C313"/>
    <mergeCell ref="C275:C277"/>
    <mergeCell ref="C279:C281"/>
    <mergeCell ref="C283:C285"/>
    <mergeCell ref="C287:C289"/>
    <mergeCell ref="C291:C293"/>
    <mergeCell ref="C295:C297"/>
    <mergeCell ref="C271:C273"/>
    <mergeCell ref="C227:C229"/>
    <mergeCell ref="C231:C233"/>
    <mergeCell ref="C235:C237"/>
    <mergeCell ref="C239:C241"/>
    <mergeCell ref="C243:C245"/>
    <mergeCell ref="C247:C249"/>
    <mergeCell ref="C251:C253"/>
    <mergeCell ref="C255:C257"/>
    <mergeCell ref="C259:C261"/>
    <mergeCell ref="C263:C265"/>
    <mergeCell ref="C267:C269"/>
    <mergeCell ref="C223:C225"/>
    <mergeCell ref="C179:C181"/>
    <mergeCell ref="C183:C185"/>
    <mergeCell ref="C187:C189"/>
    <mergeCell ref="C191:C193"/>
    <mergeCell ref="C195:C197"/>
    <mergeCell ref="C199:C201"/>
    <mergeCell ref="C203:C205"/>
    <mergeCell ref="C207:C209"/>
    <mergeCell ref="C211:C213"/>
    <mergeCell ref="C215:C217"/>
    <mergeCell ref="C219:C221"/>
    <mergeCell ref="C175:C177"/>
    <mergeCell ref="C131:C133"/>
    <mergeCell ref="C135:C137"/>
    <mergeCell ref="C139:C141"/>
    <mergeCell ref="C143:C145"/>
    <mergeCell ref="C147:C149"/>
    <mergeCell ref="C151:C153"/>
    <mergeCell ref="C155:C157"/>
    <mergeCell ref="C159:C161"/>
    <mergeCell ref="C163:C165"/>
    <mergeCell ref="C167:C169"/>
    <mergeCell ref="C171:C173"/>
    <mergeCell ref="C127:C129"/>
    <mergeCell ref="C83:C85"/>
    <mergeCell ref="C87:C89"/>
    <mergeCell ref="C91:C93"/>
    <mergeCell ref="C95:C97"/>
    <mergeCell ref="C99:C101"/>
    <mergeCell ref="C103:C105"/>
    <mergeCell ref="C107:C109"/>
    <mergeCell ref="C111:C113"/>
    <mergeCell ref="C115:C117"/>
    <mergeCell ref="C119:C121"/>
    <mergeCell ref="C123:C125"/>
    <mergeCell ref="C19:C21"/>
    <mergeCell ref="C23:C25"/>
    <mergeCell ref="C27:C29"/>
    <mergeCell ref="C31:C33"/>
    <mergeCell ref="C79:C81"/>
    <mergeCell ref="C35:C37"/>
    <mergeCell ref="C39:C41"/>
    <mergeCell ref="C43:C45"/>
    <mergeCell ref="C47:C49"/>
    <mergeCell ref="C51:C53"/>
    <mergeCell ref="C55:C57"/>
    <mergeCell ref="C59:C61"/>
    <mergeCell ref="C63:C65"/>
    <mergeCell ref="C67:C69"/>
    <mergeCell ref="C71:C73"/>
    <mergeCell ref="C75:C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186C-0552-487C-93F4-523C25BF9491}">
  <dimension ref="A1:E106"/>
  <sheetViews>
    <sheetView tabSelected="1" topLeftCell="A85" zoomScale="110" zoomScaleNormal="110" workbookViewId="0">
      <selection activeCell="B115" sqref="B115"/>
    </sheetView>
  </sheetViews>
  <sheetFormatPr baseColWidth="10" defaultRowHeight="15" x14ac:dyDescent="0.25"/>
  <cols>
    <col min="1" max="1" width="23.5703125" customWidth="1"/>
    <col min="2" max="2" width="24.5703125" customWidth="1"/>
    <col min="3" max="3" width="19.5703125" customWidth="1"/>
    <col min="4" max="4" width="18.28515625" customWidth="1"/>
    <col min="5" max="5" width="24.7109375" customWidth="1"/>
  </cols>
  <sheetData>
    <row r="1" spans="1:5" ht="16.5" x14ac:dyDescent="0.25">
      <c r="B1" s="41"/>
      <c r="C1" s="42" t="s">
        <v>32</v>
      </c>
      <c r="D1" s="42"/>
    </row>
    <row r="2" spans="1:5" ht="16.5" x14ac:dyDescent="0.25">
      <c r="B2" s="41"/>
      <c r="C2" s="42" t="s">
        <v>33</v>
      </c>
      <c r="D2" s="42"/>
    </row>
    <row r="3" spans="1:5" x14ac:dyDescent="0.25">
      <c r="B3" s="41"/>
    </row>
    <row r="4" spans="1:5" ht="16.5" x14ac:dyDescent="0.25">
      <c r="A4" s="43" t="s">
        <v>34</v>
      </c>
      <c r="B4" s="44"/>
      <c r="C4" s="45" t="s">
        <v>35</v>
      </c>
      <c r="D4" s="45"/>
      <c r="E4" s="45"/>
    </row>
    <row r="5" spans="1:5" ht="16.5" x14ac:dyDescent="0.25">
      <c r="A5" s="43" t="s">
        <v>36</v>
      </c>
      <c r="B5" s="44"/>
      <c r="C5" s="46" t="s">
        <v>37</v>
      </c>
      <c r="D5" s="46"/>
      <c r="E5" s="46"/>
    </row>
    <row r="6" spans="1:5" ht="16.5" x14ac:dyDescent="0.25">
      <c r="A6" s="43" t="s">
        <v>38</v>
      </c>
      <c r="B6" s="44"/>
      <c r="C6" s="46" t="s">
        <v>39</v>
      </c>
      <c r="D6" s="46"/>
      <c r="E6" s="46"/>
    </row>
    <row r="7" spans="1:5" ht="16.5" x14ac:dyDescent="0.25">
      <c r="A7" s="43" t="s">
        <v>40</v>
      </c>
      <c r="B7" s="44"/>
      <c r="C7" s="46" t="s">
        <v>41</v>
      </c>
      <c r="D7" s="46"/>
      <c r="E7" s="46"/>
    </row>
    <row r="8" spans="1:5" ht="15.75" thickBot="1" x14ac:dyDescent="0.3">
      <c r="B8" s="41"/>
    </row>
    <row r="9" spans="1:5" ht="15.75" thickBot="1" x14ac:dyDescent="0.3">
      <c r="A9" s="47" t="s">
        <v>42</v>
      </c>
      <c r="B9" s="48"/>
      <c r="C9" s="48"/>
      <c r="D9" s="48"/>
      <c r="E9" s="49"/>
    </row>
    <row r="10" spans="1:5" ht="30.75" thickBot="1" x14ac:dyDescent="0.3">
      <c r="A10" s="50" t="s">
        <v>43</v>
      </c>
      <c r="B10" s="51" t="s">
        <v>44</v>
      </c>
      <c r="C10" s="52" t="s">
        <v>45</v>
      </c>
      <c r="D10" s="52" t="s">
        <v>46</v>
      </c>
      <c r="E10" s="52" t="s">
        <v>47</v>
      </c>
    </row>
    <row r="11" spans="1:5" ht="17.25" thickBot="1" x14ac:dyDescent="0.3">
      <c r="A11" s="53">
        <v>45839</v>
      </c>
      <c r="B11" s="54">
        <v>515128</v>
      </c>
      <c r="C11" s="55"/>
      <c r="D11" s="56">
        <v>0</v>
      </c>
      <c r="E11" s="55"/>
    </row>
    <row r="12" spans="1:5" ht="17.25" thickBot="1" x14ac:dyDescent="0.3">
      <c r="A12" s="53">
        <v>45870</v>
      </c>
      <c r="B12" s="54">
        <v>535788</v>
      </c>
      <c r="C12" s="55"/>
      <c r="D12" s="56">
        <v>0</v>
      </c>
      <c r="E12" s="55"/>
    </row>
    <row r="13" spans="1:5" ht="17.25" thickBot="1" x14ac:dyDescent="0.3">
      <c r="A13" s="53">
        <v>45901</v>
      </c>
      <c r="B13" s="54">
        <v>553512</v>
      </c>
      <c r="C13" s="55"/>
      <c r="D13" s="56">
        <v>0</v>
      </c>
      <c r="E13" s="55"/>
    </row>
    <row r="14" spans="1:5" ht="17.25" thickBot="1" x14ac:dyDescent="0.3">
      <c r="A14" s="53">
        <v>45931</v>
      </c>
      <c r="B14" s="54">
        <v>561039</v>
      </c>
      <c r="C14" s="55"/>
      <c r="D14" s="56">
        <v>0</v>
      </c>
      <c r="E14" s="55"/>
    </row>
    <row r="15" spans="1:5" ht="17.25" thickBot="1" x14ac:dyDescent="0.3">
      <c r="A15" s="53">
        <v>45962</v>
      </c>
      <c r="B15" s="54">
        <v>599432</v>
      </c>
      <c r="C15" s="55"/>
      <c r="D15" s="56">
        <v>0</v>
      </c>
      <c r="E15" s="55"/>
    </row>
    <row r="16" spans="1:5" ht="17.25" thickBot="1" x14ac:dyDescent="0.3">
      <c r="A16" s="53">
        <v>45992</v>
      </c>
      <c r="B16" s="54">
        <v>3128741</v>
      </c>
      <c r="C16" s="55"/>
      <c r="D16" s="56">
        <v>0</v>
      </c>
      <c r="E16" s="55"/>
    </row>
    <row r="17" spans="1:5" ht="17.25" thickBot="1" x14ac:dyDescent="0.3">
      <c r="A17" s="57" t="s">
        <v>48</v>
      </c>
      <c r="B17" s="58">
        <f>B11+B12+B13+B14+B15+B16</f>
        <v>5893640</v>
      </c>
      <c r="C17" s="59"/>
      <c r="D17" s="59"/>
      <c r="E17" s="60"/>
    </row>
    <row r="18" spans="1:5" ht="17.25" thickBot="1" x14ac:dyDescent="0.3">
      <c r="A18" s="53">
        <v>46023</v>
      </c>
      <c r="B18" s="61">
        <v>882399</v>
      </c>
      <c r="C18" s="55"/>
      <c r="D18" s="55">
        <v>0</v>
      </c>
      <c r="E18" s="55"/>
    </row>
    <row r="19" spans="1:5" ht="17.25" thickBot="1" x14ac:dyDescent="0.3">
      <c r="A19" s="53">
        <v>46054</v>
      </c>
      <c r="B19" s="61">
        <v>1777742</v>
      </c>
      <c r="C19" s="55"/>
      <c r="D19" s="55">
        <v>0</v>
      </c>
      <c r="E19" s="55"/>
    </row>
    <row r="20" spans="1:5" ht="17.25" thickBot="1" x14ac:dyDescent="0.3">
      <c r="A20" s="53">
        <v>46082</v>
      </c>
      <c r="B20" s="61">
        <v>573951</v>
      </c>
      <c r="C20" s="55"/>
      <c r="D20" s="55">
        <v>0</v>
      </c>
      <c r="E20" s="55"/>
    </row>
    <row r="21" spans="1:5" ht="17.25" thickBot="1" x14ac:dyDescent="0.3">
      <c r="A21" s="53">
        <v>46113</v>
      </c>
      <c r="B21" s="61">
        <v>869547</v>
      </c>
      <c r="C21" s="55"/>
      <c r="D21" s="55">
        <v>0</v>
      </c>
      <c r="E21" s="55"/>
    </row>
    <row r="22" spans="1:5" ht="17.25" thickBot="1" x14ac:dyDescent="0.3">
      <c r="A22" s="53">
        <v>46143</v>
      </c>
      <c r="B22" s="61">
        <v>903891</v>
      </c>
      <c r="C22" s="55"/>
      <c r="D22" s="55">
        <v>0</v>
      </c>
      <c r="E22" s="55"/>
    </row>
    <row r="23" spans="1:5" ht="17.25" thickBot="1" x14ac:dyDescent="0.3">
      <c r="A23" s="53">
        <v>46174</v>
      </c>
      <c r="B23" s="61">
        <v>774353</v>
      </c>
      <c r="C23" s="55"/>
      <c r="D23" s="55">
        <v>0</v>
      </c>
      <c r="E23" s="55"/>
    </row>
    <row r="24" spans="1:5" ht="17.25" thickBot="1" x14ac:dyDescent="0.3">
      <c r="A24" s="53">
        <v>46204</v>
      </c>
      <c r="B24" s="61">
        <v>914366</v>
      </c>
      <c r="C24" s="55"/>
      <c r="D24" s="55">
        <v>0</v>
      </c>
      <c r="E24" s="55"/>
    </row>
    <row r="25" spans="1:5" ht="17.25" thickBot="1" x14ac:dyDescent="0.3">
      <c r="A25" s="53">
        <v>46235</v>
      </c>
      <c r="B25" s="61">
        <v>920158</v>
      </c>
      <c r="C25" s="55"/>
      <c r="D25" s="55">
        <v>0</v>
      </c>
      <c r="E25" s="55"/>
    </row>
    <row r="26" spans="1:5" ht="17.25" thickBot="1" x14ac:dyDescent="0.3">
      <c r="A26" s="53">
        <v>46266</v>
      </c>
      <c r="B26" s="61">
        <v>895772</v>
      </c>
      <c r="C26" s="55"/>
      <c r="D26" s="55">
        <v>0</v>
      </c>
      <c r="E26" s="55"/>
    </row>
    <row r="27" spans="1:5" ht="17.25" thickBot="1" x14ac:dyDescent="0.3">
      <c r="A27" s="53">
        <v>46296</v>
      </c>
      <c r="B27" s="61">
        <v>930894</v>
      </c>
      <c r="C27" s="55"/>
      <c r="D27" s="55">
        <v>0</v>
      </c>
      <c r="E27" s="55"/>
    </row>
    <row r="28" spans="1:5" ht="17.25" thickBot="1" x14ac:dyDescent="0.3">
      <c r="A28" s="53">
        <v>46327</v>
      </c>
      <c r="B28" s="61">
        <v>905943</v>
      </c>
      <c r="C28" s="55"/>
      <c r="D28" s="55">
        <v>0</v>
      </c>
      <c r="E28" s="55"/>
    </row>
    <row r="29" spans="1:5" ht="17.25" thickBot="1" x14ac:dyDescent="0.3">
      <c r="A29" s="53">
        <v>46357</v>
      </c>
      <c r="B29" s="61">
        <v>2091652</v>
      </c>
      <c r="C29" s="55"/>
      <c r="D29" s="55">
        <v>0</v>
      </c>
      <c r="E29" s="55"/>
    </row>
    <row r="30" spans="1:5" ht="17.25" thickBot="1" x14ac:dyDescent="0.3">
      <c r="A30" s="57">
        <v>2026</v>
      </c>
      <c r="B30" s="58">
        <f>B18+B19+B20+B21+B22+B23+B24+B25+B26+B27+B28+B29</f>
        <v>12440668</v>
      </c>
      <c r="C30" s="59"/>
      <c r="D30" s="59"/>
      <c r="E30" s="60"/>
    </row>
    <row r="31" spans="1:5" ht="17.25" thickBot="1" x14ac:dyDescent="0.3">
      <c r="A31" s="53">
        <v>46388</v>
      </c>
      <c r="B31" s="61">
        <v>2525182</v>
      </c>
      <c r="C31" s="55"/>
      <c r="D31" s="55">
        <v>0</v>
      </c>
      <c r="E31" s="55"/>
    </row>
    <row r="32" spans="1:5" ht="17.25" thickBot="1" x14ac:dyDescent="0.3">
      <c r="A32" s="53">
        <v>46419</v>
      </c>
      <c r="B32" s="61">
        <v>1889829</v>
      </c>
      <c r="C32" s="55"/>
      <c r="D32" s="55">
        <v>0</v>
      </c>
      <c r="E32" s="55"/>
    </row>
    <row r="33" spans="1:5" ht="17.25" thickBot="1" x14ac:dyDescent="0.3">
      <c r="A33" s="53">
        <v>46447</v>
      </c>
      <c r="B33" s="61">
        <v>399336</v>
      </c>
      <c r="C33" s="55"/>
      <c r="D33" s="55">
        <v>0</v>
      </c>
      <c r="E33" s="55"/>
    </row>
    <row r="34" spans="1:5" ht="17.25" thickBot="1" x14ac:dyDescent="0.3">
      <c r="A34" s="53">
        <v>46478</v>
      </c>
      <c r="B34" s="61">
        <v>931832</v>
      </c>
      <c r="C34" s="55"/>
      <c r="D34" s="55">
        <v>0</v>
      </c>
      <c r="E34" s="55"/>
    </row>
    <row r="35" spans="1:5" ht="17.25" thickBot="1" x14ac:dyDescent="0.3">
      <c r="A35" s="53">
        <v>46508</v>
      </c>
      <c r="B35" s="61">
        <v>968375</v>
      </c>
      <c r="C35" s="55"/>
      <c r="D35" s="55">
        <v>0</v>
      </c>
      <c r="E35" s="55"/>
    </row>
    <row r="36" spans="1:5" ht="17.25" thickBot="1" x14ac:dyDescent="0.3">
      <c r="A36" s="53">
        <v>46539</v>
      </c>
      <c r="B36" s="61">
        <v>942638</v>
      </c>
      <c r="C36" s="55"/>
      <c r="D36" s="55">
        <v>0</v>
      </c>
      <c r="E36" s="55"/>
    </row>
    <row r="37" spans="1:5" ht="17.25" thickBot="1" x14ac:dyDescent="0.3">
      <c r="A37" s="53">
        <v>46569</v>
      </c>
      <c r="B37" s="61">
        <v>579098</v>
      </c>
      <c r="C37" s="55"/>
      <c r="D37" s="55">
        <v>0</v>
      </c>
      <c r="E37" s="55"/>
    </row>
    <row r="38" spans="1:5" ht="17.25" thickBot="1" x14ac:dyDescent="0.3">
      <c r="A38" s="53">
        <v>46600</v>
      </c>
      <c r="B38" s="61">
        <v>984619</v>
      </c>
      <c r="C38" s="55"/>
      <c r="D38" s="55">
        <v>0</v>
      </c>
      <c r="E38" s="55"/>
    </row>
    <row r="39" spans="1:5" ht="17.25" thickBot="1" x14ac:dyDescent="0.3">
      <c r="A39" s="53">
        <v>46631</v>
      </c>
      <c r="B39" s="61">
        <v>958034</v>
      </c>
      <c r="C39" s="55"/>
      <c r="D39" s="55">
        <v>0</v>
      </c>
      <c r="E39" s="55"/>
    </row>
    <row r="40" spans="1:5" ht="17.25" thickBot="1" x14ac:dyDescent="0.3">
      <c r="A40" s="53">
        <v>46661</v>
      </c>
      <c r="B40" s="61">
        <v>1552922</v>
      </c>
      <c r="C40" s="55"/>
      <c r="D40" s="55">
        <v>0</v>
      </c>
      <c r="E40" s="55"/>
    </row>
    <row r="41" spans="1:5" ht="17.25" thickBot="1" x14ac:dyDescent="0.3">
      <c r="A41" s="53">
        <v>46692</v>
      </c>
      <c r="B41" s="61">
        <v>968831</v>
      </c>
      <c r="C41" s="55"/>
      <c r="D41" s="55">
        <v>0</v>
      </c>
      <c r="E41" s="55"/>
    </row>
    <row r="42" spans="1:5" ht="17.25" thickBot="1" x14ac:dyDescent="0.3">
      <c r="A42" s="53">
        <v>46722</v>
      </c>
      <c r="B42" s="61">
        <v>1006347</v>
      </c>
      <c r="C42" s="55"/>
      <c r="D42" s="55">
        <v>0</v>
      </c>
      <c r="E42" s="55"/>
    </row>
    <row r="43" spans="1:5" ht="17.25" thickBot="1" x14ac:dyDescent="0.3">
      <c r="A43" s="62">
        <v>2027</v>
      </c>
      <c r="B43" s="63">
        <f>B31+B32+B33+B34+B35+B36+B37+B38+B39+B40+B41+B42</f>
        <v>13707043</v>
      </c>
      <c r="C43" s="64"/>
      <c r="D43" s="64"/>
      <c r="E43" s="65"/>
    </row>
    <row r="44" spans="1:5" ht="17.25" thickBot="1" x14ac:dyDescent="0.3">
      <c r="A44" s="66">
        <v>46753</v>
      </c>
      <c r="B44" s="67">
        <v>2833416</v>
      </c>
      <c r="C44" s="68"/>
      <c r="D44" s="55">
        <v>0</v>
      </c>
      <c r="E44" s="68"/>
    </row>
    <row r="45" spans="1:5" ht="17.25" thickBot="1" x14ac:dyDescent="0.3">
      <c r="A45" s="53">
        <v>46784</v>
      </c>
      <c r="B45" s="61">
        <v>2532592</v>
      </c>
      <c r="C45" s="55"/>
      <c r="D45" s="55">
        <v>0</v>
      </c>
      <c r="E45" s="55"/>
    </row>
    <row r="46" spans="1:5" ht="17.25" thickBot="1" x14ac:dyDescent="0.3">
      <c r="A46" s="53">
        <v>46813</v>
      </c>
      <c r="B46" s="61">
        <v>2888656</v>
      </c>
      <c r="C46" s="55"/>
      <c r="D46" s="55">
        <v>0</v>
      </c>
      <c r="E46" s="55"/>
    </row>
    <row r="47" spans="1:5" ht="17.25" thickBot="1" x14ac:dyDescent="0.3">
      <c r="A47" s="53">
        <v>46844</v>
      </c>
      <c r="B47" s="61">
        <v>2749278</v>
      </c>
      <c r="C47" s="55"/>
      <c r="D47" s="55">
        <v>0</v>
      </c>
      <c r="E47" s="55"/>
    </row>
    <row r="48" spans="1:5" ht="17.25" thickBot="1" x14ac:dyDescent="0.3">
      <c r="A48" s="53">
        <v>46874</v>
      </c>
      <c r="B48" s="61">
        <v>1891009</v>
      </c>
      <c r="C48" s="55"/>
      <c r="D48" s="55">
        <v>0</v>
      </c>
      <c r="E48" s="55"/>
    </row>
    <row r="49" spans="1:5" ht="17.25" thickBot="1" x14ac:dyDescent="0.3">
      <c r="A49" s="53">
        <v>46905</v>
      </c>
      <c r="B49" s="61">
        <v>391200</v>
      </c>
      <c r="C49" s="55"/>
      <c r="D49" s="55">
        <v>0</v>
      </c>
      <c r="E49" s="55"/>
    </row>
    <row r="50" spans="1:5" ht="17.25" thickBot="1" x14ac:dyDescent="0.3">
      <c r="A50" s="53">
        <v>46935</v>
      </c>
      <c r="B50" s="61">
        <v>1946171</v>
      </c>
      <c r="C50" s="55"/>
      <c r="D50" s="55">
        <v>0</v>
      </c>
      <c r="E50" s="55"/>
    </row>
    <row r="51" spans="1:5" ht="17.25" thickBot="1" x14ac:dyDescent="0.3">
      <c r="A51" s="53">
        <v>46966</v>
      </c>
      <c r="B51" s="61">
        <v>3017088</v>
      </c>
      <c r="C51" s="55"/>
      <c r="D51" s="55">
        <v>0</v>
      </c>
      <c r="E51" s="55"/>
    </row>
    <row r="52" spans="1:5" ht="17.25" thickBot="1" x14ac:dyDescent="0.3">
      <c r="A52" s="53">
        <v>46997</v>
      </c>
      <c r="B52" s="61">
        <v>451996</v>
      </c>
      <c r="C52" s="55"/>
      <c r="D52" s="55">
        <v>0</v>
      </c>
      <c r="E52" s="55"/>
    </row>
    <row r="53" spans="1:5" ht="17.25" thickBot="1" x14ac:dyDescent="0.3">
      <c r="A53" s="53">
        <v>47027</v>
      </c>
      <c r="B53" s="61">
        <v>585105</v>
      </c>
      <c r="C53" s="55"/>
      <c r="D53" s="55">
        <v>0</v>
      </c>
      <c r="E53" s="55"/>
    </row>
    <row r="54" spans="1:5" ht="17.25" thickBot="1" x14ac:dyDescent="0.3">
      <c r="A54" s="53">
        <v>47058</v>
      </c>
      <c r="B54" s="61">
        <v>1881848</v>
      </c>
      <c r="C54" s="55"/>
      <c r="D54" s="55">
        <v>0</v>
      </c>
      <c r="E54" s="55"/>
    </row>
    <row r="55" spans="1:5" ht="17.25" thickBot="1" x14ac:dyDescent="0.3">
      <c r="A55" s="53">
        <v>47088</v>
      </c>
      <c r="B55" s="61">
        <v>2957377</v>
      </c>
      <c r="C55" s="55"/>
      <c r="D55" s="55">
        <v>0</v>
      </c>
      <c r="E55" s="55"/>
    </row>
    <row r="56" spans="1:5" ht="17.25" thickBot="1" x14ac:dyDescent="0.3">
      <c r="A56" s="69">
        <v>2028</v>
      </c>
      <c r="B56" s="70">
        <f>B44+B45+B46+B47+B48+B49+B50+B51+B52+B53+B54+B55</f>
        <v>24125736</v>
      </c>
      <c r="C56" s="71"/>
      <c r="D56" s="71"/>
      <c r="E56" s="71"/>
    </row>
    <row r="57" spans="1:5" ht="17.25" thickBot="1" x14ac:dyDescent="0.3">
      <c r="A57" s="66">
        <v>47119</v>
      </c>
      <c r="B57" s="67">
        <v>2855188</v>
      </c>
      <c r="C57" s="68"/>
      <c r="D57" s="55">
        <v>0</v>
      </c>
      <c r="E57" s="68"/>
    </row>
    <row r="58" spans="1:5" ht="17.25" thickBot="1" x14ac:dyDescent="0.3">
      <c r="A58" s="53">
        <v>47150</v>
      </c>
      <c r="B58" s="61">
        <v>2436083</v>
      </c>
      <c r="C58" s="55"/>
      <c r="D58" s="55">
        <v>0</v>
      </c>
      <c r="E58" s="55"/>
    </row>
    <row r="59" spans="1:5" ht="17.25" thickBot="1" x14ac:dyDescent="0.3">
      <c r="A59" s="53">
        <v>47178</v>
      </c>
      <c r="B59" s="61">
        <v>2985074</v>
      </c>
      <c r="C59" s="55"/>
      <c r="D59" s="55">
        <v>0</v>
      </c>
      <c r="E59" s="55"/>
    </row>
    <row r="60" spans="1:5" ht="17.25" thickBot="1" x14ac:dyDescent="0.3">
      <c r="A60" s="53">
        <v>47209</v>
      </c>
      <c r="B60" s="61">
        <v>2836711</v>
      </c>
      <c r="C60" s="55"/>
      <c r="D60" s="55">
        <v>0</v>
      </c>
      <c r="E60" s="55"/>
    </row>
    <row r="61" spans="1:5" ht="17.25" thickBot="1" x14ac:dyDescent="0.3">
      <c r="A61" s="53">
        <v>47239</v>
      </c>
      <c r="B61" s="61">
        <v>941203</v>
      </c>
      <c r="C61" s="55"/>
      <c r="D61" s="55">
        <v>0</v>
      </c>
      <c r="E61" s="55"/>
    </row>
    <row r="62" spans="1:5" ht="17.25" thickBot="1" x14ac:dyDescent="0.3">
      <c r="A62" s="53">
        <v>47270</v>
      </c>
      <c r="B62" s="61">
        <v>791632</v>
      </c>
      <c r="C62" s="55"/>
      <c r="D62" s="55">
        <v>0</v>
      </c>
      <c r="E62" s="55"/>
    </row>
    <row r="63" spans="1:5" ht="17.25" thickBot="1" x14ac:dyDescent="0.3">
      <c r="A63" s="53">
        <v>47300</v>
      </c>
      <c r="B63" s="61">
        <v>993475</v>
      </c>
      <c r="C63" s="55"/>
      <c r="D63" s="55">
        <v>0</v>
      </c>
      <c r="E63" s="55"/>
    </row>
    <row r="64" spans="1:5" ht="17.25" thickBot="1" x14ac:dyDescent="0.3">
      <c r="A64" s="53">
        <v>47331</v>
      </c>
      <c r="B64" s="61">
        <v>1020525</v>
      </c>
      <c r="C64" s="55"/>
      <c r="D64" s="55">
        <v>0</v>
      </c>
      <c r="E64" s="55"/>
    </row>
    <row r="65" spans="1:5" ht="17.25" thickBot="1" x14ac:dyDescent="0.3">
      <c r="A65" s="53">
        <v>47362</v>
      </c>
      <c r="B65" s="61">
        <v>860728</v>
      </c>
      <c r="C65" s="55"/>
      <c r="D65" s="55">
        <v>0</v>
      </c>
      <c r="E65" s="55"/>
    </row>
    <row r="66" spans="1:5" ht="17.25" thickBot="1" x14ac:dyDescent="0.3">
      <c r="A66" s="53">
        <v>47392</v>
      </c>
      <c r="B66" s="61">
        <v>1063573</v>
      </c>
      <c r="C66" s="55"/>
      <c r="D66" s="55">
        <v>0</v>
      </c>
      <c r="E66" s="55"/>
    </row>
    <row r="67" spans="1:5" ht="17.25" thickBot="1" x14ac:dyDescent="0.3">
      <c r="A67" s="53">
        <v>47423</v>
      </c>
      <c r="B67" s="61">
        <v>904273</v>
      </c>
      <c r="C67" s="55"/>
      <c r="D67" s="55">
        <v>0</v>
      </c>
      <c r="E67" s="55"/>
    </row>
    <row r="68" spans="1:5" ht="17.25" thickBot="1" x14ac:dyDescent="0.3">
      <c r="A68" s="53">
        <v>47453</v>
      </c>
      <c r="B68" s="61">
        <v>2858572</v>
      </c>
      <c r="C68" s="55"/>
      <c r="D68" s="55">
        <v>0</v>
      </c>
      <c r="E68" s="55"/>
    </row>
    <row r="69" spans="1:5" ht="17.25" thickBot="1" x14ac:dyDescent="0.3">
      <c r="A69" s="69">
        <v>2029</v>
      </c>
      <c r="B69" s="72">
        <f>B57+B58+B59+B60+B61+B62+B63+B64+B65+B66+B67+B68</f>
        <v>20547037</v>
      </c>
      <c r="C69" s="71"/>
      <c r="D69" s="71"/>
      <c r="E69" s="71"/>
    </row>
    <row r="70" spans="1:5" ht="17.25" thickBot="1" x14ac:dyDescent="0.3">
      <c r="A70" s="66">
        <v>47484</v>
      </c>
      <c r="B70" s="61">
        <v>11362888</v>
      </c>
      <c r="C70" s="55"/>
      <c r="D70" s="55">
        <v>0</v>
      </c>
      <c r="E70" s="55"/>
    </row>
    <row r="71" spans="1:5" ht="17.25" thickBot="1" x14ac:dyDescent="0.3">
      <c r="A71" s="53">
        <v>47515</v>
      </c>
      <c r="B71" s="61">
        <v>10302568</v>
      </c>
      <c r="C71" s="55"/>
      <c r="D71" s="55">
        <v>0</v>
      </c>
      <c r="E71" s="55"/>
    </row>
    <row r="72" spans="1:5" ht="17.25" thickBot="1" x14ac:dyDescent="0.3">
      <c r="A72" s="53">
        <v>47543</v>
      </c>
      <c r="B72" s="61">
        <v>11449930</v>
      </c>
      <c r="C72" s="55"/>
      <c r="D72" s="55">
        <v>0</v>
      </c>
      <c r="E72" s="55"/>
    </row>
    <row r="73" spans="1:5" ht="17.25" thickBot="1" x14ac:dyDescent="0.3">
      <c r="A73" s="53">
        <v>47574</v>
      </c>
      <c r="B73" s="61">
        <v>11124131</v>
      </c>
      <c r="C73" s="55"/>
      <c r="D73" s="55">
        <v>0</v>
      </c>
      <c r="E73" s="55"/>
    </row>
    <row r="74" spans="1:5" ht="17.25" thickBot="1" x14ac:dyDescent="0.3">
      <c r="A74" s="53">
        <v>47604</v>
      </c>
      <c r="B74" s="61">
        <v>11539917</v>
      </c>
      <c r="C74" s="55"/>
      <c r="D74" s="55">
        <v>0</v>
      </c>
      <c r="E74" s="55"/>
    </row>
    <row r="75" spans="1:5" ht="17.25" thickBot="1" x14ac:dyDescent="0.3">
      <c r="A75" s="53">
        <v>47635</v>
      </c>
      <c r="B75" s="61">
        <v>11211214</v>
      </c>
      <c r="C75" s="55"/>
      <c r="D75" s="55">
        <v>0</v>
      </c>
      <c r="E75" s="55"/>
    </row>
    <row r="76" spans="1:5" ht="17.25" thickBot="1" x14ac:dyDescent="0.3">
      <c r="A76" s="53">
        <v>47665</v>
      </c>
      <c r="B76" s="61">
        <v>11629943</v>
      </c>
      <c r="C76" s="55"/>
      <c r="D76" s="55">
        <v>0</v>
      </c>
      <c r="E76" s="55"/>
    </row>
    <row r="77" spans="1:5" ht="17.25" thickBot="1" x14ac:dyDescent="0.3">
      <c r="A77" s="53">
        <v>47696</v>
      </c>
      <c r="B77" s="61">
        <v>11675652.999999998</v>
      </c>
      <c r="C77" s="55"/>
      <c r="D77" s="55">
        <v>0</v>
      </c>
      <c r="E77" s="55"/>
    </row>
    <row r="78" spans="1:5" ht="17.25" thickBot="1" x14ac:dyDescent="0.3">
      <c r="A78" s="53">
        <v>47727</v>
      </c>
      <c r="B78" s="61">
        <v>11342580</v>
      </c>
      <c r="C78" s="55"/>
      <c r="D78" s="55">
        <v>0</v>
      </c>
      <c r="E78" s="55"/>
    </row>
    <row r="79" spans="1:5" ht="17.25" thickBot="1" x14ac:dyDescent="0.3">
      <c r="A79" s="53">
        <v>47757</v>
      </c>
      <c r="B79" s="61">
        <v>11765647</v>
      </c>
      <c r="C79" s="55"/>
      <c r="D79" s="55">
        <v>0</v>
      </c>
      <c r="E79" s="55"/>
    </row>
    <row r="80" spans="1:5" ht="17.25" thickBot="1" x14ac:dyDescent="0.3">
      <c r="A80" s="53">
        <v>47788</v>
      </c>
      <c r="B80" s="61">
        <v>11429665</v>
      </c>
      <c r="C80" s="55"/>
      <c r="D80" s="55">
        <v>0</v>
      </c>
      <c r="E80" s="55"/>
    </row>
    <row r="81" spans="1:5" ht="17.25" thickBot="1" x14ac:dyDescent="0.3">
      <c r="A81" s="53">
        <v>47818</v>
      </c>
      <c r="B81" s="61">
        <v>11855659.999999998</v>
      </c>
      <c r="C81" s="55"/>
      <c r="D81" s="55">
        <v>0</v>
      </c>
      <c r="E81" s="55"/>
    </row>
    <row r="82" spans="1:5" ht="17.25" thickBot="1" x14ac:dyDescent="0.3">
      <c r="A82" s="73">
        <v>2030</v>
      </c>
      <c r="B82" s="74">
        <v>136689796</v>
      </c>
      <c r="C82" s="75"/>
      <c r="D82" s="75"/>
      <c r="E82" s="75"/>
    </row>
    <row r="83" spans="1:5" ht="17.25" thickBot="1" x14ac:dyDescent="0.3">
      <c r="A83" s="66">
        <v>47849</v>
      </c>
      <c r="B83" s="61">
        <v>11901370</v>
      </c>
      <c r="C83" s="55"/>
      <c r="D83" s="55">
        <v>0</v>
      </c>
      <c r="E83" s="55"/>
    </row>
    <row r="84" spans="1:5" ht="17.25" thickBot="1" x14ac:dyDescent="0.3">
      <c r="A84" s="53">
        <v>47880</v>
      </c>
      <c r="B84" s="61">
        <v>10788961</v>
      </c>
      <c r="C84" s="55"/>
      <c r="D84" s="55">
        <v>0</v>
      </c>
      <c r="E84" s="55"/>
    </row>
    <row r="85" spans="1:5" ht="17.25" thickBot="1" x14ac:dyDescent="0.3">
      <c r="A85" s="53">
        <v>47908</v>
      </c>
      <c r="B85" s="61">
        <v>11988429</v>
      </c>
      <c r="C85" s="55"/>
      <c r="D85" s="55">
        <v>0</v>
      </c>
      <c r="E85" s="55"/>
    </row>
    <row r="86" spans="1:5" ht="17.25" thickBot="1" x14ac:dyDescent="0.3">
      <c r="A86" s="53">
        <v>47939</v>
      </c>
      <c r="B86" s="61">
        <v>11645241</v>
      </c>
      <c r="C86" s="55"/>
      <c r="D86" s="55">
        <v>0</v>
      </c>
      <c r="E86" s="55"/>
    </row>
    <row r="87" spans="1:5" ht="17.25" thickBot="1" x14ac:dyDescent="0.3">
      <c r="A87" s="53">
        <v>47969</v>
      </c>
      <c r="B87" s="61">
        <v>12078421</v>
      </c>
      <c r="C87" s="55"/>
      <c r="D87" s="55">
        <v>0</v>
      </c>
      <c r="E87" s="55"/>
    </row>
    <row r="88" spans="1:5" ht="17.25" thickBot="1" x14ac:dyDescent="0.3">
      <c r="A88" s="53">
        <v>48000</v>
      </c>
      <c r="B88" s="61">
        <v>11732345</v>
      </c>
      <c r="C88" s="55"/>
      <c r="D88" s="55">
        <v>0</v>
      </c>
      <c r="E88" s="55"/>
    </row>
    <row r="89" spans="1:5" ht="17.25" thickBot="1" x14ac:dyDescent="0.3">
      <c r="A89" s="53">
        <v>48030</v>
      </c>
      <c r="B89" s="61">
        <v>12168422.999999998</v>
      </c>
      <c r="C89" s="55"/>
      <c r="D89" s="55">
        <v>0</v>
      </c>
      <c r="E89" s="55"/>
    </row>
    <row r="90" spans="1:5" ht="17.25" thickBot="1" x14ac:dyDescent="0.3">
      <c r="A90" s="53">
        <v>48061</v>
      </c>
      <c r="B90" s="61">
        <v>12214141</v>
      </c>
      <c r="C90" s="55"/>
      <c r="D90" s="55">
        <v>0</v>
      </c>
      <c r="E90" s="55"/>
    </row>
    <row r="91" spans="1:5" ht="17.25" thickBot="1" x14ac:dyDescent="0.3">
      <c r="A91" s="53">
        <v>48092</v>
      </c>
      <c r="B91" s="61">
        <v>11863708</v>
      </c>
      <c r="C91" s="55"/>
      <c r="D91" s="55">
        <v>0</v>
      </c>
      <c r="E91" s="55"/>
    </row>
    <row r="92" spans="1:5" ht="17.25" thickBot="1" x14ac:dyDescent="0.3">
      <c r="A92" s="53">
        <v>48122</v>
      </c>
      <c r="B92" s="61">
        <v>12304135</v>
      </c>
      <c r="C92" s="55"/>
      <c r="D92" s="55">
        <v>0</v>
      </c>
      <c r="E92" s="55"/>
    </row>
    <row r="93" spans="1:5" ht="17.25" thickBot="1" x14ac:dyDescent="0.3">
      <c r="A93" s="53">
        <v>48153</v>
      </c>
      <c r="B93" s="61">
        <v>11950758.999999998</v>
      </c>
      <c r="C93" s="55"/>
      <c r="D93" s="55">
        <v>0</v>
      </c>
      <c r="E93" s="55"/>
    </row>
    <row r="94" spans="1:5" ht="17.25" thickBot="1" x14ac:dyDescent="0.3">
      <c r="A94" s="53">
        <v>48183</v>
      </c>
      <c r="B94" s="61">
        <v>12413660</v>
      </c>
      <c r="C94" s="55"/>
      <c r="D94" s="55">
        <v>0</v>
      </c>
      <c r="E94" s="55"/>
    </row>
    <row r="95" spans="1:5" ht="17.25" thickBot="1" x14ac:dyDescent="0.3">
      <c r="A95" s="73">
        <v>2031</v>
      </c>
      <c r="B95" s="74">
        <v>143049593</v>
      </c>
      <c r="C95" s="75"/>
      <c r="D95" s="75"/>
      <c r="E95" s="75"/>
    </row>
    <row r="96" spans="1:5" ht="17.25" thickBot="1" x14ac:dyDescent="0.3">
      <c r="A96" s="76" t="s">
        <v>49</v>
      </c>
      <c r="B96" s="77">
        <f>B17+B30+B43+B56+B69+B82+B95</f>
        <v>356453513</v>
      </c>
      <c r="C96" s="65"/>
      <c r="D96" s="78"/>
      <c r="E96" s="65"/>
    </row>
    <row r="97" spans="1:5" x14ac:dyDescent="0.25">
      <c r="B97" s="41"/>
    </row>
    <row r="98" spans="1:5" ht="16.5" x14ac:dyDescent="0.25">
      <c r="A98" s="79" t="s">
        <v>50</v>
      </c>
      <c r="B98" s="79"/>
      <c r="C98" s="79"/>
      <c r="D98" s="79"/>
      <c r="E98" s="79"/>
    </row>
    <row r="99" spans="1:5" ht="16.5" x14ac:dyDescent="0.25">
      <c r="A99" s="79" t="s">
        <v>51</v>
      </c>
      <c r="B99" s="79"/>
      <c r="C99" s="79"/>
      <c r="D99" s="79"/>
      <c r="E99" s="79"/>
    </row>
    <row r="100" spans="1:5" ht="16.5" x14ac:dyDescent="0.25">
      <c r="A100" s="79" t="s">
        <v>52</v>
      </c>
      <c r="B100" s="79"/>
      <c r="C100" s="79"/>
      <c r="D100" s="79"/>
      <c r="E100" s="79"/>
    </row>
    <row r="101" spans="1:5" ht="16.5" x14ac:dyDescent="0.25">
      <c r="A101" s="79" t="s">
        <v>53</v>
      </c>
      <c r="B101" s="79"/>
      <c r="C101" s="79"/>
      <c r="D101" s="79"/>
      <c r="E101" s="79"/>
    </row>
    <row r="102" spans="1:5" ht="16.5" x14ac:dyDescent="0.3">
      <c r="A102" s="80" t="s">
        <v>54</v>
      </c>
      <c r="B102" s="80"/>
      <c r="C102" s="80"/>
      <c r="D102" s="80"/>
      <c r="E102" s="80"/>
    </row>
    <row r="103" spans="1:5" ht="16.5" x14ac:dyDescent="0.3">
      <c r="A103" s="81" t="s">
        <v>55</v>
      </c>
      <c r="B103" s="81"/>
      <c r="C103" s="81"/>
      <c r="D103" s="81"/>
      <c r="E103" s="81"/>
    </row>
    <row r="104" spans="1:5" x14ac:dyDescent="0.25">
      <c r="B104" s="41"/>
    </row>
    <row r="105" spans="1:5" x14ac:dyDescent="0.25">
      <c r="A105" s="82"/>
      <c r="B105" s="83"/>
    </row>
    <row r="106" spans="1:5" x14ac:dyDescent="0.25">
      <c r="A106" t="s">
        <v>56</v>
      </c>
      <c r="B106" s="41"/>
    </row>
  </sheetData>
  <mergeCells count="11">
    <mergeCell ref="A99:E99"/>
    <mergeCell ref="A100:E100"/>
    <mergeCell ref="A101:E101"/>
    <mergeCell ref="A102:E102"/>
    <mergeCell ref="A103:E103"/>
    <mergeCell ref="C4:E4"/>
    <mergeCell ref="C5:E5"/>
    <mergeCell ref="C6:E6"/>
    <mergeCell ref="C7:E7"/>
    <mergeCell ref="A9:E9"/>
    <mergeCell ref="A98:E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CANTIDADES</vt:lpstr>
      <vt:lpstr>PRESENTACION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PINTO</dc:creator>
  <cp:lastModifiedBy>SONIA HERNANDEZ</cp:lastModifiedBy>
  <dcterms:created xsi:type="dcterms:W3CDTF">2025-03-28T16:16:19Z</dcterms:created>
  <dcterms:modified xsi:type="dcterms:W3CDTF">2025-04-08T21:32:11Z</dcterms:modified>
</cp:coreProperties>
</file>