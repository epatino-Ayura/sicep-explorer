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rcocol.sharepoint.com/sites/migracionneuaerco/Shared Documents/NeuEnergy/13. Energy/Contratos/Mercado Regulado/Convocatorias neu/2025/Convocatoria CP_NEUC2025-001 (EN PROCESO)/Pliegos consulta/"/>
    </mc:Choice>
  </mc:AlternateContent>
  <xr:revisionPtr revIDLastSave="322" documentId="13_ncr:1_{ECDEB5FE-68AD-4596-B548-E98D4CE60C3D}" xr6:coauthVersionLast="47" xr6:coauthVersionMax="47" xr10:uidLastSave="{E7CC1322-6CD7-4635-829B-1FFC8489EC44}"/>
  <bookViews>
    <workbookView xWindow="-110" yWindow="-110" windowWidth="19420" windowHeight="10300" tabRatio="743" xr2:uid="{49A9D400-13A0-4192-AD21-AB17CA2F2FC8}"/>
  </bookViews>
  <sheets>
    <sheet name="Cantidades producto 1" sheetId="15" r:id="rId1"/>
    <sheet name="Cantidades producto 2" sheetId="16" r:id="rId2"/>
    <sheet name="Cantidades producto 3" sheetId="17" r:id="rId3"/>
    <sheet name="Cantidades producto 4" sheetId="18" r:id="rId4"/>
    <sheet name="Cantidades producto 5" sheetId="19" r:id="rId5"/>
    <sheet name="Cantidades Producto 6" sheetId="25" r:id="rId6"/>
    <sheet name="Oferta producto 1" sheetId="24" r:id="rId7"/>
    <sheet name="Oferta producto 2" sheetId="20" r:id="rId8"/>
    <sheet name="Oferta producto 3" sheetId="21" r:id="rId9"/>
    <sheet name="Oferta producto 4" sheetId="22" r:id="rId10"/>
    <sheet name="Oferta producto 5" sheetId="23" r:id="rId11"/>
    <sheet name="Oferta producto 6" sheetId="26" r:id="rId12"/>
  </sheets>
  <definedNames>
    <definedName name="_xlnm._FilterDatabase" localSheetId="0" hidden="1">'Cantidades producto 1'!$A$5:$AB$5</definedName>
    <definedName name="_xlnm._FilterDatabase" localSheetId="1" hidden="1">'Cantidades producto 2'!$A$5:$AB$5</definedName>
    <definedName name="_xlnm._FilterDatabase" localSheetId="2" hidden="1">'Cantidades producto 3'!$A$5:$AB$5</definedName>
    <definedName name="_xlnm._FilterDatabase" localSheetId="3" hidden="1">'Cantidades producto 4'!$A$5:$AB$5</definedName>
    <definedName name="_xlnm._FilterDatabase" localSheetId="4" hidden="1">'Cantidades producto 5'!$A$5:$AB$5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6" i="25" l="1"/>
  <c r="C6" i="25"/>
  <c r="C8" i="25"/>
  <c r="C12" i="25"/>
  <c r="C14" i="25"/>
  <c r="C15" i="25"/>
  <c r="C16" i="25"/>
  <c r="C20" i="25"/>
  <c r="C22" i="25"/>
  <c r="C23" i="25"/>
  <c r="C24" i="25"/>
  <c r="C30" i="25"/>
  <c r="C31" i="25"/>
  <c r="C32" i="25"/>
  <c r="C35" i="25"/>
  <c r="C36" i="25"/>
  <c r="C38" i="25"/>
  <c r="C40" i="25"/>
  <c r="C44" i="25"/>
  <c r="C46" i="25"/>
  <c r="C47" i="25"/>
  <c r="C48" i="25"/>
  <c r="C52" i="25"/>
  <c r="C54" i="25"/>
  <c r="C55" i="25"/>
  <c r="C56" i="25"/>
  <c r="C57" i="25"/>
  <c r="C59" i="25"/>
  <c r="C62" i="25"/>
  <c r="C63" i="25"/>
  <c r="C64" i="25"/>
  <c r="C65" i="25"/>
  <c r="C67" i="25"/>
  <c r="C68" i="25"/>
  <c r="C70" i="25"/>
  <c r="C72" i="25"/>
  <c r="C73" i="25"/>
  <c r="C76" i="25"/>
  <c r="C78" i="25"/>
  <c r="C79" i="25"/>
  <c r="C80" i="25"/>
  <c r="C81" i="25"/>
  <c r="C82" i="25"/>
  <c r="C86" i="25"/>
  <c r="C87" i="25"/>
  <c r="C88" i="25"/>
  <c r="C89" i="25"/>
  <c r="C90" i="25"/>
  <c r="C91" i="25"/>
  <c r="C92" i="25"/>
  <c r="C94" i="25"/>
  <c r="C96" i="25"/>
  <c r="C97" i="25"/>
  <c r="C98" i="25"/>
  <c r="C99" i="25"/>
  <c r="C100" i="25"/>
  <c r="C102" i="25"/>
  <c r="C103" i="25"/>
  <c r="C104" i="25"/>
  <c r="C105" i="25"/>
  <c r="C106" i="25"/>
  <c r="C110" i="25"/>
  <c r="C111" i="25"/>
  <c r="C112" i="25"/>
  <c r="C113" i="25"/>
  <c r="C114" i="25"/>
  <c r="C116" i="25"/>
  <c r="C118" i="25"/>
  <c r="C120" i="25"/>
  <c r="C121" i="25"/>
  <c r="C122" i="25"/>
  <c r="C124" i="25"/>
  <c r="C126" i="25"/>
  <c r="C127" i="25"/>
  <c r="C128" i="25"/>
  <c r="C129" i="25"/>
  <c r="C130" i="25"/>
  <c r="C131" i="25"/>
  <c r="C134" i="25"/>
  <c r="C135" i="25"/>
  <c r="C136" i="25"/>
  <c r="C137" i="25"/>
  <c r="C138" i="25"/>
  <c r="C140" i="25"/>
  <c r="C142" i="25"/>
  <c r="C143" i="25"/>
  <c r="C144" i="25"/>
  <c r="C145" i="25"/>
  <c r="C146" i="25"/>
  <c r="C148" i="25"/>
  <c r="C150" i="25"/>
  <c r="C151" i="25"/>
  <c r="C152" i="25"/>
  <c r="C153" i="25"/>
  <c r="C154" i="25"/>
  <c r="C155" i="25"/>
  <c r="C156" i="25"/>
  <c r="C158" i="25"/>
  <c r="C159" i="25"/>
  <c r="C160" i="25"/>
  <c r="C162" i="25"/>
  <c r="C163" i="25"/>
  <c r="C164" i="25"/>
  <c r="C166" i="25"/>
  <c r="C167" i="25"/>
  <c r="C168" i="25"/>
  <c r="C169" i="25"/>
  <c r="C170" i="25"/>
  <c r="C171" i="25"/>
  <c r="C172" i="25"/>
  <c r="C174" i="25"/>
  <c r="C175" i="25"/>
  <c r="C176" i="25"/>
  <c r="C177" i="25"/>
  <c r="C178" i="25"/>
  <c r="C179" i="25"/>
  <c r="C180" i="25"/>
  <c r="C182" i="25"/>
  <c r="C183" i="25"/>
  <c r="C184" i="25"/>
  <c r="C185" i="25"/>
  <c r="C181" i="25"/>
  <c r="C173" i="25"/>
  <c r="C165" i="25"/>
  <c r="C161" i="25"/>
  <c r="C157" i="25"/>
  <c r="C149" i="25"/>
  <c r="C147" i="25"/>
  <c r="C141" i="25"/>
  <c r="C139" i="25"/>
  <c r="C133" i="25"/>
  <c r="C132" i="25"/>
  <c r="C125" i="25"/>
  <c r="C123" i="25"/>
  <c r="C119" i="25"/>
  <c r="C117" i="25"/>
  <c r="C115" i="25"/>
  <c r="C109" i="25"/>
  <c r="C108" i="25"/>
  <c r="C107" i="25"/>
  <c r="C101" i="25"/>
  <c r="C95" i="25"/>
  <c r="C93" i="25"/>
  <c r="C85" i="25"/>
  <c r="C84" i="25"/>
  <c r="C83" i="25"/>
  <c r="C77" i="25"/>
  <c r="C75" i="25"/>
  <c r="C74" i="25"/>
  <c r="C71" i="25"/>
  <c r="C69" i="25"/>
  <c r="C66" i="25"/>
  <c r="C61" i="25"/>
  <c r="C60" i="25"/>
  <c r="C58" i="25"/>
  <c r="C53" i="25"/>
  <c r="C51" i="25"/>
  <c r="C50" i="25"/>
  <c r="C49" i="25"/>
  <c r="C45" i="25"/>
  <c r="C43" i="25"/>
  <c r="C42" i="25"/>
  <c r="C41" i="25"/>
  <c r="C39" i="25"/>
  <c r="C37" i="25"/>
  <c r="C34" i="25"/>
  <c r="C33" i="25"/>
  <c r="C29" i="25"/>
  <c r="C28" i="25"/>
  <c r="C27" i="25"/>
  <c r="C26" i="25"/>
  <c r="C25" i="25"/>
  <c r="C21" i="25"/>
  <c r="C19" i="25"/>
  <c r="C18" i="25"/>
  <c r="C17" i="25"/>
  <c r="C13" i="25"/>
  <c r="C11" i="25"/>
  <c r="C10" i="25"/>
  <c r="C9" i="25"/>
  <c r="C7" i="25"/>
  <c r="AC9" i="19"/>
  <c r="AC10" i="19"/>
  <c r="AC11" i="19"/>
  <c r="AC12" i="19"/>
  <c r="AC13" i="19"/>
  <c r="AC14" i="19"/>
  <c r="AC15" i="19"/>
  <c r="AC16" i="19"/>
  <c r="AC17" i="19"/>
  <c r="AC18" i="19"/>
  <c r="AC19" i="19"/>
  <c r="AC8" i="19"/>
  <c r="AC15" i="16"/>
  <c r="AC16" i="16"/>
  <c r="AC17" i="16"/>
  <c r="AC19" i="18"/>
  <c r="AC18" i="18"/>
  <c r="AC17" i="18"/>
  <c r="AC16" i="18"/>
  <c r="AC15" i="18"/>
  <c r="AC14" i="18"/>
  <c r="AC13" i="18"/>
  <c r="AC12" i="18"/>
  <c r="AC11" i="18"/>
  <c r="AC10" i="18"/>
  <c r="AC9" i="18"/>
  <c r="AC8" i="18"/>
  <c r="AC19" i="17"/>
  <c r="AC18" i="17"/>
  <c r="AC17" i="17"/>
  <c r="AC16" i="17"/>
  <c r="AC15" i="17"/>
  <c r="AC14" i="17"/>
  <c r="AC13" i="17"/>
  <c r="AC12" i="17"/>
  <c r="AC11" i="17"/>
  <c r="AC10" i="17"/>
  <c r="AC9" i="17"/>
  <c r="AC8" i="17"/>
  <c r="AC19" i="16"/>
  <c r="AC18" i="16"/>
  <c r="AC14" i="16"/>
  <c r="AC13" i="16"/>
  <c r="AC12" i="16"/>
  <c r="AC11" i="16"/>
  <c r="AC10" i="16"/>
  <c r="AC9" i="16"/>
  <c r="AC8" i="16"/>
  <c r="AC9" i="15"/>
  <c r="AC10" i="15"/>
  <c r="AC11" i="15"/>
  <c r="AC12" i="15"/>
  <c r="AC13" i="15"/>
  <c r="AC14" i="15"/>
  <c r="AC15" i="15"/>
  <c r="AC16" i="15"/>
  <c r="AC17" i="15"/>
  <c r="AC18" i="15"/>
  <c r="AC19" i="15"/>
  <c r="AC8" i="15"/>
  <c r="AC20" i="15" l="1"/>
  <c r="AC20" i="18"/>
  <c r="AC20" i="17"/>
  <c r="AC20" i="19"/>
  <c r="AC20" i="16"/>
</calcChain>
</file>

<file path=xl/sharedStrings.xml><?xml version="1.0" encoding="utf-8"?>
<sst xmlns="http://schemas.openxmlformats.org/spreadsheetml/2006/main" count="623" uniqueCount="116">
  <si>
    <t>CANTIDADES PRODUCTO 1</t>
  </si>
  <si>
    <t>CURVA HORARIA TODOS LOS TIPOS DE DÍA</t>
  </si>
  <si>
    <t>CANTIDADES EXPRESADAS EN kWh</t>
  </si>
  <si>
    <t>AÑO</t>
  </si>
  <si>
    <t>MES</t>
  </si>
  <si>
    <t>OFERTA DE CANTIDADES Y PRECIOS PRODUCTO 1</t>
  </si>
  <si>
    <t>OFERTA COMO PORCENTAJE DE LA CURVA DE CARGA PRODUCTO 1</t>
  </si>
  <si>
    <t>Nota: 
El % ofrecido se distribuirá a prorrata de la curva de carga horaria, para todos los meses, según las cantidades indicadas en "Cantidades producto 1"</t>
  </si>
  <si>
    <t>OFERENTE:</t>
  </si>
  <si>
    <t>MODALIDAD:</t>
  </si>
  <si>
    <t>PAGUE  LO  CONTRATADO</t>
  </si>
  <si>
    <t>INDICAR SI PERMITIRÁ ADJUDICACIÓN PARCIAL: SI__  NO__</t>
  </si>
  <si>
    <t>CANTIDAD OFERTADA
% CURVA DE CARGA</t>
  </si>
  <si>
    <t>PRECIO OFERTADO ($/kWh)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</si>
  <si>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</si>
  <si>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</si>
  <si>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</si>
  <si>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</si>
  <si>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</si>
  <si>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</si>
  <si>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</si>
  <si>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</si>
  <si>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</si>
  <si>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</si>
  <si>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</si>
  <si>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</si>
  <si>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</si>
  <si>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TOTAL</t>
  </si>
  <si>
    <t>Cantidad 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</si>
  <si>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</si>
  <si>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</si>
  <si>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</si>
  <si>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</si>
  <si>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</si>
  <si>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</si>
  <si>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</si>
  <si>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</si>
  <si>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</si>
  <si>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</si>
  <si>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</si>
  <si>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</si>
  <si>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</si>
  <si>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</si>
  <si>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</si>
  <si>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</si>
  <si>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</si>
  <si>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</si>
  <si>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</si>
  <si>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</si>
  <si>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</si>
  <si>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</si>
  <si>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</si>
  <si>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</si>
  <si>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Año</t>
  </si>
  <si>
    <t>Tipo Día</t>
  </si>
  <si>
    <t>Total kWh-mes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</si>
  <si>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</si>
  <si>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</si>
  <si>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</si>
  <si>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</si>
  <si>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</si>
  <si>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</si>
  <si>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</si>
  <si>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</si>
  <si>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</si>
  <si>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</si>
  <si>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</si>
  <si>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</si>
  <si>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</t>
  </si>
  <si>
    <t>OFERTA DE CANTIDADES Y PRECIOS PRODUCTO 2</t>
  </si>
  <si>
    <t>OFERTA COMO PORCENTAJE DE LA CURVA DE CARGA PRODUCTO 3</t>
  </si>
  <si>
    <t>OFERTA DE CANTIDADES Y PRECIOS PRODUCTO 3</t>
  </si>
  <si>
    <t>OFERTA COMO PORCENTAJE DE LA CURVA DE CARGA PRODUCTO 2</t>
  </si>
  <si>
    <t>OFERTA DE CANTIDADES Y PRECIOS PRODUCTO 4</t>
  </si>
  <si>
    <t>OFERTA COMO PORCENTAJE DE LA CURVA DE CARGA PRODUCTO 4</t>
  </si>
  <si>
    <t>OFERTA DE CANTIDADES Y PRECIOS PRODUCTO 5</t>
  </si>
  <si>
    <t>OFERTA COMO PORCENTAJE DE LA CURVA DE CARGA PRODUCTO 5</t>
  </si>
  <si>
    <t>CANTIDADES PRODUCTO 2</t>
  </si>
  <si>
    <t>CANTIDADES PRODUCTO 3</t>
  </si>
  <si>
    <t>CANTIDADES PRODUCTO 4</t>
  </si>
  <si>
    <t>CANTIDADES PRODUCTO 5</t>
  </si>
  <si>
    <t>TOTAL MES kWh</t>
  </si>
  <si>
    <t># DÍAS</t>
  </si>
  <si>
    <t>HORA1</t>
  </si>
  <si>
    <t>HORA2</t>
  </si>
  <si>
    <t>HORA3</t>
  </si>
  <si>
    <t>HORA4</t>
  </si>
  <si>
    <t>HORA5</t>
  </si>
  <si>
    <t>HORA6</t>
  </si>
  <si>
    <t>HORA7</t>
  </si>
  <si>
    <t>HORA8</t>
  </si>
  <si>
    <t>HORA9</t>
  </si>
  <si>
    <t>HORA10</t>
  </si>
  <si>
    <t>HORA11</t>
  </si>
  <si>
    <t>HORA12</t>
  </si>
  <si>
    <t>HORA13</t>
  </si>
  <si>
    <t>HORA14</t>
  </si>
  <si>
    <t>HORA15</t>
  </si>
  <si>
    <t>HORA16</t>
  </si>
  <si>
    <t>HORA17</t>
  </si>
  <si>
    <t>HORA18</t>
  </si>
  <si>
    <t>HORA19</t>
  </si>
  <si>
    <t>HORA20</t>
  </si>
  <si>
    <t>HORA21</t>
  </si>
  <si>
    <t>HORA22</t>
  </si>
  <si>
    <t>HORA23</t>
  </si>
  <si>
    <t>HORA24</t>
  </si>
  <si>
    <t>TOTAL kWh</t>
  </si>
  <si>
    <t>OFERTA DE CANTIDADES Y PRECIOS PRODUCTO 6</t>
  </si>
  <si>
    <t>OFERTA COMO PORCENTAJE DE LA CURVA DE CARGA PRODUCTO 6</t>
  </si>
  <si>
    <t>Nota: 
El % ofrecido se distribuirá a prorrata de la curva de carga horaria, para todos los meses, según las cantidades indicadas en "Cantidades producto 6"</t>
  </si>
  <si>
    <t>Nota: 
El % ofrecido se distribuirá a prorrata de la curva de carga horaria, para todos los meses, según las cantidades indicadas en "Cantidades producto 5"</t>
  </si>
  <si>
    <t>Nota: 
El % ofrecido se distribuirá a prorrata de la curva de carga horaria, para todos los meses, según las cantidades indicadas en "Cantidades producto 4"</t>
  </si>
  <si>
    <t>Nota: 
El % ofrecido se distribuirá a prorrata de la curva de carga horaria, para todos los meses, según las cantidades indicadas en "Cantidades producto 3"</t>
  </si>
  <si>
    <t>Nota: 
El % ofrecido se distribuirá a prorrata de la curva de carga horaria, para todos los meses, según las cantidades indicadas en "Cantidades producto 2"</t>
  </si>
  <si>
    <t>CANTIDADES PRODUCTO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</si>
</sst>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0" fillId="3" borderId="0" xfId="0" applyFill="1" applyAlignment="1">
      <alignment horizontal="left"/>
    </xf>
    <xf numFmtId="0" fontId="4" fillId="3" borderId="0" xfId="2" applyFont="1" applyFill="1" applyAlignment="1">
      <alignment vertical="center"/>
    </xf>
    <xf numFmtId="17" fontId="0" fillId="0" borderId="0" xfId="0" applyNumberFormat="1"/>
    <xf numFmtId="164" fontId="0" fillId="0" borderId="0" xfId="1" applyFont="1"/>
    <xf numFmtId="14" fontId="1" fillId="4" borderId="12" xfId="0" applyNumberFormat="1" applyFont="1" applyFill="1" applyBorder="1" applyAlignment="1">
      <alignment horizontal="center" vertical="center" wrapText="1"/>
    </xf>
    <xf numFmtId="14" fontId="1" fillId="4" borderId="13" xfId="0" applyNumberFormat="1" applyFont="1" applyFill="1" applyBorder="1" applyAlignment="1">
      <alignment horizontal="center" vertical="center" wrapText="1"/>
    </xf>
    <xf numFmtId="14" fontId="1" fillId="4" borderId="14" xfId="0" applyNumberFormat="1" applyFont="1" applyFill="1" applyBorder="1" applyAlignment="1">
      <alignment horizontal="center" vertical="center" wrapText="1"/>
    </xf>
    <xf numFmtId="164" fontId="0" fillId="0" borderId="0" xfId="1" applyFont="1" applyBorder="1" applyAlignment="1">
      <alignment horizontal="center"/>
    </xf>
    <xf numFmtId="164" fontId="6" fillId="5" borderId="6" xfId="1" applyFont="1" applyFill="1" applyBorder="1" applyAlignment="1">
      <alignment horizontal="center" vertical="center"/>
    </xf>
    <xf numFmtId="164" fontId="6" fillId="5" borderId="2" xfId="1" applyFont="1" applyFill="1" applyBorder="1" applyAlignment="1">
      <alignment horizontal="center" vertical="center"/>
    </xf>
    <xf numFmtId="164" fontId="6" fillId="5" borderId="9" xfId="1" applyFont="1" applyFill="1" applyBorder="1" applyAlignment="1">
      <alignment horizontal="center" vertical="center"/>
    </xf>
    <xf numFmtId="164" fontId="1" fillId="5" borderId="10" xfId="1" applyFont="1" applyFill="1" applyBorder="1" applyAlignment="1">
      <alignment horizontal="center"/>
    </xf>
    <xf numFmtId="164" fontId="1" fillId="5" borderId="11" xfId="1" applyFont="1" applyFill="1" applyBorder="1" applyAlignment="1">
      <alignment horizontal="center"/>
    </xf>
    <xf numFmtId="1" fontId="0" fillId="0" borderId="0" xfId="0" applyNumberFormat="1"/>
    <xf numFmtId="1" fontId="6" fillId="5" borderId="9" xfId="1" applyNumberFormat="1" applyFont="1" applyFill="1" applyBorder="1" applyAlignment="1">
      <alignment horizontal="center" vertical="center"/>
    </xf>
    <xf numFmtId="1" fontId="0" fillId="0" borderId="10" xfId="1" applyNumberFormat="1" applyFont="1" applyBorder="1" applyAlignment="1">
      <alignment horizontal="center"/>
    </xf>
    <xf numFmtId="1" fontId="0" fillId="0" borderId="11" xfId="1" applyNumberFormat="1" applyFont="1" applyBorder="1" applyAlignment="1">
      <alignment horizontal="center"/>
    </xf>
    <xf numFmtId="14" fontId="1" fillId="2" borderId="15" xfId="0" applyNumberFormat="1" applyFont="1" applyFill="1" applyBorder="1" applyAlignment="1">
      <alignment vertical="center"/>
    </xf>
    <xf numFmtId="14" fontId="1" fillId="4" borderId="15" xfId="0" applyNumberFormat="1" applyFont="1" applyFill="1" applyBorder="1" applyAlignment="1">
      <alignment vertical="center"/>
    </xf>
    <xf numFmtId="14" fontId="1" fillId="4" borderId="16" xfId="0" applyNumberFormat="1" applyFont="1" applyFill="1" applyBorder="1" applyAlignment="1">
      <alignment vertical="center"/>
    </xf>
    <xf numFmtId="0" fontId="1" fillId="2" borderId="10" xfId="3" applyNumberFormat="1" applyFont="1" applyFill="1" applyBorder="1" applyAlignment="1">
      <alignment vertical="center"/>
    </xf>
    <xf numFmtId="0" fontId="1" fillId="4" borderId="10" xfId="3" applyNumberFormat="1" applyFont="1" applyFill="1" applyBorder="1" applyAlignment="1">
      <alignment vertical="center"/>
    </xf>
    <xf numFmtId="0" fontId="1" fillId="4" borderId="11" xfId="3" applyNumberFormat="1" applyFont="1" applyFill="1" applyBorder="1" applyAlignment="1">
      <alignment vertical="center"/>
    </xf>
    <xf numFmtId="164" fontId="0" fillId="0" borderId="0" xfId="1" applyFont="1" applyAlignment="1">
      <alignment horizontal="center"/>
    </xf>
    <xf numFmtId="0" fontId="0" fillId="0" borderId="0" xfId="1" applyNumberFormat="1" applyFont="1" applyBorder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0" fillId="0" borderId="5" xfId="1" applyNumberFormat="1" applyFont="1" applyBorder="1" applyAlignment="1">
      <alignment vertical="center"/>
    </xf>
    <xf numFmtId="0" fontId="0" fillId="0" borderId="5" xfId="1" applyNumberFormat="1" applyFont="1" applyBorder="1" applyAlignment="1">
      <alignment horizontal="center" vertical="center"/>
    </xf>
    <xf numFmtId="0" fontId="1" fillId="6" borderId="0" xfId="0" applyFont="1" applyFill="1"/>
    <xf numFmtId="164" fontId="1" fillId="6" borderId="0" xfId="0" applyNumberFormat="1" applyFont="1" applyFill="1"/>
    <xf numFmtId="14" fontId="1" fillId="2" borderId="19" xfId="0" applyNumberFormat="1" applyFont="1" applyFill="1" applyBorder="1" applyAlignment="1">
      <alignment vertical="center"/>
    </xf>
    <xf numFmtId="0" fontId="1" fillId="2" borderId="9" xfId="3" applyNumberFormat="1" applyFont="1" applyFill="1" applyBorder="1" applyAlignment="1">
      <alignment vertical="center"/>
    </xf>
    <xf numFmtId="0" fontId="1" fillId="2" borderId="20" xfId="3" applyNumberFormat="1" applyFont="1" applyFill="1" applyBorder="1" applyAlignment="1">
      <alignment vertical="center"/>
    </xf>
    <xf numFmtId="0" fontId="1" fillId="4" borderId="17" xfId="3" applyNumberFormat="1" applyFont="1" applyFill="1" applyBorder="1" applyAlignment="1">
      <alignment vertical="center"/>
    </xf>
    <xf numFmtId="0" fontId="1" fillId="2" borderId="17" xfId="3" applyNumberFormat="1" applyFont="1" applyFill="1" applyBorder="1" applyAlignment="1">
      <alignment vertical="center"/>
    </xf>
    <xf numFmtId="0" fontId="1" fillId="4" borderId="18" xfId="3" applyNumberFormat="1" applyFont="1" applyFill="1" applyBorder="1" applyAlignment="1">
      <alignment vertical="center"/>
    </xf>
    <xf numFmtId="164" fontId="0" fillId="0" borderId="5" xfId="1" applyFont="1" applyBorder="1" applyAlignment="1">
      <alignment horizontal="center"/>
    </xf>
    <xf numFmtId="164" fontId="0" fillId="0" borderId="6" xfId="1" applyFont="1" applyBorder="1" applyAlignment="1">
      <alignment horizontal="center"/>
    </xf>
    <xf numFmtId="164" fontId="0" fillId="0" borderId="2" xfId="1" applyFont="1" applyBorder="1" applyAlignment="1">
      <alignment horizontal="center"/>
    </xf>
    <xf numFmtId="164" fontId="0" fillId="0" borderId="9" xfId="1" applyFont="1" applyBorder="1" applyAlignment="1">
      <alignment horizontal="center"/>
    </xf>
    <xf numFmtId="164" fontId="0" fillId="0" borderId="7" xfId="1" applyFont="1" applyBorder="1" applyAlignment="1">
      <alignment horizontal="center"/>
    </xf>
    <xf numFmtId="164" fontId="0" fillId="0" borderId="10" xfId="1" applyFont="1" applyBorder="1" applyAlignment="1">
      <alignment horizontal="center"/>
    </xf>
    <xf numFmtId="164" fontId="0" fillId="0" borderId="8" xfId="1" applyFont="1" applyBorder="1" applyAlignment="1">
      <alignment horizontal="center"/>
    </xf>
    <xf numFmtId="164" fontId="0" fillId="0" borderId="11" xfId="1" applyFont="1" applyBorder="1" applyAlignment="1">
      <alignment horizontal="center"/>
    </xf>
    <xf numFmtId="14" fontId="1" fillId="4" borderId="6" xfId="0" applyNumberFormat="1" applyFont="1" applyFill="1" applyBorder="1" applyAlignment="1">
      <alignment vertical="center"/>
    </xf>
    <xf numFmtId="17" fontId="1" fillId="4" borderId="19" xfId="0" applyNumberFormat="1" applyFont="1" applyFill="1" applyBorder="1" applyAlignment="1">
      <alignment vertical="center"/>
    </xf>
    <xf numFmtId="14" fontId="1" fillId="4" borderId="19" xfId="0" applyNumberFormat="1" applyFont="1" applyFill="1" applyBorder="1" applyAlignment="1">
      <alignment vertical="center"/>
    </xf>
    <xf numFmtId="14" fontId="1" fillId="4" borderId="21" xfId="0" applyNumberFormat="1" applyFont="1" applyFill="1" applyBorder="1" applyAlignment="1">
      <alignment vertical="center"/>
    </xf>
    <xf numFmtId="164" fontId="1" fillId="4" borderId="2" xfId="1" applyFont="1" applyFill="1" applyBorder="1" applyAlignment="1">
      <alignment vertical="center"/>
    </xf>
    <xf numFmtId="164" fontId="1" fillId="4" borderId="19" xfId="1" applyFont="1" applyFill="1" applyBorder="1" applyAlignment="1">
      <alignment vertical="center"/>
    </xf>
    <xf numFmtId="164" fontId="1" fillId="4" borderId="21" xfId="1" applyFont="1" applyFill="1" applyBorder="1" applyAlignment="1">
      <alignment vertical="center"/>
    </xf>
    <xf numFmtId="17" fontId="1" fillId="2" borderId="2" xfId="0" applyNumberFormat="1" applyFont="1" applyFill="1" applyBorder="1" applyAlignment="1">
      <alignment vertical="center"/>
    </xf>
    <xf numFmtId="165" fontId="0" fillId="2" borderId="2" xfId="1" applyNumberFormat="1" applyFont="1" applyFill="1" applyBorder="1"/>
    <xf numFmtId="164" fontId="0" fillId="4" borderId="2" xfId="1" applyFont="1" applyFill="1" applyBorder="1"/>
    <xf numFmtId="165" fontId="0" fillId="2" borderId="0" xfId="1" applyNumberFormat="1" applyFont="1" applyFill="1" applyBorder="1"/>
    <xf numFmtId="164" fontId="0" fillId="4" borderId="0" xfId="1" applyFont="1" applyFill="1" applyBorder="1"/>
    <xf numFmtId="165" fontId="0" fillId="2" borderId="5" xfId="1" applyNumberFormat="1" applyFont="1" applyFill="1" applyBorder="1"/>
    <xf numFmtId="164" fontId="0" fillId="4" borderId="5" xfId="1" applyFont="1" applyFill="1" applyBorder="1"/>
    <xf numFmtId="165" fontId="6" fillId="2" borderId="11" xfId="1" applyNumberFormat="1" applyFont="1" applyFill="1" applyBorder="1"/>
    <xf numFmtId="164" fontId="0" fillId="4" borderId="9" xfId="1" applyFont="1" applyFill="1" applyBorder="1"/>
    <xf numFmtId="164" fontId="0" fillId="4" borderId="10" xfId="1" applyFont="1" applyFill="1" applyBorder="1"/>
    <xf numFmtId="164" fontId="0" fillId="4" borderId="11" xfId="1" applyFont="1" applyFill="1" applyBorder="1"/>
    <xf numFmtId="0" fontId="0" fillId="0" borderId="7" xfId="1" applyNumberFormat="1" applyFont="1" applyBorder="1" applyAlignment="1">
      <alignment horizontal="center" vertical="center"/>
    </xf>
    <xf numFmtId="0" fontId="0" fillId="0" borderId="8" xfId="1" applyNumberFormat="1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3" borderId="0" xfId="2" applyFont="1" applyFill="1" applyAlignment="1">
      <alignment horizontal="left" vertical="center"/>
    </xf>
    <xf numFmtId="0" fontId="4" fillId="3" borderId="0" xfId="2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" fontId="1" fillId="2" borderId="0" xfId="0" applyNumberFormat="1" applyFont="1" applyFill="1" applyBorder="1" applyAlignment="1">
      <alignment vertical="center"/>
    </xf>
    <xf numFmtId="17" fontId="1" fillId="2" borderId="5" xfId="0" applyNumberFormat="1" applyFont="1" applyFill="1" applyBorder="1" applyAlignment="1">
      <alignment vertical="center"/>
    </xf>
    <xf numFmtId="0" fontId="1" fillId="2" borderId="20" xfId="3" applyNumberFormat="1" applyFont="1" applyFill="1" applyBorder="1" applyAlignment="1">
      <alignment horizontal="center" vertical="center"/>
    </xf>
    <xf numFmtId="0" fontId="1" fillId="2" borderId="17" xfId="3" applyNumberFormat="1" applyFont="1" applyFill="1" applyBorder="1" applyAlignment="1">
      <alignment horizontal="center" vertical="center"/>
    </xf>
    <xf numFmtId="0" fontId="1" fillId="2" borderId="18" xfId="3" applyNumberFormat="1" applyFont="1" applyFill="1" applyBorder="1" applyAlignment="1">
      <alignment horizontal="center" vertical="center"/>
    </xf>
  </cellXfs>
  <cellStyles count="6">
    <cellStyle name="Millares" xfId="1" builtinId="3"/>
    <cellStyle name="Millares 2" xfId="4" xr:uid="{6813DCC1-D8F2-41B0-BFCC-03B435647573}"/>
    <cellStyle name="Millares 3" xfId="5" xr:uid="{819F5A31-A9F9-4C79-B123-11DF30049A31}"/>
    <cellStyle name="Normal" xfId="0" builtinId="0"/>
    <cellStyle name="Normal_GC00-001" xfId="2" xr:uid="{1C80BBF4-9491-43BE-9F3C-2090359F4A87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Verde amarillo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843D-A075-436B-B413-1561E742A5DD}">
  <dimension ref="A1:AC20"/>
  <sheetViews>
    <sheetView tabSelected="1" zoomScale="55" zoomScaleNormal="55" workbookViewId="0">
      <selection activeCell="D22" sqref="D22"/>
    </sheetView>
  </sheetViews>
  <sheetFormatPr baseColWidth="10" defaultColWidth="9.1796875" defaultRowHeight="14.5" x14ac:dyDescent="0.35"/>
  <cols>
    <col min="1" max="1" width="13.81640625" customWidth="1"/>
    <col min="2" max="2" width="11.453125" bestFit="1" customWidth="1"/>
    <col min="3" max="3" width="18.81640625" bestFit="1" customWidth="1"/>
    <col min="4" max="4" width="15" bestFit="1" customWidth="1"/>
    <col min="5" max="14" width="13.453125" bestFit="1" customWidth="1"/>
    <col min="15" max="18" width="14.1796875" bestFit="1" customWidth="1"/>
    <col min="19" max="28" width="13.453125" bestFit="1" customWidth="1"/>
    <col min="29" max="29" width="27.1796875" bestFit="1" customWidth="1"/>
  </cols>
  <sheetData>
    <row r="1" spans="1:29" x14ac:dyDescent="0.35">
      <c r="A1" s="1" t="s">
        <v>0</v>
      </c>
      <c r="B1" s="4"/>
      <c r="D1" s="1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5"/>
    </row>
    <row r="2" spans="1:29" x14ac:dyDescent="0.35">
      <c r="A2" t="s">
        <v>1</v>
      </c>
      <c r="B2" s="4"/>
      <c r="D2" s="1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25"/>
    </row>
    <row r="3" spans="1:29" x14ac:dyDescent="0.35">
      <c r="A3" t="s">
        <v>2</v>
      </c>
      <c r="B3" s="4"/>
      <c r="D3" s="1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5"/>
    </row>
    <row r="4" spans="1:29" x14ac:dyDescent="0.35">
      <c r="D4" s="15"/>
      <c r="AC4" s="25"/>
    </row>
    <row r="5" spans="1:29" x14ac:dyDescent="0.35">
      <c r="D5" s="15"/>
      <c r="AC5" s="25"/>
    </row>
    <row r="6" spans="1:29" ht="15" thickBot="1" x14ac:dyDescent="0.4">
      <c r="D6" s="15"/>
      <c r="AC6" s="25"/>
    </row>
    <row r="7" spans="1:29" ht="29.5" customHeight="1" x14ac:dyDescent="0.35">
      <c r="A7" s="10" t="s">
        <v>53</v>
      </c>
      <c r="B7" s="11" t="s">
        <v>26</v>
      </c>
      <c r="C7" s="11" t="s">
        <v>54</v>
      </c>
      <c r="D7" s="16" t="s">
        <v>28</v>
      </c>
      <c r="E7" s="11" t="s">
        <v>29</v>
      </c>
      <c r="F7" s="11" t="s">
        <v>30</v>
      </c>
      <c r="G7" s="11" t="s">
        <v>31</v>
      </c>
      <c r="H7" s="11" t="s">
        <v>32</v>
      </c>
      <c r="I7" s="11" t="s">
        <v>33</v>
      </c>
      <c r="J7" s="11" t="s">
        <v>34</v>
      </c>
      <c r="K7" s="11" t="s">
        <v>35</v>
      </c>
      <c r="L7" s="11" t="s">
        <v>36</v>
      </c>
      <c r="M7" s="11" t="s">
        <v>37</v>
      </c>
      <c r="N7" s="11" t="s">
        <v>38</v>
      </c>
      <c r="O7" s="11" t="s">
        <v>39</v>
      </c>
      <c r="P7" s="11" t="s">
        <v>40</v>
      </c>
      <c r="Q7" s="11" t="s">
        <v>41</v>
      </c>
      <c r="R7" s="11" t="s">
        <v>42</v>
      </c>
      <c r="S7" s="11" t="s">
        <v>43</v>
      </c>
      <c r="T7" s="11" t="s">
        <v>44</v>
      </c>
      <c r="U7" s="11" t="s">
        <v>45</v>
      </c>
      <c r="V7" s="11" t="s">
        <v>46</v>
      </c>
      <c r="W7" s="11" t="s">
        <v>47</v>
      </c>
      <c r="X7" s="11" t="s">
        <v>48</v>
      </c>
      <c r="Y7" s="11" t="s">
        <v>49</v>
      </c>
      <c r="Z7" s="11" t="s">
        <v>50</v>
      </c>
      <c r="AA7" s="11" t="s">
        <v>51</v>
      </c>
      <c r="AB7" s="11" t="s">
        <v>52</v>
      </c>
      <c r="AC7" s="12" t="s">
        <v>55</v>
      </c>
    </row>
    <row r="8" spans="1:29" x14ac:dyDescent="0.35">
      <c r="A8" s="64">
        <v>2027</v>
      </c>
      <c r="B8" s="27" t="s">
        <v>56</v>
      </c>
      <c r="C8" s="26" t="s">
        <v>68</v>
      </c>
      <c r="D8" s="17">
        <v>31</v>
      </c>
      <c r="E8" s="9">
        <v>13440</v>
      </c>
      <c r="F8" s="9">
        <v>13440</v>
      </c>
      <c r="G8" s="9">
        <v>13440</v>
      </c>
      <c r="H8" s="9">
        <v>13440</v>
      </c>
      <c r="I8" s="9">
        <v>13440</v>
      </c>
      <c r="J8" s="9">
        <v>13440</v>
      </c>
      <c r="K8" s="9">
        <v>13440</v>
      </c>
      <c r="L8" s="9">
        <v>13440</v>
      </c>
      <c r="M8" s="9">
        <v>13440</v>
      </c>
      <c r="N8" s="9">
        <v>13440</v>
      </c>
      <c r="O8" s="9">
        <v>13440</v>
      </c>
      <c r="P8" s="9">
        <v>13440</v>
      </c>
      <c r="Q8" s="9">
        <v>13440</v>
      </c>
      <c r="R8" s="9">
        <v>13440</v>
      </c>
      <c r="S8" s="9">
        <v>13440</v>
      </c>
      <c r="T8" s="9">
        <v>13440</v>
      </c>
      <c r="U8" s="9">
        <v>13440</v>
      </c>
      <c r="V8" s="9">
        <v>13440</v>
      </c>
      <c r="W8" s="9">
        <v>13440</v>
      </c>
      <c r="X8" s="9">
        <v>13440</v>
      </c>
      <c r="Y8" s="9">
        <v>13440</v>
      </c>
      <c r="Z8" s="9">
        <v>13440</v>
      </c>
      <c r="AA8" s="9">
        <v>13440</v>
      </c>
      <c r="AB8" s="9">
        <v>13440</v>
      </c>
      <c r="AC8" s="13">
        <f>SUM(E8:AB8)*D8</f>
        <v>9999360</v>
      </c>
    </row>
    <row r="9" spans="1:29" x14ac:dyDescent="0.35">
      <c r="A9" s="64"/>
      <c r="B9" s="27" t="s">
        <v>57</v>
      </c>
      <c r="C9" s="26" t="s">
        <v>68</v>
      </c>
      <c r="D9" s="17">
        <v>28</v>
      </c>
      <c r="E9" s="9">
        <v>13440</v>
      </c>
      <c r="F9" s="9">
        <v>13440</v>
      </c>
      <c r="G9" s="9">
        <v>13440</v>
      </c>
      <c r="H9" s="9">
        <v>13440</v>
      </c>
      <c r="I9" s="9">
        <v>13440</v>
      </c>
      <c r="J9" s="9">
        <v>13440</v>
      </c>
      <c r="K9" s="9">
        <v>13440</v>
      </c>
      <c r="L9" s="9">
        <v>13440</v>
      </c>
      <c r="M9" s="9">
        <v>13440</v>
      </c>
      <c r="N9" s="9">
        <v>13440</v>
      </c>
      <c r="O9" s="9">
        <v>13440</v>
      </c>
      <c r="P9" s="9">
        <v>13440</v>
      </c>
      <c r="Q9" s="9">
        <v>13440</v>
      </c>
      <c r="R9" s="9">
        <v>13440</v>
      </c>
      <c r="S9" s="9">
        <v>13440</v>
      </c>
      <c r="T9" s="9">
        <v>13440</v>
      </c>
      <c r="U9" s="9">
        <v>13440</v>
      </c>
      <c r="V9" s="9">
        <v>13440</v>
      </c>
      <c r="W9" s="9">
        <v>13440</v>
      </c>
      <c r="X9" s="9">
        <v>13440</v>
      </c>
      <c r="Y9" s="9">
        <v>13440</v>
      </c>
      <c r="Z9" s="9">
        <v>13440</v>
      </c>
      <c r="AA9" s="9">
        <v>13440</v>
      </c>
      <c r="AB9" s="9">
        <v>13440</v>
      </c>
      <c r="AC9" s="13">
        <f t="shared" ref="AC9:AC19" si="0">SUM(E9:AB9)*D9</f>
        <v>9031680</v>
      </c>
    </row>
    <row r="10" spans="1:29" x14ac:dyDescent="0.35">
      <c r="A10" s="64"/>
      <c r="B10" s="27" t="s">
        <v>58</v>
      </c>
      <c r="C10" s="26" t="s">
        <v>68</v>
      </c>
      <c r="D10" s="17">
        <v>31</v>
      </c>
      <c r="E10" s="9">
        <v>13440</v>
      </c>
      <c r="F10" s="9">
        <v>13440</v>
      </c>
      <c r="G10" s="9">
        <v>13440</v>
      </c>
      <c r="H10" s="9">
        <v>13440</v>
      </c>
      <c r="I10" s="9">
        <v>13440</v>
      </c>
      <c r="J10" s="9">
        <v>13440</v>
      </c>
      <c r="K10" s="9">
        <v>13440</v>
      </c>
      <c r="L10" s="9">
        <v>13440</v>
      </c>
      <c r="M10" s="9">
        <v>13440</v>
      </c>
      <c r="N10" s="9">
        <v>13440</v>
      </c>
      <c r="O10" s="9">
        <v>13440</v>
      </c>
      <c r="P10" s="9">
        <v>13440</v>
      </c>
      <c r="Q10" s="9">
        <v>13440</v>
      </c>
      <c r="R10" s="9">
        <v>13440</v>
      </c>
      <c r="S10" s="9">
        <v>13440</v>
      </c>
      <c r="T10" s="9">
        <v>13440</v>
      </c>
      <c r="U10" s="9">
        <v>13440</v>
      </c>
      <c r="V10" s="9">
        <v>13440</v>
      </c>
      <c r="W10" s="9">
        <v>13440</v>
      </c>
      <c r="X10" s="9">
        <v>13440</v>
      </c>
      <c r="Y10" s="9">
        <v>13440</v>
      </c>
      <c r="Z10" s="9">
        <v>13440</v>
      </c>
      <c r="AA10" s="9">
        <v>13440</v>
      </c>
      <c r="AB10" s="9">
        <v>13440</v>
      </c>
      <c r="AC10" s="13">
        <f t="shared" si="0"/>
        <v>9999360</v>
      </c>
    </row>
    <row r="11" spans="1:29" x14ac:dyDescent="0.35">
      <c r="A11" s="64"/>
      <c r="B11" s="27" t="s">
        <v>59</v>
      </c>
      <c r="C11" s="26" t="s">
        <v>68</v>
      </c>
      <c r="D11" s="17">
        <v>30</v>
      </c>
      <c r="E11" s="9">
        <v>13440</v>
      </c>
      <c r="F11" s="9">
        <v>13440</v>
      </c>
      <c r="G11" s="9">
        <v>13440</v>
      </c>
      <c r="H11" s="9">
        <v>13440</v>
      </c>
      <c r="I11" s="9">
        <v>13440</v>
      </c>
      <c r="J11" s="9">
        <v>13440</v>
      </c>
      <c r="K11" s="9">
        <v>13440</v>
      </c>
      <c r="L11" s="9">
        <v>13440</v>
      </c>
      <c r="M11" s="9">
        <v>13440</v>
      </c>
      <c r="N11" s="9">
        <v>13440</v>
      </c>
      <c r="O11" s="9">
        <v>13440</v>
      </c>
      <c r="P11" s="9">
        <v>13440</v>
      </c>
      <c r="Q11" s="9">
        <v>13440</v>
      </c>
      <c r="R11" s="9">
        <v>13440</v>
      </c>
      <c r="S11" s="9">
        <v>13440</v>
      </c>
      <c r="T11" s="9">
        <v>13440</v>
      </c>
      <c r="U11" s="9">
        <v>13440</v>
      </c>
      <c r="V11" s="9">
        <v>13440</v>
      </c>
      <c r="W11" s="9">
        <v>13440</v>
      </c>
      <c r="X11" s="9">
        <v>13440</v>
      </c>
      <c r="Y11" s="9">
        <v>13440</v>
      </c>
      <c r="Z11" s="9">
        <v>13440</v>
      </c>
      <c r="AA11" s="9">
        <v>13440</v>
      </c>
      <c r="AB11" s="9">
        <v>13440</v>
      </c>
      <c r="AC11" s="13">
        <f t="shared" si="0"/>
        <v>9676800</v>
      </c>
    </row>
    <row r="12" spans="1:29" x14ac:dyDescent="0.35">
      <c r="A12" s="64"/>
      <c r="B12" s="27" t="s">
        <v>60</v>
      </c>
      <c r="C12" s="26" t="s">
        <v>68</v>
      </c>
      <c r="D12" s="17">
        <v>31</v>
      </c>
      <c r="E12" s="9">
        <v>13440</v>
      </c>
      <c r="F12" s="9">
        <v>13440</v>
      </c>
      <c r="G12" s="9">
        <v>13440</v>
      </c>
      <c r="H12" s="9">
        <v>13440</v>
      </c>
      <c r="I12" s="9">
        <v>13440</v>
      </c>
      <c r="J12" s="9">
        <v>13440</v>
      </c>
      <c r="K12" s="9">
        <v>13440</v>
      </c>
      <c r="L12" s="9">
        <v>13440</v>
      </c>
      <c r="M12" s="9">
        <v>13440</v>
      </c>
      <c r="N12" s="9">
        <v>13440</v>
      </c>
      <c r="O12" s="9">
        <v>13440</v>
      </c>
      <c r="P12" s="9">
        <v>13440</v>
      </c>
      <c r="Q12" s="9">
        <v>13440</v>
      </c>
      <c r="R12" s="9">
        <v>13440</v>
      </c>
      <c r="S12" s="9">
        <v>13440</v>
      </c>
      <c r="T12" s="9">
        <v>13440</v>
      </c>
      <c r="U12" s="9">
        <v>13440</v>
      </c>
      <c r="V12" s="9">
        <v>13440</v>
      </c>
      <c r="W12" s="9">
        <v>13440</v>
      </c>
      <c r="X12" s="9">
        <v>13440</v>
      </c>
      <c r="Y12" s="9">
        <v>13440</v>
      </c>
      <c r="Z12" s="9">
        <v>13440</v>
      </c>
      <c r="AA12" s="9">
        <v>13440</v>
      </c>
      <c r="AB12" s="9">
        <v>13440</v>
      </c>
      <c r="AC12" s="13">
        <f t="shared" si="0"/>
        <v>9999360</v>
      </c>
    </row>
    <row r="13" spans="1:29" x14ac:dyDescent="0.35">
      <c r="A13" s="64"/>
      <c r="B13" s="27" t="s">
        <v>61</v>
      </c>
      <c r="C13" s="26" t="s">
        <v>68</v>
      </c>
      <c r="D13" s="17">
        <v>30</v>
      </c>
      <c r="E13" s="9">
        <v>13440</v>
      </c>
      <c r="F13" s="9">
        <v>13440</v>
      </c>
      <c r="G13" s="9">
        <v>13440</v>
      </c>
      <c r="H13" s="9">
        <v>13440</v>
      </c>
      <c r="I13" s="9">
        <v>13440</v>
      </c>
      <c r="J13" s="9">
        <v>13440</v>
      </c>
      <c r="K13" s="9">
        <v>13440</v>
      </c>
      <c r="L13" s="9">
        <v>13440</v>
      </c>
      <c r="M13" s="9">
        <v>13440</v>
      </c>
      <c r="N13" s="9">
        <v>13440</v>
      </c>
      <c r="O13" s="9">
        <v>13440</v>
      </c>
      <c r="P13" s="9">
        <v>13440</v>
      </c>
      <c r="Q13" s="9">
        <v>13440</v>
      </c>
      <c r="R13" s="9">
        <v>13440</v>
      </c>
      <c r="S13" s="9">
        <v>13440</v>
      </c>
      <c r="T13" s="9">
        <v>13440</v>
      </c>
      <c r="U13" s="9">
        <v>13440</v>
      </c>
      <c r="V13" s="9">
        <v>13440</v>
      </c>
      <c r="W13" s="9">
        <v>13440</v>
      </c>
      <c r="X13" s="9">
        <v>13440</v>
      </c>
      <c r="Y13" s="9">
        <v>13440</v>
      </c>
      <c r="Z13" s="9">
        <v>13440</v>
      </c>
      <c r="AA13" s="9">
        <v>13440</v>
      </c>
      <c r="AB13" s="9">
        <v>13440</v>
      </c>
      <c r="AC13" s="13">
        <f t="shared" si="0"/>
        <v>9676800</v>
      </c>
    </row>
    <row r="14" spans="1:29" x14ac:dyDescent="0.35">
      <c r="A14" s="64"/>
      <c r="B14" s="27" t="s">
        <v>62</v>
      </c>
      <c r="C14" s="26" t="s">
        <v>68</v>
      </c>
      <c r="D14" s="17">
        <v>31</v>
      </c>
      <c r="E14" s="9">
        <v>13440</v>
      </c>
      <c r="F14" s="9">
        <v>13440</v>
      </c>
      <c r="G14" s="9">
        <v>13440</v>
      </c>
      <c r="H14" s="9">
        <v>13440</v>
      </c>
      <c r="I14" s="9">
        <v>13440</v>
      </c>
      <c r="J14" s="9">
        <v>13440</v>
      </c>
      <c r="K14" s="9">
        <v>13440</v>
      </c>
      <c r="L14" s="9">
        <v>13440</v>
      </c>
      <c r="M14" s="9">
        <v>13440</v>
      </c>
      <c r="N14" s="9">
        <v>13440</v>
      </c>
      <c r="O14" s="9">
        <v>13440</v>
      </c>
      <c r="P14" s="9">
        <v>13440</v>
      </c>
      <c r="Q14" s="9">
        <v>13440</v>
      </c>
      <c r="R14" s="9">
        <v>13440</v>
      </c>
      <c r="S14" s="9">
        <v>13440</v>
      </c>
      <c r="T14" s="9">
        <v>13440</v>
      </c>
      <c r="U14" s="9">
        <v>13440</v>
      </c>
      <c r="V14" s="9">
        <v>13440</v>
      </c>
      <c r="W14" s="9">
        <v>13440</v>
      </c>
      <c r="X14" s="9">
        <v>13440</v>
      </c>
      <c r="Y14" s="9">
        <v>13440</v>
      </c>
      <c r="Z14" s="9">
        <v>13440</v>
      </c>
      <c r="AA14" s="9">
        <v>13440</v>
      </c>
      <c r="AB14" s="9">
        <v>13440</v>
      </c>
      <c r="AC14" s="13">
        <f t="shared" si="0"/>
        <v>9999360</v>
      </c>
    </row>
    <row r="15" spans="1:29" x14ac:dyDescent="0.35">
      <c r="A15" s="64"/>
      <c r="B15" s="27" t="s">
        <v>63</v>
      </c>
      <c r="C15" s="26" t="s">
        <v>68</v>
      </c>
      <c r="D15" s="17">
        <v>31</v>
      </c>
      <c r="E15" s="9">
        <v>13440</v>
      </c>
      <c r="F15" s="9">
        <v>13440</v>
      </c>
      <c r="G15" s="9">
        <v>13440</v>
      </c>
      <c r="H15" s="9">
        <v>13440</v>
      </c>
      <c r="I15" s="9">
        <v>13440</v>
      </c>
      <c r="J15" s="9">
        <v>13440</v>
      </c>
      <c r="K15" s="9">
        <v>13440</v>
      </c>
      <c r="L15" s="9">
        <v>13440</v>
      </c>
      <c r="M15" s="9">
        <v>13440</v>
      </c>
      <c r="N15" s="9">
        <v>13440</v>
      </c>
      <c r="O15" s="9">
        <v>13440</v>
      </c>
      <c r="P15" s="9">
        <v>13440</v>
      </c>
      <c r="Q15" s="9">
        <v>13440</v>
      </c>
      <c r="R15" s="9">
        <v>13440</v>
      </c>
      <c r="S15" s="9">
        <v>13440</v>
      </c>
      <c r="T15" s="9">
        <v>13440</v>
      </c>
      <c r="U15" s="9">
        <v>13440</v>
      </c>
      <c r="V15" s="9">
        <v>13440</v>
      </c>
      <c r="W15" s="9">
        <v>13440</v>
      </c>
      <c r="X15" s="9">
        <v>13440</v>
      </c>
      <c r="Y15" s="9">
        <v>13440</v>
      </c>
      <c r="Z15" s="9">
        <v>13440</v>
      </c>
      <c r="AA15" s="9">
        <v>13440</v>
      </c>
      <c r="AB15" s="9">
        <v>13440</v>
      </c>
      <c r="AC15" s="13">
        <f t="shared" si="0"/>
        <v>9999360</v>
      </c>
    </row>
    <row r="16" spans="1:29" x14ac:dyDescent="0.35">
      <c r="A16" s="64"/>
      <c r="B16" s="27" t="s">
        <v>64</v>
      </c>
      <c r="C16" s="26" t="s">
        <v>68</v>
      </c>
      <c r="D16" s="17">
        <v>30</v>
      </c>
      <c r="E16" s="9">
        <v>13440</v>
      </c>
      <c r="F16" s="9">
        <v>13440</v>
      </c>
      <c r="G16" s="9">
        <v>13440</v>
      </c>
      <c r="H16" s="9">
        <v>13440</v>
      </c>
      <c r="I16" s="9">
        <v>13440</v>
      </c>
      <c r="J16" s="9">
        <v>13440</v>
      </c>
      <c r="K16" s="9">
        <v>13440</v>
      </c>
      <c r="L16" s="9">
        <v>13440</v>
      </c>
      <c r="M16" s="9">
        <v>13440</v>
      </c>
      <c r="N16" s="9">
        <v>13440</v>
      </c>
      <c r="O16" s="9">
        <v>13440</v>
      </c>
      <c r="P16" s="9">
        <v>13440</v>
      </c>
      <c r="Q16" s="9">
        <v>13440</v>
      </c>
      <c r="R16" s="9">
        <v>13440</v>
      </c>
      <c r="S16" s="9">
        <v>13440</v>
      </c>
      <c r="T16" s="9">
        <v>13440</v>
      </c>
      <c r="U16" s="9">
        <v>13440</v>
      </c>
      <c r="V16" s="9">
        <v>13440</v>
      </c>
      <c r="W16" s="9">
        <v>13440</v>
      </c>
      <c r="X16" s="9">
        <v>13440</v>
      </c>
      <c r="Y16" s="9">
        <v>13440</v>
      </c>
      <c r="Z16" s="9">
        <v>13440</v>
      </c>
      <c r="AA16" s="9">
        <v>13440</v>
      </c>
      <c r="AB16" s="9">
        <v>13440</v>
      </c>
      <c r="AC16" s="13">
        <f t="shared" si="0"/>
        <v>9676800</v>
      </c>
    </row>
    <row r="17" spans="1:29" x14ac:dyDescent="0.35">
      <c r="A17" s="64"/>
      <c r="B17" s="27" t="s">
        <v>65</v>
      </c>
      <c r="C17" s="26" t="s">
        <v>68</v>
      </c>
      <c r="D17" s="17">
        <v>31</v>
      </c>
      <c r="E17" s="9">
        <v>13440</v>
      </c>
      <c r="F17" s="9">
        <v>13440</v>
      </c>
      <c r="G17" s="9">
        <v>13440</v>
      </c>
      <c r="H17" s="9">
        <v>13440</v>
      </c>
      <c r="I17" s="9">
        <v>13440</v>
      </c>
      <c r="J17" s="9">
        <v>13440</v>
      </c>
      <c r="K17" s="9">
        <v>13440</v>
      </c>
      <c r="L17" s="9">
        <v>13440</v>
      </c>
      <c r="M17" s="9">
        <v>13440</v>
      </c>
      <c r="N17" s="9">
        <v>13440</v>
      </c>
      <c r="O17" s="9">
        <v>13440</v>
      </c>
      <c r="P17" s="9">
        <v>13440</v>
      </c>
      <c r="Q17" s="9">
        <v>13440</v>
      </c>
      <c r="R17" s="9">
        <v>13440</v>
      </c>
      <c r="S17" s="9">
        <v>13440</v>
      </c>
      <c r="T17" s="9">
        <v>13440</v>
      </c>
      <c r="U17" s="9">
        <v>13440</v>
      </c>
      <c r="V17" s="9">
        <v>13440</v>
      </c>
      <c r="W17" s="9">
        <v>13440</v>
      </c>
      <c r="X17" s="9">
        <v>13440</v>
      </c>
      <c r="Y17" s="9">
        <v>13440</v>
      </c>
      <c r="Z17" s="9">
        <v>13440</v>
      </c>
      <c r="AA17" s="9">
        <v>13440</v>
      </c>
      <c r="AB17" s="9">
        <v>13440</v>
      </c>
      <c r="AC17" s="13">
        <f t="shared" si="0"/>
        <v>9999360</v>
      </c>
    </row>
    <row r="18" spans="1:29" x14ac:dyDescent="0.35">
      <c r="A18" s="64"/>
      <c r="B18" s="27" t="s">
        <v>66</v>
      </c>
      <c r="C18" s="26" t="s">
        <v>68</v>
      </c>
      <c r="D18" s="17">
        <v>30</v>
      </c>
      <c r="E18" s="9">
        <v>13440</v>
      </c>
      <c r="F18" s="9">
        <v>13440</v>
      </c>
      <c r="G18" s="9">
        <v>13440</v>
      </c>
      <c r="H18" s="9">
        <v>13440</v>
      </c>
      <c r="I18" s="9">
        <v>13440</v>
      </c>
      <c r="J18" s="9">
        <v>13440</v>
      </c>
      <c r="K18" s="9">
        <v>13440</v>
      </c>
      <c r="L18" s="9">
        <v>13440</v>
      </c>
      <c r="M18" s="9">
        <v>13440</v>
      </c>
      <c r="N18" s="9">
        <v>13440</v>
      </c>
      <c r="O18" s="9">
        <v>13440</v>
      </c>
      <c r="P18" s="9">
        <v>13440</v>
      </c>
      <c r="Q18" s="9">
        <v>13440</v>
      </c>
      <c r="R18" s="9">
        <v>13440</v>
      </c>
      <c r="S18" s="9">
        <v>13440</v>
      </c>
      <c r="T18" s="9">
        <v>13440</v>
      </c>
      <c r="U18" s="9">
        <v>13440</v>
      </c>
      <c r="V18" s="9">
        <v>13440</v>
      </c>
      <c r="W18" s="9">
        <v>13440</v>
      </c>
      <c r="X18" s="9">
        <v>13440</v>
      </c>
      <c r="Y18" s="9">
        <v>13440</v>
      </c>
      <c r="Z18" s="9">
        <v>13440</v>
      </c>
      <c r="AA18" s="9">
        <v>13440</v>
      </c>
      <c r="AB18" s="9">
        <v>13440</v>
      </c>
      <c r="AC18" s="13">
        <f t="shared" si="0"/>
        <v>9676800</v>
      </c>
    </row>
    <row r="19" spans="1:29" ht="15" thickBot="1" x14ac:dyDescent="0.4">
      <c r="A19" s="65"/>
      <c r="B19" s="28" t="s">
        <v>67</v>
      </c>
      <c r="C19" s="29" t="s">
        <v>68</v>
      </c>
      <c r="D19" s="18">
        <v>31</v>
      </c>
      <c r="E19" s="38">
        <v>13440</v>
      </c>
      <c r="F19" s="38">
        <v>13440</v>
      </c>
      <c r="G19" s="38">
        <v>13440</v>
      </c>
      <c r="H19" s="38">
        <v>13440</v>
      </c>
      <c r="I19" s="38">
        <v>13440</v>
      </c>
      <c r="J19" s="38">
        <v>13440</v>
      </c>
      <c r="K19" s="38">
        <v>13440</v>
      </c>
      <c r="L19" s="38">
        <v>13440</v>
      </c>
      <c r="M19" s="38">
        <v>13440</v>
      </c>
      <c r="N19" s="38">
        <v>13440</v>
      </c>
      <c r="O19" s="38">
        <v>13440</v>
      </c>
      <c r="P19" s="38">
        <v>13440</v>
      </c>
      <c r="Q19" s="38">
        <v>13440</v>
      </c>
      <c r="R19" s="38">
        <v>13440</v>
      </c>
      <c r="S19" s="38">
        <v>13440</v>
      </c>
      <c r="T19" s="38">
        <v>13440</v>
      </c>
      <c r="U19" s="38">
        <v>13440</v>
      </c>
      <c r="V19" s="38">
        <v>13440</v>
      </c>
      <c r="W19" s="38">
        <v>13440</v>
      </c>
      <c r="X19" s="38">
        <v>13440</v>
      </c>
      <c r="Y19" s="38">
        <v>13440</v>
      </c>
      <c r="Z19" s="38">
        <v>13440</v>
      </c>
      <c r="AA19" s="38">
        <v>13440</v>
      </c>
      <c r="AB19" s="38">
        <v>13440</v>
      </c>
      <c r="AC19" s="14">
        <f t="shared" si="0"/>
        <v>9999360</v>
      </c>
    </row>
    <row r="20" spans="1:29" x14ac:dyDescent="0.35">
      <c r="AB20" s="30" t="s">
        <v>27</v>
      </c>
      <c r="AC20" s="31">
        <f>SUM(AC8:AC19)</f>
        <v>117734400</v>
      </c>
    </row>
  </sheetData>
  <mergeCells count="1">
    <mergeCell ref="A8:A19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C8AD-E12B-48FD-8B33-5037F380B025}">
  <dimension ref="A1:AC37"/>
  <sheetViews>
    <sheetView zoomScale="55" zoomScaleNormal="55" workbookViewId="0">
      <selection activeCell="C25" sqref="C25"/>
    </sheetView>
  </sheetViews>
  <sheetFormatPr baseColWidth="10" defaultColWidth="9.1796875" defaultRowHeight="14.5" x14ac:dyDescent="0.35"/>
  <cols>
    <col min="1" max="1" width="13.81640625" customWidth="1"/>
    <col min="2" max="2" width="11.453125" bestFit="1" customWidth="1"/>
    <col min="3" max="3" width="18.81640625" bestFit="1" customWidth="1"/>
    <col min="4" max="4" width="15" bestFit="1" customWidth="1"/>
    <col min="5" max="14" width="13.453125" bestFit="1" customWidth="1"/>
    <col min="15" max="18" width="14.1796875" bestFit="1" customWidth="1"/>
    <col min="19" max="28" width="13.453125" bestFit="1" customWidth="1"/>
    <col min="29" max="29" width="27.1796875" bestFit="1" customWidth="1"/>
  </cols>
  <sheetData>
    <row r="1" spans="1:29" x14ac:dyDescent="0.35">
      <c r="A1" s="1" t="s">
        <v>77</v>
      </c>
      <c r="B1" s="4"/>
      <c r="D1" s="1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5"/>
    </row>
    <row r="2" spans="1:29" x14ac:dyDescent="0.35">
      <c r="A2" t="s">
        <v>1</v>
      </c>
      <c r="B2" s="4"/>
      <c r="D2" s="1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25"/>
    </row>
    <row r="3" spans="1:29" x14ac:dyDescent="0.35">
      <c r="A3" t="s">
        <v>2</v>
      </c>
      <c r="B3" s="4"/>
      <c r="D3" s="1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5"/>
    </row>
    <row r="4" spans="1:29" x14ac:dyDescent="0.35">
      <c r="D4" s="15"/>
      <c r="AC4" s="25"/>
    </row>
    <row r="5" spans="1:29" x14ac:dyDescent="0.35">
      <c r="D5" s="15"/>
      <c r="AC5" s="25"/>
    </row>
    <row r="6" spans="1:29" ht="15" thickBot="1" x14ac:dyDescent="0.4">
      <c r="D6" s="15"/>
      <c r="AC6" s="25"/>
    </row>
    <row r="7" spans="1:29" ht="29.5" customHeight="1" x14ac:dyDescent="0.35">
      <c r="A7" s="10" t="s">
        <v>53</v>
      </c>
      <c r="B7" s="11" t="s">
        <v>26</v>
      </c>
      <c r="C7" s="11" t="s">
        <v>54</v>
      </c>
      <c r="D7" s="16" t="s">
        <v>28</v>
      </c>
      <c r="E7" s="11" t="s">
        <v>29</v>
      </c>
      <c r="F7" s="11" t="s">
        <v>30</v>
      </c>
      <c r="G7" s="11" t="s">
        <v>31</v>
      </c>
      <c r="H7" s="11" t="s">
        <v>32</v>
      </c>
      <c r="I7" s="11" t="s">
        <v>33</v>
      </c>
      <c r="J7" s="11" t="s">
        <v>34</v>
      </c>
      <c r="K7" s="11" t="s">
        <v>35</v>
      </c>
      <c r="L7" s="11" t="s">
        <v>36</v>
      </c>
      <c r="M7" s="11" t="s">
        <v>37</v>
      </c>
      <c r="N7" s="11" t="s">
        <v>38</v>
      </c>
      <c r="O7" s="11" t="s">
        <v>39</v>
      </c>
      <c r="P7" s="11" t="s">
        <v>40</v>
      </c>
      <c r="Q7" s="11" t="s">
        <v>41</v>
      </c>
      <c r="R7" s="11" t="s">
        <v>42</v>
      </c>
      <c r="S7" s="11" t="s">
        <v>43</v>
      </c>
      <c r="T7" s="11" t="s">
        <v>44</v>
      </c>
      <c r="U7" s="11" t="s">
        <v>45</v>
      </c>
      <c r="V7" s="11" t="s">
        <v>46</v>
      </c>
      <c r="W7" s="11" t="s">
        <v>47</v>
      </c>
      <c r="X7" s="11" t="s">
        <v>48</v>
      </c>
      <c r="Y7" s="11" t="s">
        <v>49</v>
      </c>
      <c r="Z7" s="11" t="s">
        <v>50</v>
      </c>
      <c r="AA7" s="11" t="s">
        <v>51</v>
      </c>
      <c r="AB7" s="11" t="s">
        <v>52</v>
      </c>
      <c r="AC7" s="12" t="s">
        <v>55</v>
      </c>
    </row>
    <row r="8" spans="1:29" x14ac:dyDescent="0.35">
      <c r="A8" s="64">
        <v>2028</v>
      </c>
      <c r="B8" s="27" t="s">
        <v>56</v>
      </c>
      <c r="C8" s="26" t="s">
        <v>68</v>
      </c>
      <c r="D8" s="17">
        <v>31</v>
      </c>
      <c r="E8" s="9">
        <v>13440</v>
      </c>
      <c r="F8" s="9">
        <v>13440</v>
      </c>
      <c r="G8" s="9">
        <v>13440</v>
      </c>
      <c r="H8" s="9">
        <v>13440</v>
      </c>
      <c r="I8" s="9">
        <v>13440</v>
      </c>
      <c r="J8" s="9">
        <v>13440</v>
      </c>
      <c r="K8" s="9">
        <v>13440</v>
      </c>
      <c r="L8" s="9">
        <v>13440</v>
      </c>
      <c r="M8" s="9">
        <v>13440</v>
      </c>
      <c r="N8" s="9">
        <v>13440</v>
      </c>
      <c r="O8" s="9">
        <v>13440</v>
      </c>
      <c r="P8" s="9">
        <v>13440</v>
      </c>
      <c r="Q8" s="9">
        <v>13440</v>
      </c>
      <c r="R8" s="9">
        <v>13440</v>
      </c>
      <c r="S8" s="9">
        <v>13440</v>
      </c>
      <c r="T8" s="9">
        <v>13440</v>
      </c>
      <c r="U8" s="9">
        <v>13440</v>
      </c>
      <c r="V8" s="9">
        <v>13440</v>
      </c>
      <c r="W8" s="9">
        <v>13440</v>
      </c>
      <c r="X8" s="9">
        <v>13440</v>
      </c>
      <c r="Y8" s="9">
        <v>13440</v>
      </c>
      <c r="Z8" s="9">
        <v>13440</v>
      </c>
      <c r="AA8" s="9">
        <v>13440</v>
      </c>
      <c r="AB8" s="9">
        <v>13440</v>
      </c>
      <c r="AC8" s="13">
        <f>SUM(E8:AB8)*D8</f>
        <v>9999360</v>
      </c>
    </row>
    <row r="9" spans="1:29" x14ac:dyDescent="0.35">
      <c r="A9" s="64"/>
      <c r="B9" s="27" t="s">
        <v>57</v>
      </c>
      <c r="C9" s="26" t="s">
        <v>68</v>
      </c>
      <c r="D9" s="17">
        <v>29</v>
      </c>
      <c r="E9" s="9">
        <v>13440</v>
      </c>
      <c r="F9" s="9">
        <v>13440</v>
      </c>
      <c r="G9" s="9">
        <v>13440</v>
      </c>
      <c r="H9" s="9">
        <v>13440</v>
      </c>
      <c r="I9" s="9">
        <v>13440</v>
      </c>
      <c r="J9" s="9">
        <v>13440</v>
      </c>
      <c r="K9" s="9">
        <v>13440</v>
      </c>
      <c r="L9" s="9">
        <v>13440</v>
      </c>
      <c r="M9" s="9">
        <v>13440</v>
      </c>
      <c r="N9" s="9">
        <v>13440</v>
      </c>
      <c r="O9" s="9">
        <v>13440</v>
      </c>
      <c r="P9" s="9">
        <v>13440</v>
      </c>
      <c r="Q9" s="9">
        <v>13440</v>
      </c>
      <c r="R9" s="9">
        <v>13440</v>
      </c>
      <c r="S9" s="9">
        <v>13440</v>
      </c>
      <c r="T9" s="9">
        <v>13440</v>
      </c>
      <c r="U9" s="9">
        <v>13440</v>
      </c>
      <c r="V9" s="9">
        <v>13440</v>
      </c>
      <c r="W9" s="9">
        <v>13440</v>
      </c>
      <c r="X9" s="9">
        <v>13440</v>
      </c>
      <c r="Y9" s="9">
        <v>13440</v>
      </c>
      <c r="Z9" s="9">
        <v>13440</v>
      </c>
      <c r="AA9" s="9">
        <v>13440</v>
      </c>
      <c r="AB9" s="9">
        <v>13440</v>
      </c>
      <c r="AC9" s="13">
        <f t="shared" ref="AC9:AC19" si="0">SUM(E9:AB9)*D9</f>
        <v>9354240</v>
      </c>
    </row>
    <row r="10" spans="1:29" x14ac:dyDescent="0.35">
      <c r="A10" s="64"/>
      <c r="B10" s="27" t="s">
        <v>58</v>
      </c>
      <c r="C10" s="26" t="s">
        <v>68</v>
      </c>
      <c r="D10" s="17">
        <v>31</v>
      </c>
      <c r="E10" s="9">
        <v>13440</v>
      </c>
      <c r="F10" s="9">
        <v>13440</v>
      </c>
      <c r="G10" s="9">
        <v>13440</v>
      </c>
      <c r="H10" s="9">
        <v>13440</v>
      </c>
      <c r="I10" s="9">
        <v>13440</v>
      </c>
      <c r="J10" s="9">
        <v>13440</v>
      </c>
      <c r="K10" s="9">
        <v>13440</v>
      </c>
      <c r="L10" s="9">
        <v>13440</v>
      </c>
      <c r="M10" s="9">
        <v>13440</v>
      </c>
      <c r="N10" s="9">
        <v>13440</v>
      </c>
      <c r="O10" s="9">
        <v>13440</v>
      </c>
      <c r="P10" s="9">
        <v>13440</v>
      </c>
      <c r="Q10" s="9">
        <v>13440</v>
      </c>
      <c r="R10" s="9">
        <v>13440</v>
      </c>
      <c r="S10" s="9">
        <v>13440</v>
      </c>
      <c r="T10" s="9">
        <v>13440</v>
      </c>
      <c r="U10" s="9">
        <v>13440</v>
      </c>
      <c r="V10" s="9">
        <v>13440</v>
      </c>
      <c r="W10" s="9">
        <v>13440</v>
      </c>
      <c r="X10" s="9">
        <v>13440</v>
      </c>
      <c r="Y10" s="9">
        <v>13440</v>
      </c>
      <c r="Z10" s="9">
        <v>13440</v>
      </c>
      <c r="AA10" s="9">
        <v>13440</v>
      </c>
      <c r="AB10" s="9">
        <v>13440</v>
      </c>
      <c r="AC10" s="13">
        <f t="shared" si="0"/>
        <v>9999360</v>
      </c>
    </row>
    <row r="11" spans="1:29" x14ac:dyDescent="0.35">
      <c r="A11" s="64"/>
      <c r="B11" s="27" t="s">
        <v>59</v>
      </c>
      <c r="C11" s="26" t="s">
        <v>68</v>
      </c>
      <c r="D11" s="17">
        <v>30</v>
      </c>
      <c r="E11" s="9">
        <v>13440</v>
      </c>
      <c r="F11" s="9">
        <v>13440</v>
      </c>
      <c r="G11" s="9">
        <v>13440</v>
      </c>
      <c r="H11" s="9">
        <v>13440</v>
      </c>
      <c r="I11" s="9">
        <v>13440</v>
      </c>
      <c r="J11" s="9">
        <v>13440</v>
      </c>
      <c r="K11" s="9">
        <v>13440</v>
      </c>
      <c r="L11" s="9">
        <v>13440</v>
      </c>
      <c r="M11" s="9">
        <v>13440</v>
      </c>
      <c r="N11" s="9">
        <v>13440</v>
      </c>
      <c r="O11" s="9">
        <v>13440</v>
      </c>
      <c r="P11" s="9">
        <v>13440</v>
      </c>
      <c r="Q11" s="9">
        <v>13440</v>
      </c>
      <c r="R11" s="9">
        <v>13440</v>
      </c>
      <c r="S11" s="9">
        <v>13440</v>
      </c>
      <c r="T11" s="9">
        <v>13440</v>
      </c>
      <c r="U11" s="9">
        <v>13440</v>
      </c>
      <c r="V11" s="9">
        <v>13440</v>
      </c>
      <c r="W11" s="9">
        <v>13440</v>
      </c>
      <c r="X11" s="9">
        <v>13440</v>
      </c>
      <c r="Y11" s="9">
        <v>13440</v>
      </c>
      <c r="Z11" s="9">
        <v>13440</v>
      </c>
      <c r="AA11" s="9">
        <v>13440</v>
      </c>
      <c r="AB11" s="9">
        <v>13440</v>
      </c>
      <c r="AC11" s="13">
        <f t="shared" si="0"/>
        <v>9676800</v>
      </c>
    </row>
    <row r="12" spans="1:29" x14ac:dyDescent="0.35">
      <c r="A12" s="64"/>
      <c r="B12" s="27" t="s">
        <v>60</v>
      </c>
      <c r="C12" s="26" t="s">
        <v>68</v>
      </c>
      <c r="D12" s="17">
        <v>31</v>
      </c>
      <c r="E12" s="9">
        <v>13440</v>
      </c>
      <c r="F12" s="9">
        <v>13440</v>
      </c>
      <c r="G12" s="9">
        <v>13440</v>
      </c>
      <c r="H12" s="9">
        <v>13440</v>
      </c>
      <c r="I12" s="9">
        <v>13440</v>
      </c>
      <c r="J12" s="9">
        <v>13440</v>
      </c>
      <c r="K12" s="9">
        <v>13440</v>
      </c>
      <c r="L12" s="9">
        <v>13440</v>
      </c>
      <c r="M12" s="9">
        <v>13440</v>
      </c>
      <c r="N12" s="9">
        <v>13440</v>
      </c>
      <c r="O12" s="9">
        <v>13440</v>
      </c>
      <c r="P12" s="9">
        <v>13440</v>
      </c>
      <c r="Q12" s="9">
        <v>13440</v>
      </c>
      <c r="R12" s="9">
        <v>13440</v>
      </c>
      <c r="S12" s="9">
        <v>13440</v>
      </c>
      <c r="T12" s="9">
        <v>13440</v>
      </c>
      <c r="U12" s="9">
        <v>13440</v>
      </c>
      <c r="V12" s="9">
        <v>13440</v>
      </c>
      <c r="W12" s="9">
        <v>13440</v>
      </c>
      <c r="X12" s="9">
        <v>13440</v>
      </c>
      <c r="Y12" s="9">
        <v>13440</v>
      </c>
      <c r="Z12" s="9">
        <v>13440</v>
      </c>
      <c r="AA12" s="9">
        <v>13440</v>
      </c>
      <c r="AB12" s="9">
        <v>13440</v>
      </c>
      <c r="AC12" s="13">
        <f t="shared" si="0"/>
        <v>9999360</v>
      </c>
    </row>
    <row r="13" spans="1:29" x14ac:dyDescent="0.35">
      <c r="A13" s="64"/>
      <c r="B13" s="27" t="s">
        <v>61</v>
      </c>
      <c r="C13" s="26" t="s">
        <v>68</v>
      </c>
      <c r="D13" s="17">
        <v>30</v>
      </c>
      <c r="E13" s="9">
        <v>13440</v>
      </c>
      <c r="F13" s="9">
        <v>13440</v>
      </c>
      <c r="G13" s="9">
        <v>13440</v>
      </c>
      <c r="H13" s="9">
        <v>13440</v>
      </c>
      <c r="I13" s="9">
        <v>13440</v>
      </c>
      <c r="J13" s="9">
        <v>13440</v>
      </c>
      <c r="K13" s="9">
        <v>13440</v>
      </c>
      <c r="L13" s="9">
        <v>13440</v>
      </c>
      <c r="M13" s="9">
        <v>13440</v>
      </c>
      <c r="N13" s="9">
        <v>13440</v>
      </c>
      <c r="O13" s="9">
        <v>13440</v>
      </c>
      <c r="P13" s="9">
        <v>13440</v>
      </c>
      <c r="Q13" s="9">
        <v>13440</v>
      </c>
      <c r="R13" s="9">
        <v>13440</v>
      </c>
      <c r="S13" s="9">
        <v>13440</v>
      </c>
      <c r="T13" s="9">
        <v>13440</v>
      </c>
      <c r="U13" s="9">
        <v>13440</v>
      </c>
      <c r="V13" s="9">
        <v>13440</v>
      </c>
      <c r="W13" s="9">
        <v>13440</v>
      </c>
      <c r="X13" s="9">
        <v>13440</v>
      </c>
      <c r="Y13" s="9">
        <v>13440</v>
      </c>
      <c r="Z13" s="9">
        <v>13440</v>
      </c>
      <c r="AA13" s="9">
        <v>13440</v>
      </c>
      <c r="AB13" s="9">
        <v>13440</v>
      </c>
      <c r="AC13" s="13">
        <f t="shared" si="0"/>
        <v>9676800</v>
      </c>
    </row>
    <row r="14" spans="1:29" x14ac:dyDescent="0.35">
      <c r="A14" s="64"/>
      <c r="B14" s="27" t="s">
        <v>62</v>
      </c>
      <c r="C14" s="26" t="s">
        <v>68</v>
      </c>
      <c r="D14" s="17">
        <v>31</v>
      </c>
      <c r="E14" s="9">
        <v>13440</v>
      </c>
      <c r="F14" s="9">
        <v>13440</v>
      </c>
      <c r="G14" s="9">
        <v>13440</v>
      </c>
      <c r="H14" s="9">
        <v>13440</v>
      </c>
      <c r="I14" s="9">
        <v>13440</v>
      </c>
      <c r="J14" s="9">
        <v>13440</v>
      </c>
      <c r="K14" s="9">
        <v>13440</v>
      </c>
      <c r="L14" s="9">
        <v>13440</v>
      </c>
      <c r="M14" s="9">
        <v>13440</v>
      </c>
      <c r="N14" s="9">
        <v>13440</v>
      </c>
      <c r="O14" s="9">
        <v>13440</v>
      </c>
      <c r="P14" s="9">
        <v>13440</v>
      </c>
      <c r="Q14" s="9">
        <v>13440</v>
      </c>
      <c r="R14" s="9">
        <v>13440</v>
      </c>
      <c r="S14" s="9">
        <v>13440</v>
      </c>
      <c r="T14" s="9">
        <v>13440</v>
      </c>
      <c r="U14" s="9">
        <v>13440</v>
      </c>
      <c r="V14" s="9">
        <v>13440</v>
      </c>
      <c r="W14" s="9">
        <v>13440</v>
      </c>
      <c r="X14" s="9">
        <v>13440</v>
      </c>
      <c r="Y14" s="9">
        <v>13440</v>
      </c>
      <c r="Z14" s="9">
        <v>13440</v>
      </c>
      <c r="AA14" s="9">
        <v>13440</v>
      </c>
      <c r="AB14" s="9">
        <v>13440</v>
      </c>
      <c r="AC14" s="13">
        <f t="shared" si="0"/>
        <v>9999360</v>
      </c>
    </row>
    <row r="15" spans="1:29" x14ac:dyDescent="0.35">
      <c r="A15" s="64"/>
      <c r="B15" s="27" t="s">
        <v>63</v>
      </c>
      <c r="C15" s="26" t="s">
        <v>68</v>
      </c>
      <c r="D15" s="17">
        <v>31</v>
      </c>
      <c r="E15" s="9">
        <v>13440</v>
      </c>
      <c r="F15" s="9">
        <v>13440</v>
      </c>
      <c r="G15" s="9">
        <v>13440</v>
      </c>
      <c r="H15" s="9">
        <v>13440</v>
      </c>
      <c r="I15" s="9">
        <v>13440</v>
      </c>
      <c r="J15" s="9">
        <v>13440</v>
      </c>
      <c r="K15" s="9">
        <v>13440</v>
      </c>
      <c r="L15" s="9">
        <v>13440</v>
      </c>
      <c r="M15" s="9">
        <v>13440</v>
      </c>
      <c r="N15" s="9">
        <v>13440</v>
      </c>
      <c r="O15" s="9">
        <v>13440</v>
      </c>
      <c r="P15" s="9">
        <v>13440</v>
      </c>
      <c r="Q15" s="9">
        <v>13440</v>
      </c>
      <c r="R15" s="9">
        <v>13440</v>
      </c>
      <c r="S15" s="9">
        <v>13440</v>
      </c>
      <c r="T15" s="9">
        <v>13440</v>
      </c>
      <c r="U15" s="9">
        <v>13440</v>
      </c>
      <c r="V15" s="9">
        <v>13440</v>
      </c>
      <c r="W15" s="9">
        <v>13440</v>
      </c>
      <c r="X15" s="9">
        <v>13440</v>
      </c>
      <c r="Y15" s="9">
        <v>13440</v>
      </c>
      <c r="Z15" s="9">
        <v>13440</v>
      </c>
      <c r="AA15" s="9">
        <v>13440</v>
      </c>
      <c r="AB15" s="9">
        <v>13440</v>
      </c>
      <c r="AC15" s="13">
        <f t="shared" si="0"/>
        <v>9999360</v>
      </c>
    </row>
    <row r="16" spans="1:29" x14ac:dyDescent="0.35">
      <c r="A16" s="64"/>
      <c r="B16" s="27" t="s">
        <v>64</v>
      </c>
      <c r="C16" s="26" t="s">
        <v>68</v>
      </c>
      <c r="D16" s="17">
        <v>30</v>
      </c>
      <c r="E16" s="9">
        <v>13440</v>
      </c>
      <c r="F16" s="9">
        <v>13440</v>
      </c>
      <c r="G16" s="9">
        <v>13440</v>
      </c>
      <c r="H16" s="9">
        <v>13440</v>
      </c>
      <c r="I16" s="9">
        <v>13440</v>
      </c>
      <c r="J16" s="9">
        <v>13440</v>
      </c>
      <c r="K16" s="9">
        <v>13440</v>
      </c>
      <c r="L16" s="9">
        <v>13440</v>
      </c>
      <c r="M16" s="9">
        <v>13440</v>
      </c>
      <c r="N16" s="9">
        <v>13440</v>
      </c>
      <c r="O16" s="9">
        <v>13440</v>
      </c>
      <c r="P16" s="9">
        <v>13440</v>
      </c>
      <c r="Q16" s="9">
        <v>13440</v>
      </c>
      <c r="R16" s="9">
        <v>13440</v>
      </c>
      <c r="S16" s="9">
        <v>13440</v>
      </c>
      <c r="T16" s="9">
        <v>13440</v>
      </c>
      <c r="U16" s="9">
        <v>13440</v>
      </c>
      <c r="V16" s="9">
        <v>13440</v>
      </c>
      <c r="W16" s="9">
        <v>13440</v>
      </c>
      <c r="X16" s="9">
        <v>13440</v>
      </c>
      <c r="Y16" s="9">
        <v>13440</v>
      </c>
      <c r="Z16" s="9">
        <v>13440</v>
      </c>
      <c r="AA16" s="9">
        <v>13440</v>
      </c>
      <c r="AB16" s="9">
        <v>13440</v>
      </c>
      <c r="AC16" s="13">
        <f t="shared" si="0"/>
        <v>9676800</v>
      </c>
    </row>
    <row r="17" spans="1:29" x14ac:dyDescent="0.35">
      <c r="A17" s="64"/>
      <c r="B17" s="27" t="s">
        <v>65</v>
      </c>
      <c r="C17" s="26" t="s">
        <v>68</v>
      </c>
      <c r="D17" s="17">
        <v>31</v>
      </c>
      <c r="E17" s="9">
        <v>13440</v>
      </c>
      <c r="F17" s="9">
        <v>13440</v>
      </c>
      <c r="G17" s="9">
        <v>13440</v>
      </c>
      <c r="H17" s="9">
        <v>13440</v>
      </c>
      <c r="I17" s="9">
        <v>13440</v>
      </c>
      <c r="J17" s="9">
        <v>13440</v>
      </c>
      <c r="K17" s="9">
        <v>13440</v>
      </c>
      <c r="L17" s="9">
        <v>13440</v>
      </c>
      <c r="M17" s="9">
        <v>13440</v>
      </c>
      <c r="N17" s="9">
        <v>13440</v>
      </c>
      <c r="O17" s="9">
        <v>13440</v>
      </c>
      <c r="P17" s="9">
        <v>13440</v>
      </c>
      <c r="Q17" s="9">
        <v>13440</v>
      </c>
      <c r="R17" s="9">
        <v>13440</v>
      </c>
      <c r="S17" s="9">
        <v>13440</v>
      </c>
      <c r="T17" s="9">
        <v>13440</v>
      </c>
      <c r="U17" s="9">
        <v>13440</v>
      </c>
      <c r="V17" s="9">
        <v>13440</v>
      </c>
      <c r="W17" s="9">
        <v>13440</v>
      </c>
      <c r="X17" s="9">
        <v>13440</v>
      </c>
      <c r="Y17" s="9">
        <v>13440</v>
      </c>
      <c r="Z17" s="9">
        <v>13440</v>
      </c>
      <c r="AA17" s="9">
        <v>13440</v>
      </c>
      <c r="AB17" s="9">
        <v>13440</v>
      </c>
      <c r="AC17" s="13">
        <f t="shared" si="0"/>
        <v>9999360</v>
      </c>
    </row>
    <row r="18" spans="1:29" x14ac:dyDescent="0.35">
      <c r="A18" s="64"/>
      <c r="B18" s="27" t="s">
        <v>66</v>
      </c>
      <c r="C18" s="26" t="s">
        <v>68</v>
      </c>
      <c r="D18" s="17">
        <v>30</v>
      </c>
      <c r="E18" s="9">
        <v>13440</v>
      </c>
      <c r="F18" s="9">
        <v>13440</v>
      </c>
      <c r="G18" s="9">
        <v>13440</v>
      </c>
      <c r="H18" s="9">
        <v>13440</v>
      </c>
      <c r="I18" s="9">
        <v>13440</v>
      </c>
      <c r="J18" s="9">
        <v>13440</v>
      </c>
      <c r="K18" s="9">
        <v>13440</v>
      </c>
      <c r="L18" s="9">
        <v>13440</v>
      </c>
      <c r="M18" s="9">
        <v>13440</v>
      </c>
      <c r="N18" s="9">
        <v>13440</v>
      </c>
      <c r="O18" s="9">
        <v>13440</v>
      </c>
      <c r="P18" s="9">
        <v>13440</v>
      </c>
      <c r="Q18" s="9">
        <v>13440</v>
      </c>
      <c r="R18" s="9">
        <v>13440</v>
      </c>
      <c r="S18" s="9">
        <v>13440</v>
      </c>
      <c r="T18" s="9">
        <v>13440</v>
      </c>
      <c r="U18" s="9">
        <v>13440</v>
      </c>
      <c r="V18" s="9">
        <v>13440</v>
      </c>
      <c r="W18" s="9">
        <v>13440</v>
      </c>
      <c r="X18" s="9">
        <v>13440</v>
      </c>
      <c r="Y18" s="9">
        <v>13440</v>
      </c>
      <c r="Z18" s="9">
        <v>13440</v>
      </c>
      <c r="AA18" s="9">
        <v>13440</v>
      </c>
      <c r="AB18" s="9">
        <v>13440</v>
      </c>
      <c r="AC18" s="13">
        <f t="shared" si="0"/>
        <v>9676800</v>
      </c>
    </row>
    <row r="19" spans="1:29" ht="15" thickBot="1" x14ac:dyDescent="0.4">
      <c r="A19" s="65"/>
      <c r="B19" s="28" t="s">
        <v>67</v>
      </c>
      <c r="C19" s="29" t="s">
        <v>68</v>
      </c>
      <c r="D19" s="18">
        <v>31</v>
      </c>
      <c r="E19" s="38">
        <v>13440</v>
      </c>
      <c r="F19" s="38">
        <v>13440</v>
      </c>
      <c r="G19" s="38">
        <v>13440</v>
      </c>
      <c r="H19" s="38">
        <v>13440</v>
      </c>
      <c r="I19" s="38">
        <v>13440</v>
      </c>
      <c r="J19" s="38">
        <v>13440</v>
      </c>
      <c r="K19" s="38">
        <v>13440</v>
      </c>
      <c r="L19" s="38">
        <v>13440</v>
      </c>
      <c r="M19" s="38">
        <v>13440</v>
      </c>
      <c r="N19" s="38">
        <v>13440</v>
      </c>
      <c r="O19" s="38">
        <v>13440</v>
      </c>
      <c r="P19" s="38">
        <v>13440</v>
      </c>
      <c r="Q19" s="38">
        <v>13440</v>
      </c>
      <c r="R19" s="38">
        <v>13440</v>
      </c>
      <c r="S19" s="38">
        <v>13440</v>
      </c>
      <c r="T19" s="38">
        <v>13440</v>
      </c>
      <c r="U19" s="38">
        <v>13440</v>
      </c>
      <c r="V19" s="38">
        <v>13440</v>
      </c>
      <c r="W19" s="38">
        <v>13440</v>
      </c>
      <c r="X19" s="38">
        <v>13440</v>
      </c>
      <c r="Y19" s="38">
        <v>13440</v>
      </c>
      <c r="Z19" s="38">
        <v>13440</v>
      </c>
      <c r="AA19" s="38">
        <v>13440</v>
      </c>
      <c r="AB19" s="38">
        <v>13440</v>
      </c>
      <c r="AC19" s="14">
        <f t="shared" si="0"/>
        <v>9999360</v>
      </c>
    </row>
    <row r="20" spans="1:29" x14ac:dyDescent="0.35">
      <c r="AB20" s="30" t="s">
        <v>27</v>
      </c>
      <c r="AC20" s="31">
        <f>SUM(AC8:AC19)</f>
        <v>118056960</v>
      </c>
    </row>
    <row r="25" spans="1:29" x14ac:dyDescent="0.35">
      <c r="B25" s="4"/>
    </row>
    <row r="26" spans="1:29" x14ac:dyDescent="0.35">
      <c r="B26" s="4"/>
    </row>
    <row r="27" spans="1:29" x14ac:dyDescent="0.35">
      <c r="B27" s="4"/>
    </row>
    <row r="28" spans="1:29" x14ac:dyDescent="0.35">
      <c r="B28" s="4"/>
    </row>
    <row r="29" spans="1:29" x14ac:dyDescent="0.35">
      <c r="B29" s="4"/>
    </row>
    <row r="30" spans="1:29" x14ac:dyDescent="0.35">
      <c r="B30" s="4"/>
    </row>
    <row r="31" spans="1:29" x14ac:dyDescent="0.35">
      <c r="B31" s="4"/>
    </row>
    <row r="32" spans="1:29" x14ac:dyDescent="0.35">
      <c r="B32" s="4"/>
    </row>
    <row r="33" spans="2:2" x14ac:dyDescent="0.35">
      <c r="B33" s="4"/>
    </row>
    <row r="34" spans="2:2" x14ac:dyDescent="0.35">
      <c r="B34" s="4"/>
    </row>
    <row r="35" spans="2:2" x14ac:dyDescent="0.35">
      <c r="B35" s="4"/>
    </row>
    <row r="36" spans="2:2" x14ac:dyDescent="0.35">
      <c r="B36" s="4"/>
    </row>
    <row r="37" spans="2:2" x14ac:dyDescent="0.35">
      <c r="B37" s="4"/>
    </row>
  </sheetData>
  <mergeCells count="1">
    <mergeCell ref="A8:A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BE73-3B0A-408E-AC53-993B3456C147}">
  <dimension ref="A1:AC25"/>
  <sheetViews>
    <sheetView zoomScale="55" zoomScaleNormal="55" workbookViewId="0">
      <selection activeCell="F28" sqref="F28"/>
    </sheetView>
  </sheetViews>
  <sheetFormatPr baseColWidth="10" defaultColWidth="9.1796875" defaultRowHeight="14.5" x14ac:dyDescent="0.35"/>
  <cols>
    <col min="1" max="1" width="13.81640625" customWidth="1"/>
    <col min="2" max="2" width="11.453125" bestFit="1" customWidth="1"/>
    <col min="3" max="3" width="18.81640625" bestFit="1" customWidth="1"/>
    <col min="4" max="4" width="15" bestFit="1" customWidth="1"/>
    <col min="5" max="14" width="13.453125" bestFit="1" customWidth="1"/>
    <col min="15" max="18" width="14.1796875" bestFit="1" customWidth="1"/>
    <col min="19" max="28" width="13.453125" bestFit="1" customWidth="1"/>
    <col min="29" max="29" width="27.1796875" bestFit="1" customWidth="1"/>
  </cols>
  <sheetData>
    <row r="1" spans="1:29" x14ac:dyDescent="0.35">
      <c r="A1" s="1" t="s">
        <v>78</v>
      </c>
      <c r="B1" s="4"/>
      <c r="D1" s="1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5"/>
    </row>
    <row r="2" spans="1:29" x14ac:dyDescent="0.35">
      <c r="A2" t="s">
        <v>1</v>
      </c>
      <c r="B2" s="4"/>
      <c r="D2" s="1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25"/>
    </row>
    <row r="3" spans="1:29" x14ac:dyDescent="0.35">
      <c r="A3" t="s">
        <v>2</v>
      </c>
      <c r="B3" s="4"/>
      <c r="D3" s="1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5"/>
    </row>
    <row r="4" spans="1:29" x14ac:dyDescent="0.35">
      <c r="D4" s="15"/>
      <c r="AC4" s="25"/>
    </row>
    <row r="5" spans="1:29" x14ac:dyDescent="0.35">
      <c r="D5" s="15"/>
      <c r="AC5" s="25"/>
    </row>
    <row r="6" spans="1:29" ht="15" thickBot="1" x14ac:dyDescent="0.4">
      <c r="D6" s="15"/>
      <c r="AC6" s="25"/>
    </row>
    <row r="7" spans="1:29" ht="29.5" customHeight="1" thickBot="1" x14ac:dyDescent="0.4">
      <c r="A7" s="10" t="s">
        <v>53</v>
      </c>
      <c r="B7" s="11" t="s">
        <v>26</v>
      </c>
      <c r="C7" s="11" t="s">
        <v>54</v>
      </c>
      <c r="D7" s="16" t="s">
        <v>28</v>
      </c>
      <c r="E7" s="11" t="s">
        <v>29</v>
      </c>
      <c r="F7" s="11" t="s">
        <v>30</v>
      </c>
      <c r="G7" s="11" t="s">
        <v>31</v>
      </c>
      <c r="H7" s="11" t="s">
        <v>32</v>
      </c>
      <c r="I7" s="11" t="s">
        <v>33</v>
      </c>
      <c r="J7" s="11" t="s">
        <v>34</v>
      </c>
      <c r="K7" s="11" t="s">
        <v>35</v>
      </c>
      <c r="L7" s="11" t="s">
        <v>36</v>
      </c>
      <c r="M7" s="11" t="s">
        <v>37</v>
      </c>
      <c r="N7" s="11" t="s">
        <v>38</v>
      </c>
      <c r="O7" s="11" t="s">
        <v>39</v>
      </c>
      <c r="P7" s="11" t="s">
        <v>40</v>
      </c>
      <c r="Q7" s="11" t="s">
        <v>41</v>
      </c>
      <c r="R7" s="11" t="s">
        <v>42</v>
      </c>
      <c r="S7" s="11" t="s">
        <v>43</v>
      </c>
      <c r="T7" s="11" t="s">
        <v>44</v>
      </c>
      <c r="U7" s="11" t="s">
        <v>45</v>
      </c>
      <c r="V7" s="11" t="s">
        <v>46</v>
      </c>
      <c r="W7" s="11" t="s">
        <v>47</v>
      </c>
      <c r="X7" s="11" t="s">
        <v>48</v>
      </c>
      <c r="Y7" s="11" t="s">
        <v>49</v>
      </c>
      <c r="Z7" s="11" t="s">
        <v>50</v>
      </c>
      <c r="AA7" s="11" t="s">
        <v>51</v>
      </c>
      <c r="AB7" s="11" t="s">
        <v>52</v>
      </c>
      <c r="AC7" s="12" t="s">
        <v>55</v>
      </c>
    </row>
    <row r="8" spans="1:29" x14ac:dyDescent="0.35">
      <c r="A8" s="64">
        <v>2029</v>
      </c>
      <c r="B8" s="27" t="s">
        <v>56</v>
      </c>
      <c r="C8" s="26" t="s">
        <v>68</v>
      </c>
      <c r="D8" s="17">
        <v>31</v>
      </c>
      <c r="E8" s="39">
        <v>13440</v>
      </c>
      <c r="F8" s="40">
        <v>13440</v>
      </c>
      <c r="G8" s="40">
        <v>13440</v>
      </c>
      <c r="H8" s="40">
        <v>13440</v>
      </c>
      <c r="I8" s="40">
        <v>13440</v>
      </c>
      <c r="J8" s="40">
        <v>13440</v>
      </c>
      <c r="K8" s="40">
        <v>13440</v>
      </c>
      <c r="L8" s="40">
        <v>13440</v>
      </c>
      <c r="M8" s="40">
        <v>13440</v>
      </c>
      <c r="N8" s="40">
        <v>13440</v>
      </c>
      <c r="O8" s="40">
        <v>13440</v>
      </c>
      <c r="P8" s="40">
        <v>13440</v>
      </c>
      <c r="Q8" s="40">
        <v>13440</v>
      </c>
      <c r="R8" s="40">
        <v>13440</v>
      </c>
      <c r="S8" s="40">
        <v>13440</v>
      </c>
      <c r="T8" s="40">
        <v>13440</v>
      </c>
      <c r="U8" s="40">
        <v>13440</v>
      </c>
      <c r="V8" s="40">
        <v>13440</v>
      </c>
      <c r="W8" s="40">
        <v>13440</v>
      </c>
      <c r="X8" s="40">
        <v>13440</v>
      </c>
      <c r="Y8" s="40">
        <v>13440</v>
      </c>
      <c r="Z8" s="40">
        <v>13440</v>
      </c>
      <c r="AA8" s="40">
        <v>13440</v>
      </c>
      <c r="AB8" s="41">
        <v>13440</v>
      </c>
      <c r="AC8" s="13">
        <f>SUM(E8:AB8)*D8</f>
        <v>9999360</v>
      </c>
    </row>
    <row r="9" spans="1:29" x14ac:dyDescent="0.35">
      <c r="A9" s="64"/>
      <c r="B9" s="27" t="s">
        <v>57</v>
      </c>
      <c r="C9" s="26" t="s">
        <v>68</v>
      </c>
      <c r="D9" s="17">
        <v>28</v>
      </c>
      <c r="E9" s="42">
        <v>13440</v>
      </c>
      <c r="F9" s="9">
        <v>13440</v>
      </c>
      <c r="G9" s="9">
        <v>13440</v>
      </c>
      <c r="H9" s="9">
        <v>13440</v>
      </c>
      <c r="I9" s="9">
        <v>13440</v>
      </c>
      <c r="J9" s="9">
        <v>13440</v>
      </c>
      <c r="K9" s="9">
        <v>13440</v>
      </c>
      <c r="L9" s="9">
        <v>13440</v>
      </c>
      <c r="M9" s="9">
        <v>13440</v>
      </c>
      <c r="N9" s="9">
        <v>13440</v>
      </c>
      <c r="O9" s="9">
        <v>13440</v>
      </c>
      <c r="P9" s="9">
        <v>13440</v>
      </c>
      <c r="Q9" s="9">
        <v>13440</v>
      </c>
      <c r="R9" s="9">
        <v>13440</v>
      </c>
      <c r="S9" s="9">
        <v>13440</v>
      </c>
      <c r="T9" s="9">
        <v>13440</v>
      </c>
      <c r="U9" s="9">
        <v>13440</v>
      </c>
      <c r="V9" s="9">
        <v>13440</v>
      </c>
      <c r="W9" s="9">
        <v>13440</v>
      </c>
      <c r="X9" s="9">
        <v>13440</v>
      </c>
      <c r="Y9" s="9">
        <v>13440</v>
      </c>
      <c r="Z9" s="9">
        <v>13440</v>
      </c>
      <c r="AA9" s="9">
        <v>13440</v>
      </c>
      <c r="AB9" s="43">
        <v>13440</v>
      </c>
      <c r="AC9" s="13">
        <f t="shared" ref="AC9:AC19" si="0">SUM(E9:AB9)*D9</f>
        <v>9031680</v>
      </c>
    </row>
    <row r="10" spans="1:29" x14ac:dyDescent="0.35">
      <c r="A10" s="64"/>
      <c r="B10" s="27" t="s">
        <v>58</v>
      </c>
      <c r="C10" s="26" t="s">
        <v>68</v>
      </c>
      <c r="D10" s="17">
        <v>31</v>
      </c>
      <c r="E10" s="42">
        <v>13440</v>
      </c>
      <c r="F10" s="9">
        <v>13440</v>
      </c>
      <c r="G10" s="9">
        <v>13440</v>
      </c>
      <c r="H10" s="9">
        <v>13440</v>
      </c>
      <c r="I10" s="9">
        <v>13440</v>
      </c>
      <c r="J10" s="9">
        <v>13440</v>
      </c>
      <c r="K10" s="9">
        <v>13440</v>
      </c>
      <c r="L10" s="9">
        <v>13440</v>
      </c>
      <c r="M10" s="9">
        <v>13440</v>
      </c>
      <c r="N10" s="9">
        <v>13440</v>
      </c>
      <c r="O10" s="9">
        <v>13440</v>
      </c>
      <c r="P10" s="9">
        <v>13440</v>
      </c>
      <c r="Q10" s="9">
        <v>13440</v>
      </c>
      <c r="R10" s="9">
        <v>13440</v>
      </c>
      <c r="S10" s="9">
        <v>13440</v>
      </c>
      <c r="T10" s="9">
        <v>13440</v>
      </c>
      <c r="U10" s="9">
        <v>13440</v>
      </c>
      <c r="V10" s="9">
        <v>13440</v>
      </c>
      <c r="W10" s="9">
        <v>13440</v>
      </c>
      <c r="X10" s="9">
        <v>13440</v>
      </c>
      <c r="Y10" s="9">
        <v>13440</v>
      </c>
      <c r="Z10" s="9">
        <v>13440</v>
      </c>
      <c r="AA10" s="9">
        <v>13440</v>
      </c>
      <c r="AB10" s="43">
        <v>13440</v>
      </c>
      <c r="AC10" s="13">
        <f t="shared" si="0"/>
        <v>9999360</v>
      </c>
    </row>
    <row r="11" spans="1:29" x14ac:dyDescent="0.35">
      <c r="A11" s="64"/>
      <c r="B11" s="27" t="s">
        <v>59</v>
      </c>
      <c r="C11" s="26" t="s">
        <v>68</v>
      </c>
      <c r="D11" s="17">
        <v>30</v>
      </c>
      <c r="E11" s="42">
        <v>13440</v>
      </c>
      <c r="F11" s="9">
        <v>13440</v>
      </c>
      <c r="G11" s="9">
        <v>13440</v>
      </c>
      <c r="H11" s="9">
        <v>13440</v>
      </c>
      <c r="I11" s="9">
        <v>13440</v>
      </c>
      <c r="J11" s="9">
        <v>13440</v>
      </c>
      <c r="K11" s="9">
        <v>13440</v>
      </c>
      <c r="L11" s="9">
        <v>13440</v>
      </c>
      <c r="M11" s="9">
        <v>13440</v>
      </c>
      <c r="N11" s="9">
        <v>13440</v>
      </c>
      <c r="O11" s="9">
        <v>13440</v>
      </c>
      <c r="P11" s="9">
        <v>13440</v>
      </c>
      <c r="Q11" s="9">
        <v>13440</v>
      </c>
      <c r="R11" s="9">
        <v>13440</v>
      </c>
      <c r="S11" s="9">
        <v>13440</v>
      </c>
      <c r="T11" s="9">
        <v>13440</v>
      </c>
      <c r="U11" s="9">
        <v>13440</v>
      </c>
      <c r="V11" s="9">
        <v>13440</v>
      </c>
      <c r="W11" s="9">
        <v>13440</v>
      </c>
      <c r="X11" s="9">
        <v>13440</v>
      </c>
      <c r="Y11" s="9">
        <v>13440</v>
      </c>
      <c r="Z11" s="9">
        <v>13440</v>
      </c>
      <c r="AA11" s="9">
        <v>13440</v>
      </c>
      <c r="AB11" s="43">
        <v>13440</v>
      </c>
      <c r="AC11" s="13">
        <f t="shared" si="0"/>
        <v>9676800</v>
      </c>
    </row>
    <row r="12" spans="1:29" x14ac:dyDescent="0.35">
      <c r="A12" s="64"/>
      <c r="B12" s="27" t="s">
        <v>60</v>
      </c>
      <c r="C12" s="26" t="s">
        <v>68</v>
      </c>
      <c r="D12" s="17">
        <v>31</v>
      </c>
      <c r="E12" s="42">
        <v>13440</v>
      </c>
      <c r="F12" s="9">
        <v>13440</v>
      </c>
      <c r="G12" s="9">
        <v>13440</v>
      </c>
      <c r="H12" s="9">
        <v>13440</v>
      </c>
      <c r="I12" s="9">
        <v>13440</v>
      </c>
      <c r="J12" s="9">
        <v>13440</v>
      </c>
      <c r="K12" s="9">
        <v>13440</v>
      </c>
      <c r="L12" s="9">
        <v>13440</v>
      </c>
      <c r="M12" s="9">
        <v>13440</v>
      </c>
      <c r="N12" s="9">
        <v>13440</v>
      </c>
      <c r="O12" s="9">
        <v>13440</v>
      </c>
      <c r="P12" s="9">
        <v>13440</v>
      </c>
      <c r="Q12" s="9">
        <v>13440</v>
      </c>
      <c r="R12" s="9">
        <v>13440</v>
      </c>
      <c r="S12" s="9">
        <v>13440</v>
      </c>
      <c r="T12" s="9">
        <v>13440</v>
      </c>
      <c r="U12" s="9">
        <v>13440</v>
      </c>
      <c r="V12" s="9">
        <v>13440</v>
      </c>
      <c r="W12" s="9">
        <v>13440</v>
      </c>
      <c r="X12" s="9">
        <v>13440</v>
      </c>
      <c r="Y12" s="9">
        <v>13440</v>
      </c>
      <c r="Z12" s="9">
        <v>13440</v>
      </c>
      <c r="AA12" s="9">
        <v>13440</v>
      </c>
      <c r="AB12" s="43">
        <v>13440</v>
      </c>
      <c r="AC12" s="13">
        <f t="shared" si="0"/>
        <v>9999360</v>
      </c>
    </row>
    <row r="13" spans="1:29" x14ac:dyDescent="0.35">
      <c r="A13" s="64"/>
      <c r="B13" s="27" t="s">
        <v>61</v>
      </c>
      <c r="C13" s="26" t="s">
        <v>68</v>
      </c>
      <c r="D13" s="17">
        <v>30</v>
      </c>
      <c r="E13" s="42">
        <v>13440</v>
      </c>
      <c r="F13" s="9">
        <v>13440</v>
      </c>
      <c r="G13" s="9">
        <v>13440</v>
      </c>
      <c r="H13" s="9">
        <v>13440</v>
      </c>
      <c r="I13" s="9">
        <v>13440</v>
      </c>
      <c r="J13" s="9">
        <v>13440</v>
      </c>
      <c r="K13" s="9">
        <v>13440</v>
      </c>
      <c r="L13" s="9">
        <v>13440</v>
      </c>
      <c r="M13" s="9">
        <v>13440</v>
      </c>
      <c r="N13" s="9">
        <v>13440</v>
      </c>
      <c r="O13" s="9">
        <v>13440</v>
      </c>
      <c r="P13" s="9">
        <v>13440</v>
      </c>
      <c r="Q13" s="9">
        <v>13440</v>
      </c>
      <c r="R13" s="9">
        <v>13440</v>
      </c>
      <c r="S13" s="9">
        <v>13440</v>
      </c>
      <c r="T13" s="9">
        <v>13440</v>
      </c>
      <c r="U13" s="9">
        <v>13440</v>
      </c>
      <c r="V13" s="9">
        <v>13440</v>
      </c>
      <c r="W13" s="9">
        <v>13440</v>
      </c>
      <c r="X13" s="9">
        <v>13440</v>
      </c>
      <c r="Y13" s="9">
        <v>13440</v>
      </c>
      <c r="Z13" s="9">
        <v>13440</v>
      </c>
      <c r="AA13" s="9">
        <v>13440</v>
      </c>
      <c r="AB13" s="43">
        <v>13440</v>
      </c>
      <c r="AC13" s="13">
        <f t="shared" si="0"/>
        <v>9676800</v>
      </c>
    </row>
    <row r="14" spans="1:29" x14ac:dyDescent="0.35">
      <c r="A14" s="64"/>
      <c r="B14" s="27" t="s">
        <v>62</v>
      </c>
      <c r="C14" s="26" t="s">
        <v>68</v>
      </c>
      <c r="D14" s="17">
        <v>31</v>
      </c>
      <c r="E14" s="42">
        <v>13440</v>
      </c>
      <c r="F14" s="9">
        <v>13440</v>
      </c>
      <c r="G14" s="9">
        <v>13440</v>
      </c>
      <c r="H14" s="9">
        <v>13440</v>
      </c>
      <c r="I14" s="9">
        <v>13440</v>
      </c>
      <c r="J14" s="9">
        <v>13440</v>
      </c>
      <c r="K14" s="9">
        <v>13440</v>
      </c>
      <c r="L14" s="9">
        <v>13440</v>
      </c>
      <c r="M14" s="9">
        <v>13440</v>
      </c>
      <c r="N14" s="9">
        <v>13440</v>
      </c>
      <c r="O14" s="9">
        <v>13440</v>
      </c>
      <c r="P14" s="9">
        <v>13440</v>
      </c>
      <c r="Q14" s="9">
        <v>13440</v>
      </c>
      <c r="R14" s="9">
        <v>13440</v>
      </c>
      <c r="S14" s="9">
        <v>13440</v>
      </c>
      <c r="T14" s="9">
        <v>13440</v>
      </c>
      <c r="U14" s="9">
        <v>13440</v>
      </c>
      <c r="V14" s="9">
        <v>13440</v>
      </c>
      <c r="W14" s="9">
        <v>13440</v>
      </c>
      <c r="X14" s="9">
        <v>13440</v>
      </c>
      <c r="Y14" s="9">
        <v>13440</v>
      </c>
      <c r="Z14" s="9">
        <v>13440</v>
      </c>
      <c r="AA14" s="9">
        <v>13440</v>
      </c>
      <c r="AB14" s="43">
        <v>13440</v>
      </c>
      <c r="AC14" s="13">
        <f t="shared" si="0"/>
        <v>9999360</v>
      </c>
    </row>
    <row r="15" spans="1:29" x14ac:dyDescent="0.35">
      <c r="A15" s="64"/>
      <c r="B15" s="27" t="s">
        <v>63</v>
      </c>
      <c r="C15" s="26" t="s">
        <v>68</v>
      </c>
      <c r="D15" s="17">
        <v>31</v>
      </c>
      <c r="E15" s="42">
        <v>13440</v>
      </c>
      <c r="F15" s="9">
        <v>13440</v>
      </c>
      <c r="G15" s="9">
        <v>13440</v>
      </c>
      <c r="H15" s="9">
        <v>13440</v>
      </c>
      <c r="I15" s="9">
        <v>13440</v>
      </c>
      <c r="J15" s="9">
        <v>13440</v>
      </c>
      <c r="K15" s="9">
        <v>13440</v>
      </c>
      <c r="L15" s="9">
        <v>13440</v>
      </c>
      <c r="M15" s="9">
        <v>13440</v>
      </c>
      <c r="N15" s="9">
        <v>13440</v>
      </c>
      <c r="O15" s="9">
        <v>13440</v>
      </c>
      <c r="P15" s="9">
        <v>13440</v>
      </c>
      <c r="Q15" s="9">
        <v>13440</v>
      </c>
      <c r="R15" s="9">
        <v>13440</v>
      </c>
      <c r="S15" s="9">
        <v>13440</v>
      </c>
      <c r="T15" s="9">
        <v>13440</v>
      </c>
      <c r="U15" s="9">
        <v>13440</v>
      </c>
      <c r="V15" s="9">
        <v>13440</v>
      </c>
      <c r="W15" s="9">
        <v>13440</v>
      </c>
      <c r="X15" s="9">
        <v>13440</v>
      </c>
      <c r="Y15" s="9">
        <v>13440</v>
      </c>
      <c r="Z15" s="9">
        <v>13440</v>
      </c>
      <c r="AA15" s="9">
        <v>13440</v>
      </c>
      <c r="AB15" s="43">
        <v>13440</v>
      </c>
      <c r="AC15" s="13">
        <f t="shared" si="0"/>
        <v>9999360</v>
      </c>
    </row>
    <row r="16" spans="1:29" x14ac:dyDescent="0.35">
      <c r="A16" s="64"/>
      <c r="B16" s="27" t="s">
        <v>64</v>
      </c>
      <c r="C16" s="26" t="s">
        <v>68</v>
      </c>
      <c r="D16" s="17">
        <v>30</v>
      </c>
      <c r="E16" s="42">
        <v>13440</v>
      </c>
      <c r="F16" s="9">
        <v>13440</v>
      </c>
      <c r="G16" s="9">
        <v>13440</v>
      </c>
      <c r="H16" s="9">
        <v>13440</v>
      </c>
      <c r="I16" s="9">
        <v>13440</v>
      </c>
      <c r="J16" s="9">
        <v>13440</v>
      </c>
      <c r="K16" s="9">
        <v>13440</v>
      </c>
      <c r="L16" s="9">
        <v>13440</v>
      </c>
      <c r="M16" s="9">
        <v>13440</v>
      </c>
      <c r="N16" s="9">
        <v>13440</v>
      </c>
      <c r="O16" s="9">
        <v>13440</v>
      </c>
      <c r="P16" s="9">
        <v>13440</v>
      </c>
      <c r="Q16" s="9">
        <v>13440</v>
      </c>
      <c r="R16" s="9">
        <v>13440</v>
      </c>
      <c r="S16" s="9">
        <v>13440</v>
      </c>
      <c r="T16" s="9">
        <v>13440</v>
      </c>
      <c r="U16" s="9">
        <v>13440</v>
      </c>
      <c r="V16" s="9">
        <v>13440</v>
      </c>
      <c r="W16" s="9">
        <v>13440</v>
      </c>
      <c r="X16" s="9">
        <v>13440</v>
      </c>
      <c r="Y16" s="9">
        <v>13440</v>
      </c>
      <c r="Z16" s="9">
        <v>13440</v>
      </c>
      <c r="AA16" s="9">
        <v>13440</v>
      </c>
      <c r="AB16" s="43">
        <v>13440</v>
      </c>
      <c r="AC16" s="13">
        <f t="shared" si="0"/>
        <v>9676800</v>
      </c>
    </row>
    <row r="17" spans="1:29" x14ac:dyDescent="0.35">
      <c r="A17" s="64"/>
      <c r="B17" s="27" t="s">
        <v>65</v>
      </c>
      <c r="C17" s="26" t="s">
        <v>68</v>
      </c>
      <c r="D17" s="17">
        <v>31</v>
      </c>
      <c r="E17" s="42">
        <v>13440</v>
      </c>
      <c r="F17" s="9">
        <v>13440</v>
      </c>
      <c r="G17" s="9">
        <v>13440</v>
      </c>
      <c r="H17" s="9">
        <v>13440</v>
      </c>
      <c r="I17" s="9">
        <v>13440</v>
      </c>
      <c r="J17" s="9">
        <v>13440</v>
      </c>
      <c r="K17" s="9">
        <v>13440</v>
      </c>
      <c r="L17" s="9">
        <v>13440</v>
      </c>
      <c r="M17" s="9">
        <v>13440</v>
      </c>
      <c r="N17" s="9">
        <v>13440</v>
      </c>
      <c r="O17" s="9">
        <v>13440</v>
      </c>
      <c r="P17" s="9">
        <v>13440</v>
      </c>
      <c r="Q17" s="9">
        <v>13440</v>
      </c>
      <c r="R17" s="9">
        <v>13440</v>
      </c>
      <c r="S17" s="9">
        <v>13440</v>
      </c>
      <c r="T17" s="9">
        <v>13440</v>
      </c>
      <c r="U17" s="9">
        <v>13440</v>
      </c>
      <c r="V17" s="9">
        <v>13440</v>
      </c>
      <c r="W17" s="9">
        <v>13440</v>
      </c>
      <c r="X17" s="9">
        <v>13440</v>
      </c>
      <c r="Y17" s="9">
        <v>13440</v>
      </c>
      <c r="Z17" s="9">
        <v>13440</v>
      </c>
      <c r="AA17" s="9">
        <v>13440</v>
      </c>
      <c r="AB17" s="43">
        <v>13440</v>
      </c>
      <c r="AC17" s="13">
        <f t="shared" si="0"/>
        <v>9999360</v>
      </c>
    </row>
    <row r="18" spans="1:29" x14ac:dyDescent="0.35">
      <c r="A18" s="64"/>
      <c r="B18" s="27" t="s">
        <v>66</v>
      </c>
      <c r="C18" s="26" t="s">
        <v>68</v>
      </c>
      <c r="D18" s="17">
        <v>30</v>
      </c>
      <c r="E18" s="42">
        <v>13440</v>
      </c>
      <c r="F18" s="9">
        <v>13440</v>
      </c>
      <c r="G18" s="9">
        <v>13440</v>
      </c>
      <c r="H18" s="9">
        <v>13440</v>
      </c>
      <c r="I18" s="9">
        <v>13440</v>
      </c>
      <c r="J18" s="9">
        <v>13440</v>
      </c>
      <c r="K18" s="9">
        <v>13440</v>
      </c>
      <c r="L18" s="9">
        <v>13440</v>
      </c>
      <c r="M18" s="9">
        <v>13440</v>
      </c>
      <c r="N18" s="9">
        <v>13440</v>
      </c>
      <c r="O18" s="9">
        <v>13440</v>
      </c>
      <c r="P18" s="9">
        <v>13440</v>
      </c>
      <c r="Q18" s="9">
        <v>13440</v>
      </c>
      <c r="R18" s="9">
        <v>13440</v>
      </c>
      <c r="S18" s="9">
        <v>13440</v>
      </c>
      <c r="T18" s="9">
        <v>13440</v>
      </c>
      <c r="U18" s="9">
        <v>13440</v>
      </c>
      <c r="V18" s="9">
        <v>13440</v>
      </c>
      <c r="W18" s="9">
        <v>13440</v>
      </c>
      <c r="X18" s="9">
        <v>13440</v>
      </c>
      <c r="Y18" s="9">
        <v>13440</v>
      </c>
      <c r="Z18" s="9">
        <v>13440</v>
      </c>
      <c r="AA18" s="9">
        <v>13440</v>
      </c>
      <c r="AB18" s="43">
        <v>13440</v>
      </c>
      <c r="AC18" s="13">
        <f t="shared" si="0"/>
        <v>9676800</v>
      </c>
    </row>
    <row r="19" spans="1:29" ht="15" thickBot="1" x14ac:dyDescent="0.4">
      <c r="A19" s="65"/>
      <c r="B19" s="28" t="s">
        <v>67</v>
      </c>
      <c r="C19" s="29" t="s">
        <v>68</v>
      </c>
      <c r="D19" s="18">
        <v>31</v>
      </c>
      <c r="E19" s="44">
        <v>13440</v>
      </c>
      <c r="F19" s="38">
        <v>13440</v>
      </c>
      <c r="G19" s="38">
        <v>13440</v>
      </c>
      <c r="H19" s="38">
        <v>13440</v>
      </c>
      <c r="I19" s="38">
        <v>13440</v>
      </c>
      <c r="J19" s="38">
        <v>13440</v>
      </c>
      <c r="K19" s="38">
        <v>13440</v>
      </c>
      <c r="L19" s="38">
        <v>13440</v>
      </c>
      <c r="M19" s="38">
        <v>13440</v>
      </c>
      <c r="N19" s="38">
        <v>13440</v>
      </c>
      <c r="O19" s="38">
        <v>13440</v>
      </c>
      <c r="P19" s="38">
        <v>13440</v>
      </c>
      <c r="Q19" s="38">
        <v>13440</v>
      </c>
      <c r="R19" s="38">
        <v>13440</v>
      </c>
      <c r="S19" s="38">
        <v>13440</v>
      </c>
      <c r="T19" s="38">
        <v>13440</v>
      </c>
      <c r="U19" s="38">
        <v>13440</v>
      </c>
      <c r="V19" s="38">
        <v>13440</v>
      </c>
      <c r="W19" s="38">
        <v>13440</v>
      </c>
      <c r="X19" s="38">
        <v>13440</v>
      </c>
      <c r="Y19" s="38">
        <v>13440</v>
      </c>
      <c r="Z19" s="38">
        <v>13440</v>
      </c>
      <c r="AA19" s="38">
        <v>13440</v>
      </c>
      <c r="AB19" s="45">
        <v>13440</v>
      </c>
      <c r="AC19" s="14">
        <f t="shared" si="0"/>
        <v>9999360</v>
      </c>
    </row>
    <row r="20" spans="1:29" x14ac:dyDescent="0.35">
      <c r="AB20" s="30" t="s">
        <v>27</v>
      </c>
      <c r="AC20" s="31">
        <f>SUM(AC8:AC19)</f>
        <v>117734400</v>
      </c>
    </row>
    <row r="25" spans="1:29" x14ac:dyDescent="0.35">
      <c r="J25" s="4"/>
    </row>
  </sheetData>
  <mergeCells count="1">
    <mergeCell ref="A8:A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E128-B73D-4037-BC68-DBD56D0CE773}">
  <dimension ref="A1:AC20"/>
  <sheetViews>
    <sheetView zoomScale="55" zoomScaleNormal="55" workbookViewId="0">
      <selection activeCell="F26" sqref="F26"/>
    </sheetView>
  </sheetViews>
  <sheetFormatPr baseColWidth="10" defaultColWidth="9.1796875" defaultRowHeight="14.5" x14ac:dyDescent="0.35"/>
  <cols>
    <col min="1" max="1" width="13.81640625" customWidth="1"/>
    <col min="2" max="2" width="11.453125" bestFit="1" customWidth="1"/>
    <col min="3" max="3" width="18.81640625" bestFit="1" customWidth="1"/>
    <col min="4" max="4" width="15" bestFit="1" customWidth="1"/>
    <col min="5" max="14" width="13.453125" bestFit="1" customWidth="1"/>
    <col min="15" max="18" width="14.1796875" bestFit="1" customWidth="1"/>
    <col min="19" max="28" width="13.453125" bestFit="1" customWidth="1"/>
    <col min="29" max="29" width="27.1796875" bestFit="1" customWidth="1"/>
  </cols>
  <sheetData>
    <row r="1" spans="1:29" x14ac:dyDescent="0.35">
      <c r="A1" s="1" t="s">
        <v>79</v>
      </c>
      <c r="B1" s="4"/>
      <c r="D1" s="1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5"/>
    </row>
    <row r="2" spans="1:29" x14ac:dyDescent="0.35">
      <c r="A2" t="s">
        <v>1</v>
      </c>
      <c r="B2" s="4"/>
      <c r="D2" s="1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25"/>
    </row>
    <row r="3" spans="1:29" x14ac:dyDescent="0.35">
      <c r="A3" t="s">
        <v>2</v>
      </c>
      <c r="B3" s="4"/>
      <c r="D3" s="1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5"/>
    </row>
    <row r="4" spans="1:29" x14ac:dyDescent="0.35">
      <c r="D4" s="15"/>
      <c r="AC4" s="25"/>
    </row>
    <row r="5" spans="1:29" x14ac:dyDescent="0.35">
      <c r="D5" s="15"/>
      <c r="AC5" s="25"/>
    </row>
    <row r="6" spans="1:29" ht="15" thickBot="1" x14ac:dyDescent="0.4">
      <c r="D6" s="15"/>
      <c r="AC6" s="25"/>
    </row>
    <row r="7" spans="1:29" ht="29.5" customHeight="1" x14ac:dyDescent="0.35">
      <c r="A7" s="10" t="s">
        <v>53</v>
      </c>
      <c r="B7" s="11" t="s">
        <v>26</v>
      </c>
      <c r="C7" s="11" t="s">
        <v>54</v>
      </c>
      <c r="D7" s="16" t="s">
        <v>28</v>
      </c>
      <c r="E7" s="11" t="s">
        <v>29</v>
      </c>
      <c r="F7" s="11" t="s">
        <v>30</v>
      </c>
      <c r="G7" s="11" t="s">
        <v>31</v>
      </c>
      <c r="H7" s="11" t="s">
        <v>32</v>
      </c>
      <c r="I7" s="11" t="s">
        <v>33</v>
      </c>
      <c r="J7" s="11" t="s">
        <v>34</v>
      </c>
      <c r="K7" s="11" t="s">
        <v>35</v>
      </c>
      <c r="L7" s="11" t="s">
        <v>36</v>
      </c>
      <c r="M7" s="11" t="s">
        <v>37</v>
      </c>
      <c r="N7" s="11" t="s">
        <v>38</v>
      </c>
      <c r="O7" s="11" t="s">
        <v>39</v>
      </c>
      <c r="P7" s="11" t="s">
        <v>40</v>
      </c>
      <c r="Q7" s="11" t="s">
        <v>41</v>
      </c>
      <c r="R7" s="11" t="s">
        <v>42</v>
      </c>
      <c r="S7" s="11" t="s">
        <v>43</v>
      </c>
      <c r="T7" s="11" t="s">
        <v>44</v>
      </c>
      <c r="U7" s="11" t="s">
        <v>45</v>
      </c>
      <c r="V7" s="11" t="s">
        <v>46</v>
      </c>
      <c r="W7" s="11" t="s">
        <v>47</v>
      </c>
      <c r="X7" s="11" t="s">
        <v>48</v>
      </c>
      <c r="Y7" s="11" t="s">
        <v>49</v>
      </c>
      <c r="Z7" s="11" t="s">
        <v>50</v>
      </c>
      <c r="AA7" s="11" t="s">
        <v>51</v>
      </c>
      <c r="AB7" s="11" t="s">
        <v>52</v>
      </c>
      <c r="AC7" s="12" t="s">
        <v>55</v>
      </c>
    </row>
    <row r="8" spans="1:29" ht="15" thickBot="1" x14ac:dyDescent="0.4">
      <c r="A8" s="64">
        <v>2030</v>
      </c>
      <c r="B8" s="27" t="s">
        <v>56</v>
      </c>
      <c r="C8" s="26" t="s">
        <v>68</v>
      </c>
      <c r="D8" s="17">
        <v>31</v>
      </c>
      <c r="E8" s="9">
        <v>13440</v>
      </c>
      <c r="F8" s="9">
        <v>13440</v>
      </c>
      <c r="G8" s="9">
        <v>13440</v>
      </c>
      <c r="H8" s="9">
        <v>13440</v>
      </c>
      <c r="I8" s="9">
        <v>13440</v>
      </c>
      <c r="J8" s="9">
        <v>13440</v>
      </c>
      <c r="K8" s="9">
        <v>13440</v>
      </c>
      <c r="L8" s="9">
        <v>13440</v>
      </c>
      <c r="M8" s="9">
        <v>13440</v>
      </c>
      <c r="N8" s="9">
        <v>13440</v>
      </c>
      <c r="O8" s="9">
        <v>13440</v>
      </c>
      <c r="P8" s="9">
        <v>13440</v>
      </c>
      <c r="Q8" s="9">
        <v>13440</v>
      </c>
      <c r="R8" s="9">
        <v>13440</v>
      </c>
      <c r="S8" s="9">
        <v>13440</v>
      </c>
      <c r="T8" s="9">
        <v>13440</v>
      </c>
      <c r="U8" s="9">
        <v>13440</v>
      </c>
      <c r="V8" s="9">
        <v>13440</v>
      </c>
      <c r="W8" s="9">
        <v>13440</v>
      </c>
      <c r="X8" s="9">
        <v>13440</v>
      </c>
      <c r="Y8" s="9">
        <v>13440</v>
      </c>
      <c r="Z8" s="9">
        <v>13440</v>
      </c>
      <c r="AA8" s="9">
        <v>13440</v>
      </c>
      <c r="AB8" s="9">
        <v>13440</v>
      </c>
      <c r="AC8" s="13">
        <f>SUM(E8:AB8)*D8</f>
        <v>9999360</v>
      </c>
    </row>
    <row r="9" spans="1:29" x14ac:dyDescent="0.35">
      <c r="A9" s="64"/>
      <c r="B9" s="27" t="s">
        <v>57</v>
      </c>
      <c r="C9" s="26" t="s">
        <v>68</v>
      </c>
      <c r="D9" s="17">
        <v>28</v>
      </c>
      <c r="E9" s="39">
        <v>13440</v>
      </c>
      <c r="F9" s="40">
        <v>13440</v>
      </c>
      <c r="G9" s="40">
        <v>13440</v>
      </c>
      <c r="H9" s="40">
        <v>13440</v>
      </c>
      <c r="I9" s="40">
        <v>13440</v>
      </c>
      <c r="J9" s="40">
        <v>13440</v>
      </c>
      <c r="K9" s="40">
        <v>13440</v>
      </c>
      <c r="L9" s="40">
        <v>13440</v>
      </c>
      <c r="M9" s="40">
        <v>13440</v>
      </c>
      <c r="N9" s="40">
        <v>13440</v>
      </c>
      <c r="O9" s="40">
        <v>13440</v>
      </c>
      <c r="P9" s="40">
        <v>13440</v>
      </c>
      <c r="Q9" s="40">
        <v>13440</v>
      </c>
      <c r="R9" s="40">
        <v>13440</v>
      </c>
      <c r="S9" s="40">
        <v>13440</v>
      </c>
      <c r="T9" s="40">
        <v>13440</v>
      </c>
      <c r="U9" s="40">
        <v>13440</v>
      </c>
      <c r="V9" s="40">
        <v>13440</v>
      </c>
      <c r="W9" s="40">
        <v>13440</v>
      </c>
      <c r="X9" s="40">
        <v>13440</v>
      </c>
      <c r="Y9" s="40">
        <v>13440</v>
      </c>
      <c r="Z9" s="40">
        <v>13440</v>
      </c>
      <c r="AA9" s="40">
        <v>13440</v>
      </c>
      <c r="AB9" s="41">
        <v>13440</v>
      </c>
      <c r="AC9" s="13">
        <f t="shared" ref="AC9:AC19" si="0">SUM(E9:AB9)*D9</f>
        <v>9031680</v>
      </c>
    </row>
    <row r="10" spans="1:29" x14ac:dyDescent="0.35">
      <c r="A10" s="64"/>
      <c r="B10" s="27" t="s">
        <v>58</v>
      </c>
      <c r="C10" s="26" t="s">
        <v>68</v>
      </c>
      <c r="D10" s="17">
        <v>31</v>
      </c>
      <c r="E10" s="42">
        <v>13440</v>
      </c>
      <c r="F10" s="9">
        <v>13440</v>
      </c>
      <c r="G10" s="9">
        <v>13440</v>
      </c>
      <c r="H10" s="9">
        <v>13440</v>
      </c>
      <c r="I10" s="9">
        <v>13440</v>
      </c>
      <c r="J10" s="9">
        <v>13440</v>
      </c>
      <c r="K10" s="9">
        <v>13440</v>
      </c>
      <c r="L10" s="9">
        <v>13440</v>
      </c>
      <c r="M10" s="9">
        <v>13440</v>
      </c>
      <c r="N10" s="9">
        <v>13440</v>
      </c>
      <c r="O10" s="9">
        <v>13440</v>
      </c>
      <c r="P10" s="9">
        <v>13440</v>
      </c>
      <c r="Q10" s="9">
        <v>13440</v>
      </c>
      <c r="R10" s="9">
        <v>13440</v>
      </c>
      <c r="S10" s="9">
        <v>13440</v>
      </c>
      <c r="T10" s="9">
        <v>13440</v>
      </c>
      <c r="U10" s="9">
        <v>13440</v>
      </c>
      <c r="V10" s="9">
        <v>13440</v>
      </c>
      <c r="W10" s="9">
        <v>13440</v>
      </c>
      <c r="X10" s="9">
        <v>13440</v>
      </c>
      <c r="Y10" s="9">
        <v>13440</v>
      </c>
      <c r="Z10" s="9">
        <v>13440</v>
      </c>
      <c r="AA10" s="9">
        <v>13440</v>
      </c>
      <c r="AB10" s="43">
        <v>13440</v>
      </c>
      <c r="AC10" s="13">
        <f t="shared" si="0"/>
        <v>9999360</v>
      </c>
    </row>
    <row r="11" spans="1:29" x14ac:dyDescent="0.35">
      <c r="A11" s="64"/>
      <c r="B11" s="27" t="s">
        <v>59</v>
      </c>
      <c r="C11" s="26" t="s">
        <v>68</v>
      </c>
      <c r="D11" s="17">
        <v>30</v>
      </c>
      <c r="E11" s="42">
        <v>13440</v>
      </c>
      <c r="F11" s="9">
        <v>13440</v>
      </c>
      <c r="G11" s="9">
        <v>13440</v>
      </c>
      <c r="H11" s="9">
        <v>13440</v>
      </c>
      <c r="I11" s="9">
        <v>13440</v>
      </c>
      <c r="J11" s="9">
        <v>13440</v>
      </c>
      <c r="K11" s="9">
        <v>13440</v>
      </c>
      <c r="L11" s="9">
        <v>13440</v>
      </c>
      <c r="M11" s="9">
        <v>13440</v>
      </c>
      <c r="N11" s="9">
        <v>13440</v>
      </c>
      <c r="O11" s="9">
        <v>13440</v>
      </c>
      <c r="P11" s="9">
        <v>13440</v>
      </c>
      <c r="Q11" s="9">
        <v>13440</v>
      </c>
      <c r="R11" s="9">
        <v>13440</v>
      </c>
      <c r="S11" s="9">
        <v>13440</v>
      </c>
      <c r="T11" s="9">
        <v>13440</v>
      </c>
      <c r="U11" s="9">
        <v>13440</v>
      </c>
      <c r="V11" s="9">
        <v>13440</v>
      </c>
      <c r="W11" s="9">
        <v>13440</v>
      </c>
      <c r="X11" s="9">
        <v>13440</v>
      </c>
      <c r="Y11" s="9">
        <v>13440</v>
      </c>
      <c r="Z11" s="9">
        <v>13440</v>
      </c>
      <c r="AA11" s="9">
        <v>13440</v>
      </c>
      <c r="AB11" s="43">
        <v>13440</v>
      </c>
      <c r="AC11" s="13">
        <f t="shared" si="0"/>
        <v>9676800</v>
      </c>
    </row>
    <row r="12" spans="1:29" x14ac:dyDescent="0.35">
      <c r="A12" s="64"/>
      <c r="B12" s="27" t="s">
        <v>60</v>
      </c>
      <c r="C12" s="26" t="s">
        <v>68</v>
      </c>
      <c r="D12" s="17">
        <v>31</v>
      </c>
      <c r="E12" s="42">
        <v>13440</v>
      </c>
      <c r="F12" s="9">
        <v>13440</v>
      </c>
      <c r="G12" s="9">
        <v>13440</v>
      </c>
      <c r="H12" s="9">
        <v>13440</v>
      </c>
      <c r="I12" s="9">
        <v>13440</v>
      </c>
      <c r="J12" s="9">
        <v>13440</v>
      </c>
      <c r="K12" s="9">
        <v>13440</v>
      </c>
      <c r="L12" s="9">
        <v>13440</v>
      </c>
      <c r="M12" s="9">
        <v>13440</v>
      </c>
      <c r="N12" s="9">
        <v>13440</v>
      </c>
      <c r="O12" s="9">
        <v>13440</v>
      </c>
      <c r="P12" s="9">
        <v>13440</v>
      </c>
      <c r="Q12" s="9">
        <v>13440</v>
      </c>
      <c r="R12" s="9">
        <v>13440</v>
      </c>
      <c r="S12" s="9">
        <v>13440</v>
      </c>
      <c r="T12" s="9">
        <v>13440</v>
      </c>
      <c r="U12" s="9">
        <v>13440</v>
      </c>
      <c r="V12" s="9">
        <v>13440</v>
      </c>
      <c r="W12" s="9">
        <v>13440</v>
      </c>
      <c r="X12" s="9">
        <v>13440</v>
      </c>
      <c r="Y12" s="9">
        <v>13440</v>
      </c>
      <c r="Z12" s="9">
        <v>13440</v>
      </c>
      <c r="AA12" s="9">
        <v>13440</v>
      </c>
      <c r="AB12" s="43">
        <v>13440</v>
      </c>
      <c r="AC12" s="13">
        <f t="shared" si="0"/>
        <v>9999360</v>
      </c>
    </row>
    <row r="13" spans="1:29" x14ac:dyDescent="0.35">
      <c r="A13" s="64"/>
      <c r="B13" s="27" t="s">
        <v>61</v>
      </c>
      <c r="C13" s="26" t="s">
        <v>68</v>
      </c>
      <c r="D13" s="17">
        <v>30</v>
      </c>
      <c r="E13" s="42">
        <v>13440</v>
      </c>
      <c r="F13" s="9">
        <v>13440</v>
      </c>
      <c r="G13" s="9">
        <v>13440</v>
      </c>
      <c r="H13" s="9">
        <v>13440</v>
      </c>
      <c r="I13" s="9">
        <v>13440</v>
      </c>
      <c r="J13" s="9">
        <v>13440</v>
      </c>
      <c r="K13" s="9">
        <v>13440</v>
      </c>
      <c r="L13" s="9">
        <v>13440</v>
      </c>
      <c r="M13" s="9">
        <v>13440</v>
      </c>
      <c r="N13" s="9">
        <v>13440</v>
      </c>
      <c r="O13" s="9">
        <v>13440</v>
      </c>
      <c r="P13" s="9">
        <v>13440</v>
      </c>
      <c r="Q13" s="9">
        <v>13440</v>
      </c>
      <c r="R13" s="9">
        <v>13440</v>
      </c>
      <c r="S13" s="9">
        <v>13440</v>
      </c>
      <c r="T13" s="9">
        <v>13440</v>
      </c>
      <c r="U13" s="9">
        <v>13440</v>
      </c>
      <c r="V13" s="9">
        <v>13440</v>
      </c>
      <c r="W13" s="9">
        <v>13440</v>
      </c>
      <c r="X13" s="9">
        <v>13440</v>
      </c>
      <c r="Y13" s="9">
        <v>13440</v>
      </c>
      <c r="Z13" s="9">
        <v>13440</v>
      </c>
      <c r="AA13" s="9">
        <v>13440</v>
      </c>
      <c r="AB13" s="43">
        <v>13440</v>
      </c>
      <c r="AC13" s="13">
        <f t="shared" si="0"/>
        <v>9676800</v>
      </c>
    </row>
    <row r="14" spans="1:29" x14ac:dyDescent="0.35">
      <c r="A14" s="64"/>
      <c r="B14" s="27" t="s">
        <v>62</v>
      </c>
      <c r="C14" s="26" t="s">
        <v>68</v>
      </c>
      <c r="D14" s="17">
        <v>31</v>
      </c>
      <c r="E14" s="42">
        <v>13440</v>
      </c>
      <c r="F14" s="9">
        <v>13440</v>
      </c>
      <c r="G14" s="9">
        <v>13440</v>
      </c>
      <c r="H14" s="9">
        <v>13440</v>
      </c>
      <c r="I14" s="9">
        <v>13440</v>
      </c>
      <c r="J14" s="9">
        <v>13440</v>
      </c>
      <c r="K14" s="9">
        <v>13440</v>
      </c>
      <c r="L14" s="9">
        <v>13440</v>
      </c>
      <c r="M14" s="9">
        <v>13440</v>
      </c>
      <c r="N14" s="9">
        <v>13440</v>
      </c>
      <c r="O14" s="9">
        <v>13440</v>
      </c>
      <c r="P14" s="9">
        <v>13440</v>
      </c>
      <c r="Q14" s="9">
        <v>13440</v>
      </c>
      <c r="R14" s="9">
        <v>13440</v>
      </c>
      <c r="S14" s="9">
        <v>13440</v>
      </c>
      <c r="T14" s="9">
        <v>13440</v>
      </c>
      <c r="U14" s="9">
        <v>13440</v>
      </c>
      <c r="V14" s="9">
        <v>13440</v>
      </c>
      <c r="W14" s="9">
        <v>13440</v>
      </c>
      <c r="X14" s="9">
        <v>13440</v>
      </c>
      <c r="Y14" s="9">
        <v>13440</v>
      </c>
      <c r="Z14" s="9">
        <v>13440</v>
      </c>
      <c r="AA14" s="9">
        <v>13440</v>
      </c>
      <c r="AB14" s="43">
        <v>13440</v>
      </c>
      <c r="AC14" s="13">
        <f t="shared" si="0"/>
        <v>9999360</v>
      </c>
    </row>
    <row r="15" spans="1:29" x14ac:dyDescent="0.35">
      <c r="A15" s="64"/>
      <c r="B15" s="27" t="s">
        <v>63</v>
      </c>
      <c r="C15" s="26" t="s">
        <v>68</v>
      </c>
      <c r="D15" s="17">
        <v>31</v>
      </c>
      <c r="E15" s="42">
        <v>13440</v>
      </c>
      <c r="F15" s="9">
        <v>13440</v>
      </c>
      <c r="G15" s="9">
        <v>13440</v>
      </c>
      <c r="H15" s="9">
        <v>13440</v>
      </c>
      <c r="I15" s="9">
        <v>13440</v>
      </c>
      <c r="J15" s="9">
        <v>13440</v>
      </c>
      <c r="K15" s="9">
        <v>13440</v>
      </c>
      <c r="L15" s="9">
        <v>13440</v>
      </c>
      <c r="M15" s="9">
        <v>13440</v>
      </c>
      <c r="N15" s="9">
        <v>13440</v>
      </c>
      <c r="O15" s="9">
        <v>13440</v>
      </c>
      <c r="P15" s="9">
        <v>13440</v>
      </c>
      <c r="Q15" s="9">
        <v>13440</v>
      </c>
      <c r="R15" s="9">
        <v>13440</v>
      </c>
      <c r="S15" s="9">
        <v>13440</v>
      </c>
      <c r="T15" s="9">
        <v>13440</v>
      </c>
      <c r="U15" s="9">
        <v>13440</v>
      </c>
      <c r="V15" s="9">
        <v>13440</v>
      </c>
      <c r="W15" s="9">
        <v>13440</v>
      </c>
      <c r="X15" s="9">
        <v>13440</v>
      </c>
      <c r="Y15" s="9">
        <v>13440</v>
      </c>
      <c r="Z15" s="9">
        <v>13440</v>
      </c>
      <c r="AA15" s="9">
        <v>13440</v>
      </c>
      <c r="AB15" s="43">
        <v>13440</v>
      </c>
      <c r="AC15" s="13">
        <f t="shared" si="0"/>
        <v>9999360</v>
      </c>
    </row>
    <row r="16" spans="1:29" x14ac:dyDescent="0.35">
      <c r="A16" s="64"/>
      <c r="B16" s="27" t="s">
        <v>64</v>
      </c>
      <c r="C16" s="26" t="s">
        <v>68</v>
      </c>
      <c r="D16" s="17">
        <v>30</v>
      </c>
      <c r="E16" s="42">
        <v>13440</v>
      </c>
      <c r="F16" s="9">
        <v>13440</v>
      </c>
      <c r="G16" s="9">
        <v>13440</v>
      </c>
      <c r="H16" s="9">
        <v>13440</v>
      </c>
      <c r="I16" s="9">
        <v>13440</v>
      </c>
      <c r="J16" s="9">
        <v>13440</v>
      </c>
      <c r="K16" s="9">
        <v>13440</v>
      </c>
      <c r="L16" s="9">
        <v>13440</v>
      </c>
      <c r="M16" s="9">
        <v>13440</v>
      </c>
      <c r="N16" s="9">
        <v>13440</v>
      </c>
      <c r="O16" s="9">
        <v>13440</v>
      </c>
      <c r="P16" s="9">
        <v>13440</v>
      </c>
      <c r="Q16" s="9">
        <v>13440</v>
      </c>
      <c r="R16" s="9">
        <v>13440</v>
      </c>
      <c r="S16" s="9">
        <v>13440</v>
      </c>
      <c r="T16" s="9">
        <v>13440</v>
      </c>
      <c r="U16" s="9">
        <v>13440</v>
      </c>
      <c r="V16" s="9">
        <v>13440</v>
      </c>
      <c r="W16" s="9">
        <v>13440</v>
      </c>
      <c r="X16" s="9">
        <v>13440</v>
      </c>
      <c r="Y16" s="9">
        <v>13440</v>
      </c>
      <c r="Z16" s="9">
        <v>13440</v>
      </c>
      <c r="AA16" s="9">
        <v>13440</v>
      </c>
      <c r="AB16" s="43">
        <v>13440</v>
      </c>
      <c r="AC16" s="13">
        <f t="shared" si="0"/>
        <v>9676800</v>
      </c>
    </row>
    <row r="17" spans="1:29" x14ac:dyDescent="0.35">
      <c r="A17" s="64"/>
      <c r="B17" s="27" t="s">
        <v>65</v>
      </c>
      <c r="C17" s="26" t="s">
        <v>68</v>
      </c>
      <c r="D17" s="17">
        <v>31</v>
      </c>
      <c r="E17" s="42">
        <v>13440</v>
      </c>
      <c r="F17" s="9">
        <v>13440</v>
      </c>
      <c r="G17" s="9">
        <v>13440</v>
      </c>
      <c r="H17" s="9">
        <v>13440</v>
      </c>
      <c r="I17" s="9">
        <v>13440</v>
      </c>
      <c r="J17" s="9">
        <v>13440</v>
      </c>
      <c r="K17" s="9">
        <v>13440</v>
      </c>
      <c r="L17" s="9">
        <v>13440</v>
      </c>
      <c r="M17" s="9">
        <v>13440</v>
      </c>
      <c r="N17" s="9">
        <v>13440</v>
      </c>
      <c r="O17" s="9">
        <v>13440</v>
      </c>
      <c r="P17" s="9">
        <v>13440</v>
      </c>
      <c r="Q17" s="9">
        <v>13440</v>
      </c>
      <c r="R17" s="9">
        <v>13440</v>
      </c>
      <c r="S17" s="9">
        <v>13440</v>
      </c>
      <c r="T17" s="9">
        <v>13440</v>
      </c>
      <c r="U17" s="9">
        <v>13440</v>
      </c>
      <c r="V17" s="9">
        <v>13440</v>
      </c>
      <c r="W17" s="9">
        <v>13440</v>
      </c>
      <c r="X17" s="9">
        <v>13440</v>
      </c>
      <c r="Y17" s="9">
        <v>13440</v>
      </c>
      <c r="Z17" s="9">
        <v>13440</v>
      </c>
      <c r="AA17" s="9">
        <v>13440</v>
      </c>
      <c r="AB17" s="43">
        <v>13440</v>
      </c>
      <c r="AC17" s="13">
        <f t="shared" si="0"/>
        <v>9999360</v>
      </c>
    </row>
    <row r="18" spans="1:29" x14ac:dyDescent="0.35">
      <c r="A18" s="64"/>
      <c r="B18" s="27" t="s">
        <v>66</v>
      </c>
      <c r="C18" s="26" t="s">
        <v>68</v>
      </c>
      <c r="D18" s="17">
        <v>30</v>
      </c>
      <c r="E18" s="42">
        <v>13440</v>
      </c>
      <c r="F18" s="9">
        <v>13440</v>
      </c>
      <c r="G18" s="9">
        <v>13440</v>
      </c>
      <c r="H18" s="9">
        <v>13440</v>
      </c>
      <c r="I18" s="9">
        <v>13440</v>
      </c>
      <c r="J18" s="9">
        <v>13440</v>
      </c>
      <c r="K18" s="9">
        <v>13440</v>
      </c>
      <c r="L18" s="9">
        <v>13440</v>
      </c>
      <c r="M18" s="9">
        <v>13440</v>
      </c>
      <c r="N18" s="9">
        <v>13440</v>
      </c>
      <c r="O18" s="9">
        <v>13440</v>
      </c>
      <c r="P18" s="9">
        <v>13440</v>
      </c>
      <c r="Q18" s="9">
        <v>13440</v>
      </c>
      <c r="R18" s="9">
        <v>13440</v>
      </c>
      <c r="S18" s="9">
        <v>13440</v>
      </c>
      <c r="T18" s="9">
        <v>13440</v>
      </c>
      <c r="U18" s="9">
        <v>13440</v>
      </c>
      <c r="V18" s="9">
        <v>13440</v>
      </c>
      <c r="W18" s="9">
        <v>13440</v>
      </c>
      <c r="X18" s="9">
        <v>13440</v>
      </c>
      <c r="Y18" s="9">
        <v>13440</v>
      </c>
      <c r="Z18" s="9">
        <v>13440</v>
      </c>
      <c r="AA18" s="9">
        <v>13440</v>
      </c>
      <c r="AB18" s="43">
        <v>13440</v>
      </c>
      <c r="AC18" s="13">
        <f t="shared" si="0"/>
        <v>9676800</v>
      </c>
    </row>
    <row r="19" spans="1:29" ht="15" thickBot="1" x14ac:dyDescent="0.4">
      <c r="A19" s="65"/>
      <c r="B19" s="28" t="s">
        <v>67</v>
      </c>
      <c r="C19" s="29" t="s">
        <v>68</v>
      </c>
      <c r="D19" s="18">
        <v>31</v>
      </c>
      <c r="E19" s="44">
        <v>13440</v>
      </c>
      <c r="F19" s="38">
        <v>13440</v>
      </c>
      <c r="G19" s="38">
        <v>13440</v>
      </c>
      <c r="H19" s="38">
        <v>13440</v>
      </c>
      <c r="I19" s="38">
        <v>13440</v>
      </c>
      <c r="J19" s="38">
        <v>13440</v>
      </c>
      <c r="K19" s="38">
        <v>13440</v>
      </c>
      <c r="L19" s="38">
        <v>13440</v>
      </c>
      <c r="M19" s="38">
        <v>13440</v>
      </c>
      <c r="N19" s="38">
        <v>13440</v>
      </c>
      <c r="O19" s="38">
        <v>13440</v>
      </c>
      <c r="P19" s="38">
        <v>13440</v>
      </c>
      <c r="Q19" s="38">
        <v>13440</v>
      </c>
      <c r="R19" s="38">
        <v>13440</v>
      </c>
      <c r="S19" s="38">
        <v>13440</v>
      </c>
      <c r="T19" s="38">
        <v>13440</v>
      </c>
      <c r="U19" s="38">
        <v>13440</v>
      </c>
      <c r="V19" s="38">
        <v>13440</v>
      </c>
      <c r="W19" s="38">
        <v>13440</v>
      </c>
      <c r="X19" s="38">
        <v>13440</v>
      </c>
      <c r="Y19" s="38">
        <v>13440</v>
      </c>
      <c r="Z19" s="38">
        <v>13440</v>
      </c>
      <c r="AA19" s="38">
        <v>13440</v>
      </c>
      <c r="AB19" s="45">
        <v>13440</v>
      </c>
      <c r="AC19" s="14">
        <f t="shared" si="0"/>
        <v>9999360</v>
      </c>
    </row>
    <row r="20" spans="1:29" x14ac:dyDescent="0.35">
      <c r="AB20" s="30" t="s">
        <v>27</v>
      </c>
      <c r="AC20" s="31">
        <f>SUM(AC8:AC19)</f>
        <v>117734400</v>
      </c>
    </row>
  </sheetData>
  <mergeCells count="1">
    <mergeCell ref="A8:A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75F0-EFA1-4F15-AB64-CBA30C6C60B3}">
  <dimension ref="A1:AC20"/>
  <sheetViews>
    <sheetView zoomScale="55" zoomScaleNormal="55" workbookViewId="0">
      <selection activeCell="G23" sqref="G23"/>
    </sheetView>
  </sheetViews>
  <sheetFormatPr baseColWidth="10" defaultColWidth="9.1796875" defaultRowHeight="14.5" x14ac:dyDescent="0.35"/>
  <cols>
    <col min="1" max="1" width="13.81640625" customWidth="1"/>
    <col min="2" max="2" width="11.453125" bestFit="1" customWidth="1"/>
    <col min="3" max="3" width="18.81640625" bestFit="1" customWidth="1"/>
    <col min="4" max="4" width="15" bestFit="1" customWidth="1"/>
    <col min="5" max="14" width="13.453125" bestFit="1" customWidth="1"/>
    <col min="15" max="18" width="14.1796875" bestFit="1" customWidth="1"/>
    <col min="19" max="28" width="13.453125" bestFit="1" customWidth="1"/>
    <col min="29" max="29" width="27.1796875" bestFit="1" customWidth="1"/>
  </cols>
  <sheetData>
    <row r="1" spans="1:29" x14ac:dyDescent="0.35">
      <c r="A1" s="1" t="s">
        <v>80</v>
      </c>
      <c r="B1" s="4"/>
      <c r="D1" s="1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5"/>
    </row>
    <row r="2" spans="1:29" x14ac:dyDescent="0.35">
      <c r="A2" t="s">
        <v>1</v>
      </c>
      <c r="B2" s="4"/>
      <c r="D2" s="1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25"/>
    </row>
    <row r="3" spans="1:29" x14ac:dyDescent="0.35">
      <c r="A3" t="s">
        <v>2</v>
      </c>
      <c r="B3" s="4"/>
      <c r="D3" s="1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5"/>
    </row>
    <row r="4" spans="1:29" x14ac:dyDescent="0.35">
      <c r="D4" s="15"/>
      <c r="AC4" s="25"/>
    </row>
    <row r="5" spans="1:29" x14ac:dyDescent="0.35">
      <c r="D5" s="15"/>
      <c r="AC5" s="25"/>
    </row>
    <row r="6" spans="1:29" ht="15" thickBot="1" x14ac:dyDescent="0.4">
      <c r="D6" s="15"/>
      <c r="AC6" s="25"/>
    </row>
    <row r="7" spans="1:29" ht="29.5" customHeight="1" thickBot="1" x14ac:dyDescent="0.4">
      <c r="A7" s="10" t="s">
        <v>53</v>
      </c>
      <c r="B7" s="11" t="s">
        <v>26</v>
      </c>
      <c r="C7" s="11" t="s">
        <v>54</v>
      </c>
      <c r="D7" s="16" t="s">
        <v>28</v>
      </c>
      <c r="E7" s="11" t="s">
        <v>29</v>
      </c>
      <c r="F7" s="11" t="s">
        <v>30</v>
      </c>
      <c r="G7" s="11" t="s">
        <v>31</v>
      </c>
      <c r="H7" s="11" t="s">
        <v>32</v>
      </c>
      <c r="I7" s="11" t="s">
        <v>33</v>
      </c>
      <c r="J7" s="11" t="s">
        <v>34</v>
      </c>
      <c r="K7" s="11" t="s">
        <v>35</v>
      </c>
      <c r="L7" s="11" t="s">
        <v>36</v>
      </c>
      <c r="M7" s="11" t="s">
        <v>37</v>
      </c>
      <c r="N7" s="11" t="s">
        <v>38</v>
      </c>
      <c r="O7" s="11" t="s">
        <v>39</v>
      </c>
      <c r="P7" s="11" t="s">
        <v>40</v>
      </c>
      <c r="Q7" s="11" t="s">
        <v>41</v>
      </c>
      <c r="R7" s="11" t="s">
        <v>42</v>
      </c>
      <c r="S7" s="11" t="s">
        <v>43</v>
      </c>
      <c r="T7" s="11" t="s">
        <v>44</v>
      </c>
      <c r="U7" s="11" t="s">
        <v>45</v>
      </c>
      <c r="V7" s="11" t="s">
        <v>46</v>
      </c>
      <c r="W7" s="11" t="s">
        <v>47</v>
      </c>
      <c r="X7" s="11" t="s">
        <v>48</v>
      </c>
      <c r="Y7" s="11" t="s">
        <v>49</v>
      </c>
      <c r="Z7" s="11" t="s">
        <v>50</v>
      </c>
      <c r="AA7" s="11" t="s">
        <v>51</v>
      </c>
      <c r="AB7" s="11" t="s">
        <v>52</v>
      </c>
      <c r="AC7" s="12" t="s">
        <v>55</v>
      </c>
    </row>
    <row r="8" spans="1:29" x14ac:dyDescent="0.35">
      <c r="A8" s="64">
        <v>2031</v>
      </c>
      <c r="B8" s="27" t="s">
        <v>56</v>
      </c>
      <c r="C8" s="26" t="s">
        <v>68</v>
      </c>
      <c r="D8" s="17">
        <v>31</v>
      </c>
      <c r="E8" s="39">
        <v>13440</v>
      </c>
      <c r="F8" s="40">
        <v>13440</v>
      </c>
      <c r="G8" s="40">
        <v>13440</v>
      </c>
      <c r="H8" s="40">
        <v>13440</v>
      </c>
      <c r="I8" s="40">
        <v>13440</v>
      </c>
      <c r="J8" s="40">
        <v>13440</v>
      </c>
      <c r="K8" s="40">
        <v>13440</v>
      </c>
      <c r="L8" s="40">
        <v>13440</v>
      </c>
      <c r="M8" s="40">
        <v>13440</v>
      </c>
      <c r="N8" s="40">
        <v>13440</v>
      </c>
      <c r="O8" s="40">
        <v>13440</v>
      </c>
      <c r="P8" s="40">
        <v>13440</v>
      </c>
      <c r="Q8" s="40">
        <v>13440</v>
      </c>
      <c r="R8" s="40">
        <v>13440</v>
      </c>
      <c r="S8" s="40">
        <v>13440</v>
      </c>
      <c r="T8" s="40">
        <v>13440</v>
      </c>
      <c r="U8" s="40">
        <v>13440</v>
      </c>
      <c r="V8" s="40">
        <v>13440</v>
      </c>
      <c r="W8" s="40">
        <v>13440</v>
      </c>
      <c r="X8" s="40">
        <v>13440</v>
      </c>
      <c r="Y8" s="40">
        <v>13440</v>
      </c>
      <c r="Z8" s="40">
        <v>13440</v>
      </c>
      <c r="AA8" s="40">
        <v>13440</v>
      </c>
      <c r="AB8" s="41">
        <v>13440</v>
      </c>
      <c r="AC8" s="13">
        <f>SUM(E8:AB8)*D8</f>
        <v>9999360</v>
      </c>
    </row>
    <row r="9" spans="1:29" x14ac:dyDescent="0.35">
      <c r="A9" s="64"/>
      <c r="B9" s="27" t="s">
        <v>57</v>
      </c>
      <c r="C9" s="26" t="s">
        <v>68</v>
      </c>
      <c r="D9" s="17">
        <v>28</v>
      </c>
      <c r="E9" s="42">
        <v>13440</v>
      </c>
      <c r="F9" s="9">
        <v>13440</v>
      </c>
      <c r="G9" s="9">
        <v>13440</v>
      </c>
      <c r="H9" s="9">
        <v>13440</v>
      </c>
      <c r="I9" s="9">
        <v>13440</v>
      </c>
      <c r="J9" s="9">
        <v>13440</v>
      </c>
      <c r="K9" s="9">
        <v>13440</v>
      </c>
      <c r="L9" s="9">
        <v>13440</v>
      </c>
      <c r="M9" s="9">
        <v>13440</v>
      </c>
      <c r="N9" s="9">
        <v>13440</v>
      </c>
      <c r="O9" s="9">
        <v>13440</v>
      </c>
      <c r="P9" s="9">
        <v>13440</v>
      </c>
      <c r="Q9" s="9">
        <v>13440</v>
      </c>
      <c r="R9" s="9">
        <v>13440</v>
      </c>
      <c r="S9" s="9">
        <v>13440</v>
      </c>
      <c r="T9" s="9">
        <v>13440</v>
      </c>
      <c r="U9" s="9">
        <v>13440</v>
      </c>
      <c r="V9" s="9">
        <v>13440</v>
      </c>
      <c r="W9" s="9">
        <v>13440</v>
      </c>
      <c r="X9" s="9">
        <v>13440</v>
      </c>
      <c r="Y9" s="9">
        <v>13440</v>
      </c>
      <c r="Z9" s="9">
        <v>13440</v>
      </c>
      <c r="AA9" s="9">
        <v>13440</v>
      </c>
      <c r="AB9" s="43">
        <v>13440</v>
      </c>
      <c r="AC9" s="13">
        <f t="shared" ref="AC9:AC19" si="0">SUM(E9:AB9)*D9</f>
        <v>9031680</v>
      </c>
    </row>
    <row r="10" spans="1:29" x14ac:dyDescent="0.35">
      <c r="A10" s="64"/>
      <c r="B10" s="27" t="s">
        <v>58</v>
      </c>
      <c r="C10" s="26" t="s">
        <v>68</v>
      </c>
      <c r="D10" s="17">
        <v>31</v>
      </c>
      <c r="E10" s="42">
        <v>13440</v>
      </c>
      <c r="F10" s="9">
        <v>13440</v>
      </c>
      <c r="G10" s="9">
        <v>13440</v>
      </c>
      <c r="H10" s="9">
        <v>13440</v>
      </c>
      <c r="I10" s="9">
        <v>13440</v>
      </c>
      <c r="J10" s="9">
        <v>13440</v>
      </c>
      <c r="K10" s="9">
        <v>13440</v>
      </c>
      <c r="L10" s="9">
        <v>13440</v>
      </c>
      <c r="M10" s="9">
        <v>13440</v>
      </c>
      <c r="N10" s="9">
        <v>13440</v>
      </c>
      <c r="O10" s="9">
        <v>13440</v>
      </c>
      <c r="P10" s="9">
        <v>13440</v>
      </c>
      <c r="Q10" s="9">
        <v>13440</v>
      </c>
      <c r="R10" s="9">
        <v>13440</v>
      </c>
      <c r="S10" s="9">
        <v>13440</v>
      </c>
      <c r="T10" s="9">
        <v>13440</v>
      </c>
      <c r="U10" s="9">
        <v>13440</v>
      </c>
      <c r="V10" s="9">
        <v>13440</v>
      </c>
      <c r="W10" s="9">
        <v>13440</v>
      </c>
      <c r="X10" s="9">
        <v>13440</v>
      </c>
      <c r="Y10" s="9">
        <v>13440</v>
      </c>
      <c r="Z10" s="9">
        <v>13440</v>
      </c>
      <c r="AA10" s="9">
        <v>13440</v>
      </c>
      <c r="AB10" s="43">
        <v>13440</v>
      </c>
      <c r="AC10" s="13">
        <f t="shared" si="0"/>
        <v>9999360</v>
      </c>
    </row>
    <row r="11" spans="1:29" x14ac:dyDescent="0.35">
      <c r="A11" s="64"/>
      <c r="B11" s="27" t="s">
        <v>59</v>
      </c>
      <c r="C11" s="26" t="s">
        <v>68</v>
      </c>
      <c r="D11" s="17">
        <v>30</v>
      </c>
      <c r="E11" s="42">
        <v>13440</v>
      </c>
      <c r="F11" s="9">
        <v>13440</v>
      </c>
      <c r="G11" s="9">
        <v>13440</v>
      </c>
      <c r="H11" s="9">
        <v>13440</v>
      </c>
      <c r="I11" s="9">
        <v>13440</v>
      </c>
      <c r="J11" s="9">
        <v>13440</v>
      </c>
      <c r="K11" s="9">
        <v>13440</v>
      </c>
      <c r="L11" s="9">
        <v>13440</v>
      </c>
      <c r="M11" s="9">
        <v>13440</v>
      </c>
      <c r="N11" s="9">
        <v>13440</v>
      </c>
      <c r="O11" s="9">
        <v>13440</v>
      </c>
      <c r="P11" s="9">
        <v>13440</v>
      </c>
      <c r="Q11" s="9">
        <v>13440</v>
      </c>
      <c r="R11" s="9">
        <v>13440</v>
      </c>
      <c r="S11" s="9">
        <v>13440</v>
      </c>
      <c r="T11" s="9">
        <v>13440</v>
      </c>
      <c r="U11" s="9">
        <v>13440</v>
      </c>
      <c r="V11" s="9">
        <v>13440</v>
      </c>
      <c r="W11" s="9">
        <v>13440</v>
      </c>
      <c r="X11" s="9">
        <v>13440</v>
      </c>
      <c r="Y11" s="9">
        <v>13440</v>
      </c>
      <c r="Z11" s="9">
        <v>13440</v>
      </c>
      <c r="AA11" s="9">
        <v>13440</v>
      </c>
      <c r="AB11" s="43">
        <v>13440</v>
      </c>
      <c r="AC11" s="13">
        <f t="shared" si="0"/>
        <v>9676800</v>
      </c>
    </row>
    <row r="12" spans="1:29" x14ac:dyDescent="0.35">
      <c r="A12" s="64"/>
      <c r="B12" s="27" t="s">
        <v>60</v>
      </c>
      <c r="C12" s="26" t="s">
        <v>68</v>
      </c>
      <c r="D12" s="17">
        <v>31</v>
      </c>
      <c r="E12" s="42">
        <v>13440</v>
      </c>
      <c r="F12" s="9">
        <v>13440</v>
      </c>
      <c r="G12" s="9">
        <v>13440</v>
      </c>
      <c r="H12" s="9">
        <v>13440</v>
      </c>
      <c r="I12" s="9">
        <v>13440</v>
      </c>
      <c r="J12" s="9">
        <v>13440</v>
      </c>
      <c r="K12" s="9">
        <v>13440</v>
      </c>
      <c r="L12" s="9">
        <v>13440</v>
      </c>
      <c r="M12" s="9">
        <v>13440</v>
      </c>
      <c r="N12" s="9">
        <v>13440</v>
      </c>
      <c r="O12" s="9">
        <v>13440</v>
      </c>
      <c r="P12" s="9">
        <v>13440</v>
      </c>
      <c r="Q12" s="9">
        <v>13440</v>
      </c>
      <c r="R12" s="9">
        <v>13440</v>
      </c>
      <c r="S12" s="9">
        <v>13440</v>
      </c>
      <c r="T12" s="9">
        <v>13440</v>
      </c>
      <c r="U12" s="9">
        <v>13440</v>
      </c>
      <c r="V12" s="9">
        <v>13440</v>
      </c>
      <c r="W12" s="9">
        <v>13440</v>
      </c>
      <c r="X12" s="9">
        <v>13440</v>
      </c>
      <c r="Y12" s="9">
        <v>13440</v>
      </c>
      <c r="Z12" s="9">
        <v>13440</v>
      </c>
      <c r="AA12" s="9">
        <v>13440</v>
      </c>
      <c r="AB12" s="43">
        <v>13440</v>
      </c>
      <c r="AC12" s="13">
        <f t="shared" si="0"/>
        <v>9999360</v>
      </c>
    </row>
    <row r="13" spans="1:29" x14ac:dyDescent="0.35">
      <c r="A13" s="64"/>
      <c r="B13" s="27" t="s">
        <v>61</v>
      </c>
      <c r="C13" s="26" t="s">
        <v>68</v>
      </c>
      <c r="D13" s="17">
        <v>30</v>
      </c>
      <c r="E13" s="42">
        <v>13440</v>
      </c>
      <c r="F13" s="9">
        <v>13440</v>
      </c>
      <c r="G13" s="9">
        <v>13440</v>
      </c>
      <c r="H13" s="9">
        <v>13440</v>
      </c>
      <c r="I13" s="9">
        <v>13440</v>
      </c>
      <c r="J13" s="9">
        <v>13440</v>
      </c>
      <c r="K13" s="9">
        <v>13440</v>
      </c>
      <c r="L13" s="9">
        <v>13440</v>
      </c>
      <c r="M13" s="9">
        <v>13440</v>
      </c>
      <c r="N13" s="9">
        <v>13440</v>
      </c>
      <c r="O13" s="9">
        <v>13440</v>
      </c>
      <c r="P13" s="9">
        <v>13440</v>
      </c>
      <c r="Q13" s="9">
        <v>13440</v>
      </c>
      <c r="R13" s="9">
        <v>13440</v>
      </c>
      <c r="S13" s="9">
        <v>13440</v>
      </c>
      <c r="T13" s="9">
        <v>13440</v>
      </c>
      <c r="U13" s="9">
        <v>13440</v>
      </c>
      <c r="V13" s="9">
        <v>13440</v>
      </c>
      <c r="W13" s="9">
        <v>13440</v>
      </c>
      <c r="X13" s="9">
        <v>13440</v>
      </c>
      <c r="Y13" s="9">
        <v>13440</v>
      </c>
      <c r="Z13" s="9">
        <v>13440</v>
      </c>
      <c r="AA13" s="9">
        <v>13440</v>
      </c>
      <c r="AB13" s="43">
        <v>13440</v>
      </c>
      <c r="AC13" s="13">
        <f t="shared" si="0"/>
        <v>9676800</v>
      </c>
    </row>
    <row r="14" spans="1:29" x14ac:dyDescent="0.35">
      <c r="A14" s="64"/>
      <c r="B14" s="27" t="s">
        <v>62</v>
      </c>
      <c r="C14" s="26" t="s">
        <v>68</v>
      </c>
      <c r="D14" s="17">
        <v>31</v>
      </c>
      <c r="E14" s="42">
        <v>13440</v>
      </c>
      <c r="F14" s="9">
        <v>13440</v>
      </c>
      <c r="G14" s="9">
        <v>13440</v>
      </c>
      <c r="H14" s="9">
        <v>13440</v>
      </c>
      <c r="I14" s="9">
        <v>13440</v>
      </c>
      <c r="J14" s="9">
        <v>13440</v>
      </c>
      <c r="K14" s="9">
        <v>13440</v>
      </c>
      <c r="L14" s="9">
        <v>13440</v>
      </c>
      <c r="M14" s="9">
        <v>13440</v>
      </c>
      <c r="N14" s="9">
        <v>13440</v>
      </c>
      <c r="O14" s="9">
        <v>13440</v>
      </c>
      <c r="P14" s="9">
        <v>13440</v>
      </c>
      <c r="Q14" s="9">
        <v>13440</v>
      </c>
      <c r="R14" s="9">
        <v>13440</v>
      </c>
      <c r="S14" s="9">
        <v>13440</v>
      </c>
      <c r="T14" s="9">
        <v>13440</v>
      </c>
      <c r="U14" s="9">
        <v>13440</v>
      </c>
      <c r="V14" s="9">
        <v>13440</v>
      </c>
      <c r="W14" s="9">
        <v>13440</v>
      </c>
      <c r="X14" s="9">
        <v>13440</v>
      </c>
      <c r="Y14" s="9">
        <v>13440</v>
      </c>
      <c r="Z14" s="9">
        <v>13440</v>
      </c>
      <c r="AA14" s="9">
        <v>13440</v>
      </c>
      <c r="AB14" s="43">
        <v>13440</v>
      </c>
      <c r="AC14" s="13">
        <f t="shared" si="0"/>
        <v>9999360</v>
      </c>
    </row>
    <row r="15" spans="1:29" x14ac:dyDescent="0.35">
      <c r="A15" s="64"/>
      <c r="B15" s="27" t="s">
        <v>63</v>
      </c>
      <c r="C15" s="26" t="s">
        <v>68</v>
      </c>
      <c r="D15" s="17">
        <v>31</v>
      </c>
      <c r="E15" s="42">
        <v>13440</v>
      </c>
      <c r="F15" s="9">
        <v>13440</v>
      </c>
      <c r="G15" s="9">
        <v>13440</v>
      </c>
      <c r="H15" s="9">
        <v>13440</v>
      </c>
      <c r="I15" s="9">
        <v>13440</v>
      </c>
      <c r="J15" s="9">
        <v>13440</v>
      </c>
      <c r="K15" s="9">
        <v>13440</v>
      </c>
      <c r="L15" s="9">
        <v>13440</v>
      </c>
      <c r="M15" s="9">
        <v>13440</v>
      </c>
      <c r="N15" s="9">
        <v>13440</v>
      </c>
      <c r="O15" s="9">
        <v>13440</v>
      </c>
      <c r="P15" s="9">
        <v>13440</v>
      </c>
      <c r="Q15" s="9">
        <v>13440</v>
      </c>
      <c r="R15" s="9">
        <v>13440</v>
      </c>
      <c r="S15" s="9">
        <v>13440</v>
      </c>
      <c r="T15" s="9">
        <v>13440</v>
      </c>
      <c r="U15" s="9">
        <v>13440</v>
      </c>
      <c r="V15" s="9">
        <v>13440</v>
      </c>
      <c r="W15" s="9">
        <v>13440</v>
      </c>
      <c r="X15" s="9">
        <v>13440</v>
      </c>
      <c r="Y15" s="9">
        <v>13440</v>
      </c>
      <c r="Z15" s="9">
        <v>13440</v>
      </c>
      <c r="AA15" s="9">
        <v>13440</v>
      </c>
      <c r="AB15" s="43">
        <v>13440</v>
      </c>
      <c r="AC15" s="13">
        <f t="shared" si="0"/>
        <v>9999360</v>
      </c>
    </row>
    <row r="16" spans="1:29" x14ac:dyDescent="0.35">
      <c r="A16" s="64"/>
      <c r="B16" s="27" t="s">
        <v>64</v>
      </c>
      <c r="C16" s="26" t="s">
        <v>68</v>
      </c>
      <c r="D16" s="17">
        <v>30</v>
      </c>
      <c r="E16" s="42">
        <v>13440</v>
      </c>
      <c r="F16" s="9">
        <v>13440</v>
      </c>
      <c r="G16" s="9">
        <v>13440</v>
      </c>
      <c r="H16" s="9">
        <v>13440</v>
      </c>
      <c r="I16" s="9">
        <v>13440</v>
      </c>
      <c r="J16" s="9">
        <v>13440</v>
      </c>
      <c r="K16" s="9">
        <v>13440</v>
      </c>
      <c r="L16" s="9">
        <v>13440</v>
      </c>
      <c r="M16" s="9">
        <v>13440</v>
      </c>
      <c r="N16" s="9">
        <v>13440</v>
      </c>
      <c r="O16" s="9">
        <v>13440</v>
      </c>
      <c r="P16" s="9">
        <v>13440</v>
      </c>
      <c r="Q16" s="9">
        <v>13440</v>
      </c>
      <c r="R16" s="9">
        <v>13440</v>
      </c>
      <c r="S16" s="9">
        <v>13440</v>
      </c>
      <c r="T16" s="9">
        <v>13440</v>
      </c>
      <c r="U16" s="9">
        <v>13440</v>
      </c>
      <c r="V16" s="9">
        <v>13440</v>
      </c>
      <c r="W16" s="9">
        <v>13440</v>
      </c>
      <c r="X16" s="9">
        <v>13440</v>
      </c>
      <c r="Y16" s="9">
        <v>13440</v>
      </c>
      <c r="Z16" s="9">
        <v>13440</v>
      </c>
      <c r="AA16" s="9">
        <v>13440</v>
      </c>
      <c r="AB16" s="43">
        <v>13440</v>
      </c>
      <c r="AC16" s="13">
        <f t="shared" si="0"/>
        <v>9676800</v>
      </c>
    </row>
    <row r="17" spans="1:29" x14ac:dyDescent="0.35">
      <c r="A17" s="64"/>
      <c r="B17" s="27" t="s">
        <v>65</v>
      </c>
      <c r="C17" s="26" t="s">
        <v>68</v>
      </c>
      <c r="D17" s="17">
        <v>31</v>
      </c>
      <c r="E17" s="42">
        <v>13440</v>
      </c>
      <c r="F17" s="9">
        <v>13440</v>
      </c>
      <c r="G17" s="9">
        <v>13440</v>
      </c>
      <c r="H17" s="9">
        <v>13440</v>
      </c>
      <c r="I17" s="9">
        <v>13440</v>
      </c>
      <c r="J17" s="9">
        <v>13440</v>
      </c>
      <c r="K17" s="9">
        <v>13440</v>
      </c>
      <c r="L17" s="9">
        <v>13440</v>
      </c>
      <c r="M17" s="9">
        <v>13440</v>
      </c>
      <c r="N17" s="9">
        <v>13440</v>
      </c>
      <c r="O17" s="9">
        <v>13440</v>
      </c>
      <c r="P17" s="9">
        <v>13440</v>
      </c>
      <c r="Q17" s="9">
        <v>13440</v>
      </c>
      <c r="R17" s="9">
        <v>13440</v>
      </c>
      <c r="S17" s="9">
        <v>13440</v>
      </c>
      <c r="T17" s="9">
        <v>13440</v>
      </c>
      <c r="U17" s="9">
        <v>13440</v>
      </c>
      <c r="V17" s="9">
        <v>13440</v>
      </c>
      <c r="W17" s="9">
        <v>13440</v>
      </c>
      <c r="X17" s="9">
        <v>13440</v>
      </c>
      <c r="Y17" s="9">
        <v>13440</v>
      </c>
      <c r="Z17" s="9">
        <v>13440</v>
      </c>
      <c r="AA17" s="9">
        <v>13440</v>
      </c>
      <c r="AB17" s="43">
        <v>13440</v>
      </c>
      <c r="AC17" s="13">
        <f t="shared" si="0"/>
        <v>9999360</v>
      </c>
    </row>
    <row r="18" spans="1:29" x14ac:dyDescent="0.35">
      <c r="A18" s="64"/>
      <c r="B18" s="27" t="s">
        <v>66</v>
      </c>
      <c r="C18" s="26" t="s">
        <v>68</v>
      </c>
      <c r="D18" s="17">
        <v>30</v>
      </c>
      <c r="E18" s="42">
        <v>13440</v>
      </c>
      <c r="F18" s="9">
        <v>13440</v>
      </c>
      <c r="G18" s="9">
        <v>13440</v>
      </c>
      <c r="H18" s="9">
        <v>13440</v>
      </c>
      <c r="I18" s="9">
        <v>13440</v>
      </c>
      <c r="J18" s="9">
        <v>13440</v>
      </c>
      <c r="K18" s="9">
        <v>13440</v>
      </c>
      <c r="L18" s="9">
        <v>13440</v>
      </c>
      <c r="M18" s="9">
        <v>13440</v>
      </c>
      <c r="N18" s="9">
        <v>13440</v>
      </c>
      <c r="O18" s="9">
        <v>13440</v>
      </c>
      <c r="P18" s="9">
        <v>13440</v>
      </c>
      <c r="Q18" s="9">
        <v>13440</v>
      </c>
      <c r="R18" s="9">
        <v>13440</v>
      </c>
      <c r="S18" s="9">
        <v>13440</v>
      </c>
      <c r="T18" s="9">
        <v>13440</v>
      </c>
      <c r="U18" s="9">
        <v>13440</v>
      </c>
      <c r="V18" s="9">
        <v>13440</v>
      </c>
      <c r="W18" s="9">
        <v>13440</v>
      </c>
      <c r="X18" s="9">
        <v>13440</v>
      </c>
      <c r="Y18" s="9">
        <v>13440</v>
      </c>
      <c r="Z18" s="9">
        <v>13440</v>
      </c>
      <c r="AA18" s="9">
        <v>13440</v>
      </c>
      <c r="AB18" s="43">
        <v>13440</v>
      </c>
      <c r="AC18" s="13">
        <f t="shared" si="0"/>
        <v>9676800</v>
      </c>
    </row>
    <row r="19" spans="1:29" ht="15" thickBot="1" x14ac:dyDescent="0.4">
      <c r="A19" s="65"/>
      <c r="B19" s="28" t="s">
        <v>67</v>
      </c>
      <c r="C19" s="29" t="s">
        <v>68</v>
      </c>
      <c r="D19" s="18">
        <v>31</v>
      </c>
      <c r="E19" s="44">
        <v>13440</v>
      </c>
      <c r="F19" s="38">
        <v>13440</v>
      </c>
      <c r="G19" s="38">
        <v>13440</v>
      </c>
      <c r="H19" s="38">
        <v>13440</v>
      </c>
      <c r="I19" s="38">
        <v>13440</v>
      </c>
      <c r="J19" s="38">
        <v>13440</v>
      </c>
      <c r="K19" s="38">
        <v>13440</v>
      </c>
      <c r="L19" s="38">
        <v>13440</v>
      </c>
      <c r="M19" s="38">
        <v>13440</v>
      </c>
      <c r="N19" s="38">
        <v>13440</v>
      </c>
      <c r="O19" s="38">
        <v>13440</v>
      </c>
      <c r="P19" s="38">
        <v>13440</v>
      </c>
      <c r="Q19" s="38">
        <v>13440</v>
      </c>
      <c r="R19" s="38">
        <v>13440</v>
      </c>
      <c r="S19" s="38">
        <v>13440</v>
      </c>
      <c r="T19" s="38">
        <v>13440</v>
      </c>
      <c r="U19" s="38">
        <v>13440</v>
      </c>
      <c r="V19" s="38">
        <v>13440</v>
      </c>
      <c r="W19" s="38">
        <v>13440</v>
      </c>
      <c r="X19" s="38">
        <v>13440</v>
      </c>
      <c r="Y19" s="38">
        <v>13440</v>
      </c>
      <c r="Z19" s="38">
        <v>13440</v>
      </c>
      <c r="AA19" s="38">
        <v>13440</v>
      </c>
      <c r="AB19" s="45">
        <v>13440</v>
      </c>
      <c r="AC19" s="13">
        <f t="shared" si="0"/>
        <v>9999360</v>
      </c>
    </row>
    <row r="20" spans="1:29" x14ac:dyDescent="0.35">
      <c r="AB20" s="30" t="s">
        <v>27</v>
      </c>
      <c r="AC20" s="31">
        <f>SUM(AC8:AC19)</f>
        <v>117734400</v>
      </c>
    </row>
  </sheetData>
  <mergeCells count="1">
    <mergeCell ref="A8:A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24DD-B27E-4D2D-991D-F88228F310F3}">
  <dimension ref="A1:AB186"/>
  <sheetViews>
    <sheetView zoomScale="55" zoomScaleNormal="55" workbookViewId="0">
      <selection activeCell="G219" sqref="G219"/>
    </sheetView>
  </sheetViews>
  <sheetFormatPr baseColWidth="10" defaultRowHeight="14.5" x14ac:dyDescent="0.35"/>
  <cols>
    <col min="3" max="3" width="15.453125" bestFit="1" customWidth="1"/>
    <col min="4" max="4" width="9.36328125" customWidth="1"/>
  </cols>
  <sheetData>
    <row r="1" spans="1:28" x14ac:dyDescent="0.35">
      <c r="A1" s="1" t="s">
        <v>115</v>
      </c>
      <c r="B1" s="4"/>
    </row>
    <row r="2" spans="1:28" x14ac:dyDescent="0.35">
      <c r="A2" t="s">
        <v>1</v>
      </c>
      <c r="B2" s="4"/>
    </row>
    <row r="3" spans="1:28" x14ac:dyDescent="0.35">
      <c r="A3" t="s">
        <v>2</v>
      </c>
      <c r="B3" s="4"/>
    </row>
    <row r="4" spans="1:28" ht="15" thickBot="1" x14ac:dyDescent="0.4">
      <c r="B4" s="4"/>
    </row>
    <row r="5" spans="1:28" ht="15" thickBot="1" x14ac:dyDescent="0.4">
      <c r="A5" s="46" t="s">
        <v>3</v>
      </c>
      <c r="B5" s="47" t="s">
        <v>4</v>
      </c>
      <c r="C5" s="48" t="s">
        <v>81</v>
      </c>
      <c r="D5" s="49" t="s">
        <v>82</v>
      </c>
      <c r="E5" s="50" t="s">
        <v>83</v>
      </c>
      <c r="F5" s="51" t="s">
        <v>84</v>
      </c>
      <c r="G5" s="51" t="s">
        <v>85</v>
      </c>
      <c r="H5" s="51" t="s">
        <v>86</v>
      </c>
      <c r="I5" s="51" t="s">
        <v>87</v>
      </c>
      <c r="J5" s="51" t="s">
        <v>88</v>
      </c>
      <c r="K5" s="51" t="s">
        <v>89</v>
      </c>
      <c r="L5" s="51" t="s">
        <v>90</v>
      </c>
      <c r="M5" s="51" t="s">
        <v>91</v>
      </c>
      <c r="N5" s="51" t="s">
        <v>92</v>
      </c>
      <c r="O5" s="51" t="s">
        <v>93</v>
      </c>
      <c r="P5" s="51" t="s">
        <v>94</v>
      </c>
      <c r="Q5" s="51" t="s">
        <v>95</v>
      </c>
      <c r="R5" s="51" t="s">
        <v>96</v>
      </c>
      <c r="S5" s="51" t="s">
        <v>97</v>
      </c>
      <c r="T5" s="51" t="s">
        <v>98</v>
      </c>
      <c r="U5" s="51" t="s">
        <v>99</v>
      </c>
      <c r="V5" s="51" t="s">
        <v>100</v>
      </c>
      <c r="W5" s="51" t="s">
        <v>101</v>
      </c>
      <c r="X5" s="51" t="s">
        <v>102</v>
      </c>
      <c r="Y5" s="51" t="s">
        <v>103</v>
      </c>
      <c r="Z5" s="51" t="s">
        <v>104</v>
      </c>
      <c r="AA5" s="51" t="s">
        <v>105</v>
      </c>
      <c r="AB5" s="52" t="s">
        <v>106</v>
      </c>
    </row>
    <row r="6" spans="1:28" x14ac:dyDescent="0.35">
      <c r="A6" s="68">
        <v>2027</v>
      </c>
      <c r="B6" s="53">
        <v>46388</v>
      </c>
      <c r="C6" s="54">
        <f>SUM(K6:V6)*D6</f>
        <v>9999999.9999999981</v>
      </c>
      <c r="D6" s="54">
        <v>31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2685.663311304028</v>
      </c>
      <c r="L6" s="55">
        <v>11408.127340052506</v>
      </c>
      <c r="M6" s="55">
        <v>21619.985771530068</v>
      </c>
      <c r="N6" s="55">
        <v>30976.234652503685</v>
      </c>
      <c r="O6" s="55">
        <v>40197.804252379472</v>
      </c>
      <c r="P6" s="55">
        <v>45283.927691486213</v>
      </c>
      <c r="Q6" s="55">
        <v>45981.091028933857</v>
      </c>
      <c r="R6" s="55">
        <v>42732.943661280013</v>
      </c>
      <c r="S6" s="55">
        <v>36244.571236625154</v>
      </c>
      <c r="T6" s="55">
        <v>26737.798453248066</v>
      </c>
      <c r="U6" s="55">
        <v>14973.167133818915</v>
      </c>
      <c r="V6" s="55">
        <v>3739.3306281283226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61">
        <v>0</v>
      </c>
    </row>
    <row r="7" spans="1:28" x14ac:dyDescent="0.35">
      <c r="A7" s="69"/>
      <c r="B7" s="76">
        <v>46419</v>
      </c>
      <c r="C7" s="56">
        <f t="shared" ref="C6:C46" si="0">SUM(K7:V7)*D7</f>
        <v>10000000</v>
      </c>
      <c r="D7" s="56">
        <v>28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2973.4129518008881</v>
      </c>
      <c r="L7" s="57">
        <v>12630.426697915274</v>
      </c>
      <c r="M7" s="57">
        <v>23936.412818479719</v>
      </c>
      <c r="N7" s="57">
        <v>34295.116936700506</v>
      </c>
      <c r="O7" s="57">
        <v>44504.711850848704</v>
      </c>
      <c r="P7" s="57">
        <v>50135.777087002592</v>
      </c>
      <c r="Q7" s="57">
        <v>50907.636496319632</v>
      </c>
      <c r="R7" s="57">
        <v>47311.473339274307</v>
      </c>
      <c r="S7" s="57">
        <v>40127.918154834988</v>
      </c>
      <c r="T7" s="57">
        <v>29602.562573238931</v>
      </c>
      <c r="U7" s="57">
        <v>16577.435041013799</v>
      </c>
      <c r="V7" s="57">
        <v>4139.9731954277859</v>
      </c>
      <c r="W7" s="57">
        <v>0</v>
      </c>
      <c r="X7" s="57">
        <v>0</v>
      </c>
      <c r="Y7" s="57">
        <v>0</v>
      </c>
      <c r="Z7" s="57">
        <v>0</v>
      </c>
      <c r="AA7" s="57">
        <v>0</v>
      </c>
      <c r="AB7" s="62">
        <v>0</v>
      </c>
    </row>
    <row r="8" spans="1:28" x14ac:dyDescent="0.35">
      <c r="A8" s="69"/>
      <c r="B8" s="76">
        <v>46447</v>
      </c>
      <c r="C8" s="56">
        <f t="shared" si="0"/>
        <v>9999999.9999999981</v>
      </c>
      <c r="D8" s="56">
        <v>31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2685.663311304028</v>
      </c>
      <c r="L8" s="57">
        <v>11408.127340052506</v>
      </c>
      <c r="M8" s="57">
        <v>21619.985771530068</v>
      </c>
      <c r="N8" s="57">
        <v>30976.234652503685</v>
      </c>
      <c r="O8" s="57">
        <v>40197.804252379472</v>
      </c>
      <c r="P8" s="57">
        <v>45283.927691486213</v>
      </c>
      <c r="Q8" s="57">
        <v>45981.091028933857</v>
      </c>
      <c r="R8" s="57">
        <v>42732.943661280013</v>
      </c>
      <c r="S8" s="57">
        <v>36244.571236625154</v>
      </c>
      <c r="T8" s="57">
        <v>26737.798453248066</v>
      </c>
      <c r="U8" s="57">
        <v>14973.167133818915</v>
      </c>
      <c r="V8" s="57">
        <v>3739.3306281283226</v>
      </c>
      <c r="W8" s="57">
        <v>0</v>
      </c>
      <c r="X8" s="57">
        <v>0</v>
      </c>
      <c r="Y8" s="57">
        <v>0</v>
      </c>
      <c r="Z8" s="57">
        <v>0</v>
      </c>
      <c r="AA8" s="57">
        <v>0</v>
      </c>
      <c r="AB8" s="62">
        <v>0</v>
      </c>
    </row>
    <row r="9" spans="1:28" x14ac:dyDescent="0.35">
      <c r="A9" s="69"/>
      <c r="B9" s="76">
        <v>46478</v>
      </c>
      <c r="C9" s="56">
        <f t="shared" si="0"/>
        <v>10000000</v>
      </c>
      <c r="D9" s="56">
        <v>30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2775.1854216808292</v>
      </c>
      <c r="L9" s="57">
        <v>11788.398251387591</v>
      </c>
      <c r="M9" s="57">
        <v>22340.651963914406</v>
      </c>
      <c r="N9" s="57">
        <v>32008.775807587146</v>
      </c>
      <c r="O9" s="57">
        <v>41537.731060792124</v>
      </c>
      <c r="P9" s="57">
        <v>46793.391947869088</v>
      </c>
      <c r="Q9" s="57">
        <v>47513.794063231653</v>
      </c>
      <c r="R9" s="57">
        <v>44157.375116656018</v>
      </c>
      <c r="S9" s="57">
        <v>37452.723611179325</v>
      </c>
      <c r="T9" s="57">
        <v>27629.058401689672</v>
      </c>
      <c r="U9" s="57">
        <v>15472.272704946212</v>
      </c>
      <c r="V9" s="57">
        <v>3863.9749823992665</v>
      </c>
      <c r="W9" s="57">
        <v>0</v>
      </c>
      <c r="X9" s="57">
        <v>0</v>
      </c>
      <c r="Y9" s="57">
        <v>0</v>
      </c>
      <c r="Z9" s="57">
        <v>0</v>
      </c>
      <c r="AA9" s="57">
        <v>0</v>
      </c>
      <c r="AB9" s="62">
        <v>0</v>
      </c>
    </row>
    <row r="10" spans="1:28" x14ac:dyDescent="0.35">
      <c r="A10" s="69"/>
      <c r="B10" s="76">
        <v>46508</v>
      </c>
      <c r="C10" s="56">
        <f t="shared" si="0"/>
        <v>9999999.9999999981</v>
      </c>
      <c r="D10" s="56">
        <v>31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2685.663311304028</v>
      </c>
      <c r="L10" s="57">
        <v>11408.127340052506</v>
      </c>
      <c r="M10" s="57">
        <v>21619.985771530068</v>
      </c>
      <c r="N10" s="57">
        <v>30976.234652503685</v>
      </c>
      <c r="O10" s="57">
        <v>40197.804252379472</v>
      </c>
      <c r="P10" s="57">
        <v>45283.927691486213</v>
      </c>
      <c r="Q10" s="57">
        <v>45981.091028933857</v>
      </c>
      <c r="R10" s="57">
        <v>42732.943661280013</v>
      </c>
      <c r="S10" s="57">
        <v>36244.571236625154</v>
      </c>
      <c r="T10" s="57">
        <v>26737.798453248066</v>
      </c>
      <c r="U10" s="57">
        <v>14973.167133818915</v>
      </c>
      <c r="V10" s="57">
        <v>3739.3306281283226</v>
      </c>
      <c r="W10" s="57">
        <v>0</v>
      </c>
      <c r="X10" s="57">
        <v>0</v>
      </c>
      <c r="Y10" s="57">
        <v>0</v>
      </c>
      <c r="Z10" s="57">
        <v>0</v>
      </c>
      <c r="AA10" s="57">
        <v>0</v>
      </c>
      <c r="AB10" s="62">
        <v>0</v>
      </c>
    </row>
    <row r="11" spans="1:28" x14ac:dyDescent="0.35">
      <c r="A11" s="69"/>
      <c r="B11" s="76">
        <v>46539</v>
      </c>
      <c r="C11" s="56">
        <f t="shared" si="0"/>
        <v>10000000</v>
      </c>
      <c r="D11" s="56">
        <v>30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2775.1854216808292</v>
      </c>
      <c r="L11" s="57">
        <v>11788.398251387591</v>
      </c>
      <c r="M11" s="57">
        <v>22340.651963914406</v>
      </c>
      <c r="N11" s="57">
        <v>32008.775807587146</v>
      </c>
      <c r="O11" s="57">
        <v>41537.731060792124</v>
      </c>
      <c r="P11" s="57">
        <v>46793.391947869088</v>
      </c>
      <c r="Q11" s="57">
        <v>47513.794063231653</v>
      </c>
      <c r="R11" s="57">
        <v>44157.375116656018</v>
      </c>
      <c r="S11" s="57">
        <v>37452.723611179325</v>
      </c>
      <c r="T11" s="57">
        <v>27629.058401689672</v>
      </c>
      <c r="U11" s="57">
        <v>15472.272704946212</v>
      </c>
      <c r="V11" s="57">
        <v>3863.9749823992665</v>
      </c>
      <c r="W11" s="57">
        <v>0</v>
      </c>
      <c r="X11" s="57">
        <v>0</v>
      </c>
      <c r="Y11" s="57">
        <v>0</v>
      </c>
      <c r="Z11" s="57">
        <v>0</v>
      </c>
      <c r="AA11" s="57">
        <v>0</v>
      </c>
      <c r="AB11" s="62">
        <v>0</v>
      </c>
    </row>
    <row r="12" spans="1:28" x14ac:dyDescent="0.35">
      <c r="A12" s="69"/>
      <c r="B12" s="76">
        <v>46569</v>
      </c>
      <c r="C12" s="56">
        <f t="shared" si="0"/>
        <v>9999999.9999999981</v>
      </c>
      <c r="D12" s="56">
        <v>31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2685.663311304028</v>
      </c>
      <c r="L12" s="57">
        <v>11408.127340052506</v>
      </c>
      <c r="M12" s="57">
        <v>21619.985771530068</v>
      </c>
      <c r="N12" s="57">
        <v>30976.234652503685</v>
      </c>
      <c r="O12" s="57">
        <v>40197.804252379472</v>
      </c>
      <c r="P12" s="57">
        <v>45283.927691486213</v>
      </c>
      <c r="Q12" s="57">
        <v>45981.091028933857</v>
      </c>
      <c r="R12" s="57">
        <v>42732.943661280013</v>
      </c>
      <c r="S12" s="57">
        <v>36244.571236625154</v>
      </c>
      <c r="T12" s="57">
        <v>26737.798453248066</v>
      </c>
      <c r="U12" s="57">
        <v>14973.167133818915</v>
      </c>
      <c r="V12" s="57">
        <v>3739.3306281283226</v>
      </c>
      <c r="W12" s="57">
        <v>0</v>
      </c>
      <c r="X12" s="57">
        <v>0</v>
      </c>
      <c r="Y12" s="57">
        <v>0</v>
      </c>
      <c r="Z12" s="57">
        <v>0</v>
      </c>
      <c r="AA12" s="57">
        <v>0</v>
      </c>
      <c r="AB12" s="62">
        <v>0</v>
      </c>
    </row>
    <row r="13" spans="1:28" x14ac:dyDescent="0.35">
      <c r="A13" s="69"/>
      <c r="B13" s="76">
        <v>46600</v>
      </c>
      <c r="C13" s="56">
        <f t="shared" si="0"/>
        <v>9999999.9999999981</v>
      </c>
      <c r="D13" s="56">
        <v>31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2685.663311304028</v>
      </c>
      <c r="L13" s="57">
        <v>11408.127340052506</v>
      </c>
      <c r="M13" s="57">
        <v>21619.985771530068</v>
      </c>
      <c r="N13" s="57">
        <v>30976.234652503685</v>
      </c>
      <c r="O13" s="57">
        <v>40197.804252379472</v>
      </c>
      <c r="P13" s="57">
        <v>45283.927691486213</v>
      </c>
      <c r="Q13" s="57">
        <v>45981.091028933857</v>
      </c>
      <c r="R13" s="57">
        <v>42732.943661280013</v>
      </c>
      <c r="S13" s="57">
        <v>36244.571236625154</v>
      </c>
      <c r="T13" s="57">
        <v>26737.798453248066</v>
      </c>
      <c r="U13" s="57">
        <v>14973.167133818915</v>
      </c>
      <c r="V13" s="57">
        <v>3739.3306281283226</v>
      </c>
      <c r="W13" s="57">
        <v>0</v>
      </c>
      <c r="X13" s="57">
        <v>0</v>
      </c>
      <c r="Y13" s="57">
        <v>0</v>
      </c>
      <c r="Z13" s="57">
        <v>0</v>
      </c>
      <c r="AA13" s="57">
        <v>0</v>
      </c>
      <c r="AB13" s="62">
        <v>0</v>
      </c>
    </row>
    <row r="14" spans="1:28" x14ac:dyDescent="0.35">
      <c r="A14" s="69"/>
      <c r="B14" s="76">
        <v>46631</v>
      </c>
      <c r="C14" s="56">
        <f t="shared" si="0"/>
        <v>10000000</v>
      </c>
      <c r="D14" s="56">
        <v>30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2775.1854216808292</v>
      </c>
      <c r="L14" s="57">
        <v>11788.398251387591</v>
      </c>
      <c r="M14" s="57">
        <v>22340.651963914406</v>
      </c>
      <c r="N14" s="57">
        <v>32008.775807587146</v>
      </c>
      <c r="O14" s="57">
        <v>41537.731060792124</v>
      </c>
      <c r="P14" s="57">
        <v>46793.391947869088</v>
      </c>
      <c r="Q14" s="57">
        <v>47513.794063231653</v>
      </c>
      <c r="R14" s="57">
        <v>44157.375116656018</v>
      </c>
      <c r="S14" s="57">
        <v>37452.723611179325</v>
      </c>
      <c r="T14" s="57">
        <v>27629.058401689672</v>
      </c>
      <c r="U14" s="57">
        <v>15472.272704946212</v>
      </c>
      <c r="V14" s="57">
        <v>3863.9749823992665</v>
      </c>
      <c r="W14" s="57">
        <v>0</v>
      </c>
      <c r="X14" s="57">
        <v>0</v>
      </c>
      <c r="Y14" s="57">
        <v>0</v>
      </c>
      <c r="Z14" s="57">
        <v>0</v>
      </c>
      <c r="AA14" s="57">
        <v>0</v>
      </c>
      <c r="AB14" s="62">
        <v>0</v>
      </c>
    </row>
    <row r="15" spans="1:28" x14ac:dyDescent="0.35">
      <c r="A15" s="69"/>
      <c r="B15" s="76">
        <v>46661</v>
      </c>
      <c r="C15" s="56">
        <f t="shared" si="0"/>
        <v>9999999.9999999981</v>
      </c>
      <c r="D15" s="56">
        <v>31</v>
      </c>
      <c r="E15" s="57">
        <v>0</v>
      </c>
      <c r="F15" s="57">
        <v>0</v>
      </c>
      <c r="G15" s="57">
        <v>0</v>
      </c>
      <c r="H15" s="57">
        <v>0</v>
      </c>
      <c r="I15" s="57">
        <v>0</v>
      </c>
      <c r="J15" s="57">
        <v>0</v>
      </c>
      <c r="K15" s="57">
        <v>2685.663311304028</v>
      </c>
      <c r="L15" s="57">
        <v>11408.127340052506</v>
      </c>
      <c r="M15" s="57">
        <v>21619.985771530068</v>
      </c>
      <c r="N15" s="57">
        <v>30976.234652503685</v>
      </c>
      <c r="O15" s="57">
        <v>40197.804252379472</v>
      </c>
      <c r="P15" s="57">
        <v>45283.927691486213</v>
      </c>
      <c r="Q15" s="57">
        <v>45981.091028933857</v>
      </c>
      <c r="R15" s="57">
        <v>42732.943661280013</v>
      </c>
      <c r="S15" s="57">
        <v>36244.571236625154</v>
      </c>
      <c r="T15" s="57">
        <v>26737.798453248066</v>
      </c>
      <c r="U15" s="57">
        <v>14973.167133818915</v>
      </c>
      <c r="V15" s="57">
        <v>3739.3306281283226</v>
      </c>
      <c r="W15" s="57">
        <v>0</v>
      </c>
      <c r="X15" s="57">
        <v>0</v>
      </c>
      <c r="Y15" s="57">
        <v>0</v>
      </c>
      <c r="Z15" s="57">
        <v>0</v>
      </c>
      <c r="AA15" s="57">
        <v>0</v>
      </c>
      <c r="AB15" s="62">
        <v>0</v>
      </c>
    </row>
    <row r="16" spans="1:28" x14ac:dyDescent="0.35">
      <c r="A16" s="69"/>
      <c r="B16" s="76">
        <v>46692</v>
      </c>
      <c r="C16" s="56">
        <f t="shared" si="0"/>
        <v>10000000</v>
      </c>
      <c r="D16" s="56">
        <v>30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2775.1854216808292</v>
      </c>
      <c r="L16" s="57">
        <v>11788.398251387591</v>
      </c>
      <c r="M16" s="57">
        <v>22340.651963914406</v>
      </c>
      <c r="N16" s="57">
        <v>32008.775807587146</v>
      </c>
      <c r="O16" s="57">
        <v>41537.731060792124</v>
      </c>
      <c r="P16" s="57">
        <v>46793.391947869088</v>
      </c>
      <c r="Q16" s="57">
        <v>47513.794063231653</v>
      </c>
      <c r="R16" s="57">
        <v>44157.375116656018</v>
      </c>
      <c r="S16" s="57">
        <v>37452.723611179325</v>
      </c>
      <c r="T16" s="57">
        <v>27629.058401689672</v>
      </c>
      <c r="U16" s="57">
        <v>15472.272704946212</v>
      </c>
      <c r="V16" s="57">
        <v>3863.9749823992665</v>
      </c>
      <c r="W16" s="57">
        <v>0</v>
      </c>
      <c r="X16" s="57">
        <v>0</v>
      </c>
      <c r="Y16" s="57">
        <v>0</v>
      </c>
      <c r="Z16" s="57">
        <v>0</v>
      </c>
      <c r="AA16" s="57">
        <v>0</v>
      </c>
      <c r="AB16" s="62">
        <v>0</v>
      </c>
    </row>
    <row r="17" spans="1:28" ht="15" thickBot="1" x14ac:dyDescent="0.4">
      <c r="A17" s="70"/>
      <c r="B17" s="77">
        <v>46722</v>
      </c>
      <c r="C17" s="58">
        <f t="shared" si="0"/>
        <v>9999999.9999999981</v>
      </c>
      <c r="D17" s="58">
        <v>31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2685.663311304028</v>
      </c>
      <c r="L17" s="59">
        <v>11408.127340052506</v>
      </c>
      <c r="M17" s="59">
        <v>21619.985771530068</v>
      </c>
      <c r="N17" s="59">
        <v>30976.234652503685</v>
      </c>
      <c r="O17" s="59">
        <v>40197.804252379472</v>
      </c>
      <c r="P17" s="59">
        <v>45283.927691486213</v>
      </c>
      <c r="Q17" s="59">
        <v>45981.091028933857</v>
      </c>
      <c r="R17" s="59">
        <v>42732.943661280013</v>
      </c>
      <c r="S17" s="59">
        <v>36244.571236625154</v>
      </c>
      <c r="T17" s="59">
        <v>26737.798453248066</v>
      </c>
      <c r="U17" s="59">
        <v>14973.167133818915</v>
      </c>
      <c r="V17" s="59">
        <v>3739.3306281283226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63">
        <v>0</v>
      </c>
    </row>
    <row r="18" spans="1:28" x14ac:dyDescent="0.35">
      <c r="A18" s="68">
        <v>2028</v>
      </c>
      <c r="B18" s="53">
        <v>46753</v>
      </c>
      <c r="C18" s="54">
        <f t="shared" si="0"/>
        <v>9999999.9999999981</v>
      </c>
      <c r="D18" s="54">
        <v>31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2685.663311304028</v>
      </c>
      <c r="L18" s="55">
        <v>11408.127340052506</v>
      </c>
      <c r="M18" s="55">
        <v>21619.985771530068</v>
      </c>
      <c r="N18" s="55">
        <v>30976.234652503685</v>
      </c>
      <c r="O18" s="55">
        <v>40197.804252379472</v>
      </c>
      <c r="P18" s="55">
        <v>45283.927691486213</v>
      </c>
      <c r="Q18" s="55">
        <v>45981.091028933857</v>
      </c>
      <c r="R18" s="55">
        <v>42732.943661280013</v>
      </c>
      <c r="S18" s="55">
        <v>36244.571236625154</v>
      </c>
      <c r="T18" s="55">
        <v>26737.798453248066</v>
      </c>
      <c r="U18" s="55">
        <v>14973.167133818915</v>
      </c>
      <c r="V18" s="55">
        <v>3739.3306281283226</v>
      </c>
      <c r="W18" s="55">
        <v>0</v>
      </c>
      <c r="X18" s="55">
        <v>0</v>
      </c>
      <c r="Y18" s="55">
        <v>0</v>
      </c>
      <c r="Z18" s="55">
        <v>0</v>
      </c>
      <c r="AA18" s="55">
        <v>0</v>
      </c>
      <c r="AB18" s="61">
        <v>0</v>
      </c>
    </row>
    <row r="19" spans="1:28" x14ac:dyDescent="0.35">
      <c r="A19" s="69"/>
      <c r="B19" s="76">
        <v>46784</v>
      </c>
      <c r="C19" s="56">
        <f t="shared" si="0"/>
        <v>10000000</v>
      </c>
      <c r="D19" s="56">
        <v>29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2870.8814707043066</v>
      </c>
      <c r="L19" s="57">
        <v>12194.894742814748</v>
      </c>
      <c r="M19" s="57">
        <v>23111.019273014903</v>
      </c>
      <c r="N19" s="57">
        <v>33112.526697503941</v>
      </c>
      <c r="O19" s="57">
        <v>42970.066614612537</v>
      </c>
      <c r="P19" s="57">
        <v>48406.957187450789</v>
      </c>
      <c r="Q19" s="57">
        <v>49152.200755067235</v>
      </c>
      <c r="R19" s="57">
        <v>45680.043224126915</v>
      </c>
      <c r="S19" s="57">
        <v>38744.196839151024</v>
      </c>
      <c r="T19" s="57">
        <v>28581.784553472073</v>
      </c>
      <c r="U19" s="57">
        <v>16005.799349944358</v>
      </c>
      <c r="V19" s="57">
        <v>3997.215499033724</v>
      </c>
      <c r="W19" s="57">
        <v>0</v>
      </c>
      <c r="X19" s="57">
        <v>0</v>
      </c>
      <c r="Y19" s="57">
        <v>0</v>
      </c>
      <c r="Z19" s="57">
        <v>0</v>
      </c>
      <c r="AA19" s="57">
        <v>0</v>
      </c>
      <c r="AB19" s="62">
        <v>0</v>
      </c>
    </row>
    <row r="20" spans="1:28" x14ac:dyDescent="0.35">
      <c r="A20" s="69"/>
      <c r="B20" s="76">
        <v>46813</v>
      </c>
      <c r="C20" s="56">
        <f t="shared" si="0"/>
        <v>9999999.9999999981</v>
      </c>
      <c r="D20" s="56">
        <v>31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2685.663311304028</v>
      </c>
      <c r="L20" s="57">
        <v>11408.127340052506</v>
      </c>
      <c r="M20" s="57">
        <v>21619.985771530068</v>
      </c>
      <c r="N20" s="57">
        <v>30976.234652503685</v>
      </c>
      <c r="O20" s="57">
        <v>40197.804252379472</v>
      </c>
      <c r="P20" s="57">
        <v>45283.927691486213</v>
      </c>
      <c r="Q20" s="57">
        <v>45981.091028933857</v>
      </c>
      <c r="R20" s="57">
        <v>42732.943661280013</v>
      </c>
      <c r="S20" s="57">
        <v>36244.571236625154</v>
      </c>
      <c r="T20" s="57">
        <v>26737.798453248066</v>
      </c>
      <c r="U20" s="57">
        <v>14973.167133818915</v>
      </c>
      <c r="V20" s="57">
        <v>3739.3306281283226</v>
      </c>
      <c r="W20" s="57">
        <v>0</v>
      </c>
      <c r="X20" s="57">
        <v>0</v>
      </c>
      <c r="Y20" s="57">
        <v>0</v>
      </c>
      <c r="Z20" s="57">
        <v>0</v>
      </c>
      <c r="AA20" s="57">
        <v>0</v>
      </c>
      <c r="AB20" s="62">
        <v>0</v>
      </c>
    </row>
    <row r="21" spans="1:28" x14ac:dyDescent="0.35">
      <c r="A21" s="69"/>
      <c r="B21" s="76">
        <v>46844</v>
      </c>
      <c r="C21" s="56">
        <f t="shared" si="0"/>
        <v>10000000</v>
      </c>
      <c r="D21" s="56">
        <v>30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2775.1854216808292</v>
      </c>
      <c r="L21" s="57">
        <v>11788.398251387591</v>
      </c>
      <c r="M21" s="57">
        <v>22340.651963914406</v>
      </c>
      <c r="N21" s="57">
        <v>32008.775807587146</v>
      </c>
      <c r="O21" s="57">
        <v>41537.731060792124</v>
      </c>
      <c r="P21" s="57">
        <v>46793.391947869088</v>
      </c>
      <c r="Q21" s="57">
        <v>47513.794063231653</v>
      </c>
      <c r="R21" s="57">
        <v>44157.375116656018</v>
      </c>
      <c r="S21" s="57">
        <v>37452.723611179325</v>
      </c>
      <c r="T21" s="57">
        <v>27629.058401689672</v>
      </c>
      <c r="U21" s="57">
        <v>15472.272704946212</v>
      </c>
      <c r="V21" s="57">
        <v>3863.9749823992665</v>
      </c>
      <c r="W21" s="57">
        <v>0</v>
      </c>
      <c r="X21" s="57">
        <v>0</v>
      </c>
      <c r="Y21" s="57">
        <v>0</v>
      </c>
      <c r="Z21" s="57">
        <v>0</v>
      </c>
      <c r="AA21" s="57">
        <v>0</v>
      </c>
      <c r="AB21" s="62">
        <v>0</v>
      </c>
    </row>
    <row r="22" spans="1:28" x14ac:dyDescent="0.35">
      <c r="A22" s="69"/>
      <c r="B22" s="76">
        <v>46874</v>
      </c>
      <c r="C22" s="56">
        <f t="shared" si="0"/>
        <v>9999999.9999999981</v>
      </c>
      <c r="D22" s="56">
        <v>31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2685.663311304028</v>
      </c>
      <c r="L22" s="57">
        <v>11408.127340052506</v>
      </c>
      <c r="M22" s="57">
        <v>21619.985771530068</v>
      </c>
      <c r="N22" s="57">
        <v>30976.234652503685</v>
      </c>
      <c r="O22" s="57">
        <v>40197.804252379472</v>
      </c>
      <c r="P22" s="57">
        <v>45283.927691486213</v>
      </c>
      <c r="Q22" s="57">
        <v>45981.091028933857</v>
      </c>
      <c r="R22" s="57">
        <v>42732.943661280013</v>
      </c>
      <c r="S22" s="57">
        <v>36244.571236625154</v>
      </c>
      <c r="T22" s="57">
        <v>26737.798453248066</v>
      </c>
      <c r="U22" s="57">
        <v>14973.167133818915</v>
      </c>
      <c r="V22" s="57">
        <v>3739.3306281283226</v>
      </c>
      <c r="W22" s="57">
        <v>0</v>
      </c>
      <c r="X22" s="57">
        <v>0</v>
      </c>
      <c r="Y22" s="57">
        <v>0</v>
      </c>
      <c r="Z22" s="57">
        <v>0</v>
      </c>
      <c r="AA22" s="57">
        <v>0</v>
      </c>
      <c r="AB22" s="62">
        <v>0</v>
      </c>
    </row>
    <row r="23" spans="1:28" x14ac:dyDescent="0.35">
      <c r="A23" s="69"/>
      <c r="B23" s="76">
        <v>46905</v>
      </c>
      <c r="C23" s="56">
        <f t="shared" si="0"/>
        <v>10000000</v>
      </c>
      <c r="D23" s="56">
        <v>30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2775.1854216808292</v>
      </c>
      <c r="L23" s="57">
        <v>11788.398251387591</v>
      </c>
      <c r="M23" s="57">
        <v>22340.651963914406</v>
      </c>
      <c r="N23" s="57">
        <v>32008.775807587146</v>
      </c>
      <c r="O23" s="57">
        <v>41537.731060792124</v>
      </c>
      <c r="P23" s="57">
        <v>46793.391947869088</v>
      </c>
      <c r="Q23" s="57">
        <v>47513.794063231653</v>
      </c>
      <c r="R23" s="57">
        <v>44157.375116656018</v>
      </c>
      <c r="S23" s="57">
        <v>37452.723611179325</v>
      </c>
      <c r="T23" s="57">
        <v>27629.058401689672</v>
      </c>
      <c r="U23" s="57">
        <v>15472.272704946212</v>
      </c>
      <c r="V23" s="57">
        <v>3863.9749823992665</v>
      </c>
      <c r="W23" s="57">
        <v>0</v>
      </c>
      <c r="X23" s="57">
        <v>0</v>
      </c>
      <c r="Y23" s="57">
        <v>0</v>
      </c>
      <c r="Z23" s="57">
        <v>0</v>
      </c>
      <c r="AA23" s="57">
        <v>0</v>
      </c>
      <c r="AB23" s="62">
        <v>0</v>
      </c>
    </row>
    <row r="24" spans="1:28" x14ac:dyDescent="0.35">
      <c r="A24" s="69"/>
      <c r="B24" s="76">
        <v>46935</v>
      </c>
      <c r="C24" s="56">
        <f t="shared" si="0"/>
        <v>9999999.9999999981</v>
      </c>
      <c r="D24" s="56">
        <v>31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2685.663311304028</v>
      </c>
      <c r="L24" s="57">
        <v>11408.127340052506</v>
      </c>
      <c r="M24" s="57">
        <v>21619.985771530068</v>
      </c>
      <c r="N24" s="57">
        <v>30976.234652503685</v>
      </c>
      <c r="O24" s="57">
        <v>40197.804252379472</v>
      </c>
      <c r="P24" s="57">
        <v>45283.927691486213</v>
      </c>
      <c r="Q24" s="57">
        <v>45981.091028933857</v>
      </c>
      <c r="R24" s="57">
        <v>42732.943661280013</v>
      </c>
      <c r="S24" s="57">
        <v>36244.571236625154</v>
      </c>
      <c r="T24" s="57">
        <v>26737.798453248066</v>
      </c>
      <c r="U24" s="57">
        <v>14973.167133818915</v>
      </c>
      <c r="V24" s="57">
        <v>3739.3306281283226</v>
      </c>
      <c r="W24" s="57">
        <v>0</v>
      </c>
      <c r="X24" s="57">
        <v>0</v>
      </c>
      <c r="Y24" s="57">
        <v>0</v>
      </c>
      <c r="Z24" s="57">
        <v>0</v>
      </c>
      <c r="AA24" s="57">
        <v>0</v>
      </c>
      <c r="AB24" s="62">
        <v>0</v>
      </c>
    </row>
    <row r="25" spans="1:28" x14ac:dyDescent="0.35">
      <c r="A25" s="69"/>
      <c r="B25" s="76">
        <v>46966</v>
      </c>
      <c r="C25" s="56">
        <f t="shared" si="0"/>
        <v>9999999.9999999981</v>
      </c>
      <c r="D25" s="56">
        <v>31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2685.663311304028</v>
      </c>
      <c r="L25" s="57">
        <v>11408.127340052506</v>
      </c>
      <c r="M25" s="57">
        <v>21619.985771530068</v>
      </c>
      <c r="N25" s="57">
        <v>30976.234652503685</v>
      </c>
      <c r="O25" s="57">
        <v>40197.804252379472</v>
      </c>
      <c r="P25" s="57">
        <v>45283.927691486213</v>
      </c>
      <c r="Q25" s="57">
        <v>45981.091028933857</v>
      </c>
      <c r="R25" s="57">
        <v>42732.943661280013</v>
      </c>
      <c r="S25" s="57">
        <v>36244.571236625154</v>
      </c>
      <c r="T25" s="57">
        <v>26737.798453248066</v>
      </c>
      <c r="U25" s="57">
        <v>14973.167133818915</v>
      </c>
      <c r="V25" s="57">
        <v>3739.3306281283226</v>
      </c>
      <c r="W25" s="57">
        <v>0</v>
      </c>
      <c r="X25" s="57">
        <v>0</v>
      </c>
      <c r="Y25" s="57">
        <v>0</v>
      </c>
      <c r="Z25" s="57">
        <v>0</v>
      </c>
      <c r="AA25" s="57">
        <v>0</v>
      </c>
      <c r="AB25" s="62">
        <v>0</v>
      </c>
    </row>
    <row r="26" spans="1:28" x14ac:dyDescent="0.35">
      <c r="A26" s="69"/>
      <c r="B26" s="76">
        <v>46997</v>
      </c>
      <c r="C26" s="56">
        <f t="shared" si="0"/>
        <v>10000000</v>
      </c>
      <c r="D26" s="56">
        <v>30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2775.1854216808292</v>
      </c>
      <c r="L26" s="57">
        <v>11788.398251387591</v>
      </c>
      <c r="M26" s="57">
        <v>22340.651963914406</v>
      </c>
      <c r="N26" s="57">
        <v>32008.775807587146</v>
      </c>
      <c r="O26" s="57">
        <v>41537.731060792124</v>
      </c>
      <c r="P26" s="57">
        <v>46793.391947869088</v>
      </c>
      <c r="Q26" s="57">
        <v>47513.794063231653</v>
      </c>
      <c r="R26" s="57">
        <v>44157.375116656018</v>
      </c>
      <c r="S26" s="57">
        <v>37452.723611179325</v>
      </c>
      <c r="T26" s="57">
        <v>27629.058401689672</v>
      </c>
      <c r="U26" s="57">
        <v>15472.272704946212</v>
      </c>
      <c r="V26" s="57">
        <v>3863.9749823992665</v>
      </c>
      <c r="W26" s="57">
        <v>0</v>
      </c>
      <c r="X26" s="57">
        <v>0</v>
      </c>
      <c r="Y26" s="57">
        <v>0</v>
      </c>
      <c r="Z26" s="57">
        <v>0</v>
      </c>
      <c r="AA26" s="57">
        <v>0</v>
      </c>
      <c r="AB26" s="62">
        <v>0</v>
      </c>
    </row>
    <row r="27" spans="1:28" x14ac:dyDescent="0.35">
      <c r="A27" s="69"/>
      <c r="B27" s="76">
        <v>47027</v>
      </c>
      <c r="C27" s="56">
        <f t="shared" si="0"/>
        <v>9999999.9999999981</v>
      </c>
      <c r="D27" s="56">
        <v>31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2685.663311304028</v>
      </c>
      <c r="L27" s="57">
        <v>11408.127340052506</v>
      </c>
      <c r="M27" s="57">
        <v>21619.985771530068</v>
      </c>
      <c r="N27" s="57">
        <v>30976.234652503685</v>
      </c>
      <c r="O27" s="57">
        <v>40197.804252379472</v>
      </c>
      <c r="P27" s="57">
        <v>45283.927691486213</v>
      </c>
      <c r="Q27" s="57">
        <v>45981.091028933857</v>
      </c>
      <c r="R27" s="57">
        <v>42732.943661280013</v>
      </c>
      <c r="S27" s="57">
        <v>36244.571236625154</v>
      </c>
      <c r="T27" s="57">
        <v>26737.798453248066</v>
      </c>
      <c r="U27" s="57">
        <v>14973.167133818915</v>
      </c>
      <c r="V27" s="57">
        <v>3739.3306281283226</v>
      </c>
      <c r="W27" s="57">
        <v>0</v>
      </c>
      <c r="X27" s="57">
        <v>0</v>
      </c>
      <c r="Y27" s="57">
        <v>0</v>
      </c>
      <c r="Z27" s="57">
        <v>0</v>
      </c>
      <c r="AA27" s="57">
        <v>0</v>
      </c>
      <c r="AB27" s="62">
        <v>0</v>
      </c>
    </row>
    <row r="28" spans="1:28" x14ac:dyDescent="0.35">
      <c r="A28" s="69"/>
      <c r="B28" s="76">
        <v>47058</v>
      </c>
      <c r="C28" s="56">
        <f t="shared" si="0"/>
        <v>10000000</v>
      </c>
      <c r="D28" s="56">
        <v>30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2775.1854216808292</v>
      </c>
      <c r="L28" s="57">
        <v>11788.398251387591</v>
      </c>
      <c r="M28" s="57">
        <v>22340.651963914406</v>
      </c>
      <c r="N28" s="57">
        <v>32008.775807587146</v>
      </c>
      <c r="O28" s="57">
        <v>41537.731060792124</v>
      </c>
      <c r="P28" s="57">
        <v>46793.391947869088</v>
      </c>
      <c r="Q28" s="57">
        <v>47513.794063231653</v>
      </c>
      <c r="R28" s="57">
        <v>44157.375116656018</v>
      </c>
      <c r="S28" s="57">
        <v>37452.723611179325</v>
      </c>
      <c r="T28" s="57">
        <v>27629.058401689672</v>
      </c>
      <c r="U28" s="57">
        <v>15472.272704946212</v>
      </c>
      <c r="V28" s="57">
        <v>3863.9749823992665</v>
      </c>
      <c r="W28" s="57">
        <v>0</v>
      </c>
      <c r="X28" s="57">
        <v>0</v>
      </c>
      <c r="Y28" s="57">
        <v>0</v>
      </c>
      <c r="Z28" s="57">
        <v>0</v>
      </c>
      <c r="AA28" s="57">
        <v>0</v>
      </c>
      <c r="AB28" s="62">
        <v>0</v>
      </c>
    </row>
    <row r="29" spans="1:28" ht="15" thickBot="1" x14ac:dyDescent="0.4">
      <c r="A29" s="70"/>
      <c r="B29" s="77">
        <v>47088</v>
      </c>
      <c r="C29" s="58">
        <f t="shared" si="0"/>
        <v>9999999.9999999981</v>
      </c>
      <c r="D29" s="58">
        <v>31</v>
      </c>
      <c r="E29" s="59">
        <v>0</v>
      </c>
      <c r="F29" s="59">
        <v>0</v>
      </c>
      <c r="G29" s="59">
        <v>0</v>
      </c>
      <c r="H29" s="59">
        <v>0</v>
      </c>
      <c r="I29" s="59">
        <v>0</v>
      </c>
      <c r="J29" s="59">
        <v>0</v>
      </c>
      <c r="K29" s="59">
        <v>2685.663311304028</v>
      </c>
      <c r="L29" s="59">
        <v>11408.127340052506</v>
      </c>
      <c r="M29" s="59">
        <v>21619.985771530068</v>
      </c>
      <c r="N29" s="59">
        <v>30976.234652503685</v>
      </c>
      <c r="O29" s="59">
        <v>40197.804252379472</v>
      </c>
      <c r="P29" s="59">
        <v>45283.927691486213</v>
      </c>
      <c r="Q29" s="59">
        <v>45981.091028933857</v>
      </c>
      <c r="R29" s="59">
        <v>42732.943661280013</v>
      </c>
      <c r="S29" s="59">
        <v>36244.571236625154</v>
      </c>
      <c r="T29" s="59">
        <v>26737.798453248066</v>
      </c>
      <c r="U29" s="59">
        <v>14973.167133818915</v>
      </c>
      <c r="V29" s="59">
        <v>3739.3306281283226</v>
      </c>
      <c r="W29" s="59">
        <v>0</v>
      </c>
      <c r="X29" s="59">
        <v>0</v>
      </c>
      <c r="Y29" s="59">
        <v>0</v>
      </c>
      <c r="Z29" s="59">
        <v>0</v>
      </c>
      <c r="AA29" s="59">
        <v>0</v>
      </c>
      <c r="AB29" s="63">
        <v>0</v>
      </c>
    </row>
    <row r="30" spans="1:28" x14ac:dyDescent="0.35">
      <c r="A30" s="68">
        <v>2029</v>
      </c>
      <c r="B30" s="53">
        <v>47119</v>
      </c>
      <c r="C30" s="54">
        <f t="shared" si="0"/>
        <v>9999999.9999999981</v>
      </c>
      <c r="D30" s="54">
        <v>31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2685.663311304028</v>
      </c>
      <c r="L30" s="55">
        <v>11408.127340052506</v>
      </c>
      <c r="M30" s="55">
        <v>21619.985771530068</v>
      </c>
      <c r="N30" s="55">
        <v>30976.234652503685</v>
      </c>
      <c r="O30" s="55">
        <v>40197.804252379472</v>
      </c>
      <c r="P30" s="55">
        <v>45283.927691486213</v>
      </c>
      <c r="Q30" s="55">
        <v>45981.091028933857</v>
      </c>
      <c r="R30" s="55">
        <v>42732.943661280013</v>
      </c>
      <c r="S30" s="55">
        <v>36244.571236625154</v>
      </c>
      <c r="T30" s="55">
        <v>26737.798453248066</v>
      </c>
      <c r="U30" s="55">
        <v>14973.167133818915</v>
      </c>
      <c r="V30" s="55">
        <v>3739.3306281283226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61">
        <v>0</v>
      </c>
    </row>
    <row r="31" spans="1:28" x14ac:dyDescent="0.35">
      <c r="A31" s="69"/>
      <c r="B31" s="76">
        <v>47150</v>
      </c>
      <c r="C31" s="56">
        <f t="shared" si="0"/>
        <v>10000000</v>
      </c>
      <c r="D31" s="56">
        <v>28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2973.4129518008881</v>
      </c>
      <c r="L31" s="57">
        <v>12630.426697915274</v>
      </c>
      <c r="M31" s="57">
        <v>23936.412818479719</v>
      </c>
      <c r="N31" s="57">
        <v>34295.116936700506</v>
      </c>
      <c r="O31" s="57">
        <v>44504.711850848704</v>
      </c>
      <c r="P31" s="57">
        <v>50135.777087002592</v>
      </c>
      <c r="Q31" s="57">
        <v>50907.636496319632</v>
      </c>
      <c r="R31" s="57">
        <v>47311.473339274307</v>
      </c>
      <c r="S31" s="57">
        <v>40127.918154834988</v>
      </c>
      <c r="T31" s="57">
        <v>29602.562573238931</v>
      </c>
      <c r="U31" s="57">
        <v>16577.435041013799</v>
      </c>
      <c r="V31" s="57">
        <v>4139.9731954277859</v>
      </c>
      <c r="W31" s="57">
        <v>0</v>
      </c>
      <c r="X31" s="57">
        <v>0</v>
      </c>
      <c r="Y31" s="57">
        <v>0</v>
      </c>
      <c r="Z31" s="57">
        <v>0</v>
      </c>
      <c r="AA31" s="57">
        <v>0</v>
      </c>
      <c r="AB31" s="62">
        <v>0</v>
      </c>
    </row>
    <row r="32" spans="1:28" x14ac:dyDescent="0.35">
      <c r="A32" s="69"/>
      <c r="B32" s="76">
        <v>47178</v>
      </c>
      <c r="C32" s="56">
        <f t="shared" si="0"/>
        <v>9999999.9999999981</v>
      </c>
      <c r="D32" s="56">
        <v>31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2685.663311304028</v>
      </c>
      <c r="L32" s="57">
        <v>11408.127340052506</v>
      </c>
      <c r="M32" s="57">
        <v>21619.985771530068</v>
      </c>
      <c r="N32" s="57">
        <v>30976.234652503685</v>
      </c>
      <c r="O32" s="57">
        <v>40197.804252379472</v>
      </c>
      <c r="P32" s="57">
        <v>45283.927691486213</v>
      </c>
      <c r="Q32" s="57">
        <v>45981.091028933857</v>
      </c>
      <c r="R32" s="57">
        <v>42732.943661280013</v>
      </c>
      <c r="S32" s="57">
        <v>36244.571236625154</v>
      </c>
      <c r="T32" s="57">
        <v>26737.798453248066</v>
      </c>
      <c r="U32" s="57">
        <v>14973.167133818915</v>
      </c>
      <c r="V32" s="57">
        <v>3739.3306281283226</v>
      </c>
      <c r="W32" s="57">
        <v>0</v>
      </c>
      <c r="X32" s="57">
        <v>0</v>
      </c>
      <c r="Y32" s="57">
        <v>0</v>
      </c>
      <c r="Z32" s="57">
        <v>0</v>
      </c>
      <c r="AA32" s="57">
        <v>0</v>
      </c>
      <c r="AB32" s="62">
        <v>0</v>
      </c>
    </row>
    <row r="33" spans="1:28" x14ac:dyDescent="0.35">
      <c r="A33" s="69"/>
      <c r="B33" s="76">
        <v>47209</v>
      </c>
      <c r="C33" s="56">
        <f t="shared" si="0"/>
        <v>10000000</v>
      </c>
      <c r="D33" s="56">
        <v>30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2775.1854216808292</v>
      </c>
      <c r="L33" s="57">
        <v>11788.398251387591</v>
      </c>
      <c r="M33" s="57">
        <v>22340.651963914406</v>
      </c>
      <c r="N33" s="57">
        <v>32008.775807587146</v>
      </c>
      <c r="O33" s="57">
        <v>41537.731060792124</v>
      </c>
      <c r="P33" s="57">
        <v>46793.391947869088</v>
      </c>
      <c r="Q33" s="57">
        <v>47513.794063231653</v>
      </c>
      <c r="R33" s="57">
        <v>44157.375116656018</v>
      </c>
      <c r="S33" s="57">
        <v>37452.723611179325</v>
      </c>
      <c r="T33" s="57">
        <v>27629.058401689672</v>
      </c>
      <c r="U33" s="57">
        <v>15472.272704946212</v>
      </c>
      <c r="V33" s="57">
        <v>3863.9749823992665</v>
      </c>
      <c r="W33" s="57">
        <v>0</v>
      </c>
      <c r="X33" s="57">
        <v>0</v>
      </c>
      <c r="Y33" s="57">
        <v>0</v>
      </c>
      <c r="Z33" s="57">
        <v>0</v>
      </c>
      <c r="AA33" s="57">
        <v>0</v>
      </c>
      <c r="AB33" s="62">
        <v>0</v>
      </c>
    </row>
    <row r="34" spans="1:28" x14ac:dyDescent="0.35">
      <c r="A34" s="69"/>
      <c r="B34" s="76">
        <v>47239</v>
      </c>
      <c r="C34" s="56">
        <f t="shared" si="0"/>
        <v>9999999.9999999981</v>
      </c>
      <c r="D34" s="56">
        <v>31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2685.663311304028</v>
      </c>
      <c r="L34" s="57">
        <v>11408.127340052506</v>
      </c>
      <c r="M34" s="57">
        <v>21619.985771530068</v>
      </c>
      <c r="N34" s="57">
        <v>30976.234652503685</v>
      </c>
      <c r="O34" s="57">
        <v>40197.804252379472</v>
      </c>
      <c r="P34" s="57">
        <v>45283.927691486213</v>
      </c>
      <c r="Q34" s="57">
        <v>45981.091028933857</v>
      </c>
      <c r="R34" s="57">
        <v>42732.943661280013</v>
      </c>
      <c r="S34" s="57">
        <v>36244.571236625154</v>
      </c>
      <c r="T34" s="57">
        <v>26737.798453248066</v>
      </c>
      <c r="U34" s="57">
        <v>14973.167133818915</v>
      </c>
      <c r="V34" s="57">
        <v>3739.3306281283226</v>
      </c>
      <c r="W34" s="57">
        <v>0</v>
      </c>
      <c r="X34" s="57">
        <v>0</v>
      </c>
      <c r="Y34" s="57">
        <v>0</v>
      </c>
      <c r="Z34" s="57">
        <v>0</v>
      </c>
      <c r="AA34" s="57">
        <v>0</v>
      </c>
      <c r="AB34" s="62">
        <v>0</v>
      </c>
    </row>
    <row r="35" spans="1:28" x14ac:dyDescent="0.35">
      <c r="A35" s="69"/>
      <c r="B35" s="76">
        <v>47270</v>
      </c>
      <c r="C35" s="56">
        <f t="shared" si="0"/>
        <v>10000000</v>
      </c>
      <c r="D35" s="56">
        <v>30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2775.1854216808292</v>
      </c>
      <c r="L35" s="57">
        <v>11788.398251387591</v>
      </c>
      <c r="M35" s="57">
        <v>22340.651963914406</v>
      </c>
      <c r="N35" s="57">
        <v>32008.775807587146</v>
      </c>
      <c r="O35" s="57">
        <v>41537.731060792124</v>
      </c>
      <c r="P35" s="57">
        <v>46793.391947869088</v>
      </c>
      <c r="Q35" s="57">
        <v>47513.794063231653</v>
      </c>
      <c r="R35" s="57">
        <v>44157.375116656018</v>
      </c>
      <c r="S35" s="57">
        <v>37452.723611179325</v>
      </c>
      <c r="T35" s="57">
        <v>27629.058401689672</v>
      </c>
      <c r="U35" s="57">
        <v>15472.272704946212</v>
      </c>
      <c r="V35" s="57">
        <v>3863.9749823992665</v>
      </c>
      <c r="W35" s="57">
        <v>0</v>
      </c>
      <c r="X35" s="57">
        <v>0</v>
      </c>
      <c r="Y35" s="57">
        <v>0</v>
      </c>
      <c r="Z35" s="57">
        <v>0</v>
      </c>
      <c r="AA35" s="57">
        <v>0</v>
      </c>
      <c r="AB35" s="62">
        <v>0</v>
      </c>
    </row>
    <row r="36" spans="1:28" x14ac:dyDescent="0.35">
      <c r="A36" s="69"/>
      <c r="B36" s="76">
        <v>47300</v>
      </c>
      <c r="C36" s="56">
        <f t="shared" si="0"/>
        <v>9999999.9999999981</v>
      </c>
      <c r="D36" s="56">
        <v>31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2685.663311304028</v>
      </c>
      <c r="L36" s="57">
        <v>11408.127340052506</v>
      </c>
      <c r="M36" s="57">
        <v>21619.985771530068</v>
      </c>
      <c r="N36" s="57">
        <v>30976.234652503685</v>
      </c>
      <c r="O36" s="57">
        <v>40197.804252379472</v>
      </c>
      <c r="P36" s="57">
        <v>45283.927691486213</v>
      </c>
      <c r="Q36" s="57">
        <v>45981.091028933857</v>
      </c>
      <c r="R36" s="57">
        <v>42732.943661280013</v>
      </c>
      <c r="S36" s="57">
        <v>36244.571236625154</v>
      </c>
      <c r="T36" s="57">
        <v>26737.798453248066</v>
      </c>
      <c r="U36" s="57">
        <v>14973.167133818915</v>
      </c>
      <c r="V36" s="57">
        <v>3739.3306281283226</v>
      </c>
      <c r="W36" s="57">
        <v>0</v>
      </c>
      <c r="X36" s="57">
        <v>0</v>
      </c>
      <c r="Y36" s="57">
        <v>0</v>
      </c>
      <c r="Z36" s="57">
        <v>0</v>
      </c>
      <c r="AA36" s="57">
        <v>0</v>
      </c>
      <c r="AB36" s="62">
        <v>0</v>
      </c>
    </row>
    <row r="37" spans="1:28" x14ac:dyDescent="0.35">
      <c r="A37" s="69"/>
      <c r="B37" s="76">
        <v>47331</v>
      </c>
      <c r="C37" s="56">
        <f t="shared" si="0"/>
        <v>9999999.9999999981</v>
      </c>
      <c r="D37" s="56">
        <v>31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2685.663311304028</v>
      </c>
      <c r="L37" s="57">
        <v>11408.127340052506</v>
      </c>
      <c r="M37" s="57">
        <v>21619.985771530068</v>
      </c>
      <c r="N37" s="57">
        <v>30976.234652503685</v>
      </c>
      <c r="O37" s="57">
        <v>40197.804252379472</v>
      </c>
      <c r="P37" s="57">
        <v>45283.927691486213</v>
      </c>
      <c r="Q37" s="57">
        <v>45981.091028933857</v>
      </c>
      <c r="R37" s="57">
        <v>42732.943661280013</v>
      </c>
      <c r="S37" s="57">
        <v>36244.571236625154</v>
      </c>
      <c r="T37" s="57">
        <v>26737.798453248066</v>
      </c>
      <c r="U37" s="57">
        <v>14973.167133818915</v>
      </c>
      <c r="V37" s="57">
        <v>3739.3306281283226</v>
      </c>
      <c r="W37" s="57">
        <v>0</v>
      </c>
      <c r="X37" s="57">
        <v>0</v>
      </c>
      <c r="Y37" s="57">
        <v>0</v>
      </c>
      <c r="Z37" s="57">
        <v>0</v>
      </c>
      <c r="AA37" s="57">
        <v>0</v>
      </c>
      <c r="AB37" s="62">
        <v>0</v>
      </c>
    </row>
    <row r="38" spans="1:28" x14ac:dyDescent="0.35">
      <c r="A38" s="69"/>
      <c r="B38" s="76">
        <v>47362</v>
      </c>
      <c r="C38" s="56">
        <f t="shared" si="0"/>
        <v>10000000</v>
      </c>
      <c r="D38" s="56">
        <v>30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2775.1854216808292</v>
      </c>
      <c r="L38" s="57">
        <v>11788.398251387591</v>
      </c>
      <c r="M38" s="57">
        <v>22340.651963914406</v>
      </c>
      <c r="N38" s="57">
        <v>32008.775807587146</v>
      </c>
      <c r="O38" s="57">
        <v>41537.731060792124</v>
      </c>
      <c r="P38" s="57">
        <v>46793.391947869088</v>
      </c>
      <c r="Q38" s="57">
        <v>47513.794063231653</v>
      </c>
      <c r="R38" s="57">
        <v>44157.375116656018</v>
      </c>
      <c r="S38" s="57">
        <v>37452.723611179325</v>
      </c>
      <c r="T38" s="57">
        <v>27629.058401689672</v>
      </c>
      <c r="U38" s="57">
        <v>15472.272704946212</v>
      </c>
      <c r="V38" s="57">
        <v>3863.9749823992665</v>
      </c>
      <c r="W38" s="57">
        <v>0</v>
      </c>
      <c r="X38" s="57">
        <v>0</v>
      </c>
      <c r="Y38" s="57">
        <v>0</v>
      </c>
      <c r="Z38" s="57">
        <v>0</v>
      </c>
      <c r="AA38" s="57">
        <v>0</v>
      </c>
      <c r="AB38" s="62">
        <v>0</v>
      </c>
    </row>
    <row r="39" spans="1:28" x14ac:dyDescent="0.35">
      <c r="A39" s="69"/>
      <c r="B39" s="76">
        <v>47392</v>
      </c>
      <c r="C39" s="56">
        <f t="shared" si="0"/>
        <v>9999999.9999999981</v>
      </c>
      <c r="D39" s="56">
        <v>31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2685.663311304028</v>
      </c>
      <c r="L39" s="57">
        <v>11408.127340052506</v>
      </c>
      <c r="M39" s="57">
        <v>21619.985771530068</v>
      </c>
      <c r="N39" s="57">
        <v>30976.234652503685</v>
      </c>
      <c r="O39" s="57">
        <v>40197.804252379472</v>
      </c>
      <c r="P39" s="57">
        <v>45283.927691486213</v>
      </c>
      <c r="Q39" s="57">
        <v>45981.091028933857</v>
      </c>
      <c r="R39" s="57">
        <v>42732.943661280013</v>
      </c>
      <c r="S39" s="57">
        <v>36244.571236625154</v>
      </c>
      <c r="T39" s="57">
        <v>26737.798453248066</v>
      </c>
      <c r="U39" s="57">
        <v>14973.167133818915</v>
      </c>
      <c r="V39" s="57">
        <v>3739.3306281283226</v>
      </c>
      <c r="W39" s="57">
        <v>0</v>
      </c>
      <c r="X39" s="57">
        <v>0</v>
      </c>
      <c r="Y39" s="57">
        <v>0</v>
      </c>
      <c r="Z39" s="57">
        <v>0</v>
      </c>
      <c r="AA39" s="57">
        <v>0</v>
      </c>
      <c r="AB39" s="62">
        <v>0</v>
      </c>
    </row>
    <row r="40" spans="1:28" x14ac:dyDescent="0.35">
      <c r="A40" s="69"/>
      <c r="B40" s="76">
        <v>47423</v>
      </c>
      <c r="C40" s="56">
        <f t="shared" si="0"/>
        <v>10000000</v>
      </c>
      <c r="D40" s="56">
        <v>30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2775.1854216808292</v>
      </c>
      <c r="L40" s="57">
        <v>11788.398251387591</v>
      </c>
      <c r="M40" s="57">
        <v>22340.651963914406</v>
      </c>
      <c r="N40" s="57">
        <v>32008.775807587146</v>
      </c>
      <c r="O40" s="57">
        <v>41537.731060792124</v>
      </c>
      <c r="P40" s="57">
        <v>46793.391947869088</v>
      </c>
      <c r="Q40" s="57">
        <v>47513.794063231653</v>
      </c>
      <c r="R40" s="57">
        <v>44157.375116656018</v>
      </c>
      <c r="S40" s="57">
        <v>37452.723611179325</v>
      </c>
      <c r="T40" s="57">
        <v>27629.058401689672</v>
      </c>
      <c r="U40" s="57">
        <v>15472.272704946212</v>
      </c>
      <c r="V40" s="57">
        <v>3863.9749823992665</v>
      </c>
      <c r="W40" s="57">
        <v>0</v>
      </c>
      <c r="X40" s="57">
        <v>0</v>
      </c>
      <c r="Y40" s="57">
        <v>0</v>
      </c>
      <c r="Z40" s="57">
        <v>0</v>
      </c>
      <c r="AA40" s="57">
        <v>0</v>
      </c>
      <c r="AB40" s="62">
        <v>0</v>
      </c>
    </row>
    <row r="41" spans="1:28" ht="15" thickBot="1" x14ac:dyDescent="0.4">
      <c r="A41" s="70"/>
      <c r="B41" s="77">
        <v>47453</v>
      </c>
      <c r="C41" s="58">
        <f t="shared" si="0"/>
        <v>9999999.9999999981</v>
      </c>
      <c r="D41" s="58">
        <v>31</v>
      </c>
      <c r="E41" s="59">
        <v>0</v>
      </c>
      <c r="F41" s="59">
        <v>0</v>
      </c>
      <c r="G41" s="59">
        <v>0</v>
      </c>
      <c r="H41" s="59">
        <v>0</v>
      </c>
      <c r="I41" s="59">
        <v>0</v>
      </c>
      <c r="J41" s="59">
        <v>0</v>
      </c>
      <c r="K41" s="59">
        <v>2685.663311304028</v>
      </c>
      <c r="L41" s="59">
        <v>11408.127340052506</v>
      </c>
      <c r="M41" s="59">
        <v>21619.985771530068</v>
      </c>
      <c r="N41" s="59">
        <v>30976.234652503685</v>
      </c>
      <c r="O41" s="59">
        <v>40197.804252379472</v>
      </c>
      <c r="P41" s="59">
        <v>45283.927691486213</v>
      </c>
      <c r="Q41" s="59">
        <v>45981.091028933857</v>
      </c>
      <c r="R41" s="59">
        <v>42732.943661280013</v>
      </c>
      <c r="S41" s="59">
        <v>36244.571236625154</v>
      </c>
      <c r="T41" s="59">
        <v>26737.798453248066</v>
      </c>
      <c r="U41" s="59">
        <v>14973.167133818915</v>
      </c>
      <c r="V41" s="59">
        <v>3739.3306281283226</v>
      </c>
      <c r="W41" s="59">
        <v>0</v>
      </c>
      <c r="X41" s="59">
        <v>0</v>
      </c>
      <c r="Y41" s="59">
        <v>0</v>
      </c>
      <c r="Z41" s="59">
        <v>0</v>
      </c>
      <c r="AA41" s="59">
        <v>0</v>
      </c>
      <c r="AB41" s="63">
        <v>0</v>
      </c>
    </row>
    <row r="42" spans="1:28" x14ac:dyDescent="0.35">
      <c r="A42" s="68">
        <v>2030</v>
      </c>
      <c r="B42" s="53">
        <v>47484</v>
      </c>
      <c r="C42" s="54">
        <f t="shared" si="0"/>
        <v>9999999.9999999981</v>
      </c>
      <c r="D42" s="54">
        <v>31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2685.663311304028</v>
      </c>
      <c r="L42" s="55">
        <v>11408.127340052506</v>
      </c>
      <c r="M42" s="55">
        <v>21619.985771530068</v>
      </c>
      <c r="N42" s="55">
        <v>30976.234652503685</v>
      </c>
      <c r="O42" s="55">
        <v>40197.804252379472</v>
      </c>
      <c r="P42" s="55">
        <v>45283.927691486213</v>
      </c>
      <c r="Q42" s="55">
        <v>45981.091028933857</v>
      </c>
      <c r="R42" s="55">
        <v>42732.943661280013</v>
      </c>
      <c r="S42" s="55">
        <v>36244.571236625154</v>
      </c>
      <c r="T42" s="55">
        <v>26737.798453248066</v>
      </c>
      <c r="U42" s="55">
        <v>14973.167133818915</v>
      </c>
      <c r="V42" s="55">
        <v>3739.3306281283226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61">
        <v>0</v>
      </c>
    </row>
    <row r="43" spans="1:28" x14ac:dyDescent="0.35">
      <c r="A43" s="69"/>
      <c r="B43" s="76">
        <v>47515</v>
      </c>
      <c r="C43" s="56">
        <f t="shared" si="0"/>
        <v>10000000</v>
      </c>
      <c r="D43" s="56">
        <v>28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2973.4129518008881</v>
      </c>
      <c r="L43" s="57">
        <v>12630.426697915274</v>
      </c>
      <c r="M43" s="57">
        <v>23936.412818479719</v>
      </c>
      <c r="N43" s="57">
        <v>34295.116936700506</v>
      </c>
      <c r="O43" s="57">
        <v>44504.711850848704</v>
      </c>
      <c r="P43" s="57">
        <v>50135.777087002592</v>
      </c>
      <c r="Q43" s="57">
        <v>50907.636496319632</v>
      </c>
      <c r="R43" s="57">
        <v>47311.473339274307</v>
      </c>
      <c r="S43" s="57">
        <v>40127.918154834988</v>
      </c>
      <c r="T43" s="57">
        <v>29602.562573238931</v>
      </c>
      <c r="U43" s="57">
        <v>16577.435041013799</v>
      </c>
      <c r="V43" s="57">
        <v>4139.9731954277859</v>
      </c>
      <c r="W43" s="57">
        <v>0</v>
      </c>
      <c r="X43" s="57">
        <v>0</v>
      </c>
      <c r="Y43" s="57">
        <v>0</v>
      </c>
      <c r="Z43" s="57">
        <v>0</v>
      </c>
      <c r="AA43" s="57">
        <v>0</v>
      </c>
      <c r="AB43" s="62">
        <v>0</v>
      </c>
    </row>
    <row r="44" spans="1:28" x14ac:dyDescent="0.35">
      <c r="A44" s="69"/>
      <c r="B44" s="76">
        <v>47543</v>
      </c>
      <c r="C44" s="56">
        <f t="shared" si="0"/>
        <v>9999999.9999999981</v>
      </c>
      <c r="D44" s="56">
        <v>31</v>
      </c>
      <c r="E44" s="57">
        <v>0</v>
      </c>
      <c r="F44" s="57">
        <v>0</v>
      </c>
      <c r="G44" s="57">
        <v>0</v>
      </c>
      <c r="H44" s="57">
        <v>0</v>
      </c>
      <c r="I44" s="57">
        <v>0</v>
      </c>
      <c r="J44" s="57">
        <v>0</v>
      </c>
      <c r="K44" s="57">
        <v>2685.663311304028</v>
      </c>
      <c r="L44" s="57">
        <v>11408.127340052506</v>
      </c>
      <c r="M44" s="57">
        <v>21619.985771530068</v>
      </c>
      <c r="N44" s="57">
        <v>30976.234652503685</v>
      </c>
      <c r="O44" s="57">
        <v>40197.804252379472</v>
      </c>
      <c r="P44" s="57">
        <v>45283.927691486213</v>
      </c>
      <c r="Q44" s="57">
        <v>45981.091028933857</v>
      </c>
      <c r="R44" s="57">
        <v>42732.943661280013</v>
      </c>
      <c r="S44" s="57">
        <v>36244.571236625154</v>
      </c>
      <c r="T44" s="57">
        <v>26737.798453248066</v>
      </c>
      <c r="U44" s="57">
        <v>14973.167133818915</v>
      </c>
      <c r="V44" s="57">
        <v>3739.3306281283226</v>
      </c>
      <c r="W44" s="57">
        <v>0</v>
      </c>
      <c r="X44" s="57">
        <v>0</v>
      </c>
      <c r="Y44" s="57">
        <v>0</v>
      </c>
      <c r="Z44" s="57">
        <v>0</v>
      </c>
      <c r="AA44" s="57">
        <v>0</v>
      </c>
      <c r="AB44" s="62">
        <v>0</v>
      </c>
    </row>
    <row r="45" spans="1:28" x14ac:dyDescent="0.35">
      <c r="A45" s="69"/>
      <c r="B45" s="76">
        <v>47574</v>
      </c>
      <c r="C45" s="56">
        <f t="shared" si="0"/>
        <v>10000000</v>
      </c>
      <c r="D45" s="56">
        <v>30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2775.1854216808292</v>
      </c>
      <c r="L45" s="57">
        <v>11788.398251387591</v>
      </c>
      <c r="M45" s="57">
        <v>22340.651963914406</v>
      </c>
      <c r="N45" s="57">
        <v>32008.775807587146</v>
      </c>
      <c r="O45" s="57">
        <v>41537.731060792124</v>
      </c>
      <c r="P45" s="57">
        <v>46793.391947869088</v>
      </c>
      <c r="Q45" s="57">
        <v>47513.794063231653</v>
      </c>
      <c r="R45" s="57">
        <v>44157.375116656018</v>
      </c>
      <c r="S45" s="57">
        <v>37452.723611179325</v>
      </c>
      <c r="T45" s="57">
        <v>27629.058401689672</v>
      </c>
      <c r="U45" s="57">
        <v>15472.272704946212</v>
      </c>
      <c r="V45" s="57">
        <v>3863.9749823992665</v>
      </c>
      <c r="W45" s="57">
        <v>0</v>
      </c>
      <c r="X45" s="57">
        <v>0</v>
      </c>
      <c r="Y45" s="57">
        <v>0</v>
      </c>
      <c r="Z45" s="57">
        <v>0</v>
      </c>
      <c r="AA45" s="57">
        <v>0</v>
      </c>
      <c r="AB45" s="62">
        <v>0</v>
      </c>
    </row>
    <row r="46" spans="1:28" x14ac:dyDescent="0.35">
      <c r="A46" s="69"/>
      <c r="B46" s="76">
        <v>47604</v>
      </c>
      <c r="C46" s="56">
        <f t="shared" si="0"/>
        <v>9999999.9999999981</v>
      </c>
      <c r="D46" s="56">
        <v>31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2685.663311304028</v>
      </c>
      <c r="L46" s="57">
        <v>11408.127340052506</v>
      </c>
      <c r="M46" s="57">
        <v>21619.985771530068</v>
      </c>
      <c r="N46" s="57">
        <v>30976.234652503685</v>
      </c>
      <c r="O46" s="57">
        <v>40197.804252379472</v>
      </c>
      <c r="P46" s="57">
        <v>45283.927691486213</v>
      </c>
      <c r="Q46" s="57">
        <v>45981.091028933857</v>
      </c>
      <c r="R46" s="57">
        <v>42732.943661280013</v>
      </c>
      <c r="S46" s="57">
        <v>36244.571236625154</v>
      </c>
      <c r="T46" s="57">
        <v>26737.798453248066</v>
      </c>
      <c r="U46" s="57">
        <v>14973.167133818915</v>
      </c>
      <c r="V46" s="57">
        <v>3739.3306281283226</v>
      </c>
      <c r="W46" s="57">
        <v>0</v>
      </c>
      <c r="X46" s="57">
        <v>0</v>
      </c>
      <c r="Y46" s="57">
        <v>0</v>
      </c>
      <c r="Z46" s="57">
        <v>0</v>
      </c>
      <c r="AA46" s="57">
        <v>0</v>
      </c>
      <c r="AB46" s="62">
        <v>0</v>
      </c>
    </row>
    <row r="47" spans="1:28" x14ac:dyDescent="0.35">
      <c r="A47" s="69"/>
      <c r="B47" s="76">
        <v>47635</v>
      </c>
      <c r="C47" s="56">
        <f t="shared" ref="C47:C106" si="1">SUM(K47:V47)*D47</f>
        <v>10000000</v>
      </c>
      <c r="D47" s="56">
        <v>30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2775.1854216808292</v>
      </c>
      <c r="L47" s="57">
        <v>11788.398251387591</v>
      </c>
      <c r="M47" s="57">
        <v>22340.651963914406</v>
      </c>
      <c r="N47" s="57">
        <v>32008.775807587146</v>
      </c>
      <c r="O47" s="57">
        <v>41537.731060792124</v>
      </c>
      <c r="P47" s="57">
        <v>46793.391947869088</v>
      </c>
      <c r="Q47" s="57">
        <v>47513.794063231653</v>
      </c>
      <c r="R47" s="57">
        <v>44157.375116656018</v>
      </c>
      <c r="S47" s="57">
        <v>37452.723611179325</v>
      </c>
      <c r="T47" s="57">
        <v>27629.058401689672</v>
      </c>
      <c r="U47" s="57">
        <v>15472.272704946212</v>
      </c>
      <c r="V47" s="57">
        <v>3863.9749823992665</v>
      </c>
      <c r="W47" s="57">
        <v>0</v>
      </c>
      <c r="X47" s="57">
        <v>0</v>
      </c>
      <c r="Y47" s="57">
        <v>0</v>
      </c>
      <c r="Z47" s="57">
        <v>0</v>
      </c>
      <c r="AA47" s="57">
        <v>0</v>
      </c>
      <c r="AB47" s="62">
        <v>0</v>
      </c>
    </row>
    <row r="48" spans="1:28" x14ac:dyDescent="0.35">
      <c r="A48" s="69"/>
      <c r="B48" s="76">
        <v>47665</v>
      </c>
      <c r="C48" s="56">
        <f t="shared" si="1"/>
        <v>9999999.9999999981</v>
      </c>
      <c r="D48" s="56">
        <v>31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2685.663311304028</v>
      </c>
      <c r="L48" s="57">
        <v>11408.127340052506</v>
      </c>
      <c r="M48" s="57">
        <v>21619.985771530068</v>
      </c>
      <c r="N48" s="57">
        <v>30976.234652503685</v>
      </c>
      <c r="O48" s="57">
        <v>40197.804252379472</v>
      </c>
      <c r="P48" s="57">
        <v>45283.927691486213</v>
      </c>
      <c r="Q48" s="57">
        <v>45981.091028933857</v>
      </c>
      <c r="R48" s="57">
        <v>42732.943661280013</v>
      </c>
      <c r="S48" s="57">
        <v>36244.571236625154</v>
      </c>
      <c r="T48" s="57">
        <v>26737.798453248066</v>
      </c>
      <c r="U48" s="57">
        <v>14973.167133818915</v>
      </c>
      <c r="V48" s="57">
        <v>3739.3306281283226</v>
      </c>
      <c r="W48" s="57">
        <v>0</v>
      </c>
      <c r="X48" s="57">
        <v>0</v>
      </c>
      <c r="Y48" s="57">
        <v>0</v>
      </c>
      <c r="Z48" s="57">
        <v>0</v>
      </c>
      <c r="AA48" s="57">
        <v>0</v>
      </c>
      <c r="AB48" s="62">
        <v>0</v>
      </c>
    </row>
    <row r="49" spans="1:28" x14ac:dyDescent="0.35">
      <c r="A49" s="69"/>
      <c r="B49" s="76">
        <v>47696</v>
      </c>
      <c r="C49" s="56">
        <f t="shared" si="1"/>
        <v>9999999.9999999981</v>
      </c>
      <c r="D49" s="56">
        <v>31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2685.663311304028</v>
      </c>
      <c r="L49" s="57">
        <v>11408.127340052506</v>
      </c>
      <c r="M49" s="57">
        <v>21619.985771530068</v>
      </c>
      <c r="N49" s="57">
        <v>30976.234652503685</v>
      </c>
      <c r="O49" s="57">
        <v>40197.804252379472</v>
      </c>
      <c r="P49" s="57">
        <v>45283.927691486213</v>
      </c>
      <c r="Q49" s="57">
        <v>45981.091028933857</v>
      </c>
      <c r="R49" s="57">
        <v>42732.943661280013</v>
      </c>
      <c r="S49" s="57">
        <v>36244.571236625154</v>
      </c>
      <c r="T49" s="57">
        <v>26737.798453248066</v>
      </c>
      <c r="U49" s="57">
        <v>14973.167133818915</v>
      </c>
      <c r="V49" s="57">
        <v>3739.3306281283226</v>
      </c>
      <c r="W49" s="57">
        <v>0</v>
      </c>
      <c r="X49" s="57">
        <v>0</v>
      </c>
      <c r="Y49" s="57">
        <v>0</v>
      </c>
      <c r="Z49" s="57">
        <v>0</v>
      </c>
      <c r="AA49" s="57">
        <v>0</v>
      </c>
      <c r="AB49" s="62">
        <v>0</v>
      </c>
    </row>
    <row r="50" spans="1:28" x14ac:dyDescent="0.35">
      <c r="A50" s="69"/>
      <c r="B50" s="76">
        <v>47727</v>
      </c>
      <c r="C50" s="56">
        <f t="shared" si="1"/>
        <v>10000000</v>
      </c>
      <c r="D50" s="56">
        <v>30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2775.1854216808292</v>
      </c>
      <c r="L50" s="57">
        <v>11788.398251387591</v>
      </c>
      <c r="M50" s="57">
        <v>22340.651963914406</v>
      </c>
      <c r="N50" s="57">
        <v>32008.775807587146</v>
      </c>
      <c r="O50" s="57">
        <v>41537.731060792124</v>
      </c>
      <c r="P50" s="57">
        <v>46793.391947869088</v>
      </c>
      <c r="Q50" s="57">
        <v>47513.794063231653</v>
      </c>
      <c r="R50" s="57">
        <v>44157.375116656018</v>
      </c>
      <c r="S50" s="57">
        <v>37452.723611179325</v>
      </c>
      <c r="T50" s="57">
        <v>27629.058401689672</v>
      </c>
      <c r="U50" s="57">
        <v>15472.272704946212</v>
      </c>
      <c r="V50" s="57">
        <v>3863.9749823992665</v>
      </c>
      <c r="W50" s="57">
        <v>0</v>
      </c>
      <c r="X50" s="57">
        <v>0</v>
      </c>
      <c r="Y50" s="57">
        <v>0</v>
      </c>
      <c r="Z50" s="57">
        <v>0</v>
      </c>
      <c r="AA50" s="57">
        <v>0</v>
      </c>
      <c r="AB50" s="62">
        <v>0</v>
      </c>
    </row>
    <row r="51" spans="1:28" x14ac:dyDescent="0.35">
      <c r="A51" s="69"/>
      <c r="B51" s="76">
        <v>47757</v>
      </c>
      <c r="C51" s="56">
        <f t="shared" si="1"/>
        <v>9999999.9999999981</v>
      </c>
      <c r="D51" s="56">
        <v>31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2685.663311304028</v>
      </c>
      <c r="L51" s="57">
        <v>11408.127340052506</v>
      </c>
      <c r="M51" s="57">
        <v>21619.985771530068</v>
      </c>
      <c r="N51" s="57">
        <v>30976.234652503685</v>
      </c>
      <c r="O51" s="57">
        <v>40197.804252379472</v>
      </c>
      <c r="P51" s="57">
        <v>45283.927691486213</v>
      </c>
      <c r="Q51" s="57">
        <v>45981.091028933857</v>
      </c>
      <c r="R51" s="57">
        <v>42732.943661280013</v>
      </c>
      <c r="S51" s="57">
        <v>36244.571236625154</v>
      </c>
      <c r="T51" s="57">
        <v>26737.798453248066</v>
      </c>
      <c r="U51" s="57">
        <v>14973.167133818915</v>
      </c>
      <c r="V51" s="57">
        <v>3739.3306281283226</v>
      </c>
      <c r="W51" s="57">
        <v>0</v>
      </c>
      <c r="X51" s="57">
        <v>0</v>
      </c>
      <c r="Y51" s="57">
        <v>0</v>
      </c>
      <c r="Z51" s="57">
        <v>0</v>
      </c>
      <c r="AA51" s="57">
        <v>0</v>
      </c>
      <c r="AB51" s="62">
        <v>0</v>
      </c>
    </row>
    <row r="52" spans="1:28" x14ac:dyDescent="0.35">
      <c r="A52" s="69"/>
      <c r="B52" s="76">
        <v>47788</v>
      </c>
      <c r="C52" s="56">
        <f t="shared" si="1"/>
        <v>10000000</v>
      </c>
      <c r="D52" s="56">
        <v>30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2775.1854216808292</v>
      </c>
      <c r="L52" s="57">
        <v>11788.398251387591</v>
      </c>
      <c r="M52" s="57">
        <v>22340.651963914406</v>
      </c>
      <c r="N52" s="57">
        <v>32008.775807587146</v>
      </c>
      <c r="O52" s="57">
        <v>41537.731060792124</v>
      </c>
      <c r="P52" s="57">
        <v>46793.391947869088</v>
      </c>
      <c r="Q52" s="57">
        <v>47513.794063231653</v>
      </c>
      <c r="R52" s="57">
        <v>44157.375116656018</v>
      </c>
      <c r="S52" s="57">
        <v>37452.723611179325</v>
      </c>
      <c r="T52" s="57">
        <v>27629.058401689672</v>
      </c>
      <c r="U52" s="57">
        <v>15472.272704946212</v>
      </c>
      <c r="V52" s="57">
        <v>3863.9749823992665</v>
      </c>
      <c r="W52" s="57">
        <v>0</v>
      </c>
      <c r="X52" s="57">
        <v>0</v>
      </c>
      <c r="Y52" s="57">
        <v>0</v>
      </c>
      <c r="Z52" s="57">
        <v>0</v>
      </c>
      <c r="AA52" s="57">
        <v>0</v>
      </c>
      <c r="AB52" s="62">
        <v>0</v>
      </c>
    </row>
    <row r="53" spans="1:28" ht="15" thickBot="1" x14ac:dyDescent="0.4">
      <c r="A53" s="70"/>
      <c r="B53" s="77">
        <v>47818</v>
      </c>
      <c r="C53" s="58">
        <f t="shared" si="1"/>
        <v>9999999.9999999981</v>
      </c>
      <c r="D53" s="58">
        <v>31</v>
      </c>
      <c r="E53" s="59">
        <v>0</v>
      </c>
      <c r="F53" s="59">
        <v>0</v>
      </c>
      <c r="G53" s="59">
        <v>0</v>
      </c>
      <c r="H53" s="59">
        <v>0</v>
      </c>
      <c r="I53" s="59">
        <v>0</v>
      </c>
      <c r="J53" s="59">
        <v>0</v>
      </c>
      <c r="K53" s="59">
        <v>2685.663311304028</v>
      </c>
      <c r="L53" s="59">
        <v>11408.127340052506</v>
      </c>
      <c r="M53" s="59">
        <v>21619.985771530068</v>
      </c>
      <c r="N53" s="59">
        <v>30976.234652503685</v>
      </c>
      <c r="O53" s="59">
        <v>40197.804252379472</v>
      </c>
      <c r="P53" s="59">
        <v>45283.927691486213</v>
      </c>
      <c r="Q53" s="59">
        <v>45981.091028933857</v>
      </c>
      <c r="R53" s="59">
        <v>42732.943661280013</v>
      </c>
      <c r="S53" s="59">
        <v>36244.571236625154</v>
      </c>
      <c r="T53" s="59">
        <v>26737.798453248066</v>
      </c>
      <c r="U53" s="59">
        <v>14973.167133818915</v>
      </c>
      <c r="V53" s="59">
        <v>3739.3306281283226</v>
      </c>
      <c r="W53" s="59">
        <v>0</v>
      </c>
      <c r="X53" s="59">
        <v>0</v>
      </c>
      <c r="Y53" s="59">
        <v>0</v>
      </c>
      <c r="Z53" s="59">
        <v>0</v>
      </c>
      <c r="AA53" s="59">
        <v>0</v>
      </c>
      <c r="AB53" s="63">
        <v>0</v>
      </c>
    </row>
    <row r="54" spans="1:28" x14ac:dyDescent="0.35">
      <c r="A54" s="68">
        <v>2031</v>
      </c>
      <c r="B54" s="53">
        <v>47849</v>
      </c>
      <c r="C54" s="54">
        <f t="shared" si="1"/>
        <v>9999999.9999999981</v>
      </c>
      <c r="D54" s="54">
        <v>31</v>
      </c>
      <c r="E54" s="55">
        <v>0</v>
      </c>
      <c r="F54" s="55">
        <v>0</v>
      </c>
      <c r="G54" s="55">
        <v>0</v>
      </c>
      <c r="H54" s="55">
        <v>0</v>
      </c>
      <c r="I54" s="55">
        <v>0</v>
      </c>
      <c r="J54" s="55">
        <v>0</v>
      </c>
      <c r="K54" s="55">
        <v>2685.663311304028</v>
      </c>
      <c r="L54" s="55">
        <v>11408.127340052506</v>
      </c>
      <c r="M54" s="55">
        <v>21619.985771530068</v>
      </c>
      <c r="N54" s="55">
        <v>30976.234652503685</v>
      </c>
      <c r="O54" s="55">
        <v>40197.804252379472</v>
      </c>
      <c r="P54" s="55">
        <v>45283.927691486213</v>
      </c>
      <c r="Q54" s="55">
        <v>45981.091028933857</v>
      </c>
      <c r="R54" s="55">
        <v>42732.943661280013</v>
      </c>
      <c r="S54" s="55">
        <v>36244.571236625154</v>
      </c>
      <c r="T54" s="55">
        <v>26737.798453248066</v>
      </c>
      <c r="U54" s="55">
        <v>14973.167133818915</v>
      </c>
      <c r="V54" s="55">
        <v>3739.3306281283226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61">
        <v>0</v>
      </c>
    </row>
    <row r="55" spans="1:28" x14ac:dyDescent="0.35">
      <c r="A55" s="69"/>
      <c r="B55" s="76">
        <v>47880</v>
      </c>
      <c r="C55" s="56">
        <f t="shared" si="1"/>
        <v>10000000</v>
      </c>
      <c r="D55" s="56">
        <v>28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2973.4129518008881</v>
      </c>
      <c r="L55" s="57">
        <v>12630.426697915274</v>
      </c>
      <c r="M55" s="57">
        <v>23936.412818479719</v>
      </c>
      <c r="N55" s="57">
        <v>34295.116936700506</v>
      </c>
      <c r="O55" s="57">
        <v>44504.711850848704</v>
      </c>
      <c r="P55" s="57">
        <v>50135.777087002592</v>
      </c>
      <c r="Q55" s="57">
        <v>50907.636496319632</v>
      </c>
      <c r="R55" s="57">
        <v>47311.473339274307</v>
      </c>
      <c r="S55" s="57">
        <v>40127.918154834988</v>
      </c>
      <c r="T55" s="57">
        <v>29602.562573238931</v>
      </c>
      <c r="U55" s="57">
        <v>16577.435041013799</v>
      </c>
      <c r="V55" s="57">
        <v>4139.9731954277859</v>
      </c>
      <c r="W55" s="57">
        <v>0</v>
      </c>
      <c r="X55" s="57">
        <v>0</v>
      </c>
      <c r="Y55" s="57">
        <v>0</v>
      </c>
      <c r="Z55" s="57">
        <v>0</v>
      </c>
      <c r="AA55" s="57">
        <v>0</v>
      </c>
      <c r="AB55" s="62">
        <v>0</v>
      </c>
    </row>
    <row r="56" spans="1:28" x14ac:dyDescent="0.35">
      <c r="A56" s="69"/>
      <c r="B56" s="76">
        <v>47908</v>
      </c>
      <c r="C56" s="56">
        <f t="shared" si="1"/>
        <v>9999999.9999999981</v>
      </c>
      <c r="D56" s="56">
        <v>31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2685.663311304028</v>
      </c>
      <c r="L56" s="57">
        <v>11408.127340052506</v>
      </c>
      <c r="M56" s="57">
        <v>21619.985771530068</v>
      </c>
      <c r="N56" s="57">
        <v>30976.234652503685</v>
      </c>
      <c r="O56" s="57">
        <v>40197.804252379472</v>
      </c>
      <c r="P56" s="57">
        <v>45283.927691486213</v>
      </c>
      <c r="Q56" s="57">
        <v>45981.091028933857</v>
      </c>
      <c r="R56" s="57">
        <v>42732.943661280013</v>
      </c>
      <c r="S56" s="57">
        <v>36244.571236625154</v>
      </c>
      <c r="T56" s="57">
        <v>26737.798453248066</v>
      </c>
      <c r="U56" s="57">
        <v>14973.167133818915</v>
      </c>
      <c r="V56" s="57">
        <v>3739.3306281283226</v>
      </c>
      <c r="W56" s="57">
        <v>0</v>
      </c>
      <c r="X56" s="57">
        <v>0</v>
      </c>
      <c r="Y56" s="57">
        <v>0</v>
      </c>
      <c r="Z56" s="57">
        <v>0</v>
      </c>
      <c r="AA56" s="57">
        <v>0</v>
      </c>
      <c r="AB56" s="62">
        <v>0</v>
      </c>
    </row>
    <row r="57" spans="1:28" x14ac:dyDescent="0.35">
      <c r="A57" s="69"/>
      <c r="B57" s="76">
        <v>47939</v>
      </c>
      <c r="C57" s="56">
        <f t="shared" si="1"/>
        <v>10000000</v>
      </c>
      <c r="D57" s="56">
        <v>30</v>
      </c>
      <c r="E57" s="57">
        <v>0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2775.1854216808292</v>
      </c>
      <c r="L57" s="57">
        <v>11788.398251387591</v>
      </c>
      <c r="M57" s="57">
        <v>22340.651963914406</v>
      </c>
      <c r="N57" s="57">
        <v>32008.775807587146</v>
      </c>
      <c r="O57" s="57">
        <v>41537.731060792124</v>
      </c>
      <c r="P57" s="57">
        <v>46793.391947869088</v>
      </c>
      <c r="Q57" s="57">
        <v>47513.794063231653</v>
      </c>
      <c r="R57" s="57">
        <v>44157.375116656018</v>
      </c>
      <c r="S57" s="57">
        <v>37452.723611179325</v>
      </c>
      <c r="T57" s="57">
        <v>27629.058401689672</v>
      </c>
      <c r="U57" s="57">
        <v>15472.272704946212</v>
      </c>
      <c r="V57" s="57">
        <v>3863.9749823992665</v>
      </c>
      <c r="W57" s="57">
        <v>0</v>
      </c>
      <c r="X57" s="57">
        <v>0</v>
      </c>
      <c r="Y57" s="57">
        <v>0</v>
      </c>
      <c r="Z57" s="57">
        <v>0</v>
      </c>
      <c r="AA57" s="57">
        <v>0</v>
      </c>
      <c r="AB57" s="62">
        <v>0</v>
      </c>
    </row>
    <row r="58" spans="1:28" x14ac:dyDescent="0.35">
      <c r="A58" s="69"/>
      <c r="B58" s="76">
        <v>47969</v>
      </c>
      <c r="C58" s="56">
        <f t="shared" si="1"/>
        <v>9999999.9999999981</v>
      </c>
      <c r="D58" s="56">
        <v>31</v>
      </c>
      <c r="E58" s="57">
        <v>0</v>
      </c>
      <c r="F58" s="57">
        <v>0</v>
      </c>
      <c r="G58" s="57">
        <v>0</v>
      </c>
      <c r="H58" s="57">
        <v>0</v>
      </c>
      <c r="I58" s="57">
        <v>0</v>
      </c>
      <c r="J58" s="57">
        <v>0</v>
      </c>
      <c r="K58" s="57">
        <v>2685.663311304028</v>
      </c>
      <c r="L58" s="57">
        <v>11408.127340052506</v>
      </c>
      <c r="M58" s="57">
        <v>21619.985771530068</v>
      </c>
      <c r="N58" s="57">
        <v>30976.234652503685</v>
      </c>
      <c r="O58" s="57">
        <v>40197.804252379472</v>
      </c>
      <c r="P58" s="57">
        <v>45283.927691486213</v>
      </c>
      <c r="Q58" s="57">
        <v>45981.091028933857</v>
      </c>
      <c r="R58" s="57">
        <v>42732.943661280013</v>
      </c>
      <c r="S58" s="57">
        <v>36244.571236625154</v>
      </c>
      <c r="T58" s="57">
        <v>26737.798453248066</v>
      </c>
      <c r="U58" s="57">
        <v>14973.167133818915</v>
      </c>
      <c r="V58" s="57">
        <v>3739.3306281283226</v>
      </c>
      <c r="W58" s="57">
        <v>0</v>
      </c>
      <c r="X58" s="57">
        <v>0</v>
      </c>
      <c r="Y58" s="57">
        <v>0</v>
      </c>
      <c r="Z58" s="57">
        <v>0</v>
      </c>
      <c r="AA58" s="57">
        <v>0</v>
      </c>
      <c r="AB58" s="62">
        <v>0</v>
      </c>
    </row>
    <row r="59" spans="1:28" x14ac:dyDescent="0.35">
      <c r="A59" s="69"/>
      <c r="B59" s="76">
        <v>48000</v>
      </c>
      <c r="C59" s="56">
        <f t="shared" si="1"/>
        <v>10000000</v>
      </c>
      <c r="D59" s="56">
        <v>30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2775.1854216808292</v>
      </c>
      <c r="L59" s="57">
        <v>11788.398251387591</v>
      </c>
      <c r="M59" s="57">
        <v>22340.651963914406</v>
      </c>
      <c r="N59" s="57">
        <v>32008.775807587146</v>
      </c>
      <c r="O59" s="57">
        <v>41537.731060792124</v>
      </c>
      <c r="P59" s="57">
        <v>46793.391947869088</v>
      </c>
      <c r="Q59" s="57">
        <v>47513.794063231653</v>
      </c>
      <c r="R59" s="57">
        <v>44157.375116656018</v>
      </c>
      <c r="S59" s="57">
        <v>37452.723611179325</v>
      </c>
      <c r="T59" s="57">
        <v>27629.058401689672</v>
      </c>
      <c r="U59" s="57">
        <v>15472.272704946212</v>
      </c>
      <c r="V59" s="57">
        <v>3863.9749823992665</v>
      </c>
      <c r="W59" s="57">
        <v>0</v>
      </c>
      <c r="X59" s="57">
        <v>0</v>
      </c>
      <c r="Y59" s="57">
        <v>0</v>
      </c>
      <c r="Z59" s="57">
        <v>0</v>
      </c>
      <c r="AA59" s="57">
        <v>0</v>
      </c>
      <c r="AB59" s="62">
        <v>0</v>
      </c>
    </row>
    <row r="60" spans="1:28" x14ac:dyDescent="0.35">
      <c r="A60" s="69"/>
      <c r="B60" s="76">
        <v>48030</v>
      </c>
      <c r="C60" s="56">
        <f t="shared" si="1"/>
        <v>9999999.9999999981</v>
      </c>
      <c r="D60" s="56">
        <v>31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2685.663311304028</v>
      </c>
      <c r="L60" s="57">
        <v>11408.127340052506</v>
      </c>
      <c r="M60" s="57">
        <v>21619.985771530068</v>
      </c>
      <c r="N60" s="57">
        <v>30976.234652503685</v>
      </c>
      <c r="O60" s="57">
        <v>40197.804252379472</v>
      </c>
      <c r="P60" s="57">
        <v>45283.927691486213</v>
      </c>
      <c r="Q60" s="57">
        <v>45981.091028933857</v>
      </c>
      <c r="R60" s="57">
        <v>42732.943661280013</v>
      </c>
      <c r="S60" s="57">
        <v>36244.571236625154</v>
      </c>
      <c r="T60" s="57">
        <v>26737.798453248066</v>
      </c>
      <c r="U60" s="57">
        <v>14973.167133818915</v>
      </c>
      <c r="V60" s="57">
        <v>3739.3306281283226</v>
      </c>
      <c r="W60" s="57">
        <v>0</v>
      </c>
      <c r="X60" s="57">
        <v>0</v>
      </c>
      <c r="Y60" s="57">
        <v>0</v>
      </c>
      <c r="Z60" s="57">
        <v>0</v>
      </c>
      <c r="AA60" s="57">
        <v>0</v>
      </c>
      <c r="AB60" s="62">
        <v>0</v>
      </c>
    </row>
    <row r="61" spans="1:28" x14ac:dyDescent="0.35">
      <c r="A61" s="69"/>
      <c r="B61" s="76">
        <v>48061</v>
      </c>
      <c r="C61" s="56">
        <f t="shared" si="1"/>
        <v>9999999.9999999981</v>
      </c>
      <c r="D61" s="56">
        <v>31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2685.663311304028</v>
      </c>
      <c r="L61" s="57">
        <v>11408.127340052506</v>
      </c>
      <c r="M61" s="57">
        <v>21619.985771530068</v>
      </c>
      <c r="N61" s="57">
        <v>30976.234652503685</v>
      </c>
      <c r="O61" s="57">
        <v>40197.804252379472</v>
      </c>
      <c r="P61" s="57">
        <v>45283.927691486213</v>
      </c>
      <c r="Q61" s="57">
        <v>45981.091028933857</v>
      </c>
      <c r="R61" s="57">
        <v>42732.943661280013</v>
      </c>
      <c r="S61" s="57">
        <v>36244.571236625154</v>
      </c>
      <c r="T61" s="57">
        <v>26737.798453248066</v>
      </c>
      <c r="U61" s="57">
        <v>14973.167133818915</v>
      </c>
      <c r="V61" s="57">
        <v>3739.3306281283226</v>
      </c>
      <c r="W61" s="57">
        <v>0</v>
      </c>
      <c r="X61" s="57">
        <v>0</v>
      </c>
      <c r="Y61" s="57">
        <v>0</v>
      </c>
      <c r="Z61" s="57">
        <v>0</v>
      </c>
      <c r="AA61" s="57">
        <v>0</v>
      </c>
      <c r="AB61" s="62">
        <v>0</v>
      </c>
    </row>
    <row r="62" spans="1:28" x14ac:dyDescent="0.35">
      <c r="A62" s="69"/>
      <c r="B62" s="76">
        <v>48092</v>
      </c>
      <c r="C62" s="56">
        <f t="shared" si="1"/>
        <v>10000000</v>
      </c>
      <c r="D62" s="56">
        <v>30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2775.1854216808292</v>
      </c>
      <c r="L62" s="57">
        <v>11788.398251387591</v>
      </c>
      <c r="M62" s="57">
        <v>22340.651963914406</v>
      </c>
      <c r="N62" s="57">
        <v>32008.775807587146</v>
      </c>
      <c r="O62" s="57">
        <v>41537.731060792124</v>
      </c>
      <c r="P62" s="57">
        <v>46793.391947869088</v>
      </c>
      <c r="Q62" s="57">
        <v>47513.794063231653</v>
      </c>
      <c r="R62" s="57">
        <v>44157.375116656018</v>
      </c>
      <c r="S62" s="57">
        <v>37452.723611179325</v>
      </c>
      <c r="T62" s="57">
        <v>27629.058401689672</v>
      </c>
      <c r="U62" s="57">
        <v>15472.272704946212</v>
      </c>
      <c r="V62" s="57">
        <v>3863.9749823992665</v>
      </c>
      <c r="W62" s="57">
        <v>0</v>
      </c>
      <c r="X62" s="57">
        <v>0</v>
      </c>
      <c r="Y62" s="57">
        <v>0</v>
      </c>
      <c r="Z62" s="57">
        <v>0</v>
      </c>
      <c r="AA62" s="57">
        <v>0</v>
      </c>
      <c r="AB62" s="62">
        <v>0</v>
      </c>
    </row>
    <row r="63" spans="1:28" x14ac:dyDescent="0.35">
      <c r="A63" s="69"/>
      <c r="B63" s="76">
        <v>48122</v>
      </c>
      <c r="C63" s="56">
        <f t="shared" si="1"/>
        <v>9999999.9999999981</v>
      </c>
      <c r="D63" s="56">
        <v>31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2685.663311304028</v>
      </c>
      <c r="L63" s="57">
        <v>11408.127340052506</v>
      </c>
      <c r="M63" s="57">
        <v>21619.985771530068</v>
      </c>
      <c r="N63" s="57">
        <v>30976.234652503685</v>
      </c>
      <c r="O63" s="57">
        <v>40197.804252379472</v>
      </c>
      <c r="P63" s="57">
        <v>45283.927691486213</v>
      </c>
      <c r="Q63" s="57">
        <v>45981.091028933857</v>
      </c>
      <c r="R63" s="57">
        <v>42732.943661280013</v>
      </c>
      <c r="S63" s="57">
        <v>36244.571236625154</v>
      </c>
      <c r="T63" s="57">
        <v>26737.798453248066</v>
      </c>
      <c r="U63" s="57">
        <v>14973.167133818915</v>
      </c>
      <c r="V63" s="57">
        <v>3739.3306281283226</v>
      </c>
      <c r="W63" s="57">
        <v>0</v>
      </c>
      <c r="X63" s="57">
        <v>0</v>
      </c>
      <c r="Y63" s="57">
        <v>0</v>
      </c>
      <c r="Z63" s="57">
        <v>0</v>
      </c>
      <c r="AA63" s="57">
        <v>0</v>
      </c>
      <c r="AB63" s="62">
        <v>0</v>
      </c>
    </row>
    <row r="64" spans="1:28" x14ac:dyDescent="0.35">
      <c r="A64" s="69"/>
      <c r="B64" s="76">
        <v>48153</v>
      </c>
      <c r="C64" s="56">
        <f t="shared" si="1"/>
        <v>10000000</v>
      </c>
      <c r="D64" s="56">
        <v>30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2775.1854216808292</v>
      </c>
      <c r="L64" s="57">
        <v>11788.398251387591</v>
      </c>
      <c r="M64" s="57">
        <v>22340.651963914406</v>
      </c>
      <c r="N64" s="57">
        <v>32008.775807587146</v>
      </c>
      <c r="O64" s="57">
        <v>41537.731060792124</v>
      </c>
      <c r="P64" s="57">
        <v>46793.391947869088</v>
      </c>
      <c r="Q64" s="57">
        <v>47513.794063231653</v>
      </c>
      <c r="R64" s="57">
        <v>44157.375116656018</v>
      </c>
      <c r="S64" s="57">
        <v>37452.723611179325</v>
      </c>
      <c r="T64" s="57">
        <v>27629.058401689672</v>
      </c>
      <c r="U64" s="57">
        <v>15472.272704946212</v>
      </c>
      <c r="V64" s="57">
        <v>3863.9749823992665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62">
        <v>0</v>
      </c>
    </row>
    <row r="65" spans="1:28" ht="15" thickBot="1" x14ac:dyDescent="0.4">
      <c r="A65" s="70"/>
      <c r="B65" s="77">
        <v>48183</v>
      </c>
      <c r="C65" s="58">
        <f t="shared" si="1"/>
        <v>9999999.9999999981</v>
      </c>
      <c r="D65" s="58">
        <v>31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2685.663311304028</v>
      </c>
      <c r="L65" s="59">
        <v>11408.127340052506</v>
      </c>
      <c r="M65" s="59">
        <v>21619.985771530068</v>
      </c>
      <c r="N65" s="59">
        <v>30976.234652503685</v>
      </c>
      <c r="O65" s="59">
        <v>40197.804252379472</v>
      </c>
      <c r="P65" s="59">
        <v>45283.927691486213</v>
      </c>
      <c r="Q65" s="59">
        <v>45981.091028933857</v>
      </c>
      <c r="R65" s="59">
        <v>42732.943661280013</v>
      </c>
      <c r="S65" s="59">
        <v>36244.571236625154</v>
      </c>
      <c r="T65" s="59">
        <v>26737.798453248066</v>
      </c>
      <c r="U65" s="59">
        <v>14973.167133818915</v>
      </c>
      <c r="V65" s="59">
        <v>3739.3306281283226</v>
      </c>
      <c r="W65" s="59">
        <v>0</v>
      </c>
      <c r="X65" s="59">
        <v>0</v>
      </c>
      <c r="Y65" s="59">
        <v>0</v>
      </c>
      <c r="Z65" s="59">
        <v>0</v>
      </c>
      <c r="AA65" s="59">
        <v>0</v>
      </c>
      <c r="AB65" s="63">
        <v>0</v>
      </c>
    </row>
    <row r="66" spans="1:28" x14ac:dyDescent="0.35">
      <c r="A66" s="68">
        <v>2032</v>
      </c>
      <c r="B66" s="53">
        <v>48214</v>
      </c>
      <c r="C66" s="54">
        <f t="shared" si="1"/>
        <v>9999999.9999999981</v>
      </c>
      <c r="D66" s="54">
        <v>31</v>
      </c>
      <c r="E66" s="55">
        <v>0</v>
      </c>
      <c r="F66" s="55">
        <v>0</v>
      </c>
      <c r="G66" s="55">
        <v>0</v>
      </c>
      <c r="H66" s="55">
        <v>0</v>
      </c>
      <c r="I66" s="55">
        <v>0</v>
      </c>
      <c r="J66" s="55">
        <v>0</v>
      </c>
      <c r="K66" s="55">
        <v>2685.663311304028</v>
      </c>
      <c r="L66" s="55">
        <v>11408.127340052506</v>
      </c>
      <c r="M66" s="55">
        <v>21619.985771530068</v>
      </c>
      <c r="N66" s="55">
        <v>30976.234652503685</v>
      </c>
      <c r="O66" s="55">
        <v>40197.804252379472</v>
      </c>
      <c r="P66" s="55">
        <v>45283.927691486213</v>
      </c>
      <c r="Q66" s="55">
        <v>45981.091028933857</v>
      </c>
      <c r="R66" s="55">
        <v>42732.943661280013</v>
      </c>
      <c r="S66" s="55">
        <v>36244.571236625154</v>
      </c>
      <c r="T66" s="55">
        <v>26737.798453248066</v>
      </c>
      <c r="U66" s="55">
        <v>14973.167133818915</v>
      </c>
      <c r="V66" s="55">
        <v>3739.3306281283226</v>
      </c>
      <c r="W66" s="55">
        <v>0</v>
      </c>
      <c r="X66" s="55">
        <v>0</v>
      </c>
      <c r="Y66" s="55">
        <v>0</v>
      </c>
      <c r="Z66" s="55">
        <v>0</v>
      </c>
      <c r="AA66" s="55">
        <v>0</v>
      </c>
      <c r="AB66" s="61">
        <v>0</v>
      </c>
    </row>
    <row r="67" spans="1:28" x14ac:dyDescent="0.35">
      <c r="A67" s="69"/>
      <c r="B67" s="76">
        <v>48245</v>
      </c>
      <c r="C67" s="56">
        <f t="shared" si="1"/>
        <v>10000000</v>
      </c>
      <c r="D67" s="56">
        <v>29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2870.8814707043066</v>
      </c>
      <c r="L67" s="57">
        <v>12194.894742814748</v>
      </c>
      <c r="M67" s="57">
        <v>23111.019273014903</v>
      </c>
      <c r="N67" s="57">
        <v>33112.526697503941</v>
      </c>
      <c r="O67" s="57">
        <v>42970.066614612537</v>
      </c>
      <c r="P67" s="57">
        <v>48406.957187450789</v>
      </c>
      <c r="Q67" s="57">
        <v>49152.200755067235</v>
      </c>
      <c r="R67" s="57">
        <v>45680.043224126915</v>
      </c>
      <c r="S67" s="57">
        <v>38744.196839151024</v>
      </c>
      <c r="T67" s="57">
        <v>28581.784553472073</v>
      </c>
      <c r="U67" s="57">
        <v>16005.799349944358</v>
      </c>
      <c r="V67" s="57">
        <v>3997.215499033724</v>
      </c>
      <c r="W67" s="57">
        <v>0</v>
      </c>
      <c r="X67" s="57">
        <v>0</v>
      </c>
      <c r="Y67" s="57">
        <v>0</v>
      </c>
      <c r="Z67" s="57">
        <v>0</v>
      </c>
      <c r="AA67" s="57">
        <v>0</v>
      </c>
      <c r="AB67" s="62">
        <v>0</v>
      </c>
    </row>
    <row r="68" spans="1:28" x14ac:dyDescent="0.35">
      <c r="A68" s="69"/>
      <c r="B68" s="76">
        <v>48274</v>
      </c>
      <c r="C68" s="56">
        <f t="shared" si="1"/>
        <v>9999999.9999999981</v>
      </c>
      <c r="D68" s="56">
        <v>31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2685.663311304028</v>
      </c>
      <c r="L68" s="57">
        <v>11408.127340052506</v>
      </c>
      <c r="M68" s="57">
        <v>21619.985771530068</v>
      </c>
      <c r="N68" s="57">
        <v>30976.234652503685</v>
      </c>
      <c r="O68" s="57">
        <v>40197.804252379472</v>
      </c>
      <c r="P68" s="57">
        <v>45283.927691486213</v>
      </c>
      <c r="Q68" s="57">
        <v>45981.091028933857</v>
      </c>
      <c r="R68" s="57">
        <v>42732.943661280013</v>
      </c>
      <c r="S68" s="57">
        <v>36244.571236625154</v>
      </c>
      <c r="T68" s="57">
        <v>26737.798453248066</v>
      </c>
      <c r="U68" s="57">
        <v>14973.167133818915</v>
      </c>
      <c r="V68" s="57">
        <v>3739.3306281283226</v>
      </c>
      <c r="W68" s="57">
        <v>0</v>
      </c>
      <c r="X68" s="57">
        <v>0</v>
      </c>
      <c r="Y68" s="57">
        <v>0</v>
      </c>
      <c r="Z68" s="57">
        <v>0</v>
      </c>
      <c r="AA68" s="57">
        <v>0</v>
      </c>
      <c r="AB68" s="62">
        <v>0</v>
      </c>
    </row>
    <row r="69" spans="1:28" x14ac:dyDescent="0.35">
      <c r="A69" s="69"/>
      <c r="B69" s="76">
        <v>48305</v>
      </c>
      <c r="C69" s="56">
        <f t="shared" si="1"/>
        <v>10000000</v>
      </c>
      <c r="D69" s="56">
        <v>30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2775.1854216808292</v>
      </c>
      <c r="L69" s="57">
        <v>11788.398251387591</v>
      </c>
      <c r="M69" s="57">
        <v>22340.651963914406</v>
      </c>
      <c r="N69" s="57">
        <v>32008.775807587146</v>
      </c>
      <c r="O69" s="57">
        <v>41537.731060792124</v>
      </c>
      <c r="P69" s="57">
        <v>46793.391947869088</v>
      </c>
      <c r="Q69" s="57">
        <v>47513.794063231653</v>
      </c>
      <c r="R69" s="57">
        <v>44157.375116656018</v>
      </c>
      <c r="S69" s="57">
        <v>37452.723611179325</v>
      </c>
      <c r="T69" s="57">
        <v>27629.058401689672</v>
      </c>
      <c r="U69" s="57">
        <v>15472.272704946212</v>
      </c>
      <c r="V69" s="57">
        <v>3863.9749823992665</v>
      </c>
      <c r="W69" s="57">
        <v>0</v>
      </c>
      <c r="X69" s="57">
        <v>0</v>
      </c>
      <c r="Y69" s="57">
        <v>0</v>
      </c>
      <c r="Z69" s="57">
        <v>0</v>
      </c>
      <c r="AA69" s="57">
        <v>0</v>
      </c>
      <c r="AB69" s="62">
        <v>0</v>
      </c>
    </row>
    <row r="70" spans="1:28" x14ac:dyDescent="0.35">
      <c r="A70" s="69"/>
      <c r="B70" s="76">
        <v>48335</v>
      </c>
      <c r="C70" s="56">
        <f t="shared" si="1"/>
        <v>9999999.9999999981</v>
      </c>
      <c r="D70" s="56">
        <v>31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2685.663311304028</v>
      </c>
      <c r="L70" s="57">
        <v>11408.127340052506</v>
      </c>
      <c r="M70" s="57">
        <v>21619.985771530068</v>
      </c>
      <c r="N70" s="57">
        <v>30976.234652503685</v>
      </c>
      <c r="O70" s="57">
        <v>40197.804252379472</v>
      </c>
      <c r="P70" s="57">
        <v>45283.927691486213</v>
      </c>
      <c r="Q70" s="57">
        <v>45981.091028933857</v>
      </c>
      <c r="R70" s="57">
        <v>42732.943661280013</v>
      </c>
      <c r="S70" s="57">
        <v>36244.571236625154</v>
      </c>
      <c r="T70" s="57">
        <v>26737.798453248066</v>
      </c>
      <c r="U70" s="57">
        <v>14973.167133818915</v>
      </c>
      <c r="V70" s="57">
        <v>3739.3306281283226</v>
      </c>
      <c r="W70" s="57">
        <v>0</v>
      </c>
      <c r="X70" s="57">
        <v>0</v>
      </c>
      <c r="Y70" s="57">
        <v>0</v>
      </c>
      <c r="Z70" s="57">
        <v>0</v>
      </c>
      <c r="AA70" s="57">
        <v>0</v>
      </c>
      <c r="AB70" s="62">
        <v>0</v>
      </c>
    </row>
    <row r="71" spans="1:28" x14ac:dyDescent="0.35">
      <c r="A71" s="69"/>
      <c r="B71" s="76">
        <v>48366</v>
      </c>
      <c r="C71" s="56">
        <f t="shared" si="1"/>
        <v>10000000</v>
      </c>
      <c r="D71" s="56">
        <v>30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2775.1854216808292</v>
      </c>
      <c r="L71" s="57">
        <v>11788.398251387591</v>
      </c>
      <c r="M71" s="57">
        <v>22340.651963914406</v>
      </c>
      <c r="N71" s="57">
        <v>32008.775807587146</v>
      </c>
      <c r="O71" s="57">
        <v>41537.731060792124</v>
      </c>
      <c r="P71" s="57">
        <v>46793.391947869088</v>
      </c>
      <c r="Q71" s="57">
        <v>47513.794063231653</v>
      </c>
      <c r="R71" s="57">
        <v>44157.375116656018</v>
      </c>
      <c r="S71" s="57">
        <v>37452.723611179325</v>
      </c>
      <c r="T71" s="57">
        <v>27629.058401689672</v>
      </c>
      <c r="U71" s="57">
        <v>15472.272704946212</v>
      </c>
      <c r="V71" s="57">
        <v>3863.9749823992665</v>
      </c>
      <c r="W71" s="57">
        <v>0</v>
      </c>
      <c r="X71" s="57">
        <v>0</v>
      </c>
      <c r="Y71" s="57">
        <v>0</v>
      </c>
      <c r="Z71" s="57">
        <v>0</v>
      </c>
      <c r="AA71" s="57">
        <v>0</v>
      </c>
      <c r="AB71" s="62">
        <v>0</v>
      </c>
    </row>
    <row r="72" spans="1:28" x14ac:dyDescent="0.35">
      <c r="A72" s="69"/>
      <c r="B72" s="76">
        <v>48396</v>
      </c>
      <c r="C72" s="56">
        <f t="shared" si="1"/>
        <v>9999999.9999999981</v>
      </c>
      <c r="D72" s="56">
        <v>31</v>
      </c>
      <c r="E72" s="57">
        <v>0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2685.663311304028</v>
      </c>
      <c r="L72" s="57">
        <v>11408.127340052506</v>
      </c>
      <c r="M72" s="57">
        <v>21619.985771530068</v>
      </c>
      <c r="N72" s="57">
        <v>30976.234652503685</v>
      </c>
      <c r="O72" s="57">
        <v>40197.804252379472</v>
      </c>
      <c r="P72" s="57">
        <v>45283.927691486213</v>
      </c>
      <c r="Q72" s="57">
        <v>45981.091028933857</v>
      </c>
      <c r="R72" s="57">
        <v>42732.943661280013</v>
      </c>
      <c r="S72" s="57">
        <v>36244.571236625154</v>
      </c>
      <c r="T72" s="57">
        <v>26737.798453248066</v>
      </c>
      <c r="U72" s="57">
        <v>14973.167133818915</v>
      </c>
      <c r="V72" s="57">
        <v>3739.3306281283226</v>
      </c>
      <c r="W72" s="57">
        <v>0</v>
      </c>
      <c r="X72" s="57">
        <v>0</v>
      </c>
      <c r="Y72" s="57">
        <v>0</v>
      </c>
      <c r="Z72" s="57">
        <v>0</v>
      </c>
      <c r="AA72" s="57">
        <v>0</v>
      </c>
      <c r="AB72" s="62">
        <v>0</v>
      </c>
    </row>
    <row r="73" spans="1:28" x14ac:dyDescent="0.35">
      <c r="A73" s="69"/>
      <c r="B73" s="76">
        <v>48427</v>
      </c>
      <c r="C73" s="56">
        <f t="shared" si="1"/>
        <v>9999999.9999999981</v>
      </c>
      <c r="D73" s="56">
        <v>31</v>
      </c>
      <c r="E73" s="57">
        <v>0</v>
      </c>
      <c r="F73" s="57">
        <v>0</v>
      </c>
      <c r="G73" s="57">
        <v>0</v>
      </c>
      <c r="H73" s="57">
        <v>0</v>
      </c>
      <c r="I73" s="57">
        <v>0</v>
      </c>
      <c r="J73" s="57">
        <v>0</v>
      </c>
      <c r="K73" s="57">
        <v>2685.663311304028</v>
      </c>
      <c r="L73" s="57">
        <v>11408.127340052506</v>
      </c>
      <c r="M73" s="57">
        <v>21619.985771530068</v>
      </c>
      <c r="N73" s="57">
        <v>30976.234652503685</v>
      </c>
      <c r="O73" s="57">
        <v>40197.804252379472</v>
      </c>
      <c r="P73" s="57">
        <v>45283.927691486213</v>
      </c>
      <c r="Q73" s="57">
        <v>45981.091028933857</v>
      </c>
      <c r="R73" s="57">
        <v>42732.943661280013</v>
      </c>
      <c r="S73" s="57">
        <v>36244.571236625154</v>
      </c>
      <c r="T73" s="57">
        <v>26737.798453248066</v>
      </c>
      <c r="U73" s="57">
        <v>14973.167133818915</v>
      </c>
      <c r="V73" s="57">
        <v>3739.3306281283226</v>
      </c>
      <c r="W73" s="57">
        <v>0</v>
      </c>
      <c r="X73" s="57">
        <v>0</v>
      </c>
      <c r="Y73" s="57">
        <v>0</v>
      </c>
      <c r="Z73" s="57">
        <v>0</v>
      </c>
      <c r="AA73" s="57">
        <v>0</v>
      </c>
      <c r="AB73" s="62">
        <v>0</v>
      </c>
    </row>
    <row r="74" spans="1:28" x14ac:dyDescent="0.35">
      <c r="A74" s="69"/>
      <c r="B74" s="76">
        <v>48458</v>
      </c>
      <c r="C74" s="56">
        <f t="shared" si="1"/>
        <v>10000000</v>
      </c>
      <c r="D74" s="56">
        <v>30</v>
      </c>
      <c r="E74" s="57">
        <v>0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2775.1854216808292</v>
      </c>
      <c r="L74" s="57">
        <v>11788.398251387591</v>
      </c>
      <c r="M74" s="57">
        <v>22340.651963914406</v>
      </c>
      <c r="N74" s="57">
        <v>32008.775807587146</v>
      </c>
      <c r="O74" s="57">
        <v>41537.731060792124</v>
      </c>
      <c r="P74" s="57">
        <v>46793.391947869088</v>
      </c>
      <c r="Q74" s="57">
        <v>47513.794063231653</v>
      </c>
      <c r="R74" s="57">
        <v>44157.375116656018</v>
      </c>
      <c r="S74" s="57">
        <v>37452.723611179325</v>
      </c>
      <c r="T74" s="57">
        <v>27629.058401689672</v>
      </c>
      <c r="U74" s="57">
        <v>15472.272704946212</v>
      </c>
      <c r="V74" s="57">
        <v>3863.9749823992665</v>
      </c>
      <c r="W74" s="57">
        <v>0</v>
      </c>
      <c r="X74" s="57">
        <v>0</v>
      </c>
      <c r="Y74" s="57">
        <v>0</v>
      </c>
      <c r="Z74" s="57">
        <v>0</v>
      </c>
      <c r="AA74" s="57">
        <v>0</v>
      </c>
      <c r="AB74" s="62">
        <v>0</v>
      </c>
    </row>
    <row r="75" spans="1:28" x14ac:dyDescent="0.35">
      <c r="A75" s="69"/>
      <c r="B75" s="76">
        <v>48488</v>
      </c>
      <c r="C75" s="56">
        <f t="shared" si="1"/>
        <v>9999999.9999999981</v>
      </c>
      <c r="D75" s="56">
        <v>31</v>
      </c>
      <c r="E75" s="57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2685.663311304028</v>
      </c>
      <c r="L75" s="57">
        <v>11408.127340052506</v>
      </c>
      <c r="M75" s="57">
        <v>21619.985771530068</v>
      </c>
      <c r="N75" s="57">
        <v>30976.234652503685</v>
      </c>
      <c r="O75" s="57">
        <v>40197.804252379472</v>
      </c>
      <c r="P75" s="57">
        <v>45283.927691486213</v>
      </c>
      <c r="Q75" s="57">
        <v>45981.091028933857</v>
      </c>
      <c r="R75" s="57">
        <v>42732.943661280013</v>
      </c>
      <c r="S75" s="57">
        <v>36244.571236625154</v>
      </c>
      <c r="T75" s="57">
        <v>26737.798453248066</v>
      </c>
      <c r="U75" s="57">
        <v>14973.167133818915</v>
      </c>
      <c r="V75" s="57">
        <v>3739.3306281283226</v>
      </c>
      <c r="W75" s="57">
        <v>0</v>
      </c>
      <c r="X75" s="57">
        <v>0</v>
      </c>
      <c r="Y75" s="57">
        <v>0</v>
      </c>
      <c r="Z75" s="57">
        <v>0</v>
      </c>
      <c r="AA75" s="57">
        <v>0</v>
      </c>
      <c r="AB75" s="62">
        <v>0</v>
      </c>
    </row>
    <row r="76" spans="1:28" x14ac:dyDescent="0.35">
      <c r="A76" s="69"/>
      <c r="B76" s="76">
        <v>48519</v>
      </c>
      <c r="C76" s="56">
        <f t="shared" si="1"/>
        <v>10000000</v>
      </c>
      <c r="D76" s="56">
        <v>30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2775.1854216808292</v>
      </c>
      <c r="L76" s="57">
        <v>11788.398251387591</v>
      </c>
      <c r="M76" s="57">
        <v>22340.651963914406</v>
      </c>
      <c r="N76" s="57">
        <v>32008.775807587146</v>
      </c>
      <c r="O76" s="57">
        <v>41537.731060792124</v>
      </c>
      <c r="P76" s="57">
        <v>46793.391947869088</v>
      </c>
      <c r="Q76" s="57">
        <v>47513.794063231653</v>
      </c>
      <c r="R76" s="57">
        <v>44157.375116656018</v>
      </c>
      <c r="S76" s="57">
        <v>37452.723611179325</v>
      </c>
      <c r="T76" s="57">
        <v>27629.058401689672</v>
      </c>
      <c r="U76" s="57">
        <v>15472.272704946212</v>
      </c>
      <c r="V76" s="57">
        <v>3863.9749823992665</v>
      </c>
      <c r="W76" s="57">
        <v>0</v>
      </c>
      <c r="X76" s="57">
        <v>0</v>
      </c>
      <c r="Y76" s="57">
        <v>0</v>
      </c>
      <c r="Z76" s="57">
        <v>0</v>
      </c>
      <c r="AA76" s="57">
        <v>0</v>
      </c>
      <c r="AB76" s="62">
        <v>0</v>
      </c>
    </row>
    <row r="77" spans="1:28" ht="15" thickBot="1" x14ac:dyDescent="0.4">
      <c r="A77" s="70"/>
      <c r="B77" s="77">
        <v>48549</v>
      </c>
      <c r="C77" s="58">
        <f t="shared" si="1"/>
        <v>9999999.9999999981</v>
      </c>
      <c r="D77" s="58">
        <v>31</v>
      </c>
      <c r="E77" s="59">
        <v>0</v>
      </c>
      <c r="F77" s="59">
        <v>0</v>
      </c>
      <c r="G77" s="59">
        <v>0</v>
      </c>
      <c r="H77" s="59">
        <v>0</v>
      </c>
      <c r="I77" s="59">
        <v>0</v>
      </c>
      <c r="J77" s="59">
        <v>0</v>
      </c>
      <c r="K77" s="59">
        <v>2685.663311304028</v>
      </c>
      <c r="L77" s="59">
        <v>11408.127340052506</v>
      </c>
      <c r="M77" s="59">
        <v>21619.985771530068</v>
      </c>
      <c r="N77" s="59">
        <v>30976.234652503685</v>
      </c>
      <c r="O77" s="59">
        <v>40197.804252379472</v>
      </c>
      <c r="P77" s="59">
        <v>45283.927691486213</v>
      </c>
      <c r="Q77" s="59">
        <v>45981.091028933857</v>
      </c>
      <c r="R77" s="59">
        <v>42732.943661280013</v>
      </c>
      <c r="S77" s="59">
        <v>36244.571236625154</v>
      </c>
      <c r="T77" s="59">
        <v>26737.798453248066</v>
      </c>
      <c r="U77" s="59">
        <v>14973.167133818915</v>
      </c>
      <c r="V77" s="59">
        <v>3739.3306281283226</v>
      </c>
      <c r="W77" s="59">
        <v>0</v>
      </c>
      <c r="X77" s="59">
        <v>0</v>
      </c>
      <c r="Y77" s="59">
        <v>0</v>
      </c>
      <c r="Z77" s="59">
        <v>0</v>
      </c>
      <c r="AA77" s="59">
        <v>0</v>
      </c>
      <c r="AB77" s="63">
        <v>0</v>
      </c>
    </row>
    <row r="78" spans="1:28" x14ac:dyDescent="0.35">
      <c r="A78" s="68">
        <v>2033</v>
      </c>
      <c r="B78" s="53">
        <v>48580</v>
      </c>
      <c r="C78" s="54">
        <f t="shared" si="1"/>
        <v>9999999.9999999981</v>
      </c>
      <c r="D78" s="54">
        <v>31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2685.663311304028</v>
      </c>
      <c r="L78" s="55">
        <v>11408.127340052506</v>
      </c>
      <c r="M78" s="55">
        <v>21619.985771530068</v>
      </c>
      <c r="N78" s="55">
        <v>30976.234652503685</v>
      </c>
      <c r="O78" s="55">
        <v>40197.804252379472</v>
      </c>
      <c r="P78" s="55">
        <v>45283.927691486213</v>
      </c>
      <c r="Q78" s="55">
        <v>45981.091028933857</v>
      </c>
      <c r="R78" s="55">
        <v>42732.943661280013</v>
      </c>
      <c r="S78" s="55">
        <v>36244.571236625154</v>
      </c>
      <c r="T78" s="55">
        <v>26737.798453248066</v>
      </c>
      <c r="U78" s="55">
        <v>14973.167133818915</v>
      </c>
      <c r="V78" s="55">
        <v>3739.3306281283226</v>
      </c>
      <c r="W78" s="55">
        <v>0</v>
      </c>
      <c r="X78" s="55">
        <v>0</v>
      </c>
      <c r="Y78" s="55">
        <v>0</v>
      </c>
      <c r="Z78" s="55">
        <v>0</v>
      </c>
      <c r="AA78" s="55">
        <v>0</v>
      </c>
      <c r="AB78" s="61">
        <v>0</v>
      </c>
    </row>
    <row r="79" spans="1:28" x14ac:dyDescent="0.35">
      <c r="A79" s="69"/>
      <c r="B79" s="76">
        <v>48611</v>
      </c>
      <c r="C79" s="56">
        <f t="shared" si="1"/>
        <v>10000000</v>
      </c>
      <c r="D79" s="56">
        <v>28</v>
      </c>
      <c r="E79" s="57">
        <v>0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2973.4129518008881</v>
      </c>
      <c r="L79" s="57">
        <v>12630.426697915274</v>
      </c>
      <c r="M79" s="57">
        <v>23936.412818479719</v>
      </c>
      <c r="N79" s="57">
        <v>34295.116936700506</v>
      </c>
      <c r="O79" s="57">
        <v>44504.711850848704</v>
      </c>
      <c r="P79" s="57">
        <v>50135.777087002592</v>
      </c>
      <c r="Q79" s="57">
        <v>50907.636496319632</v>
      </c>
      <c r="R79" s="57">
        <v>47311.473339274307</v>
      </c>
      <c r="S79" s="57">
        <v>40127.918154834988</v>
      </c>
      <c r="T79" s="57">
        <v>29602.562573238931</v>
      </c>
      <c r="U79" s="57">
        <v>16577.435041013799</v>
      </c>
      <c r="V79" s="57">
        <v>4139.9731954277859</v>
      </c>
      <c r="W79" s="57">
        <v>0</v>
      </c>
      <c r="X79" s="57">
        <v>0</v>
      </c>
      <c r="Y79" s="57">
        <v>0</v>
      </c>
      <c r="Z79" s="57">
        <v>0</v>
      </c>
      <c r="AA79" s="57">
        <v>0</v>
      </c>
      <c r="AB79" s="62">
        <v>0</v>
      </c>
    </row>
    <row r="80" spans="1:28" x14ac:dyDescent="0.35">
      <c r="A80" s="69"/>
      <c r="B80" s="76">
        <v>48639</v>
      </c>
      <c r="C80" s="56">
        <f t="shared" si="1"/>
        <v>9999999.9999999981</v>
      </c>
      <c r="D80" s="56">
        <v>31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2685.663311304028</v>
      </c>
      <c r="L80" s="57">
        <v>11408.127340052506</v>
      </c>
      <c r="M80" s="57">
        <v>21619.985771530068</v>
      </c>
      <c r="N80" s="57">
        <v>30976.234652503685</v>
      </c>
      <c r="O80" s="57">
        <v>40197.804252379472</v>
      </c>
      <c r="P80" s="57">
        <v>45283.927691486213</v>
      </c>
      <c r="Q80" s="57">
        <v>45981.091028933857</v>
      </c>
      <c r="R80" s="57">
        <v>42732.943661280013</v>
      </c>
      <c r="S80" s="57">
        <v>36244.571236625154</v>
      </c>
      <c r="T80" s="57">
        <v>26737.798453248066</v>
      </c>
      <c r="U80" s="57">
        <v>14973.167133818915</v>
      </c>
      <c r="V80" s="57">
        <v>3739.3306281283226</v>
      </c>
      <c r="W80" s="57">
        <v>0</v>
      </c>
      <c r="X80" s="57">
        <v>0</v>
      </c>
      <c r="Y80" s="57">
        <v>0</v>
      </c>
      <c r="Z80" s="57">
        <v>0</v>
      </c>
      <c r="AA80" s="57">
        <v>0</v>
      </c>
      <c r="AB80" s="62">
        <v>0</v>
      </c>
    </row>
    <row r="81" spans="1:28" x14ac:dyDescent="0.35">
      <c r="A81" s="69"/>
      <c r="B81" s="76">
        <v>48670</v>
      </c>
      <c r="C81" s="56">
        <f t="shared" si="1"/>
        <v>10000000</v>
      </c>
      <c r="D81" s="56">
        <v>30</v>
      </c>
      <c r="E81" s="57">
        <v>0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2775.1854216808292</v>
      </c>
      <c r="L81" s="57">
        <v>11788.398251387591</v>
      </c>
      <c r="M81" s="57">
        <v>22340.651963914406</v>
      </c>
      <c r="N81" s="57">
        <v>32008.775807587146</v>
      </c>
      <c r="O81" s="57">
        <v>41537.731060792124</v>
      </c>
      <c r="P81" s="57">
        <v>46793.391947869088</v>
      </c>
      <c r="Q81" s="57">
        <v>47513.794063231653</v>
      </c>
      <c r="R81" s="57">
        <v>44157.375116656018</v>
      </c>
      <c r="S81" s="57">
        <v>37452.723611179325</v>
      </c>
      <c r="T81" s="57">
        <v>27629.058401689672</v>
      </c>
      <c r="U81" s="57">
        <v>15472.272704946212</v>
      </c>
      <c r="V81" s="57">
        <v>3863.9749823992665</v>
      </c>
      <c r="W81" s="57">
        <v>0</v>
      </c>
      <c r="X81" s="57">
        <v>0</v>
      </c>
      <c r="Y81" s="57">
        <v>0</v>
      </c>
      <c r="Z81" s="57">
        <v>0</v>
      </c>
      <c r="AA81" s="57">
        <v>0</v>
      </c>
      <c r="AB81" s="62">
        <v>0</v>
      </c>
    </row>
    <row r="82" spans="1:28" x14ac:dyDescent="0.35">
      <c r="A82" s="69"/>
      <c r="B82" s="76">
        <v>48700</v>
      </c>
      <c r="C82" s="56">
        <f t="shared" si="1"/>
        <v>9999999.9999999981</v>
      </c>
      <c r="D82" s="56">
        <v>31</v>
      </c>
      <c r="E82" s="57">
        <v>0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2685.663311304028</v>
      </c>
      <c r="L82" s="57">
        <v>11408.127340052506</v>
      </c>
      <c r="M82" s="57">
        <v>21619.985771530068</v>
      </c>
      <c r="N82" s="57">
        <v>30976.234652503685</v>
      </c>
      <c r="O82" s="57">
        <v>40197.804252379472</v>
      </c>
      <c r="P82" s="57">
        <v>45283.927691486213</v>
      </c>
      <c r="Q82" s="57">
        <v>45981.091028933857</v>
      </c>
      <c r="R82" s="57">
        <v>42732.943661280013</v>
      </c>
      <c r="S82" s="57">
        <v>36244.571236625154</v>
      </c>
      <c r="T82" s="57">
        <v>26737.798453248066</v>
      </c>
      <c r="U82" s="57">
        <v>14973.167133818915</v>
      </c>
      <c r="V82" s="57">
        <v>3739.3306281283226</v>
      </c>
      <c r="W82" s="57">
        <v>0</v>
      </c>
      <c r="X82" s="57">
        <v>0</v>
      </c>
      <c r="Y82" s="57">
        <v>0</v>
      </c>
      <c r="Z82" s="57">
        <v>0</v>
      </c>
      <c r="AA82" s="57">
        <v>0</v>
      </c>
      <c r="AB82" s="62">
        <v>0</v>
      </c>
    </row>
    <row r="83" spans="1:28" x14ac:dyDescent="0.35">
      <c r="A83" s="69"/>
      <c r="B83" s="76">
        <v>48731</v>
      </c>
      <c r="C83" s="56">
        <f t="shared" si="1"/>
        <v>10000000</v>
      </c>
      <c r="D83" s="56">
        <v>30</v>
      </c>
      <c r="E83" s="57">
        <v>0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2775.1854216808292</v>
      </c>
      <c r="L83" s="57">
        <v>11788.398251387591</v>
      </c>
      <c r="M83" s="57">
        <v>22340.651963914406</v>
      </c>
      <c r="N83" s="57">
        <v>32008.775807587146</v>
      </c>
      <c r="O83" s="57">
        <v>41537.731060792124</v>
      </c>
      <c r="P83" s="57">
        <v>46793.391947869088</v>
      </c>
      <c r="Q83" s="57">
        <v>47513.794063231653</v>
      </c>
      <c r="R83" s="57">
        <v>44157.375116656018</v>
      </c>
      <c r="S83" s="57">
        <v>37452.723611179325</v>
      </c>
      <c r="T83" s="57">
        <v>27629.058401689672</v>
      </c>
      <c r="U83" s="57">
        <v>15472.272704946212</v>
      </c>
      <c r="V83" s="57">
        <v>3863.9749823992665</v>
      </c>
      <c r="W83" s="57">
        <v>0</v>
      </c>
      <c r="X83" s="57">
        <v>0</v>
      </c>
      <c r="Y83" s="57">
        <v>0</v>
      </c>
      <c r="Z83" s="57">
        <v>0</v>
      </c>
      <c r="AA83" s="57">
        <v>0</v>
      </c>
      <c r="AB83" s="62">
        <v>0</v>
      </c>
    </row>
    <row r="84" spans="1:28" x14ac:dyDescent="0.35">
      <c r="A84" s="69"/>
      <c r="B84" s="76">
        <v>48761</v>
      </c>
      <c r="C84" s="56">
        <f t="shared" si="1"/>
        <v>9999999.9999999981</v>
      </c>
      <c r="D84" s="56">
        <v>31</v>
      </c>
      <c r="E84" s="57">
        <v>0</v>
      </c>
      <c r="F84" s="57">
        <v>0</v>
      </c>
      <c r="G84" s="57">
        <v>0</v>
      </c>
      <c r="H84" s="57">
        <v>0</v>
      </c>
      <c r="I84" s="57">
        <v>0</v>
      </c>
      <c r="J84" s="57">
        <v>0</v>
      </c>
      <c r="K84" s="57">
        <v>2685.663311304028</v>
      </c>
      <c r="L84" s="57">
        <v>11408.127340052506</v>
      </c>
      <c r="M84" s="57">
        <v>21619.985771530068</v>
      </c>
      <c r="N84" s="57">
        <v>30976.234652503685</v>
      </c>
      <c r="O84" s="57">
        <v>40197.804252379472</v>
      </c>
      <c r="P84" s="57">
        <v>45283.927691486213</v>
      </c>
      <c r="Q84" s="57">
        <v>45981.091028933857</v>
      </c>
      <c r="R84" s="57">
        <v>42732.943661280013</v>
      </c>
      <c r="S84" s="57">
        <v>36244.571236625154</v>
      </c>
      <c r="T84" s="57">
        <v>26737.798453248066</v>
      </c>
      <c r="U84" s="57">
        <v>14973.167133818915</v>
      </c>
      <c r="V84" s="57">
        <v>3739.3306281283226</v>
      </c>
      <c r="W84" s="57">
        <v>0</v>
      </c>
      <c r="X84" s="57">
        <v>0</v>
      </c>
      <c r="Y84" s="57">
        <v>0</v>
      </c>
      <c r="Z84" s="57">
        <v>0</v>
      </c>
      <c r="AA84" s="57">
        <v>0</v>
      </c>
      <c r="AB84" s="62">
        <v>0</v>
      </c>
    </row>
    <row r="85" spans="1:28" x14ac:dyDescent="0.35">
      <c r="A85" s="69"/>
      <c r="B85" s="76">
        <v>48792</v>
      </c>
      <c r="C85" s="56">
        <f t="shared" si="1"/>
        <v>9999999.9999999981</v>
      </c>
      <c r="D85" s="56">
        <v>31</v>
      </c>
      <c r="E85" s="57">
        <v>0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2685.663311304028</v>
      </c>
      <c r="L85" s="57">
        <v>11408.127340052506</v>
      </c>
      <c r="M85" s="57">
        <v>21619.985771530068</v>
      </c>
      <c r="N85" s="57">
        <v>30976.234652503685</v>
      </c>
      <c r="O85" s="57">
        <v>40197.804252379472</v>
      </c>
      <c r="P85" s="57">
        <v>45283.927691486213</v>
      </c>
      <c r="Q85" s="57">
        <v>45981.091028933857</v>
      </c>
      <c r="R85" s="57">
        <v>42732.943661280013</v>
      </c>
      <c r="S85" s="57">
        <v>36244.571236625154</v>
      </c>
      <c r="T85" s="57">
        <v>26737.798453248066</v>
      </c>
      <c r="U85" s="57">
        <v>14973.167133818915</v>
      </c>
      <c r="V85" s="57">
        <v>3739.3306281283226</v>
      </c>
      <c r="W85" s="57">
        <v>0</v>
      </c>
      <c r="X85" s="57">
        <v>0</v>
      </c>
      <c r="Y85" s="57">
        <v>0</v>
      </c>
      <c r="Z85" s="57">
        <v>0</v>
      </c>
      <c r="AA85" s="57">
        <v>0</v>
      </c>
      <c r="AB85" s="62">
        <v>0</v>
      </c>
    </row>
    <row r="86" spans="1:28" x14ac:dyDescent="0.35">
      <c r="A86" s="69"/>
      <c r="B86" s="76">
        <v>48823</v>
      </c>
      <c r="C86" s="56">
        <f t="shared" si="1"/>
        <v>10000000</v>
      </c>
      <c r="D86" s="56">
        <v>30</v>
      </c>
      <c r="E86" s="57">
        <v>0</v>
      </c>
      <c r="F86" s="57">
        <v>0</v>
      </c>
      <c r="G86" s="57">
        <v>0</v>
      </c>
      <c r="H86" s="57">
        <v>0</v>
      </c>
      <c r="I86" s="57">
        <v>0</v>
      </c>
      <c r="J86" s="57">
        <v>0</v>
      </c>
      <c r="K86" s="57">
        <v>2775.1854216808292</v>
      </c>
      <c r="L86" s="57">
        <v>11788.398251387591</v>
      </c>
      <c r="M86" s="57">
        <v>22340.651963914406</v>
      </c>
      <c r="N86" s="57">
        <v>32008.775807587146</v>
      </c>
      <c r="O86" s="57">
        <v>41537.731060792124</v>
      </c>
      <c r="P86" s="57">
        <v>46793.391947869088</v>
      </c>
      <c r="Q86" s="57">
        <v>47513.794063231653</v>
      </c>
      <c r="R86" s="57">
        <v>44157.375116656018</v>
      </c>
      <c r="S86" s="57">
        <v>37452.723611179325</v>
      </c>
      <c r="T86" s="57">
        <v>27629.058401689672</v>
      </c>
      <c r="U86" s="57">
        <v>15472.272704946212</v>
      </c>
      <c r="V86" s="57">
        <v>3863.9749823992665</v>
      </c>
      <c r="W86" s="57">
        <v>0</v>
      </c>
      <c r="X86" s="57">
        <v>0</v>
      </c>
      <c r="Y86" s="57">
        <v>0</v>
      </c>
      <c r="Z86" s="57">
        <v>0</v>
      </c>
      <c r="AA86" s="57">
        <v>0</v>
      </c>
      <c r="AB86" s="62">
        <v>0</v>
      </c>
    </row>
    <row r="87" spans="1:28" x14ac:dyDescent="0.35">
      <c r="A87" s="69"/>
      <c r="B87" s="76">
        <v>48853</v>
      </c>
      <c r="C87" s="56">
        <f t="shared" si="1"/>
        <v>9999999.9999999981</v>
      </c>
      <c r="D87" s="56">
        <v>31</v>
      </c>
      <c r="E87" s="57">
        <v>0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2685.663311304028</v>
      </c>
      <c r="L87" s="57">
        <v>11408.127340052506</v>
      </c>
      <c r="M87" s="57">
        <v>21619.985771530068</v>
      </c>
      <c r="N87" s="57">
        <v>30976.234652503685</v>
      </c>
      <c r="O87" s="57">
        <v>40197.804252379472</v>
      </c>
      <c r="P87" s="57">
        <v>45283.927691486213</v>
      </c>
      <c r="Q87" s="57">
        <v>45981.091028933857</v>
      </c>
      <c r="R87" s="57">
        <v>42732.943661280013</v>
      </c>
      <c r="S87" s="57">
        <v>36244.571236625154</v>
      </c>
      <c r="T87" s="57">
        <v>26737.798453248066</v>
      </c>
      <c r="U87" s="57">
        <v>14973.167133818915</v>
      </c>
      <c r="V87" s="57">
        <v>3739.3306281283226</v>
      </c>
      <c r="W87" s="57">
        <v>0</v>
      </c>
      <c r="X87" s="57">
        <v>0</v>
      </c>
      <c r="Y87" s="57">
        <v>0</v>
      </c>
      <c r="Z87" s="57">
        <v>0</v>
      </c>
      <c r="AA87" s="57">
        <v>0</v>
      </c>
      <c r="AB87" s="62">
        <v>0</v>
      </c>
    </row>
    <row r="88" spans="1:28" x14ac:dyDescent="0.35">
      <c r="A88" s="69"/>
      <c r="B88" s="76">
        <v>48884</v>
      </c>
      <c r="C88" s="56">
        <f t="shared" si="1"/>
        <v>10000000</v>
      </c>
      <c r="D88" s="56">
        <v>30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2775.1854216808292</v>
      </c>
      <c r="L88" s="57">
        <v>11788.398251387591</v>
      </c>
      <c r="M88" s="57">
        <v>22340.651963914406</v>
      </c>
      <c r="N88" s="57">
        <v>32008.775807587146</v>
      </c>
      <c r="O88" s="57">
        <v>41537.731060792124</v>
      </c>
      <c r="P88" s="57">
        <v>46793.391947869088</v>
      </c>
      <c r="Q88" s="57">
        <v>47513.794063231653</v>
      </c>
      <c r="R88" s="57">
        <v>44157.375116656018</v>
      </c>
      <c r="S88" s="57">
        <v>37452.723611179325</v>
      </c>
      <c r="T88" s="57">
        <v>27629.058401689672</v>
      </c>
      <c r="U88" s="57">
        <v>15472.272704946212</v>
      </c>
      <c r="V88" s="57">
        <v>3863.9749823992665</v>
      </c>
      <c r="W88" s="57">
        <v>0</v>
      </c>
      <c r="X88" s="57">
        <v>0</v>
      </c>
      <c r="Y88" s="57">
        <v>0</v>
      </c>
      <c r="Z88" s="57">
        <v>0</v>
      </c>
      <c r="AA88" s="57">
        <v>0</v>
      </c>
      <c r="AB88" s="62">
        <v>0</v>
      </c>
    </row>
    <row r="89" spans="1:28" ht="15" thickBot="1" x14ac:dyDescent="0.4">
      <c r="A89" s="70"/>
      <c r="B89" s="77">
        <v>48914</v>
      </c>
      <c r="C89" s="58">
        <f t="shared" si="1"/>
        <v>9999999.9999999981</v>
      </c>
      <c r="D89" s="58">
        <v>31</v>
      </c>
      <c r="E89" s="59">
        <v>0</v>
      </c>
      <c r="F89" s="59">
        <v>0</v>
      </c>
      <c r="G89" s="59">
        <v>0</v>
      </c>
      <c r="H89" s="59">
        <v>0</v>
      </c>
      <c r="I89" s="59">
        <v>0</v>
      </c>
      <c r="J89" s="59">
        <v>0</v>
      </c>
      <c r="K89" s="59">
        <v>2685.663311304028</v>
      </c>
      <c r="L89" s="59">
        <v>11408.127340052506</v>
      </c>
      <c r="M89" s="59">
        <v>21619.985771530068</v>
      </c>
      <c r="N89" s="59">
        <v>30976.234652503685</v>
      </c>
      <c r="O89" s="59">
        <v>40197.804252379472</v>
      </c>
      <c r="P89" s="59">
        <v>45283.927691486213</v>
      </c>
      <c r="Q89" s="59">
        <v>45981.091028933857</v>
      </c>
      <c r="R89" s="59">
        <v>42732.943661280013</v>
      </c>
      <c r="S89" s="59">
        <v>36244.571236625154</v>
      </c>
      <c r="T89" s="59">
        <v>26737.798453248066</v>
      </c>
      <c r="U89" s="59">
        <v>14973.167133818915</v>
      </c>
      <c r="V89" s="59">
        <v>3739.3306281283226</v>
      </c>
      <c r="W89" s="59">
        <v>0</v>
      </c>
      <c r="X89" s="59">
        <v>0</v>
      </c>
      <c r="Y89" s="59">
        <v>0</v>
      </c>
      <c r="Z89" s="59">
        <v>0</v>
      </c>
      <c r="AA89" s="59">
        <v>0</v>
      </c>
      <c r="AB89" s="63">
        <v>0</v>
      </c>
    </row>
    <row r="90" spans="1:28" x14ac:dyDescent="0.35">
      <c r="A90" s="68">
        <v>2034</v>
      </c>
      <c r="B90" s="53">
        <v>48945</v>
      </c>
      <c r="C90" s="54">
        <f t="shared" si="1"/>
        <v>9999999.9999999981</v>
      </c>
      <c r="D90" s="54">
        <v>31</v>
      </c>
      <c r="E90" s="55">
        <v>0</v>
      </c>
      <c r="F90" s="55">
        <v>0</v>
      </c>
      <c r="G90" s="55">
        <v>0</v>
      </c>
      <c r="H90" s="55">
        <v>0</v>
      </c>
      <c r="I90" s="55">
        <v>0</v>
      </c>
      <c r="J90" s="55">
        <v>0</v>
      </c>
      <c r="K90" s="55">
        <v>2685.663311304028</v>
      </c>
      <c r="L90" s="55">
        <v>11408.127340052506</v>
      </c>
      <c r="M90" s="55">
        <v>21619.985771530068</v>
      </c>
      <c r="N90" s="55">
        <v>30976.234652503685</v>
      </c>
      <c r="O90" s="55">
        <v>40197.804252379472</v>
      </c>
      <c r="P90" s="55">
        <v>45283.927691486213</v>
      </c>
      <c r="Q90" s="55">
        <v>45981.091028933857</v>
      </c>
      <c r="R90" s="55">
        <v>42732.943661280013</v>
      </c>
      <c r="S90" s="55">
        <v>36244.571236625154</v>
      </c>
      <c r="T90" s="55">
        <v>26737.798453248066</v>
      </c>
      <c r="U90" s="55">
        <v>14973.167133818915</v>
      </c>
      <c r="V90" s="55">
        <v>3739.3306281283226</v>
      </c>
      <c r="W90" s="55">
        <v>0</v>
      </c>
      <c r="X90" s="55">
        <v>0</v>
      </c>
      <c r="Y90" s="55">
        <v>0</v>
      </c>
      <c r="Z90" s="55">
        <v>0</v>
      </c>
      <c r="AA90" s="55">
        <v>0</v>
      </c>
      <c r="AB90" s="61">
        <v>0</v>
      </c>
    </row>
    <row r="91" spans="1:28" x14ac:dyDescent="0.35">
      <c r="A91" s="69"/>
      <c r="B91" s="76">
        <v>48976</v>
      </c>
      <c r="C91" s="56">
        <f t="shared" si="1"/>
        <v>10000000</v>
      </c>
      <c r="D91" s="56">
        <v>28</v>
      </c>
      <c r="E91" s="57">
        <v>0</v>
      </c>
      <c r="F91" s="57">
        <v>0</v>
      </c>
      <c r="G91" s="57">
        <v>0</v>
      </c>
      <c r="H91" s="57">
        <v>0</v>
      </c>
      <c r="I91" s="57">
        <v>0</v>
      </c>
      <c r="J91" s="57">
        <v>0</v>
      </c>
      <c r="K91" s="57">
        <v>2973.4129518008881</v>
      </c>
      <c r="L91" s="57">
        <v>12630.426697915274</v>
      </c>
      <c r="M91" s="57">
        <v>23936.412818479719</v>
      </c>
      <c r="N91" s="57">
        <v>34295.116936700506</v>
      </c>
      <c r="O91" s="57">
        <v>44504.711850848704</v>
      </c>
      <c r="P91" s="57">
        <v>50135.777087002592</v>
      </c>
      <c r="Q91" s="57">
        <v>50907.636496319632</v>
      </c>
      <c r="R91" s="57">
        <v>47311.473339274307</v>
      </c>
      <c r="S91" s="57">
        <v>40127.918154834988</v>
      </c>
      <c r="T91" s="57">
        <v>29602.562573238931</v>
      </c>
      <c r="U91" s="57">
        <v>16577.435041013799</v>
      </c>
      <c r="V91" s="57">
        <v>4139.9731954277859</v>
      </c>
      <c r="W91" s="57">
        <v>0</v>
      </c>
      <c r="X91" s="57">
        <v>0</v>
      </c>
      <c r="Y91" s="57">
        <v>0</v>
      </c>
      <c r="Z91" s="57">
        <v>0</v>
      </c>
      <c r="AA91" s="57">
        <v>0</v>
      </c>
      <c r="AB91" s="62">
        <v>0</v>
      </c>
    </row>
    <row r="92" spans="1:28" x14ac:dyDescent="0.35">
      <c r="A92" s="69"/>
      <c r="B92" s="76">
        <v>49004</v>
      </c>
      <c r="C92" s="56">
        <f t="shared" si="1"/>
        <v>9999999.9999999981</v>
      </c>
      <c r="D92" s="56">
        <v>31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2685.663311304028</v>
      </c>
      <c r="L92" s="57">
        <v>11408.127340052506</v>
      </c>
      <c r="M92" s="57">
        <v>21619.985771530068</v>
      </c>
      <c r="N92" s="57">
        <v>30976.234652503685</v>
      </c>
      <c r="O92" s="57">
        <v>40197.804252379472</v>
      </c>
      <c r="P92" s="57">
        <v>45283.927691486213</v>
      </c>
      <c r="Q92" s="57">
        <v>45981.091028933857</v>
      </c>
      <c r="R92" s="57">
        <v>42732.943661280013</v>
      </c>
      <c r="S92" s="57">
        <v>36244.571236625154</v>
      </c>
      <c r="T92" s="57">
        <v>26737.798453248066</v>
      </c>
      <c r="U92" s="57">
        <v>14973.167133818915</v>
      </c>
      <c r="V92" s="57">
        <v>3739.3306281283226</v>
      </c>
      <c r="W92" s="57">
        <v>0</v>
      </c>
      <c r="X92" s="57">
        <v>0</v>
      </c>
      <c r="Y92" s="57">
        <v>0</v>
      </c>
      <c r="Z92" s="57">
        <v>0</v>
      </c>
      <c r="AA92" s="57">
        <v>0</v>
      </c>
      <c r="AB92" s="62">
        <v>0</v>
      </c>
    </row>
    <row r="93" spans="1:28" x14ac:dyDescent="0.35">
      <c r="A93" s="69"/>
      <c r="B93" s="76">
        <v>49035</v>
      </c>
      <c r="C93" s="56">
        <f t="shared" si="1"/>
        <v>10000000</v>
      </c>
      <c r="D93" s="56">
        <v>30</v>
      </c>
      <c r="E93" s="57">
        <v>0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2775.1854216808292</v>
      </c>
      <c r="L93" s="57">
        <v>11788.398251387591</v>
      </c>
      <c r="M93" s="57">
        <v>22340.651963914406</v>
      </c>
      <c r="N93" s="57">
        <v>32008.775807587146</v>
      </c>
      <c r="O93" s="57">
        <v>41537.731060792124</v>
      </c>
      <c r="P93" s="57">
        <v>46793.391947869088</v>
      </c>
      <c r="Q93" s="57">
        <v>47513.794063231653</v>
      </c>
      <c r="R93" s="57">
        <v>44157.375116656018</v>
      </c>
      <c r="S93" s="57">
        <v>37452.723611179325</v>
      </c>
      <c r="T93" s="57">
        <v>27629.058401689672</v>
      </c>
      <c r="U93" s="57">
        <v>15472.272704946212</v>
      </c>
      <c r="V93" s="57">
        <v>3863.9749823992665</v>
      </c>
      <c r="W93" s="57">
        <v>0</v>
      </c>
      <c r="X93" s="57">
        <v>0</v>
      </c>
      <c r="Y93" s="57">
        <v>0</v>
      </c>
      <c r="Z93" s="57">
        <v>0</v>
      </c>
      <c r="AA93" s="57">
        <v>0</v>
      </c>
      <c r="AB93" s="62">
        <v>0</v>
      </c>
    </row>
    <row r="94" spans="1:28" x14ac:dyDescent="0.35">
      <c r="A94" s="69"/>
      <c r="B94" s="76">
        <v>49065</v>
      </c>
      <c r="C94" s="56">
        <f t="shared" si="1"/>
        <v>9999999.9999999981</v>
      </c>
      <c r="D94" s="56">
        <v>31</v>
      </c>
      <c r="E94" s="57">
        <v>0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2685.663311304028</v>
      </c>
      <c r="L94" s="57">
        <v>11408.127340052506</v>
      </c>
      <c r="M94" s="57">
        <v>21619.985771530068</v>
      </c>
      <c r="N94" s="57">
        <v>30976.234652503685</v>
      </c>
      <c r="O94" s="57">
        <v>40197.804252379472</v>
      </c>
      <c r="P94" s="57">
        <v>45283.927691486213</v>
      </c>
      <c r="Q94" s="57">
        <v>45981.091028933857</v>
      </c>
      <c r="R94" s="57">
        <v>42732.943661280013</v>
      </c>
      <c r="S94" s="57">
        <v>36244.571236625154</v>
      </c>
      <c r="T94" s="57">
        <v>26737.798453248066</v>
      </c>
      <c r="U94" s="57">
        <v>14973.167133818915</v>
      </c>
      <c r="V94" s="57">
        <v>3739.3306281283226</v>
      </c>
      <c r="W94" s="57">
        <v>0</v>
      </c>
      <c r="X94" s="57">
        <v>0</v>
      </c>
      <c r="Y94" s="57">
        <v>0</v>
      </c>
      <c r="Z94" s="57">
        <v>0</v>
      </c>
      <c r="AA94" s="57">
        <v>0</v>
      </c>
      <c r="AB94" s="62">
        <v>0</v>
      </c>
    </row>
    <row r="95" spans="1:28" x14ac:dyDescent="0.35">
      <c r="A95" s="69"/>
      <c r="B95" s="76">
        <v>49096</v>
      </c>
      <c r="C95" s="56">
        <f t="shared" si="1"/>
        <v>10000000</v>
      </c>
      <c r="D95" s="56">
        <v>30</v>
      </c>
      <c r="E95" s="57">
        <v>0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2775.1854216808292</v>
      </c>
      <c r="L95" s="57">
        <v>11788.398251387591</v>
      </c>
      <c r="M95" s="57">
        <v>22340.651963914406</v>
      </c>
      <c r="N95" s="57">
        <v>32008.775807587146</v>
      </c>
      <c r="O95" s="57">
        <v>41537.731060792124</v>
      </c>
      <c r="P95" s="57">
        <v>46793.391947869088</v>
      </c>
      <c r="Q95" s="57">
        <v>47513.794063231653</v>
      </c>
      <c r="R95" s="57">
        <v>44157.375116656018</v>
      </c>
      <c r="S95" s="57">
        <v>37452.723611179325</v>
      </c>
      <c r="T95" s="57">
        <v>27629.058401689672</v>
      </c>
      <c r="U95" s="57">
        <v>15472.272704946212</v>
      </c>
      <c r="V95" s="57">
        <v>3863.9749823992665</v>
      </c>
      <c r="W95" s="57">
        <v>0</v>
      </c>
      <c r="X95" s="57">
        <v>0</v>
      </c>
      <c r="Y95" s="57">
        <v>0</v>
      </c>
      <c r="Z95" s="57">
        <v>0</v>
      </c>
      <c r="AA95" s="57">
        <v>0</v>
      </c>
      <c r="AB95" s="62">
        <v>0</v>
      </c>
    </row>
    <row r="96" spans="1:28" x14ac:dyDescent="0.35">
      <c r="A96" s="69"/>
      <c r="B96" s="76">
        <v>49126</v>
      </c>
      <c r="C96" s="56">
        <f t="shared" si="1"/>
        <v>9999999.9999999981</v>
      </c>
      <c r="D96" s="56">
        <v>31</v>
      </c>
      <c r="E96" s="57">
        <v>0</v>
      </c>
      <c r="F96" s="57">
        <v>0</v>
      </c>
      <c r="G96" s="57">
        <v>0</v>
      </c>
      <c r="H96" s="57">
        <v>0</v>
      </c>
      <c r="I96" s="57">
        <v>0</v>
      </c>
      <c r="J96" s="57">
        <v>0</v>
      </c>
      <c r="K96" s="57">
        <v>2685.663311304028</v>
      </c>
      <c r="L96" s="57">
        <v>11408.127340052506</v>
      </c>
      <c r="M96" s="57">
        <v>21619.985771530068</v>
      </c>
      <c r="N96" s="57">
        <v>30976.234652503685</v>
      </c>
      <c r="O96" s="57">
        <v>40197.804252379472</v>
      </c>
      <c r="P96" s="57">
        <v>45283.927691486213</v>
      </c>
      <c r="Q96" s="57">
        <v>45981.091028933857</v>
      </c>
      <c r="R96" s="57">
        <v>42732.943661280013</v>
      </c>
      <c r="S96" s="57">
        <v>36244.571236625154</v>
      </c>
      <c r="T96" s="57">
        <v>26737.798453248066</v>
      </c>
      <c r="U96" s="57">
        <v>14973.167133818915</v>
      </c>
      <c r="V96" s="57">
        <v>3739.3306281283226</v>
      </c>
      <c r="W96" s="57">
        <v>0</v>
      </c>
      <c r="X96" s="57">
        <v>0</v>
      </c>
      <c r="Y96" s="57">
        <v>0</v>
      </c>
      <c r="Z96" s="57">
        <v>0</v>
      </c>
      <c r="AA96" s="57">
        <v>0</v>
      </c>
      <c r="AB96" s="62">
        <v>0</v>
      </c>
    </row>
    <row r="97" spans="1:28" x14ac:dyDescent="0.35">
      <c r="A97" s="69"/>
      <c r="B97" s="76">
        <v>49157</v>
      </c>
      <c r="C97" s="56">
        <f t="shared" si="1"/>
        <v>9999999.9999999981</v>
      </c>
      <c r="D97" s="56">
        <v>31</v>
      </c>
      <c r="E97" s="57">
        <v>0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2685.663311304028</v>
      </c>
      <c r="L97" s="57">
        <v>11408.127340052506</v>
      </c>
      <c r="M97" s="57">
        <v>21619.985771530068</v>
      </c>
      <c r="N97" s="57">
        <v>30976.234652503685</v>
      </c>
      <c r="O97" s="57">
        <v>40197.804252379472</v>
      </c>
      <c r="P97" s="57">
        <v>45283.927691486213</v>
      </c>
      <c r="Q97" s="57">
        <v>45981.091028933857</v>
      </c>
      <c r="R97" s="57">
        <v>42732.943661280013</v>
      </c>
      <c r="S97" s="57">
        <v>36244.571236625154</v>
      </c>
      <c r="T97" s="57">
        <v>26737.798453248066</v>
      </c>
      <c r="U97" s="57">
        <v>14973.167133818915</v>
      </c>
      <c r="V97" s="57">
        <v>3739.3306281283226</v>
      </c>
      <c r="W97" s="57">
        <v>0</v>
      </c>
      <c r="X97" s="57">
        <v>0</v>
      </c>
      <c r="Y97" s="57">
        <v>0</v>
      </c>
      <c r="Z97" s="57">
        <v>0</v>
      </c>
      <c r="AA97" s="57">
        <v>0</v>
      </c>
      <c r="AB97" s="62">
        <v>0</v>
      </c>
    </row>
    <row r="98" spans="1:28" x14ac:dyDescent="0.35">
      <c r="A98" s="69"/>
      <c r="B98" s="76">
        <v>49188</v>
      </c>
      <c r="C98" s="56">
        <f t="shared" si="1"/>
        <v>10000000</v>
      </c>
      <c r="D98" s="56">
        <v>30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2775.1854216808292</v>
      </c>
      <c r="L98" s="57">
        <v>11788.398251387591</v>
      </c>
      <c r="M98" s="57">
        <v>22340.651963914406</v>
      </c>
      <c r="N98" s="57">
        <v>32008.775807587146</v>
      </c>
      <c r="O98" s="57">
        <v>41537.731060792124</v>
      </c>
      <c r="P98" s="57">
        <v>46793.391947869088</v>
      </c>
      <c r="Q98" s="57">
        <v>47513.794063231653</v>
      </c>
      <c r="R98" s="57">
        <v>44157.375116656018</v>
      </c>
      <c r="S98" s="57">
        <v>37452.723611179325</v>
      </c>
      <c r="T98" s="57">
        <v>27629.058401689672</v>
      </c>
      <c r="U98" s="57">
        <v>15472.272704946212</v>
      </c>
      <c r="V98" s="57">
        <v>3863.9749823992665</v>
      </c>
      <c r="W98" s="57">
        <v>0</v>
      </c>
      <c r="X98" s="57">
        <v>0</v>
      </c>
      <c r="Y98" s="57">
        <v>0</v>
      </c>
      <c r="Z98" s="57">
        <v>0</v>
      </c>
      <c r="AA98" s="57">
        <v>0</v>
      </c>
      <c r="AB98" s="62">
        <v>0</v>
      </c>
    </row>
    <row r="99" spans="1:28" x14ac:dyDescent="0.35">
      <c r="A99" s="69"/>
      <c r="B99" s="76">
        <v>49218</v>
      </c>
      <c r="C99" s="56">
        <f t="shared" si="1"/>
        <v>9999999.9999999981</v>
      </c>
      <c r="D99" s="56">
        <v>31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2685.663311304028</v>
      </c>
      <c r="L99" s="57">
        <v>11408.127340052506</v>
      </c>
      <c r="M99" s="57">
        <v>21619.985771530068</v>
      </c>
      <c r="N99" s="57">
        <v>30976.234652503685</v>
      </c>
      <c r="O99" s="57">
        <v>40197.804252379472</v>
      </c>
      <c r="P99" s="57">
        <v>45283.927691486213</v>
      </c>
      <c r="Q99" s="57">
        <v>45981.091028933857</v>
      </c>
      <c r="R99" s="57">
        <v>42732.943661280013</v>
      </c>
      <c r="S99" s="57">
        <v>36244.571236625154</v>
      </c>
      <c r="T99" s="57">
        <v>26737.798453248066</v>
      </c>
      <c r="U99" s="57">
        <v>14973.167133818915</v>
      </c>
      <c r="V99" s="57">
        <v>3739.3306281283226</v>
      </c>
      <c r="W99" s="57">
        <v>0</v>
      </c>
      <c r="X99" s="57">
        <v>0</v>
      </c>
      <c r="Y99" s="57">
        <v>0</v>
      </c>
      <c r="Z99" s="57">
        <v>0</v>
      </c>
      <c r="AA99" s="57">
        <v>0</v>
      </c>
      <c r="AB99" s="62">
        <v>0</v>
      </c>
    </row>
    <row r="100" spans="1:28" x14ac:dyDescent="0.35">
      <c r="A100" s="69"/>
      <c r="B100" s="76">
        <v>49249</v>
      </c>
      <c r="C100" s="56">
        <f t="shared" si="1"/>
        <v>10000000</v>
      </c>
      <c r="D100" s="56">
        <v>30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2775.1854216808292</v>
      </c>
      <c r="L100" s="57">
        <v>11788.398251387591</v>
      </c>
      <c r="M100" s="57">
        <v>22340.651963914406</v>
      </c>
      <c r="N100" s="57">
        <v>32008.775807587146</v>
      </c>
      <c r="O100" s="57">
        <v>41537.731060792124</v>
      </c>
      <c r="P100" s="57">
        <v>46793.391947869088</v>
      </c>
      <c r="Q100" s="57">
        <v>47513.794063231653</v>
      </c>
      <c r="R100" s="57">
        <v>44157.375116656018</v>
      </c>
      <c r="S100" s="57">
        <v>37452.723611179325</v>
      </c>
      <c r="T100" s="57">
        <v>27629.058401689672</v>
      </c>
      <c r="U100" s="57">
        <v>15472.272704946212</v>
      </c>
      <c r="V100" s="57">
        <v>3863.9749823992665</v>
      </c>
      <c r="W100" s="57">
        <v>0</v>
      </c>
      <c r="X100" s="57">
        <v>0</v>
      </c>
      <c r="Y100" s="57">
        <v>0</v>
      </c>
      <c r="Z100" s="57">
        <v>0</v>
      </c>
      <c r="AA100" s="57">
        <v>0</v>
      </c>
      <c r="AB100" s="62">
        <v>0</v>
      </c>
    </row>
    <row r="101" spans="1:28" ht="15" thickBot="1" x14ac:dyDescent="0.4">
      <c r="A101" s="70"/>
      <c r="B101" s="77">
        <v>49279</v>
      </c>
      <c r="C101" s="58">
        <f t="shared" si="1"/>
        <v>9999999.9999999981</v>
      </c>
      <c r="D101" s="58">
        <v>31</v>
      </c>
      <c r="E101" s="59">
        <v>0</v>
      </c>
      <c r="F101" s="59">
        <v>0</v>
      </c>
      <c r="G101" s="59">
        <v>0</v>
      </c>
      <c r="H101" s="59">
        <v>0</v>
      </c>
      <c r="I101" s="59">
        <v>0</v>
      </c>
      <c r="J101" s="59">
        <v>0</v>
      </c>
      <c r="K101" s="59">
        <v>2685.663311304028</v>
      </c>
      <c r="L101" s="59">
        <v>11408.127340052506</v>
      </c>
      <c r="M101" s="59">
        <v>21619.985771530068</v>
      </c>
      <c r="N101" s="59">
        <v>30976.234652503685</v>
      </c>
      <c r="O101" s="59">
        <v>40197.804252379472</v>
      </c>
      <c r="P101" s="59">
        <v>45283.927691486213</v>
      </c>
      <c r="Q101" s="59">
        <v>45981.091028933857</v>
      </c>
      <c r="R101" s="59">
        <v>42732.943661280013</v>
      </c>
      <c r="S101" s="59">
        <v>36244.571236625154</v>
      </c>
      <c r="T101" s="59">
        <v>26737.798453248066</v>
      </c>
      <c r="U101" s="59">
        <v>14973.167133818915</v>
      </c>
      <c r="V101" s="59">
        <v>3739.3306281283226</v>
      </c>
      <c r="W101" s="59">
        <v>0</v>
      </c>
      <c r="X101" s="59">
        <v>0</v>
      </c>
      <c r="Y101" s="59">
        <v>0</v>
      </c>
      <c r="Z101" s="59">
        <v>0</v>
      </c>
      <c r="AA101" s="59">
        <v>0</v>
      </c>
      <c r="AB101" s="63">
        <v>0</v>
      </c>
    </row>
    <row r="102" spans="1:28" x14ac:dyDescent="0.35">
      <c r="A102" s="68">
        <v>2035</v>
      </c>
      <c r="B102" s="53">
        <v>49310</v>
      </c>
      <c r="C102" s="54">
        <f t="shared" si="1"/>
        <v>9999999.9999999981</v>
      </c>
      <c r="D102" s="54">
        <v>31</v>
      </c>
      <c r="E102" s="55">
        <v>0</v>
      </c>
      <c r="F102" s="55">
        <v>0</v>
      </c>
      <c r="G102" s="55">
        <v>0</v>
      </c>
      <c r="H102" s="55">
        <v>0</v>
      </c>
      <c r="I102" s="55">
        <v>0</v>
      </c>
      <c r="J102" s="55">
        <v>0</v>
      </c>
      <c r="K102" s="55">
        <v>2685.663311304028</v>
      </c>
      <c r="L102" s="55">
        <v>11408.127340052506</v>
      </c>
      <c r="M102" s="55">
        <v>21619.985771530068</v>
      </c>
      <c r="N102" s="55">
        <v>30976.234652503685</v>
      </c>
      <c r="O102" s="55">
        <v>40197.804252379472</v>
      </c>
      <c r="P102" s="55">
        <v>45283.927691486213</v>
      </c>
      <c r="Q102" s="55">
        <v>45981.091028933857</v>
      </c>
      <c r="R102" s="55">
        <v>42732.943661280013</v>
      </c>
      <c r="S102" s="55">
        <v>36244.571236625154</v>
      </c>
      <c r="T102" s="55">
        <v>26737.798453248066</v>
      </c>
      <c r="U102" s="55">
        <v>14973.167133818915</v>
      </c>
      <c r="V102" s="55">
        <v>3739.3306281283226</v>
      </c>
      <c r="W102" s="55">
        <v>0</v>
      </c>
      <c r="X102" s="55">
        <v>0</v>
      </c>
      <c r="Y102" s="55">
        <v>0</v>
      </c>
      <c r="Z102" s="55">
        <v>0</v>
      </c>
      <c r="AA102" s="55">
        <v>0</v>
      </c>
      <c r="AB102" s="61">
        <v>0</v>
      </c>
    </row>
    <row r="103" spans="1:28" x14ac:dyDescent="0.35">
      <c r="A103" s="69"/>
      <c r="B103" s="76">
        <v>49341</v>
      </c>
      <c r="C103" s="56">
        <f t="shared" si="1"/>
        <v>10000000</v>
      </c>
      <c r="D103" s="56">
        <v>28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2973.4129518008881</v>
      </c>
      <c r="L103" s="57">
        <v>12630.426697915274</v>
      </c>
      <c r="M103" s="57">
        <v>23936.412818479719</v>
      </c>
      <c r="N103" s="57">
        <v>34295.116936700506</v>
      </c>
      <c r="O103" s="57">
        <v>44504.711850848704</v>
      </c>
      <c r="P103" s="57">
        <v>50135.777087002592</v>
      </c>
      <c r="Q103" s="57">
        <v>50907.636496319632</v>
      </c>
      <c r="R103" s="57">
        <v>47311.473339274307</v>
      </c>
      <c r="S103" s="57">
        <v>40127.918154834988</v>
      </c>
      <c r="T103" s="57">
        <v>29602.562573238931</v>
      </c>
      <c r="U103" s="57">
        <v>16577.435041013799</v>
      </c>
      <c r="V103" s="57">
        <v>4139.9731954277859</v>
      </c>
      <c r="W103" s="57">
        <v>0</v>
      </c>
      <c r="X103" s="57">
        <v>0</v>
      </c>
      <c r="Y103" s="57">
        <v>0</v>
      </c>
      <c r="Z103" s="57">
        <v>0</v>
      </c>
      <c r="AA103" s="57">
        <v>0</v>
      </c>
      <c r="AB103" s="62">
        <v>0</v>
      </c>
    </row>
    <row r="104" spans="1:28" x14ac:dyDescent="0.35">
      <c r="A104" s="69"/>
      <c r="B104" s="76">
        <v>49369</v>
      </c>
      <c r="C104" s="56">
        <f t="shared" si="1"/>
        <v>9999999.9999999981</v>
      </c>
      <c r="D104" s="56">
        <v>31</v>
      </c>
      <c r="E104" s="57">
        <v>0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2685.663311304028</v>
      </c>
      <c r="L104" s="57">
        <v>11408.127340052506</v>
      </c>
      <c r="M104" s="57">
        <v>21619.985771530068</v>
      </c>
      <c r="N104" s="57">
        <v>30976.234652503685</v>
      </c>
      <c r="O104" s="57">
        <v>40197.804252379472</v>
      </c>
      <c r="P104" s="57">
        <v>45283.927691486213</v>
      </c>
      <c r="Q104" s="57">
        <v>45981.091028933857</v>
      </c>
      <c r="R104" s="57">
        <v>42732.943661280013</v>
      </c>
      <c r="S104" s="57">
        <v>36244.571236625154</v>
      </c>
      <c r="T104" s="57">
        <v>26737.798453248066</v>
      </c>
      <c r="U104" s="57">
        <v>14973.167133818915</v>
      </c>
      <c r="V104" s="57">
        <v>3739.3306281283226</v>
      </c>
      <c r="W104" s="57">
        <v>0</v>
      </c>
      <c r="X104" s="57">
        <v>0</v>
      </c>
      <c r="Y104" s="57">
        <v>0</v>
      </c>
      <c r="Z104" s="57">
        <v>0</v>
      </c>
      <c r="AA104" s="57">
        <v>0</v>
      </c>
      <c r="AB104" s="62">
        <v>0</v>
      </c>
    </row>
    <row r="105" spans="1:28" x14ac:dyDescent="0.35">
      <c r="A105" s="69"/>
      <c r="B105" s="76">
        <v>49400</v>
      </c>
      <c r="C105" s="56">
        <f t="shared" si="1"/>
        <v>10000000</v>
      </c>
      <c r="D105" s="56">
        <v>30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2775.1854216808292</v>
      </c>
      <c r="L105" s="57">
        <v>11788.398251387591</v>
      </c>
      <c r="M105" s="57">
        <v>22340.651963914406</v>
      </c>
      <c r="N105" s="57">
        <v>32008.775807587146</v>
      </c>
      <c r="O105" s="57">
        <v>41537.731060792124</v>
      </c>
      <c r="P105" s="57">
        <v>46793.391947869088</v>
      </c>
      <c r="Q105" s="57">
        <v>47513.794063231653</v>
      </c>
      <c r="R105" s="57">
        <v>44157.375116656018</v>
      </c>
      <c r="S105" s="57">
        <v>37452.723611179325</v>
      </c>
      <c r="T105" s="57">
        <v>27629.058401689672</v>
      </c>
      <c r="U105" s="57">
        <v>15472.272704946212</v>
      </c>
      <c r="V105" s="57">
        <v>3863.9749823992665</v>
      </c>
      <c r="W105" s="57">
        <v>0</v>
      </c>
      <c r="X105" s="57">
        <v>0</v>
      </c>
      <c r="Y105" s="57">
        <v>0</v>
      </c>
      <c r="Z105" s="57">
        <v>0</v>
      </c>
      <c r="AA105" s="57">
        <v>0</v>
      </c>
      <c r="AB105" s="62">
        <v>0</v>
      </c>
    </row>
    <row r="106" spans="1:28" x14ac:dyDescent="0.35">
      <c r="A106" s="69"/>
      <c r="B106" s="76">
        <v>49430</v>
      </c>
      <c r="C106" s="56">
        <f t="shared" si="1"/>
        <v>9999999.9999999981</v>
      </c>
      <c r="D106" s="56">
        <v>31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2685.663311304028</v>
      </c>
      <c r="L106" s="57">
        <v>11408.127340052506</v>
      </c>
      <c r="M106" s="57">
        <v>21619.985771530068</v>
      </c>
      <c r="N106" s="57">
        <v>30976.234652503685</v>
      </c>
      <c r="O106" s="57">
        <v>40197.804252379472</v>
      </c>
      <c r="P106" s="57">
        <v>45283.927691486213</v>
      </c>
      <c r="Q106" s="57">
        <v>45981.091028933857</v>
      </c>
      <c r="R106" s="57">
        <v>42732.943661280013</v>
      </c>
      <c r="S106" s="57">
        <v>36244.571236625154</v>
      </c>
      <c r="T106" s="57">
        <v>26737.798453248066</v>
      </c>
      <c r="U106" s="57">
        <v>14973.167133818915</v>
      </c>
      <c r="V106" s="57">
        <v>3739.3306281283226</v>
      </c>
      <c r="W106" s="57">
        <v>0</v>
      </c>
      <c r="X106" s="57">
        <v>0</v>
      </c>
      <c r="Y106" s="57">
        <v>0</v>
      </c>
      <c r="Z106" s="57">
        <v>0</v>
      </c>
      <c r="AA106" s="57">
        <v>0</v>
      </c>
      <c r="AB106" s="62">
        <v>0</v>
      </c>
    </row>
    <row r="107" spans="1:28" x14ac:dyDescent="0.35">
      <c r="A107" s="69"/>
      <c r="B107" s="76">
        <v>49461</v>
      </c>
      <c r="C107" s="56">
        <f t="shared" ref="C107:C154" si="2">SUM(K107:V107)*D107</f>
        <v>10000000</v>
      </c>
      <c r="D107" s="56">
        <v>30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2775.1854216808292</v>
      </c>
      <c r="L107" s="57">
        <v>11788.398251387591</v>
      </c>
      <c r="M107" s="57">
        <v>22340.651963914406</v>
      </c>
      <c r="N107" s="57">
        <v>32008.775807587146</v>
      </c>
      <c r="O107" s="57">
        <v>41537.731060792124</v>
      </c>
      <c r="P107" s="57">
        <v>46793.391947869088</v>
      </c>
      <c r="Q107" s="57">
        <v>47513.794063231653</v>
      </c>
      <c r="R107" s="57">
        <v>44157.375116656018</v>
      </c>
      <c r="S107" s="57">
        <v>37452.723611179325</v>
      </c>
      <c r="T107" s="57">
        <v>27629.058401689672</v>
      </c>
      <c r="U107" s="57">
        <v>15472.272704946212</v>
      </c>
      <c r="V107" s="57">
        <v>3863.9749823992665</v>
      </c>
      <c r="W107" s="57">
        <v>0</v>
      </c>
      <c r="X107" s="57">
        <v>0</v>
      </c>
      <c r="Y107" s="57">
        <v>0</v>
      </c>
      <c r="Z107" s="57">
        <v>0</v>
      </c>
      <c r="AA107" s="57">
        <v>0</v>
      </c>
      <c r="AB107" s="62">
        <v>0</v>
      </c>
    </row>
    <row r="108" spans="1:28" x14ac:dyDescent="0.35">
      <c r="A108" s="69"/>
      <c r="B108" s="76">
        <v>49491</v>
      </c>
      <c r="C108" s="56">
        <f t="shared" si="2"/>
        <v>9999999.9999999981</v>
      </c>
      <c r="D108" s="56">
        <v>31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2685.663311304028</v>
      </c>
      <c r="L108" s="57">
        <v>11408.127340052506</v>
      </c>
      <c r="M108" s="57">
        <v>21619.985771530068</v>
      </c>
      <c r="N108" s="57">
        <v>30976.234652503685</v>
      </c>
      <c r="O108" s="57">
        <v>40197.804252379472</v>
      </c>
      <c r="P108" s="57">
        <v>45283.927691486213</v>
      </c>
      <c r="Q108" s="57">
        <v>45981.091028933857</v>
      </c>
      <c r="R108" s="57">
        <v>42732.943661280013</v>
      </c>
      <c r="S108" s="57">
        <v>36244.571236625154</v>
      </c>
      <c r="T108" s="57">
        <v>26737.798453248066</v>
      </c>
      <c r="U108" s="57">
        <v>14973.167133818915</v>
      </c>
      <c r="V108" s="57">
        <v>3739.3306281283226</v>
      </c>
      <c r="W108" s="57">
        <v>0</v>
      </c>
      <c r="X108" s="57">
        <v>0</v>
      </c>
      <c r="Y108" s="57">
        <v>0</v>
      </c>
      <c r="Z108" s="57">
        <v>0</v>
      </c>
      <c r="AA108" s="57">
        <v>0</v>
      </c>
      <c r="AB108" s="62">
        <v>0</v>
      </c>
    </row>
    <row r="109" spans="1:28" x14ac:dyDescent="0.35">
      <c r="A109" s="69"/>
      <c r="B109" s="76">
        <v>49522</v>
      </c>
      <c r="C109" s="56">
        <f t="shared" si="2"/>
        <v>9999999.9999999981</v>
      </c>
      <c r="D109" s="56">
        <v>31</v>
      </c>
      <c r="E109" s="57">
        <v>0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2685.663311304028</v>
      </c>
      <c r="L109" s="57">
        <v>11408.127340052506</v>
      </c>
      <c r="M109" s="57">
        <v>21619.985771530068</v>
      </c>
      <c r="N109" s="57">
        <v>30976.234652503685</v>
      </c>
      <c r="O109" s="57">
        <v>40197.804252379472</v>
      </c>
      <c r="P109" s="57">
        <v>45283.927691486213</v>
      </c>
      <c r="Q109" s="57">
        <v>45981.091028933857</v>
      </c>
      <c r="R109" s="57">
        <v>42732.943661280013</v>
      </c>
      <c r="S109" s="57">
        <v>36244.571236625154</v>
      </c>
      <c r="T109" s="57">
        <v>26737.798453248066</v>
      </c>
      <c r="U109" s="57">
        <v>14973.167133818915</v>
      </c>
      <c r="V109" s="57">
        <v>3739.3306281283226</v>
      </c>
      <c r="W109" s="57">
        <v>0</v>
      </c>
      <c r="X109" s="57">
        <v>0</v>
      </c>
      <c r="Y109" s="57">
        <v>0</v>
      </c>
      <c r="Z109" s="57">
        <v>0</v>
      </c>
      <c r="AA109" s="57">
        <v>0</v>
      </c>
      <c r="AB109" s="62">
        <v>0</v>
      </c>
    </row>
    <row r="110" spans="1:28" x14ac:dyDescent="0.35">
      <c r="A110" s="69"/>
      <c r="B110" s="76">
        <v>49553</v>
      </c>
      <c r="C110" s="56">
        <f t="shared" si="2"/>
        <v>10000000</v>
      </c>
      <c r="D110" s="56">
        <v>30</v>
      </c>
      <c r="E110" s="57">
        <v>0</v>
      </c>
      <c r="F110" s="57">
        <v>0</v>
      </c>
      <c r="G110" s="57">
        <v>0</v>
      </c>
      <c r="H110" s="57">
        <v>0</v>
      </c>
      <c r="I110" s="57">
        <v>0</v>
      </c>
      <c r="J110" s="57">
        <v>0</v>
      </c>
      <c r="K110" s="57">
        <v>2775.1854216808292</v>
      </c>
      <c r="L110" s="57">
        <v>11788.398251387591</v>
      </c>
      <c r="M110" s="57">
        <v>22340.651963914406</v>
      </c>
      <c r="N110" s="57">
        <v>32008.775807587146</v>
      </c>
      <c r="O110" s="57">
        <v>41537.731060792124</v>
      </c>
      <c r="P110" s="57">
        <v>46793.391947869088</v>
      </c>
      <c r="Q110" s="57">
        <v>47513.794063231653</v>
      </c>
      <c r="R110" s="57">
        <v>44157.375116656018</v>
      </c>
      <c r="S110" s="57">
        <v>37452.723611179325</v>
      </c>
      <c r="T110" s="57">
        <v>27629.058401689672</v>
      </c>
      <c r="U110" s="57">
        <v>15472.272704946212</v>
      </c>
      <c r="V110" s="57">
        <v>3863.9749823992665</v>
      </c>
      <c r="W110" s="57">
        <v>0</v>
      </c>
      <c r="X110" s="57">
        <v>0</v>
      </c>
      <c r="Y110" s="57">
        <v>0</v>
      </c>
      <c r="Z110" s="57">
        <v>0</v>
      </c>
      <c r="AA110" s="57">
        <v>0</v>
      </c>
      <c r="AB110" s="62">
        <v>0</v>
      </c>
    </row>
    <row r="111" spans="1:28" x14ac:dyDescent="0.35">
      <c r="A111" s="69"/>
      <c r="B111" s="76">
        <v>49583</v>
      </c>
      <c r="C111" s="56">
        <f t="shared" si="2"/>
        <v>9999999.9999999981</v>
      </c>
      <c r="D111" s="56">
        <v>31</v>
      </c>
      <c r="E111" s="57">
        <v>0</v>
      </c>
      <c r="F111" s="57">
        <v>0</v>
      </c>
      <c r="G111" s="57">
        <v>0</v>
      </c>
      <c r="H111" s="57">
        <v>0</v>
      </c>
      <c r="I111" s="57">
        <v>0</v>
      </c>
      <c r="J111" s="57">
        <v>0</v>
      </c>
      <c r="K111" s="57">
        <v>2685.663311304028</v>
      </c>
      <c r="L111" s="57">
        <v>11408.127340052506</v>
      </c>
      <c r="M111" s="57">
        <v>21619.985771530068</v>
      </c>
      <c r="N111" s="57">
        <v>30976.234652503685</v>
      </c>
      <c r="O111" s="57">
        <v>40197.804252379472</v>
      </c>
      <c r="P111" s="57">
        <v>45283.927691486213</v>
      </c>
      <c r="Q111" s="57">
        <v>45981.091028933857</v>
      </c>
      <c r="R111" s="57">
        <v>42732.943661280013</v>
      </c>
      <c r="S111" s="57">
        <v>36244.571236625154</v>
      </c>
      <c r="T111" s="57">
        <v>26737.798453248066</v>
      </c>
      <c r="U111" s="57">
        <v>14973.167133818915</v>
      </c>
      <c r="V111" s="57">
        <v>3739.3306281283226</v>
      </c>
      <c r="W111" s="57">
        <v>0</v>
      </c>
      <c r="X111" s="57">
        <v>0</v>
      </c>
      <c r="Y111" s="57">
        <v>0</v>
      </c>
      <c r="Z111" s="57">
        <v>0</v>
      </c>
      <c r="AA111" s="57">
        <v>0</v>
      </c>
      <c r="AB111" s="62">
        <v>0</v>
      </c>
    </row>
    <row r="112" spans="1:28" x14ac:dyDescent="0.35">
      <c r="A112" s="69"/>
      <c r="B112" s="76">
        <v>49614</v>
      </c>
      <c r="C112" s="56">
        <f t="shared" si="2"/>
        <v>10000000</v>
      </c>
      <c r="D112" s="56">
        <v>30</v>
      </c>
      <c r="E112" s="57">
        <v>0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2775.1854216808292</v>
      </c>
      <c r="L112" s="57">
        <v>11788.398251387591</v>
      </c>
      <c r="M112" s="57">
        <v>22340.651963914406</v>
      </c>
      <c r="N112" s="57">
        <v>32008.775807587146</v>
      </c>
      <c r="O112" s="57">
        <v>41537.731060792124</v>
      </c>
      <c r="P112" s="57">
        <v>46793.391947869088</v>
      </c>
      <c r="Q112" s="57">
        <v>47513.794063231653</v>
      </c>
      <c r="R112" s="57">
        <v>44157.375116656018</v>
      </c>
      <c r="S112" s="57">
        <v>37452.723611179325</v>
      </c>
      <c r="T112" s="57">
        <v>27629.058401689672</v>
      </c>
      <c r="U112" s="57">
        <v>15472.272704946212</v>
      </c>
      <c r="V112" s="57">
        <v>3863.9749823992665</v>
      </c>
      <c r="W112" s="57">
        <v>0</v>
      </c>
      <c r="X112" s="57">
        <v>0</v>
      </c>
      <c r="Y112" s="57">
        <v>0</v>
      </c>
      <c r="Z112" s="57">
        <v>0</v>
      </c>
      <c r="AA112" s="57">
        <v>0</v>
      </c>
      <c r="AB112" s="62">
        <v>0</v>
      </c>
    </row>
    <row r="113" spans="1:28" ht="15" thickBot="1" x14ac:dyDescent="0.4">
      <c r="A113" s="70"/>
      <c r="B113" s="77">
        <v>49644</v>
      </c>
      <c r="C113" s="58">
        <f t="shared" si="2"/>
        <v>9999999.9999999981</v>
      </c>
      <c r="D113" s="58">
        <v>31</v>
      </c>
      <c r="E113" s="59">
        <v>0</v>
      </c>
      <c r="F113" s="59">
        <v>0</v>
      </c>
      <c r="G113" s="59">
        <v>0</v>
      </c>
      <c r="H113" s="59">
        <v>0</v>
      </c>
      <c r="I113" s="59">
        <v>0</v>
      </c>
      <c r="J113" s="59">
        <v>0</v>
      </c>
      <c r="K113" s="59">
        <v>2685.663311304028</v>
      </c>
      <c r="L113" s="59">
        <v>11408.127340052506</v>
      </c>
      <c r="M113" s="59">
        <v>21619.985771530068</v>
      </c>
      <c r="N113" s="59">
        <v>30976.234652503685</v>
      </c>
      <c r="O113" s="59">
        <v>40197.804252379472</v>
      </c>
      <c r="P113" s="59">
        <v>45283.927691486213</v>
      </c>
      <c r="Q113" s="59">
        <v>45981.091028933857</v>
      </c>
      <c r="R113" s="59">
        <v>42732.943661280013</v>
      </c>
      <c r="S113" s="59">
        <v>36244.571236625154</v>
      </c>
      <c r="T113" s="59">
        <v>26737.798453248066</v>
      </c>
      <c r="U113" s="59">
        <v>14973.167133818915</v>
      </c>
      <c r="V113" s="59">
        <v>3739.3306281283226</v>
      </c>
      <c r="W113" s="59">
        <v>0</v>
      </c>
      <c r="X113" s="59">
        <v>0</v>
      </c>
      <c r="Y113" s="59">
        <v>0</v>
      </c>
      <c r="Z113" s="59">
        <v>0</v>
      </c>
      <c r="AA113" s="59">
        <v>0</v>
      </c>
      <c r="AB113" s="63">
        <v>0</v>
      </c>
    </row>
    <row r="114" spans="1:28" x14ac:dyDescent="0.35">
      <c r="A114" s="68">
        <v>2036</v>
      </c>
      <c r="B114" s="53">
        <v>49675</v>
      </c>
      <c r="C114" s="54">
        <f t="shared" si="2"/>
        <v>9999999.9999999981</v>
      </c>
      <c r="D114" s="54">
        <v>31</v>
      </c>
      <c r="E114" s="55">
        <v>0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2685.663311304028</v>
      </c>
      <c r="L114" s="55">
        <v>11408.127340052506</v>
      </c>
      <c r="M114" s="55">
        <v>21619.985771530068</v>
      </c>
      <c r="N114" s="55">
        <v>30976.234652503685</v>
      </c>
      <c r="O114" s="55">
        <v>40197.804252379472</v>
      </c>
      <c r="P114" s="55">
        <v>45283.927691486213</v>
      </c>
      <c r="Q114" s="55">
        <v>45981.091028933857</v>
      </c>
      <c r="R114" s="55">
        <v>42732.943661280013</v>
      </c>
      <c r="S114" s="55">
        <v>36244.571236625154</v>
      </c>
      <c r="T114" s="55">
        <v>26737.798453248066</v>
      </c>
      <c r="U114" s="55">
        <v>14973.167133818915</v>
      </c>
      <c r="V114" s="55">
        <v>3739.3306281283226</v>
      </c>
      <c r="W114" s="55">
        <v>0</v>
      </c>
      <c r="X114" s="55">
        <v>0</v>
      </c>
      <c r="Y114" s="55">
        <v>0</v>
      </c>
      <c r="Z114" s="55">
        <v>0</v>
      </c>
      <c r="AA114" s="55">
        <v>0</v>
      </c>
      <c r="AB114" s="61">
        <v>0</v>
      </c>
    </row>
    <row r="115" spans="1:28" x14ac:dyDescent="0.35">
      <c r="A115" s="69"/>
      <c r="B115" s="76">
        <v>49706</v>
      </c>
      <c r="C115" s="56">
        <f t="shared" si="2"/>
        <v>10000000</v>
      </c>
      <c r="D115" s="56">
        <v>29</v>
      </c>
      <c r="E115" s="57">
        <v>0</v>
      </c>
      <c r="F115" s="57">
        <v>0</v>
      </c>
      <c r="G115" s="57">
        <v>0</v>
      </c>
      <c r="H115" s="57">
        <v>0</v>
      </c>
      <c r="I115" s="57">
        <v>0</v>
      </c>
      <c r="J115" s="57">
        <v>0</v>
      </c>
      <c r="K115" s="57">
        <v>2870.8814707043066</v>
      </c>
      <c r="L115" s="57">
        <v>12194.894742814748</v>
      </c>
      <c r="M115" s="57">
        <v>23111.019273014903</v>
      </c>
      <c r="N115" s="57">
        <v>33112.526697503941</v>
      </c>
      <c r="O115" s="57">
        <v>42970.066614612537</v>
      </c>
      <c r="P115" s="57">
        <v>48406.957187450789</v>
      </c>
      <c r="Q115" s="57">
        <v>49152.200755067235</v>
      </c>
      <c r="R115" s="57">
        <v>45680.043224126915</v>
      </c>
      <c r="S115" s="57">
        <v>38744.196839151024</v>
      </c>
      <c r="T115" s="57">
        <v>28581.784553472073</v>
      </c>
      <c r="U115" s="57">
        <v>16005.799349944358</v>
      </c>
      <c r="V115" s="57">
        <v>3997.215499033724</v>
      </c>
      <c r="W115" s="57">
        <v>0</v>
      </c>
      <c r="X115" s="57">
        <v>0</v>
      </c>
      <c r="Y115" s="57">
        <v>0</v>
      </c>
      <c r="Z115" s="57">
        <v>0</v>
      </c>
      <c r="AA115" s="57">
        <v>0</v>
      </c>
      <c r="AB115" s="62">
        <v>0</v>
      </c>
    </row>
    <row r="116" spans="1:28" x14ac:dyDescent="0.35">
      <c r="A116" s="69"/>
      <c r="B116" s="76">
        <v>49735</v>
      </c>
      <c r="C116" s="56">
        <f t="shared" si="2"/>
        <v>9999999.9999999981</v>
      </c>
      <c r="D116" s="56">
        <v>31</v>
      </c>
      <c r="E116" s="57">
        <v>0</v>
      </c>
      <c r="F116" s="57">
        <v>0</v>
      </c>
      <c r="G116" s="57">
        <v>0</v>
      </c>
      <c r="H116" s="57">
        <v>0</v>
      </c>
      <c r="I116" s="57">
        <v>0</v>
      </c>
      <c r="J116" s="57">
        <v>0</v>
      </c>
      <c r="K116" s="57">
        <v>2685.663311304028</v>
      </c>
      <c r="L116" s="57">
        <v>11408.127340052506</v>
      </c>
      <c r="M116" s="57">
        <v>21619.985771530068</v>
      </c>
      <c r="N116" s="57">
        <v>30976.234652503685</v>
      </c>
      <c r="O116" s="57">
        <v>40197.804252379472</v>
      </c>
      <c r="P116" s="57">
        <v>45283.927691486213</v>
      </c>
      <c r="Q116" s="57">
        <v>45981.091028933857</v>
      </c>
      <c r="R116" s="57">
        <v>42732.943661280013</v>
      </c>
      <c r="S116" s="57">
        <v>36244.571236625154</v>
      </c>
      <c r="T116" s="57">
        <v>26737.798453248066</v>
      </c>
      <c r="U116" s="57">
        <v>14973.167133818915</v>
      </c>
      <c r="V116" s="57">
        <v>3739.3306281283226</v>
      </c>
      <c r="W116" s="57">
        <v>0</v>
      </c>
      <c r="X116" s="57">
        <v>0</v>
      </c>
      <c r="Y116" s="57">
        <v>0</v>
      </c>
      <c r="Z116" s="57">
        <v>0</v>
      </c>
      <c r="AA116" s="57">
        <v>0</v>
      </c>
      <c r="AB116" s="62">
        <v>0</v>
      </c>
    </row>
    <row r="117" spans="1:28" x14ac:dyDescent="0.35">
      <c r="A117" s="69"/>
      <c r="B117" s="76">
        <v>49766</v>
      </c>
      <c r="C117" s="56">
        <f t="shared" si="2"/>
        <v>10000000</v>
      </c>
      <c r="D117" s="56">
        <v>30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2775.1854216808292</v>
      </c>
      <c r="L117" s="57">
        <v>11788.398251387591</v>
      </c>
      <c r="M117" s="57">
        <v>22340.651963914406</v>
      </c>
      <c r="N117" s="57">
        <v>32008.775807587146</v>
      </c>
      <c r="O117" s="57">
        <v>41537.731060792124</v>
      </c>
      <c r="P117" s="57">
        <v>46793.391947869088</v>
      </c>
      <c r="Q117" s="57">
        <v>47513.794063231653</v>
      </c>
      <c r="R117" s="57">
        <v>44157.375116656018</v>
      </c>
      <c r="S117" s="57">
        <v>37452.723611179325</v>
      </c>
      <c r="T117" s="57">
        <v>27629.058401689672</v>
      </c>
      <c r="U117" s="57">
        <v>15472.272704946212</v>
      </c>
      <c r="V117" s="57">
        <v>3863.9749823992665</v>
      </c>
      <c r="W117" s="57">
        <v>0</v>
      </c>
      <c r="X117" s="57">
        <v>0</v>
      </c>
      <c r="Y117" s="57">
        <v>0</v>
      </c>
      <c r="Z117" s="57">
        <v>0</v>
      </c>
      <c r="AA117" s="57">
        <v>0</v>
      </c>
      <c r="AB117" s="62">
        <v>0</v>
      </c>
    </row>
    <row r="118" spans="1:28" x14ac:dyDescent="0.35">
      <c r="A118" s="69"/>
      <c r="B118" s="76">
        <v>49796</v>
      </c>
      <c r="C118" s="56">
        <f t="shared" si="2"/>
        <v>9999999.9999999981</v>
      </c>
      <c r="D118" s="56">
        <v>31</v>
      </c>
      <c r="E118" s="57">
        <v>0</v>
      </c>
      <c r="F118" s="57">
        <v>0</v>
      </c>
      <c r="G118" s="57">
        <v>0</v>
      </c>
      <c r="H118" s="57">
        <v>0</v>
      </c>
      <c r="I118" s="57">
        <v>0</v>
      </c>
      <c r="J118" s="57">
        <v>0</v>
      </c>
      <c r="K118" s="57">
        <v>2685.663311304028</v>
      </c>
      <c r="L118" s="57">
        <v>11408.127340052506</v>
      </c>
      <c r="M118" s="57">
        <v>21619.985771530068</v>
      </c>
      <c r="N118" s="57">
        <v>30976.234652503685</v>
      </c>
      <c r="O118" s="57">
        <v>40197.804252379472</v>
      </c>
      <c r="P118" s="57">
        <v>45283.927691486213</v>
      </c>
      <c r="Q118" s="57">
        <v>45981.091028933857</v>
      </c>
      <c r="R118" s="57">
        <v>42732.943661280013</v>
      </c>
      <c r="S118" s="57">
        <v>36244.571236625154</v>
      </c>
      <c r="T118" s="57">
        <v>26737.798453248066</v>
      </c>
      <c r="U118" s="57">
        <v>14973.167133818915</v>
      </c>
      <c r="V118" s="57">
        <v>3739.3306281283226</v>
      </c>
      <c r="W118" s="57">
        <v>0</v>
      </c>
      <c r="X118" s="57">
        <v>0</v>
      </c>
      <c r="Y118" s="57">
        <v>0</v>
      </c>
      <c r="Z118" s="57">
        <v>0</v>
      </c>
      <c r="AA118" s="57">
        <v>0</v>
      </c>
      <c r="AB118" s="62">
        <v>0</v>
      </c>
    </row>
    <row r="119" spans="1:28" x14ac:dyDescent="0.35">
      <c r="A119" s="69"/>
      <c r="B119" s="76">
        <v>49827</v>
      </c>
      <c r="C119" s="56">
        <f t="shared" si="2"/>
        <v>10000000</v>
      </c>
      <c r="D119" s="56">
        <v>30</v>
      </c>
      <c r="E119" s="57">
        <v>0</v>
      </c>
      <c r="F119" s="57">
        <v>0</v>
      </c>
      <c r="G119" s="57">
        <v>0</v>
      </c>
      <c r="H119" s="57">
        <v>0</v>
      </c>
      <c r="I119" s="57">
        <v>0</v>
      </c>
      <c r="J119" s="57">
        <v>0</v>
      </c>
      <c r="K119" s="57">
        <v>2775.1854216808292</v>
      </c>
      <c r="L119" s="57">
        <v>11788.398251387591</v>
      </c>
      <c r="M119" s="57">
        <v>22340.651963914406</v>
      </c>
      <c r="N119" s="57">
        <v>32008.775807587146</v>
      </c>
      <c r="O119" s="57">
        <v>41537.731060792124</v>
      </c>
      <c r="P119" s="57">
        <v>46793.391947869088</v>
      </c>
      <c r="Q119" s="57">
        <v>47513.794063231653</v>
      </c>
      <c r="R119" s="57">
        <v>44157.375116656018</v>
      </c>
      <c r="S119" s="57">
        <v>37452.723611179325</v>
      </c>
      <c r="T119" s="57">
        <v>27629.058401689672</v>
      </c>
      <c r="U119" s="57">
        <v>15472.272704946212</v>
      </c>
      <c r="V119" s="57">
        <v>3863.9749823992665</v>
      </c>
      <c r="W119" s="57">
        <v>0</v>
      </c>
      <c r="X119" s="57">
        <v>0</v>
      </c>
      <c r="Y119" s="57">
        <v>0</v>
      </c>
      <c r="Z119" s="57">
        <v>0</v>
      </c>
      <c r="AA119" s="57">
        <v>0</v>
      </c>
      <c r="AB119" s="62">
        <v>0</v>
      </c>
    </row>
    <row r="120" spans="1:28" x14ac:dyDescent="0.35">
      <c r="A120" s="69"/>
      <c r="B120" s="76">
        <v>49857</v>
      </c>
      <c r="C120" s="56">
        <f t="shared" si="2"/>
        <v>9999999.9999999981</v>
      </c>
      <c r="D120" s="56">
        <v>31</v>
      </c>
      <c r="E120" s="57">
        <v>0</v>
      </c>
      <c r="F120" s="57">
        <v>0</v>
      </c>
      <c r="G120" s="57">
        <v>0</v>
      </c>
      <c r="H120" s="57">
        <v>0</v>
      </c>
      <c r="I120" s="57">
        <v>0</v>
      </c>
      <c r="J120" s="57">
        <v>0</v>
      </c>
      <c r="K120" s="57">
        <v>2685.663311304028</v>
      </c>
      <c r="L120" s="57">
        <v>11408.127340052506</v>
      </c>
      <c r="M120" s="57">
        <v>21619.985771530068</v>
      </c>
      <c r="N120" s="57">
        <v>30976.234652503685</v>
      </c>
      <c r="O120" s="57">
        <v>40197.804252379472</v>
      </c>
      <c r="P120" s="57">
        <v>45283.927691486213</v>
      </c>
      <c r="Q120" s="57">
        <v>45981.091028933857</v>
      </c>
      <c r="R120" s="57">
        <v>42732.943661280013</v>
      </c>
      <c r="S120" s="57">
        <v>36244.571236625154</v>
      </c>
      <c r="T120" s="57">
        <v>26737.798453248066</v>
      </c>
      <c r="U120" s="57">
        <v>14973.167133818915</v>
      </c>
      <c r="V120" s="57">
        <v>3739.3306281283226</v>
      </c>
      <c r="W120" s="57">
        <v>0</v>
      </c>
      <c r="X120" s="57">
        <v>0</v>
      </c>
      <c r="Y120" s="57">
        <v>0</v>
      </c>
      <c r="Z120" s="57">
        <v>0</v>
      </c>
      <c r="AA120" s="57">
        <v>0</v>
      </c>
      <c r="AB120" s="62">
        <v>0</v>
      </c>
    </row>
    <row r="121" spans="1:28" x14ac:dyDescent="0.35">
      <c r="A121" s="69"/>
      <c r="B121" s="76">
        <v>49888</v>
      </c>
      <c r="C121" s="56">
        <f t="shared" si="2"/>
        <v>9999999.9999999981</v>
      </c>
      <c r="D121" s="56">
        <v>31</v>
      </c>
      <c r="E121" s="57">
        <v>0</v>
      </c>
      <c r="F121" s="57">
        <v>0</v>
      </c>
      <c r="G121" s="57">
        <v>0</v>
      </c>
      <c r="H121" s="57">
        <v>0</v>
      </c>
      <c r="I121" s="57">
        <v>0</v>
      </c>
      <c r="J121" s="57">
        <v>0</v>
      </c>
      <c r="K121" s="57">
        <v>2685.663311304028</v>
      </c>
      <c r="L121" s="57">
        <v>11408.127340052506</v>
      </c>
      <c r="M121" s="57">
        <v>21619.985771530068</v>
      </c>
      <c r="N121" s="57">
        <v>30976.234652503685</v>
      </c>
      <c r="O121" s="57">
        <v>40197.804252379472</v>
      </c>
      <c r="P121" s="57">
        <v>45283.927691486213</v>
      </c>
      <c r="Q121" s="57">
        <v>45981.091028933857</v>
      </c>
      <c r="R121" s="57">
        <v>42732.943661280013</v>
      </c>
      <c r="S121" s="57">
        <v>36244.571236625154</v>
      </c>
      <c r="T121" s="57">
        <v>26737.798453248066</v>
      </c>
      <c r="U121" s="57">
        <v>14973.167133818915</v>
      </c>
      <c r="V121" s="57">
        <v>3739.3306281283226</v>
      </c>
      <c r="W121" s="57">
        <v>0</v>
      </c>
      <c r="X121" s="57">
        <v>0</v>
      </c>
      <c r="Y121" s="57">
        <v>0</v>
      </c>
      <c r="Z121" s="57">
        <v>0</v>
      </c>
      <c r="AA121" s="57">
        <v>0</v>
      </c>
      <c r="AB121" s="62">
        <v>0</v>
      </c>
    </row>
    <row r="122" spans="1:28" x14ac:dyDescent="0.35">
      <c r="A122" s="69"/>
      <c r="B122" s="76">
        <v>49919</v>
      </c>
      <c r="C122" s="56">
        <f t="shared" si="2"/>
        <v>10000000</v>
      </c>
      <c r="D122" s="56">
        <v>30</v>
      </c>
      <c r="E122" s="57">
        <v>0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2775.1854216808292</v>
      </c>
      <c r="L122" s="57">
        <v>11788.398251387591</v>
      </c>
      <c r="M122" s="57">
        <v>22340.651963914406</v>
      </c>
      <c r="N122" s="57">
        <v>32008.775807587146</v>
      </c>
      <c r="O122" s="57">
        <v>41537.731060792124</v>
      </c>
      <c r="P122" s="57">
        <v>46793.391947869088</v>
      </c>
      <c r="Q122" s="57">
        <v>47513.794063231653</v>
      </c>
      <c r="R122" s="57">
        <v>44157.375116656018</v>
      </c>
      <c r="S122" s="57">
        <v>37452.723611179325</v>
      </c>
      <c r="T122" s="57">
        <v>27629.058401689672</v>
      </c>
      <c r="U122" s="57">
        <v>15472.272704946212</v>
      </c>
      <c r="V122" s="57">
        <v>3863.9749823992665</v>
      </c>
      <c r="W122" s="57">
        <v>0</v>
      </c>
      <c r="X122" s="57">
        <v>0</v>
      </c>
      <c r="Y122" s="57">
        <v>0</v>
      </c>
      <c r="Z122" s="57">
        <v>0</v>
      </c>
      <c r="AA122" s="57">
        <v>0</v>
      </c>
      <c r="AB122" s="62">
        <v>0</v>
      </c>
    </row>
    <row r="123" spans="1:28" x14ac:dyDescent="0.35">
      <c r="A123" s="69"/>
      <c r="B123" s="76">
        <v>49949</v>
      </c>
      <c r="C123" s="56">
        <f t="shared" si="2"/>
        <v>9999999.9999999981</v>
      </c>
      <c r="D123" s="56">
        <v>31</v>
      </c>
      <c r="E123" s="57">
        <v>0</v>
      </c>
      <c r="F123" s="57">
        <v>0</v>
      </c>
      <c r="G123" s="57">
        <v>0</v>
      </c>
      <c r="H123" s="57">
        <v>0</v>
      </c>
      <c r="I123" s="57">
        <v>0</v>
      </c>
      <c r="J123" s="57">
        <v>0</v>
      </c>
      <c r="K123" s="57">
        <v>2685.663311304028</v>
      </c>
      <c r="L123" s="57">
        <v>11408.127340052506</v>
      </c>
      <c r="M123" s="57">
        <v>21619.985771530068</v>
      </c>
      <c r="N123" s="57">
        <v>30976.234652503685</v>
      </c>
      <c r="O123" s="57">
        <v>40197.804252379472</v>
      </c>
      <c r="P123" s="57">
        <v>45283.927691486213</v>
      </c>
      <c r="Q123" s="57">
        <v>45981.091028933857</v>
      </c>
      <c r="R123" s="57">
        <v>42732.943661280013</v>
      </c>
      <c r="S123" s="57">
        <v>36244.571236625154</v>
      </c>
      <c r="T123" s="57">
        <v>26737.798453248066</v>
      </c>
      <c r="U123" s="57">
        <v>14973.167133818915</v>
      </c>
      <c r="V123" s="57">
        <v>3739.3306281283226</v>
      </c>
      <c r="W123" s="57">
        <v>0</v>
      </c>
      <c r="X123" s="57">
        <v>0</v>
      </c>
      <c r="Y123" s="57">
        <v>0</v>
      </c>
      <c r="Z123" s="57">
        <v>0</v>
      </c>
      <c r="AA123" s="57">
        <v>0</v>
      </c>
      <c r="AB123" s="62">
        <v>0</v>
      </c>
    </row>
    <row r="124" spans="1:28" x14ac:dyDescent="0.35">
      <c r="A124" s="69"/>
      <c r="B124" s="76">
        <v>49980</v>
      </c>
      <c r="C124" s="56">
        <f t="shared" si="2"/>
        <v>10000000</v>
      </c>
      <c r="D124" s="56">
        <v>30</v>
      </c>
      <c r="E124" s="57">
        <v>0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2775.1854216808292</v>
      </c>
      <c r="L124" s="57">
        <v>11788.398251387591</v>
      </c>
      <c r="M124" s="57">
        <v>22340.651963914406</v>
      </c>
      <c r="N124" s="57">
        <v>32008.775807587146</v>
      </c>
      <c r="O124" s="57">
        <v>41537.731060792124</v>
      </c>
      <c r="P124" s="57">
        <v>46793.391947869088</v>
      </c>
      <c r="Q124" s="57">
        <v>47513.794063231653</v>
      </c>
      <c r="R124" s="57">
        <v>44157.375116656018</v>
      </c>
      <c r="S124" s="57">
        <v>37452.723611179325</v>
      </c>
      <c r="T124" s="57">
        <v>27629.058401689672</v>
      </c>
      <c r="U124" s="57">
        <v>15472.272704946212</v>
      </c>
      <c r="V124" s="57">
        <v>3863.9749823992665</v>
      </c>
      <c r="W124" s="57">
        <v>0</v>
      </c>
      <c r="X124" s="57">
        <v>0</v>
      </c>
      <c r="Y124" s="57">
        <v>0</v>
      </c>
      <c r="Z124" s="57">
        <v>0</v>
      </c>
      <c r="AA124" s="57">
        <v>0</v>
      </c>
      <c r="AB124" s="62">
        <v>0</v>
      </c>
    </row>
    <row r="125" spans="1:28" ht="15" thickBot="1" x14ac:dyDescent="0.4">
      <c r="A125" s="70"/>
      <c r="B125" s="77">
        <v>50010</v>
      </c>
      <c r="C125" s="58">
        <f t="shared" si="2"/>
        <v>9999999.9999999981</v>
      </c>
      <c r="D125" s="58">
        <v>31</v>
      </c>
      <c r="E125" s="59">
        <v>0</v>
      </c>
      <c r="F125" s="59">
        <v>0</v>
      </c>
      <c r="G125" s="59">
        <v>0</v>
      </c>
      <c r="H125" s="59">
        <v>0</v>
      </c>
      <c r="I125" s="59">
        <v>0</v>
      </c>
      <c r="J125" s="59">
        <v>0</v>
      </c>
      <c r="K125" s="59">
        <v>2685.663311304028</v>
      </c>
      <c r="L125" s="59">
        <v>11408.127340052506</v>
      </c>
      <c r="M125" s="59">
        <v>21619.985771530068</v>
      </c>
      <c r="N125" s="59">
        <v>30976.234652503685</v>
      </c>
      <c r="O125" s="59">
        <v>40197.804252379472</v>
      </c>
      <c r="P125" s="59">
        <v>45283.927691486213</v>
      </c>
      <c r="Q125" s="59">
        <v>45981.091028933857</v>
      </c>
      <c r="R125" s="59">
        <v>42732.943661280013</v>
      </c>
      <c r="S125" s="59">
        <v>36244.571236625154</v>
      </c>
      <c r="T125" s="59">
        <v>26737.798453248066</v>
      </c>
      <c r="U125" s="59">
        <v>14973.167133818915</v>
      </c>
      <c r="V125" s="59">
        <v>3739.3306281283226</v>
      </c>
      <c r="W125" s="59">
        <v>0</v>
      </c>
      <c r="X125" s="59">
        <v>0</v>
      </c>
      <c r="Y125" s="59">
        <v>0</v>
      </c>
      <c r="Z125" s="59">
        <v>0</v>
      </c>
      <c r="AA125" s="59">
        <v>0</v>
      </c>
      <c r="AB125" s="63">
        <v>0</v>
      </c>
    </row>
    <row r="126" spans="1:28" x14ac:dyDescent="0.35">
      <c r="A126" s="68">
        <v>2037</v>
      </c>
      <c r="B126" s="53">
        <v>50041</v>
      </c>
      <c r="C126" s="54">
        <f t="shared" si="2"/>
        <v>9999999.9999999981</v>
      </c>
      <c r="D126" s="54">
        <v>31</v>
      </c>
      <c r="E126" s="55">
        <v>0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5">
        <v>2685.663311304028</v>
      </c>
      <c r="L126" s="55">
        <v>11408.127340052506</v>
      </c>
      <c r="M126" s="55">
        <v>21619.985771530068</v>
      </c>
      <c r="N126" s="55">
        <v>30976.234652503685</v>
      </c>
      <c r="O126" s="55">
        <v>40197.804252379472</v>
      </c>
      <c r="P126" s="55">
        <v>45283.927691486213</v>
      </c>
      <c r="Q126" s="55">
        <v>45981.091028933857</v>
      </c>
      <c r="R126" s="55">
        <v>42732.943661280013</v>
      </c>
      <c r="S126" s="55">
        <v>36244.571236625154</v>
      </c>
      <c r="T126" s="55">
        <v>26737.798453248066</v>
      </c>
      <c r="U126" s="55">
        <v>14973.167133818915</v>
      </c>
      <c r="V126" s="55">
        <v>3739.3306281283226</v>
      </c>
      <c r="W126" s="55">
        <v>0</v>
      </c>
      <c r="X126" s="55">
        <v>0</v>
      </c>
      <c r="Y126" s="55">
        <v>0</v>
      </c>
      <c r="Z126" s="55">
        <v>0</v>
      </c>
      <c r="AA126" s="55">
        <v>0</v>
      </c>
      <c r="AB126" s="61">
        <v>0</v>
      </c>
    </row>
    <row r="127" spans="1:28" x14ac:dyDescent="0.35">
      <c r="A127" s="69"/>
      <c r="B127" s="76">
        <v>50072</v>
      </c>
      <c r="C127" s="56">
        <f t="shared" si="2"/>
        <v>10000000</v>
      </c>
      <c r="D127" s="56">
        <v>28</v>
      </c>
      <c r="E127" s="57">
        <v>0</v>
      </c>
      <c r="F127" s="57">
        <v>0</v>
      </c>
      <c r="G127" s="57">
        <v>0</v>
      </c>
      <c r="H127" s="57">
        <v>0</v>
      </c>
      <c r="I127" s="57">
        <v>0</v>
      </c>
      <c r="J127" s="57">
        <v>0</v>
      </c>
      <c r="K127" s="57">
        <v>2973.4129518008881</v>
      </c>
      <c r="L127" s="57">
        <v>12630.426697915274</v>
      </c>
      <c r="M127" s="57">
        <v>23936.412818479719</v>
      </c>
      <c r="N127" s="57">
        <v>34295.116936700506</v>
      </c>
      <c r="O127" s="57">
        <v>44504.711850848704</v>
      </c>
      <c r="P127" s="57">
        <v>50135.777087002592</v>
      </c>
      <c r="Q127" s="57">
        <v>50907.636496319632</v>
      </c>
      <c r="R127" s="57">
        <v>47311.473339274307</v>
      </c>
      <c r="S127" s="57">
        <v>40127.918154834988</v>
      </c>
      <c r="T127" s="57">
        <v>29602.562573238931</v>
      </c>
      <c r="U127" s="57">
        <v>16577.435041013799</v>
      </c>
      <c r="V127" s="57">
        <v>4139.9731954277859</v>
      </c>
      <c r="W127" s="57">
        <v>0</v>
      </c>
      <c r="X127" s="57">
        <v>0</v>
      </c>
      <c r="Y127" s="57">
        <v>0</v>
      </c>
      <c r="Z127" s="57">
        <v>0</v>
      </c>
      <c r="AA127" s="57">
        <v>0</v>
      </c>
      <c r="AB127" s="62">
        <v>0</v>
      </c>
    </row>
    <row r="128" spans="1:28" x14ac:dyDescent="0.35">
      <c r="A128" s="69"/>
      <c r="B128" s="76">
        <v>50100</v>
      </c>
      <c r="C128" s="56">
        <f t="shared" si="2"/>
        <v>9999999.9999999981</v>
      </c>
      <c r="D128" s="56">
        <v>31</v>
      </c>
      <c r="E128" s="57">
        <v>0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2685.663311304028</v>
      </c>
      <c r="L128" s="57">
        <v>11408.127340052506</v>
      </c>
      <c r="M128" s="57">
        <v>21619.985771530068</v>
      </c>
      <c r="N128" s="57">
        <v>30976.234652503685</v>
      </c>
      <c r="O128" s="57">
        <v>40197.804252379472</v>
      </c>
      <c r="P128" s="57">
        <v>45283.927691486213</v>
      </c>
      <c r="Q128" s="57">
        <v>45981.091028933857</v>
      </c>
      <c r="R128" s="57">
        <v>42732.943661280013</v>
      </c>
      <c r="S128" s="57">
        <v>36244.571236625154</v>
      </c>
      <c r="T128" s="57">
        <v>26737.798453248066</v>
      </c>
      <c r="U128" s="57">
        <v>14973.167133818915</v>
      </c>
      <c r="V128" s="57">
        <v>3739.3306281283226</v>
      </c>
      <c r="W128" s="57">
        <v>0</v>
      </c>
      <c r="X128" s="57">
        <v>0</v>
      </c>
      <c r="Y128" s="57">
        <v>0</v>
      </c>
      <c r="Z128" s="57">
        <v>0</v>
      </c>
      <c r="AA128" s="57">
        <v>0</v>
      </c>
      <c r="AB128" s="62">
        <v>0</v>
      </c>
    </row>
    <row r="129" spans="1:28" x14ac:dyDescent="0.35">
      <c r="A129" s="69"/>
      <c r="B129" s="76">
        <v>50131</v>
      </c>
      <c r="C129" s="56">
        <f t="shared" si="2"/>
        <v>10000000</v>
      </c>
      <c r="D129" s="56">
        <v>30</v>
      </c>
      <c r="E129" s="57">
        <v>0</v>
      </c>
      <c r="F129" s="57">
        <v>0</v>
      </c>
      <c r="G129" s="57">
        <v>0</v>
      </c>
      <c r="H129" s="57">
        <v>0</v>
      </c>
      <c r="I129" s="57">
        <v>0</v>
      </c>
      <c r="J129" s="57">
        <v>0</v>
      </c>
      <c r="K129" s="57">
        <v>2775.1854216808292</v>
      </c>
      <c r="L129" s="57">
        <v>11788.398251387591</v>
      </c>
      <c r="M129" s="57">
        <v>22340.651963914406</v>
      </c>
      <c r="N129" s="57">
        <v>32008.775807587146</v>
      </c>
      <c r="O129" s="57">
        <v>41537.731060792124</v>
      </c>
      <c r="P129" s="57">
        <v>46793.391947869088</v>
      </c>
      <c r="Q129" s="57">
        <v>47513.794063231653</v>
      </c>
      <c r="R129" s="57">
        <v>44157.375116656018</v>
      </c>
      <c r="S129" s="57">
        <v>37452.723611179325</v>
      </c>
      <c r="T129" s="57">
        <v>27629.058401689672</v>
      </c>
      <c r="U129" s="57">
        <v>15472.272704946212</v>
      </c>
      <c r="V129" s="57">
        <v>3863.9749823992665</v>
      </c>
      <c r="W129" s="57">
        <v>0</v>
      </c>
      <c r="X129" s="57">
        <v>0</v>
      </c>
      <c r="Y129" s="57">
        <v>0</v>
      </c>
      <c r="Z129" s="57">
        <v>0</v>
      </c>
      <c r="AA129" s="57">
        <v>0</v>
      </c>
      <c r="AB129" s="62">
        <v>0</v>
      </c>
    </row>
    <row r="130" spans="1:28" x14ac:dyDescent="0.35">
      <c r="A130" s="69"/>
      <c r="B130" s="76">
        <v>50161</v>
      </c>
      <c r="C130" s="56">
        <f t="shared" si="2"/>
        <v>9999999.9999999981</v>
      </c>
      <c r="D130" s="56">
        <v>31</v>
      </c>
      <c r="E130" s="57">
        <v>0</v>
      </c>
      <c r="F130" s="57">
        <v>0</v>
      </c>
      <c r="G130" s="57">
        <v>0</v>
      </c>
      <c r="H130" s="57">
        <v>0</v>
      </c>
      <c r="I130" s="57">
        <v>0</v>
      </c>
      <c r="J130" s="57">
        <v>0</v>
      </c>
      <c r="K130" s="57">
        <v>2685.663311304028</v>
      </c>
      <c r="L130" s="57">
        <v>11408.127340052506</v>
      </c>
      <c r="M130" s="57">
        <v>21619.985771530068</v>
      </c>
      <c r="N130" s="57">
        <v>30976.234652503685</v>
      </c>
      <c r="O130" s="57">
        <v>40197.804252379472</v>
      </c>
      <c r="P130" s="57">
        <v>45283.927691486213</v>
      </c>
      <c r="Q130" s="57">
        <v>45981.091028933857</v>
      </c>
      <c r="R130" s="57">
        <v>42732.943661280013</v>
      </c>
      <c r="S130" s="57">
        <v>36244.571236625154</v>
      </c>
      <c r="T130" s="57">
        <v>26737.798453248066</v>
      </c>
      <c r="U130" s="57">
        <v>14973.167133818915</v>
      </c>
      <c r="V130" s="57">
        <v>3739.3306281283226</v>
      </c>
      <c r="W130" s="57">
        <v>0</v>
      </c>
      <c r="X130" s="57">
        <v>0</v>
      </c>
      <c r="Y130" s="57">
        <v>0</v>
      </c>
      <c r="Z130" s="57">
        <v>0</v>
      </c>
      <c r="AA130" s="57">
        <v>0</v>
      </c>
      <c r="AB130" s="62">
        <v>0</v>
      </c>
    </row>
    <row r="131" spans="1:28" x14ac:dyDescent="0.35">
      <c r="A131" s="69"/>
      <c r="B131" s="76">
        <v>50192</v>
      </c>
      <c r="C131" s="56">
        <f t="shared" si="2"/>
        <v>10000000</v>
      </c>
      <c r="D131" s="56">
        <v>30</v>
      </c>
      <c r="E131" s="57">
        <v>0</v>
      </c>
      <c r="F131" s="57">
        <v>0</v>
      </c>
      <c r="G131" s="57">
        <v>0</v>
      </c>
      <c r="H131" s="57">
        <v>0</v>
      </c>
      <c r="I131" s="57">
        <v>0</v>
      </c>
      <c r="J131" s="57">
        <v>0</v>
      </c>
      <c r="K131" s="57">
        <v>2775.1854216808292</v>
      </c>
      <c r="L131" s="57">
        <v>11788.398251387591</v>
      </c>
      <c r="M131" s="57">
        <v>22340.651963914406</v>
      </c>
      <c r="N131" s="57">
        <v>32008.775807587146</v>
      </c>
      <c r="O131" s="57">
        <v>41537.731060792124</v>
      </c>
      <c r="P131" s="57">
        <v>46793.391947869088</v>
      </c>
      <c r="Q131" s="57">
        <v>47513.794063231653</v>
      </c>
      <c r="R131" s="57">
        <v>44157.375116656018</v>
      </c>
      <c r="S131" s="57">
        <v>37452.723611179325</v>
      </c>
      <c r="T131" s="57">
        <v>27629.058401689672</v>
      </c>
      <c r="U131" s="57">
        <v>15472.272704946212</v>
      </c>
      <c r="V131" s="57">
        <v>3863.9749823992665</v>
      </c>
      <c r="W131" s="57">
        <v>0</v>
      </c>
      <c r="X131" s="57">
        <v>0</v>
      </c>
      <c r="Y131" s="57">
        <v>0</v>
      </c>
      <c r="Z131" s="57">
        <v>0</v>
      </c>
      <c r="AA131" s="57">
        <v>0</v>
      </c>
      <c r="AB131" s="62">
        <v>0</v>
      </c>
    </row>
    <row r="132" spans="1:28" x14ac:dyDescent="0.35">
      <c r="A132" s="69"/>
      <c r="B132" s="76">
        <v>50222</v>
      </c>
      <c r="C132" s="56">
        <f t="shared" si="2"/>
        <v>9999999.9999999981</v>
      </c>
      <c r="D132" s="56">
        <v>31</v>
      </c>
      <c r="E132" s="57">
        <v>0</v>
      </c>
      <c r="F132" s="57">
        <v>0</v>
      </c>
      <c r="G132" s="57">
        <v>0</v>
      </c>
      <c r="H132" s="57">
        <v>0</v>
      </c>
      <c r="I132" s="57">
        <v>0</v>
      </c>
      <c r="J132" s="57">
        <v>0</v>
      </c>
      <c r="K132" s="57">
        <v>2685.663311304028</v>
      </c>
      <c r="L132" s="57">
        <v>11408.127340052506</v>
      </c>
      <c r="M132" s="57">
        <v>21619.985771530068</v>
      </c>
      <c r="N132" s="57">
        <v>30976.234652503685</v>
      </c>
      <c r="O132" s="57">
        <v>40197.804252379472</v>
      </c>
      <c r="P132" s="57">
        <v>45283.927691486213</v>
      </c>
      <c r="Q132" s="57">
        <v>45981.091028933857</v>
      </c>
      <c r="R132" s="57">
        <v>42732.943661280013</v>
      </c>
      <c r="S132" s="57">
        <v>36244.571236625154</v>
      </c>
      <c r="T132" s="57">
        <v>26737.798453248066</v>
      </c>
      <c r="U132" s="57">
        <v>14973.167133818915</v>
      </c>
      <c r="V132" s="57">
        <v>3739.3306281283226</v>
      </c>
      <c r="W132" s="57">
        <v>0</v>
      </c>
      <c r="X132" s="57">
        <v>0</v>
      </c>
      <c r="Y132" s="57">
        <v>0</v>
      </c>
      <c r="Z132" s="57">
        <v>0</v>
      </c>
      <c r="AA132" s="57">
        <v>0</v>
      </c>
      <c r="AB132" s="62">
        <v>0</v>
      </c>
    </row>
    <row r="133" spans="1:28" x14ac:dyDescent="0.35">
      <c r="A133" s="69"/>
      <c r="B133" s="76">
        <v>50253</v>
      </c>
      <c r="C133" s="56">
        <f t="shared" si="2"/>
        <v>9999999.9999999981</v>
      </c>
      <c r="D133" s="56">
        <v>31</v>
      </c>
      <c r="E133" s="57">
        <v>0</v>
      </c>
      <c r="F133" s="57">
        <v>0</v>
      </c>
      <c r="G133" s="57">
        <v>0</v>
      </c>
      <c r="H133" s="57">
        <v>0</v>
      </c>
      <c r="I133" s="57">
        <v>0</v>
      </c>
      <c r="J133" s="57">
        <v>0</v>
      </c>
      <c r="K133" s="57">
        <v>2685.663311304028</v>
      </c>
      <c r="L133" s="57">
        <v>11408.127340052506</v>
      </c>
      <c r="M133" s="57">
        <v>21619.985771530068</v>
      </c>
      <c r="N133" s="57">
        <v>30976.234652503685</v>
      </c>
      <c r="O133" s="57">
        <v>40197.804252379472</v>
      </c>
      <c r="P133" s="57">
        <v>45283.927691486213</v>
      </c>
      <c r="Q133" s="57">
        <v>45981.091028933857</v>
      </c>
      <c r="R133" s="57">
        <v>42732.943661280013</v>
      </c>
      <c r="S133" s="57">
        <v>36244.571236625154</v>
      </c>
      <c r="T133" s="57">
        <v>26737.798453248066</v>
      </c>
      <c r="U133" s="57">
        <v>14973.167133818915</v>
      </c>
      <c r="V133" s="57">
        <v>3739.3306281283226</v>
      </c>
      <c r="W133" s="57">
        <v>0</v>
      </c>
      <c r="X133" s="57">
        <v>0</v>
      </c>
      <c r="Y133" s="57">
        <v>0</v>
      </c>
      <c r="Z133" s="57">
        <v>0</v>
      </c>
      <c r="AA133" s="57">
        <v>0</v>
      </c>
      <c r="AB133" s="62">
        <v>0</v>
      </c>
    </row>
    <row r="134" spans="1:28" x14ac:dyDescent="0.35">
      <c r="A134" s="69"/>
      <c r="B134" s="76">
        <v>50284</v>
      </c>
      <c r="C134" s="56">
        <f t="shared" si="2"/>
        <v>10000000</v>
      </c>
      <c r="D134" s="56">
        <v>30</v>
      </c>
      <c r="E134" s="57">
        <v>0</v>
      </c>
      <c r="F134" s="57">
        <v>0</v>
      </c>
      <c r="G134" s="57">
        <v>0</v>
      </c>
      <c r="H134" s="57">
        <v>0</v>
      </c>
      <c r="I134" s="57">
        <v>0</v>
      </c>
      <c r="J134" s="57">
        <v>0</v>
      </c>
      <c r="K134" s="57">
        <v>2775.1854216808292</v>
      </c>
      <c r="L134" s="57">
        <v>11788.398251387591</v>
      </c>
      <c r="M134" s="57">
        <v>22340.651963914406</v>
      </c>
      <c r="N134" s="57">
        <v>32008.775807587146</v>
      </c>
      <c r="O134" s="57">
        <v>41537.731060792124</v>
      </c>
      <c r="P134" s="57">
        <v>46793.391947869088</v>
      </c>
      <c r="Q134" s="57">
        <v>47513.794063231653</v>
      </c>
      <c r="R134" s="57">
        <v>44157.375116656018</v>
      </c>
      <c r="S134" s="57">
        <v>37452.723611179325</v>
      </c>
      <c r="T134" s="57">
        <v>27629.058401689672</v>
      </c>
      <c r="U134" s="57">
        <v>15472.272704946212</v>
      </c>
      <c r="V134" s="57">
        <v>3863.9749823992665</v>
      </c>
      <c r="W134" s="57">
        <v>0</v>
      </c>
      <c r="X134" s="57">
        <v>0</v>
      </c>
      <c r="Y134" s="57">
        <v>0</v>
      </c>
      <c r="Z134" s="57">
        <v>0</v>
      </c>
      <c r="AA134" s="57">
        <v>0</v>
      </c>
      <c r="AB134" s="62">
        <v>0</v>
      </c>
    </row>
    <row r="135" spans="1:28" x14ac:dyDescent="0.35">
      <c r="A135" s="69"/>
      <c r="B135" s="76">
        <v>50314</v>
      </c>
      <c r="C135" s="56">
        <f t="shared" si="2"/>
        <v>9999999.9999999981</v>
      </c>
      <c r="D135" s="56">
        <v>31</v>
      </c>
      <c r="E135" s="57">
        <v>0</v>
      </c>
      <c r="F135" s="57">
        <v>0</v>
      </c>
      <c r="G135" s="57">
        <v>0</v>
      </c>
      <c r="H135" s="57">
        <v>0</v>
      </c>
      <c r="I135" s="57">
        <v>0</v>
      </c>
      <c r="J135" s="57">
        <v>0</v>
      </c>
      <c r="K135" s="57">
        <v>2685.663311304028</v>
      </c>
      <c r="L135" s="57">
        <v>11408.127340052506</v>
      </c>
      <c r="M135" s="57">
        <v>21619.985771530068</v>
      </c>
      <c r="N135" s="57">
        <v>30976.234652503685</v>
      </c>
      <c r="O135" s="57">
        <v>40197.804252379472</v>
      </c>
      <c r="P135" s="57">
        <v>45283.927691486213</v>
      </c>
      <c r="Q135" s="57">
        <v>45981.091028933857</v>
      </c>
      <c r="R135" s="57">
        <v>42732.943661280013</v>
      </c>
      <c r="S135" s="57">
        <v>36244.571236625154</v>
      </c>
      <c r="T135" s="57">
        <v>26737.798453248066</v>
      </c>
      <c r="U135" s="57">
        <v>14973.167133818915</v>
      </c>
      <c r="V135" s="57">
        <v>3739.3306281283226</v>
      </c>
      <c r="W135" s="57">
        <v>0</v>
      </c>
      <c r="X135" s="57">
        <v>0</v>
      </c>
      <c r="Y135" s="57">
        <v>0</v>
      </c>
      <c r="Z135" s="57">
        <v>0</v>
      </c>
      <c r="AA135" s="57">
        <v>0</v>
      </c>
      <c r="AB135" s="62">
        <v>0</v>
      </c>
    </row>
    <row r="136" spans="1:28" x14ac:dyDescent="0.35">
      <c r="A136" s="69"/>
      <c r="B136" s="76">
        <v>50345</v>
      </c>
      <c r="C136" s="56">
        <f t="shared" si="2"/>
        <v>10000000</v>
      </c>
      <c r="D136" s="56">
        <v>30</v>
      </c>
      <c r="E136" s="57">
        <v>0</v>
      </c>
      <c r="F136" s="57">
        <v>0</v>
      </c>
      <c r="G136" s="57">
        <v>0</v>
      </c>
      <c r="H136" s="57">
        <v>0</v>
      </c>
      <c r="I136" s="57">
        <v>0</v>
      </c>
      <c r="J136" s="57">
        <v>0</v>
      </c>
      <c r="K136" s="57">
        <v>2775.1854216808292</v>
      </c>
      <c r="L136" s="57">
        <v>11788.398251387591</v>
      </c>
      <c r="M136" s="57">
        <v>22340.651963914406</v>
      </c>
      <c r="N136" s="57">
        <v>32008.775807587146</v>
      </c>
      <c r="O136" s="57">
        <v>41537.731060792124</v>
      </c>
      <c r="P136" s="57">
        <v>46793.391947869088</v>
      </c>
      <c r="Q136" s="57">
        <v>47513.794063231653</v>
      </c>
      <c r="R136" s="57">
        <v>44157.375116656018</v>
      </c>
      <c r="S136" s="57">
        <v>37452.723611179325</v>
      </c>
      <c r="T136" s="57">
        <v>27629.058401689672</v>
      </c>
      <c r="U136" s="57">
        <v>15472.272704946212</v>
      </c>
      <c r="V136" s="57">
        <v>3863.9749823992665</v>
      </c>
      <c r="W136" s="57">
        <v>0</v>
      </c>
      <c r="X136" s="57">
        <v>0</v>
      </c>
      <c r="Y136" s="57">
        <v>0</v>
      </c>
      <c r="Z136" s="57">
        <v>0</v>
      </c>
      <c r="AA136" s="57">
        <v>0</v>
      </c>
      <c r="AB136" s="62">
        <v>0</v>
      </c>
    </row>
    <row r="137" spans="1:28" ht="15" thickBot="1" x14ac:dyDescent="0.4">
      <c r="A137" s="70"/>
      <c r="B137" s="77">
        <v>50375</v>
      </c>
      <c r="C137" s="58">
        <f t="shared" si="2"/>
        <v>9999999.9999999981</v>
      </c>
      <c r="D137" s="58">
        <v>31</v>
      </c>
      <c r="E137" s="59">
        <v>0</v>
      </c>
      <c r="F137" s="59">
        <v>0</v>
      </c>
      <c r="G137" s="59">
        <v>0</v>
      </c>
      <c r="H137" s="59">
        <v>0</v>
      </c>
      <c r="I137" s="59">
        <v>0</v>
      </c>
      <c r="J137" s="59">
        <v>0</v>
      </c>
      <c r="K137" s="59">
        <v>2685.663311304028</v>
      </c>
      <c r="L137" s="59">
        <v>11408.127340052506</v>
      </c>
      <c r="M137" s="59">
        <v>21619.985771530068</v>
      </c>
      <c r="N137" s="59">
        <v>30976.234652503685</v>
      </c>
      <c r="O137" s="59">
        <v>40197.804252379472</v>
      </c>
      <c r="P137" s="59">
        <v>45283.927691486213</v>
      </c>
      <c r="Q137" s="59">
        <v>45981.091028933857</v>
      </c>
      <c r="R137" s="59">
        <v>42732.943661280013</v>
      </c>
      <c r="S137" s="59">
        <v>36244.571236625154</v>
      </c>
      <c r="T137" s="59">
        <v>26737.798453248066</v>
      </c>
      <c r="U137" s="59">
        <v>14973.167133818915</v>
      </c>
      <c r="V137" s="59">
        <v>3739.3306281283226</v>
      </c>
      <c r="W137" s="59">
        <v>0</v>
      </c>
      <c r="X137" s="59">
        <v>0</v>
      </c>
      <c r="Y137" s="59">
        <v>0</v>
      </c>
      <c r="Z137" s="59">
        <v>0</v>
      </c>
      <c r="AA137" s="59">
        <v>0</v>
      </c>
      <c r="AB137" s="63">
        <v>0</v>
      </c>
    </row>
    <row r="138" spans="1:28" x14ac:dyDescent="0.35">
      <c r="A138" s="68">
        <v>2038</v>
      </c>
      <c r="B138" s="53">
        <v>50406</v>
      </c>
      <c r="C138" s="54">
        <f t="shared" si="2"/>
        <v>9999999.9999999981</v>
      </c>
      <c r="D138" s="54">
        <v>31</v>
      </c>
      <c r="E138" s="55">
        <v>0</v>
      </c>
      <c r="F138" s="55">
        <v>0</v>
      </c>
      <c r="G138" s="55">
        <v>0</v>
      </c>
      <c r="H138" s="55">
        <v>0</v>
      </c>
      <c r="I138" s="55">
        <v>0</v>
      </c>
      <c r="J138" s="55">
        <v>0</v>
      </c>
      <c r="K138" s="55">
        <v>2685.663311304028</v>
      </c>
      <c r="L138" s="55">
        <v>11408.127340052506</v>
      </c>
      <c r="M138" s="55">
        <v>21619.985771530068</v>
      </c>
      <c r="N138" s="55">
        <v>30976.234652503685</v>
      </c>
      <c r="O138" s="55">
        <v>40197.804252379472</v>
      </c>
      <c r="P138" s="55">
        <v>45283.927691486213</v>
      </c>
      <c r="Q138" s="55">
        <v>45981.091028933857</v>
      </c>
      <c r="R138" s="55">
        <v>42732.943661280013</v>
      </c>
      <c r="S138" s="55">
        <v>36244.571236625154</v>
      </c>
      <c r="T138" s="55">
        <v>26737.798453248066</v>
      </c>
      <c r="U138" s="55">
        <v>14973.167133818915</v>
      </c>
      <c r="V138" s="55">
        <v>3739.3306281283226</v>
      </c>
      <c r="W138" s="55">
        <v>0</v>
      </c>
      <c r="X138" s="55">
        <v>0</v>
      </c>
      <c r="Y138" s="55">
        <v>0</v>
      </c>
      <c r="Z138" s="55">
        <v>0</v>
      </c>
      <c r="AA138" s="55">
        <v>0</v>
      </c>
      <c r="AB138" s="61">
        <v>0</v>
      </c>
    </row>
    <row r="139" spans="1:28" x14ac:dyDescent="0.35">
      <c r="A139" s="69"/>
      <c r="B139" s="76">
        <v>50437</v>
      </c>
      <c r="C139" s="56">
        <f t="shared" si="2"/>
        <v>10000000</v>
      </c>
      <c r="D139" s="56">
        <v>28</v>
      </c>
      <c r="E139" s="57">
        <v>0</v>
      </c>
      <c r="F139" s="57">
        <v>0</v>
      </c>
      <c r="G139" s="57">
        <v>0</v>
      </c>
      <c r="H139" s="57">
        <v>0</v>
      </c>
      <c r="I139" s="57">
        <v>0</v>
      </c>
      <c r="J139" s="57">
        <v>0</v>
      </c>
      <c r="K139" s="57">
        <v>2973.4129518008881</v>
      </c>
      <c r="L139" s="57">
        <v>12630.426697915274</v>
      </c>
      <c r="M139" s="57">
        <v>23936.412818479719</v>
      </c>
      <c r="N139" s="57">
        <v>34295.116936700506</v>
      </c>
      <c r="O139" s="57">
        <v>44504.711850848704</v>
      </c>
      <c r="P139" s="57">
        <v>50135.777087002592</v>
      </c>
      <c r="Q139" s="57">
        <v>50907.636496319632</v>
      </c>
      <c r="R139" s="57">
        <v>47311.473339274307</v>
      </c>
      <c r="S139" s="57">
        <v>40127.918154834988</v>
      </c>
      <c r="T139" s="57">
        <v>29602.562573238931</v>
      </c>
      <c r="U139" s="57">
        <v>16577.435041013799</v>
      </c>
      <c r="V139" s="57">
        <v>4139.9731954277859</v>
      </c>
      <c r="W139" s="57">
        <v>0</v>
      </c>
      <c r="X139" s="57">
        <v>0</v>
      </c>
      <c r="Y139" s="57">
        <v>0</v>
      </c>
      <c r="Z139" s="57">
        <v>0</v>
      </c>
      <c r="AA139" s="57">
        <v>0</v>
      </c>
      <c r="AB139" s="62">
        <v>0</v>
      </c>
    </row>
    <row r="140" spans="1:28" x14ac:dyDescent="0.35">
      <c r="A140" s="69"/>
      <c r="B140" s="76">
        <v>50465</v>
      </c>
      <c r="C140" s="56">
        <f t="shared" si="2"/>
        <v>9999999.9999999981</v>
      </c>
      <c r="D140" s="56">
        <v>31</v>
      </c>
      <c r="E140" s="57">
        <v>0</v>
      </c>
      <c r="F140" s="57">
        <v>0</v>
      </c>
      <c r="G140" s="57">
        <v>0</v>
      </c>
      <c r="H140" s="57">
        <v>0</v>
      </c>
      <c r="I140" s="57">
        <v>0</v>
      </c>
      <c r="J140" s="57">
        <v>0</v>
      </c>
      <c r="K140" s="57">
        <v>2685.663311304028</v>
      </c>
      <c r="L140" s="57">
        <v>11408.127340052506</v>
      </c>
      <c r="M140" s="57">
        <v>21619.985771530068</v>
      </c>
      <c r="N140" s="57">
        <v>30976.234652503685</v>
      </c>
      <c r="O140" s="57">
        <v>40197.804252379472</v>
      </c>
      <c r="P140" s="57">
        <v>45283.927691486213</v>
      </c>
      <c r="Q140" s="57">
        <v>45981.091028933857</v>
      </c>
      <c r="R140" s="57">
        <v>42732.943661280013</v>
      </c>
      <c r="S140" s="57">
        <v>36244.571236625154</v>
      </c>
      <c r="T140" s="57">
        <v>26737.798453248066</v>
      </c>
      <c r="U140" s="57">
        <v>14973.167133818915</v>
      </c>
      <c r="V140" s="57">
        <v>3739.3306281283226</v>
      </c>
      <c r="W140" s="57">
        <v>0</v>
      </c>
      <c r="X140" s="57">
        <v>0</v>
      </c>
      <c r="Y140" s="57">
        <v>0</v>
      </c>
      <c r="Z140" s="57">
        <v>0</v>
      </c>
      <c r="AA140" s="57">
        <v>0</v>
      </c>
      <c r="AB140" s="62">
        <v>0</v>
      </c>
    </row>
    <row r="141" spans="1:28" x14ac:dyDescent="0.35">
      <c r="A141" s="69"/>
      <c r="B141" s="76">
        <v>50496</v>
      </c>
      <c r="C141" s="56">
        <f t="shared" si="2"/>
        <v>10000000</v>
      </c>
      <c r="D141" s="56">
        <v>30</v>
      </c>
      <c r="E141" s="57">
        <v>0</v>
      </c>
      <c r="F141" s="57">
        <v>0</v>
      </c>
      <c r="G141" s="57">
        <v>0</v>
      </c>
      <c r="H141" s="57">
        <v>0</v>
      </c>
      <c r="I141" s="57">
        <v>0</v>
      </c>
      <c r="J141" s="57">
        <v>0</v>
      </c>
      <c r="K141" s="57">
        <v>2775.1854216808292</v>
      </c>
      <c r="L141" s="57">
        <v>11788.398251387591</v>
      </c>
      <c r="M141" s="57">
        <v>22340.651963914406</v>
      </c>
      <c r="N141" s="57">
        <v>32008.775807587146</v>
      </c>
      <c r="O141" s="57">
        <v>41537.731060792124</v>
      </c>
      <c r="P141" s="57">
        <v>46793.391947869088</v>
      </c>
      <c r="Q141" s="57">
        <v>47513.794063231653</v>
      </c>
      <c r="R141" s="57">
        <v>44157.375116656018</v>
      </c>
      <c r="S141" s="57">
        <v>37452.723611179325</v>
      </c>
      <c r="T141" s="57">
        <v>27629.058401689672</v>
      </c>
      <c r="U141" s="57">
        <v>15472.272704946212</v>
      </c>
      <c r="V141" s="57">
        <v>3863.9749823992665</v>
      </c>
      <c r="W141" s="57">
        <v>0</v>
      </c>
      <c r="X141" s="57">
        <v>0</v>
      </c>
      <c r="Y141" s="57">
        <v>0</v>
      </c>
      <c r="Z141" s="57">
        <v>0</v>
      </c>
      <c r="AA141" s="57">
        <v>0</v>
      </c>
      <c r="AB141" s="62">
        <v>0</v>
      </c>
    </row>
    <row r="142" spans="1:28" x14ac:dyDescent="0.35">
      <c r="A142" s="69"/>
      <c r="B142" s="76">
        <v>50526</v>
      </c>
      <c r="C142" s="56">
        <f t="shared" si="2"/>
        <v>9999999.9999999981</v>
      </c>
      <c r="D142" s="56">
        <v>31</v>
      </c>
      <c r="E142" s="57">
        <v>0</v>
      </c>
      <c r="F142" s="57">
        <v>0</v>
      </c>
      <c r="G142" s="57">
        <v>0</v>
      </c>
      <c r="H142" s="57">
        <v>0</v>
      </c>
      <c r="I142" s="57">
        <v>0</v>
      </c>
      <c r="J142" s="57">
        <v>0</v>
      </c>
      <c r="K142" s="57">
        <v>2685.663311304028</v>
      </c>
      <c r="L142" s="57">
        <v>11408.127340052506</v>
      </c>
      <c r="M142" s="57">
        <v>21619.985771530068</v>
      </c>
      <c r="N142" s="57">
        <v>30976.234652503685</v>
      </c>
      <c r="O142" s="57">
        <v>40197.804252379472</v>
      </c>
      <c r="P142" s="57">
        <v>45283.927691486213</v>
      </c>
      <c r="Q142" s="57">
        <v>45981.091028933857</v>
      </c>
      <c r="R142" s="57">
        <v>42732.943661280013</v>
      </c>
      <c r="S142" s="57">
        <v>36244.571236625154</v>
      </c>
      <c r="T142" s="57">
        <v>26737.798453248066</v>
      </c>
      <c r="U142" s="57">
        <v>14973.167133818915</v>
      </c>
      <c r="V142" s="57">
        <v>3739.3306281283226</v>
      </c>
      <c r="W142" s="57">
        <v>0</v>
      </c>
      <c r="X142" s="57">
        <v>0</v>
      </c>
      <c r="Y142" s="57">
        <v>0</v>
      </c>
      <c r="Z142" s="57">
        <v>0</v>
      </c>
      <c r="AA142" s="57">
        <v>0</v>
      </c>
      <c r="AB142" s="62">
        <v>0</v>
      </c>
    </row>
    <row r="143" spans="1:28" x14ac:dyDescent="0.35">
      <c r="A143" s="69"/>
      <c r="B143" s="76">
        <v>50557</v>
      </c>
      <c r="C143" s="56">
        <f t="shared" si="2"/>
        <v>10000000</v>
      </c>
      <c r="D143" s="56">
        <v>30</v>
      </c>
      <c r="E143" s="57">
        <v>0</v>
      </c>
      <c r="F143" s="57">
        <v>0</v>
      </c>
      <c r="G143" s="57">
        <v>0</v>
      </c>
      <c r="H143" s="57">
        <v>0</v>
      </c>
      <c r="I143" s="57">
        <v>0</v>
      </c>
      <c r="J143" s="57">
        <v>0</v>
      </c>
      <c r="K143" s="57">
        <v>2775.1854216808292</v>
      </c>
      <c r="L143" s="57">
        <v>11788.398251387591</v>
      </c>
      <c r="M143" s="57">
        <v>22340.651963914406</v>
      </c>
      <c r="N143" s="57">
        <v>32008.775807587146</v>
      </c>
      <c r="O143" s="57">
        <v>41537.731060792124</v>
      </c>
      <c r="P143" s="57">
        <v>46793.391947869088</v>
      </c>
      <c r="Q143" s="57">
        <v>47513.794063231653</v>
      </c>
      <c r="R143" s="57">
        <v>44157.375116656018</v>
      </c>
      <c r="S143" s="57">
        <v>37452.723611179325</v>
      </c>
      <c r="T143" s="57">
        <v>27629.058401689672</v>
      </c>
      <c r="U143" s="57">
        <v>15472.272704946212</v>
      </c>
      <c r="V143" s="57">
        <v>3863.9749823992665</v>
      </c>
      <c r="W143" s="57">
        <v>0</v>
      </c>
      <c r="X143" s="57">
        <v>0</v>
      </c>
      <c r="Y143" s="57">
        <v>0</v>
      </c>
      <c r="Z143" s="57">
        <v>0</v>
      </c>
      <c r="AA143" s="57">
        <v>0</v>
      </c>
      <c r="AB143" s="62">
        <v>0</v>
      </c>
    </row>
    <row r="144" spans="1:28" x14ac:dyDescent="0.35">
      <c r="A144" s="69"/>
      <c r="B144" s="76">
        <v>50587</v>
      </c>
      <c r="C144" s="56">
        <f t="shared" si="2"/>
        <v>9999999.9999999981</v>
      </c>
      <c r="D144" s="56">
        <v>31</v>
      </c>
      <c r="E144" s="57">
        <v>0</v>
      </c>
      <c r="F144" s="57">
        <v>0</v>
      </c>
      <c r="G144" s="57">
        <v>0</v>
      </c>
      <c r="H144" s="57">
        <v>0</v>
      </c>
      <c r="I144" s="57">
        <v>0</v>
      </c>
      <c r="J144" s="57">
        <v>0</v>
      </c>
      <c r="K144" s="57">
        <v>2685.663311304028</v>
      </c>
      <c r="L144" s="57">
        <v>11408.127340052506</v>
      </c>
      <c r="M144" s="57">
        <v>21619.985771530068</v>
      </c>
      <c r="N144" s="57">
        <v>30976.234652503685</v>
      </c>
      <c r="O144" s="57">
        <v>40197.804252379472</v>
      </c>
      <c r="P144" s="57">
        <v>45283.927691486213</v>
      </c>
      <c r="Q144" s="57">
        <v>45981.091028933857</v>
      </c>
      <c r="R144" s="57">
        <v>42732.943661280013</v>
      </c>
      <c r="S144" s="57">
        <v>36244.571236625154</v>
      </c>
      <c r="T144" s="57">
        <v>26737.798453248066</v>
      </c>
      <c r="U144" s="57">
        <v>14973.167133818915</v>
      </c>
      <c r="V144" s="57">
        <v>3739.3306281283226</v>
      </c>
      <c r="W144" s="57">
        <v>0</v>
      </c>
      <c r="X144" s="57">
        <v>0</v>
      </c>
      <c r="Y144" s="57">
        <v>0</v>
      </c>
      <c r="Z144" s="57">
        <v>0</v>
      </c>
      <c r="AA144" s="57">
        <v>0</v>
      </c>
      <c r="AB144" s="62">
        <v>0</v>
      </c>
    </row>
    <row r="145" spans="1:28" x14ac:dyDescent="0.35">
      <c r="A145" s="69"/>
      <c r="B145" s="76">
        <v>50618</v>
      </c>
      <c r="C145" s="56">
        <f t="shared" si="2"/>
        <v>9999999.9999999981</v>
      </c>
      <c r="D145" s="56">
        <v>31</v>
      </c>
      <c r="E145" s="57">
        <v>0</v>
      </c>
      <c r="F145" s="57">
        <v>0</v>
      </c>
      <c r="G145" s="57">
        <v>0</v>
      </c>
      <c r="H145" s="57">
        <v>0</v>
      </c>
      <c r="I145" s="57">
        <v>0</v>
      </c>
      <c r="J145" s="57">
        <v>0</v>
      </c>
      <c r="K145" s="57">
        <v>2685.663311304028</v>
      </c>
      <c r="L145" s="57">
        <v>11408.127340052506</v>
      </c>
      <c r="M145" s="57">
        <v>21619.985771530068</v>
      </c>
      <c r="N145" s="57">
        <v>30976.234652503685</v>
      </c>
      <c r="O145" s="57">
        <v>40197.804252379472</v>
      </c>
      <c r="P145" s="57">
        <v>45283.927691486213</v>
      </c>
      <c r="Q145" s="57">
        <v>45981.091028933857</v>
      </c>
      <c r="R145" s="57">
        <v>42732.943661280013</v>
      </c>
      <c r="S145" s="57">
        <v>36244.571236625154</v>
      </c>
      <c r="T145" s="57">
        <v>26737.798453248066</v>
      </c>
      <c r="U145" s="57">
        <v>14973.167133818915</v>
      </c>
      <c r="V145" s="57">
        <v>3739.3306281283226</v>
      </c>
      <c r="W145" s="57">
        <v>0</v>
      </c>
      <c r="X145" s="57">
        <v>0</v>
      </c>
      <c r="Y145" s="57">
        <v>0</v>
      </c>
      <c r="Z145" s="57">
        <v>0</v>
      </c>
      <c r="AA145" s="57">
        <v>0</v>
      </c>
      <c r="AB145" s="62">
        <v>0</v>
      </c>
    </row>
    <row r="146" spans="1:28" x14ac:dyDescent="0.35">
      <c r="A146" s="69"/>
      <c r="B146" s="76">
        <v>50649</v>
      </c>
      <c r="C146" s="56">
        <f t="shared" si="2"/>
        <v>10000000</v>
      </c>
      <c r="D146" s="56">
        <v>30</v>
      </c>
      <c r="E146" s="57">
        <v>0</v>
      </c>
      <c r="F146" s="57">
        <v>0</v>
      </c>
      <c r="G146" s="57">
        <v>0</v>
      </c>
      <c r="H146" s="57">
        <v>0</v>
      </c>
      <c r="I146" s="57">
        <v>0</v>
      </c>
      <c r="J146" s="57">
        <v>0</v>
      </c>
      <c r="K146" s="57">
        <v>2775.1854216808292</v>
      </c>
      <c r="L146" s="57">
        <v>11788.398251387591</v>
      </c>
      <c r="M146" s="57">
        <v>22340.651963914406</v>
      </c>
      <c r="N146" s="57">
        <v>32008.775807587146</v>
      </c>
      <c r="O146" s="57">
        <v>41537.731060792124</v>
      </c>
      <c r="P146" s="57">
        <v>46793.391947869088</v>
      </c>
      <c r="Q146" s="57">
        <v>47513.794063231653</v>
      </c>
      <c r="R146" s="57">
        <v>44157.375116656018</v>
      </c>
      <c r="S146" s="57">
        <v>37452.723611179325</v>
      </c>
      <c r="T146" s="57">
        <v>27629.058401689672</v>
      </c>
      <c r="U146" s="57">
        <v>15472.272704946212</v>
      </c>
      <c r="V146" s="57">
        <v>3863.9749823992665</v>
      </c>
      <c r="W146" s="57">
        <v>0</v>
      </c>
      <c r="X146" s="57">
        <v>0</v>
      </c>
      <c r="Y146" s="57">
        <v>0</v>
      </c>
      <c r="Z146" s="57">
        <v>0</v>
      </c>
      <c r="AA146" s="57">
        <v>0</v>
      </c>
      <c r="AB146" s="62">
        <v>0</v>
      </c>
    </row>
    <row r="147" spans="1:28" x14ac:dyDescent="0.35">
      <c r="A147" s="69"/>
      <c r="B147" s="76">
        <v>50679</v>
      </c>
      <c r="C147" s="56">
        <f t="shared" si="2"/>
        <v>9999999.9999999981</v>
      </c>
      <c r="D147" s="56">
        <v>31</v>
      </c>
      <c r="E147" s="57">
        <v>0</v>
      </c>
      <c r="F147" s="57">
        <v>0</v>
      </c>
      <c r="G147" s="57">
        <v>0</v>
      </c>
      <c r="H147" s="57">
        <v>0</v>
      </c>
      <c r="I147" s="57">
        <v>0</v>
      </c>
      <c r="J147" s="57">
        <v>0</v>
      </c>
      <c r="K147" s="57">
        <v>2685.663311304028</v>
      </c>
      <c r="L147" s="57">
        <v>11408.127340052506</v>
      </c>
      <c r="M147" s="57">
        <v>21619.985771530068</v>
      </c>
      <c r="N147" s="57">
        <v>30976.234652503685</v>
      </c>
      <c r="O147" s="57">
        <v>40197.804252379472</v>
      </c>
      <c r="P147" s="57">
        <v>45283.927691486213</v>
      </c>
      <c r="Q147" s="57">
        <v>45981.091028933857</v>
      </c>
      <c r="R147" s="57">
        <v>42732.943661280013</v>
      </c>
      <c r="S147" s="57">
        <v>36244.571236625154</v>
      </c>
      <c r="T147" s="57">
        <v>26737.798453248066</v>
      </c>
      <c r="U147" s="57">
        <v>14973.167133818915</v>
      </c>
      <c r="V147" s="57">
        <v>3739.3306281283226</v>
      </c>
      <c r="W147" s="57">
        <v>0</v>
      </c>
      <c r="X147" s="57">
        <v>0</v>
      </c>
      <c r="Y147" s="57">
        <v>0</v>
      </c>
      <c r="Z147" s="57">
        <v>0</v>
      </c>
      <c r="AA147" s="57">
        <v>0</v>
      </c>
      <c r="AB147" s="62">
        <v>0</v>
      </c>
    </row>
    <row r="148" spans="1:28" x14ac:dyDescent="0.35">
      <c r="A148" s="69"/>
      <c r="B148" s="76">
        <v>50710</v>
      </c>
      <c r="C148" s="56">
        <f t="shared" si="2"/>
        <v>10000000</v>
      </c>
      <c r="D148" s="56">
        <v>30</v>
      </c>
      <c r="E148" s="57">
        <v>0</v>
      </c>
      <c r="F148" s="57">
        <v>0</v>
      </c>
      <c r="G148" s="57">
        <v>0</v>
      </c>
      <c r="H148" s="57">
        <v>0</v>
      </c>
      <c r="I148" s="57">
        <v>0</v>
      </c>
      <c r="J148" s="57">
        <v>0</v>
      </c>
      <c r="K148" s="57">
        <v>2775.1854216808292</v>
      </c>
      <c r="L148" s="57">
        <v>11788.398251387591</v>
      </c>
      <c r="M148" s="57">
        <v>22340.651963914406</v>
      </c>
      <c r="N148" s="57">
        <v>32008.775807587146</v>
      </c>
      <c r="O148" s="57">
        <v>41537.731060792124</v>
      </c>
      <c r="P148" s="57">
        <v>46793.391947869088</v>
      </c>
      <c r="Q148" s="57">
        <v>47513.794063231653</v>
      </c>
      <c r="R148" s="57">
        <v>44157.375116656018</v>
      </c>
      <c r="S148" s="57">
        <v>37452.723611179325</v>
      </c>
      <c r="T148" s="57">
        <v>27629.058401689672</v>
      </c>
      <c r="U148" s="57">
        <v>15472.272704946212</v>
      </c>
      <c r="V148" s="57">
        <v>3863.9749823992665</v>
      </c>
      <c r="W148" s="57">
        <v>0</v>
      </c>
      <c r="X148" s="57">
        <v>0</v>
      </c>
      <c r="Y148" s="57">
        <v>0</v>
      </c>
      <c r="Z148" s="57">
        <v>0</v>
      </c>
      <c r="AA148" s="57">
        <v>0</v>
      </c>
      <c r="AB148" s="62">
        <v>0</v>
      </c>
    </row>
    <row r="149" spans="1:28" ht="15" thickBot="1" x14ac:dyDescent="0.4">
      <c r="A149" s="70"/>
      <c r="B149" s="77">
        <v>50740</v>
      </c>
      <c r="C149" s="58">
        <f t="shared" si="2"/>
        <v>9999999.9999999981</v>
      </c>
      <c r="D149" s="58">
        <v>31</v>
      </c>
      <c r="E149" s="59">
        <v>0</v>
      </c>
      <c r="F149" s="59">
        <v>0</v>
      </c>
      <c r="G149" s="59">
        <v>0</v>
      </c>
      <c r="H149" s="59">
        <v>0</v>
      </c>
      <c r="I149" s="59">
        <v>0</v>
      </c>
      <c r="J149" s="59">
        <v>0</v>
      </c>
      <c r="K149" s="59">
        <v>2685.663311304028</v>
      </c>
      <c r="L149" s="59">
        <v>11408.127340052506</v>
      </c>
      <c r="M149" s="59">
        <v>21619.985771530068</v>
      </c>
      <c r="N149" s="59">
        <v>30976.234652503685</v>
      </c>
      <c r="O149" s="59">
        <v>40197.804252379472</v>
      </c>
      <c r="P149" s="59">
        <v>45283.927691486213</v>
      </c>
      <c r="Q149" s="59">
        <v>45981.091028933857</v>
      </c>
      <c r="R149" s="59">
        <v>42732.943661280013</v>
      </c>
      <c r="S149" s="59">
        <v>36244.571236625154</v>
      </c>
      <c r="T149" s="59">
        <v>26737.798453248066</v>
      </c>
      <c r="U149" s="59">
        <v>14973.167133818915</v>
      </c>
      <c r="V149" s="59">
        <v>3739.3306281283226</v>
      </c>
      <c r="W149" s="59">
        <v>0</v>
      </c>
      <c r="X149" s="59">
        <v>0</v>
      </c>
      <c r="Y149" s="59">
        <v>0</v>
      </c>
      <c r="Z149" s="59">
        <v>0</v>
      </c>
      <c r="AA149" s="59">
        <v>0</v>
      </c>
      <c r="AB149" s="63">
        <v>0</v>
      </c>
    </row>
    <row r="150" spans="1:28" x14ac:dyDescent="0.35">
      <c r="A150" s="68">
        <v>2039</v>
      </c>
      <c r="B150" s="53">
        <v>50771</v>
      </c>
      <c r="C150" s="54">
        <f t="shared" si="2"/>
        <v>9999999.9999999981</v>
      </c>
      <c r="D150" s="54">
        <v>31</v>
      </c>
      <c r="E150" s="55">
        <v>0</v>
      </c>
      <c r="F150" s="55">
        <v>0</v>
      </c>
      <c r="G150" s="55">
        <v>0</v>
      </c>
      <c r="H150" s="55">
        <v>0</v>
      </c>
      <c r="I150" s="55">
        <v>0</v>
      </c>
      <c r="J150" s="55">
        <v>0</v>
      </c>
      <c r="K150" s="55">
        <v>2685.663311304028</v>
      </c>
      <c r="L150" s="55">
        <v>11408.127340052506</v>
      </c>
      <c r="M150" s="55">
        <v>21619.985771530068</v>
      </c>
      <c r="N150" s="55">
        <v>30976.234652503685</v>
      </c>
      <c r="O150" s="55">
        <v>40197.804252379472</v>
      </c>
      <c r="P150" s="55">
        <v>45283.927691486213</v>
      </c>
      <c r="Q150" s="55">
        <v>45981.091028933857</v>
      </c>
      <c r="R150" s="55">
        <v>42732.943661280013</v>
      </c>
      <c r="S150" s="55">
        <v>36244.571236625154</v>
      </c>
      <c r="T150" s="55">
        <v>26737.798453248066</v>
      </c>
      <c r="U150" s="55">
        <v>14973.167133818915</v>
      </c>
      <c r="V150" s="55">
        <v>3739.3306281283226</v>
      </c>
      <c r="W150" s="55">
        <v>0</v>
      </c>
      <c r="X150" s="55">
        <v>0</v>
      </c>
      <c r="Y150" s="55">
        <v>0</v>
      </c>
      <c r="Z150" s="55">
        <v>0</v>
      </c>
      <c r="AA150" s="55">
        <v>0</v>
      </c>
      <c r="AB150" s="61">
        <v>0</v>
      </c>
    </row>
    <row r="151" spans="1:28" x14ac:dyDescent="0.35">
      <c r="A151" s="69"/>
      <c r="B151" s="76">
        <v>50802</v>
      </c>
      <c r="C151" s="56">
        <f t="shared" si="2"/>
        <v>10000000</v>
      </c>
      <c r="D151" s="56">
        <v>28</v>
      </c>
      <c r="E151" s="57">
        <v>0</v>
      </c>
      <c r="F151" s="57">
        <v>0</v>
      </c>
      <c r="G151" s="57">
        <v>0</v>
      </c>
      <c r="H151" s="57">
        <v>0</v>
      </c>
      <c r="I151" s="57">
        <v>0</v>
      </c>
      <c r="J151" s="57">
        <v>0</v>
      </c>
      <c r="K151" s="57">
        <v>2973.4129518008881</v>
      </c>
      <c r="L151" s="57">
        <v>12630.426697915274</v>
      </c>
      <c r="M151" s="57">
        <v>23936.412818479719</v>
      </c>
      <c r="N151" s="57">
        <v>34295.116936700506</v>
      </c>
      <c r="O151" s="57">
        <v>44504.711850848704</v>
      </c>
      <c r="P151" s="57">
        <v>50135.777087002592</v>
      </c>
      <c r="Q151" s="57">
        <v>50907.636496319632</v>
      </c>
      <c r="R151" s="57">
        <v>47311.473339274307</v>
      </c>
      <c r="S151" s="57">
        <v>40127.918154834988</v>
      </c>
      <c r="T151" s="57">
        <v>29602.562573238931</v>
      </c>
      <c r="U151" s="57">
        <v>16577.435041013799</v>
      </c>
      <c r="V151" s="57">
        <v>4139.9731954277859</v>
      </c>
      <c r="W151" s="57">
        <v>0</v>
      </c>
      <c r="X151" s="57">
        <v>0</v>
      </c>
      <c r="Y151" s="57">
        <v>0</v>
      </c>
      <c r="Z151" s="57">
        <v>0</v>
      </c>
      <c r="AA151" s="57">
        <v>0</v>
      </c>
      <c r="AB151" s="62">
        <v>0</v>
      </c>
    </row>
    <row r="152" spans="1:28" x14ac:dyDescent="0.35">
      <c r="A152" s="69"/>
      <c r="B152" s="76">
        <v>50830</v>
      </c>
      <c r="C152" s="56">
        <f t="shared" si="2"/>
        <v>9999999.9999999981</v>
      </c>
      <c r="D152" s="56">
        <v>31</v>
      </c>
      <c r="E152" s="57">
        <v>0</v>
      </c>
      <c r="F152" s="57">
        <v>0</v>
      </c>
      <c r="G152" s="57">
        <v>0</v>
      </c>
      <c r="H152" s="57">
        <v>0</v>
      </c>
      <c r="I152" s="57">
        <v>0</v>
      </c>
      <c r="J152" s="57">
        <v>0</v>
      </c>
      <c r="K152" s="57">
        <v>2685.663311304028</v>
      </c>
      <c r="L152" s="57">
        <v>11408.127340052506</v>
      </c>
      <c r="M152" s="57">
        <v>21619.985771530068</v>
      </c>
      <c r="N152" s="57">
        <v>30976.234652503685</v>
      </c>
      <c r="O152" s="57">
        <v>40197.804252379472</v>
      </c>
      <c r="P152" s="57">
        <v>45283.927691486213</v>
      </c>
      <c r="Q152" s="57">
        <v>45981.091028933857</v>
      </c>
      <c r="R152" s="57">
        <v>42732.943661280013</v>
      </c>
      <c r="S152" s="57">
        <v>36244.571236625154</v>
      </c>
      <c r="T152" s="57">
        <v>26737.798453248066</v>
      </c>
      <c r="U152" s="57">
        <v>14973.167133818915</v>
      </c>
      <c r="V152" s="57">
        <v>3739.3306281283226</v>
      </c>
      <c r="W152" s="57">
        <v>0</v>
      </c>
      <c r="X152" s="57">
        <v>0</v>
      </c>
      <c r="Y152" s="57">
        <v>0</v>
      </c>
      <c r="Z152" s="57">
        <v>0</v>
      </c>
      <c r="AA152" s="57">
        <v>0</v>
      </c>
      <c r="AB152" s="62">
        <v>0</v>
      </c>
    </row>
    <row r="153" spans="1:28" x14ac:dyDescent="0.35">
      <c r="A153" s="69"/>
      <c r="B153" s="76">
        <v>50861</v>
      </c>
      <c r="C153" s="56">
        <f t="shared" si="2"/>
        <v>10000000</v>
      </c>
      <c r="D153" s="56">
        <v>30</v>
      </c>
      <c r="E153" s="57">
        <v>0</v>
      </c>
      <c r="F153" s="57">
        <v>0</v>
      </c>
      <c r="G153" s="57">
        <v>0</v>
      </c>
      <c r="H153" s="57">
        <v>0</v>
      </c>
      <c r="I153" s="57">
        <v>0</v>
      </c>
      <c r="J153" s="57">
        <v>0</v>
      </c>
      <c r="K153" s="57">
        <v>2775.1854216808292</v>
      </c>
      <c r="L153" s="57">
        <v>11788.398251387591</v>
      </c>
      <c r="M153" s="57">
        <v>22340.651963914406</v>
      </c>
      <c r="N153" s="57">
        <v>32008.775807587146</v>
      </c>
      <c r="O153" s="57">
        <v>41537.731060792124</v>
      </c>
      <c r="P153" s="57">
        <v>46793.391947869088</v>
      </c>
      <c r="Q153" s="57">
        <v>47513.794063231653</v>
      </c>
      <c r="R153" s="57">
        <v>44157.375116656018</v>
      </c>
      <c r="S153" s="57">
        <v>37452.723611179325</v>
      </c>
      <c r="T153" s="57">
        <v>27629.058401689672</v>
      </c>
      <c r="U153" s="57">
        <v>15472.272704946212</v>
      </c>
      <c r="V153" s="57">
        <v>3863.9749823992665</v>
      </c>
      <c r="W153" s="57">
        <v>0</v>
      </c>
      <c r="X153" s="57">
        <v>0</v>
      </c>
      <c r="Y153" s="57">
        <v>0</v>
      </c>
      <c r="Z153" s="57">
        <v>0</v>
      </c>
      <c r="AA153" s="57">
        <v>0</v>
      </c>
      <c r="AB153" s="62">
        <v>0</v>
      </c>
    </row>
    <row r="154" spans="1:28" x14ac:dyDescent="0.35">
      <c r="A154" s="69"/>
      <c r="B154" s="76">
        <v>50891</v>
      </c>
      <c r="C154" s="56">
        <f t="shared" si="2"/>
        <v>9999999.9999999981</v>
      </c>
      <c r="D154" s="56">
        <v>31</v>
      </c>
      <c r="E154" s="57">
        <v>0</v>
      </c>
      <c r="F154" s="57">
        <v>0</v>
      </c>
      <c r="G154" s="57">
        <v>0</v>
      </c>
      <c r="H154" s="57">
        <v>0</v>
      </c>
      <c r="I154" s="57">
        <v>0</v>
      </c>
      <c r="J154" s="57">
        <v>0</v>
      </c>
      <c r="K154" s="57">
        <v>2685.663311304028</v>
      </c>
      <c r="L154" s="57">
        <v>11408.127340052506</v>
      </c>
      <c r="M154" s="57">
        <v>21619.985771530068</v>
      </c>
      <c r="N154" s="57">
        <v>30976.234652503685</v>
      </c>
      <c r="O154" s="57">
        <v>40197.804252379472</v>
      </c>
      <c r="P154" s="57">
        <v>45283.927691486213</v>
      </c>
      <c r="Q154" s="57">
        <v>45981.091028933857</v>
      </c>
      <c r="R154" s="57">
        <v>42732.943661280013</v>
      </c>
      <c r="S154" s="57">
        <v>36244.571236625154</v>
      </c>
      <c r="T154" s="57">
        <v>26737.798453248066</v>
      </c>
      <c r="U154" s="57">
        <v>14973.167133818915</v>
      </c>
      <c r="V154" s="57">
        <v>3739.3306281283226</v>
      </c>
      <c r="W154" s="57">
        <v>0</v>
      </c>
      <c r="X154" s="57">
        <v>0</v>
      </c>
      <c r="Y154" s="57">
        <v>0</v>
      </c>
      <c r="Z154" s="57">
        <v>0</v>
      </c>
      <c r="AA154" s="57">
        <v>0</v>
      </c>
      <c r="AB154" s="62">
        <v>0</v>
      </c>
    </row>
    <row r="155" spans="1:28" x14ac:dyDescent="0.35">
      <c r="A155" s="69"/>
      <c r="B155" s="76">
        <v>50922</v>
      </c>
      <c r="C155" s="56">
        <f t="shared" ref="C155:C173" si="3">SUM(K155:V155)*D155</f>
        <v>10000000</v>
      </c>
      <c r="D155" s="56">
        <v>30</v>
      </c>
      <c r="E155" s="57">
        <v>0</v>
      </c>
      <c r="F155" s="57">
        <v>0</v>
      </c>
      <c r="G155" s="57">
        <v>0</v>
      </c>
      <c r="H155" s="57">
        <v>0</v>
      </c>
      <c r="I155" s="57">
        <v>0</v>
      </c>
      <c r="J155" s="57">
        <v>0</v>
      </c>
      <c r="K155" s="57">
        <v>2775.1854216808292</v>
      </c>
      <c r="L155" s="57">
        <v>11788.398251387591</v>
      </c>
      <c r="M155" s="57">
        <v>22340.651963914406</v>
      </c>
      <c r="N155" s="57">
        <v>32008.775807587146</v>
      </c>
      <c r="O155" s="57">
        <v>41537.731060792124</v>
      </c>
      <c r="P155" s="57">
        <v>46793.391947869088</v>
      </c>
      <c r="Q155" s="57">
        <v>47513.794063231653</v>
      </c>
      <c r="R155" s="57">
        <v>44157.375116656018</v>
      </c>
      <c r="S155" s="57">
        <v>37452.723611179325</v>
      </c>
      <c r="T155" s="57">
        <v>27629.058401689672</v>
      </c>
      <c r="U155" s="57">
        <v>15472.272704946212</v>
      </c>
      <c r="V155" s="57">
        <v>3863.9749823992665</v>
      </c>
      <c r="W155" s="57">
        <v>0</v>
      </c>
      <c r="X155" s="57">
        <v>0</v>
      </c>
      <c r="Y155" s="57">
        <v>0</v>
      </c>
      <c r="Z155" s="57">
        <v>0</v>
      </c>
      <c r="AA155" s="57">
        <v>0</v>
      </c>
      <c r="AB155" s="62">
        <v>0</v>
      </c>
    </row>
    <row r="156" spans="1:28" x14ac:dyDescent="0.35">
      <c r="A156" s="69"/>
      <c r="B156" s="76">
        <v>50952</v>
      </c>
      <c r="C156" s="56">
        <f t="shared" si="3"/>
        <v>9999999.9999999981</v>
      </c>
      <c r="D156" s="56">
        <v>31</v>
      </c>
      <c r="E156" s="57">
        <v>0</v>
      </c>
      <c r="F156" s="57">
        <v>0</v>
      </c>
      <c r="G156" s="57">
        <v>0</v>
      </c>
      <c r="H156" s="57">
        <v>0</v>
      </c>
      <c r="I156" s="57">
        <v>0</v>
      </c>
      <c r="J156" s="57">
        <v>0</v>
      </c>
      <c r="K156" s="57">
        <v>2685.663311304028</v>
      </c>
      <c r="L156" s="57">
        <v>11408.127340052506</v>
      </c>
      <c r="M156" s="57">
        <v>21619.985771530068</v>
      </c>
      <c r="N156" s="57">
        <v>30976.234652503685</v>
      </c>
      <c r="O156" s="57">
        <v>40197.804252379472</v>
      </c>
      <c r="P156" s="57">
        <v>45283.927691486213</v>
      </c>
      <c r="Q156" s="57">
        <v>45981.091028933857</v>
      </c>
      <c r="R156" s="57">
        <v>42732.943661280013</v>
      </c>
      <c r="S156" s="57">
        <v>36244.571236625154</v>
      </c>
      <c r="T156" s="57">
        <v>26737.798453248066</v>
      </c>
      <c r="U156" s="57">
        <v>14973.167133818915</v>
      </c>
      <c r="V156" s="57">
        <v>3739.3306281283226</v>
      </c>
      <c r="W156" s="57">
        <v>0</v>
      </c>
      <c r="X156" s="57">
        <v>0</v>
      </c>
      <c r="Y156" s="57">
        <v>0</v>
      </c>
      <c r="Z156" s="57">
        <v>0</v>
      </c>
      <c r="AA156" s="57">
        <v>0</v>
      </c>
      <c r="AB156" s="62">
        <v>0</v>
      </c>
    </row>
    <row r="157" spans="1:28" x14ac:dyDescent="0.35">
      <c r="A157" s="69"/>
      <c r="B157" s="76">
        <v>50983</v>
      </c>
      <c r="C157" s="56">
        <f t="shared" si="3"/>
        <v>9999999.9999999981</v>
      </c>
      <c r="D157" s="56">
        <v>31</v>
      </c>
      <c r="E157" s="57">
        <v>0</v>
      </c>
      <c r="F157" s="57">
        <v>0</v>
      </c>
      <c r="G157" s="57">
        <v>0</v>
      </c>
      <c r="H157" s="57">
        <v>0</v>
      </c>
      <c r="I157" s="57">
        <v>0</v>
      </c>
      <c r="J157" s="57">
        <v>0</v>
      </c>
      <c r="K157" s="57">
        <v>2685.663311304028</v>
      </c>
      <c r="L157" s="57">
        <v>11408.127340052506</v>
      </c>
      <c r="M157" s="57">
        <v>21619.985771530068</v>
      </c>
      <c r="N157" s="57">
        <v>30976.234652503685</v>
      </c>
      <c r="O157" s="57">
        <v>40197.804252379472</v>
      </c>
      <c r="P157" s="57">
        <v>45283.927691486213</v>
      </c>
      <c r="Q157" s="57">
        <v>45981.091028933857</v>
      </c>
      <c r="R157" s="57">
        <v>42732.943661280013</v>
      </c>
      <c r="S157" s="57">
        <v>36244.571236625154</v>
      </c>
      <c r="T157" s="57">
        <v>26737.798453248066</v>
      </c>
      <c r="U157" s="57">
        <v>14973.167133818915</v>
      </c>
      <c r="V157" s="57">
        <v>3739.3306281283226</v>
      </c>
      <c r="W157" s="57">
        <v>0</v>
      </c>
      <c r="X157" s="57">
        <v>0</v>
      </c>
      <c r="Y157" s="57">
        <v>0</v>
      </c>
      <c r="Z157" s="57">
        <v>0</v>
      </c>
      <c r="AA157" s="57">
        <v>0</v>
      </c>
      <c r="AB157" s="62">
        <v>0</v>
      </c>
    </row>
    <row r="158" spans="1:28" x14ac:dyDescent="0.35">
      <c r="A158" s="69"/>
      <c r="B158" s="76">
        <v>51014</v>
      </c>
      <c r="C158" s="56">
        <f t="shared" si="3"/>
        <v>10000000</v>
      </c>
      <c r="D158" s="56">
        <v>30</v>
      </c>
      <c r="E158" s="57">
        <v>0</v>
      </c>
      <c r="F158" s="57">
        <v>0</v>
      </c>
      <c r="G158" s="57">
        <v>0</v>
      </c>
      <c r="H158" s="57">
        <v>0</v>
      </c>
      <c r="I158" s="57">
        <v>0</v>
      </c>
      <c r="J158" s="57">
        <v>0</v>
      </c>
      <c r="K158" s="57">
        <v>2775.1854216808292</v>
      </c>
      <c r="L158" s="57">
        <v>11788.398251387591</v>
      </c>
      <c r="M158" s="57">
        <v>22340.651963914406</v>
      </c>
      <c r="N158" s="57">
        <v>32008.775807587146</v>
      </c>
      <c r="O158" s="57">
        <v>41537.731060792124</v>
      </c>
      <c r="P158" s="57">
        <v>46793.391947869088</v>
      </c>
      <c r="Q158" s="57">
        <v>47513.794063231653</v>
      </c>
      <c r="R158" s="57">
        <v>44157.375116656018</v>
      </c>
      <c r="S158" s="57">
        <v>37452.723611179325</v>
      </c>
      <c r="T158" s="57">
        <v>27629.058401689672</v>
      </c>
      <c r="U158" s="57">
        <v>15472.272704946212</v>
      </c>
      <c r="V158" s="57">
        <v>3863.9749823992665</v>
      </c>
      <c r="W158" s="57">
        <v>0</v>
      </c>
      <c r="X158" s="57">
        <v>0</v>
      </c>
      <c r="Y158" s="57">
        <v>0</v>
      </c>
      <c r="Z158" s="57">
        <v>0</v>
      </c>
      <c r="AA158" s="57">
        <v>0</v>
      </c>
      <c r="AB158" s="62">
        <v>0</v>
      </c>
    </row>
    <row r="159" spans="1:28" x14ac:dyDescent="0.35">
      <c r="A159" s="69"/>
      <c r="B159" s="76">
        <v>51044</v>
      </c>
      <c r="C159" s="56">
        <f t="shared" si="3"/>
        <v>9999999.9999999981</v>
      </c>
      <c r="D159" s="56">
        <v>31</v>
      </c>
      <c r="E159" s="57">
        <v>0</v>
      </c>
      <c r="F159" s="57">
        <v>0</v>
      </c>
      <c r="G159" s="57">
        <v>0</v>
      </c>
      <c r="H159" s="57">
        <v>0</v>
      </c>
      <c r="I159" s="57">
        <v>0</v>
      </c>
      <c r="J159" s="57">
        <v>0</v>
      </c>
      <c r="K159" s="57">
        <v>2685.663311304028</v>
      </c>
      <c r="L159" s="57">
        <v>11408.127340052506</v>
      </c>
      <c r="M159" s="57">
        <v>21619.985771530068</v>
      </c>
      <c r="N159" s="57">
        <v>30976.234652503685</v>
      </c>
      <c r="O159" s="57">
        <v>40197.804252379472</v>
      </c>
      <c r="P159" s="57">
        <v>45283.927691486213</v>
      </c>
      <c r="Q159" s="57">
        <v>45981.091028933857</v>
      </c>
      <c r="R159" s="57">
        <v>42732.943661280013</v>
      </c>
      <c r="S159" s="57">
        <v>36244.571236625154</v>
      </c>
      <c r="T159" s="57">
        <v>26737.798453248066</v>
      </c>
      <c r="U159" s="57">
        <v>14973.167133818915</v>
      </c>
      <c r="V159" s="57">
        <v>3739.3306281283226</v>
      </c>
      <c r="W159" s="57">
        <v>0</v>
      </c>
      <c r="X159" s="57">
        <v>0</v>
      </c>
      <c r="Y159" s="57">
        <v>0</v>
      </c>
      <c r="Z159" s="57">
        <v>0</v>
      </c>
      <c r="AA159" s="57">
        <v>0</v>
      </c>
      <c r="AB159" s="62">
        <v>0</v>
      </c>
    </row>
    <row r="160" spans="1:28" x14ac:dyDescent="0.35">
      <c r="A160" s="69"/>
      <c r="B160" s="76">
        <v>51075</v>
      </c>
      <c r="C160" s="56">
        <f t="shared" si="3"/>
        <v>10000000</v>
      </c>
      <c r="D160" s="56">
        <v>30</v>
      </c>
      <c r="E160" s="57">
        <v>0</v>
      </c>
      <c r="F160" s="57">
        <v>0</v>
      </c>
      <c r="G160" s="57">
        <v>0</v>
      </c>
      <c r="H160" s="57">
        <v>0</v>
      </c>
      <c r="I160" s="57">
        <v>0</v>
      </c>
      <c r="J160" s="57">
        <v>0</v>
      </c>
      <c r="K160" s="57">
        <v>2775.1854216808292</v>
      </c>
      <c r="L160" s="57">
        <v>11788.398251387591</v>
      </c>
      <c r="M160" s="57">
        <v>22340.651963914406</v>
      </c>
      <c r="N160" s="57">
        <v>32008.775807587146</v>
      </c>
      <c r="O160" s="57">
        <v>41537.731060792124</v>
      </c>
      <c r="P160" s="57">
        <v>46793.391947869088</v>
      </c>
      <c r="Q160" s="57">
        <v>47513.794063231653</v>
      </c>
      <c r="R160" s="57">
        <v>44157.375116656018</v>
      </c>
      <c r="S160" s="57">
        <v>37452.723611179325</v>
      </c>
      <c r="T160" s="57">
        <v>27629.058401689672</v>
      </c>
      <c r="U160" s="57">
        <v>15472.272704946212</v>
      </c>
      <c r="V160" s="57">
        <v>3863.9749823992665</v>
      </c>
      <c r="W160" s="57">
        <v>0</v>
      </c>
      <c r="X160" s="57">
        <v>0</v>
      </c>
      <c r="Y160" s="57">
        <v>0</v>
      </c>
      <c r="Z160" s="57">
        <v>0</v>
      </c>
      <c r="AA160" s="57">
        <v>0</v>
      </c>
      <c r="AB160" s="62">
        <v>0</v>
      </c>
    </row>
    <row r="161" spans="1:28" ht="15" thickBot="1" x14ac:dyDescent="0.4">
      <c r="A161" s="70"/>
      <c r="B161" s="77">
        <v>51105</v>
      </c>
      <c r="C161" s="58">
        <f t="shared" si="3"/>
        <v>9999999.9999999981</v>
      </c>
      <c r="D161" s="58">
        <v>31</v>
      </c>
      <c r="E161" s="59">
        <v>0</v>
      </c>
      <c r="F161" s="59">
        <v>0</v>
      </c>
      <c r="G161" s="59">
        <v>0</v>
      </c>
      <c r="H161" s="59">
        <v>0</v>
      </c>
      <c r="I161" s="59">
        <v>0</v>
      </c>
      <c r="J161" s="59">
        <v>0</v>
      </c>
      <c r="K161" s="59">
        <v>2685.663311304028</v>
      </c>
      <c r="L161" s="59">
        <v>11408.127340052506</v>
      </c>
      <c r="M161" s="59">
        <v>21619.985771530068</v>
      </c>
      <c r="N161" s="59">
        <v>30976.234652503685</v>
      </c>
      <c r="O161" s="59">
        <v>40197.804252379472</v>
      </c>
      <c r="P161" s="59">
        <v>45283.927691486213</v>
      </c>
      <c r="Q161" s="59">
        <v>45981.091028933857</v>
      </c>
      <c r="R161" s="59">
        <v>42732.943661280013</v>
      </c>
      <c r="S161" s="59">
        <v>36244.571236625154</v>
      </c>
      <c r="T161" s="59">
        <v>26737.798453248066</v>
      </c>
      <c r="U161" s="59">
        <v>14973.167133818915</v>
      </c>
      <c r="V161" s="59">
        <v>3739.3306281283226</v>
      </c>
      <c r="W161" s="59">
        <v>0</v>
      </c>
      <c r="X161" s="59">
        <v>0</v>
      </c>
      <c r="Y161" s="59">
        <v>0</v>
      </c>
      <c r="Z161" s="59">
        <v>0</v>
      </c>
      <c r="AA161" s="59">
        <v>0</v>
      </c>
      <c r="AB161" s="63">
        <v>0</v>
      </c>
    </row>
    <row r="162" spans="1:28" x14ac:dyDescent="0.35">
      <c r="A162" s="68">
        <v>2040</v>
      </c>
      <c r="B162" s="53">
        <v>51136</v>
      </c>
      <c r="C162" s="54">
        <f t="shared" si="3"/>
        <v>9999999.9999999981</v>
      </c>
      <c r="D162" s="54">
        <v>31</v>
      </c>
      <c r="E162" s="55">
        <v>0</v>
      </c>
      <c r="F162" s="55">
        <v>0</v>
      </c>
      <c r="G162" s="55">
        <v>0</v>
      </c>
      <c r="H162" s="55">
        <v>0</v>
      </c>
      <c r="I162" s="55">
        <v>0</v>
      </c>
      <c r="J162" s="55">
        <v>0</v>
      </c>
      <c r="K162" s="55">
        <v>2685.663311304028</v>
      </c>
      <c r="L162" s="55">
        <v>11408.127340052506</v>
      </c>
      <c r="M162" s="55">
        <v>21619.985771530068</v>
      </c>
      <c r="N162" s="55">
        <v>30976.234652503685</v>
      </c>
      <c r="O162" s="55">
        <v>40197.804252379472</v>
      </c>
      <c r="P162" s="55">
        <v>45283.927691486213</v>
      </c>
      <c r="Q162" s="55">
        <v>45981.091028933857</v>
      </c>
      <c r="R162" s="55">
        <v>42732.943661280013</v>
      </c>
      <c r="S162" s="55">
        <v>36244.571236625154</v>
      </c>
      <c r="T162" s="55">
        <v>26737.798453248066</v>
      </c>
      <c r="U162" s="55">
        <v>14973.167133818915</v>
      </c>
      <c r="V162" s="55">
        <v>3739.3306281283226</v>
      </c>
      <c r="W162" s="55">
        <v>0</v>
      </c>
      <c r="X162" s="55">
        <v>0</v>
      </c>
      <c r="Y162" s="55">
        <v>0</v>
      </c>
      <c r="Z162" s="55">
        <v>0</v>
      </c>
      <c r="AA162" s="55">
        <v>0</v>
      </c>
      <c r="AB162" s="61">
        <v>0</v>
      </c>
    </row>
    <row r="163" spans="1:28" x14ac:dyDescent="0.35">
      <c r="A163" s="69"/>
      <c r="B163" s="76">
        <v>51167</v>
      </c>
      <c r="C163" s="56">
        <f t="shared" si="3"/>
        <v>10000000</v>
      </c>
      <c r="D163" s="56">
        <v>29</v>
      </c>
      <c r="E163" s="57">
        <v>0</v>
      </c>
      <c r="F163" s="57">
        <v>0</v>
      </c>
      <c r="G163" s="57">
        <v>0</v>
      </c>
      <c r="H163" s="57">
        <v>0</v>
      </c>
      <c r="I163" s="57">
        <v>0</v>
      </c>
      <c r="J163" s="57">
        <v>0</v>
      </c>
      <c r="K163" s="57">
        <v>2870.8814707043066</v>
      </c>
      <c r="L163" s="57">
        <v>12194.894742814748</v>
      </c>
      <c r="M163" s="57">
        <v>23111.019273014903</v>
      </c>
      <c r="N163" s="57">
        <v>33112.526697503941</v>
      </c>
      <c r="O163" s="57">
        <v>42970.066614612537</v>
      </c>
      <c r="P163" s="57">
        <v>48406.957187450789</v>
      </c>
      <c r="Q163" s="57">
        <v>49152.200755067235</v>
      </c>
      <c r="R163" s="57">
        <v>45680.043224126915</v>
      </c>
      <c r="S163" s="57">
        <v>38744.196839151024</v>
      </c>
      <c r="T163" s="57">
        <v>28581.784553472073</v>
      </c>
      <c r="U163" s="57">
        <v>16005.799349944358</v>
      </c>
      <c r="V163" s="57">
        <v>3997.215499033724</v>
      </c>
      <c r="W163" s="57">
        <v>0</v>
      </c>
      <c r="X163" s="57">
        <v>0</v>
      </c>
      <c r="Y163" s="57">
        <v>0</v>
      </c>
      <c r="Z163" s="57">
        <v>0</v>
      </c>
      <c r="AA163" s="57">
        <v>0</v>
      </c>
      <c r="AB163" s="62">
        <v>0</v>
      </c>
    </row>
    <row r="164" spans="1:28" x14ac:dyDescent="0.35">
      <c r="A164" s="69"/>
      <c r="B164" s="76">
        <v>51196</v>
      </c>
      <c r="C164" s="56">
        <f t="shared" si="3"/>
        <v>9999999.9999999981</v>
      </c>
      <c r="D164" s="56">
        <v>31</v>
      </c>
      <c r="E164" s="57">
        <v>0</v>
      </c>
      <c r="F164" s="57">
        <v>0</v>
      </c>
      <c r="G164" s="57">
        <v>0</v>
      </c>
      <c r="H164" s="57">
        <v>0</v>
      </c>
      <c r="I164" s="57">
        <v>0</v>
      </c>
      <c r="J164" s="57">
        <v>0</v>
      </c>
      <c r="K164" s="57">
        <v>2685.663311304028</v>
      </c>
      <c r="L164" s="57">
        <v>11408.127340052506</v>
      </c>
      <c r="M164" s="57">
        <v>21619.985771530068</v>
      </c>
      <c r="N164" s="57">
        <v>30976.234652503685</v>
      </c>
      <c r="O164" s="57">
        <v>40197.804252379472</v>
      </c>
      <c r="P164" s="57">
        <v>45283.927691486213</v>
      </c>
      <c r="Q164" s="57">
        <v>45981.091028933857</v>
      </c>
      <c r="R164" s="57">
        <v>42732.943661280013</v>
      </c>
      <c r="S164" s="57">
        <v>36244.571236625154</v>
      </c>
      <c r="T164" s="57">
        <v>26737.798453248066</v>
      </c>
      <c r="U164" s="57">
        <v>14973.167133818915</v>
      </c>
      <c r="V164" s="57">
        <v>3739.3306281283226</v>
      </c>
      <c r="W164" s="57">
        <v>0</v>
      </c>
      <c r="X164" s="57">
        <v>0</v>
      </c>
      <c r="Y164" s="57">
        <v>0</v>
      </c>
      <c r="Z164" s="57">
        <v>0</v>
      </c>
      <c r="AA164" s="57">
        <v>0</v>
      </c>
      <c r="AB164" s="62">
        <v>0</v>
      </c>
    </row>
    <row r="165" spans="1:28" x14ac:dyDescent="0.35">
      <c r="A165" s="69"/>
      <c r="B165" s="76">
        <v>51227</v>
      </c>
      <c r="C165" s="56">
        <f t="shared" si="3"/>
        <v>10000000</v>
      </c>
      <c r="D165" s="56">
        <v>30</v>
      </c>
      <c r="E165" s="57">
        <v>0</v>
      </c>
      <c r="F165" s="57">
        <v>0</v>
      </c>
      <c r="G165" s="57">
        <v>0</v>
      </c>
      <c r="H165" s="57">
        <v>0</v>
      </c>
      <c r="I165" s="57">
        <v>0</v>
      </c>
      <c r="J165" s="57">
        <v>0</v>
      </c>
      <c r="K165" s="57">
        <v>2775.1854216808292</v>
      </c>
      <c r="L165" s="57">
        <v>11788.398251387591</v>
      </c>
      <c r="M165" s="57">
        <v>22340.651963914406</v>
      </c>
      <c r="N165" s="57">
        <v>32008.775807587146</v>
      </c>
      <c r="O165" s="57">
        <v>41537.731060792124</v>
      </c>
      <c r="P165" s="57">
        <v>46793.391947869088</v>
      </c>
      <c r="Q165" s="57">
        <v>47513.794063231653</v>
      </c>
      <c r="R165" s="57">
        <v>44157.375116656018</v>
      </c>
      <c r="S165" s="57">
        <v>37452.723611179325</v>
      </c>
      <c r="T165" s="57">
        <v>27629.058401689672</v>
      </c>
      <c r="U165" s="57">
        <v>15472.272704946212</v>
      </c>
      <c r="V165" s="57">
        <v>3863.9749823992665</v>
      </c>
      <c r="W165" s="57">
        <v>0</v>
      </c>
      <c r="X165" s="57">
        <v>0</v>
      </c>
      <c r="Y165" s="57">
        <v>0</v>
      </c>
      <c r="Z165" s="57">
        <v>0</v>
      </c>
      <c r="AA165" s="57">
        <v>0</v>
      </c>
      <c r="AB165" s="62">
        <v>0</v>
      </c>
    </row>
    <row r="166" spans="1:28" x14ac:dyDescent="0.35">
      <c r="A166" s="69"/>
      <c r="B166" s="76">
        <v>51257</v>
      </c>
      <c r="C166" s="56">
        <f t="shared" si="3"/>
        <v>9999999.9999999981</v>
      </c>
      <c r="D166" s="56">
        <v>31</v>
      </c>
      <c r="E166" s="57">
        <v>0</v>
      </c>
      <c r="F166" s="57">
        <v>0</v>
      </c>
      <c r="G166" s="57">
        <v>0</v>
      </c>
      <c r="H166" s="57">
        <v>0</v>
      </c>
      <c r="I166" s="57">
        <v>0</v>
      </c>
      <c r="J166" s="57">
        <v>0</v>
      </c>
      <c r="K166" s="57">
        <v>2685.663311304028</v>
      </c>
      <c r="L166" s="57">
        <v>11408.127340052506</v>
      </c>
      <c r="M166" s="57">
        <v>21619.985771530068</v>
      </c>
      <c r="N166" s="57">
        <v>30976.234652503685</v>
      </c>
      <c r="O166" s="57">
        <v>40197.804252379472</v>
      </c>
      <c r="P166" s="57">
        <v>45283.927691486213</v>
      </c>
      <c r="Q166" s="57">
        <v>45981.091028933857</v>
      </c>
      <c r="R166" s="57">
        <v>42732.943661280013</v>
      </c>
      <c r="S166" s="57">
        <v>36244.571236625154</v>
      </c>
      <c r="T166" s="57">
        <v>26737.798453248066</v>
      </c>
      <c r="U166" s="57">
        <v>14973.167133818915</v>
      </c>
      <c r="V166" s="57">
        <v>3739.3306281283226</v>
      </c>
      <c r="W166" s="57">
        <v>0</v>
      </c>
      <c r="X166" s="57">
        <v>0</v>
      </c>
      <c r="Y166" s="57">
        <v>0</v>
      </c>
      <c r="Z166" s="57">
        <v>0</v>
      </c>
      <c r="AA166" s="57">
        <v>0</v>
      </c>
      <c r="AB166" s="62">
        <v>0</v>
      </c>
    </row>
    <row r="167" spans="1:28" x14ac:dyDescent="0.35">
      <c r="A167" s="69"/>
      <c r="B167" s="76">
        <v>51288</v>
      </c>
      <c r="C167" s="56">
        <f t="shared" si="3"/>
        <v>10000000</v>
      </c>
      <c r="D167" s="56">
        <v>30</v>
      </c>
      <c r="E167" s="57">
        <v>0</v>
      </c>
      <c r="F167" s="57">
        <v>0</v>
      </c>
      <c r="G167" s="57">
        <v>0</v>
      </c>
      <c r="H167" s="57">
        <v>0</v>
      </c>
      <c r="I167" s="57">
        <v>0</v>
      </c>
      <c r="J167" s="57">
        <v>0</v>
      </c>
      <c r="K167" s="57">
        <v>2775.1854216808292</v>
      </c>
      <c r="L167" s="57">
        <v>11788.398251387591</v>
      </c>
      <c r="M167" s="57">
        <v>22340.651963914406</v>
      </c>
      <c r="N167" s="57">
        <v>32008.775807587146</v>
      </c>
      <c r="O167" s="57">
        <v>41537.731060792124</v>
      </c>
      <c r="P167" s="57">
        <v>46793.391947869088</v>
      </c>
      <c r="Q167" s="57">
        <v>47513.794063231653</v>
      </c>
      <c r="R167" s="57">
        <v>44157.375116656018</v>
      </c>
      <c r="S167" s="57">
        <v>37452.723611179325</v>
      </c>
      <c r="T167" s="57">
        <v>27629.058401689672</v>
      </c>
      <c r="U167" s="57">
        <v>15472.272704946212</v>
      </c>
      <c r="V167" s="57">
        <v>3863.9749823992665</v>
      </c>
      <c r="W167" s="57">
        <v>0</v>
      </c>
      <c r="X167" s="57">
        <v>0</v>
      </c>
      <c r="Y167" s="57">
        <v>0</v>
      </c>
      <c r="Z167" s="57">
        <v>0</v>
      </c>
      <c r="AA167" s="57">
        <v>0</v>
      </c>
      <c r="AB167" s="62">
        <v>0</v>
      </c>
    </row>
    <row r="168" spans="1:28" x14ac:dyDescent="0.35">
      <c r="A168" s="69"/>
      <c r="B168" s="76">
        <v>51318</v>
      </c>
      <c r="C168" s="56">
        <f t="shared" si="3"/>
        <v>9999999.9999999981</v>
      </c>
      <c r="D168" s="56">
        <v>31</v>
      </c>
      <c r="E168" s="57">
        <v>0</v>
      </c>
      <c r="F168" s="57">
        <v>0</v>
      </c>
      <c r="G168" s="57">
        <v>0</v>
      </c>
      <c r="H168" s="57">
        <v>0</v>
      </c>
      <c r="I168" s="57">
        <v>0</v>
      </c>
      <c r="J168" s="57">
        <v>0</v>
      </c>
      <c r="K168" s="57">
        <v>2685.663311304028</v>
      </c>
      <c r="L168" s="57">
        <v>11408.127340052506</v>
      </c>
      <c r="M168" s="57">
        <v>21619.985771530068</v>
      </c>
      <c r="N168" s="57">
        <v>30976.234652503685</v>
      </c>
      <c r="O168" s="57">
        <v>40197.804252379472</v>
      </c>
      <c r="P168" s="57">
        <v>45283.927691486213</v>
      </c>
      <c r="Q168" s="57">
        <v>45981.091028933857</v>
      </c>
      <c r="R168" s="57">
        <v>42732.943661280013</v>
      </c>
      <c r="S168" s="57">
        <v>36244.571236625154</v>
      </c>
      <c r="T168" s="57">
        <v>26737.798453248066</v>
      </c>
      <c r="U168" s="57">
        <v>14973.167133818915</v>
      </c>
      <c r="V168" s="57">
        <v>3739.3306281283226</v>
      </c>
      <c r="W168" s="57">
        <v>0</v>
      </c>
      <c r="X168" s="57">
        <v>0</v>
      </c>
      <c r="Y168" s="57">
        <v>0</v>
      </c>
      <c r="Z168" s="57">
        <v>0</v>
      </c>
      <c r="AA168" s="57">
        <v>0</v>
      </c>
      <c r="AB168" s="62">
        <v>0</v>
      </c>
    </row>
    <row r="169" spans="1:28" x14ac:dyDescent="0.35">
      <c r="A169" s="69"/>
      <c r="B169" s="76">
        <v>51349</v>
      </c>
      <c r="C169" s="56">
        <f t="shared" si="3"/>
        <v>9999999.9999999981</v>
      </c>
      <c r="D169" s="56">
        <v>31</v>
      </c>
      <c r="E169" s="57">
        <v>0</v>
      </c>
      <c r="F169" s="57">
        <v>0</v>
      </c>
      <c r="G169" s="57">
        <v>0</v>
      </c>
      <c r="H169" s="57">
        <v>0</v>
      </c>
      <c r="I169" s="57">
        <v>0</v>
      </c>
      <c r="J169" s="57">
        <v>0</v>
      </c>
      <c r="K169" s="57">
        <v>2685.663311304028</v>
      </c>
      <c r="L169" s="57">
        <v>11408.127340052506</v>
      </c>
      <c r="M169" s="57">
        <v>21619.985771530068</v>
      </c>
      <c r="N169" s="57">
        <v>30976.234652503685</v>
      </c>
      <c r="O169" s="57">
        <v>40197.804252379472</v>
      </c>
      <c r="P169" s="57">
        <v>45283.927691486213</v>
      </c>
      <c r="Q169" s="57">
        <v>45981.091028933857</v>
      </c>
      <c r="R169" s="57">
        <v>42732.943661280013</v>
      </c>
      <c r="S169" s="57">
        <v>36244.571236625154</v>
      </c>
      <c r="T169" s="57">
        <v>26737.798453248066</v>
      </c>
      <c r="U169" s="57">
        <v>14973.167133818915</v>
      </c>
      <c r="V169" s="57">
        <v>3739.3306281283226</v>
      </c>
      <c r="W169" s="57">
        <v>0</v>
      </c>
      <c r="X169" s="57">
        <v>0</v>
      </c>
      <c r="Y169" s="57">
        <v>0</v>
      </c>
      <c r="Z169" s="57">
        <v>0</v>
      </c>
      <c r="AA169" s="57">
        <v>0</v>
      </c>
      <c r="AB169" s="62">
        <v>0</v>
      </c>
    </row>
    <row r="170" spans="1:28" x14ac:dyDescent="0.35">
      <c r="A170" s="69"/>
      <c r="B170" s="76">
        <v>51380</v>
      </c>
      <c r="C170" s="56">
        <f t="shared" si="3"/>
        <v>10000000</v>
      </c>
      <c r="D170" s="56">
        <v>30</v>
      </c>
      <c r="E170" s="57">
        <v>0</v>
      </c>
      <c r="F170" s="57">
        <v>0</v>
      </c>
      <c r="G170" s="57">
        <v>0</v>
      </c>
      <c r="H170" s="57">
        <v>0</v>
      </c>
      <c r="I170" s="57">
        <v>0</v>
      </c>
      <c r="J170" s="57">
        <v>0</v>
      </c>
      <c r="K170" s="57">
        <v>2775.1854216808292</v>
      </c>
      <c r="L170" s="57">
        <v>11788.398251387591</v>
      </c>
      <c r="M170" s="57">
        <v>22340.651963914406</v>
      </c>
      <c r="N170" s="57">
        <v>32008.775807587146</v>
      </c>
      <c r="O170" s="57">
        <v>41537.731060792124</v>
      </c>
      <c r="P170" s="57">
        <v>46793.391947869088</v>
      </c>
      <c r="Q170" s="57">
        <v>47513.794063231653</v>
      </c>
      <c r="R170" s="57">
        <v>44157.375116656018</v>
      </c>
      <c r="S170" s="57">
        <v>37452.723611179325</v>
      </c>
      <c r="T170" s="57">
        <v>27629.058401689672</v>
      </c>
      <c r="U170" s="57">
        <v>15472.272704946212</v>
      </c>
      <c r="V170" s="57">
        <v>3863.9749823992665</v>
      </c>
      <c r="W170" s="57">
        <v>0</v>
      </c>
      <c r="X170" s="57">
        <v>0</v>
      </c>
      <c r="Y170" s="57">
        <v>0</v>
      </c>
      <c r="Z170" s="57">
        <v>0</v>
      </c>
      <c r="AA170" s="57">
        <v>0</v>
      </c>
      <c r="AB170" s="62">
        <v>0</v>
      </c>
    </row>
    <row r="171" spans="1:28" x14ac:dyDescent="0.35">
      <c r="A171" s="69"/>
      <c r="B171" s="76">
        <v>51410</v>
      </c>
      <c r="C171" s="56">
        <f t="shared" si="3"/>
        <v>9999999.9999999981</v>
      </c>
      <c r="D171" s="56">
        <v>31</v>
      </c>
      <c r="E171" s="57">
        <v>0</v>
      </c>
      <c r="F171" s="57">
        <v>0</v>
      </c>
      <c r="G171" s="57">
        <v>0</v>
      </c>
      <c r="H171" s="57">
        <v>0</v>
      </c>
      <c r="I171" s="57">
        <v>0</v>
      </c>
      <c r="J171" s="57">
        <v>0</v>
      </c>
      <c r="K171" s="57">
        <v>2685.663311304028</v>
      </c>
      <c r="L171" s="57">
        <v>11408.127340052506</v>
      </c>
      <c r="M171" s="57">
        <v>21619.985771530068</v>
      </c>
      <c r="N171" s="57">
        <v>30976.234652503685</v>
      </c>
      <c r="O171" s="57">
        <v>40197.804252379472</v>
      </c>
      <c r="P171" s="57">
        <v>45283.927691486213</v>
      </c>
      <c r="Q171" s="57">
        <v>45981.091028933857</v>
      </c>
      <c r="R171" s="57">
        <v>42732.943661280013</v>
      </c>
      <c r="S171" s="57">
        <v>36244.571236625154</v>
      </c>
      <c r="T171" s="57">
        <v>26737.798453248066</v>
      </c>
      <c r="U171" s="57">
        <v>14973.167133818915</v>
      </c>
      <c r="V171" s="57">
        <v>3739.3306281283226</v>
      </c>
      <c r="W171" s="57">
        <v>0</v>
      </c>
      <c r="X171" s="57">
        <v>0</v>
      </c>
      <c r="Y171" s="57">
        <v>0</v>
      </c>
      <c r="Z171" s="57">
        <v>0</v>
      </c>
      <c r="AA171" s="57">
        <v>0</v>
      </c>
      <c r="AB171" s="62">
        <v>0</v>
      </c>
    </row>
    <row r="172" spans="1:28" x14ac:dyDescent="0.35">
      <c r="A172" s="69"/>
      <c r="B172" s="76">
        <v>51441</v>
      </c>
      <c r="C172" s="56">
        <f t="shared" si="3"/>
        <v>10000000</v>
      </c>
      <c r="D172" s="56">
        <v>30</v>
      </c>
      <c r="E172" s="57">
        <v>0</v>
      </c>
      <c r="F172" s="57">
        <v>0</v>
      </c>
      <c r="G172" s="57">
        <v>0</v>
      </c>
      <c r="H172" s="57">
        <v>0</v>
      </c>
      <c r="I172" s="57">
        <v>0</v>
      </c>
      <c r="J172" s="57">
        <v>0</v>
      </c>
      <c r="K172" s="57">
        <v>2775.1854216808292</v>
      </c>
      <c r="L172" s="57">
        <v>11788.398251387591</v>
      </c>
      <c r="M172" s="57">
        <v>22340.651963914406</v>
      </c>
      <c r="N172" s="57">
        <v>32008.775807587146</v>
      </c>
      <c r="O172" s="57">
        <v>41537.731060792124</v>
      </c>
      <c r="P172" s="57">
        <v>46793.391947869088</v>
      </c>
      <c r="Q172" s="57">
        <v>47513.794063231653</v>
      </c>
      <c r="R172" s="57">
        <v>44157.375116656018</v>
      </c>
      <c r="S172" s="57">
        <v>37452.723611179325</v>
      </c>
      <c r="T172" s="57">
        <v>27629.058401689672</v>
      </c>
      <c r="U172" s="57">
        <v>15472.272704946212</v>
      </c>
      <c r="V172" s="57">
        <v>3863.9749823992665</v>
      </c>
      <c r="W172" s="57">
        <v>0</v>
      </c>
      <c r="X172" s="57">
        <v>0</v>
      </c>
      <c r="Y172" s="57">
        <v>0</v>
      </c>
      <c r="Z172" s="57">
        <v>0</v>
      </c>
      <c r="AA172" s="57">
        <v>0</v>
      </c>
      <c r="AB172" s="62">
        <v>0</v>
      </c>
    </row>
    <row r="173" spans="1:28" ht="15" thickBot="1" x14ac:dyDescent="0.4">
      <c r="A173" s="70"/>
      <c r="B173" s="77">
        <v>51471</v>
      </c>
      <c r="C173" s="58">
        <f t="shared" si="3"/>
        <v>9999999.9999999981</v>
      </c>
      <c r="D173" s="58">
        <v>31</v>
      </c>
      <c r="E173" s="59">
        <v>0</v>
      </c>
      <c r="F173" s="59">
        <v>0</v>
      </c>
      <c r="G173" s="59">
        <v>0</v>
      </c>
      <c r="H173" s="59">
        <v>0</v>
      </c>
      <c r="I173" s="59">
        <v>0</v>
      </c>
      <c r="J173" s="59">
        <v>0</v>
      </c>
      <c r="K173" s="59">
        <v>2685.663311304028</v>
      </c>
      <c r="L173" s="59">
        <v>11408.127340052506</v>
      </c>
      <c r="M173" s="59">
        <v>21619.985771530068</v>
      </c>
      <c r="N173" s="59">
        <v>30976.234652503685</v>
      </c>
      <c r="O173" s="59">
        <v>40197.804252379472</v>
      </c>
      <c r="P173" s="59">
        <v>45283.927691486213</v>
      </c>
      <c r="Q173" s="59">
        <v>45981.091028933857</v>
      </c>
      <c r="R173" s="59">
        <v>42732.943661280013</v>
      </c>
      <c r="S173" s="59">
        <v>36244.571236625154</v>
      </c>
      <c r="T173" s="59">
        <v>26737.798453248066</v>
      </c>
      <c r="U173" s="59">
        <v>14973.167133818915</v>
      </c>
      <c r="V173" s="59">
        <v>3739.3306281283226</v>
      </c>
      <c r="W173" s="59">
        <v>0</v>
      </c>
      <c r="X173" s="59">
        <v>0</v>
      </c>
      <c r="Y173" s="59">
        <v>0</v>
      </c>
      <c r="Z173" s="59">
        <v>0</v>
      </c>
      <c r="AA173" s="59">
        <v>0</v>
      </c>
      <c r="AB173" s="63">
        <v>0</v>
      </c>
    </row>
    <row r="174" spans="1:28" x14ac:dyDescent="0.35">
      <c r="A174" s="68">
        <v>2041</v>
      </c>
      <c r="B174" s="53">
        <v>51502</v>
      </c>
      <c r="C174" s="54">
        <f t="shared" ref="C174:C185" si="4">SUM(K174:V174)*D174</f>
        <v>9999999.9999999981</v>
      </c>
      <c r="D174" s="54">
        <v>31</v>
      </c>
      <c r="E174" s="55">
        <v>0</v>
      </c>
      <c r="F174" s="55">
        <v>0</v>
      </c>
      <c r="G174" s="55">
        <v>0</v>
      </c>
      <c r="H174" s="55">
        <v>0</v>
      </c>
      <c r="I174" s="55">
        <v>0</v>
      </c>
      <c r="J174" s="55">
        <v>0</v>
      </c>
      <c r="K174" s="55">
        <v>2685.663311304028</v>
      </c>
      <c r="L174" s="55">
        <v>11408.127340052506</v>
      </c>
      <c r="M174" s="55">
        <v>21619.985771530068</v>
      </c>
      <c r="N174" s="55">
        <v>30976.234652503685</v>
      </c>
      <c r="O174" s="55">
        <v>40197.804252379472</v>
      </c>
      <c r="P174" s="55">
        <v>45283.927691486213</v>
      </c>
      <c r="Q174" s="55">
        <v>45981.091028933857</v>
      </c>
      <c r="R174" s="55">
        <v>42732.943661280013</v>
      </c>
      <c r="S174" s="55">
        <v>36244.571236625154</v>
      </c>
      <c r="T174" s="55">
        <v>26737.798453248066</v>
      </c>
      <c r="U174" s="55">
        <v>14973.167133818915</v>
      </c>
      <c r="V174" s="55">
        <v>3739.3306281283226</v>
      </c>
      <c r="W174" s="55">
        <v>0</v>
      </c>
      <c r="X174" s="55">
        <v>0</v>
      </c>
      <c r="Y174" s="55">
        <v>0</v>
      </c>
      <c r="Z174" s="55">
        <v>0</v>
      </c>
      <c r="AA174" s="55">
        <v>0</v>
      </c>
      <c r="AB174" s="61">
        <v>0</v>
      </c>
    </row>
    <row r="175" spans="1:28" x14ac:dyDescent="0.35">
      <c r="A175" s="69"/>
      <c r="B175" s="76">
        <v>51533</v>
      </c>
      <c r="C175" s="56">
        <f t="shared" si="4"/>
        <v>10000000</v>
      </c>
      <c r="D175" s="56">
        <v>28</v>
      </c>
      <c r="E175" s="57">
        <v>0</v>
      </c>
      <c r="F175" s="57">
        <v>0</v>
      </c>
      <c r="G175" s="57">
        <v>0</v>
      </c>
      <c r="H175" s="57">
        <v>0</v>
      </c>
      <c r="I175" s="57">
        <v>0</v>
      </c>
      <c r="J175" s="57">
        <v>0</v>
      </c>
      <c r="K175" s="57">
        <v>2973.4129518008881</v>
      </c>
      <c r="L175" s="57">
        <v>12630.426697915274</v>
      </c>
      <c r="M175" s="57">
        <v>23936.412818479719</v>
      </c>
      <c r="N175" s="57">
        <v>34295.116936700506</v>
      </c>
      <c r="O175" s="57">
        <v>44504.711850848704</v>
      </c>
      <c r="P175" s="57">
        <v>50135.777087002592</v>
      </c>
      <c r="Q175" s="57">
        <v>50907.636496319632</v>
      </c>
      <c r="R175" s="57">
        <v>47311.473339274307</v>
      </c>
      <c r="S175" s="57">
        <v>40127.918154834988</v>
      </c>
      <c r="T175" s="57">
        <v>29602.562573238931</v>
      </c>
      <c r="U175" s="57">
        <v>16577.435041013799</v>
      </c>
      <c r="V175" s="57">
        <v>4139.9731954277859</v>
      </c>
      <c r="W175" s="57">
        <v>0</v>
      </c>
      <c r="X175" s="57">
        <v>0</v>
      </c>
      <c r="Y175" s="57">
        <v>0</v>
      </c>
      <c r="Z175" s="57">
        <v>0</v>
      </c>
      <c r="AA175" s="57">
        <v>0</v>
      </c>
      <c r="AB175" s="62">
        <v>0</v>
      </c>
    </row>
    <row r="176" spans="1:28" x14ac:dyDescent="0.35">
      <c r="A176" s="69"/>
      <c r="B176" s="76">
        <v>51561</v>
      </c>
      <c r="C176" s="56">
        <f t="shared" si="4"/>
        <v>9999999.9999999981</v>
      </c>
      <c r="D176" s="56">
        <v>31</v>
      </c>
      <c r="E176" s="57">
        <v>0</v>
      </c>
      <c r="F176" s="57">
        <v>0</v>
      </c>
      <c r="G176" s="57">
        <v>0</v>
      </c>
      <c r="H176" s="57">
        <v>0</v>
      </c>
      <c r="I176" s="57">
        <v>0</v>
      </c>
      <c r="J176" s="57">
        <v>0</v>
      </c>
      <c r="K176" s="57">
        <v>2685.663311304028</v>
      </c>
      <c r="L176" s="57">
        <v>11408.127340052506</v>
      </c>
      <c r="M176" s="57">
        <v>21619.985771530068</v>
      </c>
      <c r="N176" s="57">
        <v>30976.234652503685</v>
      </c>
      <c r="O176" s="57">
        <v>40197.804252379472</v>
      </c>
      <c r="P176" s="57">
        <v>45283.927691486213</v>
      </c>
      <c r="Q176" s="57">
        <v>45981.091028933857</v>
      </c>
      <c r="R176" s="57">
        <v>42732.943661280013</v>
      </c>
      <c r="S176" s="57">
        <v>36244.571236625154</v>
      </c>
      <c r="T176" s="57">
        <v>26737.798453248066</v>
      </c>
      <c r="U176" s="57">
        <v>14973.167133818915</v>
      </c>
      <c r="V176" s="57">
        <v>3739.3306281283226</v>
      </c>
      <c r="W176" s="57">
        <v>0</v>
      </c>
      <c r="X176" s="57">
        <v>0</v>
      </c>
      <c r="Y176" s="57">
        <v>0</v>
      </c>
      <c r="Z176" s="57">
        <v>0</v>
      </c>
      <c r="AA176" s="57">
        <v>0</v>
      </c>
      <c r="AB176" s="62">
        <v>0</v>
      </c>
    </row>
    <row r="177" spans="1:28" x14ac:dyDescent="0.35">
      <c r="A177" s="69"/>
      <c r="B177" s="76">
        <v>51592</v>
      </c>
      <c r="C177" s="56">
        <f t="shared" si="4"/>
        <v>10000000</v>
      </c>
      <c r="D177" s="56">
        <v>30</v>
      </c>
      <c r="E177" s="57">
        <v>0</v>
      </c>
      <c r="F177" s="57">
        <v>0</v>
      </c>
      <c r="G177" s="57">
        <v>0</v>
      </c>
      <c r="H177" s="57">
        <v>0</v>
      </c>
      <c r="I177" s="57">
        <v>0</v>
      </c>
      <c r="J177" s="57">
        <v>0</v>
      </c>
      <c r="K177" s="57">
        <v>2775.1854216808292</v>
      </c>
      <c r="L177" s="57">
        <v>11788.398251387591</v>
      </c>
      <c r="M177" s="57">
        <v>22340.651963914406</v>
      </c>
      <c r="N177" s="57">
        <v>32008.775807587146</v>
      </c>
      <c r="O177" s="57">
        <v>41537.731060792124</v>
      </c>
      <c r="P177" s="57">
        <v>46793.391947869088</v>
      </c>
      <c r="Q177" s="57">
        <v>47513.794063231653</v>
      </c>
      <c r="R177" s="57">
        <v>44157.375116656018</v>
      </c>
      <c r="S177" s="57">
        <v>37452.723611179325</v>
      </c>
      <c r="T177" s="57">
        <v>27629.058401689672</v>
      </c>
      <c r="U177" s="57">
        <v>15472.272704946212</v>
      </c>
      <c r="V177" s="57">
        <v>3863.9749823992665</v>
      </c>
      <c r="W177" s="57">
        <v>0</v>
      </c>
      <c r="X177" s="57">
        <v>0</v>
      </c>
      <c r="Y177" s="57">
        <v>0</v>
      </c>
      <c r="Z177" s="57">
        <v>0</v>
      </c>
      <c r="AA177" s="57">
        <v>0</v>
      </c>
      <c r="AB177" s="62">
        <v>0</v>
      </c>
    </row>
    <row r="178" spans="1:28" x14ac:dyDescent="0.35">
      <c r="A178" s="69"/>
      <c r="B178" s="76">
        <v>51622</v>
      </c>
      <c r="C178" s="56">
        <f t="shared" si="4"/>
        <v>9999999.9999999981</v>
      </c>
      <c r="D178" s="56">
        <v>31</v>
      </c>
      <c r="E178" s="57">
        <v>0</v>
      </c>
      <c r="F178" s="57">
        <v>0</v>
      </c>
      <c r="G178" s="57">
        <v>0</v>
      </c>
      <c r="H178" s="57">
        <v>0</v>
      </c>
      <c r="I178" s="57">
        <v>0</v>
      </c>
      <c r="J178" s="57">
        <v>0</v>
      </c>
      <c r="K178" s="57">
        <v>2685.663311304028</v>
      </c>
      <c r="L178" s="57">
        <v>11408.127340052506</v>
      </c>
      <c r="M178" s="57">
        <v>21619.985771530068</v>
      </c>
      <c r="N178" s="57">
        <v>30976.234652503685</v>
      </c>
      <c r="O178" s="57">
        <v>40197.804252379472</v>
      </c>
      <c r="P178" s="57">
        <v>45283.927691486213</v>
      </c>
      <c r="Q178" s="57">
        <v>45981.091028933857</v>
      </c>
      <c r="R178" s="57">
        <v>42732.943661280013</v>
      </c>
      <c r="S178" s="57">
        <v>36244.571236625154</v>
      </c>
      <c r="T178" s="57">
        <v>26737.798453248066</v>
      </c>
      <c r="U178" s="57">
        <v>14973.167133818915</v>
      </c>
      <c r="V178" s="57">
        <v>3739.3306281283226</v>
      </c>
      <c r="W178" s="57">
        <v>0</v>
      </c>
      <c r="X178" s="57">
        <v>0</v>
      </c>
      <c r="Y178" s="57">
        <v>0</v>
      </c>
      <c r="Z178" s="57">
        <v>0</v>
      </c>
      <c r="AA178" s="57">
        <v>0</v>
      </c>
      <c r="AB178" s="62">
        <v>0</v>
      </c>
    </row>
    <row r="179" spans="1:28" x14ac:dyDescent="0.35">
      <c r="A179" s="69"/>
      <c r="B179" s="76">
        <v>51653</v>
      </c>
      <c r="C179" s="56">
        <f t="shared" si="4"/>
        <v>10000000</v>
      </c>
      <c r="D179" s="56">
        <v>30</v>
      </c>
      <c r="E179" s="57">
        <v>0</v>
      </c>
      <c r="F179" s="57">
        <v>0</v>
      </c>
      <c r="G179" s="57">
        <v>0</v>
      </c>
      <c r="H179" s="57">
        <v>0</v>
      </c>
      <c r="I179" s="57">
        <v>0</v>
      </c>
      <c r="J179" s="57">
        <v>0</v>
      </c>
      <c r="K179" s="57">
        <v>2775.1854216808292</v>
      </c>
      <c r="L179" s="57">
        <v>11788.398251387591</v>
      </c>
      <c r="M179" s="57">
        <v>22340.651963914406</v>
      </c>
      <c r="N179" s="57">
        <v>32008.775807587146</v>
      </c>
      <c r="O179" s="57">
        <v>41537.731060792124</v>
      </c>
      <c r="P179" s="57">
        <v>46793.391947869088</v>
      </c>
      <c r="Q179" s="57">
        <v>47513.794063231653</v>
      </c>
      <c r="R179" s="57">
        <v>44157.375116656018</v>
      </c>
      <c r="S179" s="57">
        <v>37452.723611179325</v>
      </c>
      <c r="T179" s="57">
        <v>27629.058401689672</v>
      </c>
      <c r="U179" s="57">
        <v>15472.272704946212</v>
      </c>
      <c r="V179" s="57">
        <v>3863.9749823992665</v>
      </c>
      <c r="W179" s="57">
        <v>0</v>
      </c>
      <c r="X179" s="57">
        <v>0</v>
      </c>
      <c r="Y179" s="57">
        <v>0</v>
      </c>
      <c r="Z179" s="57">
        <v>0</v>
      </c>
      <c r="AA179" s="57">
        <v>0</v>
      </c>
      <c r="AB179" s="62">
        <v>0</v>
      </c>
    </row>
    <row r="180" spans="1:28" x14ac:dyDescent="0.35">
      <c r="A180" s="69"/>
      <c r="B180" s="76">
        <v>51683</v>
      </c>
      <c r="C180" s="56">
        <f t="shared" si="4"/>
        <v>9999999.9999999981</v>
      </c>
      <c r="D180" s="56">
        <v>31</v>
      </c>
      <c r="E180" s="57">
        <v>0</v>
      </c>
      <c r="F180" s="57">
        <v>0</v>
      </c>
      <c r="G180" s="57">
        <v>0</v>
      </c>
      <c r="H180" s="57">
        <v>0</v>
      </c>
      <c r="I180" s="57">
        <v>0</v>
      </c>
      <c r="J180" s="57">
        <v>0</v>
      </c>
      <c r="K180" s="57">
        <v>2685.663311304028</v>
      </c>
      <c r="L180" s="57">
        <v>11408.127340052506</v>
      </c>
      <c r="M180" s="57">
        <v>21619.985771530068</v>
      </c>
      <c r="N180" s="57">
        <v>30976.234652503685</v>
      </c>
      <c r="O180" s="57">
        <v>40197.804252379472</v>
      </c>
      <c r="P180" s="57">
        <v>45283.927691486213</v>
      </c>
      <c r="Q180" s="57">
        <v>45981.091028933857</v>
      </c>
      <c r="R180" s="57">
        <v>42732.943661280013</v>
      </c>
      <c r="S180" s="57">
        <v>36244.571236625154</v>
      </c>
      <c r="T180" s="57">
        <v>26737.798453248066</v>
      </c>
      <c r="U180" s="57">
        <v>14973.167133818915</v>
      </c>
      <c r="V180" s="57">
        <v>3739.3306281283226</v>
      </c>
      <c r="W180" s="57">
        <v>0</v>
      </c>
      <c r="X180" s="57">
        <v>0</v>
      </c>
      <c r="Y180" s="57">
        <v>0</v>
      </c>
      <c r="Z180" s="57">
        <v>0</v>
      </c>
      <c r="AA180" s="57">
        <v>0</v>
      </c>
      <c r="AB180" s="62">
        <v>0</v>
      </c>
    </row>
    <row r="181" spans="1:28" x14ac:dyDescent="0.35">
      <c r="A181" s="69"/>
      <c r="B181" s="76">
        <v>51714</v>
      </c>
      <c r="C181" s="56">
        <f t="shared" si="4"/>
        <v>9999999.9999999981</v>
      </c>
      <c r="D181" s="56">
        <v>31</v>
      </c>
      <c r="E181" s="57">
        <v>0</v>
      </c>
      <c r="F181" s="57">
        <v>0</v>
      </c>
      <c r="G181" s="57">
        <v>0</v>
      </c>
      <c r="H181" s="57">
        <v>0</v>
      </c>
      <c r="I181" s="57">
        <v>0</v>
      </c>
      <c r="J181" s="57">
        <v>0</v>
      </c>
      <c r="K181" s="57">
        <v>2685.663311304028</v>
      </c>
      <c r="L181" s="57">
        <v>11408.127340052506</v>
      </c>
      <c r="M181" s="57">
        <v>21619.985771530068</v>
      </c>
      <c r="N181" s="57">
        <v>30976.234652503685</v>
      </c>
      <c r="O181" s="57">
        <v>40197.804252379472</v>
      </c>
      <c r="P181" s="57">
        <v>45283.927691486213</v>
      </c>
      <c r="Q181" s="57">
        <v>45981.091028933857</v>
      </c>
      <c r="R181" s="57">
        <v>42732.943661280013</v>
      </c>
      <c r="S181" s="57">
        <v>36244.571236625154</v>
      </c>
      <c r="T181" s="57">
        <v>26737.798453248066</v>
      </c>
      <c r="U181" s="57">
        <v>14973.167133818915</v>
      </c>
      <c r="V181" s="57">
        <v>3739.3306281283226</v>
      </c>
      <c r="W181" s="57">
        <v>0</v>
      </c>
      <c r="X181" s="57">
        <v>0</v>
      </c>
      <c r="Y181" s="57">
        <v>0</v>
      </c>
      <c r="Z181" s="57">
        <v>0</v>
      </c>
      <c r="AA181" s="57">
        <v>0</v>
      </c>
      <c r="AB181" s="62">
        <v>0</v>
      </c>
    </row>
    <row r="182" spans="1:28" x14ac:dyDescent="0.35">
      <c r="A182" s="69"/>
      <c r="B182" s="76">
        <v>51745</v>
      </c>
      <c r="C182" s="56">
        <f t="shared" si="4"/>
        <v>10000000</v>
      </c>
      <c r="D182" s="56">
        <v>30</v>
      </c>
      <c r="E182" s="57">
        <v>0</v>
      </c>
      <c r="F182" s="57">
        <v>0</v>
      </c>
      <c r="G182" s="57">
        <v>0</v>
      </c>
      <c r="H182" s="57">
        <v>0</v>
      </c>
      <c r="I182" s="57">
        <v>0</v>
      </c>
      <c r="J182" s="57">
        <v>0</v>
      </c>
      <c r="K182" s="57">
        <v>2775.1854216808292</v>
      </c>
      <c r="L182" s="57">
        <v>11788.398251387591</v>
      </c>
      <c r="M182" s="57">
        <v>22340.651963914406</v>
      </c>
      <c r="N182" s="57">
        <v>32008.775807587146</v>
      </c>
      <c r="O182" s="57">
        <v>41537.731060792124</v>
      </c>
      <c r="P182" s="57">
        <v>46793.391947869088</v>
      </c>
      <c r="Q182" s="57">
        <v>47513.794063231653</v>
      </c>
      <c r="R182" s="57">
        <v>44157.375116656018</v>
      </c>
      <c r="S182" s="57">
        <v>37452.723611179325</v>
      </c>
      <c r="T182" s="57">
        <v>27629.058401689672</v>
      </c>
      <c r="U182" s="57">
        <v>15472.272704946212</v>
      </c>
      <c r="V182" s="57">
        <v>3863.9749823992665</v>
      </c>
      <c r="W182" s="57">
        <v>0</v>
      </c>
      <c r="X182" s="57">
        <v>0</v>
      </c>
      <c r="Y182" s="57">
        <v>0</v>
      </c>
      <c r="Z182" s="57">
        <v>0</v>
      </c>
      <c r="AA182" s="57">
        <v>0</v>
      </c>
      <c r="AB182" s="62">
        <v>0</v>
      </c>
    </row>
    <row r="183" spans="1:28" x14ac:dyDescent="0.35">
      <c r="A183" s="69"/>
      <c r="B183" s="76">
        <v>51775</v>
      </c>
      <c r="C183" s="56">
        <f t="shared" si="4"/>
        <v>9999999.9999999981</v>
      </c>
      <c r="D183" s="56">
        <v>31</v>
      </c>
      <c r="E183" s="57">
        <v>0</v>
      </c>
      <c r="F183" s="57">
        <v>0</v>
      </c>
      <c r="G183" s="57">
        <v>0</v>
      </c>
      <c r="H183" s="57">
        <v>0</v>
      </c>
      <c r="I183" s="57">
        <v>0</v>
      </c>
      <c r="J183" s="57">
        <v>0</v>
      </c>
      <c r="K183" s="57">
        <v>2685.663311304028</v>
      </c>
      <c r="L183" s="57">
        <v>11408.127340052506</v>
      </c>
      <c r="M183" s="57">
        <v>21619.985771530068</v>
      </c>
      <c r="N183" s="57">
        <v>30976.234652503685</v>
      </c>
      <c r="O183" s="57">
        <v>40197.804252379472</v>
      </c>
      <c r="P183" s="57">
        <v>45283.927691486213</v>
      </c>
      <c r="Q183" s="57">
        <v>45981.091028933857</v>
      </c>
      <c r="R183" s="57">
        <v>42732.943661280013</v>
      </c>
      <c r="S183" s="57">
        <v>36244.571236625154</v>
      </c>
      <c r="T183" s="57">
        <v>26737.798453248066</v>
      </c>
      <c r="U183" s="57">
        <v>14973.167133818915</v>
      </c>
      <c r="V183" s="57">
        <v>3739.3306281283226</v>
      </c>
      <c r="W183" s="57">
        <v>0</v>
      </c>
      <c r="X183" s="57">
        <v>0</v>
      </c>
      <c r="Y183" s="57">
        <v>0</v>
      </c>
      <c r="Z183" s="57">
        <v>0</v>
      </c>
      <c r="AA183" s="57">
        <v>0</v>
      </c>
      <c r="AB183" s="62">
        <v>0</v>
      </c>
    </row>
    <row r="184" spans="1:28" x14ac:dyDescent="0.35">
      <c r="A184" s="69"/>
      <c r="B184" s="76">
        <v>51806</v>
      </c>
      <c r="C184" s="56">
        <f t="shared" si="4"/>
        <v>10000000</v>
      </c>
      <c r="D184" s="56">
        <v>30</v>
      </c>
      <c r="E184" s="57">
        <v>0</v>
      </c>
      <c r="F184" s="57">
        <v>0</v>
      </c>
      <c r="G184" s="57">
        <v>0</v>
      </c>
      <c r="H184" s="57">
        <v>0</v>
      </c>
      <c r="I184" s="57">
        <v>0</v>
      </c>
      <c r="J184" s="57">
        <v>0</v>
      </c>
      <c r="K184" s="57">
        <v>2775.1854216808292</v>
      </c>
      <c r="L184" s="57">
        <v>11788.398251387591</v>
      </c>
      <c r="M184" s="57">
        <v>22340.651963914406</v>
      </c>
      <c r="N184" s="57">
        <v>32008.775807587146</v>
      </c>
      <c r="O184" s="57">
        <v>41537.731060792124</v>
      </c>
      <c r="P184" s="57">
        <v>46793.391947869088</v>
      </c>
      <c r="Q184" s="57">
        <v>47513.794063231653</v>
      </c>
      <c r="R184" s="57">
        <v>44157.375116656018</v>
      </c>
      <c r="S184" s="57">
        <v>37452.723611179325</v>
      </c>
      <c r="T184" s="57">
        <v>27629.058401689672</v>
      </c>
      <c r="U184" s="57">
        <v>15472.272704946212</v>
      </c>
      <c r="V184" s="57">
        <v>3863.9749823992665</v>
      </c>
      <c r="W184" s="57">
        <v>0</v>
      </c>
      <c r="X184" s="57">
        <v>0</v>
      </c>
      <c r="Y184" s="57">
        <v>0</v>
      </c>
      <c r="Z184" s="57">
        <v>0</v>
      </c>
      <c r="AA184" s="57">
        <v>0</v>
      </c>
      <c r="AB184" s="62">
        <v>0</v>
      </c>
    </row>
    <row r="185" spans="1:28" ht="15" thickBot="1" x14ac:dyDescent="0.4">
      <c r="A185" s="70"/>
      <c r="B185" s="77">
        <v>51836</v>
      </c>
      <c r="C185" s="58">
        <f t="shared" si="4"/>
        <v>9999999.9999999981</v>
      </c>
      <c r="D185" s="58">
        <v>31</v>
      </c>
      <c r="E185" s="59">
        <v>0</v>
      </c>
      <c r="F185" s="59">
        <v>0</v>
      </c>
      <c r="G185" s="59">
        <v>0</v>
      </c>
      <c r="H185" s="59">
        <v>0</v>
      </c>
      <c r="I185" s="59">
        <v>0</v>
      </c>
      <c r="J185" s="59">
        <v>0</v>
      </c>
      <c r="K185" s="59">
        <v>2685.663311304028</v>
      </c>
      <c r="L185" s="59">
        <v>11408.127340052506</v>
      </c>
      <c r="M185" s="59">
        <v>21619.985771530068</v>
      </c>
      <c r="N185" s="59">
        <v>30976.234652503685</v>
      </c>
      <c r="O185" s="59">
        <v>40197.804252379472</v>
      </c>
      <c r="P185" s="59">
        <v>45283.927691486213</v>
      </c>
      <c r="Q185" s="59">
        <v>45981.091028933857</v>
      </c>
      <c r="R185" s="59">
        <v>42732.943661280013</v>
      </c>
      <c r="S185" s="59">
        <v>36244.571236625154</v>
      </c>
      <c r="T185" s="59">
        <v>26737.798453248066</v>
      </c>
      <c r="U185" s="59">
        <v>14973.167133818915</v>
      </c>
      <c r="V185" s="59">
        <v>3739.3306281283226</v>
      </c>
      <c r="W185" s="59">
        <v>0</v>
      </c>
      <c r="X185" s="59">
        <v>0</v>
      </c>
      <c r="Y185" s="59">
        <v>0</v>
      </c>
      <c r="Z185" s="59">
        <v>0</v>
      </c>
      <c r="AA185" s="59">
        <v>0</v>
      </c>
      <c r="AB185" s="63">
        <v>0</v>
      </c>
    </row>
    <row r="186" spans="1:28" ht="19" thickBot="1" x14ac:dyDescent="0.5">
      <c r="A186" s="66" t="s">
        <v>107</v>
      </c>
      <c r="B186" s="67"/>
      <c r="C186" s="60">
        <f>SUM(C6:C185)</f>
        <v>1800000000</v>
      </c>
    </row>
  </sheetData>
  <mergeCells count="16">
    <mergeCell ref="A186:B186"/>
    <mergeCell ref="A6:A17"/>
    <mergeCell ref="A18:A29"/>
    <mergeCell ref="A30:A41"/>
    <mergeCell ref="A42:A53"/>
    <mergeCell ref="A54:A65"/>
    <mergeCell ref="A66:A77"/>
    <mergeCell ref="A78:A89"/>
    <mergeCell ref="A90:A101"/>
    <mergeCell ref="A102:A113"/>
    <mergeCell ref="A114:A125"/>
    <mergeCell ref="A126:A137"/>
    <mergeCell ref="A138:A149"/>
    <mergeCell ref="A150:A161"/>
    <mergeCell ref="A162:A173"/>
    <mergeCell ref="A174:A18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CA7C-0303-43C4-9EA3-DDFD1DCD618D}">
  <dimension ref="A1:D22"/>
  <sheetViews>
    <sheetView topLeftCell="A4" zoomScale="70" zoomScaleNormal="70" workbookViewId="0">
      <selection activeCell="F12" sqref="F12"/>
    </sheetView>
  </sheetViews>
  <sheetFormatPr baseColWidth="10" defaultColWidth="11.453125" defaultRowHeight="14.5" x14ac:dyDescent="0.35"/>
  <cols>
    <col min="1" max="2" width="23.26953125" customWidth="1"/>
    <col min="3" max="3" width="31.453125" customWidth="1"/>
    <col min="4" max="4" width="18.26953125" customWidth="1"/>
  </cols>
  <sheetData>
    <row r="1" spans="1:4" x14ac:dyDescent="0.35">
      <c r="A1" s="71"/>
      <c r="B1" s="71"/>
      <c r="C1" s="71"/>
    </row>
    <row r="2" spans="1:4" x14ac:dyDescent="0.35">
      <c r="A2" s="71" t="s">
        <v>5</v>
      </c>
      <c r="B2" s="71"/>
      <c r="C2" s="71"/>
    </row>
    <row r="3" spans="1:4" ht="36.75" customHeight="1" x14ac:dyDescent="0.35">
      <c r="A3" s="72" t="s">
        <v>6</v>
      </c>
      <c r="B3" s="72"/>
      <c r="C3" s="72"/>
    </row>
    <row r="4" spans="1:4" ht="72.75" customHeight="1" x14ac:dyDescent="0.35">
      <c r="A4" s="72" t="s">
        <v>7</v>
      </c>
      <c r="B4" s="72"/>
      <c r="C4" s="72"/>
    </row>
    <row r="5" spans="1:4" x14ac:dyDescent="0.35">
      <c r="A5" s="2"/>
      <c r="B5" s="2"/>
      <c r="C5" s="2"/>
    </row>
    <row r="6" spans="1:4" x14ac:dyDescent="0.35">
      <c r="A6" s="3" t="s">
        <v>8</v>
      </c>
      <c r="B6" s="3"/>
      <c r="C6" s="3"/>
    </row>
    <row r="7" spans="1:4" x14ac:dyDescent="0.35">
      <c r="A7" s="3" t="s">
        <v>9</v>
      </c>
      <c r="B7" s="3" t="s">
        <v>10</v>
      </c>
    </row>
    <row r="8" spans="1:4" x14ac:dyDescent="0.35">
      <c r="A8" s="3" t="s">
        <v>11</v>
      </c>
      <c r="B8" s="3"/>
      <c r="C8" s="3"/>
    </row>
    <row r="9" spans="1:4" ht="15" thickBot="1" x14ac:dyDescent="0.4">
      <c r="A9" s="3"/>
      <c r="B9" s="3"/>
      <c r="C9" s="3"/>
    </row>
    <row r="10" spans="1:4" ht="29.5" thickBot="1" x14ac:dyDescent="0.4">
      <c r="A10" s="6" t="s">
        <v>3</v>
      </c>
      <c r="B10" s="7" t="s">
        <v>4</v>
      </c>
      <c r="C10" s="7" t="s">
        <v>12</v>
      </c>
      <c r="D10" s="8" t="s">
        <v>13</v>
      </c>
    </row>
    <row r="11" spans="1:4" x14ac:dyDescent="0.35">
      <c r="A11" s="73">
        <v>2027</v>
      </c>
      <c r="B11" s="32" t="s">
        <v>14</v>
      </c>
      <c r="C11" s="34"/>
      <c r="D11" s="33"/>
    </row>
    <row r="12" spans="1:4" x14ac:dyDescent="0.35">
      <c r="A12" s="74"/>
      <c r="B12" s="20" t="s">
        <v>15</v>
      </c>
      <c r="C12" s="35"/>
      <c r="D12" s="23"/>
    </row>
    <row r="13" spans="1:4" x14ac:dyDescent="0.35">
      <c r="A13" s="74"/>
      <c r="B13" s="19" t="s">
        <v>16</v>
      </c>
      <c r="C13" s="36"/>
      <c r="D13" s="22"/>
    </row>
    <row r="14" spans="1:4" x14ac:dyDescent="0.35">
      <c r="A14" s="74"/>
      <c r="B14" s="20" t="s">
        <v>17</v>
      </c>
      <c r="C14" s="35"/>
      <c r="D14" s="23"/>
    </row>
    <row r="15" spans="1:4" x14ac:dyDescent="0.35">
      <c r="A15" s="74"/>
      <c r="B15" s="19" t="s">
        <v>18</v>
      </c>
      <c r="C15" s="36"/>
      <c r="D15" s="22"/>
    </row>
    <row r="16" spans="1:4" x14ac:dyDescent="0.35">
      <c r="A16" s="74"/>
      <c r="B16" s="20" t="s">
        <v>19</v>
      </c>
      <c r="C16" s="35"/>
      <c r="D16" s="23"/>
    </row>
    <row r="17" spans="1:4" x14ac:dyDescent="0.35">
      <c r="A17" s="74"/>
      <c r="B17" s="19" t="s">
        <v>20</v>
      </c>
      <c r="C17" s="36"/>
      <c r="D17" s="22"/>
    </row>
    <row r="18" spans="1:4" x14ac:dyDescent="0.35">
      <c r="A18" s="74"/>
      <c r="B18" s="20" t="s">
        <v>21</v>
      </c>
      <c r="C18" s="35"/>
      <c r="D18" s="23"/>
    </row>
    <row r="19" spans="1:4" x14ac:dyDescent="0.35">
      <c r="A19" s="74"/>
      <c r="B19" s="19" t="s">
        <v>22</v>
      </c>
      <c r="C19" s="36"/>
      <c r="D19" s="22"/>
    </row>
    <row r="20" spans="1:4" x14ac:dyDescent="0.35">
      <c r="A20" s="74"/>
      <c r="B20" s="20" t="s">
        <v>23</v>
      </c>
      <c r="C20" s="35"/>
      <c r="D20" s="23"/>
    </row>
    <row r="21" spans="1:4" x14ac:dyDescent="0.35">
      <c r="A21" s="74"/>
      <c r="B21" s="19" t="s">
        <v>24</v>
      </c>
      <c r="C21" s="36"/>
      <c r="D21" s="22"/>
    </row>
    <row r="22" spans="1:4" ht="15" thickBot="1" x14ac:dyDescent="0.4">
      <c r="A22" s="75"/>
      <c r="B22" s="21" t="s">
        <v>25</v>
      </c>
      <c r="C22" s="37"/>
      <c r="D22" s="24"/>
    </row>
  </sheetData>
  <mergeCells count="5">
    <mergeCell ref="A1:C1"/>
    <mergeCell ref="A2:C2"/>
    <mergeCell ref="A3:C3"/>
    <mergeCell ref="A4:C4"/>
    <mergeCell ref="A11:A2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EDDF-D33D-4AF7-B3C4-60F8DE265EEA}">
  <dimension ref="A1:D22"/>
  <sheetViews>
    <sheetView zoomScale="70" zoomScaleNormal="70" workbookViewId="0">
      <selection activeCell="F14" sqref="F14"/>
    </sheetView>
  </sheetViews>
  <sheetFormatPr baseColWidth="10" defaultColWidth="11.453125" defaultRowHeight="14.5" x14ac:dyDescent="0.35"/>
  <cols>
    <col min="1" max="2" width="23.26953125" customWidth="1"/>
    <col min="3" max="3" width="31.453125" customWidth="1"/>
    <col min="4" max="4" width="18.26953125" customWidth="1"/>
  </cols>
  <sheetData>
    <row r="1" spans="1:4" x14ac:dyDescent="0.35">
      <c r="A1" s="71"/>
      <c r="B1" s="71"/>
      <c r="C1" s="71"/>
    </row>
    <row r="2" spans="1:4" x14ac:dyDescent="0.35">
      <c r="A2" s="71" t="s">
        <v>69</v>
      </c>
      <c r="B2" s="71"/>
      <c r="C2" s="71"/>
    </row>
    <row r="3" spans="1:4" ht="36.75" customHeight="1" x14ac:dyDescent="0.35">
      <c r="A3" s="72" t="s">
        <v>72</v>
      </c>
      <c r="B3" s="72"/>
      <c r="C3" s="72"/>
    </row>
    <row r="4" spans="1:4" ht="72.75" customHeight="1" x14ac:dyDescent="0.35">
      <c r="A4" s="72" t="s">
        <v>114</v>
      </c>
      <c r="B4" s="72"/>
      <c r="C4" s="72"/>
    </row>
    <row r="5" spans="1:4" x14ac:dyDescent="0.35">
      <c r="A5" s="2"/>
      <c r="B5" s="2"/>
      <c r="C5" s="2"/>
    </row>
    <row r="6" spans="1:4" x14ac:dyDescent="0.35">
      <c r="A6" s="3" t="s">
        <v>8</v>
      </c>
      <c r="B6" s="3"/>
      <c r="C6" s="3"/>
    </row>
    <row r="7" spans="1:4" x14ac:dyDescent="0.35">
      <c r="A7" s="3" t="s">
        <v>9</v>
      </c>
      <c r="B7" s="3" t="s">
        <v>10</v>
      </c>
    </row>
    <row r="8" spans="1:4" x14ac:dyDescent="0.35">
      <c r="A8" s="3" t="s">
        <v>11</v>
      </c>
      <c r="B8" s="3"/>
      <c r="C8" s="3"/>
    </row>
    <row r="9" spans="1:4" ht="15" thickBot="1" x14ac:dyDescent="0.4">
      <c r="A9" s="3"/>
      <c r="B9" s="3"/>
      <c r="C9" s="3"/>
    </row>
    <row r="10" spans="1:4" ht="29.5" thickBot="1" x14ac:dyDescent="0.4">
      <c r="A10" s="6" t="s">
        <v>3</v>
      </c>
      <c r="B10" s="7" t="s">
        <v>4</v>
      </c>
      <c r="C10" s="7" t="s">
        <v>12</v>
      </c>
      <c r="D10" s="8" t="s">
        <v>13</v>
      </c>
    </row>
    <row r="11" spans="1:4" x14ac:dyDescent="0.35">
      <c r="A11" s="73">
        <v>2028</v>
      </c>
      <c r="B11" s="32" t="s">
        <v>14</v>
      </c>
      <c r="C11" s="34"/>
      <c r="D11" s="33"/>
    </row>
    <row r="12" spans="1:4" x14ac:dyDescent="0.35">
      <c r="A12" s="74"/>
      <c r="B12" s="20" t="s">
        <v>15</v>
      </c>
      <c r="C12" s="35"/>
      <c r="D12" s="23"/>
    </row>
    <row r="13" spans="1:4" x14ac:dyDescent="0.35">
      <c r="A13" s="74"/>
      <c r="B13" s="19" t="s">
        <v>16</v>
      </c>
      <c r="C13" s="36"/>
      <c r="D13" s="22"/>
    </row>
    <row r="14" spans="1:4" x14ac:dyDescent="0.35">
      <c r="A14" s="74"/>
      <c r="B14" s="20" t="s">
        <v>17</v>
      </c>
      <c r="C14" s="35"/>
      <c r="D14" s="23"/>
    </row>
    <row r="15" spans="1:4" x14ac:dyDescent="0.35">
      <c r="A15" s="74"/>
      <c r="B15" s="19" t="s">
        <v>18</v>
      </c>
      <c r="C15" s="36"/>
      <c r="D15" s="22"/>
    </row>
    <row r="16" spans="1:4" x14ac:dyDescent="0.35">
      <c r="A16" s="74"/>
      <c r="B16" s="20" t="s">
        <v>19</v>
      </c>
      <c r="C16" s="35"/>
      <c r="D16" s="23"/>
    </row>
    <row r="17" spans="1:4" x14ac:dyDescent="0.35">
      <c r="A17" s="74"/>
      <c r="B17" s="19" t="s">
        <v>20</v>
      </c>
      <c r="C17" s="36"/>
      <c r="D17" s="22"/>
    </row>
    <row r="18" spans="1:4" x14ac:dyDescent="0.35">
      <c r="A18" s="74"/>
      <c r="B18" s="20" t="s">
        <v>21</v>
      </c>
      <c r="C18" s="35"/>
      <c r="D18" s="23"/>
    </row>
    <row r="19" spans="1:4" x14ac:dyDescent="0.35">
      <c r="A19" s="74"/>
      <c r="B19" s="19" t="s">
        <v>22</v>
      </c>
      <c r="C19" s="36"/>
      <c r="D19" s="22"/>
    </row>
    <row r="20" spans="1:4" x14ac:dyDescent="0.35">
      <c r="A20" s="74"/>
      <c r="B20" s="20" t="s">
        <v>23</v>
      </c>
      <c r="C20" s="35"/>
      <c r="D20" s="23"/>
    </row>
    <row r="21" spans="1:4" x14ac:dyDescent="0.35">
      <c r="A21" s="74"/>
      <c r="B21" s="19" t="s">
        <v>24</v>
      </c>
      <c r="C21" s="36"/>
      <c r="D21" s="22"/>
    </row>
    <row r="22" spans="1:4" ht="15" thickBot="1" x14ac:dyDescent="0.4">
      <c r="A22" s="75"/>
      <c r="B22" s="21" t="s">
        <v>25</v>
      </c>
      <c r="C22" s="37"/>
      <c r="D22" s="24"/>
    </row>
  </sheetData>
  <mergeCells count="5">
    <mergeCell ref="A1:C1"/>
    <mergeCell ref="A2:C2"/>
    <mergeCell ref="A3:C3"/>
    <mergeCell ref="A4:C4"/>
    <mergeCell ref="A11:A2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F0B7-85FC-4150-9C17-6C126D50B30C}">
  <dimension ref="A1:D22"/>
  <sheetViews>
    <sheetView zoomScale="70" zoomScaleNormal="70" workbookViewId="0">
      <selection activeCell="G9" sqref="G9"/>
    </sheetView>
  </sheetViews>
  <sheetFormatPr baseColWidth="10" defaultColWidth="11.453125" defaultRowHeight="14.5" x14ac:dyDescent="0.35"/>
  <cols>
    <col min="1" max="2" width="23.26953125" customWidth="1"/>
    <col min="3" max="3" width="31.453125" customWidth="1"/>
    <col min="4" max="4" width="18.26953125" customWidth="1"/>
  </cols>
  <sheetData>
    <row r="1" spans="1:4" x14ac:dyDescent="0.35">
      <c r="A1" s="71"/>
      <c r="B1" s="71"/>
      <c r="C1" s="71"/>
    </row>
    <row r="2" spans="1:4" x14ac:dyDescent="0.35">
      <c r="A2" s="71" t="s">
        <v>71</v>
      </c>
      <c r="B2" s="71"/>
      <c r="C2" s="71"/>
    </row>
    <row r="3" spans="1:4" ht="36.75" customHeight="1" x14ac:dyDescent="0.35">
      <c r="A3" s="72" t="s">
        <v>70</v>
      </c>
      <c r="B3" s="72"/>
      <c r="C3" s="72"/>
    </row>
    <row r="4" spans="1:4" ht="72.75" customHeight="1" x14ac:dyDescent="0.35">
      <c r="A4" s="72" t="s">
        <v>113</v>
      </c>
      <c r="B4" s="72"/>
      <c r="C4" s="72"/>
    </row>
    <row r="5" spans="1:4" x14ac:dyDescent="0.35">
      <c r="A5" s="2"/>
      <c r="B5" s="2"/>
      <c r="C5" s="2"/>
    </row>
    <row r="6" spans="1:4" x14ac:dyDescent="0.35">
      <c r="A6" s="3" t="s">
        <v>8</v>
      </c>
      <c r="B6" s="3"/>
      <c r="C6" s="3"/>
    </row>
    <row r="7" spans="1:4" x14ac:dyDescent="0.35">
      <c r="A7" s="3" t="s">
        <v>9</v>
      </c>
      <c r="B7" s="3" t="s">
        <v>10</v>
      </c>
    </row>
    <row r="8" spans="1:4" x14ac:dyDescent="0.35">
      <c r="A8" s="3" t="s">
        <v>11</v>
      </c>
      <c r="B8" s="3"/>
      <c r="C8" s="3"/>
    </row>
    <row r="9" spans="1:4" ht="15" thickBot="1" x14ac:dyDescent="0.4">
      <c r="A9" s="3"/>
      <c r="B9" s="3"/>
      <c r="C9" s="3"/>
    </row>
    <row r="10" spans="1:4" ht="29.5" thickBot="1" x14ac:dyDescent="0.4">
      <c r="A10" s="6" t="s">
        <v>3</v>
      </c>
      <c r="B10" s="7" t="s">
        <v>4</v>
      </c>
      <c r="C10" s="7" t="s">
        <v>12</v>
      </c>
      <c r="D10" s="8" t="s">
        <v>13</v>
      </c>
    </row>
    <row r="11" spans="1:4" x14ac:dyDescent="0.35">
      <c r="A11" s="73">
        <v>2029</v>
      </c>
      <c r="B11" s="32" t="s">
        <v>14</v>
      </c>
      <c r="C11" s="34"/>
      <c r="D11" s="33"/>
    </row>
    <row r="12" spans="1:4" x14ac:dyDescent="0.35">
      <c r="A12" s="74"/>
      <c r="B12" s="20" t="s">
        <v>15</v>
      </c>
      <c r="C12" s="35"/>
      <c r="D12" s="23"/>
    </row>
    <row r="13" spans="1:4" x14ac:dyDescent="0.35">
      <c r="A13" s="74"/>
      <c r="B13" s="19" t="s">
        <v>16</v>
      </c>
      <c r="C13" s="36"/>
      <c r="D13" s="22"/>
    </row>
    <row r="14" spans="1:4" x14ac:dyDescent="0.35">
      <c r="A14" s="74"/>
      <c r="B14" s="20" t="s">
        <v>17</v>
      </c>
      <c r="C14" s="35"/>
      <c r="D14" s="23"/>
    </row>
    <row r="15" spans="1:4" x14ac:dyDescent="0.35">
      <c r="A15" s="74"/>
      <c r="B15" s="19" t="s">
        <v>18</v>
      </c>
      <c r="C15" s="36"/>
      <c r="D15" s="22"/>
    </row>
    <row r="16" spans="1:4" x14ac:dyDescent="0.35">
      <c r="A16" s="74"/>
      <c r="B16" s="20" t="s">
        <v>19</v>
      </c>
      <c r="C16" s="35"/>
      <c r="D16" s="23"/>
    </row>
    <row r="17" spans="1:4" x14ac:dyDescent="0.35">
      <c r="A17" s="74"/>
      <c r="B17" s="19" t="s">
        <v>20</v>
      </c>
      <c r="C17" s="36"/>
      <c r="D17" s="22"/>
    </row>
    <row r="18" spans="1:4" x14ac:dyDescent="0.35">
      <c r="A18" s="74"/>
      <c r="B18" s="20" t="s">
        <v>21</v>
      </c>
      <c r="C18" s="35"/>
      <c r="D18" s="23"/>
    </row>
    <row r="19" spans="1:4" x14ac:dyDescent="0.35">
      <c r="A19" s="74"/>
      <c r="B19" s="19" t="s">
        <v>22</v>
      </c>
      <c r="C19" s="36"/>
      <c r="D19" s="22"/>
    </row>
    <row r="20" spans="1:4" x14ac:dyDescent="0.35">
      <c r="A20" s="74"/>
      <c r="B20" s="20" t="s">
        <v>23</v>
      </c>
      <c r="C20" s="35"/>
      <c r="D20" s="23"/>
    </row>
    <row r="21" spans="1:4" x14ac:dyDescent="0.35">
      <c r="A21" s="74"/>
      <c r="B21" s="19" t="s">
        <v>24</v>
      </c>
      <c r="C21" s="36"/>
      <c r="D21" s="22"/>
    </row>
    <row r="22" spans="1:4" ht="15" thickBot="1" x14ac:dyDescent="0.4">
      <c r="A22" s="75"/>
      <c r="B22" s="21" t="s">
        <v>25</v>
      </c>
      <c r="C22" s="37"/>
      <c r="D22" s="24"/>
    </row>
  </sheetData>
  <mergeCells count="5">
    <mergeCell ref="A1:C1"/>
    <mergeCell ref="A2:C2"/>
    <mergeCell ref="A3:C3"/>
    <mergeCell ref="A4:C4"/>
    <mergeCell ref="A11:A2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1443-810A-4E3E-BBED-8C7BA2F2F842}">
  <dimension ref="A1:D22"/>
  <sheetViews>
    <sheetView zoomScale="70" zoomScaleNormal="70" workbookViewId="0">
      <selection activeCell="G10" sqref="G10:G11"/>
    </sheetView>
  </sheetViews>
  <sheetFormatPr baseColWidth="10" defaultColWidth="11.453125" defaultRowHeight="14.5" x14ac:dyDescent="0.35"/>
  <cols>
    <col min="1" max="2" width="23.26953125" customWidth="1"/>
    <col min="3" max="3" width="31.453125" customWidth="1"/>
    <col min="4" max="4" width="18.26953125" customWidth="1"/>
  </cols>
  <sheetData>
    <row r="1" spans="1:4" x14ac:dyDescent="0.35">
      <c r="A1" s="71"/>
      <c r="B1" s="71"/>
      <c r="C1" s="71"/>
    </row>
    <row r="2" spans="1:4" x14ac:dyDescent="0.35">
      <c r="A2" s="71" t="s">
        <v>73</v>
      </c>
      <c r="B2" s="71"/>
      <c r="C2" s="71"/>
    </row>
    <row r="3" spans="1:4" ht="36.75" customHeight="1" x14ac:dyDescent="0.35">
      <c r="A3" s="72" t="s">
        <v>74</v>
      </c>
      <c r="B3" s="72"/>
      <c r="C3" s="72"/>
    </row>
    <row r="4" spans="1:4" ht="72.75" customHeight="1" x14ac:dyDescent="0.35">
      <c r="A4" s="72" t="s">
        <v>112</v>
      </c>
      <c r="B4" s="72"/>
      <c r="C4" s="72"/>
    </row>
    <row r="5" spans="1:4" x14ac:dyDescent="0.35">
      <c r="A5" s="2"/>
      <c r="B5" s="2"/>
      <c r="C5" s="2"/>
    </row>
    <row r="6" spans="1:4" x14ac:dyDescent="0.35">
      <c r="A6" s="3" t="s">
        <v>8</v>
      </c>
      <c r="B6" s="3"/>
      <c r="C6" s="3"/>
    </row>
    <row r="7" spans="1:4" x14ac:dyDescent="0.35">
      <c r="A7" s="3" t="s">
        <v>9</v>
      </c>
      <c r="B7" s="3" t="s">
        <v>10</v>
      </c>
    </row>
    <row r="8" spans="1:4" x14ac:dyDescent="0.35">
      <c r="A8" s="3" t="s">
        <v>11</v>
      </c>
      <c r="B8" s="3"/>
      <c r="C8" s="3"/>
    </row>
    <row r="9" spans="1:4" ht="15" thickBot="1" x14ac:dyDescent="0.4">
      <c r="A9" s="3"/>
      <c r="B9" s="3"/>
      <c r="C9" s="3"/>
    </row>
    <row r="10" spans="1:4" ht="29.5" thickBot="1" x14ac:dyDescent="0.4">
      <c r="A10" s="6" t="s">
        <v>3</v>
      </c>
      <c r="B10" s="7" t="s">
        <v>4</v>
      </c>
      <c r="C10" s="7" t="s">
        <v>12</v>
      </c>
      <c r="D10" s="8" t="s">
        <v>13</v>
      </c>
    </row>
    <row r="11" spans="1:4" x14ac:dyDescent="0.35">
      <c r="A11" s="73">
        <v>2030</v>
      </c>
      <c r="B11" s="32" t="s">
        <v>14</v>
      </c>
      <c r="C11" s="34"/>
      <c r="D11" s="33"/>
    </row>
    <row r="12" spans="1:4" x14ac:dyDescent="0.35">
      <c r="A12" s="74"/>
      <c r="B12" s="20" t="s">
        <v>15</v>
      </c>
      <c r="C12" s="35"/>
      <c r="D12" s="23"/>
    </row>
    <row r="13" spans="1:4" x14ac:dyDescent="0.35">
      <c r="A13" s="74"/>
      <c r="B13" s="19" t="s">
        <v>16</v>
      </c>
      <c r="C13" s="36"/>
      <c r="D13" s="22"/>
    </row>
    <row r="14" spans="1:4" x14ac:dyDescent="0.35">
      <c r="A14" s="74"/>
      <c r="B14" s="20" t="s">
        <v>17</v>
      </c>
      <c r="C14" s="35"/>
      <c r="D14" s="23"/>
    </row>
    <row r="15" spans="1:4" x14ac:dyDescent="0.35">
      <c r="A15" s="74"/>
      <c r="B15" s="19" t="s">
        <v>18</v>
      </c>
      <c r="C15" s="36"/>
      <c r="D15" s="22"/>
    </row>
    <row r="16" spans="1:4" x14ac:dyDescent="0.35">
      <c r="A16" s="74"/>
      <c r="B16" s="20" t="s">
        <v>19</v>
      </c>
      <c r="C16" s="35"/>
      <c r="D16" s="23"/>
    </row>
    <row r="17" spans="1:4" x14ac:dyDescent="0.35">
      <c r="A17" s="74"/>
      <c r="B17" s="19" t="s">
        <v>20</v>
      </c>
      <c r="C17" s="36"/>
      <c r="D17" s="22"/>
    </row>
    <row r="18" spans="1:4" x14ac:dyDescent="0.35">
      <c r="A18" s="74"/>
      <c r="B18" s="20" t="s">
        <v>21</v>
      </c>
      <c r="C18" s="35"/>
      <c r="D18" s="23"/>
    </row>
    <row r="19" spans="1:4" x14ac:dyDescent="0.35">
      <c r="A19" s="74"/>
      <c r="B19" s="19" t="s">
        <v>22</v>
      </c>
      <c r="C19" s="36"/>
      <c r="D19" s="22"/>
    </row>
    <row r="20" spans="1:4" x14ac:dyDescent="0.35">
      <c r="A20" s="74"/>
      <c r="B20" s="20" t="s">
        <v>23</v>
      </c>
      <c r="C20" s="35"/>
      <c r="D20" s="23"/>
    </row>
    <row r="21" spans="1:4" x14ac:dyDescent="0.35">
      <c r="A21" s="74"/>
      <c r="B21" s="19" t="s">
        <v>24</v>
      </c>
      <c r="C21" s="36"/>
      <c r="D21" s="22"/>
    </row>
    <row r="22" spans="1:4" ht="15" thickBot="1" x14ac:dyDescent="0.4">
      <c r="A22" s="75"/>
      <c r="B22" s="21" t="s">
        <v>25</v>
      </c>
      <c r="C22" s="37"/>
      <c r="D22" s="24"/>
    </row>
  </sheetData>
  <mergeCells count="5">
    <mergeCell ref="A1:C1"/>
    <mergeCell ref="A2:C2"/>
    <mergeCell ref="A3:C3"/>
    <mergeCell ref="A4:C4"/>
    <mergeCell ref="A11:A2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D76B-74CB-4BC9-B7E3-26F182CED6D4}">
  <dimension ref="A1:D22"/>
  <sheetViews>
    <sheetView zoomScale="70" zoomScaleNormal="70" workbookViewId="0">
      <selection activeCell="A4" sqref="A4:C4"/>
    </sheetView>
  </sheetViews>
  <sheetFormatPr baseColWidth="10" defaultColWidth="11.453125" defaultRowHeight="14.5" x14ac:dyDescent="0.35"/>
  <cols>
    <col min="1" max="2" width="23.26953125" customWidth="1"/>
    <col min="3" max="3" width="31.453125" customWidth="1"/>
    <col min="4" max="4" width="18.26953125" customWidth="1"/>
  </cols>
  <sheetData>
    <row r="1" spans="1:4" x14ac:dyDescent="0.35">
      <c r="A1" s="71"/>
      <c r="B1" s="71"/>
      <c r="C1" s="71"/>
    </row>
    <row r="2" spans="1:4" x14ac:dyDescent="0.35">
      <c r="A2" s="71" t="s">
        <v>75</v>
      </c>
      <c r="B2" s="71"/>
      <c r="C2" s="71"/>
    </row>
    <row r="3" spans="1:4" ht="36.75" customHeight="1" x14ac:dyDescent="0.35">
      <c r="A3" s="72" t="s">
        <v>76</v>
      </c>
      <c r="B3" s="72"/>
      <c r="C3" s="72"/>
    </row>
    <row r="4" spans="1:4" ht="72.75" customHeight="1" x14ac:dyDescent="0.35">
      <c r="A4" s="72" t="s">
        <v>111</v>
      </c>
      <c r="B4" s="72"/>
      <c r="C4" s="72"/>
    </row>
    <row r="5" spans="1:4" x14ac:dyDescent="0.35">
      <c r="A5" s="2"/>
      <c r="B5" s="2"/>
      <c r="C5" s="2"/>
    </row>
    <row r="6" spans="1:4" x14ac:dyDescent="0.35">
      <c r="A6" s="3" t="s">
        <v>8</v>
      </c>
      <c r="B6" s="3"/>
      <c r="C6" s="3"/>
    </row>
    <row r="7" spans="1:4" x14ac:dyDescent="0.35">
      <c r="A7" s="3" t="s">
        <v>9</v>
      </c>
      <c r="B7" s="3" t="s">
        <v>10</v>
      </c>
    </row>
    <row r="8" spans="1:4" x14ac:dyDescent="0.35">
      <c r="A8" s="3" t="s">
        <v>11</v>
      </c>
      <c r="B8" s="3"/>
      <c r="C8" s="3"/>
    </row>
    <row r="9" spans="1:4" ht="15" thickBot="1" x14ac:dyDescent="0.4">
      <c r="A9" s="3"/>
      <c r="B9" s="3"/>
      <c r="C9" s="3"/>
    </row>
    <row r="10" spans="1:4" ht="29.5" thickBot="1" x14ac:dyDescent="0.4">
      <c r="A10" s="6" t="s">
        <v>3</v>
      </c>
      <c r="B10" s="7" t="s">
        <v>4</v>
      </c>
      <c r="C10" s="7" t="s">
        <v>12</v>
      </c>
      <c r="D10" s="8" t="s">
        <v>13</v>
      </c>
    </row>
    <row r="11" spans="1:4" x14ac:dyDescent="0.35">
      <c r="A11" s="73">
        <v>2031</v>
      </c>
      <c r="B11" s="32" t="s">
        <v>14</v>
      </c>
      <c r="C11" s="34"/>
      <c r="D11" s="33"/>
    </row>
    <row r="12" spans="1:4" x14ac:dyDescent="0.35">
      <c r="A12" s="74"/>
      <c r="B12" s="20" t="s">
        <v>15</v>
      </c>
      <c r="C12" s="35"/>
      <c r="D12" s="23"/>
    </row>
    <row r="13" spans="1:4" x14ac:dyDescent="0.35">
      <c r="A13" s="74"/>
      <c r="B13" s="19" t="s">
        <v>16</v>
      </c>
      <c r="C13" s="36"/>
      <c r="D13" s="22"/>
    </row>
    <row r="14" spans="1:4" x14ac:dyDescent="0.35">
      <c r="A14" s="74"/>
      <c r="B14" s="20" t="s">
        <v>17</v>
      </c>
      <c r="C14" s="35"/>
      <c r="D14" s="23"/>
    </row>
    <row r="15" spans="1:4" x14ac:dyDescent="0.35">
      <c r="A15" s="74"/>
      <c r="B15" s="19" t="s">
        <v>18</v>
      </c>
      <c r="C15" s="36"/>
      <c r="D15" s="22"/>
    </row>
    <row r="16" spans="1:4" x14ac:dyDescent="0.35">
      <c r="A16" s="74"/>
      <c r="B16" s="20" t="s">
        <v>19</v>
      </c>
      <c r="C16" s="35"/>
      <c r="D16" s="23"/>
    </row>
    <row r="17" spans="1:4" x14ac:dyDescent="0.35">
      <c r="A17" s="74"/>
      <c r="B17" s="19" t="s">
        <v>20</v>
      </c>
      <c r="C17" s="36"/>
      <c r="D17" s="22"/>
    </row>
    <row r="18" spans="1:4" x14ac:dyDescent="0.35">
      <c r="A18" s="74"/>
      <c r="B18" s="20" t="s">
        <v>21</v>
      </c>
      <c r="C18" s="35"/>
      <c r="D18" s="23"/>
    </row>
    <row r="19" spans="1:4" x14ac:dyDescent="0.35">
      <c r="A19" s="74"/>
      <c r="B19" s="19" t="s">
        <v>22</v>
      </c>
      <c r="C19" s="36"/>
      <c r="D19" s="22"/>
    </row>
    <row r="20" spans="1:4" x14ac:dyDescent="0.35">
      <c r="A20" s="74"/>
      <c r="B20" s="20" t="s">
        <v>23</v>
      </c>
      <c r="C20" s="35"/>
      <c r="D20" s="23"/>
    </row>
    <row r="21" spans="1:4" x14ac:dyDescent="0.35">
      <c r="A21" s="74"/>
      <c r="B21" s="19" t="s">
        <v>24</v>
      </c>
      <c r="C21" s="36"/>
      <c r="D21" s="22"/>
    </row>
    <row r="22" spans="1:4" ht="15" thickBot="1" x14ac:dyDescent="0.4">
      <c r="A22" s="75"/>
      <c r="B22" s="21" t="s">
        <v>25</v>
      </c>
      <c r="C22" s="37"/>
      <c r="D22" s="24"/>
    </row>
  </sheetData>
  <mergeCells count="5">
    <mergeCell ref="A1:C1"/>
    <mergeCell ref="A2:C2"/>
    <mergeCell ref="A3:C3"/>
    <mergeCell ref="A4:C4"/>
    <mergeCell ref="A11:A2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9E86-4758-4741-B9EB-F458D1F2C5B0}">
  <dimension ref="A1:D190"/>
  <sheetViews>
    <sheetView zoomScale="70" zoomScaleNormal="70" workbookViewId="0">
      <selection activeCell="F17" sqref="F17"/>
    </sheetView>
  </sheetViews>
  <sheetFormatPr baseColWidth="10" defaultColWidth="11.453125" defaultRowHeight="14.5" x14ac:dyDescent="0.35"/>
  <cols>
    <col min="1" max="2" width="23.26953125" customWidth="1"/>
    <col min="3" max="3" width="31.453125" customWidth="1"/>
    <col min="4" max="4" width="18.26953125" customWidth="1"/>
  </cols>
  <sheetData>
    <row r="1" spans="1:4" x14ac:dyDescent="0.35">
      <c r="A1" s="71"/>
      <c r="B1" s="71"/>
      <c r="C1" s="71"/>
    </row>
    <row r="2" spans="1:4" x14ac:dyDescent="0.35">
      <c r="A2" s="71" t="s">
        <v>108</v>
      </c>
      <c r="B2" s="71"/>
      <c r="C2" s="71"/>
    </row>
    <row r="3" spans="1:4" ht="36.75" customHeight="1" x14ac:dyDescent="0.35">
      <c r="A3" s="72" t="s">
        <v>109</v>
      </c>
      <c r="B3" s="72"/>
      <c r="C3" s="72"/>
    </row>
    <row r="4" spans="1:4" ht="72.75" customHeight="1" x14ac:dyDescent="0.35">
      <c r="A4" s="72" t="s">
        <v>110</v>
      </c>
      <c r="B4" s="72"/>
      <c r="C4" s="72"/>
    </row>
    <row r="5" spans="1:4" x14ac:dyDescent="0.35">
      <c r="A5" s="2"/>
      <c r="B5" s="2"/>
      <c r="C5" s="2"/>
    </row>
    <row r="6" spans="1:4" x14ac:dyDescent="0.35">
      <c r="A6" s="3" t="s">
        <v>8</v>
      </c>
      <c r="B6" s="3"/>
      <c r="C6" s="3"/>
    </row>
    <row r="7" spans="1:4" x14ac:dyDescent="0.35">
      <c r="A7" s="3" t="s">
        <v>9</v>
      </c>
      <c r="B7" s="3" t="s">
        <v>10</v>
      </c>
    </row>
    <row r="8" spans="1:4" x14ac:dyDescent="0.35">
      <c r="A8" s="3" t="s">
        <v>11</v>
      </c>
      <c r="B8" s="3"/>
      <c r="C8" s="3"/>
    </row>
    <row r="9" spans="1:4" ht="15" thickBot="1" x14ac:dyDescent="0.4">
      <c r="A9" s="3"/>
      <c r="B9" s="3"/>
      <c r="C9" s="3"/>
    </row>
    <row r="10" spans="1:4" ht="29.5" thickBot="1" x14ac:dyDescent="0.4">
      <c r="A10" s="6" t="s">
        <v>3</v>
      </c>
      <c r="B10" s="7" t="s">
        <v>4</v>
      </c>
      <c r="C10" s="7" t="s">
        <v>12</v>
      </c>
      <c r="D10" s="8" t="s">
        <v>13</v>
      </c>
    </row>
    <row r="11" spans="1:4" ht="13" customHeight="1" x14ac:dyDescent="0.35">
      <c r="A11" s="73">
        <v>2027</v>
      </c>
      <c r="B11" s="32" t="s">
        <v>14</v>
      </c>
      <c r="C11" s="78"/>
      <c r="D11" s="33"/>
    </row>
    <row r="12" spans="1:4" x14ac:dyDescent="0.35">
      <c r="A12" s="74"/>
      <c r="B12" s="20" t="s">
        <v>15</v>
      </c>
      <c r="C12" s="79"/>
      <c r="D12" s="23"/>
    </row>
    <row r="13" spans="1:4" x14ac:dyDescent="0.35">
      <c r="A13" s="74"/>
      <c r="B13" s="19" t="s">
        <v>16</v>
      </c>
      <c r="C13" s="79"/>
      <c r="D13" s="22"/>
    </row>
    <row r="14" spans="1:4" x14ac:dyDescent="0.35">
      <c r="A14" s="74"/>
      <c r="B14" s="20" t="s">
        <v>17</v>
      </c>
      <c r="C14" s="79"/>
      <c r="D14" s="23"/>
    </row>
    <row r="15" spans="1:4" x14ac:dyDescent="0.35">
      <c r="A15" s="74"/>
      <c r="B15" s="19" t="s">
        <v>18</v>
      </c>
      <c r="C15" s="79"/>
      <c r="D15" s="22"/>
    </row>
    <row r="16" spans="1:4" x14ac:dyDescent="0.35">
      <c r="A16" s="74"/>
      <c r="B16" s="20" t="s">
        <v>19</v>
      </c>
      <c r="C16" s="79"/>
      <c r="D16" s="23"/>
    </row>
    <row r="17" spans="1:4" x14ac:dyDescent="0.35">
      <c r="A17" s="74"/>
      <c r="B17" s="19" t="s">
        <v>20</v>
      </c>
      <c r="C17" s="79"/>
      <c r="D17" s="22"/>
    </row>
    <row r="18" spans="1:4" x14ac:dyDescent="0.35">
      <c r="A18" s="74"/>
      <c r="B18" s="20" t="s">
        <v>21</v>
      </c>
      <c r="C18" s="79"/>
      <c r="D18" s="23"/>
    </row>
    <row r="19" spans="1:4" x14ac:dyDescent="0.35">
      <c r="A19" s="74"/>
      <c r="B19" s="19" t="s">
        <v>22</v>
      </c>
      <c r="C19" s="79"/>
      <c r="D19" s="22"/>
    </row>
    <row r="20" spans="1:4" x14ac:dyDescent="0.35">
      <c r="A20" s="74"/>
      <c r="B20" s="20" t="s">
        <v>23</v>
      </c>
      <c r="C20" s="79"/>
      <c r="D20" s="23"/>
    </row>
    <row r="21" spans="1:4" x14ac:dyDescent="0.35">
      <c r="A21" s="74"/>
      <c r="B21" s="19" t="s">
        <v>24</v>
      </c>
      <c r="C21" s="79"/>
      <c r="D21" s="22"/>
    </row>
    <row r="22" spans="1:4" ht="15" thickBot="1" x14ac:dyDescent="0.4">
      <c r="A22" s="75"/>
      <c r="B22" s="21" t="s">
        <v>25</v>
      </c>
      <c r="C22" s="80"/>
      <c r="D22" s="24"/>
    </row>
    <row r="23" spans="1:4" x14ac:dyDescent="0.35">
      <c r="A23" s="73">
        <v>2028</v>
      </c>
      <c r="B23" s="32" t="s">
        <v>14</v>
      </c>
      <c r="C23" s="78"/>
      <c r="D23" s="33"/>
    </row>
    <row r="24" spans="1:4" x14ac:dyDescent="0.35">
      <c r="A24" s="74"/>
      <c r="B24" s="20" t="s">
        <v>15</v>
      </c>
      <c r="C24" s="79"/>
      <c r="D24" s="23"/>
    </row>
    <row r="25" spans="1:4" x14ac:dyDescent="0.35">
      <c r="A25" s="74"/>
      <c r="B25" s="19" t="s">
        <v>16</v>
      </c>
      <c r="C25" s="79"/>
      <c r="D25" s="22"/>
    </row>
    <row r="26" spans="1:4" x14ac:dyDescent="0.35">
      <c r="A26" s="74"/>
      <c r="B26" s="20" t="s">
        <v>17</v>
      </c>
      <c r="C26" s="79"/>
      <c r="D26" s="23"/>
    </row>
    <row r="27" spans="1:4" x14ac:dyDescent="0.35">
      <c r="A27" s="74"/>
      <c r="B27" s="19" t="s">
        <v>18</v>
      </c>
      <c r="C27" s="79"/>
      <c r="D27" s="22"/>
    </row>
    <row r="28" spans="1:4" x14ac:dyDescent="0.35">
      <c r="A28" s="74"/>
      <c r="B28" s="20" t="s">
        <v>19</v>
      </c>
      <c r="C28" s="79"/>
      <c r="D28" s="23"/>
    </row>
    <row r="29" spans="1:4" x14ac:dyDescent="0.35">
      <c r="A29" s="74"/>
      <c r="B29" s="19" t="s">
        <v>20</v>
      </c>
      <c r="C29" s="79"/>
      <c r="D29" s="22"/>
    </row>
    <row r="30" spans="1:4" x14ac:dyDescent="0.35">
      <c r="A30" s="74"/>
      <c r="B30" s="20" t="s">
        <v>21</v>
      </c>
      <c r="C30" s="79"/>
      <c r="D30" s="23"/>
    </row>
    <row r="31" spans="1:4" x14ac:dyDescent="0.35">
      <c r="A31" s="74"/>
      <c r="B31" s="19" t="s">
        <v>22</v>
      </c>
      <c r="C31" s="79"/>
      <c r="D31" s="22"/>
    </row>
    <row r="32" spans="1:4" x14ac:dyDescent="0.35">
      <c r="A32" s="74"/>
      <c r="B32" s="20" t="s">
        <v>23</v>
      </c>
      <c r="C32" s="79"/>
      <c r="D32" s="23"/>
    </row>
    <row r="33" spans="1:4" x14ac:dyDescent="0.35">
      <c r="A33" s="74"/>
      <c r="B33" s="19" t="s">
        <v>24</v>
      </c>
      <c r="C33" s="79"/>
      <c r="D33" s="22"/>
    </row>
    <row r="34" spans="1:4" ht="15" thickBot="1" x14ac:dyDescent="0.4">
      <c r="A34" s="75"/>
      <c r="B34" s="21" t="s">
        <v>25</v>
      </c>
      <c r="C34" s="80"/>
      <c r="D34" s="24"/>
    </row>
    <row r="35" spans="1:4" x14ac:dyDescent="0.35">
      <c r="A35" s="73">
        <v>2029</v>
      </c>
      <c r="B35" s="32" t="s">
        <v>14</v>
      </c>
      <c r="C35" s="78"/>
      <c r="D35" s="33"/>
    </row>
    <row r="36" spans="1:4" x14ac:dyDescent="0.35">
      <c r="A36" s="74"/>
      <c r="B36" s="20" t="s">
        <v>15</v>
      </c>
      <c r="C36" s="79"/>
      <c r="D36" s="23"/>
    </row>
    <row r="37" spans="1:4" x14ac:dyDescent="0.35">
      <c r="A37" s="74"/>
      <c r="B37" s="19" t="s">
        <v>16</v>
      </c>
      <c r="C37" s="79"/>
      <c r="D37" s="22"/>
    </row>
    <row r="38" spans="1:4" x14ac:dyDescent="0.35">
      <c r="A38" s="74"/>
      <c r="B38" s="20" t="s">
        <v>17</v>
      </c>
      <c r="C38" s="79"/>
      <c r="D38" s="23"/>
    </row>
    <row r="39" spans="1:4" x14ac:dyDescent="0.35">
      <c r="A39" s="74"/>
      <c r="B39" s="19" t="s">
        <v>18</v>
      </c>
      <c r="C39" s="79"/>
      <c r="D39" s="22"/>
    </row>
    <row r="40" spans="1:4" x14ac:dyDescent="0.35">
      <c r="A40" s="74"/>
      <c r="B40" s="20" t="s">
        <v>19</v>
      </c>
      <c r="C40" s="79"/>
      <c r="D40" s="23"/>
    </row>
    <row r="41" spans="1:4" x14ac:dyDescent="0.35">
      <c r="A41" s="74"/>
      <c r="B41" s="19" t="s">
        <v>20</v>
      </c>
      <c r="C41" s="79"/>
      <c r="D41" s="22"/>
    </row>
    <row r="42" spans="1:4" x14ac:dyDescent="0.35">
      <c r="A42" s="74"/>
      <c r="B42" s="20" t="s">
        <v>21</v>
      </c>
      <c r="C42" s="79"/>
      <c r="D42" s="23"/>
    </row>
    <row r="43" spans="1:4" x14ac:dyDescent="0.35">
      <c r="A43" s="74"/>
      <c r="B43" s="19" t="s">
        <v>22</v>
      </c>
      <c r="C43" s="79"/>
      <c r="D43" s="22"/>
    </row>
    <row r="44" spans="1:4" x14ac:dyDescent="0.35">
      <c r="A44" s="74"/>
      <c r="B44" s="20" t="s">
        <v>23</v>
      </c>
      <c r="C44" s="79"/>
      <c r="D44" s="23"/>
    </row>
    <row r="45" spans="1:4" x14ac:dyDescent="0.35">
      <c r="A45" s="74"/>
      <c r="B45" s="19" t="s">
        <v>24</v>
      </c>
      <c r="C45" s="79"/>
      <c r="D45" s="22"/>
    </row>
    <row r="46" spans="1:4" ht="15" thickBot="1" x14ac:dyDescent="0.4">
      <c r="A46" s="75"/>
      <c r="B46" s="21" t="s">
        <v>25</v>
      </c>
      <c r="C46" s="80"/>
      <c r="D46" s="24"/>
    </row>
    <row r="47" spans="1:4" x14ac:dyDescent="0.35">
      <c r="A47" s="73">
        <v>2030</v>
      </c>
      <c r="B47" s="32" t="s">
        <v>14</v>
      </c>
      <c r="C47" s="78"/>
      <c r="D47" s="33"/>
    </row>
    <row r="48" spans="1:4" x14ac:dyDescent="0.35">
      <c r="A48" s="74"/>
      <c r="B48" s="20" t="s">
        <v>15</v>
      </c>
      <c r="C48" s="79"/>
      <c r="D48" s="23"/>
    </row>
    <row r="49" spans="1:4" x14ac:dyDescent="0.35">
      <c r="A49" s="74"/>
      <c r="B49" s="19" t="s">
        <v>16</v>
      </c>
      <c r="C49" s="79"/>
      <c r="D49" s="22"/>
    </row>
    <row r="50" spans="1:4" x14ac:dyDescent="0.35">
      <c r="A50" s="74"/>
      <c r="B50" s="20" t="s">
        <v>17</v>
      </c>
      <c r="C50" s="79"/>
      <c r="D50" s="23"/>
    </row>
    <row r="51" spans="1:4" x14ac:dyDescent="0.35">
      <c r="A51" s="74"/>
      <c r="B51" s="19" t="s">
        <v>18</v>
      </c>
      <c r="C51" s="79"/>
      <c r="D51" s="22"/>
    </row>
    <row r="52" spans="1:4" x14ac:dyDescent="0.35">
      <c r="A52" s="74"/>
      <c r="B52" s="20" t="s">
        <v>19</v>
      </c>
      <c r="C52" s="79"/>
      <c r="D52" s="23"/>
    </row>
    <row r="53" spans="1:4" x14ac:dyDescent="0.35">
      <c r="A53" s="74"/>
      <c r="B53" s="19" t="s">
        <v>20</v>
      </c>
      <c r="C53" s="79"/>
      <c r="D53" s="22"/>
    </row>
    <row r="54" spans="1:4" x14ac:dyDescent="0.35">
      <c r="A54" s="74"/>
      <c r="B54" s="20" t="s">
        <v>21</v>
      </c>
      <c r="C54" s="79"/>
      <c r="D54" s="23"/>
    </row>
    <row r="55" spans="1:4" x14ac:dyDescent="0.35">
      <c r="A55" s="74"/>
      <c r="B55" s="19" t="s">
        <v>22</v>
      </c>
      <c r="C55" s="79"/>
      <c r="D55" s="22"/>
    </row>
    <row r="56" spans="1:4" x14ac:dyDescent="0.35">
      <c r="A56" s="74"/>
      <c r="B56" s="20" t="s">
        <v>23</v>
      </c>
      <c r="C56" s="79"/>
      <c r="D56" s="23"/>
    </row>
    <row r="57" spans="1:4" x14ac:dyDescent="0.35">
      <c r="A57" s="74"/>
      <c r="B57" s="19" t="s">
        <v>24</v>
      </c>
      <c r="C57" s="79"/>
      <c r="D57" s="22"/>
    </row>
    <row r="58" spans="1:4" ht="15" thickBot="1" x14ac:dyDescent="0.4">
      <c r="A58" s="75"/>
      <c r="B58" s="21" t="s">
        <v>25</v>
      </c>
      <c r="C58" s="80"/>
      <c r="D58" s="24"/>
    </row>
    <row r="59" spans="1:4" x14ac:dyDescent="0.35">
      <c r="A59" s="73">
        <v>2031</v>
      </c>
      <c r="B59" s="32" t="s">
        <v>14</v>
      </c>
      <c r="C59" s="78"/>
      <c r="D59" s="33"/>
    </row>
    <row r="60" spans="1:4" x14ac:dyDescent="0.35">
      <c r="A60" s="74"/>
      <c r="B60" s="20" t="s">
        <v>15</v>
      </c>
      <c r="C60" s="79"/>
      <c r="D60" s="23"/>
    </row>
    <row r="61" spans="1:4" x14ac:dyDescent="0.35">
      <c r="A61" s="74"/>
      <c r="B61" s="19" t="s">
        <v>16</v>
      </c>
      <c r="C61" s="79"/>
      <c r="D61" s="22"/>
    </row>
    <row r="62" spans="1:4" x14ac:dyDescent="0.35">
      <c r="A62" s="74"/>
      <c r="B62" s="20" t="s">
        <v>17</v>
      </c>
      <c r="C62" s="79"/>
      <c r="D62" s="23"/>
    </row>
    <row r="63" spans="1:4" x14ac:dyDescent="0.35">
      <c r="A63" s="74"/>
      <c r="B63" s="19" t="s">
        <v>18</v>
      </c>
      <c r="C63" s="79"/>
      <c r="D63" s="22"/>
    </row>
    <row r="64" spans="1:4" x14ac:dyDescent="0.35">
      <c r="A64" s="74"/>
      <c r="B64" s="20" t="s">
        <v>19</v>
      </c>
      <c r="C64" s="79"/>
      <c r="D64" s="23"/>
    </row>
    <row r="65" spans="1:4" x14ac:dyDescent="0.35">
      <c r="A65" s="74"/>
      <c r="B65" s="19" t="s">
        <v>20</v>
      </c>
      <c r="C65" s="79"/>
      <c r="D65" s="22"/>
    </row>
    <row r="66" spans="1:4" x14ac:dyDescent="0.35">
      <c r="A66" s="74"/>
      <c r="B66" s="20" t="s">
        <v>21</v>
      </c>
      <c r="C66" s="79"/>
      <c r="D66" s="23"/>
    </row>
    <row r="67" spans="1:4" x14ac:dyDescent="0.35">
      <c r="A67" s="74"/>
      <c r="B67" s="19" t="s">
        <v>22</v>
      </c>
      <c r="C67" s="79"/>
      <c r="D67" s="22"/>
    </row>
    <row r="68" spans="1:4" x14ac:dyDescent="0.35">
      <c r="A68" s="74"/>
      <c r="B68" s="20" t="s">
        <v>23</v>
      </c>
      <c r="C68" s="79"/>
      <c r="D68" s="23"/>
    </row>
    <row r="69" spans="1:4" x14ac:dyDescent="0.35">
      <c r="A69" s="74"/>
      <c r="B69" s="19" t="s">
        <v>24</v>
      </c>
      <c r="C69" s="79"/>
      <c r="D69" s="22"/>
    </row>
    <row r="70" spans="1:4" ht="15" thickBot="1" x14ac:dyDescent="0.4">
      <c r="A70" s="75"/>
      <c r="B70" s="21" t="s">
        <v>25</v>
      </c>
      <c r="C70" s="80"/>
      <c r="D70" s="24"/>
    </row>
    <row r="71" spans="1:4" x14ac:dyDescent="0.35">
      <c r="A71" s="73">
        <v>2032</v>
      </c>
      <c r="B71" s="32" t="s">
        <v>14</v>
      </c>
      <c r="C71" s="78"/>
      <c r="D71" s="33"/>
    </row>
    <row r="72" spans="1:4" x14ac:dyDescent="0.35">
      <c r="A72" s="74"/>
      <c r="B72" s="20" t="s">
        <v>15</v>
      </c>
      <c r="C72" s="79"/>
      <c r="D72" s="23"/>
    </row>
    <row r="73" spans="1:4" x14ac:dyDescent="0.35">
      <c r="A73" s="74"/>
      <c r="B73" s="19" t="s">
        <v>16</v>
      </c>
      <c r="C73" s="79"/>
      <c r="D73" s="22"/>
    </row>
    <row r="74" spans="1:4" x14ac:dyDescent="0.35">
      <c r="A74" s="74"/>
      <c r="B74" s="20" t="s">
        <v>17</v>
      </c>
      <c r="C74" s="79"/>
      <c r="D74" s="23"/>
    </row>
    <row r="75" spans="1:4" x14ac:dyDescent="0.35">
      <c r="A75" s="74"/>
      <c r="B75" s="19" t="s">
        <v>18</v>
      </c>
      <c r="C75" s="79"/>
      <c r="D75" s="22"/>
    </row>
    <row r="76" spans="1:4" x14ac:dyDescent="0.35">
      <c r="A76" s="74"/>
      <c r="B76" s="20" t="s">
        <v>19</v>
      </c>
      <c r="C76" s="79"/>
      <c r="D76" s="23"/>
    </row>
    <row r="77" spans="1:4" x14ac:dyDescent="0.35">
      <c r="A77" s="74"/>
      <c r="B77" s="19" t="s">
        <v>20</v>
      </c>
      <c r="C77" s="79"/>
      <c r="D77" s="22"/>
    </row>
    <row r="78" spans="1:4" x14ac:dyDescent="0.35">
      <c r="A78" s="74"/>
      <c r="B78" s="20" t="s">
        <v>21</v>
      </c>
      <c r="C78" s="79"/>
      <c r="D78" s="23"/>
    </row>
    <row r="79" spans="1:4" x14ac:dyDescent="0.35">
      <c r="A79" s="74"/>
      <c r="B79" s="19" t="s">
        <v>22</v>
      </c>
      <c r="C79" s="79"/>
      <c r="D79" s="22"/>
    </row>
    <row r="80" spans="1:4" x14ac:dyDescent="0.35">
      <c r="A80" s="74"/>
      <c r="B80" s="20" t="s">
        <v>23</v>
      </c>
      <c r="C80" s="79"/>
      <c r="D80" s="23"/>
    </row>
    <row r="81" spans="1:4" x14ac:dyDescent="0.35">
      <c r="A81" s="74"/>
      <c r="B81" s="19" t="s">
        <v>24</v>
      </c>
      <c r="C81" s="79"/>
      <c r="D81" s="22"/>
    </row>
    <row r="82" spans="1:4" ht="15" thickBot="1" x14ac:dyDescent="0.4">
      <c r="A82" s="75"/>
      <c r="B82" s="21" t="s">
        <v>25</v>
      </c>
      <c r="C82" s="80"/>
      <c r="D82" s="24"/>
    </row>
    <row r="83" spans="1:4" x14ac:dyDescent="0.35">
      <c r="A83" s="73">
        <v>2033</v>
      </c>
      <c r="B83" s="32" t="s">
        <v>14</v>
      </c>
      <c r="C83" s="78"/>
      <c r="D83" s="33"/>
    </row>
    <row r="84" spans="1:4" x14ac:dyDescent="0.35">
      <c r="A84" s="74"/>
      <c r="B84" s="20" t="s">
        <v>15</v>
      </c>
      <c r="C84" s="79"/>
      <c r="D84" s="23"/>
    </row>
    <row r="85" spans="1:4" x14ac:dyDescent="0.35">
      <c r="A85" s="74"/>
      <c r="B85" s="19" t="s">
        <v>16</v>
      </c>
      <c r="C85" s="79"/>
      <c r="D85" s="22"/>
    </row>
    <row r="86" spans="1:4" x14ac:dyDescent="0.35">
      <c r="A86" s="74"/>
      <c r="B86" s="20" t="s">
        <v>17</v>
      </c>
      <c r="C86" s="79"/>
      <c r="D86" s="23"/>
    </row>
    <row r="87" spans="1:4" x14ac:dyDescent="0.35">
      <c r="A87" s="74"/>
      <c r="B87" s="19" t="s">
        <v>18</v>
      </c>
      <c r="C87" s="79"/>
      <c r="D87" s="22"/>
    </row>
    <row r="88" spans="1:4" x14ac:dyDescent="0.35">
      <c r="A88" s="74"/>
      <c r="B88" s="20" t="s">
        <v>19</v>
      </c>
      <c r="C88" s="79"/>
      <c r="D88" s="23"/>
    </row>
    <row r="89" spans="1:4" x14ac:dyDescent="0.35">
      <c r="A89" s="74"/>
      <c r="B89" s="19" t="s">
        <v>20</v>
      </c>
      <c r="C89" s="79"/>
      <c r="D89" s="22"/>
    </row>
    <row r="90" spans="1:4" x14ac:dyDescent="0.35">
      <c r="A90" s="74"/>
      <c r="B90" s="20" t="s">
        <v>21</v>
      </c>
      <c r="C90" s="79"/>
      <c r="D90" s="23"/>
    </row>
    <row r="91" spans="1:4" x14ac:dyDescent="0.35">
      <c r="A91" s="74"/>
      <c r="B91" s="19" t="s">
        <v>22</v>
      </c>
      <c r="C91" s="79"/>
      <c r="D91" s="22"/>
    </row>
    <row r="92" spans="1:4" x14ac:dyDescent="0.35">
      <c r="A92" s="74"/>
      <c r="B92" s="20" t="s">
        <v>23</v>
      </c>
      <c r="C92" s="79"/>
      <c r="D92" s="23"/>
    </row>
    <row r="93" spans="1:4" x14ac:dyDescent="0.35">
      <c r="A93" s="74"/>
      <c r="B93" s="19" t="s">
        <v>24</v>
      </c>
      <c r="C93" s="79"/>
      <c r="D93" s="22"/>
    </row>
    <row r="94" spans="1:4" ht="15" thickBot="1" x14ac:dyDescent="0.4">
      <c r="A94" s="75"/>
      <c r="B94" s="21" t="s">
        <v>25</v>
      </c>
      <c r="C94" s="80"/>
      <c r="D94" s="24"/>
    </row>
    <row r="95" spans="1:4" x14ac:dyDescent="0.35">
      <c r="A95" s="73">
        <v>2034</v>
      </c>
      <c r="B95" s="32" t="s">
        <v>14</v>
      </c>
      <c r="C95" s="78"/>
      <c r="D95" s="33"/>
    </row>
    <row r="96" spans="1:4" x14ac:dyDescent="0.35">
      <c r="A96" s="74"/>
      <c r="B96" s="20" t="s">
        <v>15</v>
      </c>
      <c r="C96" s="79"/>
      <c r="D96" s="23"/>
    </row>
    <row r="97" spans="1:4" x14ac:dyDescent="0.35">
      <c r="A97" s="74"/>
      <c r="B97" s="19" t="s">
        <v>16</v>
      </c>
      <c r="C97" s="79"/>
      <c r="D97" s="22"/>
    </row>
    <row r="98" spans="1:4" x14ac:dyDescent="0.35">
      <c r="A98" s="74"/>
      <c r="B98" s="20" t="s">
        <v>17</v>
      </c>
      <c r="C98" s="79"/>
      <c r="D98" s="23"/>
    </row>
    <row r="99" spans="1:4" x14ac:dyDescent="0.35">
      <c r="A99" s="74"/>
      <c r="B99" s="19" t="s">
        <v>18</v>
      </c>
      <c r="C99" s="79"/>
      <c r="D99" s="22"/>
    </row>
    <row r="100" spans="1:4" x14ac:dyDescent="0.35">
      <c r="A100" s="74"/>
      <c r="B100" s="20" t="s">
        <v>19</v>
      </c>
      <c r="C100" s="79"/>
      <c r="D100" s="23"/>
    </row>
    <row r="101" spans="1:4" x14ac:dyDescent="0.35">
      <c r="A101" s="74"/>
      <c r="B101" s="19" t="s">
        <v>20</v>
      </c>
      <c r="C101" s="79"/>
      <c r="D101" s="22"/>
    </row>
    <row r="102" spans="1:4" x14ac:dyDescent="0.35">
      <c r="A102" s="74"/>
      <c r="B102" s="20" t="s">
        <v>21</v>
      </c>
      <c r="C102" s="79"/>
      <c r="D102" s="23"/>
    </row>
    <row r="103" spans="1:4" x14ac:dyDescent="0.35">
      <c r="A103" s="74"/>
      <c r="B103" s="19" t="s">
        <v>22</v>
      </c>
      <c r="C103" s="79"/>
      <c r="D103" s="22"/>
    </row>
    <row r="104" spans="1:4" x14ac:dyDescent="0.35">
      <c r="A104" s="74"/>
      <c r="B104" s="20" t="s">
        <v>23</v>
      </c>
      <c r="C104" s="79"/>
      <c r="D104" s="23"/>
    </row>
    <row r="105" spans="1:4" x14ac:dyDescent="0.35">
      <c r="A105" s="74"/>
      <c r="B105" s="19" t="s">
        <v>24</v>
      </c>
      <c r="C105" s="79"/>
      <c r="D105" s="22"/>
    </row>
    <row r="106" spans="1:4" ht="15" thickBot="1" x14ac:dyDescent="0.4">
      <c r="A106" s="75"/>
      <c r="B106" s="21" t="s">
        <v>25</v>
      </c>
      <c r="C106" s="80"/>
      <c r="D106" s="24"/>
    </row>
    <row r="107" spans="1:4" x14ac:dyDescent="0.35">
      <c r="A107" s="73">
        <v>2035</v>
      </c>
      <c r="B107" s="32" t="s">
        <v>14</v>
      </c>
      <c r="C107" s="78"/>
      <c r="D107" s="33"/>
    </row>
    <row r="108" spans="1:4" x14ac:dyDescent="0.35">
      <c r="A108" s="74"/>
      <c r="B108" s="20" t="s">
        <v>15</v>
      </c>
      <c r="C108" s="79"/>
      <c r="D108" s="23"/>
    </row>
    <row r="109" spans="1:4" x14ac:dyDescent="0.35">
      <c r="A109" s="74"/>
      <c r="B109" s="19" t="s">
        <v>16</v>
      </c>
      <c r="C109" s="79"/>
      <c r="D109" s="22"/>
    </row>
    <row r="110" spans="1:4" x14ac:dyDescent="0.35">
      <c r="A110" s="74"/>
      <c r="B110" s="20" t="s">
        <v>17</v>
      </c>
      <c r="C110" s="79"/>
      <c r="D110" s="23"/>
    </row>
    <row r="111" spans="1:4" x14ac:dyDescent="0.35">
      <c r="A111" s="74"/>
      <c r="B111" s="19" t="s">
        <v>18</v>
      </c>
      <c r="C111" s="79"/>
      <c r="D111" s="22"/>
    </row>
    <row r="112" spans="1:4" x14ac:dyDescent="0.35">
      <c r="A112" s="74"/>
      <c r="B112" s="20" t="s">
        <v>19</v>
      </c>
      <c r="C112" s="79"/>
      <c r="D112" s="23"/>
    </row>
    <row r="113" spans="1:4" x14ac:dyDescent="0.35">
      <c r="A113" s="74"/>
      <c r="B113" s="19" t="s">
        <v>20</v>
      </c>
      <c r="C113" s="79"/>
      <c r="D113" s="22"/>
    </row>
    <row r="114" spans="1:4" x14ac:dyDescent="0.35">
      <c r="A114" s="74"/>
      <c r="B114" s="20" t="s">
        <v>21</v>
      </c>
      <c r="C114" s="79"/>
      <c r="D114" s="23"/>
    </row>
    <row r="115" spans="1:4" x14ac:dyDescent="0.35">
      <c r="A115" s="74"/>
      <c r="B115" s="19" t="s">
        <v>22</v>
      </c>
      <c r="C115" s="79"/>
      <c r="D115" s="22"/>
    </row>
    <row r="116" spans="1:4" x14ac:dyDescent="0.35">
      <c r="A116" s="74"/>
      <c r="B116" s="20" t="s">
        <v>23</v>
      </c>
      <c r="C116" s="79"/>
      <c r="D116" s="23"/>
    </row>
    <row r="117" spans="1:4" x14ac:dyDescent="0.35">
      <c r="A117" s="74"/>
      <c r="B117" s="19" t="s">
        <v>24</v>
      </c>
      <c r="C117" s="79"/>
      <c r="D117" s="22"/>
    </row>
    <row r="118" spans="1:4" ht="15" thickBot="1" x14ac:dyDescent="0.4">
      <c r="A118" s="75"/>
      <c r="B118" s="21" t="s">
        <v>25</v>
      </c>
      <c r="C118" s="80"/>
      <c r="D118" s="24"/>
    </row>
    <row r="119" spans="1:4" x14ac:dyDescent="0.35">
      <c r="A119" s="73">
        <v>2036</v>
      </c>
      <c r="B119" s="32" t="s">
        <v>14</v>
      </c>
      <c r="C119" s="78"/>
      <c r="D119" s="33"/>
    </row>
    <row r="120" spans="1:4" x14ac:dyDescent="0.35">
      <c r="A120" s="74"/>
      <c r="B120" s="20" t="s">
        <v>15</v>
      </c>
      <c r="C120" s="79"/>
      <c r="D120" s="23"/>
    </row>
    <row r="121" spans="1:4" x14ac:dyDescent="0.35">
      <c r="A121" s="74"/>
      <c r="B121" s="19" t="s">
        <v>16</v>
      </c>
      <c r="C121" s="79"/>
      <c r="D121" s="22"/>
    </row>
    <row r="122" spans="1:4" x14ac:dyDescent="0.35">
      <c r="A122" s="74"/>
      <c r="B122" s="20" t="s">
        <v>17</v>
      </c>
      <c r="C122" s="79"/>
      <c r="D122" s="23"/>
    </row>
    <row r="123" spans="1:4" x14ac:dyDescent="0.35">
      <c r="A123" s="74"/>
      <c r="B123" s="19" t="s">
        <v>18</v>
      </c>
      <c r="C123" s="79"/>
      <c r="D123" s="22"/>
    </row>
    <row r="124" spans="1:4" x14ac:dyDescent="0.35">
      <c r="A124" s="74"/>
      <c r="B124" s="20" t="s">
        <v>19</v>
      </c>
      <c r="C124" s="79"/>
      <c r="D124" s="23"/>
    </row>
    <row r="125" spans="1:4" x14ac:dyDescent="0.35">
      <c r="A125" s="74"/>
      <c r="B125" s="19" t="s">
        <v>20</v>
      </c>
      <c r="C125" s="79"/>
      <c r="D125" s="22"/>
    </row>
    <row r="126" spans="1:4" x14ac:dyDescent="0.35">
      <c r="A126" s="74"/>
      <c r="B126" s="20" t="s">
        <v>21</v>
      </c>
      <c r="C126" s="79"/>
      <c r="D126" s="23"/>
    </row>
    <row r="127" spans="1:4" x14ac:dyDescent="0.35">
      <c r="A127" s="74"/>
      <c r="B127" s="19" t="s">
        <v>22</v>
      </c>
      <c r="C127" s="79"/>
      <c r="D127" s="22"/>
    </row>
    <row r="128" spans="1:4" x14ac:dyDescent="0.35">
      <c r="A128" s="74"/>
      <c r="B128" s="20" t="s">
        <v>23</v>
      </c>
      <c r="C128" s="79"/>
      <c r="D128" s="23"/>
    </row>
    <row r="129" spans="1:4" x14ac:dyDescent="0.35">
      <c r="A129" s="74"/>
      <c r="B129" s="19" t="s">
        <v>24</v>
      </c>
      <c r="C129" s="79"/>
      <c r="D129" s="22"/>
    </row>
    <row r="130" spans="1:4" ht="15" thickBot="1" x14ac:dyDescent="0.4">
      <c r="A130" s="75"/>
      <c r="B130" s="21" t="s">
        <v>25</v>
      </c>
      <c r="C130" s="80"/>
      <c r="D130" s="24"/>
    </row>
    <row r="131" spans="1:4" x14ac:dyDescent="0.35">
      <c r="A131" s="73">
        <v>2037</v>
      </c>
      <c r="B131" s="32" t="s">
        <v>14</v>
      </c>
      <c r="C131" s="78"/>
      <c r="D131" s="33"/>
    </row>
    <row r="132" spans="1:4" x14ac:dyDescent="0.35">
      <c r="A132" s="74"/>
      <c r="B132" s="20" t="s">
        <v>15</v>
      </c>
      <c r="C132" s="79"/>
      <c r="D132" s="23"/>
    </row>
    <row r="133" spans="1:4" x14ac:dyDescent="0.35">
      <c r="A133" s="74"/>
      <c r="B133" s="19" t="s">
        <v>16</v>
      </c>
      <c r="C133" s="79"/>
      <c r="D133" s="22"/>
    </row>
    <row r="134" spans="1:4" x14ac:dyDescent="0.35">
      <c r="A134" s="74"/>
      <c r="B134" s="20" t="s">
        <v>17</v>
      </c>
      <c r="C134" s="79"/>
      <c r="D134" s="23"/>
    </row>
    <row r="135" spans="1:4" x14ac:dyDescent="0.35">
      <c r="A135" s="74"/>
      <c r="B135" s="19" t="s">
        <v>18</v>
      </c>
      <c r="C135" s="79"/>
      <c r="D135" s="22"/>
    </row>
    <row r="136" spans="1:4" x14ac:dyDescent="0.35">
      <c r="A136" s="74"/>
      <c r="B136" s="20" t="s">
        <v>19</v>
      </c>
      <c r="C136" s="79"/>
      <c r="D136" s="23"/>
    </row>
    <row r="137" spans="1:4" x14ac:dyDescent="0.35">
      <c r="A137" s="74"/>
      <c r="B137" s="19" t="s">
        <v>20</v>
      </c>
      <c r="C137" s="79"/>
      <c r="D137" s="22"/>
    </row>
    <row r="138" spans="1:4" x14ac:dyDescent="0.35">
      <c r="A138" s="74"/>
      <c r="B138" s="20" t="s">
        <v>21</v>
      </c>
      <c r="C138" s="79"/>
      <c r="D138" s="23"/>
    </row>
    <row r="139" spans="1:4" x14ac:dyDescent="0.35">
      <c r="A139" s="74"/>
      <c r="B139" s="19" t="s">
        <v>22</v>
      </c>
      <c r="C139" s="79"/>
      <c r="D139" s="22"/>
    </row>
    <row r="140" spans="1:4" x14ac:dyDescent="0.35">
      <c r="A140" s="74"/>
      <c r="B140" s="20" t="s">
        <v>23</v>
      </c>
      <c r="C140" s="79"/>
      <c r="D140" s="23"/>
    </row>
    <row r="141" spans="1:4" x14ac:dyDescent="0.35">
      <c r="A141" s="74"/>
      <c r="B141" s="19" t="s">
        <v>24</v>
      </c>
      <c r="C141" s="79"/>
      <c r="D141" s="22"/>
    </row>
    <row r="142" spans="1:4" ht="15" thickBot="1" x14ac:dyDescent="0.4">
      <c r="A142" s="75"/>
      <c r="B142" s="21" t="s">
        <v>25</v>
      </c>
      <c r="C142" s="80"/>
      <c r="D142" s="24"/>
    </row>
    <row r="143" spans="1:4" x14ac:dyDescent="0.35">
      <c r="A143" s="73">
        <v>2038</v>
      </c>
      <c r="B143" s="32" t="s">
        <v>14</v>
      </c>
      <c r="C143" s="78"/>
      <c r="D143" s="33"/>
    </row>
    <row r="144" spans="1:4" x14ac:dyDescent="0.35">
      <c r="A144" s="74"/>
      <c r="B144" s="20" t="s">
        <v>15</v>
      </c>
      <c r="C144" s="79"/>
      <c r="D144" s="23"/>
    </row>
    <row r="145" spans="1:4" x14ac:dyDescent="0.35">
      <c r="A145" s="74"/>
      <c r="B145" s="19" t="s">
        <v>16</v>
      </c>
      <c r="C145" s="79"/>
      <c r="D145" s="22"/>
    </row>
    <row r="146" spans="1:4" x14ac:dyDescent="0.35">
      <c r="A146" s="74"/>
      <c r="B146" s="20" t="s">
        <v>17</v>
      </c>
      <c r="C146" s="79"/>
      <c r="D146" s="23"/>
    </row>
    <row r="147" spans="1:4" x14ac:dyDescent="0.35">
      <c r="A147" s="74"/>
      <c r="B147" s="19" t="s">
        <v>18</v>
      </c>
      <c r="C147" s="79"/>
      <c r="D147" s="22"/>
    </row>
    <row r="148" spans="1:4" x14ac:dyDescent="0.35">
      <c r="A148" s="74"/>
      <c r="B148" s="20" t="s">
        <v>19</v>
      </c>
      <c r="C148" s="79"/>
      <c r="D148" s="23"/>
    </row>
    <row r="149" spans="1:4" x14ac:dyDescent="0.35">
      <c r="A149" s="74"/>
      <c r="B149" s="19" t="s">
        <v>20</v>
      </c>
      <c r="C149" s="79"/>
      <c r="D149" s="22"/>
    </row>
    <row r="150" spans="1:4" x14ac:dyDescent="0.35">
      <c r="A150" s="74"/>
      <c r="B150" s="20" t="s">
        <v>21</v>
      </c>
      <c r="C150" s="79"/>
      <c r="D150" s="23"/>
    </row>
    <row r="151" spans="1:4" x14ac:dyDescent="0.35">
      <c r="A151" s="74"/>
      <c r="B151" s="19" t="s">
        <v>22</v>
      </c>
      <c r="C151" s="79"/>
      <c r="D151" s="22"/>
    </row>
    <row r="152" spans="1:4" x14ac:dyDescent="0.35">
      <c r="A152" s="74"/>
      <c r="B152" s="20" t="s">
        <v>23</v>
      </c>
      <c r="C152" s="79"/>
      <c r="D152" s="23"/>
    </row>
    <row r="153" spans="1:4" x14ac:dyDescent="0.35">
      <c r="A153" s="74"/>
      <c r="B153" s="19" t="s">
        <v>24</v>
      </c>
      <c r="C153" s="79"/>
      <c r="D153" s="22"/>
    </row>
    <row r="154" spans="1:4" ht="15" thickBot="1" x14ac:dyDescent="0.4">
      <c r="A154" s="75"/>
      <c r="B154" s="21" t="s">
        <v>25</v>
      </c>
      <c r="C154" s="80"/>
      <c r="D154" s="24"/>
    </row>
    <row r="155" spans="1:4" x14ac:dyDescent="0.35">
      <c r="A155" s="73">
        <v>2039</v>
      </c>
      <c r="B155" s="32" t="s">
        <v>14</v>
      </c>
      <c r="C155" s="78"/>
      <c r="D155" s="33"/>
    </row>
    <row r="156" spans="1:4" x14ac:dyDescent="0.35">
      <c r="A156" s="74"/>
      <c r="B156" s="20" t="s">
        <v>15</v>
      </c>
      <c r="C156" s="79"/>
      <c r="D156" s="23"/>
    </row>
    <row r="157" spans="1:4" x14ac:dyDescent="0.35">
      <c r="A157" s="74"/>
      <c r="B157" s="19" t="s">
        <v>16</v>
      </c>
      <c r="C157" s="79"/>
      <c r="D157" s="22"/>
    </row>
    <row r="158" spans="1:4" x14ac:dyDescent="0.35">
      <c r="A158" s="74"/>
      <c r="B158" s="20" t="s">
        <v>17</v>
      </c>
      <c r="C158" s="79"/>
      <c r="D158" s="23"/>
    </row>
    <row r="159" spans="1:4" x14ac:dyDescent="0.35">
      <c r="A159" s="74"/>
      <c r="B159" s="19" t="s">
        <v>18</v>
      </c>
      <c r="C159" s="79"/>
      <c r="D159" s="22"/>
    </row>
    <row r="160" spans="1:4" x14ac:dyDescent="0.35">
      <c r="A160" s="74"/>
      <c r="B160" s="20" t="s">
        <v>19</v>
      </c>
      <c r="C160" s="79"/>
      <c r="D160" s="23"/>
    </row>
    <row r="161" spans="1:4" x14ac:dyDescent="0.35">
      <c r="A161" s="74"/>
      <c r="B161" s="19" t="s">
        <v>20</v>
      </c>
      <c r="C161" s="79"/>
      <c r="D161" s="22"/>
    </row>
    <row r="162" spans="1:4" x14ac:dyDescent="0.35">
      <c r="A162" s="74"/>
      <c r="B162" s="20" t="s">
        <v>21</v>
      </c>
      <c r="C162" s="79"/>
      <c r="D162" s="23"/>
    </row>
    <row r="163" spans="1:4" x14ac:dyDescent="0.35">
      <c r="A163" s="74"/>
      <c r="B163" s="19" t="s">
        <v>22</v>
      </c>
      <c r="C163" s="79"/>
      <c r="D163" s="22"/>
    </row>
    <row r="164" spans="1:4" x14ac:dyDescent="0.35">
      <c r="A164" s="74"/>
      <c r="B164" s="20" t="s">
        <v>23</v>
      </c>
      <c r="C164" s="79"/>
      <c r="D164" s="23"/>
    </row>
    <row r="165" spans="1:4" x14ac:dyDescent="0.35">
      <c r="A165" s="74"/>
      <c r="B165" s="19" t="s">
        <v>24</v>
      </c>
      <c r="C165" s="79"/>
      <c r="D165" s="22"/>
    </row>
    <row r="166" spans="1:4" ht="15" thickBot="1" x14ac:dyDescent="0.4">
      <c r="A166" s="75"/>
      <c r="B166" s="21" t="s">
        <v>25</v>
      </c>
      <c r="C166" s="80"/>
      <c r="D166" s="24"/>
    </row>
    <row r="167" spans="1:4" x14ac:dyDescent="0.35">
      <c r="A167" s="73">
        <v>2040</v>
      </c>
      <c r="B167" s="32" t="s">
        <v>14</v>
      </c>
      <c r="C167" s="78"/>
      <c r="D167" s="33"/>
    </row>
    <row r="168" spans="1:4" x14ac:dyDescent="0.35">
      <c r="A168" s="74"/>
      <c r="B168" s="20" t="s">
        <v>15</v>
      </c>
      <c r="C168" s="79"/>
      <c r="D168" s="23"/>
    </row>
    <row r="169" spans="1:4" x14ac:dyDescent="0.35">
      <c r="A169" s="74"/>
      <c r="B169" s="19" t="s">
        <v>16</v>
      </c>
      <c r="C169" s="79"/>
      <c r="D169" s="22"/>
    </row>
    <row r="170" spans="1:4" x14ac:dyDescent="0.35">
      <c r="A170" s="74"/>
      <c r="B170" s="20" t="s">
        <v>17</v>
      </c>
      <c r="C170" s="79"/>
      <c r="D170" s="23"/>
    </row>
    <row r="171" spans="1:4" x14ac:dyDescent="0.35">
      <c r="A171" s="74"/>
      <c r="B171" s="19" t="s">
        <v>18</v>
      </c>
      <c r="C171" s="79"/>
      <c r="D171" s="22"/>
    </row>
    <row r="172" spans="1:4" x14ac:dyDescent="0.35">
      <c r="A172" s="74"/>
      <c r="B172" s="20" t="s">
        <v>19</v>
      </c>
      <c r="C172" s="79"/>
      <c r="D172" s="23"/>
    </row>
    <row r="173" spans="1:4" x14ac:dyDescent="0.35">
      <c r="A173" s="74"/>
      <c r="B173" s="19" t="s">
        <v>20</v>
      </c>
      <c r="C173" s="79"/>
      <c r="D173" s="22"/>
    </row>
    <row r="174" spans="1:4" x14ac:dyDescent="0.35">
      <c r="A174" s="74"/>
      <c r="B174" s="20" t="s">
        <v>21</v>
      </c>
      <c r="C174" s="79"/>
      <c r="D174" s="23"/>
    </row>
    <row r="175" spans="1:4" x14ac:dyDescent="0.35">
      <c r="A175" s="74"/>
      <c r="B175" s="19" t="s">
        <v>22</v>
      </c>
      <c r="C175" s="79"/>
      <c r="D175" s="22"/>
    </row>
    <row r="176" spans="1:4" x14ac:dyDescent="0.35">
      <c r="A176" s="74"/>
      <c r="B176" s="20" t="s">
        <v>23</v>
      </c>
      <c r="C176" s="79"/>
      <c r="D176" s="23"/>
    </row>
    <row r="177" spans="1:4" x14ac:dyDescent="0.35">
      <c r="A177" s="74"/>
      <c r="B177" s="19" t="s">
        <v>24</v>
      </c>
      <c r="C177" s="79"/>
      <c r="D177" s="22"/>
    </row>
    <row r="178" spans="1:4" ht="15" thickBot="1" x14ac:dyDescent="0.4">
      <c r="A178" s="75"/>
      <c r="B178" s="21" t="s">
        <v>25</v>
      </c>
      <c r="C178" s="80"/>
      <c r="D178" s="24"/>
    </row>
    <row r="179" spans="1:4" x14ac:dyDescent="0.35">
      <c r="A179" s="73">
        <v>2041</v>
      </c>
      <c r="B179" s="32" t="s">
        <v>14</v>
      </c>
      <c r="C179" s="78"/>
      <c r="D179" s="33"/>
    </row>
    <row r="180" spans="1:4" x14ac:dyDescent="0.35">
      <c r="A180" s="74"/>
      <c r="B180" s="20" t="s">
        <v>15</v>
      </c>
      <c r="C180" s="79"/>
      <c r="D180" s="23"/>
    </row>
    <row r="181" spans="1:4" x14ac:dyDescent="0.35">
      <c r="A181" s="74"/>
      <c r="B181" s="19" t="s">
        <v>16</v>
      </c>
      <c r="C181" s="79"/>
      <c r="D181" s="22"/>
    </row>
    <row r="182" spans="1:4" x14ac:dyDescent="0.35">
      <c r="A182" s="74"/>
      <c r="B182" s="20" t="s">
        <v>17</v>
      </c>
      <c r="C182" s="79"/>
      <c r="D182" s="23"/>
    </row>
    <row r="183" spans="1:4" x14ac:dyDescent="0.35">
      <c r="A183" s="74"/>
      <c r="B183" s="19" t="s">
        <v>18</v>
      </c>
      <c r="C183" s="79"/>
      <c r="D183" s="22"/>
    </row>
    <row r="184" spans="1:4" x14ac:dyDescent="0.35">
      <c r="A184" s="74"/>
      <c r="B184" s="20" t="s">
        <v>19</v>
      </c>
      <c r="C184" s="79"/>
      <c r="D184" s="23"/>
    </row>
    <row r="185" spans="1:4" x14ac:dyDescent="0.35">
      <c r="A185" s="74"/>
      <c r="B185" s="19" t="s">
        <v>20</v>
      </c>
      <c r="C185" s="79"/>
      <c r="D185" s="22"/>
    </row>
    <row r="186" spans="1:4" x14ac:dyDescent="0.35">
      <c r="A186" s="74"/>
      <c r="B186" s="20" t="s">
        <v>21</v>
      </c>
      <c r="C186" s="79"/>
      <c r="D186" s="23"/>
    </row>
    <row r="187" spans="1:4" x14ac:dyDescent="0.35">
      <c r="A187" s="74"/>
      <c r="B187" s="19" t="s">
        <v>22</v>
      </c>
      <c r="C187" s="79"/>
      <c r="D187" s="22"/>
    </row>
    <row r="188" spans="1:4" x14ac:dyDescent="0.35">
      <c r="A188" s="74"/>
      <c r="B188" s="20" t="s">
        <v>23</v>
      </c>
      <c r="C188" s="79"/>
      <c r="D188" s="23"/>
    </row>
    <row r="189" spans="1:4" x14ac:dyDescent="0.35">
      <c r="A189" s="74"/>
      <c r="B189" s="19" t="s">
        <v>24</v>
      </c>
      <c r="C189" s="79"/>
      <c r="D189" s="22"/>
    </row>
    <row r="190" spans="1:4" ht="15" thickBot="1" x14ac:dyDescent="0.4">
      <c r="A190" s="75"/>
      <c r="B190" s="21" t="s">
        <v>25</v>
      </c>
      <c r="C190" s="80"/>
      <c r="D190" s="24"/>
    </row>
  </sheetData>
  <mergeCells count="34">
    <mergeCell ref="C155:C166"/>
    <mergeCell ref="C167:C178"/>
    <mergeCell ref="C179:C190"/>
    <mergeCell ref="C83:C94"/>
    <mergeCell ref="C95:C106"/>
    <mergeCell ref="C107:C118"/>
    <mergeCell ref="C119:C130"/>
    <mergeCell ref="C131:C142"/>
    <mergeCell ref="C143:C154"/>
    <mergeCell ref="A179:A190"/>
    <mergeCell ref="C11:C22"/>
    <mergeCell ref="C23:C34"/>
    <mergeCell ref="C35:C46"/>
    <mergeCell ref="C47:C58"/>
    <mergeCell ref="C59:C70"/>
    <mergeCell ref="C71:C82"/>
    <mergeCell ref="A107:A118"/>
    <mergeCell ref="A119:A130"/>
    <mergeCell ref="A131:A142"/>
    <mergeCell ref="A143:A154"/>
    <mergeCell ref="A155:A166"/>
    <mergeCell ref="A167:A178"/>
    <mergeCell ref="A35:A46"/>
    <mergeCell ref="A47:A58"/>
    <mergeCell ref="A59:A70"/>
    <mergeCell ref="A71:A82"/>
    <mergeCell ref="A83:A94"/>
    <mergeCell ref="A95:A106"/>
    <mergeCell ref="A1:C1"/>
    <mergeCell ref="A2:C2"/>
    <mergeCell ref="A3:C3"/>
    <mergeCell ref="A4:C4"/>
    <mergeCell ref="A11:A22"/>
    <mergeCell ref="A23:A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0669a7-a738-41a3-89e4-5344b7ca2991">
      <Terms xmlns="http://schemas.microsoft.com/office/infopath/2007/PartnerControls"/>
    </lcf76f155ced4ddcb4097134ff3c332f>
    <TaxCatchAll xmlns="20d27aaa-8247-4c27-8ec8-78a4e94342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4873852009D40B2C0F29E8DFF47C1" ma:contentTypeVersion="13" ma:contentTypeDescription="Crear nuevo documento." ma:contentTypeScope="" ma:versionID="cab49a726d32a2a4758e46944d4c225a">
  <xsd:schema xmlns:xsd="http://www.w3.org/2001/XMLSchema" xmlns:xs="http://www.w3.org/2001/XMLSchema" xmlns:p="http://schemas.microsoft.com/office/2006/metadata/properties" xmlns:ns2="5b0669a7-a738-41a3-89e4-5344b7ca2991" xmlns:ns3="20d27aaa-8247-4c27-8ec8-78a4e943420d" targetNamespace="http://schemas.microsoft.com/office/2006/metadata/properties" ma:root="true" ma:fieldsID="466b15ab37dbe48a2fd6d90a55b9231d" ns2:_="" ns3:_="">
    <xsd:import namespace="5b0669a7-a738-41a3-89e4-5344b7ca2991"/>
    <xsd:import namespace="20d27aaa-8247-4c27-8ec8-78a4e9434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669a7-a738-41a3-89e4-5344b7ca2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2a719b3-8a48-41ed-8bc9-2b6449212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27aaa-8247-4c27-8ec8-78a4e943420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2fc6382-90a3-4136-b6ed-2e2766ddf430}" ma:internalName="TaxCatchAll" ma:showField="CatchAllData" ma:web="20d27aaa-8247-4c27-8ec8-78a4e94342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E54F5D-06CE-42D6-B5A1-B71630101069}">
  <ds:schemaRefs>
    <ds:schemaRef ds:uri="http://schemas.microsoft.com/office/2006/metadata/properties"/>
    <ds:schemaRef ds:uri="http://schemas.microsoft.com/office/infopath/2007/PartnerControls"/>
    <ds:schemaRef ds:uri="3fa96679-8bc8-4545-9583-53cc25f06d50"/>
    <ds:schemaRef ds:uri="4d553874-e603-420d-b733-29ec2548bbd0"/>
    <ds:schemaRef ds:uri="5b0669a7-a738-41a3-89e4-5344b7ca2991"/>
    <ds:schemaRef ds:uri="20d27aaa-8247-4c27-8ec8-78a4e943420d"/>
  </ds:schemaRefs>
</ds:datastoreItem>
</file>

<file path=customXml/itemProps2.xml><?xml version="1.0" encoding="utf-8"?>
<ds:datastoreItem xmlns:ds="http://schemas.openxmlformats.org/officeDocument/2006/customXml" ds:itemID="{C73C04EF-1C4C-4D50-BB4C-5AF940E443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F8D131-2471-4F5A-8F2B-7CD6E8409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Cantidades producto 1</vt:lpstr>
      <vt:lpstr>Cantidades producto 2</vt:lpstr>
      <vt:lpstr>Cantidades producto 3</vt:lpstr>
      <vt:lpstr>Cantidades producto 4</vt:lpstr>
      <vt:lpstr>Cantidades producto 5</vt:lpstr>
      <vt:lpstr>Cantidades Producto 6</vt:lpstr>
      <vt:lpstr>Oferta producto 1</vt:lpstr>
      <vt:lpstr>Oferta producto 2</vt:lpstr>
      <vt:lpstr>Oferta producto 3</vt:lpstr>
      <vt:lpstr>Oferta producto 4</vt:lpstr>
      <vt:lpstr>Oferta producto 5</vt:lpstr>
      <vt:lpstr>Oferta producto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Obando</dc:creator>
  <cp:keywords/>
  <dc:description/>
  <cp:lastModifiedBy>Nicolás Poveda Granados</cp:lastModifiedBy>
  <cp:revision/>
  <dcterms:created xsi:type="dcterms:W3CDTF">2020-03-26T19:02:29Z</dcterms:created>
  <dcterms:modified xsi:type="dcterms:W3CDTF">2025-02-27T18:35:41Z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0x0101003B04873852009D40B2C0F29E8DFF47C1</vt:lpwstr>
  </property>
  <property fmtid="{D5CDD505-2E9C-101B-9397-08002B2CF9AE}" pid="3" name="MediaServiceImageTags">
    <vt:lpwstr/>
  </property>
</Properties>
</file>