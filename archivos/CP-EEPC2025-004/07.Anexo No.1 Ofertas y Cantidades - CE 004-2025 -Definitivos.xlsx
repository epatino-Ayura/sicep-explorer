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172.25.2.9\XM_Comercial\09.Compra Energia\01. MERCADO REGULADO\13. INVITACIONES 2025\CE 004-2025\02.Publicación\Definitivos\"/>
    </mc:Choice>
  </mc:AlternateContent>
  <xr:revisionPtr revIDLastSave="0" documentId="13_ncr:1_{3FBFC40F-FEE5-4902-8ADF-846162D75C57}" xr6:coauthVersionLast="47" xr6:coauthVersionMax="47" xr10:uidLastSave="{00000000-0000-0000-0000-000000000000}"/>
  <bookViews>
    <workbookView xWindow="-28920" yWindow="-4830" windowWidth="29040" windowHeight="15840" xr2:uid="{AB74ADC7-B8B7-4791-9BEB-E1A35E7802FC}"/>
  </bookViews>
  <sheets>
    <sheet name="Oferta Producto No. 1" sheetId="40" r:id="rId1"/>
    <sheet name="Cantidades Producto No. 1" sheetId="12" r:id="rId2"/>
    <sheet name="Oferta Producto No. 2" sheetId="8" r:id="rId3"/>
    <sheet name="Cantidades Producto No. 2" sheetId="42" r:id="rId4"/>
    <sheet name="Oferta Producto No. 3" sheetId="16" r:id="rId5"/>
    <sheet name="Cantidades Producto No. 3" sheetId="43" r:id="rId6"/>
  </sheets>
  <definedNames>
    <definedName name="_xlnm.Print_Area" localSheetId="0">'Oferta Producto No. 1'!$A$1:$M$38</definedName>
    <definedName name="_xlnm.Print_Area" localSheetId="2">'Oferta Producto No. 2'!$A$1:$M$38</definedName>
    <definedName name="_xlnm.Print_Area" localSheetId="4">'Oferta Producto No. 3'!$A$1:$M$38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2" i="16" l="1"/>
  <c r="B32" i="8"/>
  <c r="B32" i="40"/>
  <c r="F26" i="16"/>
  <c r="F25" i="16"/>
  <c r="F24" i="16"/>
  <c r="F23" i="16"/>
  <c r="F22" i="16"/>
  <c r="F21" i="16"/>
  <c r="F20" i="16"/>
  <c r="F19" i="16"/>
  <c r="F18" i="16"/>
  <c r="F17" i="16"/>
  <c r="F16" i="16"/>
  <c r="F15" i="16"/>
  <c r="F26" i="8"/>
  <c r="F25" i="8"/>
  <c r="F24" i="8"/>
  <c r="F23" i="8"/>
  <c r="F22" i="8"/>
  <c r="F21" i="8"/>
  <c r="F20" i="8"/>
  <c r="F19" i="8"/>
  <c r="F18" i="8"/>
  <c r="F17" i="8"/>
  <c r="F16" i="8"/>
  <c r="F15" i="8"/>
  <c r="F26" i="40"/>
  <c r="F25" i="40"/>
  <c r="F24" i="40"/>
  <c r="F23" i="40"/>
  <c r="F22" i="40"/>
  <c r="F21" i="40"/>
  <c r="F20" i="40"/>
  <c r="F19" i="40"/>
  <c r="F18" i="40"/>
  <c r="F17" i="40"/>
  <c r="F16" i="40"/>
  <c r="F15" i="40"/>
  <c r="AA83" i="43"/>
  <c r="Y83" i="43"/>
  <c r="X83" i="43"/>
  <c r="W83" i="43"/>
  <c r="V83" i="43"/>
  <c r="U83" i="43"/>
  <c r="T83" i="43"/>
  <c r="S83" i="43"/>
  <c r="R83" i="43"/>
  <c r="Q83" i="43"/>
  <c r="P83" i="43"/>
  <c r="O83" i="43"/>
  <c r="N83" i="43"/>
  <c r="M83" i="43"/>
  <c r="L83" i="43"/>
  <c r="K83" i="43"/>
  <c r="J83" i="43"/>
  <c r="I83" i="43"/>
  <c r="H83" i="43"/>
  <c r="G83" i="43"/>
  <c r="F83" i="43"/>
  <c r="E83" i="43"/>
  <c r="D83" i="43"/>
  <c r="C83" i="43"/>
  <c r="B83" i="43"/>
  <c r="AA82" i="43"/>
  <c r="Y82" i="43"/>
  <c r="X82" i="43"/>
  <c r="W82" i="43"/>
  <c r="V82" i="43"/>
  <c r="U82" i="43"/>
  <c r="T82" i="43"/>
  <c r="S82" i="43"/>
  <c r="R82" i="43"/>
  <c r="Q82" i="43"/>
  <c r="P82" i="43"/>
  <c r="O82" i="43"/>
  <c r="N82" i="43"/>
  <c r="M82" i="43"/>
  <c r="L82" i="43"/>
  <c r="K82" i="43"/>
  <c r="J82" i="43"/>
  <c r="I82" i="43"/>
  <c r="H82" i="43"/>
  <c r="G82" i="43"/>
  <c r="F82" i="43"/>
  <c r="E82" i="43"/>
  <c r="D82" i="43"/>
  <c r="C82" i="43"/>
  <c r="B82" i="43"/>
  <c r="AA81" i="43"/>
  <c r="Y81" i="43"/>
  <c r="X81" i="43"/>
  <c r="W81" i="43"/>
  <c r="V81" i="43"/>
  <c r="U81" i="43"/>
  <c r="T81" i="43"/>
  <c r="S81" i="43"/>
  <c r="R81" i="43"/>
  <c r="Q81" i="43"/>
  <c r="P81" i="43"/>
  <c r="O81" i="43"/>
  <c r="N81" i="43"/>
  <c r="M81" i="43"/>
  <c r="L81" i="43"/>
  <c r="K81" i="43"/>
  <c r="J81" i="43"/>
  <c r="I81" i="43"/>
  <c r="H81" i="43"/>
  <c r="G81" i="43"/>
  <c r="F81" i="43"/>
  <c r="E81" i="43"/>
  <c r="D81" i="43"/>
  <c r="C81" i="43"/>
  <c r="B81" i="43"/>
  <c r="AA80" i="43"/>
  <c r="Y80" i="43"/>
  <c r="X80" i="43"/>
  <c r="W80" i="43"/>
  <c r="V80" i="43"/>
  <c r="U80" i="43"/>
  <c r="T80" i="43"/>
  <c r="S80" i="43"/>
  <c r="R80" i="43"/>
  <c r="Q80" i="43"/>
  <c r="P80" i="43"/>
  <c r="O80" i="43"/>
  <c r="N80" i="43"/>
  <c r="M80" i="43"/>
  <c r="L80" i="43"/>
  <c r="K80" i="43"/>
  <c r="J80" i="43"/>
  <c r="I80" i="43"/>
  <c r="H80" i="43"/>
  <c r="G80" i="43"/>
  <c r="F80" i="43"/>
  <c r="E80" i="43"/>
  <c r="D80" i="43"/>
  <c r="C80" i="43"/>
  <c r="B80" i="43"/>
  <c r="AA79" i="43"/>
  <c r="Y79" i="43"/>
  <c r="X79" i="43"/>
  <c r="W79" i="43"/>
  <c r="V79" i="43"/>
  <c r="U79" i="43"/>
  <c r="T79" i="43"/>
  <c r="S79" i="43"/>
  <c r="R79" i="43"/>
  <c r="Q79" i="43"/>
  <c r="P79" i="43"/>
  <c r="O79" i="43"/>
  <c r="N79" i="43"/>
  <c r="M79" i="43"/>
  <c r="L79" i="43"/>
  <c r="K79" i="43"/>
  <c r="J79" i="43"/>
  <c r="I79" i="43"/>
  <c r="H79" i="43"/>
  <c r="G79" i="43"/>
  <c r="F79" i="43"/>
  <c r="E79" i="43"/>
  <c r="D79" i="43"/>
  <c r="C79" i="43"/>
  <c r="B79" i="43"/>
  <c r="AA78" i="43"/>
  <c r="Y78" i="43"/>
  <c r="X78" i="43"/>
  <c r="W78" i="43"/>
  <c r="V78" i="43"/>
  <c r="U78" i="43"/>
  <c r="T78" i="43"/>
  <c r="S78" i="43"/>
  <c r="R78" i="43"/>
  <c r="Q78" i="43"/>
  <c r="P78" i="43"/>
  <c r="O78" i="43"/>
  <c r="N78" i="43"/>
  <c r="M78" i="43"/>
  <c r="L78" i="43"/>
  <c r="K78" i="43"/>
  <c r="J78" i="43"/>
  <c r="I78" i="43"/>
  <c r="H78" i="43"/>
  <c r="G78" i="43"/>
  <c r="F78" i="43"/>
  <c r="E78" i="43"/>
  <c r="D78" i="43"/>
  <c r="C78" i="43"/>
  <c r="B78" i="43"/>
  <c r="AA77" i="43"/>
  <c r="Y77" i="43"/>
  <c r="X77" i="43"/>
  <c r="W77" i="43"/>
  <c r="V77" i="43"/>
  <c r="U77" i="43"/>
  <c r="T77" i="43"/>
  <c r="S77" i="43"/>
  <c r="R77" i="43"/>
  <c r="Q77" i="43"/>
  <c r="P77" i="43"/>
  <c r="O77" i="43"/>
  <c r="N77" i="43"/>
  <c r="M77" i="43"/>
  <c r="L77" i="43"/>
  <c r="K77" i="43"/>
  <c r="J77" i="43"/>
  <c r="I77" i="43"/>
  <c r="H77" i="43"/>
  <c r="G77" i="43"/>
  <c r="F77" i="43"/>
  <c r="E77" i="43"/>
  <c r="D77" i="43"/>
  <c r="C77" i="43"/>
  <c r="B77" i="43"/>
  <c r="AA76" i="43"/>
  <c r="Y76" i="43"/>
  <c r="X76" i="43"/>
  <c r="W76" i="43"/>
  <c r="V76" i="43"/>
  <c r="U76" i="43"/>
  <c r="T76" i="43"/>
  <c r="S76" i="43"/>
  <c r="R76" i="43"/>
  <c r="Q76" i="43"/>
  <c r="P76" i="43"/>
  <c r="O76" i="43"/>
  <c r="N76" i="43"/>
  <c r="M76" i="43"/>
  <c r="L76" i="43"/>
  <c r="K76" i="43"/>
  <c r="J76" i="43"/>
  <c r="I76" i="43"/>
  <c r="H76" i="43"/>
  <c r="G76" i="43"/>
  <c r="F76" i="43"/>
  <c r="E76" i="43"/>
  <c r="D76" i="43"/>
  <c r="C76" i="43"/>
  <c r="B76" i="43"/>
  <c r="AA75" i="43"/>
  <c r="Y75" i="43"/>
  <c r="X75" i="43"/>
  <c r="W75" i="43"/>
  <c r="V75" i="43"/>
  <c r="U75" i="43"/>
  <c r="T75" i="43"/>
  <c r="S75" i="43"/>
  <c r="R75" i="43"/>
  <c r="Q75" i="43"/>
  <c r="P75" i="43"/>
  <c r="O75" i="43"/>
  <c r="N75" i="43"/>
  <c r="M75" i="43"/>
  <c r="L75" i="43"/>
  <c r="K75" i="43"/>
  <c r="J75" i="43"/>
  <c r="I75" i="43"/>
  <c r="H75" i="43"/>
  <c r="G75" i="43"/>
  <c r="F75" i="43"/>
  <c r="E75" i="43"/>
  <c r="D75" i="43"/>
  <c r="C75" i="43"/>
  <c r="B75" i="43"/>
  <c r="AA74" i="43"/>
  <c r="Y74" i="43"/>
  <c r="X74" i="43"/>
  <c r="W74" i="43"/>
  <c r="V74" i="43"/>
  <c r="U74" i="43"/>
  <c r="T74" i="43"/>
  <c r="S74" i="43"/>
  <c r="R74" i="43"/>
  <c r="Q74" i="43"/>
  <c r="P74" i="43"/>
  <c r="O74" i="43"/>
  <c r="N74" i="43"/>
  <c r="M74" i="43"/>
  <c r="L74" i="43"/>
  <c r="K74" i="43"/>
  <c r="J74" i="43"/>
  <c r="I74" i="43"/>
  <c r="H74" i="43"/>
  <c r="G74" i="43"/>
  <c r="F74" i="43"/>
  <c r="E74" i="43"/>
  <c r="D74" i="43"/>
  <c r="C74" i="43"/>
  <c r="B74" i="43"/>
  <c r="AA73" i="43"/>
  <c r="Y73" i="43"/>
  <c r="X73" i="43"/>
  <c r="W73" i="43"/>
  <c r="V73" i="43"/>
  <c r="U73" i="43"/>
  <c r="T73" i="43"/>
  <c r="S73" i="43"/>
  <c r="R73" i="43"/>
  <c r="Q73" i="43"/>
  <c r="P73" i="43"/>
  <c r="O73" i="43"/>
  <c r="N73" i="43"/>
  <c r="M73" i="43"/>
  <c r="L73" i="43"/>
  <c r="K73" i="43"/>
  <c r="J73" i="43"/>
  <c r="I73" i="43"/>
  <c r="H73" i="43"/>
  <c r="G73" i="43"/>
  <c r="F73" i="43"/>
  <c r="E73" i="43"/>
  <c r="D73" i="43"/>
  <c r="C73" i="43"/>
  <c r="B73" i="43"/>
  <c r="AA72" i="43"/>
  <c r="Y72" i="43"/>
  <c r="X72" i="43"/>
  <c r="W72" i="43"/>
  <c r="V72" i="43"/>
  <c r="U72" i="43"/>
  <c r="T72" i="43"/>
  <c r="S72" i="43"/>
  <c r="R72" i="43"/>
  <c r="Q72" i="43"/>
  <c r="P72" i="43"/>
  <c r="O72" i="43"/>
  <c r="N72" i="43"/>
  <c r="M72" i="43"/>
  <c r="L72" i="43"/>
  <c r="K72" i="43"/>
  <c r="J72" i="43"/>
  <c r="I72" i="43"/>
  <c r="H72" i="43"/>
  <c r="G72" i="43"/>
  <c r="F72" i="43"/>
  <c r="E72" i="43"/>
  <c r="D72" i="43"/>
  <c r="C72" i="43"/>
  <c r="B72" i="43"/>
  <c r="Z67" i="43"/>
  <c r="AB67" i="43" s="1"/>
  <c r="Z66" i="43"/>
  <c r="AB66" i="43" s="1"/>
  <c r="Z65" i="43"/>
  <c r="AB65" i="43" s="1"/>
  <c r="Z64" i="43"/>
  <c r="AB64" i="43" s="1"/>
  <c r="Z63" i="43"/>
  <c r="AB63" i="43" s="1"/>
  <c r="Z62" i="43"/>
  <c r="AB62" i="43" s="1"/>
  <c r="Z61" i="43"/>
  <c r="AB61" i="43" s="1"/>
  <c r="Z60" i="43"/>
  <c r="AB60" i="43" s="1"/>
  <c r="Z59" i="43"/>
  <c r="AB59" i="43" s="1"/>
  <c r="Z58" i="43"/>
  <c r="AB58" i="43" s="1"/>
  <c r="Z57" i="43"/>
  <c r="AB57" i="43" s="1"/>
  <c r="Z56" i="43"/>
  <c r="AB56" i="43" s="1"/>
  <c r="Z51" i="43"/>
  <c r="AB51" i="43" s="1"/>
  <c r="Z50" i="43"/>
  <c r="AB50" i="43" s="1"/>
  <c r="Z49" i="43"/>
  <c r="AB49" i="43" s="1"/>
  <c r="Z48" i="43"/>
  <c r="AB48" i="43" s="1"/>
  <c r="Z47" i="43"/>
  <c r="AB47" i="43" s="1"/>
  <c r="Z46" i="43"/>
  <c r="AB46" i="43" s="1"/>
  <c r="Z45" i="43"/>
  <c r="AB45" i="43" s="1"/>
  <c r="Z44" i="43"/>
  <c r="AB44" i="43" s="1"/>
  <c r="Z43" i="43"/>
  <c r="AB43" i="43" s="1"/>
  <c r="Z42" i="43"/>
  <c r="AB42" i="43" s="1"/>
  <c r="Z41" i="43"/>
  <c r="AB41" i="43" s="1"/>
  <c r="Z40" i="43"/>
  <c r="AB40" i="43" s="1"/>
  <c r="Z35" i="43"/>
  <c r="AB35" i="43" s="1"/>
  <c r="A35" i="43"/>
  <c r="A51" i="43" s="1"/>
  <c r="A67" i="43" s="1"/>
  <c r="A83" i="43" s="1"/>
  <c r="Z34" i="43"/>
  <c r="AB34" i="43" s="1"/>
  <c r="A34" i="43"/>
  <c r="A50" i="43" s="1"/>
  <c r="A66" i="43" s="1"/>
  <c r="A82" i="43" s="1"/>
  <c r="Z33" i="43"/>
  <c r="AB33" i="43" s="1"/>
  <c r="A33" i="43"/>
  <c r="A49" i="43" s="1"/>
  <c r="A65" i="43" s="1"/>
  <c r="A81" i="43" s="1"/>
  <c r="Z32" i="43"/>
  <c r="AB32" i="43" s="1"/>
  <c r="A32" i="43"/>
  <c r="A48" i="43" s="1"/>
  <c r="A64" i="43" s="1"/>
  <c r="A80" i="43" s="1"/>
  <c r="Z31" i="43"/>
  <c r="AB31" i="43" s="1"/>
  <c r="A31" i="43"/>
  <c r="A47" i="43" s="1"/>
  <c r="A63" i="43" s="1"/>
  <c r="A79" i="43" s="1"/>
  <c r="Z30" i="43"/>
  <c r="AB30" i="43" s="1"/>
  <c r="A30" i="43"/>
  <c r="A46" i="43" s="1"/>
  <c r="A62" i="43" s="1"/>
  <c r="A78" i="43" s="1"/>
  <c r="Z29" i="43"/>
  <c r="AB29" i="43" s="1"/>
  <c r="A29" i="43"/>
  <c r="A45" i="43" s="1"/>
  <c r="A61" i="43" s="1"/>
  <c r="A77" i="43" s="1"/>
  <c r="Z28" i="43"/>
  <c r="AB28" i="43" s="1"/>
  <c r="A28" i="43"/>
  <c r="A44" i="43" s="1"/>
  <c r="A60" i="43" s="1"/>
  <c r="A76" i="43" s="1"/>
  <c r="Z27" i="43"/>
  <c r="AB27" i="43" s="1"/>
  <c r="A27" i="43"/>
  <c r="A43" i="43" s="1"/>
  <c r="A59" i="43" s="1"/>
  <c r="A75" i="43" s="1"/>
  <c r="Z26" i="43"/>
  <c r="AB26" i="43" s="1"/>
  <c r="A26" i="43"/>
  <c r="A42" i="43" s="1"/>
  <c r="A58" i="43" s="1"/>
  <c r="A74" i="43" s="1"/>
  <c r="Z25" i="43"/>
  <c r="AB25" i="43" s="1"/>
  <c r="A25" i="43"/>
  <c r="A41" i="43" s="1"/>
  <c r="A57" i="43" s="1"/>
  <c r="A73" i="43" s="1"/>
  <c r="Z24" i="43"/>
  <c r="AB24" i="43" s="1"/>
  <c r="A24" i="43"/>
  <c r="A40" i="43" s="1"/>
  <c r="A56" i="43" s="1"/>
  <c r="A72" i="43" s="1"/>
  <c r="Z19" i="43"/>
  <c r="AB19" i="43" s="1"/>
  <c r="Z18" i="43"/>
  <c r="AB18" i="43" s="1"/>
  <c r="Z17" i="43"/>
  <c r="AB17" i="43" s="1"/>
  <c r="Z16" i="43"/>
  <c r="AB16" i="43" s="1"/>
  <c r="Z15" i="43"/>
  <c r="AB15" i="43" s="1"/>
  <c r="Z14" i="43"/>
  <c r="AB14" i="43" s="1"/>
  <c r="Z13" i="43"/>
  <c r="AB13" i="43" s="1"/>
  <c r="Z12" i="43"/>
  <c r="AB12" i="43" s="1"/>
  <c r="Z11" i="43"/>
  <c r="AB11" i="43" s="1"/>
  <c r="Z10" i="43"/>
  <c r="AB10" i="43" s="1"/>
  <c r="Z9" i="43"/>
  <c r="AB9" i="43" s="1"/>
  <c r="Z8" i="43"/>
  <c r="AB8" i="43" s="1"/>
  <c r="AA83" i="42"/>
  <c r="Y83" i="42"/>
  <c r="X83" i="42"/>
  <c r="W83" i="42"/>
  <c r="V83" i="42"/>
  <c r="U83" i="42"/>
  <c r="T83" i="42"/>
  <c r="S83" i="42"/>
  <c r="R83" i="42"/>
  <c r="Q83" i="42"/>
  <c r="P83" i="42"/>
  <c r="O83" i="42"/>
  <c r="N83" i="42"/>
  <c r="M83" i="42"/>
  <c r="L83" i="42"/>
  <c r="K83" i="42"/>
  <c r="J83" i="42"/>
  <c r="I83" i="42"/>
  <c r="H83" i="42"/>
  <c r="G83" i="42"/>
  <c r="F83" i="42"/>
  <c r="E83" i="42"/>
  <c r="D83" i="42"/>
  <c r="C83" i="42"/>
  <c r="B83" i="42"/>
  <c r="AA82" i="42"/>
  <c r="Y82" i="42"/>
  <c r="X82" i="42"/>
  <c r="W82" i="42"/>
  <c r="V82" i="42"/>
  <c r="U82" i="42"/>
  <c r="T82" i="42"/>
  <c r="S82" i="42"/>
  <c r="R82" i="42"/>
  <c r="Q82" i="42"/>
  <c r="P82" i="42"/>
  <c r="O82" i="42"/>
  <c r="N82" i="42"/>
  <c r="M82" i="42"/>
  <c r="L82" i="42"/>
  <c r="K82" i="42"/>
  <c r="J82" i="42"/>
  <c r="I82" i="42"/>
  <c r="H82" i="42"/>
  <c r="G82" i="42"/>
  <c r="F82" i="42"/>
  <c r="E82" i="42"/>
  <c r="D82" i="42"/>
  <c r="C82" i="42"/>
  <c r="B82" i="42"/>
  <c r="AA81" i="42"/>
  <c r="Y81" i="42"/>
  <c r="X81" i="42"/>
  <c r="W81" i="42"/>
  <c r="V81" i="42"/>
  <c r="U81" i="42"/>
  <c r="T81" i="42"/>
  <c r="S81" i="42"/>
  <c r="R81" i="42"/>
  <c r="Q81" i="42"/>
  <c r="P81" i="42"/>
  <c r="O81" i="42"/>
  <c r="N81" i="42"/>
  <c r="M81" i="42"/>
  <c r="L81" i="42"/>
  <c r="K81" i="42"/>
  <c r="J81" i="42"/>
  <c r="I81" i="42"/>
  <c r="H81" i="42"/>
  <c r="G81" i="42"/>
  <c r="F81" i="42"/>
  <c r="E81" i="42"/>
  <c r="D81" i="42"/>
  <c r="C81" i="42"/>
  <c r="B81" i="42"/>
  <c r="AA80" i="42"/>
  <c r="Y80" i="42"/>
  <c r="X80" i="42"/>
  <c r="W80" i="42"/>
  <c r="V80" i="42"/>
  <c r="U80" i="42"/>
  <c r="T80" i="42"/>
  <c r="S80" i="42"/>
  <c r="R80" i="42"/>
  <c r="Q80" i="42"/>
  <c r="P80" i="42"/>
  <c r="O80" i="42"/>
  <c r="N80" i="42"/>
  <c r="M80" i="42"/>
  <c r="L80" i="42"/>
  <c r="K80" i="42"/>
  <c r="J80" i="42"/>
  <c r="I80" i="42"/>
  <c r="H80" i="42"/>
  <c r="G80" i="42"/>
  <c r="F80" i="42"/>
  <c r="E80" i="42"/>
  <c r="D80" i="42"/>
  <c r="C80" i="42"/>
  <c r="B80" i="42"/>
  <c r="AA79" i="42"/>
  <c r="Y79" i="42"/>
  <c r="X79" i="42"/>
  <c r="W79" i="42"/>
  <c r="V79" i="42"/>
  <c r="U79" i="42"/>
  <c r="T79" i="42"/>
  <c r="S79" i="42"/>
  <c r="R79" i="42"/>
  <c r="Q79" i="42"/>
  <c r="P79" i="42"/>
  <c r="O79" i="42"/>
  <c r="N79" i="42"/>
  <c r="M79" i="42"/>
  <c r="L79" i="42"/>
  <c r="K79" i="42"/>
  <c r="J79" i="42"/>
  <c r="I79" i="42"/>
  <c r="H79" i="42"/>
  <c r="G79" i="42"/>
  <c r="F79" i="42"/>
  <c r="E79" i="42"/>
  <c r="D79" i="42"/>
  <c r="C79" i="42"/>
  <c r="B79" i="42"/>
  <c r="AA78" i="42"/>
  <c r="Y78" i="42"/>
  <c r="X78" i="42"/>
  <c r="W78" i="42"/>
  <c r="V78" i="42"/>
  <c r="U78" i="42"/>
  <c r="T78" i="42"/>
  <c r="S78" i="42"/>
  <c r="R78" i="42"/>
  <c r="Q78" i="42"/>
  <c r="P78" i="42"/>
  <c r="O78" i="42"/>
  <c r="N78" i="42"/>
  <c r="M78" i="42"/>
  <c r="L78" i="42"/>
  <c r="K78" i="42"/>
  <c r="J78" i="42"/>
  <c r="I78" i="42"/>
  <c r="H78" i="42"/>
  <c r="G78" i="42"/>
  <c r="F78" i="42"/>
  <c r="E78" i="42"/>
  <c r="D78" i="42"/>
  <c r="C78" i="42"/>
  <c r="B78" i="42"/>
  <c r="AA77" i="42"/>
  <c r="Y77" i="42"/>
  <c r="X77" i="42"/>
  <c r="W77" i="42"/>
  <c r="V77" i="42"/>
  <c r="U77" i="42"/>
  <c r="T77" i="42"/>
  <c r="S77" i="42"/>
  <c r="R77" i="42"/>
  <c r="Q77" i="42"/>
  <c r="P77" i="42"/>
  <c r="O77" i="42"/>
  <c r="N77" i="42"/>
  <c r="M77" i="42"/>
  <c r="L77" i="42"/>
  <c r="K77" i="42"/>
  <c r="J77" i="42"/>
  <c r="I77" i="42"/>
  <c r="H77" i="42"/>
  <c r="G77" i="42"/>
  <c r="F77" i="42"/>
  <c r="E77" i="42"/>
  <c r="D77" i="42"/>
  <c r="C77" i="42"/>
  <c r="B77" i="42"/>
  <c r="AA76" i="42"/>
  <c r="Y76" i="42"/>
  <c r="X76" i="42"/>
  <c r="W76" i="42"/>
  <c r="V76" i="42"/>
  <c r="U76" i="42"/>
  <c r="T76" i="42"/>
  <c r="S76" i="42"/>
  <c r="R76" i="42"/>
  <c r="Q76" i="42"/>
  <c r="P76" i="42"/>
  <c r="O76" i="42"/>
  <c r="N76" i="42"/>
  <c r="M76" i="42"/>
  <c r="L76" i="42"/>
  <c r="K76" i="42"/>
  <c r="J76" i="42"/>
  <c r="I76" i="42"/>
  <c r="H76" i="42"/>
  <c r="G76" i="42"/>
  <c r="F76" i="42"/>
  <c r="E76" i="42"/>
  <c r="D76" i="42"/>
  <c r="C76" i="42"/>
  <c r="B76" i="42"/>
  <c r="AA75" i="42"/>
  <c r="Y75" i="42"/>
  <c r="X75" i="42"/>
  <c r="W75" i="42"/>
  <c r="V75" i="42"/>
  <c r="U75" i="42"/>
  <c r="T75" i="42"/>
  <c r="S75" i="42"/>
  <c r="R75" i="42"/>
  <c r="Q75" i="42"/>
  <c r="P75" i="42"/>
  <c r="O75" i="42"/>
  <c r="N75" i="42"/>
  <c r="M75" i="42"/>
  <c r="L75" i="42"/>
  <c r="K75" i="42"/>
  <c r="J75" i="42"/>
  <c r="I75" i="42"/>
  <c r="H75" i="42"/>
  <c r="G75" i="42"/>
  <c r="F75" i="42"/>
  <c r="E75" i="42"/>
  <c r="D75" i="42"/>
  <c r="C75" i="42"/>
  <c r="B75" i="42"/>
  <c r="AA74" i="42"/>
  <c r="Y74" i="42"/>
  <c r="X74" i="42"/>
  <c r="W74" i="42"/>
  <c r="V74" i="42"/>
  <c r="U74" i="42"/>
  <c r="T74" i="42"/>
  <c r="S74" i="42"/>
  <c r="R74" i="42"/>
  <c r="Q74" i="42"/>
  <c r="P74" i="42"/>
  <c r="O74" i="42"/>
  <c r="N74" i="42"/>
  <c r="M74" i="42"/>
  <c r="L74" i="42"/>
  <c r="K74" i="42"/>
  <c r="J74" i="42"/>
  <c r="I74" i="42"/>
  <c r="H74" i="42"/>
  <c r="G74" i="42"/>
  <c r="F74" i="42"/>
  <c r="E74" i="42"/>
  <c r="D74" i="42"/>
  <c r="C74" i="42"/>
  <c r="B74" i="42"/>
  <c r="AA73" i="42"/>
  <c r="Y73" i="42"/>
  <c r="X73" i="42"/>
  <c r="W73" i="42"/>
  <c r="V73" i="42"/>
  <c r="U73" i="42"/>
  <c r="T73" i="42"/>
  <c r="S73" i="42"/>
  <c r="R73" i="42"/>
  <c r="Q73" i="42"/>
  <c r="P73" i="42"/>
  <c r="O73" i="42"/>
  <c r="N73" i="42"/>
  <c r="M73" i="42"/>
  <c r="L73" i="42"/>
  <c r="K73" i="42"/>
  <c r="J73" i="42"/>
  <c r="I73" i="42"/>
  <c r="H73" i="42"/>
  <c r="G73" i="42"/>
  <c r="F73" i="42"/>
  <c r="E73" i="42"/>
  <c r="D73" i="42"/>
  <c r="C73" i="42"/>
  <c r="B73" i="42"/>
  <c r="AA72" i="42"/>
  <c r="Y72" i="42"/>
  <c r="X72" i="42"/>
  <c r="W72" i="42"/>
  <c r="V72" i="42"/>
  <c r="U72" i="42"/>
  <c r="T72" i="42"/>
  <c r="S72" i="42"/>
  <c r="R72" i="42"/>
  <c r="Q72" i="42"/>
  <c r="P72" i="42"/>
  <c r="O72" i="42"/>
  <c r="N72" i="42"/>
  <c r="M72" i="42"/>
  <c r="L72" i="42"/>
  <c r="K72" i="42"/>
  <c r="J72" i="42"/>
  <c r="I72" i="42"/>
  <c r="H72" i="42"/>
  <c r="G72" i="42"/>
  <c r="F72" i="42"/>
  <c r="E72" i="42"/>
  <c r="D72" i="42"/>
  <c r="C72" i="42"/>
  <c r="B72" i="42"/>
  <c r="Z67" i="42"/>
  <c r="AB67" i="42" s="1"/>
  <c r="Z66" i="42"/>
  <c r="AB66" i="42" s="1"/>
  <c r="Z65" i="42"/>
  <c r="AB65" i="42" s="1"/>
  <c r="Z64" i="42"/>
  <c r="AB64" i="42" s="1"/>
  <c r="Z63" i="42"/>
  <c r="AB63" i="42" s="1"/>
  <c r="Z62" i="42"/>
  <c r="AB62" i="42" s="1"/>
  <c r="Z61" i="42"/>
  <c r="AB61" i="42" s="1"/>
  <c r="Z60" i="42"/>
  <c r="AB60" i="42" s="1"/>
  <c r="Z59" i="42"/>
  <c r="AB59" i="42" s="1"/>
  <c r="Z58" i="42"/>
  <c r="AB58" i="42" s="1"/>
  <c r="Z57" i="42"/>
  <c r="AB57" i="42" s="1"/>
  <c r="Z56" i="42"/>
  <c r="AB56" i="42" s="1"/>
  <c r="Z51" i="42"/>
  <c r="AB51" i="42" s="1"/>
  <c r="Z50" i="42"/>
  <c r="AB50" i="42" s="1"/>
  <c r="Z49" i="42"/>
  <c r="AB49" i="42" s="1"/>
  <c r="Z48" i="42"/>
  <c r="AB48" i="42" s="1"/>
  <c r="Z47" i="42"/>
  <c r="AB47" i="42" s="1"/>
  <c r="Z46" i="42"/>
  <c r="AB46" i="42" s="1"/>
  <c r="Z45" i="42"/>
  <c r="AB45" i="42" s="1"/>
  <c r="Z44" i="42"/>
  <c r="AB44" i="42" s="1"/>
  <c r="Z43" i="42"/>
  <c r="AB43" i="42" s="1"/>
  <c r="Z42" i="42"/>
  <c r="AB42" i="42" s="1"/>
  <c r="Z41" i="42"/>
  <c r="AB41" i="42" s="1"/>
  <c r="Z40" i="42"/>
  <c r="AB40" i="42" s="1"/>
  <c r="Z35" i="42"/>
  <c r="AB35" i="42" s="1"/>
  <c r="A35" i="42"/>
  <c r="A51" i="42" s="1"/>
  <c r="A67" i="42" s="1"/>
  <c r="A83" i="42" s="1"/>
  <c r="Z34" i="42"/>
  <c r="AB34" i="42" s="1"/>
  <c r="A34" i="42"/>
  <c r="A50" i="42" s="1"/>
  <c r="A66" i="42" s="1"/>
  <c r="A82" i="42" s="1"/>
  <c r="Z33" i="42"/>
  <c r="AB33" i="42" s="1"/>
  <c r="A33" i="42"/>
  <c r="A49" i="42" s="1"/>
  <c r="A65" i="42" s="1"/>
  <c r="A81" i="42" s="1"/>
  <c r="Z32" i="42"/>
  <c r="AB32" i="42" s="1"/>
  <c r="A32" i="42"/>
  <c r="A48" i="42" s="1"/>
  <c r="A64" i="42" s="1"/>
  <c r="A80" i="42" s="1"/>
  <c r="Z31" i="42"/>
  <c r="AB31" i="42" s="1"/>
  <c r="A31" i="42"/>
  <c r="A47" i="42" s="1"/>
  <c r="A63" i="42" s="1"/>
  <c r="A79" i="42" s="1"/>
  <c r="Z30" i="42"/>
  <c r="AB30" i="42" s="1"/>
  <c r="A30" i="42"/>
  <c r="A46" i="42" s="1"/>
  <c r="A62" i="42" s="1"/>
  <c r="A78" i="42" s="1"/>
  <c r="Z29" i="42"/>
  <c r="AB29" i="42" s="1"/>
  <c r="A29" i="42"/>
  <c r="A45" i="42" s="1"/>
  <c r="A61" i="42" s="1"/>
  <c r="A77" i="42" s="1"/>
  <c r="Z28" i="42"/>
  <c r="AB28" i="42" s="1"/>
  <c r="A28" i="42"/>
  <c r="A44" i="42" s="1"/>
  <c r="A60" i="42" s="1"/>
  <c r="A76" i="42" s="1"/>
  <c r="Z27" i="42"/>
  <c r="AB27" i="42" s="1"/>
  <c r="A27" i="42"/>
  <c r="A43" i="42" s="1"/>
  <c r="A59" i="42" s="1"/>
  <c r="A75" i="42" s="1"/>
  <c r="Z26" i="42"/>
  <c r="AB26" i="42" s="1"/>
  <c r="A26" i="42"/>
  <c r="A42" i="42" s="1"/>
  <c r="A58" i="42" s="1"/>
  <c r="A74" i="42" s="1"/>
  <c r="Z25" i="42"/>
  <c r="AB25" i="42" s="1"/>
  <c r="A25" i="42"/>
  <c r="A41" i="42" s="1"/>
  <c r="A57" i="42" s="1"/>
  <c r="A73" i="42" s="1"/>
  <c r="Z24" i="42"/>
  <c r="AB24" i="42" s="1"/>
  <c r="A24" i="42"/>
  <c r="A40" i="42" s="1"/>
  <c r="A56" i="42" s="1"/>
  <c r="A72" i="42" s="1"/>
  <c r="Z19" i="42"/>
  <c r="AB19" i="42" s="1"/>
  <c r="Z18" i="42"/>
  <c r="AB18" i="42" s="1"/>
  <c r="Z17" i="42"/>
  <c r="AB17" i="42" s="1"/>
  <c r="Z16" i="42"/>
  <c r="AB16" i="42" s="1"/>
  <c r="Z15" i="42"/>
  <c r="AB15" i="42" s="1"/>
  <c r="Z14" i="42"/>
  <c r="AB14" i="42" s="1"/>
  <c r="Z13" i="42"/>
  <c r="AB13" i="42" s="1"/>
  <c r="Z12" i="42"/>
  <c r="AB12" i="42" s="1"/>
  <c r="Z11" i="42"/>
  <c r="AB11" i="42" s="1"/>
  <c r="Z10" i="42"/>
  <c r="AB10" i="42" s="1"/>
  <c r="Z9" i="42"/>
  <c r="AB9" i="42" s="1"/>
  <c r="Z8" i="42"/>
  <c r="AB8" i="42" s="1"/>
  <c r="F13" i="40"/>
  <c r="C9" i="40"/>
  <c r="Y83" i="12"/>
  <c r="X83" i="12"/>
  <c r="W83" i="12"/>
  <c r="V83" i="12"/>
  <c r="U83" i="12"/>
  <c r="T83" i="12"/>
  <c r="S83" i="12"/>
  <c r="R83" i="12"/>
  <c r="Q83" i="12"/>
  <c r="P83" i="12"/>
  <c r="O83" i="12"/>
  <c r="N83" i="12"/>
  <c r="M83" i="12"/>
  <c r="L83" i="12"/>
  <c r="K83" i="12"/>
  <c r="J83" i="12"/>
  <c r="I83" i="12"/>
  <c r="H83" i="12"/>
  <c r="G83" i="12"/>
  <c r="F83" i="12"/>
  <c r="E83" i="12"/>
  <c r="D83" i="12"/>
  <c r="C83" i="12"/>
  <c r="B83" i="12"/>
  <c r="Y82" i="12"/>
  <c r="X82" i="12"/>
  <c r="W82" i="12"/>
  <c r="V82" i="12"/>
  <c r="U82" i="12"/>
  <c r="T82" i="12"/>
  <c r="S82" i="12"/>
  <c r="R82" i="12"/>
  <c r="Q82" i="12"/>
  <c r="P82" i="12"/>
  <c r="O82" i="12"/>
  <c r="N82" i="12"/>
  <c r="M82" i="12"/>
  <c r="L82" i="12"/>
  <c r="K82" i="12"/>
  <c r="J82" i="12"/>
  <c r="I82" i="12"/>
  <c r="H82" i="12"/>
  <c r="G82" i="12"/>
  <c r="F82" i="12"/>
  <c r="E82" i="12"/>
  <c r="D82" i="12"/>
  <c r="C82" i="12"/>
  <c r="B82" i="12"/>
  <c r="Y81" i="12"/>
  <c r="X81" i="12"/>
  <c r="W81" i="12"/>
  <c r="V81" i="12"/>
  <c r="U81" i="12"/>
  <c r="T81" i="12"/>
  <c r="S81" i="12"/>
  <c r="R81" i="12"/>
  <c r="Q81" i="12"/>
  <c r="P81" i="12"/>
  <c r="O81" i="12"/>
  <c r="N81" i="12"/>
  <c r="M81" i="12"/>
  <c r="L81" i="12"/>
  <c r="K81" i="12"/>
  <c r="J81" i="12"/>
  <c r="I81" i="12"/>
  <c r="H81" i="12"/>
  <c r="G81" i="12"/>
  <c r="F81" i="12"/>
  <c r="E81" i="12"/>
  <c r="D81" i="12"/>
  <c r="C81" i="12"/>
  <c r="B81" i="12"/>
  <c r="Y80" i="12"/>
  <c r="X80" i="12"/>
  <c r="W80" i="12"/>
  <c r="V80" i="12"/>
  <c r="U80" i="12"/>
  <c r="T80" i="12"/>
  <c r="S80" i="12"/>
  <c r="R80" i="12"/>
  <c r="Q80" i="12"/>
  <c r="P80" i="12"/>
  <c r="O80" i="12"/>
  <c r="N80" i="12"/>
  <c r="M80" i="12"/>
  <c r="L80" i="12"/>
  <c r="K80" i="12"/>
  <c r="J80" i="12"/>
  <c r="I80" i="12"/>
  <c r="H80" i="12"/>
  <c r="G80" i="12"/>
  <c r="F80" i="12"/>
  <c r="E80" i="12"/>
  <c r="D80" i="12"/>
  <c r="C80" i="12"/>
  <c r="B80" i="12"/>
  <c r="Y79" i="12"/>
  <c r="X79" i="12"/>
  <c r="W79" i="12"/>
  <c r="V79" i="12"/>
  <c r="U79" i="12"/>
  <c r="T79" i="12"/>
  <c r="S79" i="12"/>
  <c r="R79" i="12"/>
  <c r="Q79" i="12"/>
  <c r="P79" i="12"/>
  <c r="O79" i="12"/>
  <c r="N79" i="12"/>
  <c r="M79" i="12"/>
  <c r="L79" i="12"/>
  <c r="K79" i="12"/>
  <c r="J79" i="12"/>
  <c r="I79" i="12"/>
  <c r="H79" i="12"/>
  <c r="G79" i="12"/>
  <c r="F79" i="12"/>
  <c r="E79" i="12"/>
  <c r="D79" i="12"/>
  <c r="C79" i="12"/>
  <c r="B79" i="12"/>
  <c r="Y78" i="12"/>
  <c r="X78" i="12"/>
  <c r="W78" i="12"/>
  <c r="V78" i="12"/>
  <c r="U78" i="12"/>
  <c r="T78" i="12"/>
  <c r="S78" i="12"/>
  <c r="R78" i="12"/>
  <c r="Q78" i="12"/>
  <c r="P78" i="12"/>
  <c r="O78" i="12"/>
  <c r="N78" i="12"/>
  <c r="M78" i="12"/>
  <c r="L78" i="12"/>
  <c r="K78" i="12"/>
  <c r="J78" i="12"/>
  <c r="I78" i="12"/>
  <c r="H78" i="12"/>
  <c r="G78" i="12"/>
  <c r="F78" i="12"/>
  <c r="E78" i="12"/>
  <c r="D78" i="12"/>
  <c r="C78" i="12"/>
  <c r="B78" i="12"/>
  <c r="Y77" i="12"/>
  <c r="X77" i="12"/>
  <c r="W77" i="12"/>
  <c r="V77" i="12"/>
  <c r="U77" i="12"/>
  <c r="T77" i="12"/>
  <c r="S77" i="12"/>
  <c r="R77" i="12"/>
  <c r="Q77" i="12"/>
  <c r="P77" i="12"/>
  <c r="O77" i="12"/>
  <c r="N77" i="12"/>
  <c r="M77" i="12"/>
  <c r="L77" i="12"/>
  <c r="K77" i="12"/>
  <c r="J77" i="12"/>
  <c r="I77" i="12"/>
  <c r="H77" i="12"/>
  <c r="G77" i="12"/>
  <c r="F77" i="12"/>
  <c r="E77" i="12"/>
  <c r="D77" i="12"/>
  <c r="C77" i="12"/>
  <c r="B77" i="12"/>
  <c r="Y76" i="12"/>
  <c r="X76" i="12"/>
  <c r="W76" i="12"/>
  <c r="V76" i="12"/>
  <c r="U76" i="12"/>
  <c r="T76" i="12"/>
  <c r="S76" i="12"/>
  <c r="R76" i="12"/>
  <c r="Q76" i="12"/>
  <c r="P76" i="12"/>
  <c r="O76" i="12"/>
  <c r="N76" i="12"/>
  <c r="M76" i="12"/>
  <c r="L76" i="12"/>
  <c r="K76" i="12"/>
  <c r="J76" i="12"/>
  <c r="I76" i="12"/>
  <c r="H76" i="12"/>
  <c r="G76" i="12"/>
  <c r="F76" i="12"/>
  <c r="E76" i="12"/>
  <c r="D76" i="12"/>
  <c r="C76" i="12"/>
  <c r="B76" i="12"/>
  <c r="Y75" i="12"/>
  <c r="X75" i="12"/>
  <c r="W75" i="12"/>
  <c r="V75" i="12"/>
  <c r="U75" i="12"/>
  <c r="T75" i="12"/>
  <c r="S75" i="12"/>
  <c r="R75" i="12"/>
  <c r="Q75" i="12"/>
  <c r="P75" i="12"/>
  <c r="O75" i="12"/>
  <c r="N75" i="12"/>
  <c r="M75" i="12"/>
  <c r="L75" i="12"/>
  <c r="K75" i="12"/>
  <c r="J75" i="12"/>
  <c r="I75" i="12"/>
  <c r="H75" i="12"/>
  <c r="G75" i="12"/>
  <c r="F75" i="12"/>
  <c r="E75" i="12"/>
  <c r="D75" i="12"/>
  <c r="C75" i="12"/>
  <c r="B75" i="12"/>
  <c r="Y74" i="12"/>
  <c r="X74" i="12"/>
  <c r="W74" i="12"/>
  <c r="V74" i="12"/>
  <c r="U74" i="12"/>
  <c r="T74" i="12"/>
  <c r="S74" i="12"/>
  <c r="R74" i="12"/>
  <c r="Q74" i="12"/>
  <c r="P74" i="12"/>
  <c r="O74" i="12"/>
  <c r="N74" i="12"/>
  <c r="M74" i="12"/>
  <c r="L74" i="12"/>
  <c r="K74" i="12"/>
  <c r="J74" i="12"/>
  <c r="I74" i="12"/>
  <c r="H74" i="12"/>
  <c r="G74" i="12"/>
  <c r="F74" i="12"/>
  <c r="E74" i="12"/>
  <c r="D74" i="12"/>
  <c r="C74" i="12"/>
  <c r="B74" i="12"/>
  <c r="Y73" i="12"/>
  <c r="X73" i="12"/>
  <c r="W73" i="12"/>
  <c r="V73" i="12"/>
  <c r="U73" i="12"/>
  <c r="T73" i="12"/>
  <c r="S73" i="12"/>
  <c r="R73" i="12"/>
  <c r="Q73" i="12"/>
  <c r="P73" i="12"/>
  <c r="O73" i="12"/>
  <c r="N73" i="12"/>
  <c r="M73" i="12"/>
  <c r="L73" i="12"/>
  <c r="K73" i="12"/>
  <c r="J73" i="12"/>
  <c r="I73" i="12"/>
  <c r="H73" i="12"/>
  <c r="G73" i="12"/>
  <c r="F73" i="12"/>
  <c r="E73" i="12"/>
  <c r="D73" i="12"/>
  <c r="C73" i="12"/>
  <c r="B73" i="12"/>
  <c r="Y72" i="12"/>
  <c r="X72" i="12"/>
  <c r="W72" i="12"/>
  <c r="V72" i="12"/>
  <c r="U72" i="12"/>
  <c r="T72" i="12"/>
  <c r="S72" i="12"/>
  <c r="R72" i="12"/>
  <c r="Q72" i="12"/>
  <c r="P72" i="12"/>
  <c r="O72" i="12"/>
  <c r="N72" i="12"/>
  <c r="M72" i="12"/>
  <c r="L72" i="12"/>
  <c r="K72" i="12"/>
  <c r="J72" i="12"/>
  <c r="I72" i="12"/>
  <c r="H72" i="12"/>
  <c r="G72" i="12"/>
  <c r="F72" i="12"/>
  <c r="E72" i="12"/>
  <c r="D72" i="12"/>
  <c r="C72" i="12"/>
  <c r="B72" i="12"/>
  <c r="AA83" i="12"/>
  <c r="AA82" i="12"/>
  <c r="AA81" i="12"/>
  <c r="AA80" i="12"/>
  <c r="AA79" i="12"/>
  <c r="AA78" i="12"/>
  <c r="AA77" i="12"/>
  <c r="AA76" i="12"/>
  <c r="AA75" i="12"/>
  <c r="AA74" i="12"/>
  <c r="AA73" i="12"/>
  <c r="AA72" i="12"/>
  <c r="A35" i="12"/>
  <c r="A51" i="12" s="1"/>
  <c r="A67" i="12" s="1"/>
  <c r="A83" i="12" s="1"/>
  <c r="A34" i="12"/>
  <c r="A50" i="12" s="1"/>
  <c r="A66" i="12" s="1"/>
  <c r="A82" i="12" s="1"/>
  <c r="A33" i="12"/>
  <c r="A49" i="12" s="1"/>
  <c r="A65" i="12" s="1"/>
  <c r="A81" i="12" s="1"/>
  <c r="A32" i="12"/>
  <c r="A48" i="12" s="1"/>
  <c r="A64" i="12" s="1"/>
  <c r="A80" i="12" s="1"/>
  <c r="A31" i="12"/>
  <c r="A47" i="12" s="1"/>
  <c r="A63" i="12" s="1"/>
  <c r="A79" i="12" s="1"/>
  <c r="A30" i="12"/>
  <c r="A46" i="12" s="1"/>
  <c r="A62" i="12" s="1"/>
  <c r="A78" i="12" s="1"/>
  <c r="A29" i="12"/>
  <c r="A45" i="12" s="1"/>
  <c r="A61" i="12" s="1"/>
  <c r="A77" i="12" s="1"/>
  <c r="A28" i="12"/>
  <c r="A44" i="12" s="1"/>
  <c r="A60" i="12" s="1"/>
  <c r="A76" i="12" s="1"/>
  <c r="A27" i="12"/>
  <c r="A43" i="12" s="1"/>
  <c r="A59" i="12" s="1"/>
  <c r="A75" i="12" s="1"/>
  <c r="A26" i="12"/>
  <c r="A42" i="12" s="1"/>
  <c r="A58" i="12" s="1"/>
  <c r="A74" i="12" s="1"/>
  <c r="A25" i="12"/>
  <c r="A41" i="12" s="1"/>
  <c r="A57" i="12" s="1"/>
  <c r="A73" i="12" s="1"/>
  <c r="A24" i="12"/>
  <c r="A40" i="12" s="1"/>
  <c r="A56" i="12" s="1"/>
  <c r="A72" i="12" s="1"/>
  <c r="Z58" i="12"/>
  <c r="AB58" i="12" s="1"/>
  <c r="Z60" i="12"/>
  <c r="AB60" i="12" s="1"/>
  <c r="Z64" i="12"/>
  <c r="AB64" i="12" s="1"/>
  <c r="Z65" i="12"/>
  <c r="AB65" i="12" s="1"/>
  <c r="Z67" i="12"/>
  <c r="AB67" i="12" s="1"/>
  <c r="Z51" i="12"/>
  <c r="AB51" i="12" s="1"/>
  <c r="Z41" i="12"/>
  <c r="AB41" i="12" s="1"/>
  <c r="Z47" i="12"/>
  <c r="AB47" i="12" s="1"/>
  <c r="Z48" i="12"/>
  <c r="AB48" i="12" s="1"/>
  <c r="Z44" i="12"/>
  <c r="AB44" i="12" s="1"/>
  <c r="Z49" i="12"/>
  <c r="AB49" i="12" s="1"/>
  <c r="Z42" i="12"/>
  <c r="AB42" i="12" s="1"/>
  <c r="Z40" i="12"/>
  <c r="AB40" i="12" s="1"/>
  <c r="Z56" i="12"/>
  <c r="AB56" i="12" s="1"/>
  <c r="Z57" i="12"/>
  <c r="AB57" i="12" s="1"/>
  <c r="Z43" i="12"/>
  <c r="AB43" i="12" s="1"/>
  <c r="Z59" i="12"/>
  <c r="AB59" i="12" s="1"/>
  <c r="Z45" i="12"/>
  <c r="AB45" i="12" s="1"/>
  <c r="Z61" i="12"/>
  <c r="AB61" i="12" s="1"/>
  <c r="Z62" i="12"/>
  <c r="AB62" i="12" s="1"/>
  <c r="Z63" i="12"/>
  <c r="AB63" i="12" s="1"/>
  <c r="Z50" i="12"/>
  <c r="AB50" i="12" s="1"/>
  <c r="Z66" i="12"/>
  <c r="AB66" i="12" s="1"/>
  <c r="Z46" i="12"/>
  <c r="AB46" i="12" s="1"/>
  <c r="Z26" i="12"/>
  <c r="AB26" i="12" s="1"/>
  <c r="Z10" i="12"/>
  <c r="AB10" i="12" s="1"/>
  <c r="Z24" i="12"/>
  <c r="AB24" i="12" s="1"/>
  <c r="Z8" i="12"/>
  <c r="AB8" i="12" s="1"/>
  <c r="Z27" i="12"/>
  <c r="AB27" i="12" s="1"/>
  <c r="Z11" i="12"/>
  <c r="AB11" i="12" s="1"/>
  <c r="Z25" i="12"/>
  <c r="AB25" i="12" s="1"/>
  <c r="Z9" i="12"/>
  <c r="AB9" i="12" s="1"/>
  <c r="Z28" i="12"/>
  <c r="AB28" i="12" s="1"/>
  <c r="Z12" i="12"/>
  <c r="AB12" i="12" s="1"/>
  <c r="Z30" i="12"/>
  <c r="AB30" i="12" s="1"/>
  <c r="Z14" i="12"/>
  <c r="AB14" i="12" s="1"/>
  <c r="Z31" i="12"/>
  <c r="AB31" i="12" s="1"/>
  <c r="Z15" i="12"/>
  <c r="AB15" i="12" s="1"/>
  <c r="Z34" i="12"/>
  <c r="Z18" i="12"/>
  <c r="AB18" i="12" s="1"/>
  <c r="Z29" i="12"/>
  <c r="AB29" i="12" s="1"/>
  <c r="Z13" i="12"/>
  <c r="AB13" i="12" s="1"/>
  <c r="Z32" i="12"/>
  <c r="AB32" i="12" s="1"/>
  <c r="Z16" i="12"/>
  <c r="AB16" i="12" s="1"/>
  <c r="Z35" i="12"/>
  <c r="AB35" i="12" s="1"/>
  <c r="Z19" i="12"/>
  <c r="AB19" i="12" s="1"/>
  <c r="Z33" i="12"/>
  <c r="AB33" i="12" s="1"/>
  <c r="Z17" i="12"/>
  <c r="AB17" i="12" s="1"/>
  <c r="F13" i="16"/>
  <c r="C9" i="16"/>
  <c r="F13" i="8"/>
  <c r="C9" i="8"/>
  <c r="Z76" i="43" l="1"/>
  <c r="AB73" i="43"/>
  <c r="G16" i="16" s="1"/>
  <c r="AB79" i="43"/>
  <c r="G22" i="16" s="1"/>
  <c r="AB80" i="43"/>
  <c r="G23" i="16" s="1"/>
  <c r="Z77" i="43"/>
  <c r="AB74" i="43"/>
  <c r="G17" i="16" s="1"/>
  <c r="Z78" i="43"/>
  <c r="AB83" i="43"/>
  <c r="G26" i="16" s="1"/>
  <c r="Z79" i="43"/>
  <c r="AB72" i="43"/>
  <c r="G15" i="16" s="1"/>
  <c r="Z72" i="43"/>
  <c r="Z80" i="43"/>
  <c r="Z73" i="43"/>
  <c r="Z81" i="43"/>
  <c r="AB78" i="43"/>
  <c r="G21" i="16" s="1"/>
  <c r="AB76" i="43"/>
  <c r="G19" i="16" s="1"/>
  <c r="Z74" i="43"/>
  <c r="Z82" i="43"/>
  <c r="Z75" i="43"/>
  <c r="Z83" i="43"/>
  <c r="AB75" i="43"/>
  <c r="G18" i="16" s="1"/>
  <c r="AB81" i="43"/>
  <c r="G24" i="16" s="1"/>
  <c r="AB82" i="43"/>
  <c r="G25" i="16" s="1"/>
  <c r="AB77" i="43"/>
  <c r="G20" i="16" s="1"/>
  <c r="Z72" i="42"/>
  <c r="Z80" i="42"/>
  <c r="AB73" i="42"/>
  <c r="G16" i="8" s="1"/>
  <c r="Z73" i="42"/>
  <c r="Z81" i="42"/>
  <c r="AB78" i="42"/>
  <c r="G21" i="8" s="1"/>
  <c r="Z74" i="42"/>
  <c r="Z82" i="42"/>
  <c r="Z75" i="42"/>
  <c r="Z83" i="42"/>
  <c r="AB72" i="42"/>
  <c r="G15" i="8" s="1"/>
  <c r="Z76" i="42"/>
  <c r="AB76" i="42"/>
  <c r="G19" i="8" s="1"/>
  <c r="Z77" i="42"/>
  <c r="AB74" i="42"/>
  <c r="G17" i="8" s="1"/>
  <c r="AB82" i="42"/>
  <c r="G25" i="8" s="1"/>
  <c r="Z78" i="42"/>
  <c r="Z79" i="42"/>
  <c r="AB77" i="42"/>
  <c r="G20" i="8" s="1"/>
  <c r="AB79" i="42"/>
  <c r="G22" i="8" s="1"/>
  <c r="AB80" i="42"/>
  <c r="G23" i="8" s="1"/>
  <c r="AB81" i="42"/>
  <c r="G24" i="8" s="1"/>
  <c r="AB75" i="42"/>
  <c r="G18" i="8" s="1"/>
  <c r="AB83" i="42"/>
  <c r="G26" i="8" s="1"/>
  <c r="AB34" i="12"/>
  <c r="AB82" i="12" s="1"/>
  <c r="G25" i="40" s="1"/>
  <c r="AB77" i="12"/>
  <c r="G20" i="40" s="1"/>
  <c r="Z76" i="12"/>
  <c r="AB78" i="12"/>
  <c r="G21" i="40" s="1"/>
  <c r="AB73" i="12"/>
  <c r="G16" i="40" s="1"/>
  <c r="AB76" i="12"/>
  <c r="G19" i="40" s="1"/>
  <c r="Z72" i="12"/>
  <c r="Z73" i="12"/>
  <c r="Z74" i="12"/>
  <c r="Z75" i="12"/>
  <c r="Z77" i="12"/>
  <c r="Z78" i="12"/>
  <c r="Z79" i="12"/>
  <c r="Z80" i="12"/>
  <c r="Z81" i="12"/>
  <c r="Z82" i="12"/>
  <c r="Z83" i="12"/>
  <c r="AB79" i="12"/>
  <c r="G22" i="40" s="1"/>
  <c r="AB74" i="12"/>
  <c r="G17" i="40" s="1"/>
  <c r="AB83" i="12"/>
  <c r="G26" i="40" s="1"/>
  <c r="AB72" i="12"/>
  <c r="G15" i="40" s="1"/>
  <c r="AB81" i="12"/>
  <c r="G24" i="40" s="1"/>
  <c r="AB75" i="12"/>
  <c r="G18" i="40" s="1"/>
  <c r="AB80" i="12"/>
  <c r="G23" i="40" s="1"/>
  <c r="G27" i="16" l="1"/>
  <c r="G27" i="8"/>
  <c r="G27" i="40"/>
</calcChain>
</file>

<file path=xl/sharedStrings.xml><?xml version="1.0" encoding="utf-8"?>
<sst xmlns="http://schemas.openxmlformats.org/spreadsheetml/2006/main" count="627" uniqueCount="59">
  <si>
    <t>ANEXO No. 1 OFERTAS Y CANTIDADES</t>
  </si>
  <si>
    <t>PRODUCTO No. 3</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</si>
  <si>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</si>
  <si>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</si>
  <si>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</si>
  <si>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Periodo</t>
  </si>
  <si>
    <t>Tarifa monomia ($/kWh)</t>
  </si>
  <si>
    <t>TOTAL</t>
  </si>
  <si>
    <t>Notas</t>
  </si>
  <si>
    <r>
      <t>(1) Oferta válida para la modalidad</t>
    </r>
    <r>
      <rPr>
        <b/>
        <sz val="16"/>
        <color theme="1"/>
        <rFont val="Verdana"/>
        <family val="2"/>
      </rPr>
      <t xml:space="preserve"> Pague lo Contratado.</t>
    </r>
  </si>
  <si>
    <t>EMPRESA DE ENERGÍA DE PEREIRA S.A. E.S.P.</t>
  </si>
  <si>
    <t>MES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</si>
  <si>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</si>
  <si>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</si>
  <si>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</si>
  <si>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</si>
  <si>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</si>
  <si>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</si>
  <si>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</si>
  <si>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</si>
  <si>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</si>
  <si>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</si>
  <si>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</si>
  <si>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</si>
  <si>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</si>
  <si>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</si>
  <si>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</si>
  <si>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</si>
  <si>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</si>
  <si>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</si>
  <si>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</si>
  <si>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</si>
  <si>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</si>
  <si>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</si>
  <si>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</si>
  <si>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</si>
  <si>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Días</t>
  </si>
  <si>
    <t>DEMANDA DIARIA ESTIMADA TOTAL [MWh]</t>
  </si>
  <si>
    <t>PRODUCTO No. 1</t>
  </si>
  <si>
    <t>Energía requerida (MWh-mes)</t>
  </si>
  <si>
    <t>Energía ofertada (%)</t>
  </si>
  <si>
    <t>Energía ofertada (MWh-mes)</t>
  </si>
  <si>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</si>
  <si>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</si>
  <si>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DEMANDA DIARIA ESTIMADA DÍA HABIL [MWh]</t>
  </si>
  <si>
    <t>HABIL</t>
  </si>
  <si>
    <t>DEMANDA DIARIA ESTIMADA DÍA SABADO [MWh]</t>
  </si>
  <si>
    <t>SABADOS</t>
  </si>
  <si>
    <t>DEMANDA DIARIA ESTIMADA DÍA DOMINGO Y FESTIVO DIFERENTE A LUNES [MWh]</t>
  </si>
  <si>
    <t>DOMINGOS Y FESTIVOS</t>
  </si>
  <si>
    <t>DEMANDA DIARIA ESTIMADA DÍA LUNES FESTIVO [MWh]</t>
  </si>
  <si>
    <t>LUNES FESTIVOS</t>
  </si>
  <si>
    <t>PRODUCTO No. 2</t>
  </si>
  <si>
    <t>OFERTA MERCANTIL IRREVOCABLE A LA EMPRESA DE ENERGIA DE PEREIRA S.A. ESP.
INVITACIÓN PARA EL SUMINISTRO DE ENERGÍA ELÉCTRICA CON DESTINO AL MERCADO REGULADO CONVOCATORIA PÚBLICA No. 004-2025 - CP-EEPC2025-004</t>
  </si>
  <si>
    <t>Las tarifas ofertadas están referidas en pesos constantes de abril de 2025 provisional</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</si>
  <si>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</si>
  <si>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(3) La cantidad de energía es equivalente a un porcentaje de las cantidades de energía requerida por la Empresa de Energía de Pereira S.A. ESP. (para todo el año/para cada mes), de acuerdo con el Anexo No.1 Ofertas y Cantidades PRODUCTO No. 1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</si>
  <si>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2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</si>
  <si>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3 de los Pliegos definitivos, que se aplicarán para todas las 24 horas del día de la curva establecida en dicho Anexo, presentando una tarifa para cada año sin ningún tipo de discriminación por mes, ni tipo de carga ni tipo de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</si>
</sst>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164" formatCode="_-* #,##0_-;\-* #,##0_-;_-* &quot;-&quot;??_-;_-@_-"/>
    <numFmt numFmtId="165" formatCode="_-* #,##0.00_-;\-* #,##0.00_-;_-* &quot;-&quot;_-;_-@_-"/>
    <numFmt numFmtId="166" formatCode="_ * #,##0_ ;_ * \-#,##0_ ;_ * &quot;-&quot;??_ ;_ @_ "/>
    <numFmt numFmtId="167" formatCode="_ * #,##0.00_ ;_ * \-#,##0.00_ ;_ * &quot;-&quot;?_ ;_ @_ "/>
    <numFmt numFmtId="168" formatCode="_ * #,##0_ ;_ * \-#,##0_ ;_ * &quot;-&quot;?_ ;_ @_ "/>
    <numFmt numFmtId="169" formatCode="_ * #,##0.0000_ ;_ * \-#,##0.0000_ ;_ * &quot;-&quot;?_ ;_ @_ "/>
    <numFmt numFmtId="170" formatCode="0.000%"/>
    <numFmt numFmtId="171" formatCode="_(* #,##0.00_);_(* \(#,##0.00\);_(* &quot;-&quot;??_);_(@_)"/>
  </numFmts>
  <fonts count="34" x14ac:knownFonts="1">
    <font>
      <sz val="11"/>
      <color theme="1"/>
      <name val="Calibri"/>
      <family val="2"/>
      <scheme val="minor"/>
    </font>
    <font>
      <sz val="11"/>
      <color theme="1"/>
      <name val="Calibri"/>
      <family val="2"/>
      <scheme val="minor"/>
    </font>
    <font>
      <sz val="10"/>
      <name val="Arial"/>
      <family val="2"/>
    </font>
    <font>
      <sz val="20"/>
      <name val="Verdana"/>
      <family val="2"/>
    </font>
    <font>
      <b/>
      <i/>
      <sz val="20"/>
      <name val="Verdana"/>
      <family val="2"/>
    </font>
    <font>
      <b/>
      <sz val="18"/>
      <color theme="1"/>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b/>
      <sz val="12"/>
      <name val="Arial"/>
      <family val="2"/>
    </font>
    <font>
      <b/>
      <sz val="10"/>
      <name val="Arial"/>
      <family val="2"/>
    </font>
    <font>
      <sz val="12"/>
      <color indexed="9"/>
      <name val="Arial"/>
      <family val="2"/>
    </font>
    <font>
      <sz val="10"/>
      <color indexed="9"/>
      <name val="Arial"/>
      <family val="2"/>
    </font>
    <font>
      <b/>
      <i/>
      <sz val="12"/>
      <color indexed="9"/>
      <name val="Arial"/>
      <family val="2"/>
    </font>
    <font>
      <sz val="11"/>
      <name val="Arial"/>
      <family val="2"/>
    </font>
    <font>
      <b/>
      <sz val="11"/>
      <color indexed="10"/>
      <name val="Arial"/>
      <family val="2"/>
    </font>
    <font>
      <b/>
      <sz val="11"/>
      <name val="Arial"/>
      <family val="2"/>
    </font>
    <font>
      <b/>
      <sz val="18"/>
      <name val="Arial"/>
      <family val="2"/>
    </font>
    <font>
      <b/>
      <sz val="16"/>
      <color theme="1"/>
      <name val="Arial"/>
      <family val="2"/>
    </font>
    <font>
      <b/>
      <sz val="18"/>
      <name val="Verdana"/>
      <family val="2"/>
    </font>
    <font>
      <sz val="12"/>
      <color rgb="FFFF0000"/>
      <name val="Arial"/>
      <family val="2"/>
    </font>
    <font>
      <b/>
      <sz val="12"/>
      <color rgb="FFFF0000"/>
      <name val="Arial"/>
      <family val="2"/>
    </font>
    <font>
      <sz val="10"/>
      <color theme="0"/>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2">
    <xf numFmtId="0" fontId="0" fillId="0" borderId="0"/>
    <xf numFmtId="41" fontId="2" fillId="0" borderId="0" applyFont="0" applyFill="0" applyBorder="0" applyAlignment="0" applyProtection="0"/>
    <xf numFmtId="0" fontId="2"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0" fontId="2" fillId="0" borderId="0" applyFont="0" applyFill="0" applyBorder="0" applyAlignment="0" applyProtection="0"/>
    <xf numFmtId="9" fontId="2" fillId="0" borderId="0" applyFont="0" applyFill="0" applyBorder="0" applyAlignment="0" applyProtection="0"/>
    <xf numFmtId="171" fontId="2" fillId="0" borderId="0" applyFont="0" applyFill="0" applyBorder="0" applyAlignment="0" applyProtection="0"/>
    <xf numFmtId="0" fontId="1" fillId="0" borderId="0"/>
    <xf numFmtId="9" fontId="1" fillId="0" borderId="0" applyFont="0" applyFill="0" applyBorder="0" applyAlignment="0" applyProtection="0"/>
  </cellStyleXfs>
  <cellXfs count="83">
    <xf numFmtId="0" fontId="0" fillId="0" borderId="0" xfId="0"/>
    <xf numFmtId="0" fontId="3" fillId="2" borderId="0" xfId="2" applyFont="1" applyFill="1"/>
    <xf numFmtId="0" fontId="4" fillId="2" borderId="0" xfId="2" applyFont="1" applyFill="1" applyAlignment="1">
      <alignment vertical="center"/>
    </xf>
    <xf numFmtId="0" fontId="6" fillId="2" borderId="0" xfId="2" applyFont="1" applyFill="1" applyAlignment="1">
      <alignment vertical="center"/>
    </xf>
    <xf numFmtId="0" fontId="7" fillId="2" borderId="0" xfId="2" applyFont="1" applyFill="1"/>
    <xf numFmtId="0" fontId="4" fillId="2" borderId="0" xfId="2" applyFont="1" applyFill="1" applyAlignment="1">
      <alignment horizontal="center" vertical="center"/>
    </xf>
    <xf numFmtId="0" fontId="8"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7" fillId="2" borderId="0" xfId="2" applyFont="1" applyFill="1" applyAlignment="1">
      <alignment horizontal="center" vertical="center"/>
    </xf>
    <xf numFmtId="0" fontId="9" fillId="2" borderId="0" xfId="2" applyFont="1" applyFill="1"/>
    <xf numFmtId="0" fontId="11" fillId="2" borderId="0" xfId="2" applyFont="1" applyFill="1" applyAlignment="1">
      <alignment horizontal="center" vertical="center"/>
    </xf>
    <xf numFmtId="0" fontId="3" fillId="2" borderId="0" xfId="2" applyFont="1" applyFill="1" applyAlignment="1">
      <alignment horizontal="center" vertical="center"/>
    </xf>
    <xf numFmtId="0" fontId="12" fillId="2" borderId="0" xfId="2" applyFont="1" applyFill="1"/>
    <xf numFmtId="0" fontId="6" fillId="2" borderId="0" xfId="2" applyFont="1" applyFill="1" applyAlignment="1">
      <alignment horizontal="center" vertical="center"/>
    </xf>
    <xf numFmtId="0" fontId="8" fillId="2" borderId="0" xfId="2" applyFont="1" applyFill="1"/>
    <xf numFmtId="0" fontId="11" fillId="2" borderId="0" xfId="2" applyFont="1" applyFill="1"/>
    <xf numFmtId="0" fontId="12" fillId="4" borderId="1" xfId="3" applyFont="1" applyFill="1" applyBorder="1" applyAlignment="1">
      <alignment vertical="center" wrapText="1"/>
    </xf>
    <xf numFmtId="0" fontId="9" fillId="4" borderId="1" xfId="3" applyFont="1" applyFill="1" applyBorder="1" applyAlignment="1">
      <alignment horizontal="center" vertical="center" wrapText="1"/>
    </xf>
    <xf numFmtId="0" fontId="13" fillId="4" borderId="1" xfId="3" applyFont="1" applyFill="1" applyBorder="1" applyAlignment="1">
      <alignment horizontal="center" vertical="center" wrapText="1"/>
    </xf>
    <xf numFmtId="41" fontId="3" fillId="2" borderId="0" xfId="5" applyFont="1" applyFill="1"/>
    <xf numFmtId="164" fontId="14" fillId="2" borderId="0" xfId="2" applyNumberFormat="1" applyFont="1" applyFill="1"/>
    <xf numFmtId="17" fontId="9" fillId="0" borderId="1" xfId="3" applyNumberFormat="1" applyFont="1" applyBorder="1" applyAlignment="1">
      <alignment horizontal="center" vertical="center" wrapText="1"/>
    </xf>
    <xf numFmtId="41" fontId="15" fillId="0" borderId="1" xfId="1" applyFont="1" applyFill="1" applyBorder="1" applyAlignment="1">
      <alignment horizontal="center" vertical="center" wrapText="1"/>
    </xf>
    <xf numFmtId="10" fontId="16" fillId="2" borderId="0" xfId="6" applyNumberFormat="1" applyFont="1" applyFill="1"/>
    <xf numFmtId="165" fontId="3" fillId="2" borderId="0" xfId="5" applyNumberFormat="1" applyFont="1" applyFill="1"/>
    <xf numFmtId="0" fontId="12" fillId="4" borderId="1" xfId="3" applyFont="1" applyFill="1" applyBorder="1" applyAlignment="1">
      <alignment horizontal="center" vertical="center"/>
    </xf>
    <xf numFmtId="166" fontId="3" fillId="2" borderId="0" xfId="7" applyNumberFormat="1" applyFont="1" applyFill="1" applyBorder="1" applyAlignment="1">
      <alignment horizontal="center" vertical="center" wrapText="1"/>
    </xf>
    <xf numFmtId="3" fontId="9" fillId="4" borderId="1" xfId="3" applyNumberFormat="1" applyFont="1" applyFill="1" applyBorder="1" applyAlignment="1">
      <alignment horizontal="center" vertical="center" wrapText="1"/>
    </xf>
    <xf numFmtId="17" fontId="11" fillId="2" borderId="0" xfId="2" applyNumberFormat="1" applyFont="1" applyFill="1" applyAlignment="1">
      <alignment horizontal="left" vertical="center" wrapText="1"/>
    </xf>
    <xf numFmtId="0" fontId="17" fillId="2" borderId="0" xfId="2" applyFont="1" applyFill="1"/>
    <xf numFmtId="0" fontId="15" fillId="2" borderId="0" xfId="2" applyFont="1" applyFill="1"/>
    <xf numFmtId="0" fontId="15" fillId="3" borderId="0" xfId="2" applyFont="1" applyFill="1" applyAlignment="1">
      <alignment horizontal="justify" vertical="justify" wrapText="1"/>
    </xf>
    <xf numFmtId="0" fontId="2" fillId="0" borderId="0" xfId="2"/>
    <xf numFmtId="0" fontId="19" fillId="0" borderId="0" xfId="2" applyFont="1"/>
    <xf numFmtId="167" fontId="2" fillId="0" borderId="0" xfId="2" applyNumberFormat="1"/>
    <xf numFmtId="0" fontId="21" fillId="5" borderId="5" xfId="2" applyFont="1" applyFill="1" applyBorder="1"/>
    <xf numFmtId="0" fontId="24" fillId="6" borderId="7" xfId="3" applyFont="1" applyFill="1" applyBorder="1" applyAlignment="1">
      <alignment horizontal="center"/>
    </xf>
    <xf numFmtId="0" fontId="1" fillId="0" borderId="0" xfId="3"/>
    <xf numFmtId="3" fontId="15" fillId="0" borderId="1" xfId="3" applyNumberFormat="1" applyFont="1" applyBorder="1" applyAlignment="1">
      <alignment horizontal="center" vertical="center" wrapText="1"/>
    </xf>
    <xf numFmtId="170" fontId="15" fillId="0" borderId="1" xfId="6" applyNumberFormat="1" applyFont="1" applyFill="1" applyBorder="1" applyAlignment="1">
      <alignment horizontal="center" vertical="center" wrapText="1"/>
    </xf>
    <xf numFmtId="3" fontId="3" fillId="2" borderId="0" xfId="2" applyNumberFormat="1" applyFont="1" applyFill="1"/>
    <xf numFmtId="170" fontId="9" fillId="4" borderId="1" xfId="6" applyNumberFormat="1" applyFont="1" applyFill="1" applyBorder="1" applyAlignment="1">
      <alignment horizontal="center" vertical="center" wrapText="1"/>
    </xf>
    <xf numFmtId="2" fontId="9" fillId="4" borderId="1" xfId="3" applyNumberFormat="1" applyFont="1" applyFill="1" applyBorder="1" applyAlignment="1">
      <alignment horizontal="center" vertical="center" wrapText="1"/>
    </xf>
    <xf numFmtId="0" fontId="28" fillId="0" borderId="3" xfId="2" applyFont="1" applyBorder="1"/>
    <xf numFmtId="0" fontId="29" fillId="0" borderId="4" xfId="2" applyFont="1" applyBorder="1"/>
    <xf numFmtId="167" fontId="25" fillId="0" borderId="10" xfId="0" quotePrefix="1" applyNumberFormat="1" applyFont="1" applyBorder="1" applyAlignment="1">
      <alignment horizontal="left"/>
    </xf>
    <xf numFmtId="168" fontId="26" fillId="0" borderId="11" xfId="0" applyNumberFormat="1" applyFont="1" applyBorder="1" applyAlignment="1">
      <alignment horizontal="left"/>
    </xf>
    <xf numFmtId="168" fontId="27" fillId="0" borderId="10" xfId="0" quotePrefix="1" applyNumberFormat="1" applyFont="1" applyBorder="1" applyAlignment="1">
      <alignment horizontal="left"/>
    </xf>
    <xf numFmtId="167" fontId="25" fillId="0" borderId="1" xfId="0" quotePrefix="1" applyNumberFormat="1" applyFont="1" applyBorder="1" applyAlignment="1">
      <alignment horizontal="left"/>
    </xf>
    <xf numFmtId="168" fontId="26" fillId="0" borderId="14" xfId="0" applyNumberFormat="1" applyFont="1" applyBorder="1" applyAlignment="1">
      <alignment horizontal="left"/>
    </xf>
    <xf numFmtId="168" fontId="27" fillId="0" borderId="1" xfId="0" quotePrefix="1" applyNumberFormat="1" applyFont="1" applyBorder="1" applyAlignment="1">
      <alignment horizontal="left"/>
    </xf>
    <xf numFmtId="167" fontId="25" fillId="0" borderId="17" xfId="0" quotePrefix="1" applyNumberFormat="1" applyFont="1" applyBorder="1" applyAlignment="1">
      <alignment horizontal="left"/>
    </xf>
    <xf numFmtId="168" fontId="26" fillId="0" borderId="18" xfId="0" applyNumberFormat="1" applyFont="1" applyBorder="1" applyAlignment="1">
      <alignment horizontal="left"/>
    </xf>
    <xf numFmtId="168" fontId="27" fillId="0" borderId="17" xfId="0" quotePrefix="1" applyNumberFormat="1" applyFont="1" applyBorder="1" applyAlignment="1">
      <alignment horizontal="left"/>
    </xf>
    <xf numFmtId="0" fontId="31" fillId="0" borderId="0" xfId="0" applyFont="1"/>
    <xf numFmtId="0" fontId="32" fillId="0" borderId="0" xfId="0" applyFont="1"/>
    <xf numFmtId="0" fontId="22" fillId="0" borderId="0" xfId="0" applyFont="1"/>
    <xf numFmtId="167" fontId="0" fillId="0" borderId="0" xfId="0" applyNumberFormat="1"/>
    <xf numFmtId="166" fontId="0" fillId="0" borderId="0" xfId="0" applyNumberFormat="1"/>
    <xf numFmtId="0" fontId="19" fillId="0" borderId="0" xfId="0" applyFont="1"/>
    <xf numFmtId="0" fontId="23" fillId="6" borderId="6" xfId="0" applyFont="1" applyFill="1" applyBorder="1"/>
    <xf numFmtId="0" fontId="24" fillId="6" borderId="7" xfId="0" applyFont="1" applyFill="1" applyBorder="1" applyAlignment="1">
      <alignment horizontal="center"/>
    </xf>
    <xf numFmtId="0" fontId="23" fillId="6" borderId="8" xfId="0" applyFont="1" applyFill="1" applyBorder="1"/>
    <xf numFmtId="17" fontId="20" fillId="0" borderId="9" xfId="0" applyNumberFormat="1" applyFont="1" applyBorder="1" applyAlignment="1">
      <alignment horizontal="left"/>
    </xf>
    <xf numFmtId="166" fontId="19" fillId="0" borderId="12" xfId="0" applyNumberFormat="1" applyFont="1" applyBorder="1"/>
    <xf numFmtId="17" fontId="20" fillId="0" borderId="13" xfId="0" applyNumberFormat="1" applyFont="1" applyBorder="1" applyAlignment="1">
      <alignment horizontal="left"/>
    </xf>
    <xf numFmtId="166" fontId="19" fillId="0" borderId="15" xfId="0" applyNumberFormat="1" applyFont="1" applyBorder="1"/>
    <xf numFmtId="17" fontId="20" fillId="0" borderId="16" xfId="0" applyNumberFormat="1" applyFont="1" applyBorder="1" applyAlignment="1">
      <alignment horizontal="left"/>
    </xf>
    <xf numFmtId="166" fontId="19" fillId="0" borderId="19" xfId="0" applyNumberFormat="1" applyFont="1" applyBorder="1"/>
    <xf numFmtId="169" fontId="19" fillId="0" borderId="0" xfId="0" applyNumberFormat="1" applyFont="1"/>
    <xf numFmtId="0" fontId="20" fillId="0" borderId="0" xfId="0" applyFont="1"/>
    <xf numFmtId="0" fontId="33" fillId="0" borderId="0" xfId="2" applyFont="1"/>
    <xf numFmtId="10" fontId="33" fillId="0" borderId="0" xfId="11" applyNumberFormat="1" applyFont="1"/>
    <xf numFmtId="0" fontId="18" fillId="0" borderId="2" xfId="2" applyFont="1" applyBorder="1" applyAlignment="1">
      <alignment horizontal="justify" vertical="justify" wrapText="1"/>
    </xf>
    <xf numFmtId="0" fontId="18" fillId="2" borderId="2" xfId="2" applyFont="1" applyFill="1" applyBorder="1" applyAlignment="1">
      <alignment horizontal="justify" vertical="justify" wrapText="1"/>
    </xf>
    <xf numFmtId="0" fontId="5" fillId="3" borderId="0" xfId="3" applyFont="1" applyFill="1" applyAlignment="1">
      <alignment horizontal="center" vertical="center"/>
    </xf>
    <xf numFmtId="0" fontId="30" fillId="3" borderId="0" xfId="3" applyFont="1" applyFill="1" applyAlignment="1">
      <alignment horizontal="center" vertical="center" wrapText="1"/>
    </xf>
    <xf numFmtId="0" fontId="5" fillId="0" borderId="0" xfId="3" applyFont="1" applyAlignment="1">
      <alignment horizontal="center" vertical="center"/>
    </xf>
    <xf numFmtId="0" fontId="12" fillId="0" borderId="1" xfId="2" applyFont="1" applyBorder="1" applyAlignment="1">
      <alignment horizontal="center"/>
    </xf>
    <xf numFmtId="165" fontId="15" fillId="0" borderId="22" xfId="1" applyNumberFormat="1" applyFont="1" applyFill="1" applyBorder="1" applyAlignment="1">
      <alignment horizontal="center" vertical="center" wrapText="1"/>
    </xf>
    <xf numFmtId="165" fontId="15" fillId="0" borderId="20" xfId="1" applyNumberFormat="1" applyFont="1" applyFill="1" applyBorder="1" applyAlignment="1">
      <alignment horizontal="center" vertical="center" wrapText="1"/>
    </xf>
    <xf numFmtId="165" fontId="15" fillId="0" borderId="21" xfId="1" applyNumberFormat="1" applyFont="1" applyFill="1" applyBorder="1" applyAlignment="1">
      <alignment horizontal="center" vertical="center" wrapText="1"/>
    </xf>
  </cellXfs>
  <cellStyles count="12">
    <cellStyle name="Millares [0]" xfId="1" builtinId="6"/>
    <cellStyle name="Millares [0] 2" xfId="5" xr:uid="{2416B5C4-CA6E-48A3-8BD0-1D5A04C005F3}"/>
    <cellStyle name="Millares 2" xfId="9" xr:uid="{3785560F-9040-4463-8EA8-ADA74CE91014}"/>
    <cellStyle name="Millares 3" xfId="7" xr:uid="{DB76B201-E1DD-49E7-9F6A-034177E128D1}"/>
    <cellStyle name="Normal" xfId="0" builtinId="0"/>
    <cellStyle name="Normal 2" xfId="3" xr:uid="{87DF4781-0534-4082-AD30-1DDB9B2FA0B6}"/>
    <cellStyle name="Normal 2 2" xfId="4" xr:uid="{43AECF77-DF88-4704-93FB-70773F5F5F7C}"/>
    <cellStyle name="Normal 3" xfId="2" xr:uid="{E9574281-0F53-4598-A4D8-2DFD3A2A7D8F}"/>
    <cellStyle name="Normal 4" xfId="10" xr:uid="{C1C3C225-0B7F-4AA5-861D-96D3A65CFFC0}"/>
    <cellStyle name="Porcentaje" xfId="11" builtinId="5"/>
    <cellStyle name="Porcentaje 2" xfId="6" xr:uid="{0017BC6E-697A-4858-BDB7-805D194BB2B3}"/>
    <cellStyle name="Porcentaje 3" xfId="8" xr:uid="{8C6E2628-1CD5-41BC-9530-6C62ACC7A9A6}"/>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AFD55B67-477C-4019-9C2A-8CC96648C0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7EFB22D-68D0-4E3B-B8BA-CC9F63BB4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3" name="Imagen 14">
          <a:extLst>
            <a:ext uri="{FF2B5EF4-FFF2-40B4-BE49-F238E27FC236}">
              <a16:creationId xmlns:a16="http://schemas.microsoft.com/office/drawing/2014/main" id="{A8456DE0-301A-46BF-A65F-31A2FD58F1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6566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84592385-C437-442F-BD40-811D86B07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ABB88164-B9E8-448E-BBEF-840AA6450C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121227</xdr:colOff>
      <xdr:row>0</xdr:row>
      <xdr:rowOff>0</xdr:rowOff>
    </xdr:from>
    <xdr:to>
      <xdr:col>5</xdr:col>
      <xdr:colOff>185835</xdr:colOff>
      <xdr:row>0</xdr:row>
      <xdr:rowOff>1141897</xdr:rowOff>
    </xdr:to>
    <xdr:pic>
      <xdr:nvPicPr>
        <xdr:cNvPr id="2" name="Imagen 14">
          <a:extLst>
            <a:ext uri="{FF2B5EF4-FFF2-40B4-BE49-F238E27FC236}">
              <a16:creationId xmlns:a16="http://schemas.microsoft.com/office/drawing/2014/main" id="{CFC7AFC6-2C19-4154-8B1C-BF149A1070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121227" y="0"/>
          <a:ext cx="9122017"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00580-D667-4CA4-A120-6F8B08FD7F8C}">
  <sheetPr>
    <tabColor theme="9" tint="0.39997558519241921"/>
  </sheetPr>
  <dimension ref="A1:M38"/>
  <sheetViews>
    <sheetView tabSelected="1" view="pageBreakPreview" topLeftCell="A3" zoomScale="70" zoomScaleNormal="100" zoomScaleSheetLayoutView="70" zoomScalePageLayoutView="30" workbookViewId="0">
      <selection activeCell="G27" sqref="G27"/>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76" t="s">
        <v>0</v>
      </c>
      <c r="E2" s="76"/>
      <c r="F2" s="76"/>
      <c r="G2" s="76"/>
      <c r="H2" s="76"/>
      <c r="I2" s="76"/>
      <c r="J2" s="76"/>
      <c r="K2" s="2"/>
      <c r="L2" s="2"/>
      <c r="M2" s="2"/>
    </row>
    <row r="3" spans="1:13" ht="89.25" customHeight="1" x14ac:dyDescent="0.3">
      <c r="A3" s="2"/>
      <c r="B3" s="2"/>
      <c r="C3" s="77" t="s">
        <v>53</v>
      </c>
      <c r="D3" s="77"/>
      <c r="E3" s="77"/>
      <c r="F3" s="77"/>
      <c r="G3" s="77"/>
      <c r="H3" s="77"/>
      <c r="I3" s="77"/>
      <c r="J3" s="77"/>
      <c r="K3" s="77"/>
      <c r="L3" s="2"/>
      <c r="M3" s="2"/>
    </row>
    <row r="4" spans="1:13" x14ac:dyDescent="0.3">
      <c r="A4" s="2"/>
      <c r="B4" s="2"/>
      <c r="C4" s="3"/>
      <c r="D4" s="78" t="s">
        <v>38</v>
      </c>
      <c r="E4" s="78"/>
      <c r="F4" s="78"/>
      <c r="G4" s="78"/>
      <c r="H4" s="78"/>
      <c r="I4" s="78"/>
      <c r="J4" s="78"/>
      <c r="K4" s="3"/>
      <c r="L4" s="2"/>
      <c r="M4" s="2"/>
    </row>
    <row r="5" spans="1:13" ht="19.5" customHeight="1" x14ac:dyDescent="0.3">
      <c r="A5" s="4"/>
      <c r="B5" s="5"/>
      <c r="C5" s="5"/>
      <c r="D5" s="6"/>
      <c r="E5" s="7"/>
      <c r="F5" s="7"/>
      <c r="G5" s="7"/>
      <c r="H5" s="7"/>
      <c r="I5" s="7"/>
      <c r="J5" s="8"/>
      <c r="K5" s="9"/>
      <c r="L5" s="4"/>
      <c r="M5" s="4"/>
    </row>
    <row r="6" spans="1:13" x14ac:dyDescent="0.3">
      <c r="A6" s="4"/>
      <c r="B6" s="5"/>
      <c r="C6" s="10" t="s">
        <v>2</v>
      </c>
      <c r="D6" s="5"/>
      <c r="E6" s="5"/>
      <c r="G6" s="5"/>
      <c r="H6" s="5"/>
      <c r="I6" s="5"/>
      <c r="J6" s="5"/>
      <c r="K6" s="9"/>
      <c r="L6" s="4"/>
      <c r="M6" s="4"/>
    </row>
    <row r="7" spans="1:13" x14ac:dyDescent="0.3">
      <c r="A7" s="4"/>
      <c r="B7" s="5"/>
      <c r="C7" s="10" t="s">
        <v>3</v>
      </c>
      <c r="D7" s="5"/>
      <c r="E7" s="5"/>
      <c r="G7" s="5"/>
      <c r="H7" s="5"/>
      <c r="I7" s="5"/>
      <c r="J7" s="5"/>
      <c r="K7" s="9"/>
      <c r="L7" s="4"/>
      <c r="M7" s="4"/>
    </row>
    <row r="8" spans="1:13" x14ac:dyDescent="0.3">
      <c r="B8" s="11"/>
      <c r="C8" s="10" t="s">
        <v>4</v>
      </c>
      <c r="D8" s="5"/>
      <c r="E8" s="5"/>
      <c r="G8" s="11"/>
      <c r="H8" s="11"/>
      <c r="I8" s="11"/>
      <c r="J8" s="11"/>
      <c r="K8" s="12"/>
    </row>
    <row r="9" spans="1:13" x14ac:dyDescent="0.3">
      <c r="B9" s="11"/>
      <c r="C9" s="13" t="str">
        <f>"PRODUCTO OFERTADO: "&amp;D4</f>
        <v>PRODUCTO OFERTADO: PRODUCTO No. 1</v>
      </c>
      <c r="D9" s="5"/>
      <c r="E9" s="5"/>
      <c r="G9" s="11"/>
      <c r="H9" s="11"/>
      <c r="I9" s="11"/>
      <c r="J9" s="11"/>
      <c r="K9" s="12"/>
    </row>
    <row r="10" spans="1:13" x14ac:dyDescent="0.3">
      <c r="B10" s="11"/>
      <c r="C10" s="13"/>
      <c r="D10" s="5"/>
      <c r="E10" s="5"/>
      <c r="G10" s="11"/>
      <c r="H10" s="11"/>
      <c r="I10" s="11"/>
      <c r="J10" s="11"/>
      <c r="K10" s="12"/>
    </row>
    <row r="11" spans="1:13" x14ac:dyDescent="0.3">
      <c r="B11" s="11"/>
      <c r="C11" s="10" t="s">
        <v>54</v>
      </c>
      <c r="D11" s="14"/>
      <c r="E11" s="14"/>
      <c r="F11" s="15"/>
      <c r="G11" s="11"/>
      <c r="H11" s="11"/>
      <c r="I11" s="11"/>
      <c r="J11" s="11"/>
      <c r="K11" s="12"/>
    </row>
    <row r="12" spans="1:13" x14ac:dyDescent="0.3">
      <c r="B12" s="16"/>
      <c r="C12" s="15"/>
    </row>
    <row r="13" spans="1:13" x14ac:dyDescent="0.3">
      <c r="F13" s="79" t="str">
        <f>"Oferta " &amp; PROPER(D4)</f>
        <v>Oferta Producto No. 1</v>
      </c>
      <c r="G13" s="79"/>
      <c r="H13" s="79"/>
      <c r="I13" s="79"/>
      <c r="J13" s="79"/>
    </row>
    <row r="14" spans="1:13" ht="72.75" customHeight="1" x14ac:dyDescent="0.3">
      <c r="F14" s="17" t="s">
        <v>5</v>
      </c>
      <c r="G14" s="18" t="s">
        <v>39</v>
      </c>
      <c r="H14" s="18" t="s">
        <v>40</v>
      </c>
      <c r="I14" s="18" t="s">
        <v>41</v>
      </c>
      <c r="J14" s="19" t="s">
        <v>6</v>
      </c>
    </row>
    <row r="15" spans="1:13" x14ac:dyDescent="0.3">
      <c r="A15" s="21">
        <v>22.85</v>
      </c>
      <c r="B15" s="21">
        <v>31</v>
      </c>
      <c r="F15" s="22">
        <f>+'Cantidades Producto No. 1'!A72</f>
        <v>46023</v>
      </c>
      <c r="G15" s="39">
        <f>+'Cantidades Producto No. 1'!AB72</f>
        <v>9248.09</v>
      </c>
      <c r="H15" s="23"/>
      <c r="I15" s="40"/>
      <c r="J15" s="80"/>
      <c r="L15" s="24"/>
      <c r="M15" s="24"/>
    </row>
    <row r="16" spans="1:13" x14ac:dyDescent="0.3">
      <c r="A16" s="20"/>
      <c r="B16" s="21">
        <v>28</v>
      </c>
      <c r="F16" s="22">
        <f>+'Cantidades Producto No. 1'!A73</f>
        <v>46054</v>
      </c>
      <c r="G16" s="39">
        <f>+'Cantidades Producto No. 1'!AB73</f>
        <v>8346.08</v>
      </c>
      <c r="H16" s="23"/>
      <c r="I16" s="40"/>
      <c r="J16" s="81"/>
      <c r="L16" s="24"/>
      <c r="M16" s="24"/>
    </row>
    <row r="17" spans="1:13" x14ac:dyDescent="0.3">
      <c r="A17" s="20"/>
      <c r="B17" s="21">
        <v>31</v>
      </c>
      <c r="F17" s="22">
        <f>+'Cantidades Producto No. 1'!A74</f>
        <v>46082</v>
      </c>
      <c r="G17" s="39">
        <f>+'Cantidades Producto No. 1'!AB74</f>
        <v>9252.4699999999993</v>
      </c>
      <c r="H17" s="23"/>
      <c r="I17" s="40"/>
      <c r="J17" s="81"/>
      <c r="L17" s="24"/>
      <c r="M17" s="24"/>
    </row>
    <row r="18" spans="1:13" x14ac:dyDescent="0.3">
      <c r="A18" s="20"/>
      <c r="B18" s="21">
        <v>30</v>
      </c>
      <c r="F18" s="22">
        <f>+'Cantidades Producto No. 1'!A75</f>
        <v>46113</v>
      </c>
      <c r="G18" s="39">
        <f>+'Cantidades Producto No. 1'!AB75</f>
        <v>8898.2800000000007</v>
      </c>
      <c r="H18" s="23"/>
      <c r="I18" s="40"/>
      <c r="J18" s="81"/>
      <c r="L18" s="24"/>
      <c r="M18" s="24"/>
    </row>
    <row r="19" spans="1:13" x14ac:dyDescent="0.3">
      <c r="A19" s="20"/>
      <c r="B19" s="21">
        <v>31</v>
      </c>
      <c r="F19" s="22">
        <f>+'Cantidades Producto No. 1'!A76</f>
        <v>46143</v>
      </c>
      <c r="G19" s="39">
        <f>+'Cantidades Producto No. 1'!AB76</f>
        <v>9175.74</v>
      </c>
      <c r="H19" s="23"/>
      <c r="I19" s="40"/>
      <c r="J19" s="81"/>
      <c r="L19" s="24"/>
      <c r="M19" s="24"/>
    </row>
    <row r="20" spans="1:13" x14ac:dyDescent="0.3">
      <c r="A20" s="25"/>
      <c r="B20" s="21">
        <v>30</v>
      </c>
      <c r="F20" s="22">
        <f>+'Cantidades Producto No. 1'!A77</f>
        <v>46174</v>
      </c>
      <c r="G20" s="39">
        <f>+'Cantidades Producto No. 1'!AB77</f>
        <v>8791.4200000000019</v>
      </c>
      <c r="H20" s="23"/>
      <c r="I20" s="40"/>
      <c r="J20" s="81"/>
      <c r="L20" s="24"/>
      <c r="M20" s="24"/>
    </row>
    <row r="21" spans="1:13" x14ac:dyDescent="0.3">
      <c r="A21" s="20"/>
      <c r="B21" s="21">
        <v>31</v>
      </c>
      <c r="F21" s="22">
        <f>+'Cantidades Producto No. 1'!A78</f>
        <v>46204</v>
      </c>
      <c r="G21" s="39">
        <f>+'Cantidades Producto No. 1'!AB78</f>
        <v>9200.3700000000008</v>
      </c>
      <c r="H21" s="23"/>
      <c r="I21" s="40"/>
      <c r="J21" s="81"/>
      <c r="L21" s="24"/>
      <c r="M21" s="24"/>
    </row>
    <row r="22" spans="1:13" x14ac:dyDescent="0.3">
      <c r="A22" s="20"/>
      <c r="B22" s="21">
        <v>31</v>
      </c>
      <c r="F22" s="22">
        <f>+'Cantidades Producto No. 1'!A79</f>
        <v>46235</v>
      </c>
      <c r="G22" s="39">
        <f>+'Cantidades Producto No. 1'!AB79</f>
        <v>9151.2800000000025</v>
      </c>
      <c r="H22" s="23"/>
      <c r="I22" s="40"/>
      <c r="J22" s="81"/>
      <c r="K22" s="41"/>
      <c r="L22" s="24"/>
      <c r="M22" s="24"/>
    </row>
    <row r="23" spans="1:13" x14ac:dyDescent="0.3">
      <c r="A23" s="25"/>
      <c r="B23" s="21">
        <v>30</v>
      </c>
      <c r="F23" s="22">
        <f>+'Cantidades Producto No. 1'!A80</f>
        <v>46266</v>
      </c>
      <c r="G23" s="39">
        <f>+'Cantidades Producto No. 1'!AB80</f>
        <v>8891.64</v>
      </c>
      <c r="H23" s="23"/>
      <c r="I23" s="40"/>
      <c r="J23" s="81"/>
      <c r="K23" s="41"/>
      <c r="L23" s="24"/>
      <c r="M23" s="24"/>
    </row>
    <row r="24" spans="1:13" x14ac:dyDescent="0.3">
      <c r="A24" s="25"/>
      <c r="B24" s="21">
        <v>31</v>
      </c>
      <c r="F24" s="22">
        <f>+'Cantidades Producto No. 1'!A81</f>
        <v>46296</v>
      </c>
      <c r="G24" s="39">
        <f>+'Cantidades Producto No. 1'!AB81</f>
        <v>9147.02</v>
      </c>
      <c r="H24" s="23"/>
      <c r="I24" s="40"/>
      <c r="J24" s="81"/>
      <c r="L24" s="24"/>
      <c r="M24" s="24"/>
    </row>
    <row r="25" spans="1:13" x14ac:dyDescent="0.3">
      <c r="A25" s="20"/>
      <c r="B25" s="21">
        <v>30</v>
      </c>
      <c r="F25" s="22">
        <f>+'Cantidades Producto No. 1'!A82</f>
        <v>46327</v>
      </c>
      <c r="G25" s="39">
        <f>+'Cantidades Producto No. 1'!AB82</f>
        <v>8834</v>
      </c>
      <c r="H25" s="23"/>
      <c r="I25" s="40"/>
      <c r="J25" s="81"/>
      <c r="L25" s="24"/>
      <c r="M25" s="24"/>
    </row>
    <row r="26" spans="1:13" x14ac:dyDescent="0.3">
      <c r="A26" s="20"/>
      <c r="B26" s="21">
        <v>31</v>
      </c>
      <c r="D26" s="41"/>
      <c r="E26" s="41"/>
      <c r="F26" s="22">
        <f>+'Cantidades Producto No. 1'!A83</f>
        <v>46357</v>
      </c>
      <c r="G26" s="39">
        <f>+'Cantidades Producto No. 1'!AB83</f>
        <v>9347.760000000002</v>
      </c>
      <c r="H26" s="23"/>
      <c r="I26" s="40"/>
      <c r="J26" s="82"/>
      <c r="L26" s="24"/>
      <c r="M26" s="24"/>
    </row>
    <row r="27" spans="1:13" x14ac:dyDescent="0.3">
      <c r="F27" s="26" t="s">
        <v>7</v>
      </c>
      <c r="G27" s="28">
        <f>SUM(G15:G26)</f>
        <v>108284.15000000002</v>
      </c>
      <c r="H27" s="42"/>
      <c r="I27" s="42"/>
      <c r="J27" s="43"/>
    </row>
    <row r="28" spans="1:13" x14ac:dyDescent="0.3">
      <c r="F28" s="29"/>
      <c r="G28" s="27"/>
    </row>
    <row r="29" spans="1:13" x14ac:dyDescent="0.3">
      <c r="B29" s="30" t="s">
        <v>8</v>
      </c>
      <c r="C29" s="31"/>
      <c r="D29" s="31"/>
      <c r="E29" s="31"/>
      <c r="F29" s="31"/>
      <c r="G29" s="31"/>
      <c r="L29" s="31"/>
    </row>
    <row r="30" spans="1:13" x14ac:dyDescent="0.3">
      <c r="B30" s="30"/>
      <c r="C30" s="31"/>
      <c r="D30" s="31"/>
      <c r="E30" s="31"/>
      <c r="F30" s="31"/>
      <c r="G30" s="31"/>
      <c r="H30" s="31"/>
      <c r="I30" s="31"/>
      <c r="J30" s="31"/>
      <c r="K30" s="31"/>
      <c r="L30" s="31"/>
    </row>
    <row r="31" spans="1:13" ht="24.75" customHeight="1" x14ac:dyDescent="0.3">
      <c r="B31" s="74" t="s">
        <v>9</v>
      </c>
      <c r="C31" s="74"/>
      <c r="D31" s="74"/>
      <c r="E31" s="74"/>
      <c r="F31" s="74"/>
      <c r="G31" s="74"/>
      <c r="H31" s="74"/>
      <c r="I31" s="74"/>
      <c r="J31" s="74"/>
      <c r="K31" s="74"/>
      <c r="L31" s="74"/>
    </row>
    <row r="32" spans="1:13" ht="39" customHeight="1" x14ac:dyDescent="0.3">
      <c r="B32" s="74" t="str">
        <f>"(2) Las cantidades se distribuyen de acuerdo a la curva del Anexo 1. Ofertas y Cantidades "&amp; D4 &amp;" de los Pliegos de Condiciones definitivos"</f>
        <v>(2) Las cantidades se distribuyen de acuerdo a la curva del Anexo 1. Ofertas y Cantidades PRODUCTO No. 1 de los Pliegos de Condiciones definitivos</v>
      </c>
      <c r="C32" s="74"/>
      <c r="D32" s="74"/>
      <c r="E32" s="74"/>
      <c r="F32" s="74"/>
      <c r="G32" s="74"/>
      <c r="H32" s="74"/>
      <c r="I32" s="74"/>
      <c r="J32" s="74"/>
      <c r="K32" s="74"/>
      <c r="L32" s="74"/>
    </row>
    <row r="33" spans="1:12" ht="83.25" customHeight="1" x14ac:dyDescent="0.3">
      <c r="B33" s="75" t="s">
        <v>56</v>
      </c>
      <c r="C33" s="75"/>
      <c r="D33" s="75"/>
      <c r="E33" s="75"/>
      <c r="F33" s="75"/>
      <c r="G33" s="75"/>
      <c r="H33" s="75"/>
      <c r="I33" s="75"/>
      <c r="J33" s="75"/>
      <c r="K33" s="75"/>
      <c r="L33" s="75"/>
    </row>
    <row r="34" spans="1:12" ht="43.5" customHeight="1" x14ac:dyDescent="0.3">
      <c r="B34" s="75" t="s">
        <v>42</v>
      </c>
      <c r="C34" s="75"/>
      <c r="D34" s="75"/>
      <c r="E34" s="75"/>
      <c r="F34" s="75"/>
      <c r="G34" s="75"/>
      <c r="H34" s="75"/>
      <c r="I34" s="75"/>
      <c r="J34" s="75"/>
      <c r="K34" s="75"/>
      <c r="L34" s="75"/>
    </row>
    <row r="35" spans="1:12" ht="60" customHeight="1" x14ac:dyDescent="0.3">
      <c r="B35" s="75" t="s">
        <v>43</v>
      </c>
      <c r="C35" s="75"/>
      <c r="D35" s="75"/>
      <c r="E35" s="75"/>
      <c r="F35" s="75"/>
      <c r="G35" s="75"/>
      <c r="H35" s="75"/>
      <c r="I35" s="75"/>
      <c r="J35" s="75"/>
      <c r="K35" s="75"/>
      <c r="L35" s="75"/>
    </row>
    <row r="36" spans="1:12" ht="80.25" customHeight="1" x14ac:dyDescent="0.3">
      <c r="A36" s="15"/>
      <c r="B36" s="75" t="s">
        <v>55</v>
      </c>
      <c r="C36" s="75"/>
      <c r="D36" s="75"/>
      <c r="E36" s="75"/>
      <c r="F36" s="75"/>
      <c r="G36" s="75"/>
      <c r="H36" s="75"/>
      <c r="I36" s="75"/>
      <c r="J36" s="75"/>
      <c r="K36" s="75"/>
      <c r="L36" s="75"/>
    </row>
    <row r="38" spans="1:12" ht="24.75" customHeight="1" x14ac:dyDescent="0.3">
      <c r="B38" s="32"/>
      <c r="C38" s="32"/>
      <c r="D38" s="32"/>
      <c r="E38" s="32"/>
      <c r="F38" s="32"/>
      <c r="G38" s="32"/>
      <c r="H38" s="32"/>
      <c r="I38" s="32"/>
      <c r="J38" s="32"/>
      <c r="K38" s="32"/>
      <c r="L38" s="32"/>
    </row>
  </sheetData>
  <mergeCells count="11">
    <mergeCell ref="B31:L31"/>
    <mergeCell ref="D2:J2"/>
    <mergeCell ref="C3:K3"/>
    <mergeCell ref="D4:J4"/>
    <mergeCell ref="F13:J13"/>
    <mergeCell ref="J15:J26"/>
    <mergeCell ref="B32:L32"/>
    <mergeCell ref="B33:L33"/>
    <mergeCell ref="B34:L34"/>
    <mergeCell ref="B35:L35"/>
    <mergeCell ref="B36:L3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3577-1FDD-45BB-9214-E0F57370864B}">
  <sheetPr>
    <tabColor theme="9" tint="0.39997558519241921"/>
  </sheetPr>
  <dimension ref="A1:AD83"/>
  <sheetViews>
    <sheetView showGridLines="0" zoomScale="70" zoomScaleNormal="70" workbookViewId="0">
      <selection activeCell="A5" sqref="A5"/>
    </sheetView>
  </sheetViews>
  <sheetFormatPr baseColWidth="10" defaultColWidth="14.42578125" defaultRowHeight="15" x14ac:dyDescent="0.2"/>
  <cols>
    <col min="1" max="1" width="93.140625" style="33" bestFit="1" customWidth="1"/>
    <col min="2" max="25" width="10.7109375" style="34" customWidth="1"/>
    <col min="26" max="26" width="14.140625" style="35" bestFit="1" customWidth="1"/>
    <col min="27" max="27" width="6.7109375" style="33" customWidth="1"/>
    <col min="28" max="28" width="9.7109375" style="33" customWidth="1"/>
    <col min="29" max="29" width="5.28515625" style="33" customWidth="1"/>
    <col min="30" max="30" width="14.42578125" style="72"/>
    <col min="31" max="16384" width="14.42578125" style="33"/>
  </cols>
  <sheetData>
    <row r="1" spans="1:30" ht="93" customHeight="1" thickBot="1" x14ac:dyDescent="0.25"/>
    <row r="2" spans="1:30" ht="23.25" x14ac:dyDescent="0.35">
      <c r="A2" s="44" t="s">
        <v>10</v>
      </c>
    </row>
    <row r="3" spans="1:30" ht="21" thickBot="1" x14ac:dyDescent="0.35">
      <c r="A3" s="45" t="s">
        <v>38</v>
      </c>
    </row>
    <row r="4" spans="1:30" ht="15.75" thickBot="1" x14ac:dyDescent="0.25"/>
    <row r="5" spans="1:30" ht="16.5" thickBot="1" x14ac:dyDescent="0.3">
      <c r="A5" s="36" t="s">
        <v>44</v>
      </c>
      <c r="B5" s="55"/>
      <c r="C5" s="55"/>
      <c r="D5" s="55"/>
      <c r="E5" s="56"/>
      <c r="F5" s="55"/>
      <c r="G5" s="55"/>
      <c r="H5" s="55"/>
      <c r="I5" s="55"/>
      <c r="J5" s="55"/>
      <c r="K5" s="57"/>
      <c r="L5" s="57"/>
      <c r="M5" s="57"/>
      <c r="N5" s="57"/>
      <c r="O5" s="57"/>
      <c r="P5" s="57"/>
      <c r="Q5" s="57"/>
      <c r="R5" s="57"/>
      <c r="S5" s="57"/>
      <c r="T5" s="57"/>
      <c r="U5" s="57"/>
      <c r="V5" s="57"/>
      <c r="W5" s="57"/>
      <c r="X5" s="57"/>
      <c r="Y5" s="57"/>
      <c r="Z5" s="58"/>
      <c r="AA5"/>
      <c r="AB5" s="59"/>
    </row>
    <row r="6" spans="1:30" ht="16.5" thickBot="1" x14ac:dyDescent="0.3">
      <c r="A6"/>
      <c r="B6" s="55"/>
      <c r="C6" s="55"/>
      <c r="D6" s="55"/>
      <c r="E6" s="55"/>
      <c r="F6" s="55"/>
      <c r="G6" s="55"/>
      <c r="H6" s="55"/>
      <c r="I6" s="55"/>
      <c r="J6" s="55"/>
      <c r="K6" s="60"/>
      <c r="L6" s="60"/>
      <c r="M6" s="60"/>
      <c r="N6" s="60"/>
      <c r="O6" s="60"/>
      <c r="P6" s="60"/>
      <c r="Q6" s="60"/>
      <c r="R6" s="60"/>
      <c r="S6" s="60"/>
      <c r="T6" s="60"/>
      <c r="U6" s="60"/>
      <c r="V6" s="60"/>
      <c r="W6" s="60"/>
      <c r="X6" s="60"/>
      <c r="Y6" s="60"/>
      <c r="Z6" s="58"/>
      <c r="AA6"/>
      <c r="AB6"/>
    </row>
    <row r="7" spans="1:30" ht="15.95" customHeight="1" thickBot="1" x14ac:dyDescent="0.25">
      <c r="A7" s="61" t="s">
        <v>11</v>
      </c>
      <c r="B7" s="62" t="s">
        <v>12</v>
      </c>
      <c r="C7" s="62" t="s">
        <v>13</v>
      </c>
      <c r="D7" s="62" t="s">
        <v>14</v>
      </c>
      <c r="E7" s="62" t="s">
        <v>15</v>
      </c>
      <c r="F7" s="62" t="s">
        <v>16</v>
      </c>
      <c r="G7" s="62" t="s">
        <v>17</v>
      </c>
      <c r="H7" s="62" t="s">
        <v>18</v>
      </c>
      <c r="I7" s="62" t="s">
        <v>19</v>
      </c>
      <c r="J7" s="62" t="s">
        <v>20</v>
      </c>
      <c r="K7" s="62" t="s">
        <v>21</v>
      </c>
      <c r="L7" s="62" t="s">
        <v>22</v>
      </c>
      <c r="M7" s="62" t="s">
        <v>23</v>
      </c>
      <c r="N7" s="62" t="s">
        <v>24</v>
      </c>
      <c r="O7" s="62" t="s">
        <v>25</v>
      </c>
      <c r="P7" s="62" t="s">
        <v>26</v>
      </c>
      <c r="Q7" s="62" t="s">
        <v>27</v>
      </c>
      <c r="R7" s="62" t="s">
        <v>28</v>
      </c>
      <c r="S7" s="62" t="s">
        <v>29</v>
      </c>
      <c r="T7" s="62" t="s">
        <v>30</v>
      </c>
      <c r="U7" s="62" t="s">
        <v>31</v>
      </c>
      <c r="V7" s="62" t="s">
        <v>32</v>
      </c>
      <c r="W7" s="62" t="s">
        <v>33</v>
      </c>
      <c r="X7" s="62" t="s">
        <v>34</v>
      </c>
      <c r="Y7" s="62" t="s">
        <v>35</v>
      </c>
      <c r="Z7" s="62" t="s">
        <v>7</v>
      </c>
      <c r="AA7" s="37" t="s">
        <v>36</v>
      </c>
      <c r="AB7" s="63"/>
    </row>
    <row r="8" spans="1:30" ht="15.75" x14ac:dyDescent="0.25">
      <c r="A8" s="64">
        <v>46023</v>
      </c>
      <c r="B8" s="46">
        <v>9.32</v>
      </c>
      <c r="C8" s="46">
        <v>8.39</v>
      </c>
      <c r="D8" s="46">
        <v>7.89</v>
      </c>
      <c r="E8" s="46">
        <v>7.71</v>
      </c>
      <c r="F8" s="46">
        <v>8.02</v>
      </c>
      <c r="G8" s="46">
        <v>9.1</v>
      </c>
      <c r="H8" s="46">
        <v>11.04</v>
      </c>
      <c r="I8" s="46">
        <v>9.18</v>
      </c>
      <c r="J8" s="46">
        <v>11.1</v>
      </c>
      <c r="K8" s="46">
        <v>12.56</v>
      </c>
      <c r="L8" s="46">
        <v>13.98</v>
      </c>
      <c r="M8" s="46">
        <v>15.31</v>
      </c>
      <c r="N8" s="46">
        <v>15.34</v>
      </c>
      <c r="O8" s="46">
        <v>15.09</v>
      </c>
      <c r="P8" s="46">
        <v>15.34</v>
      </c>
      <c r="Q8" s="46">
        <v>15.26</v>
      </c>
      <c r="R8" s="46">
        <v>14.83</v>
      </c>
      <c r="S8" s="46">
        <v>18.36</v>
      </c>
      <c r="T8" s="46">
        <v>18.7</v>
      </c>
      <c r="U8" s="46">
        <v>19.190000000000001</v>
      </c>
      <c r="V8" s="46">
        <v>18.260000000000002</v>
      </c>
      <c r="W8" s="46">
        <v>16.739999999999998</v>
      </c>
      <c r="X8" s="46">
        <v>14.41</v>
      </c>
      <c r="Y8" s="46">
        <v>11.78</v>
      </c>
      <c r="Z8" s="47">
        <f t="shared" ref="Z8:Z19" si="0">SUM(B8:Y8)</f>
        <v>316.89999999999998</v>
      </c>
      <c r="AA8" s="48">
        <v>20</v>
      </c>
      <c r="AB8" s="65">
        <f>+Z8*AA8</f>
        <v>6338</v>
      </c>
      <c r="AD8" s="72" t="s">
        <v>45</v>
      </c>
    </row>
    <row r="9" spans="1:30" ht="15.75" x14ac:dyDescent="0.25">
      <c r="A9" s="66">
        <v>46054</v>
      </c>
      <c r="B9" s="49">
        <v>8.99</v>
      </c>
      <c r="C9" s="49">
        <v>8.17</v>
      </c>
      <c r="D9" s="49">
        <v>7.72</v>
      </c>
      <c r="E9" s="49">
        <v>7.59</v>
      </c>
      <c r="F9" s="49">
        <v>8.0399999999999991</v>
      </c>
      <c r="G9" s="49">
        <v>9.7899999999999991</v>
      </c>
      <c r="H9" s="49">
        <v>11.9</v>
      </c>
      <c r="I9" s="49">
        <v>9.8000000000000007</v>
      </c>
      <c r="J9" s="49">
        <v>11.37</v>
      </c>
      <c r="K9" s="49">
        <v>12.64</v>
      </c>
      <c r="L9" s="49">
        <v>13.94</v>
      </c>
      <c r="M9" s="49">
        <v>15.13</v>
      </c>
      <c r="N9" s="49">
        <v>14.74</v>
      </c>
      <c r="O9" s="49">
        <v>14.69</v>
      </c>
      <c r="P9" s="49">
        <v>15.13</v>
      </c>
      <c r="Q9" s="49">
        <v>15.17</v>
      </c>
      <c r="R9" s="49">
        <v>14.78</v>
      </c>
      <c r="S9" s="49">
        <v>17.670000000000002</v>
      </c>
      <c r="T9" s="49">
        <v>17.489999999999998</v>
      </c>
      <c r="U9" s="49">
        <v>18.27</v>
      </c>
      <c r="V9" s="49">
        <v>17.63</v>
      </c>
      <c r="W9" s="49">
        <v>16.149999999999999</v>
      </c>
      <c r="X9" s="49">
        <v>13.77</v>
      </c>
      <c r="Y9" s="49">
        <v>11.25</v>
      </c>
      <c r="Z9" s="50">
        <f t="shared" si="0"/>
        <v>311.82</v>
      </c>
      <c r="AA9" s="51">
        <v>20</v>
      </c>
      <c r="AB9" s="67">
        <f>+Z9*AA9</f>
        <v>6236.4</v>
      </c>
      <c r="AD9" s="72" t="s">
        <v>45</v>
      </c>
    </row>
    <row r="10" spans="1:30" ht="15.75" x14ac:dyDescent="0.25">
      <c r="A10" s="66">
        <v>46082</v>
      </c>
      <c r="B10" s="49">
        <v>9</v>
      </c>
      <c r="C10" s="49">
        <v>8.17</v>
      </c>
      <c r="D10" s="49">
        <v>7.76</v>
      </c>
      <c r="E10" s="49">
        <v>7.6</v>
      </c>
      <c r="F10" s="49">
        <v>8.08</v>
      </c>
      <c r="G10" s="49">
        <v>9.8699999999999992</v>
      </c>
      <c r="H10" s="49">
        <v>11.93</v>
      </c>
      <c r="I10" s="49">
        <v>9.98</v>
      </c>
      <c r="J10" s="49">
        <v>11.62</v>
      </c>
      <c r="K10" s="49">
        <v>12.82</v>
      </c>
      <c r="L10" s="49">
        <v>14.17</v>
      </c>
      <c r="M10" s="49">
        <v>15.32</v>
      </c>
      <c r="N10" s="49">
        <v>15.08</v>
      </c>
      <c r="O10" s="49">
        <v>14.86</v>
      </c>
      <c r="P10" s="49">
        <v>15.22</v>
      </c>
      <c r="Q10" s="49">
        <v>15.13</v>
      </c>
      <c r="R10" s="49">
        <v>14.8</v>
      </c>
      <c r="S10" s="49">
        <v>18.12</v>
      </c>
      <c r="T10" s="49">
        <v>18.100000000000001</v>
      </c>
      <c r="U10" s="49">
        <v>18.96</v>
      </c>
      <c r="V10" s="49">
        <v>18.010000000000002</v>
      </c>
      <c r="W10" s="49">
        <v>16.45</v>
      </c>
      <c r="X10" s="49">
        <v>14.02</v>
      </c>
      <c r="Y10" s="49">
        <v>11.43</v>
      </c>
      <c r="Z10" s="50">
        <f t="shared" si="0"/>
        <v>316.5</v>
      </c>
      <c r="AA10" s="51">
        <v>21</v>
      </c>
      <c r="AB10" s="67">
        <f t="shared" ref="AB10:AB19" si="1">+Z10*AA10</f>
        <v>6646.5</v>
      </c>
      <c r="AD10" s="72" t="s">
        <v>45</v>
      </c>
    </row>
    <row r="11" spans="1:30" ht="15.75" x14ac:dyDescent="0.25">
      <c r="A11" s="66">
        <v>46113</v>
      </c>
      <c r="B11" s="49">
        <v>8.99</v>
      </c>
      <c r="C11" s="49">
        <v>8.1300000000000008</v>
      </c>
      <c r="D11" s="49">
        <v>7.72</v>
      </c>
      <c r="E11" s="49">
        <v>7.56</v>
      </c>
      <c r="F11" s="49">
        <v>8.0399999999999991</v>
      </c>
      <c r="G11" s="49">
        <v>9.6199999999999992</v>
      </c>
      <c r="H11" s="49">
        <v>11.72</v>
      </c>
      <c r="I11" s="49">
        <v>9.9499999999999993</v>
      </c>
      <c r="J11" s="49">
        <v>11.42</v>
      </c>
      <c r="K11" s="49">
        <v>13.06</v>
      </c>
      <c r="L11" s="49">
        <v>14.27</v>
      </c>
      <c r="M11" s="49">
        <v>15.4</v>
      </c>
      <c r="N11" s="49">
        <v>15.18</v>
      </c>
      <c r="O11" s="49">
        <v>14.78</v>
      </c>
      <c r="P11" s="49">
        <v>14.72</v>
      </c>
      <c r="Q11" s="49">
        <v>14.78</v>
      </c>
      <c r="R11" s="49">
        <v>14.5</v>
      </c>
      <c r="S11" s="49">
        <v>18.16</v>
      </c>
      <c r="T11" s="49">
        <v>18.43</v>
      </c>
      <c r="U11" s="49">
        <v>18.920000000000002</v>
      </c>
      <c r="V11" s="49">
        <v>17.91</v>
      </c>
      <c r="W11" s="49">
        <v>16.329999999999998</v>
      </c>
      <c r="X11" s="49">
        <v>13.93</v>
      </c>
      <c r="Y11" s="49">
        <v>11.46</v>
      </c>
      <c r="Z11" s="50">
        <f t="shared" si="0"/>
        <v>314.98</v>
      </c>
      <c r="AA11" s="51">
        <v>20</v>
      </c>
      <c r="AB11" s="67">
        <f t="shared" si="1"/>
        <v>6299.6</v>
      </c>
      <c r="AD11" s="72" t="s">
        <v>45</v>
      </c>
    </row>
    <row r="12" spans="1:30" ht="15.75" x14ac:dyDescent="0.25">
      <c r="A12" s="66">
        <v>46143</v>
      </c>
      <c r="B12" s="49">
        <v>9</v>
      </c>
      <c r="C12" s="49">
        <v>8.16</v>
      </c>
      <c r="D12" s="49">
        <v>7.73</v>
      </c>
      <c r="E12" s="49">
        <v>7.54</v>
      </c>
      <c r="F12" s="49">
        <v>8.0399999999999991</v>
      </c>
      <c r="G12" s="49">
        <v>9.5</v>
      </c>
      <c r="H12" s="49">
        <v>11.76</v>
      </c>
      <c r="I12" s="49">
        <v>9.89</v>
      </c>
      <c r="J12" s="49">
        <v>11.64</v>
      </c>
      <c r="K12" s="49">
        <v>13</v>
      </c>
      <c r="L12" s="49">
        <v>14.39</v>
      </c>
      <c r="M12" s="49">
        <v>15.66</v>
      </c>
      <c r="N12" s="49">
        <v>15.37</v>
      </c>
      <c r="O12" s="49">
        <v>15</v>
      </c>
      <c r="P12" s="49">
        <v>15.19</v>
      </c>
      <c r="Q12" s="49">
        <v>15.05</v>
      </c>
      <c r="R12" s="49">
        <v>14.49</v>
      </c>
      <c r="S12" s="49">
        <v>18.260000000000002</v>
      </c>
      <c r="T12" s="49">
        <v>18.5</v>
      </c>
      <c r="U12" s="49">
        <v>18.89</v>
      </c>
      <c r="V12" s="49">
        <v>17.88</v>
      </c>
      <c r="W12" s="49">
        <v>16.16</v>
      </c>
      <c r="X12" s="49">
        <v>13.69</v>
      </c>
      <c r="Y12" s="49">
        <v>11.27</v>
      </c>
      <c r="Z12" s="50">
        <f t="shared" si="0"/>
        <v>316.06</v>
      </c>
      <c r="AA12" s="51">
        <v>19</v>
      </c>
      <c r="AB12" s="67">
        <f t="shared" si="1"/>
        <v>6005.14</v>
      </c>
      <c r="AD12" s="72" t="s">
        <v>45</v>
      </c>
    </row>
    <row r="13" spans="1:30" ht="15.75" x14ac:dyDescent="0.25">
      <c r="A13" s="66">
        <v>46174</v>
      </c>
      <c r="B13" s="49">
        <v>8.8800000000000008</v>
      </c>
      <c r="C13" s="49">
        <v>8.02</v>
      </c>
      <c r="D13" s="49">
        <v>7.52</v>
      </c>
      <c r="E13" s="49">
        <v>7.35</v>
      </c>
      <c r="F13" s="49">
        <v>7.83</v>
      </c>
      <c r="G13" s="49">
        <v>9.15</v>
      </c>
      <c r="H13" s="49">
        <v>11.56</v>
      </c>
      <c r="I13" s="49">
        <v>9.91</v>
      </c>
      <c r="J13" s="49">
        <v>11.66</v>
      </c>
      <c r="K13" s="49">
        <v>13.01</v>
      </c>
      <c r="L13" s="49">
        <v>14.24</v>
      </c>
      <c r="M13" s="49">
        <v>15.49</v>
      </c>
      <c r="N13" s="49">
        <v>15.33</v>
      </c>
      <c r="O13" s="49">
        <v>14.86</v>
      </c>
      <c r="P13" s="49">
        <v>14.87</v>
      </c>
      <c r="Q13" s="49">
        <v>14.75</v>
      </c>
      <c r="R13" s="49">
        <v>14.44</v>
      </c>
      <c r="S13" s="49">
        <v>18.11</v>
      </c>
      <c r="T13" s="49">
        <v>18.32</v>
      </c>
      <c r="U13" s="49">
        <v>19.13</v>
      </c>
      <c r="V13" s="49">
        <v>18.100000000000001</v>
      </c>
      <c r="W13" s="49">
        <v>16.3</v>
      </c>
      <c r="X13" s="49">
        <v>13.67</v>
      </c>
      <c r="Y13" s="49">
        <v>11.24</v>
      </c>
      <c r="Z13" s="50">
        <f t="shared" si="0"/>
        <v>313.74000000000007</v>
      </c>
      <c r="AA13" s="51">
        <v>19</v>
      </c>
      <c r="AB13" s="67">
        <f t="shared" si="1"/>
        <v>5961.0600000000013</v>
      </c>
      <c r="AD13" s="72" t="s">
        <v>45</v>
      </c>
    </row>
    <row r="14" spans="1:30" ht="15.75" x14ac:dyDescent="0.25">
      <c r="A14" s="66">
        <v>46204</v>
      </c>
      <c r="B14" s="49">
        <v>8.69</v>
      </c>
      <c r="C14" s="49">
        <v>7.94</v>
      </c>
      <c r="D14" s="49">
        <v>7.46</v>
      </c>
      <c r="E14" s="49">
        <v>7.29</v>
      </c>
      <c r="F14" s="49">
        <v>7.77</v>
      </c>
      <c r="G14" s="49">
        <v>9.16</v>
      </c>
      <c r="H14" s="49">
        <v>11.33</v>
      </c>
      <c r="I14" s="49">
        <v>9.67</v>
      </c>
      <c r="J14" s="49">
        <v>11.48</v>
      </c>
      <c r="K14" s="49">
        <v>12.9</v>
      </c>
      <c r="L14" s="49">
        <v>14.12</v>
      </c>
      <c r="M14" s="49">
        <v>15.46</v>
      </c>
      <c r="N14" s="49">
        <v>15.19</v>
      </c>
      <c r="O14" s="49">
        <v>14.8</v>
      </c>
      <c r="P14" s="49">
        <v>14.97</v>
      </c>
      <c r="Q14" s="49">
        <v>15.03</v>
      </c>
      <c r="R14" s="49">
        <v>14.75</v>
      </c>
      <c r="S14" s="49">
        <v>18.11</v>
      </c>
      <c r="T14" s="49">
        <v>17.93</v>
      </c>
      <c r="U14" s="49">
        <v>18.95</v>
      </c>
      <c r="V14" s="49">
        <v>17.920000000000002</v>
      </c>
      <c r="W14" s="49">
        <v>16.170000000000002</v>
      </c>
      <c r="X14" s="49">
        <v>13.53</v>
      </c>
      <c r="Y14" s="49">
        <v>11.32</v>
      </c>
      <c r="Z14" s="50">
        <f t="shared" si="0"/>
        <v>311.94</v>
      </c>
      <c r="AA14" s="51">
        <v>22</v>
      </c>
      <c r="AB14" s="67">
        <f t="shared" si="1"/>
        <v>6862.68</v>
      </c>
      <c r="AD14" s="72" t="s">
        <v>45</v>
      </c>
    </row>
    <row r="15" spans="1:30" ht="15.75" x14ac:dyDescent="0.25">
      <c r="A15" s="66">
        <v>46235</v>
      </c>
      <c r="B15" s="49">
        <v>8.9</v>
      </c>
      <c r="C15" s="49">
        <v>8.07</v>
      </c>
      <c r="D15" s="49">
        <v>7.62</v>
      </c>
      <c r="E15" s="49">
        <v>7.47</v>
      </c>
      <c r="F15" s="49">
        <v>7.95</v>
      </c>
      <c r="G15" s="49">
        <v>9.56</v>
      </c>
      <c r="H15" s="49">
        <v>11.71</v>
      </c>
      <c r="I15" s="49">
        <v>9.9499999999999993</v>
      </c>
      <c r="J15" s="49">
        <v>11.68</v>
      </c>
      <c r="K15" s="49">
        <v>12.96</v>
      </c>
      <c r="L15" s="49">
        <v>14.4</v>
      </c>
      <c r="M15" s="49">
        <v>15.7</v>
      </c>
      <c r="N15" s="49">
        <v>15.44</v>
      </c>
      <c r="O15" s="49">
        <v>15.12</v>
      </c>
      <c r="P15" s="49">
        <v>15.28</v>
      </c>
      <c r="Q15" s="49">
        <v>15.18</v>
      </c>
      <c r="R15" s="49">
        <v>14.86</v>
      </c>
      <c r="S15" s="49">
        <v>18.239999999999998</v>
      </c>
      <c r="T15" s="49">
        <v>18.22</v>
      </c>
      <c r="U15" s="49">
        <v>19</v>
      </c>
      <c r="V15" s="49">
        <v>17.899999999999999</v>
      </c>
      <c r="W15" s="49">
        <v>16.16</v>
      </c>
      <c r="X15" s="49">
        <v>13.47</v>
      </c>
      <c r="Y15" s="49">
        <v>11.25</v>
      </c>
      <c r="Z15" s="50">
        <f t="shared" si="0"/>
        <v>316.09000000000009</v>
      </c>
      <c r="AA15" s="51">
        <v>19</v>
      </c>
      <c r="AB15" s="67">
        <f t="shared" si="1"/>
        <v>6005.7100000000019</v>
      </c>
      <c r="AD15" s="72" t="s">
        <v>45</v>
      </c>
    </row>
    <row r="16" spans="1:30" ht="15.75" x14ac:dyDescent="0.25">
      <c r="A16" s="66">
        <v>46266</v>
      </c>
      <c r="B16" s="49">
        <v>8.77</v>
      </c>
      <c r="C16" s="49">
        <v>7.93</v>
      </c>
      <c r="D16" s="49">
        <v>7.5</v>
      </c>
      <c r="E16" s="49">
        <v>7.36</v>
      </c>
      <c r="F16" s="49">
        <v>7.87</v>
      </c>
      <c r="G16" s="49">
        <v>9.44</v>
      </c>
      <c r="H16" s="49">
        <v>11.63</v>
      </c>
      <c r="I16" s="49">
        <v>9.7899999999999991</v>
      </c>
      <c r="J16" s="49">
        <v>11.01</v>
      </c>
      <c r="K16" s="49">
        <v>12.45</v>
      </c>
      <c r="L16" s="49">
        <v>14.08</v>
      </c>
      <c r="M16" s="49">
        <v>15.3</v>
      </c>
      <c r="N16" s="49">
        <v>15</v>
      </c>
      <c r="O16" s="49">
        <v>14.67</v>
      </c>
      <c r="P16" s="49">
        <v>14.94</v>
      </c>
      <c r="Q16" s="49">
        <v>14.89</v>
      </c>
      <c r="R16" s="49">
        <v>14.53</v>
      </c>
      <c r="S16" s="49">
        <v>18.010000000000002</v>
      </c>
      <c r="T16" s="49">
        <v>18.510000000000002</v>
      </c>
      <c r="U16" s="49">
        <v>18.489999999999998</v>
      </c>
      <c r="V16" s="49">
        <v>17.38</v>
      </c>
      <c r="W16" s="49">
        <v>15.71</v>
      </c>
      <c r="X16" s="49">
        <v>13.15</v>
      </c>
      <c r="Y16" s="49">
        <v>10.95</v>
      </c>
      <c r="Z16" s="50">
        <f t="shared" si="0"/>
        <v>309.35999999999996</v>
      </c>
      <c r="AA16" s="51">
        <v>22</v>
      </c>
      <c r="AB16" s="67">
        <f t="shared" si="1"/>
        <v>6805.9199999999992</v>
      </c>
      <c r="AD16" s="72" t="s">
        <v>45</v>
      </c>
    </row>
    <row r="17" spans="1:30" ht="15.75" x14ac:dyDescent="0.25">
      <c r="A17" s="66">
        <v>46296</v>
      </c>
      <c r="B17" s="49">
        <v>8.68</v>
      </c>
      <c r="C17" s="49">
        <v>7.82</v>
      </c>
      <c r="D17" s="49">
        <v>7.42</v>
      </c>
      <c r="E17" s="49">
        <v>7.29</v>
      </c>
      <c r="F17" s="49">
        <v>7.66</v>
      </c>
      <c r="G17" s="49">
        <v>8.5</v>
      </c>
      <c r="H17" s="49">
        <v>10.86</v>
      </c>
      <c r="I17" s="49">
        <v>9.4499999999999993</v>
      </c>
      <c r="J17" s="49">
        <v>11.43</v>
      </c>
      <c r="K17" s="49">
        <v>12.97</v>
      </c>
      <c r="L17" s="49">
        <v>14.41</v>
      </c>
      <c r="M17" s="49">
        <v>15.59</v>
      </c>
      <c r="N17" s="49">
        <v>15.38</v>
      </c>
      <c r="O17" s="49">
        <v>15.07</v>
      </c>
      <c r="P17" s="49">
        <v>15.24</v>
      </c>
      <c r="Q17" s="49">
        <v>14.99</v>
      </c>
      <c r="R17" s="49">
        <v>14.67</v>
      </c>
      <c r="S17" s="49">
        <v>18.489999999999998</v>
      </c>
      <c r="T17" s="49">
        <v>18.989999999999998</v>
      </c>
      <c r="U17" s="49">
        <v>18.39</v>
      </c>
      <c r="V17" s="49">
        <v>17.309999999999999</v>
      </c>
      <c r="W17" s="49">
        <v>15.63</v>
      </c>
      <c r="X17" s="49">
        <v>13.3</v>
      </c>
      <c r="Y17" s="49">
        <v>11.1</v>
      </c>
      <c r="Z17" s="50">
        <f t="shared" si="0"/>
        <v>310.64000000000004</v>
      </c>
      <c r="AA17" s="51">
        <v>21</v>
      </c>
      <c r="AB17" s="67">
        <f t="shared" si="1"/>
        <v>6523.4400000000005</v>
      </c>
      <c r="AD17" s="72" t="s">
        <v>45</v>
      </c>
    </row>
    <row r="18" spans="1:30" ht="15.75" x14ac:dyDescent="0.25">
      <c r="A18" s="66">
        <v>46327</v>
      </c>
      <c r="B18" s="49">
        <v>8.91</v>
      </c>
      <c r="C18" s="49">
        <v>8.0500000000000007</v>
      </c>
      <c r="D18" s="49">
        <v>7.58</v>
      </c>
      <c r="E18" s="49">
        <v>7.43</v>
      </c>
      <c r="F18" s="49">
        <v>7.8</v>
      </c>
      <c r="G18" s="49">
        <v>8.8699999999999992</v>
      </c>
      <c r="H18" s="49">
        <v>11.11</v>
      </c>
      <c r="I18" s="49">
        <v>9.73</v>
      </c>
      <c r="J18" s="49">
        <v>11.57</v>
      </c>
      <c r="K18" s="49">
        <v>12.88</v>
      </c>
      <c r="L18" s="49">
        <v>14.18</v>
      </c>
      <c r="M18" s="49">
        <v>15.38</v>
      </c>
      <c r="N18" s="49">
        <v>15.26</v>
      </c>
      <c r="O18" s="49">
        <v>14.96</v>
      </c>
      <c r="P18" s="49">
        <v>15.34</v>
      </c>
      <c r="Q18" s="49">
        <v>15.18</v>
      </c>
      <c r="R18" s="49">
        <v>14.85</v>
      </c>
      <c r="S18" s="49">
        <v>18.86</v>
      </c>
      <c r="T18" s="49">
        <v>19.18</v>
      </c>
      <c r="U18" s="49">
        <v>18.670000000000002</v>
      </c>
      <c r="V18" s="49">
        <v>17.62</v>
      </c>
      <c r="W18" s="49">
        <v>15.95</v>
      </c>
      <c r="X18" s="49">
        <v>13.54</v>
      </c>
      <c r="Y18" s="49">
        <v>11.27</v>
      </c>
      <c r="Z18" s="50">
        <f t="shared" si="0"/>
        <v>314.17</v>
      </c>
      <c r="AA18" s="51">
        <v>19</v>
      </c>
      <c r="AB18" s="67">
        <f t="shared" si="1"/>
        <v>5969.2300000000005</v>
      </c>
      <c r="AD18" s="72" t="s">
        <v>45</v>
      </c>
    </row>
    <row r="19" spans="1:30" ht="16.5" thickBot="1" x14ac:dyDescent="0.3">
      <c r="A19" s="68">
        <v>46357</v>
      </c>
      <c r="B19" s="52">
        <v>9.52</v>
      </c>
      <c r="C19" s="52">
        <v>8.5</v>
      </c>
      <c r="D19" s="52">
        <v>7.95</v>
      </c>
      <c r="E19" s="52">
        <v>7.73</v>
      </c>
      <c r="F19" s="52">
        <v>8</v>
      </c>
      <c r="G19" s="52">
        <v>8.8699999999999992</v>
      </c>
      <c r="H19" s="52">
        <v>10.94</v>
      </c>
      <c r="I19" s="52">
        <v>9.57</v>
      </c>
      <c r="J19" s="52">
        <v>11.56</v>
      </c>
      <c r="K19" s="52">
        <v>12.87</v>
      </c>
      <c r="L19" s="52">
        <v>14.14</v>
      </c>
      <c r="M19" s="52">
        <v>15.29</v>
      </c>
      <c r="N19" s="52">
        <v>15.35</v>
      </c>
      <c r="O19" s="52">
        <v>15.14</v>
      </c>
      <c r="P19" s="52">
        <v>15.31</v>
      </c>
      <c r="Q19" s="52">
        <v>15.16</v>
      </c>
      <c r="R19" s="52">
        <v>14.7</v>
      </c>
      <c r="S19" s="52">
        <v>18.2</v>
      </c>
      <c r="T19" s="52">
        <v>18.88</v>
      </c>
      <c r="U19" s="52">
        <v>18.809999999999999</v>
      </c>
      <c r="V19" s="52">
        <v>17.8</v>
      </c>
      <c r="W19" s="52">
        <v>16.41</v>
      </c>
      <c r="X19" s="52">
        <v>14.35</v>
      </c>
      <c r="Y19" s="52">
        <v>12.17</v>
      </c>
      <c r="Z19" s="53">
        <f t="shared" si="0"/>
        <v>317.22000000000003</v>
      </c>
      <c r="AA19" s="54">
        <v>21</v>
      </c>
      <c r="AB19" s="69">
        <f t="shared" si="1"/>
        <v>6661.6200000000008</v>
      </c>
      <c r="AD19" s="72" t="s">
        <v>45</v>
      </c>
    </row>
    <row r="20" spans="1:30" ht="16.5" thickBot="1" x14ac:dyDescent="0.3">
      <c r="A20"/>
      <c r="B20" s="70"/>
      <c r="C20" s="60"/>
      <c r="D20" s="60"/>
      <c r="E20" s="60"/>
      <c r="F20" s="60"/>
      <c r="G20" s="60"/>
      <c r="H20" s="60"/>
      <c r="I20" s="60"/>
      <c r="J20" s="60"/>
      <c r="K20" s="60"/>
      <c r="L20" s="60"/>
      <c r="M20" s="60"/>
      <c r="N20" s="60"/>
      <c r="O20" s="60"/>
      <c r="P20" s="60"/>
      <c r="Q20" s="60"/>
      <c r="R20" s="60"/>
      <c r="S20" s="60"/>
      <c r="T20" s="60"/>
      <c r="U20" s="60"/>
      <c r="V20" s="60"/>
      <c r="W20" s="60"/>
      <c r="X20" s="60"/>
      <c r="Y20" s="60"/>
      <c r="Z20" s="58"/>
      <c r="AA20" s="38"/>
      <c r="AB20"/>
    </row>
    <row r="21" spans="1:30" ht="16.5" thickBot="1" x14ac:dyDescent="0.3">
      <c r="A21" s="36" t="s">
        <v>46</v>
      </c>
      <c r="B21" s="60"/>
      <c r="C21" s="60"/>
      <c r="D21" s="60"/>
      <c r="E21" s="71"/>
      <c r="F21" s="60"/>
      <c r="G21" s="60"/>
      <c r="H21" s="60"/>
      <c r="I21" s="60"/>
      <c r="J21" s="60"/>
      <c r="K21" s="60"/>
      <c r="L21" s="60"/>
      <c r="M21" s="60"/>
      <c r="N21" s="60"/>
      <c r="O21" s="60"/>
      <c r="P21" s="60"/>
      <c r="Q21" s="60"/>
      <c r="R21" s="60"/>
      <c r="S21" s="60"/>
      <c r="T21" s="60"/>
      <c r="U21" s="60"/>
      <c r="V21" s="60"/>
      <c r="W21" s="60"/>
      <c r="X21" s="60"/>
      <c r="Y21" s="60"/>
      <c r="Z21" s="58"/>
      <c r="AA21" s="38"/>
      <c r="AB21"/>
    </row>
    <row r="22" spans="1:30" ht="16.5" thickBot="1" x14ac:dyDescent="0.3">
      <c r="A22"/>
      <c r="B22" s="70"/>
      <c r="C22" s="60"/>
      <c r="D22" s="60"/>
      <c r="E22" s="60"/>
      <c r="F22" s="60"/>
      <c r="G22" s="60"/>
      <c r="H22" s="60"/>
      <c r="I22" s="60"/>
      <c r="J22" s="60"/>
      <c r="K22" s="60"/>
      <c r="L22" s="60"/>
      <c r="M22" s="60"/>
      <c r="N22" s="60"/>
      <c r="O22" s="60"/>
      <c r="P22" s="60"/>
      <c r="Q22" s="60"/>
      <c r="R22" s="60"/>
      <c r="S22" s="60"/>
      <c r="T22" s="60"/>
      <c r="U22" s="60"/>
      <c r="V22" s="60"/>
      <c r="W22" s="60"/>
      <c r="X22" s="60"/>
      <c r="Y22" s="60"/>
      <c r="Z22" s="58"/>
      <c r="AA22"/>
      <c r="AB22"/>
    </row>
    <row r="23" spans="1:30" ht="15.75" thickBot="1" x14ac:dyDescent="0.25">
      <c r="A23" s="61" t="s">
        <v>11</v>
      </c>
      <c r="B23" s="62" t="s">
        <v>12</v>
      </c>
      <c r="C23" s="62" t="s">
        <v>13</v>
      </c>
      <c r="D23" s="62" t="s">
        <v>14</v>
      </c>
      <c r="E23" s="62" t="s">
        <v>15</v>
      </c>
      <c r="F23" s="62" t="s">
        <v>16</v>
      </c>
      <c r="G23" s="62" t="s">
        <v>17</v>
      </c>
      <c r="H23" s="62" t="s">
        <v>18</v>
      </c>
      <c r="I23" s="62" t="s">
        <v>19</v>
      </c>
      <c r="J23" s="62" t="s">
        <v>20</v>
      </c>
      <c r="K23" s="62" t="s">
        <v>21</v>
      </c>
      <c r="L23" s="62" t="s">
        <v>22</v>
      </c>
      <c r="M23" s="62" t="s">
        <v>23</v>
      </c>
      <c r="N23" s="62" t="s">
        <v>24</v>
      </c>
      <c r="O23" s="62" t="s">
        <v>25</v>
      </c>
      <c r="P23" s="62" t="s">
        <v>26</v>
      </c>
      <c r="Q23" s="62" t="s">
        <v>27</v>
      </c>
      <c r="R23" s="62" t="s">
        <v>28</v>
      </c>
      <c r="S23" s="62" t="s">
        <v>29</v>
      </c>
      <c r="T23" s="62" t="s">
        <v>30</v>
      </c>
      <c r="U23" s="62" t="s">
        <v>31</v>
      </c>
      <c r="V23" s="62" t="s">
        <v>32</v>
      </c>
      <c r="W23" s="62" t="s">
        <v>33</v>
      </c>
      <c r="X23" s="62" t="s">
        <v>34</v>
      </c>
      <c r="Y23" s="62" t="s">
        <v>35</v>
      </c>
      <c r="Z23" s="62" t="s">
        <v>7</v>
      </c>
      <c r="AA23" s="62" t="s">
        <v>36</v>
      </c>
      <c r="AB23" s="63"/>
    </row>
    <row r="24" spans="1:30" ht="15.75" x14ac:dyDescent="0.25">
      <c r="A24" s="64">
        <f t="shared" ref="A24:A35" si="2">+A8</f>
        <v>46023</v>
      </c>
      <c r="B24" s="46">
        <v>9.4499999999999993</v>
      </c>
      <c r="C24" s="46">
        <v>8.4700000000000006</v>
      </c>
      <c r="D24" s="46">
        <v>7.89</v>
      </c>
      <c r="E24" s="46">
        <v>7.58</v>
      </c>
      <c r="F24" s="46">
        <v>7.69</v>
      </c>
      <c r="G24" s="46">
        <v>8.27</v>
      </c>
      <c r="H24" s="46">
        <v>9.76</v>
      </c>
      <c r="I24" s="46">
        <v>7.96</v>
      </c>
      <c r="J24" s="46">
        <v>10</v>
      </c>
      <c r="K24" s="46">
        <v>11.78</v>
      </c>
      <c r="L24" s="46">
        <v>12.96</v>
      </c>
      <c r="M24" s="46">
        <v>13.98</v>
      </c>
      <c r="N24" s="46">
        <v>14.13</v>
      </c>
      <c r="O24" s="46">
        <v>13.54</v>
      </c>
      <c r="P24" s="46">
        <v>13.04</v>
      </c>
      <c r="Q24" s="46">
        <v>12.84</v>
      </c>
      <c r="R24" s="46">
        <v>12.47</v>
      </c>
      <c r="S24" s="46">
        <v>16.7</v>
      </c>
      <c r="T24" s="46">
        <v>17.420000000000002</v>
      </c>
      <c r="U24" s="46">
        <v>17.75</v>
      </c>
      <c r="V24" s="46">
        <v>16.75</v>
      </c>
      <c r="W24" s="46">
        <v>15.36</v>
      </c>
      <c r="X24" s="46">
        <v>13.56</v>
      </c>
      <c r="Y24" s="46">
        <v>11.71</v>
      </c>
      <c r="Z24" s="47">
        <f t="shared" ref="Z24:Z35" si="3">SUM(B24:Y24)</f>
        <v>291.06</v>
      </c>
      <c r="AA24" s="48">
        <v>5</v>
      </c>
      <c r="AB24" s="65">
        <f>+Z24*AA24</f>
        <v>1455.3</v>
      </c>
      <c r="AD24" s="72" t="s">
        <v>47</v>
      </c>
    </row>
    <row r="25" spans="1:30" ht="15.75" x14ac:dyDescent="0.25">
      <c r="A25" s="66">
        <f t="shared" si="2"/>
        <v>46054</v>
      </c>
      <c r="B25" s="49">
        <v>9.0500000000000007</v>
      </c>
      <c r="C25" s="49">
        <v>8.18</v>
      </c>
      <c r="D25" s="49">
        <v>7.68</v>
      </c>
      <c r="E25" s="49">
        <v>7.42</v>
      </c>
      <c r="F25" s="49">
        <v>7.56</v>
      </c>
      <c r="G25" s="49">
        <v>8.35</v>
      </c>
      <c r="H25" s="49">
        <v>10.06</v>
      </c>
      <c r="I25" s="49">
        <v>8.35</v>
      </c>
      <c r="J25" s="49">
        <v>10.3</v>
      </c>
      <c r="K25" s="49">
        <v>11.72</v>
      </c>
      <c r="L25" s="49">
        <v>12.87</v>
      </c>
      <c r="M25" s="49">
        <v>13.59</v>
      </c>
      <c r="N25" s="49">
        <v>13.59</v>
      </c>
      <c r="O25" s="49">
        <v>13.22</v>
      </c>
      <c r="P25" s="49">
        <v>12.91</v>
      </c>
      <c r="Q25" s="49">
        <v>12.71</v>
      </c>
      <c r="R25" s="49">
        <v>12.49</v>
      </c>
      <c r="S25" s="49">
        <v>16.190000000000001</v>
      </c>
      <c r="T25" s="49">
        <v>16.45</v>
      </c>
      <c r="U25" s="49">
        <v>17.34</v>
      </c>
      <c r="V25" s="49">
        <v>16.47</v>
      </c>
      <c r="W25" s="49">
        <v>15.24</v>
      </c>
      <c r="X25" s="49">
        <v>13.45</v>
      </c>
      <c r="Y25" s="49">
        <v>11.69</v>
      </c>
      <c r="Z25" s="50">
        <f t="shared" si="3"/>
        <v>286.88</v>
      </c>
      <c r="AA25" s="51">
        <v>4</v>
      </c>
      <c r="AB25" s="67">
        <f>+Z25*AA25</f>
        <v>1147.52</v>
      </c>
      <c r="AD25" s="72" t="s">
        <v>47</v>
      </c>
    </row>
    <row r="26" spans="1:30" ht="15.75" x14ac:dyDescent="0.25">
      <c r="A26" s="66">
        <f t="shared" si="2"/>
        <v>46082</v>
      </c>
      <c r="B26" s="49">
        <v>9.1</v>
      </c>
      <c r="C26" s="49">
        <v>8.18</v>
      </c>
      <c r="D26" s="49">
        <v>7.67</v>
      </c>
      <c r="E26" s="49">
        <v>7.41</v>
      </c>
      <c r="F26" s="49">
        <v>7.64</v>
      </c>
      <c r="G26" s="49">
        <v>8.4</v>
      </c>
      <c r="H26" s="49">
        <v>9.94</v>
      </c>
      <c r="I26" s="49">
        <v>8.41</v>
      </c>
      <c r="J26" s="49">
        <v>10.49</v>
      </c>
      <c r="K26" s="49">
        <v>11.85</v>
      </c>
      <c r="L26" s="49">
        <v>12.99</v>
      </c>
      <c r="M26" s="49">
        <v>14.07</v>
      </c>
      <c r="N26" s="49">
        <v>14.04</v>
      </c>
      <c r="O26" s="49">
        <v>13.35</v>
      </c>
      <c r="P26" s="49">
        <v>12.88</v>
      </c>
      <c r="Q26" s="49">
        <v>12.64</v>
      </c>
      <c r="R26" s="49">
        <v>12.4</v>
      </c>
      <c r="S26" s="49">
        <v>16.579999999999998</v>
      </c>
      <c r="T26" s="49">
        <v>16.75</v>
      </c>
      <c r="U26" s="49">
        <v>17.149999999999999</v>
      </c>
      <c r="V26" s="49">
        <v>16.239999999999998</v>
      </c>
      <c r="W26" s="49">
        <v>15.02</v>
      </c>
      <c r="X26" s="49">
        <v>13.21</v>
      </c>
      <c r="Y26" s="49">
        <v>11.42</v>
      </c>
      <c r="Z26" s="50">
        <f t="shared" si="3"/>
        <v>287.83</v>
      </c>
      <c r="AA26" s="51">
        <v>4</v>
      </c>
      <c r="AB26" s="67">
        <f t="shared" ref="AB26:AB35" si="4">+Z26*AA26</f>
        <v>1151.32</v>
      </c>
      <c r="AD26" s="72" t="s">
        <v>47</v>
      </c>
    </row>
    <row r="27" spans="1:30" ht="15.75" x14ac:dyDescent="0.25">
      <c r="A27" s="66">
        <f t="shared" si="2"/>
        <v>46113</v>
      </c>
      <c r="B27" s="49">
        <v>9.2200000000000006</v>
      </c>
      <c r="C27" s="49">
        <v>8.24</v>
      </c>
      <c r="D27" s="49">
        <v>7.67</v>
      </c>
      <c r="E27" s="49">
        <v>7.38</v>
      </c>
      <c r="F27" s="49">
        <v>7.53</v>
      </c>
      <c r="G27" s="49">
        <v>7.93</v>
      </c>
      <c r="H27" s="49">
        <v>9.7200000000000006</v>
      </c>
      <c r="I27" s="49">
        <v>8.2899999999999991</v>
      </c>
      <c r="J27" s="49">
        <v>10.27</v>
      </c>
      <c r="K27" s="49">
        <v>11.81</v>
      </c>
      <c r="L27" s="49">
        <v>12.97</v>
      </c>
      <c r="M27" s="49">
        <v>13.9</v>
      </c>
      <c r="N27" s="49">
        <v>13.98</v>
      </c>
      <c r="O27" s="49">
        <v>13.26</v>
      </c>
      <c r="P27" s="49">
        <v>12.88</v>
      </c>
      <c r="Q27" s="49">
        <v>12.66</v>
      </c>
      <c r="R27" s="49">
        <v>12.25</v>
      </c>
      <c r="S27" s="49">
        <v>16.350000000000001</v>
      </c>
      <c r="T27" s="49">
        <v>16.89</v>
      </c>
      <c r="U27" s="49">
        <v>17.399999999999999</v>
      </c>
      <c r="V27" s="49">
        <v>16.489999999999998</v>
      </c>
      <c r="W27" s="49">
        <v>15.19</v>
      </c>
      <c r="X27" s="49">
        <v>13.46</v>
      </c>
      <c r="Y27" s="49">
        <v>11.68</v>
      </c>
      <c r="Z27" s="50">
        <f t="shared" si="3"/>
        <v>287.42</v>
      </c>
      <c r="AA27" s="51">
        <v>4</v>
      </c>
      <c r="AB27" s="67">
        <f t="shared" si="4"/>
        <v>1149.68</v>
      </c>
      <c r="AD27" s="72" t="s">
        <v>47</v>
      </c>
    </row>
    <row r="28" spans="1:30" ht="15.75" x14ac:dyDescent="0.25">
      <c r="A28" s="66">
        <f t="shared" si="2"/>
        <v>46143</v>
      </c>
      <c r="B28" s="49">
        <v>8.99</v>
      </c>
      <c r="C28" s="49">
        <v>8.1199999999999992</v>
      </c>
      <c r="D28" s="49">
        <v>7.62</v>
      </c>
      <c r="E28" s="49">
        <v>7.36</v>
      </c>
      <c r="F28" s="49">
        <v>7.56</v>
      </c>
      <c r="G28" s="49">
        <v>8.01</v>
      </c>
      <c r="H28" s="49">
        <v>10.039999999999999</v>
      </c>
      <c r="I28" s="49">
        <v>8.64</v>
      </c>
      <c r="J28" s="49">
        <v>10.7</v>
      </c>
      <c r="K28" s="49">
        <v>12.39</v>
      </c>
      <c r="L28" s="49">
        <v>13.46</v>
      </c>
      <c r="M28" s="49">
        <v>14.34</v>
      </c>
      <c r="N28" s="49">
        <v>14.15</v>
      </c>
      <c r="O28" s="49">
        <v>13.3</v>
      </c>
      <c r="P28" s="49">
        <v>12.97</v>
      </c>
      <c r="Q28" s="49">
        <v>12.71</v>
      </c>
      <c r="R28" s="49">
        <v>12.34</v>
      </c>
      <c r="S28" s="49">
        <v>16.54</v>
      </c>
      <c r="T28" s="49">
        <v>17.14</v>
      </c>
      <c r="U28" s="49">
        <v>17.68</v>
      </c>
      <c r="V28" s="49">
        <v>16.64</v>
      </c>
      <c r="W28" s="49">
        <v>15.33</v>
      </c>
      <c r="X28" s="49">
        <v>13.51</v>
      </c>
      <c r="Y28" s="49">
        <v>11.66</v>
      </c>
      <c r="Z28" s="50">
        <f t="shared" si="3"/>
        <v>291.20000000000005</v>
      </c>
      <c r="AA28" s="51">
        <v>5</v>
      </c>
      <c r="AB28" s="67">
        <f t="shared" si="4"/>
        <v>1456.0000000000002</v>
      </c>
      <c r="AD28" s="72" t="s">
        <v>47</v>
      </c>
    </row>
    <row r="29" spans="1:30" ht="15.75" x14ac:dyDescent="0.25">
      <c r="A29" s="66">
        <f t="shared" si="2"/>
        <v>46174</v>
      </c>
      <c r="B29" s="49">
        <v>8.9499999999999993</v>
      </c>
      <c r="C29" s="49">
        <v>8.02</v>
      </c>
      <c r="D29" s="49">
        <v>7.5</v>
      </c>
      <c r="E29" s="49">
        <v>7.26</v>
      </c>
      <c r="F29" s="49">
        <v>7.45</v>
      </c>
      <c r="G29" s="49">
        <v>8.08</v>
      </c>
      <c r="H29" s="49">
        <v>9.77</v>
      </c>
      <c r="I29" s="49">
        <v>8.34</v>
      </c>
      <c r="J29" s="49">
        <v>10.41</v>
      </c>
      <c r="K29" s="49">
        <v>12.05</v>
      </c>
      <c r="L29" s="49">
        <v>13.08</v>
      </c>
      <c r="M29" s="49">
        <v>14.08</v>
      </c>
      <c r="N29" s="49">
        <v>14.21</v>
      </c>
      <c r="O29" s="49">
        <v>13.6</v>
      </c>
      <c r="P29" s="49">
        <v>13.02</v>
      </c>
      <c r="Q29" s="49">
        <v>12.57</v>
      </c>
      <c r="R29" s="49">
        <v>12.19</v>
      </c>
      <c r="S29" s="49">
        <v>16.329999999999998</v>
      </c>
      <c r="T29" s="49">
        <v>16.96</v>
      </c>
      <c r="U29" s="49">
        <v>17.47</v>
      </c>
      <c r="V29" s="49">
        <v>16.420000000000002</v>
      </c>
      <c r="W29" s="49">
        <v>15.02</v>
      </c>
      <c r="X29" s="49">
        <v>13.11</v>
      </c>
      <c r="Y29" s="49">
        <v>11.17</v>
      </c>
      <c r="Z29" s="50">
        <f t="shared" si="3"/>
        <v>287.06</v>
      </c>
      <c r="AA29" s="51">
        <v>4</v>
      </c>
      <c r="AB29" s="67">
        <f t="shared" si="4"/>
        <v>1148.24</v>
      </c>
      <c r="AD29" s="72" t="s">
        <v>47</v>
      </c>
    </row>
    <row r="30" spans="1:30" ht="15.75" x14ac:dyDescent="0.25">
      <c r="A30" s="66">
        <f t="shared" si="2"/>
        <v>46204</v>
      </c>
      <c r="B30" s="49">
        <v>9.09</v>
      </c>
      <c r="C30" s="49">
        <v>8.1</v>
      </c>
      <c r="D30" s="49">
        <v>7.46</v>
      </c>
      <c r="E30" s="49">
        <v>7.23</v>
      </c>
      <c r="F30" s="49">
        <v>7.39</v>
      </c>
      <c r="G30" s="49">
        <v>7.8</v>
      </c>
      <c r="H30" s="49">
        <v>9.59</v>
      </c>
      <c r="I30" s="49">
        <v>8.09</v>
      </c>
      <c r="J30" s="49">
        <v>10.28</v>
      </c>
      <c r="K30" s="49">
        <v>11.96</v>
      </c>
      <c r="L30" s="49">
        <v>13.05</v>
      </c>
      <c r="M30" s="49">
        <v>14.08</v>
      </c>
      <c r="N30" s="49">
        <v>14.22</v>
      </c>
      <c r="O30" s="49">
        <v>13.53</v>
      </c>
      <c r="P30" s="49">
        <v>12.87</v>
      </c>
      <c r="Q30" s="49">
        <v>12.33</v>
      </c>
      <c r="R30" s="49">
        <v>12</v>
      </c>
      <c r="S30" s="49">
        <v>16.14</v>
      </c>
      <c r="T30" s="49">
        <v>16.43</v>
      </c>
      <c r="U30" s="49">
        <v>17.420000000000002</v>
      </c>
      <c r="V30" s="49">
        <v>16.37</v>
      </c>
      <c r="W30" s="49">
        <v>15.1</v>
      </c>
      <c r="X30" s="49">
        <v>13.33</v>
      </c>
      <c r="Y30" s="49">
        <v>11.47</v>
      </c>
      <c r="Z30" s="50">
        <f t="shared" si="3"/>
        <v>285.3300000000001</v>
      </c>
      <c r="AA30" s="51">
        <v>4</v>
      </c>
      <c r="AB30" s="67">
        <f t="shared" si="4"/>
        <v>1141.3200000000004</v>
      </c>
      <c r="AD30" s="72" t="s">
        <v>47</v>
      </c>
    </row>
    <row r="31" spans="1:30" ht="15.75" x14ac:dyDescent="0.25">
      <c r="A31" s="66">
        <f t="shared" si="2"/>
        <v>46235</v>
      </c>
      <c r="B31" s="49">
        <v>9.27</v>
      </c>
      <c r="C31" s="49">
        <v>8.34</v>
      </c>
      <c r="D31" s="49">
        <v>7.77</v>
      </c>
      <c r="E31" s="49">
        <v>7.47</v>
      </c>
      <c r="F31" s="49">
        <v>7.67</v>
      </c>
      <c r="G31" s="49">
        <v>8.24</v>
      </c>
      <c r="H31" s="49">
        <v>10.09</v>
      </c>
      <c r="I31" s="49">
        <v>8.5</v>
      </c>
      <c r="J31" s="49">
        <v>10.54</v>
      </c>
      <c r="K31" s="49">
        <v>12.12</v>
      </c>
      <c r="L31" s="49">
        <v>13.24</v>
      </c>
      <c r="M31" s="49">
        <v>14.2</v>
      </c>
      <c r="N31" s="49">
        <v>14.23</v>
      </c>
      <c r="O31" s="49">
        <v>13.51</v>
      </c>
      <c r="P31" s="49">
        <v>12.93</v>
      </c>
      <c r="Q31" s="49">
        <v>12.38</v>
      </c>
      <c r="R31" s="49">
        <v>11.98</v>
      </c>
      <c r="S31" s="49">
        <v>15.97</v>
      </c>
      <c r="T31" s="49">
        <v>16.46</v>
      </c>
      <c r="U31" s="49">
        <v>17.170000000000002</v>
      </c>
      <c r="V31" s="49">
        <v>16.21</v>
      </c>
      <c r="W31" s="49">
        <v>14.96</v>
      </c>
      <c r="X31" s="49">
        <v>13.22</v>
      </c>
      <c r="Y31" s="49">
        <v>11.35</v>
      </c>
      <c r="Z31" s="50">
        <f t="shared" si="3"/>
        <v>287.82000000000005</v>
      </c>
      <c r="AA31" s="51">
        <v>5</v>
      </c>
      <c r="AB31" s="67">
        <f t="shared" si="4"/>
        <v>1439.1000000000004</v>
      </c>
      <c r="AD31" s="72" t="s">
        <v>47</v>
      </c>
    </row>
    <row r="32" spans="1:30" ht="15.75" x14ac:dyDescent="0.25">
      <c r="A32" s="66">
        <f t="shared" si="2"/>
        <v>46266</v>
      </c>
      <c r="B32" s="49">
        <v>8.82</v>
      </c>
      <c r="C32" s="49">
        <v>7.95</v>
      </c>
      <c r="D32" s="49">
        <v>7.43</v>
      </c>
      <c r="E32" s="49">
        <v>7.13</v>
      </c>
      <c r="F32" s="49">
        <v>7.34</v>
      </c>
      <c r="G32" s="49">
        <v>7.86</v>
      </c>
      <c r="H32" s="49">
        <v>9.69</v>
      </c>
      <c r="I32" s="49">
        <v>8.44</v>
      </c>
      <c r="J32" s="49">
        <v>10.47</v>
      </c>
      <c r="K32" s="49">
        <v>11.9</v>
      </c>
      <c r="L32" s="49">
        <v>13.14</v>
      </c>
      <c r="M32" s="49">
        <v>14.14</v>
      </c>
      <c r="N32" s="49">
        <v>13.7</v>
      </c>
      <c r="O32" s="49">
        <v>13.41</v>
      </c>
      <c r="P32" s="49">
        <v>12.73</v>
      </c>
      <c r="Q32" s="49">
        <v>12.4</v>
      </c>
      <c r="R32" s="49">
        <v>11.94</v>
      </c>
      <c r="S32" s="49">
        <v>16.489999999999998</v>
      </c>
      <c r="T32" s="49">
        <v>17.190000000000001</v>
      </c>
      <c r="U32" s="49">
        <v>16.96</v>
      </c>
      <c r="V32" s="49">
        <v>15.89</v>
      </c>
      <c r="W32" s="49">
        <v>14.54</v>
      </c>
      <c r="X32" s="49">
        <v>12.7</v>
      </c>
      <c r="Y32" s="49">
        <v>10.93</v>
      </c>
      <c r="Z32" s="50">
        <f t="shared" si="3"/>
        <v>283.19</v>
      </c>
      <c r="AA32" s="51">
        <v>4</v>
      </c>
      <c r="AB32" s="67">
        <f t="shared" si="4"/>
        <v>1132.76</v>
      </c>
      <c r="AD32" s="72" t="s">
        <v>47</v>
      </c>
    </row>
    <row r="33" spans="1:30" ht="15.75" x14ac:dyDescent="0.25">
      <c r="A33" s="66">
        <f t="shared" si="2"/>
        <v>46296</v>
      </c>
      <c r="B33" s="49">
        <v>8.9499999999999993</v>
      </c>
      <c r="C33" s="49">
        <v>8.02</v>
      </c>
      <c r="D33" s="49">
        <v>7.5</v>
      </c>
      <c r="E33" s="49">
        <v>7.3</v>
      </c>
      <c r="F33" s="49">
        <v>7.5</v>
      </c>
      <c r="G33" s="49">
        <v>7.75</v>
      </c>
      <c r="H33" s="49">
        <v>9.69</v>
      </c>
      <c r="I33" s="49">
        <v>8.34</v>
      </c>
      <c r="J33" s="49">
        <v>10.47</v>
      </c>
      <c r="K33" s="49">
        <v>11.96</v>
      </c>
      <c r="L33" s="49">
        <v>13.12</v>
      </c>
      <c r="M33" s="49">
        <v>14.11</v>
      </c>
      <c r="N33" s="49">
        <v>14.11</v>
      </c>
      <c r="O33" s="49">
        <v>13.52</v>
      </c>
      <c r="P33" s="49">
        <v>13.06</v>
      </c>
      <c r="Q33" s="49">
        <v>12.61</v>
      </c>
      <c r="R33" s="49">
        <v>12.15</v>
      </c>
      <c r="S33" s="49">
        <v>16.579999999999998</v>
      </c>
      <c r="T33" s="49">
        <v>17.47</v>
      </c>
      <c r="U33" s="49">
        <v>16.989999999999998</v>
      </c>
      <c r="V33" s="49">
        <v>15.74</v>
      </c>
      <c r="W33" s="49">
        <v>14.5</v>
      </c>
      <c r="X33" s="49">
        <v>12.91</v>
      </c>
      <c r="Y33" s="49">
        <v>11.15</v>
      </c>
      <c r="Z33" s="50">
        <f t="shared" si="3"/>
        <v>285.50000000000006</v>
      </c>
      <c r="AA33" s="51">
        <v>5</v>
      </c>
      <c r="AB33" s="67">
        <f t="shared" si="4"/>
        <v>1427.5000000000002</v>
      </c>
      <c r="AD33" s="72" t="s">
        <v>47</v>
      </c>
    </row>
    <row r="34" spans="1:30" ht="15.75" x14ac:dyDescent="0.25">
      <c r="A34" s="66">
        <f t="shared" si="2"/>
        <v>46327</v>
      </c>
      <c r="B34" s="49">
        <v>9.0299999999999994</v>
      </c>
      <c r="C34" s="49">
        <v>8.1</v>
      </c>
      <c r="D34" s="49">
        <v>7.57</v>
      </c>
      <c r="E34" s="49">
        <v>7.28</v>
      </c>
      <c r="F34" s="49">
        <v>7.48</v>
      </c>
      <c r="G34" s="49">
        <v>7.8</v>
      </c>
      <c r="H34" s="49">
        <v>9.75</v>
      </c>
      <c r="I34" s="49">
        <v>8.5500000000000007</v>
      </c>
      <c r="J34" s="49">
        <v>10.59</v>
      </c>
      <c r="K34" s="49">
        <v>12.06</v>
      </c>
      <c r="L34" s="49">
        <v>13.28</v>
      </c>
      <c r="M34" s="49">
        <v>14.37</v>
      </c>
      <c r="N34" s="49">
        <v>14.34</v>
      </c>
      <c r="O34" s="49">
        <v>13.59</v>
      </c>
      <c r="P34" s="49">
        <v>13.04</v>
      </c>
      <c r="Q34" s="49">
        <v>12.8</v>
      </c>
      <c r="R34" s="49">
        <v>12.49</v>
      </c>
      <c r="S34" s="49">
        <v>16.57</v>
      </c>
      <c r="T34" s="49">
        <v>17.72</v>
      </c>
      <c r="U34" s="49">
        <v>17.43</v>
      </c>
      <c r="V34" s="49">
        <v>16.29</v>
      </c>
      <c r="W34" s="49">
        <v>15.12</v>
      </c>
      <c r="X34" s="49">
        <v>13.29</v>
      </c>
      <c r="Y34" s="49">
        <v>11.45</v>
      </c>
      <c r="Z34" s="50">
        <f t="shared" si="3"/>
        <v>289.99</v>
      </c>
      <c r="AA34" s="51">
        <v>4</v>
      </c>
      <c r="AB34" s="67">
        <f t="shared" si="4"/>
        <v>1159.96</v>
      </c>
      <c r="AD34" s="72" t="s">
        <v>47</v>
      </c>
    </row>
    <row r="35" spans="1:30" ht="16.5" thickBot="1" x14ac:dyDescent="0.3">
      <c r="A35" s="68">
        <f t="shared" si="2"/>
        <v>46357</v>
      </c>
      <c r="B35" s="52">
        <v>9.6</v>
      </c>
      <c r="C35" s="52">
        <v>8.57</v>
      </c>
      <c r="D35" s="52">
        <v>7.96</v>
      </c>
      <c r="E35" s="52">
        <v>7.65</v>
      </c>
      <c r="F35" s="52">
        <v>7.84</v>
      </c>
      <c r="G35" s="52">
        <v>8.2799999999999994</v>
      </c>
      <c r="H35" s="52">
        <v>10.14</v>
      </c>
      <c r="I35" s="52">
        <v>8.8000000000000007</v>
      </c>
      <c r="J35" s="52">
        <v>10.94</v>
      </c>
      <c r="K35" s="52">
        <v>12.43</v>
      </c>
      <c r="L35" s="52">
        <v>13.6</v>
      </c>
      <c r="M35" s="52">
        <v>14.66</v>
      </c>
      <c r="N35" s="52">
        <v>14.64</v>
      </c>
      <c r="O35" s="52">
        <v>13.83</v>
      </c>
      <c r="P35" s="52">
        <v>13.12</v>
      </c>
      <c r="Q35" s="52">
        <v>12.76</v>
      </c>
      <c r="R35" s="52">
        <v>12.61</v>
      </c>
      <c r="S35" s="52">
        <v>16.91</v>
      </c>
      <c r="T35" s="52">
        <v>17.77</v>
      </c>
      <c r="U35" s="52">
        <v>17.57</v>
      </c>
      <c r="V35" s="52">
        <v>16.5</v>
      </c>
      <c r="W35" s="52">
        <v>15.18</v>
      </c>
      <c r="X35" s="52">
        <v>13.43</v>
      </c>
      <c r="Y35" s="52">
        <v>11.67</v>
      </c>
      <c r="Z35" s="53">
        <f t="shared" si="3"/>
        <v>296.46000000000004</v>
      </c>
      <c r="AA35" s="54">
        <v>4</v>
      </c>
      <c r="AB35" s="69">
        <f t="shared" si="4"/>
        <v>1185.8400000000001</v>
      </c>
      <c r="AD35" s="72" t="s">
        <v>47</v>
      </c>
    </row>
    <row r="36" spans="1:30" ht="16.5" thickBot="1" x14ac:dyDescent="0.3">
      <c r="A36"/>
      <c r="B36" s="70"/>
      <c r="C36" s="60"/>
      <c r="D36" s="60"/>
      <c r="E36" s="60"/>
      <c r="F36" s="60"/>
      <c r="G36" s="60"/>
      <c r="H36" s="60"/>
      <c r="I36" s="60"/>
      <c r="J36" s="60"/>
      <c r="K36" s="60"/>
      <c r="L36" s="60"/>
      <c r="M36" s="60"/>
      <c r="N36" s="60"/>
      <c r="O36" s="60"/>
      <c r="P36" s="60"/>
      <c r="Q36" s="60"/>
      <c r="R36" s="60"/>
      <c r="S36" s="60"/>
      <c r="T36" s="60"/>
      <c r="U36" s="60"/>
      <c r="V36" s="60"/>
      <c r="W36" s="60"/>
      <c r="X36" s="60"/>
      <c r="Y36" s="60"/>
      <c r="Z36" s="58"/>
      <c r="AA36" s="38"/>
      <c r="AB36"/>
    </row>
    <row r="37" spans="1:30" ht="16.5" thickBot="1" x14ac:dyDescent="0.3">
      <c r="A37" s="36" t="s">
        <v>48</v>
      </c>
      <c r="B37" s="60"/>
      <c r="C37" s="60"/>
      <c r="D37" s="60"/>
      <c r="E37" s="71"/>
      <c r="F37" s="60"/>
      <c r="G37" s="60"/>
      <c r="H37" s="60"/>
      <c r="I37" s="60"/>
      <c r="J37" s="60"/>
      <c r="K37" s="60"/>
      <c r="L37" s="60"/>
      <c r="M37" s="60"/>
      <c r="N37" s="60"/>
      <c r="O37" s="60"/>
      <c r="P37" s="60"/>
      <c r="Q37" s="60"/>
      <c r="R37" s="60"/>
      <c r="S37" s="60"/>
      <c r="T37" s="60"/>
      <c r="U37" s="60"/>
      <c r="V37" s="60"/>
      <c r="W37" s="60"/>
      <c r="X37" s="60"/>
      <c r="Y37" s="60"/>
      <c r="Z37" s="58"/>
      <c r="AA37" s="38"/>
      <c r="AB37"/>
    </row>
    <row r="38" spans="1:30" ht="16.5" thickBot="1" x14ac:dyDescent="0.3">
      <c r="A38"/>
      <c r="B38" s="70"/>
      <c r="C38" s="60"/>
      <c r="D38" s="60"/>
      <c r="E38" s="60"/>
      <c r="F38" s="60"/>
      <c r="G38" s="60"/>
      <c r="H38" s="60"/>
      <c r="I38" s="60"/>
      <c r="J38" s="60"/>
      <c r="K38" s="60"/>
      <c r="L38" s="60"/>
      <c r="M38" s="60"/>
      <c r="N38" s="60"/>
      <c r="O38" s="60"/>
      <c r="P38" s="60"/>
      <c r="Q38" s="60"/>
      <c r="R38" s="60"/>
      <c r="S38" s="60"/>
      <c r="T38" s="60"/>
      <c r="U38" s="60"/>
      <c r="V38" s="60"/>
      <c r="W38" s="60"/>
      <c r="X38" s="60"/>
      <c r="Y38" s="60"/>
      <c r="Z38" s="58"/>
      <c r="AA38"/>
      <c r="AB38"/>
    </row>
    <row r="39" spans="1:30" ht="15.75" thickBot="1" x14ac:dyDescent="0.25">
      <c r="A39" s="61" t="s">
        <v>11</v>
      </c>
      <c r="B39" s="62" t="s">
        <v>12</v>
      </c>
      <c r="C39" s="62" t="s">
        <v>13</v>
      </c>
      <c r="D39" s="62" t="s">
        <v>14</v>
      </c>
      <c r="E39" s="62" t="s">
        <v>15</v>
      </c>
      <c r="F39" s="62" t="s">
        <v>16</v>
      </c>
      <c r="G39" s="62" t="s">
        <v>17</v>
      </c>
      <c r="H39" s="62" t="s">
        <v>18</v>
      </c>
      <c r="I39" s="62" t="s">
        <v>19</v>
      </c>
      <c r="J39" s="62" t="s">
        <v>20</v>
      </c>
      <c r="K39" s="62" t="s">
        <v>21</v>
      </c>
      <c r="L39" s="62" t="s">
        <v>22</v>
      </c>
      <c r="M39" s="62" t="s">
        <v>23</v>
      </c>
      <c r="N39" s="62" t="s">
        <v>24</v>
      </c>
      <c r="O39" s="62" t="s">
        <v>25</v>
      </c>
      <c r="P39" s="62" t="s">
        <v>26</v>
      </c>
      <c r="Q39" s="62" t="s">
        <v>27</v>
      </c>
      <c r="R39" s="62" t="s">
        <v>28</v>
      </c>
      <c r="S39" s="62" t="s">
        <v>29</v>
      </c>
      <c r="T39" s="62" t="s">
        <v>30</v>
      </c>
      <c r="U39" s="62" t="s">
        <v>31</v>
      </c>
      <c r="V39" s="62" t="s">
        <v>32</v>
      </c>
      <c r="W39" s="62" t="s">
        <v>33</v>
      </c>
      <c r="X39" s="62" t="s">
        <v>34</v>
      </c>
      <c r="Y39" s="62" t="s">
        <v>35</v>
      </c>
      <c r="Z39" s="62" t="s">
        <v>7</v>
      </c>
      <c r="AA39" s="62" t="s">
        <v>36</v>
      </c>
      <c r="AB39" s="63"/>
    </row>
    <row r="40" spans="1:30" ht="15.75" x14ac:dyDescent="0.25">
      <c r="A40" s="64">
        <f t="shared" ref="A40:A51" si="5">+A24</f>
        <v>46023</v>
      </c>
      <c r="B40" s="46">
        <v>9.67</v>
      </c>
      <c r="C40" s="46">
        <v>8.7100000000000009</v>
      </c>
      <c r="D40" s="46">
        <v>7.9</v>
      </c>
      <c r="E40" s="46">
        <v>7.59</v>
      </c>
      <c r="F40" s="46">
        <v>7.39</v>
      </c>
      <c r="G40" s="46">
        <v>7.47</v>
      </c>
      <c r="H40" s="46">
        <v>8.0500000000000007</v>
      </c>
      <c r="I40" s="46">
        <v>5.04</v>
      </c>
      <c r="J40" s="46">
        <v>6.18</v>
      </c>
      <c r="K40" s="46">
        <v>7.44</v>
      </c>
      <c r="L40" s="46">
        <v>8.51</v>
      </c>
      <c r="M40" s="46">
        <v>9.51</v>
      </c>
      <c r="N40" s="46">
        <v>10.210000000000001</v>
      </c>
      <c r="O40" s="46">
        <v>10.31</v>
      </c>
      <c r="P40" s="46">
        <v>10.039999999999999</v>
      </c>
      <c r="Q40" s="46">
        <v>9.9</v>
      </c>
      <c r="R40" s="46">
        <v>9.85</v>
      </c>
      <c r="S40" s="46">
        <v>14.04</v>
      </c>
      <c r="T40" s="46">
        <v>14.9</v>
      </c>
      <c r="U40" s="46">
        <v>16.03</v>
      </c>
      <c r="V40" s="46">
        <v>15.69</v>
      </c>
      <c r="W40" s="46">
        <v>14.52</v>
      </c>
      <c r="X40" s="46">
        <v>12.82</v>
      </c>
      <c r="Y40" s="46">
        <v>11.11</v>
      </c>
      <c r="Z40" s="47">
        <f t="shared" ref="Z40:Z51" si="6">SUM(B40:Y40)</f>
        <v>242.88</v>
      </c>
      <c r="AA40" s="48">
        <v>5</v>
      </c>
      <c r="AB40" s="65">
        <f>+Z40*AA40</f>
        <v>1214.4000000000001</v>
      </c>
      <c r="AD40" s="72" t="s">
        <v>49</v>
      </c>
    </row>
    <row r="41" spans="1:30" ht="15.75" x14ac:dyDescent="0.25">
      <c r="A41" s="66">
        <f t="shared" si="5"/>
        <v>46054</v>
      </c>
      <c r="B41" s="49">
        <v>9.34</v>
      </c>
      <c r="C41" s="49">
        <v>8.3800000000000008</v>
      </c>
      <c r="D41" s="49">
        <v>7.69</v>
      </c>
      <c r="E41" s="49">
        <v>7.32</v>
      </c>
      <c r="F41" s="49">
        <v>7.27</v>
      </c>
      <c r="G41" s="49">
        <v>7.56</v>
      </c>
      <c r="H41" s="49">
        <v>8.3800000000000008</v>
      </c>
      <c r="I41" s="49">
        <v>5.8</v>
      </c>
      <c r="J41" s="49">
        <v>7.2</v>
      </c>
      <c r="K41" s="49">
        <v>8.5399999999999991</v>
      </c>
      <c r="L41" s="49">
        <v>9.33</v>
      </c>
      <c r="M41" s="49">
        <v>10.210000000000001</v>
      </c>
      <c r="N41" s="49">
        <v>10.64</v>
      </c>
      <c r="O41" s="49">
        <v>10.44</v>
      </c>
      <c r="P41" s="49">
        <v>9.9499999999999993</v>
      </c>
      <c r="Q41" s="49">
        <v>9.6300000000000008</v>
      </c>
      <c r="R41" s="49">
        <v>9.43</v>
      </c>
      <c r="S41" s="49">
        <v>13.46</v>
      </c>
      <c r="T41" s="49">
        <v>13.8</v>
      </c>
      <c r="U41" s="49">
        <v>15.55</v>
      </c>
      <c r="V41" s="49">
        <v>15.15</v>
      </c>
      <c r="W41" s="49">
        <v>13.84</v>
      </c>
      <c r="X41" s="49">
        <v>11.81</v>
      </c>
      <c r="Y41" s="49">
        <v>9.82</v>
      </c>
      <c r="Z41" s="50">
        <f t="shared" si="6"/>
        <v>240.54000000000002</v>
      </c>
      <c r="AA41" s="51">
        <v>4</v>
      </c>
      <c r="AB41" s="67">
        <f>+Z41*AA41</f>
        <v>962.16000000000008</v>
      </c>
      <c r="AD41" s="72" t="s">
        <v>49</v>
      </c>
    </row>
    <row r="42" spans="1:30" ht="15.75" x14ac:dyDescent="0.25">
      <c r="A42" s="66">
        <f t="shared" si="5"/>
        <v>46082</v>
      </c>
      <c r="B42" s="49">
        <v>9.1999999999999993</v>
      </c>
      <c r="C42" s="49">
        <v>8.24</v>
      </c>
      <c r="D42" s="49">
        <v>7.66</v>
      </c>
      <c r="E42" s="49">
        <v>7.32</v>
      </c>
      <c r="F42" s="49">
        <v>7.21</v>
      </c>
      <c r="G42" s="49">
        <v>7.54</v>
      </c>
      <c r="H42" s="49">
        <v>8.32</v>
      </c>
      <c r="I42" s="49">
        <v>5.78</v>
      </c>
      <c r="J42" s="49">
        <v>7.07</v>
      </c>
      <c r="K42" s="49">
        <v>8.31</v>
      </c>
      <c r="L42" s="49">
        <v>9.08</v>
      </c>
      <c r="M42" s="49">
        <v>9.83</v>
      </c>
      <c r="N42" s="49">
        <v>10.43</v>
      </c>
      <c r="O42" s="49">
        <v>10.42</v>
      </c>
      <c r="P42" s="49">
        <v>9.91</v>
      </c>
      <c r="Q42" s="49">
        <v>9.69</v>
      </c>
      <c r="R42" s="49">
        <v>9.7100000000000009</v>
      </c>
      <c r="S42" s="49">
        <v>14.13</v>
      </c>
      <c r="T42" s="49">
        <v>14.85</v>
      </c>
      <c r="U42" s="49">
        <v>15.91</v>
      </c>
      <c r="V42" s="49">
        <v>15.28</v>
      </c>
      <c r="W42" s="49">
        <v>13.93</v>
      </c>
      <c r="X42" s="49">
        <v>12.08</v>
      </c>
      <c r="Y42" s="49">
        <v>10.17</v>
      </c>
      <c r="Z42" s="50">
        <f t="shared" si="6"/>
        <v>242.07000000000002</v>
      </c>
      <c r="AA42" s="51">
        <v>5</v>
      </c>
      <c r="AB42" s="67">
        <f t="shared" ref="AB42:AB51" si="7">+Z42*AA42</f>
        <v>1210.3500000000001</v>
      </c>
      <c r="AD42" s="72" t="s">
        <v>49</v>
      </c>
    </row>
    <row r="43" spans="1:30" ht="15.75" x14ac:dyDescent="0.25">
      <c r="A43" s="66">
        <f t="shared" si="5"/>
        <v>46113</v>
      </c>
      <c r="B43" s="49">
        <v>8.9700000000000006</v>
      </c>
      <c r="C43" s="49">
        <v>7.97</v>
      </c>
      <c r="D43" s="49">
        <v>7.35</v>
      </c>
      <c r="E43" s="49">
        <v>7.02</v>
      </c>
      <c r="F43" s="49">
        <v>7.02</v>
      </c>
      <c r="G43" s="49">
        <v>7.04</v>
      </c>
      <c r="H43" s="49">
        <v>7.93</v>
      </c>
      <c r="I43" s="49">
        <v>5.69</v>
      </c>
      <c r="J43" s="49">
        <v>7.06</v>
      </c>
      <c r="K43" s="49">
        <v>8.3800000000000008</v>
      </c>
      <c r="L43" s="49">
        <v>9.39</v>
      </c>
      <c r="M43" s="49">
        <v>10.44</v>
      </c>
      <c r="N43" s="49">
        <v>10.95</v>
      </c>
      <c r="O43" s="49">
        <v>10.69</v>
      </c>
      <c r="P43" s="49">
        <v>10.45</v>
      </c>
      <c r="Q43" s="49">
        <v>9.81</v>
      </c>
      <c r="R43" s="49">
        <v>9.67</v>
      </c>
      <c r="S43" s="49">
        <v>14.17</v>
      </c>
      <c r="T43" s="49">
        <v>14.83</v>
      </c>
      <c r="U43" s="49">
        <v>15.56</v>
      </c>
      <c r="V43" s="49">
        <v>15.02</v>
      </c>
      <c r="W43" s="49">
        <v>13.79</v>
      </c>
      <c r="X43" s="49">
        <v>12</v>
      </c>
      <c r="Y43" s="49">
        <v>10.3</v>
      </c>
      <c r="Z43" s="50">
        <f t="shared" si="6"/>
        <v>241.5</v>
      </c>
      <c r="AA43" s="51">
        <v>6</v>
      </c>
      <c r="AB43" s="67">
        <f t="shared" si="7"/>
        <v>1449</v>
      </c>
      <c r="AD43" s="72" t="s">
        <v>49</v>
      </c>
    </row>
    <row r="44" spans="1:30" ht="15.75" x14ac:dyDescent="0.25">
      <c r="A44" s="66">
        <f t="shared" si="5"/>
        <v>46143</v>
      </c>
      <c r="B44" s="49">
        <v>9.09</v>
      </c>
      <c r="C44" s="49">
        <v>8.08</v>
      </c>
      <c r="D44" s="49">
        <v>7.51</v>
      </c>
      <c r="E44" s="49">
        <v>7.11</v>
      </c>
      <c r="F44" s="49">
        <v>7</v>
      </c>
      <c r="G44" s="49">
        <v>6.75</v>
      </c>
      <c r="H44" s="49">
        <v>8.1300000000000008</v>
      </c>
      <c r="I44" s="49">
        <v>5.89</v>
      </c>
      <c r="J44" s="49">
        <v>7.35</v>
      </c>
      <c r="K44" s="49">
        <v>8.85</v>
      </c>
      <c r="L44" s="49">
        <v>9.82</v>
      </c>
      <c r="M44" s="49">
        <v>10.58</v>
      </c>
      <c r="N44" s="49">
        <v>10.69</v>
      </c>
      <c r="O44" s="49">
        <v>10.61</v>
      </c>
      <c r="P44" s="49">
        <v>9.85</v>
      </c>
      <c r="Q44" s="49">
        <v>9.98</v>
      </c>
      <c r="R44" s="49">
        <v>9.9499999999999993</v>
      </c>
      <c r="S44" s="49">
        <v>14.28</v>
      </c>
      <c r="T44" s="49">
        <v>14.88</v>
      </c>
      <c r="U44" s="49">
        <v>16.010000000000002</v>
      </c>
      <c r="V44" s="49">
        <v>15.57</v>
      </c>
      <c r="W44" s="49">
        <v>14.26</v>
      </c>
      <c r="X44" s="49">
        <v>12.26</v>
      </c>
      <c r="Y44" s="49">
        <v>10.36</v>
      </c>
      <c r="Z44" s="50">
        <f t="shared" si="6"/>
        <v>244.8599999999999</v>
      </c>
      <c r="AA44" s="51">
        <v>6</v>
      </c>
      <c r="AB44" s="67">
        <f t="shared" si="7"/>
        <v>1469.1599999999994</v>
      </c>
      <c r="AD44" s="72" t="s">
        <v>49</v>
      </c>
    </row>
    <row r="45" spans="1:30" ht="15.75" x14ac:dyDescent="0.25">
      <c r="A45" s="66">
        <f t="shared" si="5"/>
        <v>46174</v>
      </c>
      <c r="B45" s="49">
        <v>8.76</v>
      </c>
      <c r="C45" s="49">
        <v>7.76</v>
      </c>
      <c r="D45" s="49">
        <v>7.21</v>
      </c>
      <c r="E45" s="49">
        <v>6.85</v>
      </c>
      <c r="F45" s="49">
        <v>6.82</v>
      </c>
      <c r="G45" s="49">
        <v>6.89</v>
      </c>
      <c r="H45" s="49">
        <v>7.96</v>
      </c>
      <c r="I45" s="49">
        <v>5.76</v>
      </c>
      <c r="J45" s="49">
        <v>7.2</v>
      </c>
      <c r="K45" s="49">
        <v>8.6</v>
      </c>
      <c r="L45" s="49">
        <v>9.3800000000000008</v>
      </c>
      <c r="M45" s="49">
        <v>10.08</v>
      </c>
      <c r="N45" s="49">
        <v>10.52</v>
      </c>
      <c r="O45" s="49">
        <v>10.51</v>
      </c>
      <c r="P45" s="49">
        <v>10.07</v>
      </c>
      <c r="Q45" s="49">
        <v>9.7200000000000006</v>
      </c>
      <c r="R45" s="49">
        <v>9.52</v>
      </c>
      <c r="S45" s="49">
        <v>13.7</v>
      </c>
      <c r="T45" s="49">
        <v>14.23</v>
      </c>
      <c r="U45" s="49">
        <v>15.71</v>
      </c>
      <c r="V45" s="49">
        <v>15.22</v>
      </c>
      <c r="W45" s="49">
        <v>13.92</v>
      </c>
      <c r="X45" s="49">
        <v>12.15</v>
      </c>
      <c r="Y45" s="49">
        <v>10.25</v>
      </c>
      <c r="Z45" s="50">
        <f t="shared" si="6"/>
        <v>238.78999999999996</v>
      </c>
      <c r="AA45" s="51">
        <v>4</v>
      </c>
      <c r="AB45" s="67">
        <f t="shared" si="7"/>
        <v>955.15999999999985</v>
      </c>
      <c r="AD45" s="72" t="s">
        <v>49</v>
      </c>
    </row>
    <row r="46" spans="1:30" ht="15.75" x14ac:dyDescent="0.25">
      <c r="A46" s="66">
        <f t="shared" si="5"/>
        <v>46204</v>
      </c>
      <c r="B46" s="49">
        <v>8.9600000000000009</v>
      </c>
      <c r="C46" s="49">
        <v>8.0500000000000007</v>
      </c>
      <c r="D46" s="49">
        <v>7.46</v>
      </c>
      <c r="E46" s="49">
        <v>7.08</v>
      </c>
      <c r="F46" s="49">
        <v>7.04</v>
      </c>
      <c r="G46" s="49">
        <v>7.05</v>
      </c>
      <c r="H46" s="49">
        <v>7.95</v>
      </c>
      <c r="I46" s="49">
        <v>5.74</v>
      </c>
      <c r="J46" s="49">
        <v>7.17</v>
      </c>
      <c r="K46" s="49">
        <v>8.5399999999999991</v>
      </c>
      <c r="L46" s="49">
        <v>9.3800000000000008</v>
      </c>
      <c r="M46" s="49">
        <v>10.36</v>
      </c>
      <c r="N46" s="49">
        <v>10.73</v>
      </c>
      <c r="O46" s="49">
        <v>10.42</v>
      </c>
      <c r="P46" s="49">
        <v>9.99</v>
      </c>
      <c r="Q46" s="49">
        <v>9.7100000000000009</v>
      </c>
      <c r="R46" s="49">
        <v>9.7200000000000006</v>
      </c>
      <c r="S46" s="49">
        <v>13.85</v>
      </c>
      <c r="T46" s="49">
        <v>14.12</v>
      </c>
      <c r="U46" s="49">
        <v>15.6</v>
      </c>
      <c r="V46" s="49">
        <v>15.19</v>
      </c>
      <c r="W46" s="49">
        <v>13.9</v>
      </c>
      <c r="X46" s="49">
        <v>12.04</v>
      </c>
      <c r="Y46" s="49">
        <v>10.15</v>
      </c>
      <c r="Z46" s="50">
        <f t="shared" si="6"/>
        <v>240.2</v>
      </c>
      <c r="AA46" s="51">
        <v>4</v>
      </c>
      <c r="AB46" s="67">
        <f t="shared" si="7"/>
        <v>960.8</v>
      </c>
      <c r="AD46" s="72" t="s">
        <v>49</v>
      </c>
    </row>
    <row r="47" spans="1:30" ht="15.75" x14ac:dyDescent="0.25">
      <c r="A47" s="66">
        <f t="shared" si="5"/>
        <v>46235</v>
      </c>
      <c r="B47" s="49">
        <v>9.1300000000000008</v>
      </c>
      <c r="C47" s="49">
        <v>8.16</v>
      </c>
      <c r="D47" s="49">
        <v>7.6</v>
      </c>
      <c r="E47" s="49">
        <v>7.26</v>
      </c>
      <c r="F47" s="49">
        <v>7.19</v>
      </c>
      <c r="G47" s="49">
        <v>7.21</v>
      </c>
      <c r="H47" s="49">
        <v>7.92</v>
      </c>
      <c r="I47" s="49">
        <v>5.64</v>
      </c>
      <c r="J47" s="49">
        <v>7.11</v>
      </c>
      <c r="K47" s="49">
        <v>8.49</v>
      </c>
      <c r="L47" s="49">
        <v>9.5299999999999994</v>
      </c>
      <c r="M47" s="49">
        <v>10.39</v>
      </c>
      <c r="N47" s="49">
        <v>10.9</v>
      </c>
      <c r="O47" s="49">
        <v>10.84</v>
      </c>
      <c r="P47" s="49">
        <v>10.41</v>
      </c>
      <c r="Q47" s="49">
        <v>10.09</v>
      </c>
      <c r="R47" s="49">
        <v>9.76</v>
      </c>
      <c r="S47" s="49">
        <v>13.86</v>
      </c>
      <c r="T47" s="49">
        <v>14.46</v>
      </c>
      <c r="U47" s="49">
        <v>15.82</v>
      </c>
      <c r="V47" s="49">
        <v>15.41</v>
      </c>
      <c r="W47" s="49">
        <v>14.07</v>
      </c>
      <c r="X47" s="49">
        <v>12.12</v>
      </c>
      <c r="Y47" s="49">
        <v>10.23</v>
      </c>
      <c r="Z47" s="50">
        <f t="shared" si="6"/>
        <v>243.6</v>
      </c>
      <c r="AA47" s="51">
        <v>6</v>
      </c>
      <c r="AB47" s="67">
        <f t="shared" si="7"/>
        <v>1461.6</v>
      </c>
      <c r="AD47" s="72" t="s">
        <v>49</v>
      </c>
    </row>
    <row r="48" spans="1:30" ht="15.75" x14ac:dyDescent="0.25">
      <c r="A48" s="66">
        <f t="shared" si="5"/>
        <v>46266</v>
      </c>
      <c r="B48" s="49">
        <v>8.7899999999999991</v>
      </c>
      <c r="C48" s="49">
        <v>7.91</v>
      </c>
      <c r="D48" s="49">
        <v>7.35</v>
      </c>
      <c r="E48" s="49">
        <v>6.95</v>
      </c>
      <c r="F48" s="49">
        <v>6.89</v>
      </c>
      <c r="G48" s="49">
        <v>6.82</v>
      </c>
      <c r="H48" s="49">
        <v>7.73</v>
      </c>
      <c r="I48" s="49">
        <v>5.6</v>
      </c>
      <c r="J48" s="49">
        <v>7.01</v>
      </c>
      <c r="K48" s="49">
        <v>8.36</v>
      </c>
      <c r="L48" s="49">
        <v>9.27</v>
      </c>
      <c r="M48" s="49">
        <v>10.25</v>
      </c>
      <c r="N48" s="49">
        <v>10.69</v>
      </c>
      <c r="O48" s="49">
        <v>10.57</v>
      </c>
      <c r="P48" s="49">
        <v>10.02</v>
      </c>
      <c r="Q48" s="49">
        <v>9.73</v>
      </c>
      <c r="R48" s="49">
        <v>9.65</v>
      </c>
      <c r="S48" s="49">
        <v>13.74</v>
      </c>
      <c r="T48" s="49">
        <v>14.89</v>
      </c>
      <c r="U48" s="49">
        <v>15.64</v>
      </c>
      <c r="V48" s="49">
        <v>15.12</v>
      </c>
      <c r="W48" s="49">
        <v>13.76</v>
      </c>
      <c r="X48" s="49">
        <v>11.72</v>
      </c>
      <c r="Y48" s="49">
        <v>9.7799999999999994</v>
      </c>
      <c r="Z48" s="50">
        <f t="shared" si="6"/>
        <v>238.24</v>
      </c>
      <c r="AA48" s="51">
        <v>4</v>
      </c>
      <c r="AB48" s="67">
        <f t="shared" si="7"/>
        <v>952.96</v>
      </c>
      <c r="AD48" s="72" t="s">
        <v>49</v>
      </c>
    </row>
    <row r="49" spans="1:30" ht="15.75" x14ac:dyDescent="0.25">
      <c r="A49" s="66">
        <f t="shared" si="5"/>
        <v>46296</v>
      </c>
      <c r="B49" s="49">
        <v>8.75</v>
      </c>
      <c r="C49" s="49">
        <v>7.8</v>
      </c>
      <c r="D49" s="49">
        <v>7.26</v>
      </c>
      <c r="E49" s="49">
        <v>6.95</v>
      </c>
      <c r="F49" s="49">
        <v>6.89</v>
      </c>
      <c r="G49" s="49">
        <v>6.63</v>
      </c>
      <c r="H49" s="49">
        <v>7.61</v>
      </c>
      <c r="I49" s="49">
        <v>5.45</v>
      </c>
      <c r="J49" s="49">
        <v>6.93</v>
      </c>
      <c r="K49" s="49">
        <v>8.25</v>
      </c>
      <c r="L49" s="49">
        <v>9.2899999999999991</v>
      </c>
      <c r="M49" s="49">
        <v>10.26</v>
      </c>
      <c r="N49" s="49">
        <v>10.73</v>
      </c>
      <c r="O49" s="49">
        <v>10.53</v>
      </c>
      <c r="P49" s="49">
        <v>10.119999999999999</v>
      </c>
      <c r="Q49" s="49">
        <v>9.8000000000000007</v>
      </c>
      <c r="R49" s="49">
        <v>9.65</v>
      </c>
      <c r="S49" s="49">
        <v>14.06</v>
      </c>
      <c r="T49" s="49">
        <v>15.23</v>
      </c>
      <c r="U49" s="49">
        <v>15.16</v>
      </c>
      <c r="V49" s="49">
        <v>14.73</v>
      </c>
      <c r="W49" s="49">
        <v>13.66</v>
      </c>
      <c r="X49" s="49">
        <v>12.05</v>
      </c>
      <c r="Y49" s="49">
        <v>10.24</v>
      </c>
      <c r="Z49" s="50">
        <f t="shared" si="6"/>
        <v>238.03000000000003</v>
      </c>
      <c r="AA49" s="51">
        <v>4</v>
      </c>
      <c r="AB49" s="67">
        <f t="shared" si="7"/>
        <v>952.12000000000012</v>
      </c>
      <c r="AD49" s="72" t="s">
        <v>49</v>
      </c>
    </row>
    <row r="50" spans="1:30" ht="15.75" x14ac:dyDescent="0.25">
      <c r="A50" s="66">
        <f t="shared" si="5"/>
        <v>46327</v>
      </c>
      <c r="B50" s="49">
        <v>9.02</v>
      </c>
      <c r="C50" s="49">
        <v>8.1</v>
      </c>
      <c r="D50" s="49">
        <v>7.47</v>
      </c>
      <c r="E50" s="49">
        <v>7.07</v>
      </c>
      <c r="F50" s="49">
        <v>7.01</v>
      </c>
      <c r="G50" s="49">
        <v>6.77</v>
      </c>
      <c r="H50" s="49">
        <v>7.71</v>
      </c>
      <c r="I50" s="49">
        <v>5.49</v>
      </c>
      <c r="J50" s="49">
        <v>6.99</v>
      </c>
      <c r="K50" s="49">
        <v>8.25</v>
      </c>
      <c r="L50" s="49">
        <v>9.25</v>
      </c>
      <c r="M50" s="49">
        <v>10.36</v>
      </c>
      <c r="N50" s="49">
        <v>11</v>
      </c>
      <c r="O50" s="49">
        <v>10.84</v>
      </c>
      <c r="P50" s="49">
        <v>10.4</v>
      </c>
      <c r="Q50" s="49">
        <v>10.23</v>
      </c>
      <c r="R50" s="49">
        <v>10.07</v>
      </c>
      <c r="S50" s="49">
        <v>14.45</v>
      </c>
      <c r="T50" s="49">
        <v>15.73</v>
      </c>
      <c r="U50" s="49">
        <v>15.65</v>
      </c>
      <c r="V50" s="49">
        <v>15.08</v>
      </c>
      <c r="W50" s="49">
        <v>13.86</v>
      </c>
      <c r="X50" s="49">
        <v>12.08</v>
      </c>
      <c r="Y50" s="49">
        <v>10.25</v>
      </c>
      <c r="Z50" s="50">
        <f t="shared" si="6"/>
        <v>243.13000000000002</v>
      </c>
      <c r="AA50" s="51">
        <v>5</v>
      </c>
      <c r="AB50" s="67">
        <f t="shared" si="7"/>
        <v>1215.6500000000001</v>
      </c>
      <c r="AD50" s="72" t="s">
        <v>49</v>
      </c>
    </row>
    <row r="51" spans="1:30" ht="16.5" thickBot="1" x14ac:dyDescent="0.3">
      <c r="A51" s="68">
        <f t="shared" si="5"/>
        <v>46357</v>
      </c>
      <c r="B51" s="52">
        <v>9.68</v>
      </c>
      <c r="C51" s="52">
        <v>8.69</v>
      </c>
      <c r="D51" s="52">
        <v>8.0299999999999994</v>
      </c>
      <c r="E51" s="52">
        <v>7.57</v>
      </c>
      <c r="F51" s="52">
        <v>7.43</v>
      </c>
      <c r="G51" s="52">
        <v>7.45</v>
      </c>
      <c r="H51" s="52">
        <v>8.11</v>
      </c>
      <c r="I51" s="52">
        <v>5.67</v>
      </c>
      <c r="J51" s="52">
        <v>6.85</v>
      </c>
      <c r="K51" s="52">
        <v>8.31</v>
      </c>
      <c r="L51" s="52">
        <v>9.5299999999999994</v>
      </c>
      <c r="M51" s="52">
        <v>10.51</v>
      </c>
      <c r="N51" s="52">
        <v>11.17</v>
      </c>
      <c r="O51" s="52">
        <v>11.23</v>
      </c>
      <c r="P51" s="52">
        <v>10.77</v>
      </c>
      <c r="Q51" s="52">
        <v>10.45</v>
      </c>
      <c r="R51" s="52">
        <v>10.17</v>
      </c>
      <c r="S51" s="52">
        <v>14.41</v>
      </c>
      <c r="T51" s="52">
        <v>15.68</v>
      </c>
      <c r="U51" s="52">
        <v>15.66</v>
      </c>
      <c r="V51" s="52">
        <v>15.08</v>
      </c>
      <c r="W51" s="52">
        <v>14.12</v>
      </c>
      <c r="X51" s="52">
        <v>12.62</v>
      </c>
      <c r="Y51" s="52">
        <v>10.86</v>
      </c>
      <c r="Z51" s="53">
        <f t="shared" si="6"/>
        <v>250.05</v>
      </c>
      <c r="AA51" s="54">
        <v>6</v>
      </c>
      <c r="AB51" s="69">
        <f t="shared" si="7"/>
        <v>1500.3000000000002</v>
      </c>
      <c r="AD51" s="72" t="s">
        <v>49</v>
      </c>
    </row>
    <row r="52" spans="1:30" ht="16.5" thickBot="1" x14ac:dyDescent="0.3">
      <c r="A52"/>
      <c r="B52" s="70"/>
      <c r="C52" s="60"/>
      <c r="D52" s="60"/>
      <c r="E52" s="60"/>
      <c r="F52" s="60"/>
      <c r="G52" s="60"/>
      <c r="H52" s="60"/>
      <c r="I52" s="60"/>
      <c r="J52" s="60"/>
      <c r="K52" s="60"/>
      <c r="L52" s="60"/>
      <c r="M52" s="60"/>
      <c r="N52" s="60"/>
      <c r="O52" s="60"/>
      <c r="P52" s="60"/>
      <c r="Q52" s="60"/>
      <c r="R52" s="60"/>
      <c r="S52" s="60"/>
      <c r="T52" s="60"/>
      <c r="U52" s="60"/>
      <c r="V52" s="60"/>
      <c r="W52" s="60"/>
      <c r="X52" s="60"/>
      <c r="Y52" s="60"/>
      <c r="Z52" s="58"/>
      <c r="AA52" s="38"/>
      <c r="AB52"/>
    </row>
    <row r="53" spans="1:30" ht="16.5" thickBot="1" x14ac:dyDescent="0.3">
      <c r="A53" s="36" t="s">
        <v>50</v>
      </c>
      <c r="B53" s="60"/>
      <c r="C53" s="60"/>
      <c r="D53" s="60"/>
      <c r="E53" s="71"/>
      <c r="F53" s="60"/>
      <c r="G53" s="60"/>
      <c r="H53" s="60"/>
      <c r="I53" s="60"/>
      <c r="J53" s="60"/>
      <c r="K53" s="60"/>
      <c r="L53" s="60"/>
      <c r="M53" s="60"/>
      <c r="N53" s="60"/>
      <c r="O53" s="60"/>
      <c r="P53" s="60"/>
      <c r="Q53" s="60"/>
      <c r="R53" s="60"/>
      <c r="S53" s="60"/>
      <c r="T53" s="60"/>
      <c r="U53" s="60"/>
      <c r="V53" s="60"/>
      <c r="W53" s="60"/>
      <c r="X53" s="60"/>
      <c r="Y53" s="60"/>
      <c r="Z53" s="58"/>
      <c r="AA53" s="38"/>
      <c r="AB53"/>
    </row>
    <row r="54" spans="1:30" ht="16.5" thickBot="1" x14ac:dyDescent="0.3">
      <c r="A54"/>
      <c r="B54" s="70"/>
      <c r="C54" s="60"/>
      <c r="D54" s="60"/>
      <c r="E54" s="60"/>
      <c r="F54" s="60"/>
      <c r="G54" s="60"/>
      <c r="H54" s="60"/>
      <c r="I54" s="60"/>
      <c r="J54" s="60"/>
      <c r="K54" s="60"/>
      <c r="L54" s="60"/>
      <c r="M54" s="60"/>
      <c r="N54" s="60"/>
      <c r="O54" s="60"/>
      <c r="P54" s="60"/>
      <c r="Q54" s="60"/>
      <c r="R54" s="60"/>
      <c r="S54" s="60"/>
      <c r="T54" s="60"/>
      <c r="U54" s="60"/>
      <c r="V54" s="60"/>
      <c r="W54" s="60"/>
      <c r="X54" s="60"/>
      <c r="Y54" s="60"/>
      <c r="Z54" s="58"/>
      <c r="AA54"/>
      <c r="AB54"/>
    </row>
    <row r="55" spans="1:30" ht="15.75" thickBot="1" x14ac:dyDescent="0.25">
      <c r="A55" s="61" t="s">
        <v>11</v>
      </c>
      <c r="B55" s="62" t="s">
        <v>12</v>
      </c>
      <c r="C55" s="62" t="s">
        <v>13</v>
      </c>
      <c r="D55" s="62" t="s">
        <v>14</v>
      </c>
      <c r="E55" s="62" t="s">
        <v>15</v>
      </c>
      <c r="F55" s="62" t="s">
        <v>16</v>
      </c>
      <c r="G55" s="62" t="s">
        <v>17</v>
      </c>
      <c r="H55" s="62" t="s">
        <v>18</v>
      </c>
      <c r="I55" s="62" t="s">
        <v>19</v>
      </c>
      <c r="J55" s="62" t="s">
        <v>20</v>
      </c>
      <c r="K55" s="62" t="s">
        <v>21</v>
      </c>
      <c r="L55" s="62" t="s">
        <v>22</v>
      </c>
      <c r="M55" s="62" t="s">
        <v>23</v>
      </c>
      <c r="N55" s="62" t="s">
        <v>24</v>
      </c>
      <c r="O55" s="62" t="s">
        <v>25</v>
      </c>
      <c r="P55" s="62" t="s">
        <v>26</v>
      </c>
      <c r="Q55" s="62" t="s">
        <v>27</v>
      </c>
      <c r="R55" s="62" t="s">
        <v>28</v>
      </c>
      <c r="S55" s="62" t="s">
        <v>29</v>
      </c>
      <c r="T55" s="62" t="s">
        <v>30</v>
      </c>
      <c r="U55" s="62" t="s">
        <v>31</v>
      </c>
      <c r="V55" s="62" t="s">
        <v>32</v>
      </c>
      <c r="W55" s="62" t="s">
        <v>33</v>
      </c>
      <c r="X55" s="62" t="s">
        <v>34</v>
      </c>
      <c r="Y55" s="62" t="s">
        <v>35</v>
      </c>
      <c r="Z55" s="62" t="s">
        <v>7</v>
      </c>
      <c r="AA55" s="62" t="s">
        <v>36</v>
      </c>
      <c r="AB55" s="63"/>
    </row>
    <row r="56" spans="1:30" ht="15.75" x14ac:dyDescent="0.25">
      <c r="A56" s="64">
        <f t="shared" ref="A56:A67" si="8">+A40</f>
        <v>46023</v>
      </c>
      <c r="B56" s="46">
        <v>8.82</v>
      </c>
      <c r="C56" s="46">
        <v>7.86</v>
      </c>
      <c r="D56" s="46">
        <v>7.25</v>
      </c>
      <c r="E56" s="46">
        <v>6.9</v>
      </c>
      <c r="F56" s="46">
        <v>6.89</v>
      </c>
      <c r="G56" s="46">
        <v>7.21</v>
      </c>
      <c r="H56" s="46">
        <v>8.2200000000000006</v>
      </c>
      <c r="I56" s="46">
        <v>5.4</v>
      </c>
      <c r="J56" s="46">
        <v>6.64</v>
      </c>
      <c r="K56" s="46">
        <v>8.11</v>
      </c>
      <c r="L56" s="46">
        <v>9.49</v>
      </c>
      <c r="M56" s="46">
        <v>10.58</v>
      </c>
      <c r="N56" s="46">
        <v>11.15</v>
      </c>
      <c r="O56" s="46">
        <v>10.8</v>
      </c>
      <c r="P56" s="46">
        <v>9.92</v>
      </c>
      <c r="Q56" s="46">
        <v>9.5500000000000007</v>
      </c>
      <c r="R56" s="46">
        <v>9.68</v>
      </c>
      <c r="S56" s="46">
        <v>14.42</v>
      </c>
      <c r="T56" s="46">
        <v>15.42</v>
      </c>
      <c r="U56" s="46">
        <v>15.93</v>
      </c>
      <c r="V56" s="46">
        <v>15.11</v>
      </c>
      <c r="W56" s="46">
        <v>13.64</v>
      </c>
      <c r="X56" s="46">
        <v>11.66</v>
      </c>
      <c r="Y56" s="46">
        <v>9.74</v>
      </c>
      <c r="Z56" s="47">
        <f t="shared" ref="Z56:Z67" si="9">SUM(B56:Y56)</f>
        <v>240.38999999999996</v>
      </c>
      <c r="AA56" s="48">
        <v>1</v>
      </c>
      <c r="AB56" s="65">
        <f>+Z56*AA56</f>
        <v>240.38999999999996</v>
      </c>
      <c r="AD56" s="72" t="s">
        <v>51</v>
      </c>
    </row>
    <row r="57" spans="1:30" ht="15.75" x14ac:dyDescent="0.25">
      <c r="A57" s="66">
        <f t="shared" si="8"/>
        <v>46054</v>
      </c>
      <c r="B57" s="49">
        <v>9.34</v>
      </c>
      <c r="C57" s="49">
        <v>8.3800000000000008</v>
      </c>
      <c r="D57" s="49">
        <v>7.69</v>
      </c>
      <c r="E57" s="49">
        <v>7.32</v>
      </c>
      <c r="F57" s="49">
        <v>7.27</v>
      </c>
      <c r="G57" s="49">
        <v>7.56</v>
      </c>
      <c r="H57" s="49">
        <v>8.3800000000000008</v>
      </c>
      <c r="I57" s="49">
        <v>5.8</v>
      </c>
      <c r="J57" s="49">
        <v>7.2</v>
      </c>
      <c r="K57" s="49">
        <v>8.5399999999999991</v>
      </c>
      <c r="L57" s="49">
        <v>9.33</v>
      </c>
      <c r="M57" s="49">
        <v>10.210000000000001</v>
      </c>
      <c r="N57" s="49">
        <v>10.64</v>
      </c>
      <c r="O57" s="49">
        <v>10.44</v>
      </c>
      <c r="P57" s="49">
        <v>9.9499999999999993</v>
      </c>
      <c r="Q57" s="49">
        <v>9.6300000000000008</v>
      </c>
      <c r="R57" s="49">
        <v>9.43</v>
      </c>
      <c r="S57" s="49">
        <v>13.46</v>
      </c>
      <c r="T57" s="49">
        <v>13.8</v>
      </c>
      <c r="U57" s="49">
        <v>15.55</v>
      </c>
      <c r="V57" s="49">
        <v>15.15</v>
      </c>
      <c r="W57" s="49">
        <v>13.84</v>
      </c>
      <c r="X57" s="49">
        <v>11.81</v>
      </c>
      <c r="Y57" s="49">
        <v>9.82</v>
      </c>
      <c r="Z57" s="50">
        <f t="shared" si="9"/>
        <v>240.54000000000002</v>
      </c>
      <c r="AA57" s="51">
        <v>0</v>
      </c>
      <c r="AB57" s="67">
        <f>+Z57*AA57</f>
        <v>0</v>
      </c>
      <c r="AD57" s="72" t="s">
        <v>51</v>
      </c>
    </row>
    <row r="58" spans="1:30" ht="15.75" x14ac:dyDescent="0.25">
      <c r="A58" s="66">
        <f t="shared" si="8"/>
        <v>46082</v>
      </c>
      <c r="B58" s="49">
        <v>8.69</v>
      </c>
      <c r="C58" s="49">
        <v>7.81</v>
      </c>
      <c r="D58" s="49">
        <v>7.28</v>
      </c>
      <c r="E58" s="49">
        <v>6.95</v>
      </c>
      <c r="F58" s="49">
        <v>6.85</v>
      </c>
      <c r="G58" s="49">
        <v>7.19</v>
      </c>
      <c r="H58" s="49">
        <v>7.92</v>
      </c>
      <c r="I58" s="49">
        <v>5.72</v>
      </c>
      <c r="J58" s="49">
        <v>7.27</v>
      </c>
      <c r="K58" s="49">
        <v>8.51</v>
      </c>
      <c r="L58" s="49">
        <v>9.57</v>
      </c>
      <c r="M58" s="49">
        <v>10.56</v>
      </c>
      <c r="N58" s="49">
        <v>10.9</v>
      </c>
      <c r="O58" s="49">
        <v>10.74</v>
      </c>
      <c r="P58" s="49">
        <v>10.45</v>
      </c>
      <c r="Q58" s="49">
        <v>10.15</v>
      </c>
      <c r="R58" s="49">
        <v>10.16</v>
      </c>
      <c r="S58" s="49">
        <v>14.54</v>
      </c>
      <c r="T58" s="49">
        <v>15.12</v>
      </c>
      <c r="U58" s="49">
        <v>16.09</v>
      </c>
      <c r="V58" s="49">
        <v>15.62</v>
      </c>
      <c r="W58" s="49">
        <v>14.25</v>
      </c>
      <c r="X58" s="49">
        <v>11.93</v>
      </c>
      <c r="Y58" s="49">
        <v>10.029999999999999</v>
      </c>
      <c r="Z58" s="50">
        <f t="shared" si="9"/>
        <v>244.3</v>
      </c>
      <c r="AA58" s="51">
        <v>1</v>
      </c>
      <c r="AB58" s="67">
        <f t="shared" ref="AB58:AB67" si="10">+Z58*AA58</f>
        <v>244.3</v>
      </c>
      <c r="AD58" s="72" t="s">
        <v>51</v>
      </c>
    </row>
    <row r="59" spans="1:30" ht="15.75" x14ac:dyDescent="0.25">
      <c r="A59" s="66">
        <f t="shared" si="8"/>
        <v>46113</v>
      </c>
      <c r="B59" s="49">
        <v>8.9700000000000006</v>
      </c>
      <c r="C59" s="49">
        <v>7.97</v>
      </c>
      <c r="D59" s="49">
        <v>7.35</v>
      </c>
      <c r="E59" s="49">
        <v>7.02</v>
      </c>
      <c r="F59" s="49">
        <v>7.02</v>
      </c>
      <c r="G59" s="49">
        <v>7.04</v>
      </c>
      <c r="H59" s="49">
        <v>7.93</v>
      </c>
      <c r="I59" s="49">
        <v>5.69</v>
      </c>
      <c r="J59" s="49">
        <v>7.06</v>
      </c>
      <c r="K59" s="49">
        <v>8.3800000000000008</v>
      </c>
      <c r="L59" s="49">
        <v>9.39</v>
      </c>
      <c r="M59" s="49">
        <v>10.44</v>
      </c>
      <c r="N59" s="49">
        <v>10.95</v>
      </c>
      <c r="O59" s="49">
        <v>10.69</v>
      </c>
      <c r="P59" s="49">
        <v>10.45</v>
      </c>
      <c r="Q59" s="49">
        <v>9.81</v>
      </c>
      <c r="R59" s="49">
        <v>9.67</v>
      </c>
      <c r="S59" s="49">
        <v>14.17</v>
      </c>
      <c r="T59" s="49">
        <v>14.83</v>
      </c>
      <c r="U59" s="49">
        <v>15.56</v>
      </c>
      <c r="V59" s="49">
        <v>15.02</v>
      </c>
      <c r="W59" s="49">
        <v>13.79</v>
      </c>
      <c r="X59" s="49">
        <v>12</v>
      </c>
      <c r="Y59" s="49">
        <v>10.3</v>
      </c>
      <c r="Z59" s="50">
        <f t="shared" si="9"/>
        <v>241.5</v>
      </c>
      <c r="AA59" s="51">
        <v>0</v>
      </c>
      <c r="AB59" s="67">
        <f t="shared" si="10"/>
        <v>0</v>
      </c>
      <c r="AD59" s="72" t="s">
        <v>51</v>
      </c>
    </row>
    <row r="60" spans="1:30" ht="15.75" x14ac:dyDescent="0.25">
      <c r="A60" s="66">
        <f t="shared" si="8"/>
        <v>46143</v>
      </c>
      <c r="B60" s="49">
        <v>8.07</v>
      </c>
      <c r="C60" s="49">
        <v>7.24</v>
      </c>
      <c r="D60" s="49">
        <v>6.85</v>
      </c>
      <c r="E60" s="49">
        <v>6.59</v>
      </c>
      <c r="F60" s="49">
        <v>6.68</v>
      </c>
      <c r="G60" s="49">
        <v>6.76</v>
      </c>
      <c r="H60" s="49">
        <v>7.99</v>
      </c>
      <c r="I60" s="49">
        <v>6.02</v>
      </c>
      <c r="J60" s="49">
        <v>7.79</v>
      </c>
      <c r="K60" s="49">
        <v>9.01</v>
      </c>
      <c r="L60" s="49">
        <v>9.89</v>
      </c>
      <c r="M60" s="49">
        <v>11.33</v>
      </c>
      <c r="N60" s="49">
        <v>12.29</v>
      </c>
      <c r="O60" s="49">
        <v>11.87</v>
      </c>
      <c r="P60" s="49">
        <v>10.74</v>
      </c>
      <c r="Q60" s="49">
        <v>10.3</v>
      </c>
      <c r="R60" s="49">
        <v>10.1</v>
      </c>
      <c r="S60" s="49">
        <v>14.41</v>
      </c>
      <c r="T60" s="49">
        <v>14.66</v>
      </c>
      <c r="U60" s="49">
        <v>16.07</v>
      </c>
      <c r="V60" s="49">
        <v>15.39</v>
      </c>
      <c r="W60" s="49">
        <v>13.95</v>
      </c>
      <c r="X60" s="49">
        <v>11.71</v>
      </c>
      <c r="Y60" s="49">
        <v>9.73</v>
      </c>
      <c r="Z60" s="50">
        <f t="shared" si="9"/>
        <v>245.44</v>
      </c>
      <c r="AA60" s="51">
        <v>1</v>
      </c>
      <c r="AB60" s="67">
        <f t="shared" si="10"/>
        <v>245.44</v>
      </c>
      <c r="AD60" s="72" t="s">
        <v>51</v>
      </c>
    </row>
    <row r="61" spans="1:30" ht="15.75" x14ac:dyDescent="0.25">
      <c r="A61" s="66">
        <f t="shared" si="8"/>
        <v>46174</v>
      </c>
      <c r="B61" s="49">
        <v>8.2200000000000006</v>
      </c>
      <c r="C61" s="49">
        <v>7.3</v>
      </c>
      <c r="D61" s="49">
        <v>6.78</v>
      </c>
      <c r="E61" s="49">
        <v>6.56</v>
      </c>
      <c r="F61" s="49">
        <v>6.62</v>
      </c>
      <c r="G61" s="49">
        <v>6.51</v>
      </c>
      <c r="H61" s="49">
        <v>7.82</v>
      </c>
      <c r="I61" s="49">
        <v>5.64</v>
      </c>
      <c r="J61" s="49">
        <v>7.15</v>
      </c>
      <c r="K61" s="49">
        <v>8.56</v>
      </c>
      <c r="L61" s="49">
        <v>9.58</v>
      </c>
      <c r="M61" s="49">
        <v>10.68</v>
      </c>
      <c r="N61" s="49">
        <v>11.48</v>
      </c>
      <c r="O61" s="49">
        <v>11.34</v>
      </c>
      <c r="P61" s="49">
        <v>10.65</v>
      </c>
      <c r="Q61" s="49">
        <v>10.32</v>
      </c>
      <c r="R61" s="49">
        <v>10.050000000000001</v>
      </c>
      <c r="S61" s="49">
        <v>14.48</v>
      </c>
      <c r="T61" s="49">
        <v>14.95</v>
      </c>
      <c r="U61" s="49">
        <v>16.260000000000002</v>
      </c>
      <c r="V61" s="49">
        <v>15.6</v>
      </c>
      <c r="W61" s="49">
        <v>14.05</v>
      </c>
      <c r="X61" s="49">
        <v>11.88</v>
      </c>
      <c r="Y61" s="49">
        <v>9.84</v>
      </c>
      <c r="Z61" s="50">
        <f t="shared" si="9"/>
        <v>242.32</v>
      </c>
      <c r="AA61" s="51">
        <v>3</v>
      </c>
      <c r="AB61" s="67">
        <f t="shared" si="10"/>
        <v>726.96</v>
      </c>
      <c r="AD61" s="72" t="s">
        <v>51</v>
      </c>
    </row>
    <row r="62" spans="1:30" ht="15.75" x14ac:dyDescent="0.25">
      <c r="A62" s="66">
        <f t="shared" si="8"/>
        <v>46204</v>
      </c>
      <c r="B62" s="49">
        <v>8.7100000000000009</v>
      </c>
      <c r="C62" s="49">
        <v>7.78</v>
      </c>
      <c r="D62" s="49">
        <v>7.18</v>
      </c>
      <c r="E62" s="49">
        <v>6.87</v>
      </c>
      <c r="F62" s="49">
        <v>6.81</v>
      </c>
      <c r="G62" s="49">
        <v>6.78</v>
      </c>
      <c r="H62" s="49">
        <v>7.86</v>
      </c>
      <c r="I62" s="49">
        <v>5.7</v>
      </c>
      <c r="J62" s="49">
        <v>7.13</v>
      </c>
      <c r="K62" s="49">
        <v>8.41</v>
      </c>
      <c r="L62" s="49">
        <v>9.69</v>
      </c>
      <c r="M62" s="49">
        <v>10.97</v>
      </c>
      <c r="N62" s="49">
        <v>11.71</v>
      </c>
      <c r="O62" s="49">
        <v>11.14</v>
      </c>
      <c r="P62" s="49">
        <v>9.8800000000000008</v>
      </c>
      <c r="Q62" s="49">
        <v>9.25</v>
      </c>
      <c r="R62" s="49">
        <v>8.99</v>
      </c>
      <c r="S62" s="49">
        <v>13.06</v>
      </c>
      <c r="T62" s="49">
        <v>13.26</v>
      </c>
      <c r="U62" s="49">
        <v>15.18</v>
      </c>
      <c r="V62" s="49">
        <v>14.71</v>
      </c>
      <c r="W62" s="49">
        <v>13.45</v>
      </c>
      <c r="X62" s="49">
        <v>11.51</v>
      </c>
      <c r="Y62" s="49">
        <v>9.5399999999999991</v>
      </c>
      <c r="Z62" s="50">
        <f t="shared" si="9"/>
        <v>235.57</v>
      </c>
      <c r="AA62" s="51">
        <v>1</v>
      </c>
      <c r="AB62" s="67">
        <f t="shared" si="10"/>
        <v>235.57</v>
      </c>
      <c r="AD62" s="72" t="s">
        <v>51</v>
      </c>
    </row>
    <row r="63" spans="1:30" ht="15.75" x14ac:dyDescent="0.25">
      <c r="A63" s="66">
        <f t="shared" si="8"/>
        <v>46235</v>
      </c>
      <c r="B63" s="49">
        <v>8.57</v>
      </c>
      <c r="C63" s="49">
        <v>7.7</v>
      </c>
      <c r="D63" s="49">
        <v>7.18</v>
      </c>
      <c r="E63" s="49">
        <v>6.97</v>
      </c>
      <c r="F63" s="49">
        <v>6.89</v>
      </c>
      <c r="G63" s="49">
        <v>7.16</v>
      </c>
      <c r="H63" s="49">
        <v>7.97</v>
      </c>
      <c r="I63" s="49">
        <v>5.83</v>
      </c>
      <c r="J63" s="49">
        <v>7.51</v>
      </c>
      <c r="K63" s="49">
        <v>8.93</v>
      </c>
      <c r="L63" s="49">
        <v>10.23</v>
      </c>
      <c r="M63" s="49">
        <v>11.32</v>
      </c>
      <c r="N63" s="49">
        <v>11.81</v>
      </c>
      <c r="O63" s="49">
        <v>11.65</v>
      </c>
      <c r="P63" s="49">
        <v>10.78</v>
      </c>
      <c r="Q63" s="49">
        <v>10.14</v>
      </c>
      <c r="R63" s="49">
        <v>9.9700000000000006</v>
      </c>
      <c r="S63" s="49">
        <v>13.98</v>
      </c>
      <c r="T63" s="49">
        <v>14.31</v>
      </c>
      <c r="U63" s="49">
        <v>15.89</v>
      </c>
      <c r="V63" s="49">
        <v>15.18</v>
      </c>
      <c r="W63" s="49">
        <v>13.7</v>
      </c>
      <c r="X63" s="49">
        <v>11.51</v>
      </c>
      <c r="Y63" s="49">
        <v>9.69</v>
      </c>
      <c r="Z63" s="50">
        <f t="shared" si="9"/>
        <v>244.87</v>
      </c>
      <c r="AA63" s="51">
        <v>1</v>
      </c>
      <c r="AB63" s="67">
        <f t="shared" si="10"/>
        <v>244.87</v>
      </c>
      <c r="AD63" s="72" t="s">
        <v>51</v>
      </c>
    </row>
    <row r="64" spans="1:30" ht="15.75" x14ac:dyDescent="0.25">
      <c r="A64" s="66">
        <f t="shared" si="8"/>
        <v>46266</v>
      </c>
      <c r="B64" s="49">
        <v>8.7899999999999991</v>
      </c>
      <c r="C64" s="49">
        <v>7.91</v>
      </c>
      <c r="D64" s="49">
        <v>7.35</v>
      </c>
      <c r="E64" s="49">
        <v>6.95</v>
      </c>
      <c r="F64" s="49">
        <v>6.89</v>
      </c>
      <c r="G64" s="49">
        <v>6.82</v>
      </c>
      <c r="H64" s="49">
        <v>7.73</v>
      </c>
      <c r="I64" s="49">
        <v>5.6</v>
      </c>
      <c r="J64" s="49">
        <v>7.01</v>
      </c>
      <c r="K64" s="49">
        <v>8.36</v>
      </c>
      <c r="L64" s="49">
        <v>9.27</v>
      </c>
      <c r="M64" s="49">
        <v>10.25</v>
      </c>
      <c r="N64" s="49">
        <v>10.69</v>
      </c>
      <c r="O64" s="49">
        <v>10.57</v>
      </c>
      <c r="P64" s="49">
        <v>10.02</v>
      </c>
      <c r="Q64" s="49">
        <v>9.73</v>
      </c>
      <c r="R64" s="49">
        <v>9.65</v>
      </c>
      <c r="S64" s="49">
        <v>13.74</v>
      </c>
      <c r="T64" s="49">
        <v>14.89</v>
      </c>
      <c r="U64" s="49">
        <v>15.64</v>
      </c>
      <c r="V64" s="49">
        <v>15.12</v>
      </c>
      <c r="W64" s="49">
        <v>13.76</v>
      </c>
      <c r="X64" s="49">
        <v>11.72</v>
      </c>
      <c r="Y64" s="49">
        <v>9.7799999999999994</v>
      </c>
      <c r="Z64" s="50">
        <f t="shared" si="9"/>
        <v>238.24</v>
      </c>
      <c r="AA64" s="51">
        <v>0</v>
      </c>
      <c r="AB64" s="67">
        <f t="shared" si="10"/>
        <v>0</v>
      </c>
      <c r="AD64" s="72" t="s">
        <v>51</v>
      </c>
    </row>
    <row r="65" spans="1:30" ht="15.75" x14ac:dyDescent="0.25">
      <c r="A65" s="66">
        <f t="shared" si="8"/>
        <v>46296</v>
      </c>
      <c r="B65" s="49">
        <v>8.57</v>
      </c>
      <c r="C65" s="49">
        <v>7.68</v>
      </c>
      <c r="D65" s="49">
        <v>7.15</v>
      </c>
      <c r="E65" s="49">
        <v>6.84</v>
      </c>
      <c r="F65" s="49">
        <v>6.78</v>
      </c>
      <c r="G65" s="49">
        <v>6.44</v>
      </c>
      <c r="H65" s="49">
        <v>7.72</v>
      </c>
      <c r="I65" s="49">
        <v>5.67</v>
      </c>
      <c r="J65" s="49">
        <v>7.2</v>
      </c>
      <c r="K65" s="49">
        <v>8.68</v>
      </c>
      <c r="L65" s="49">
        <v>9.89</v>
      </c>
      <c r="M65" s="49">
        <v>11.22</v>
      </c>
      <c r="N65" s="49">
        <v>11.99</v>
      </c>
      <c r="O65" s="49">
        <v>11.45</v>
      </c>
      <c r="P65" s="49">
        <v>10.38</v>
      </c>
      <c r="Q65" s="49">
        <v>9.69</v>
      </c>
      <c r="R65" s="49">
        <v>9.6999999999999993</v>
      </c>
      <c r="S65" s="49">
        <v>14.37</v>
      </c>
      <c r="T65" s="49">
        <v>15.89</v>
      </c>
      <c r="U65" s="49">
        <v>15.89</v>
      </c>
      <c r="V65" s="49">
        <v>15.24</v>
      </c>
      <c r="W65" s="49">
        <v>13.89</v>
      </c>
      <c r="X65" s="49">
        <v>11.89</v>
      </c>
      <c r="Y65" s="49">
        <v>9.74</v>
      </c>
      <c r="Z65" s="50">
        <f t="shared" si="9"/>
        <v>243.95999999999998</v>
      </c>
      <c r="AA65" s="51">
        <v>1</v>
      </c>
      <c r="AB65" s="67">
        <f t="shared" si="10"/>
        <v>243.95999999999998</v>
      </c>
      <c r="AD65" s="72" t="s">
        <v>51</v>
      </c>
    </row>
    <row r="66" spans="1:30" ht="15.75" x14ac:dyDescent="0.25">
      <c r="A66" s="66">
        <f t="shared" si="8"/>
        <v>46327</v>
      </c>
      <c r="B66" s="49">
        <v>8.2899999999999991</v>
      </c>
      <c r="C66" s="49">
        <v>7.38</v>
      </c>
      <c r="D66" s="49">
        <v>6.92</v>
      </c>
      <c r="E66" s="49">
        <v>6.65</v>
      </c>
      <c r="F66" s="49">
        <v>6.69</v>
      </c>
      <c r="G66" s="49">
        <v>6.77</v>
      </c>
      <c r="H66" s="49">
        <v>7.72</v>
      </c>
      <c r="I66" s="49">
        <v>5.7</v>
      </c>
      <c r="J66" s="49">
        <v>7.19</v>
      </c>
      <c r="K66" s="49">
        <v>8.6300000000000008</v>
      </c>
      <c r="L66" s="49">
        <v>9.8800000000000008</v>
      </c>
      <c r="M66" s="49">
        <v>10.68</v>
      </c>
      <c r="N66" s="49">
        <v>11.36</v>
      </c>
      <c r="O66" s="49">
        <v>11.17</v>
      </c>
      <c r="P66" s="49">
        <v>10.63</v>
      </c>
      <c r="Q66" s="49">
        <v>10.31</v>
      </c>
      <c r="R66" s="49">
        <v>10.31</v>
      </c>
      <c r="S66" s="49">
        <v>14.85</v>
      </c>
      <c r="T66" s="49">
        <v>16.010000000000002</v>
      </c>
      <c r="U66" s="49">
        <v>15.91</v>
      </c>
      <c r="V66" s="49">
        <v>15.34</v>
      </c>
      <c r="W66" s="49">
        <v>14.12</v>
      </c>
      <c r="X66" s="49">
        <v>12.1</v>
      </c>
      <c r="Y66" s="49">
        <v>9.9700000000000006</v>
      </c>
      <c r="Z66" s="50">
        <f t="shared" si="9"/>
        <v>244.57999999999996</v>
      </c>
      <c r="AA66" s="51">
        <v>2</v>
      </c>
      <c r="AB66" s="67">
        <f t="shared" si="10"/>
        <v>489.15999999999991</v>
      </c>
      <c r="AD66" s="72" t="s">
        <v>51</v>
      </c>
    </row>
    <row r="67" spans="1:30" ht="16.5" thickBot="1" x14ac:dyDescent="0.3">
      <c r="A67" s="68">
        <f t="shared" si="8"/>
        <v>46357</v>
      </c>
      <c r="B67" s="52">
        <v>9.68</v>
      </c>
      <c r="C67" s="52">
        <v>8.69</v>
      </c>
      <c r="D67" s="52">
        <v>8.0299999999999994</v>
      </c>
      <c r="E67" s="52">
        <v>7.57</v>
      </c>
      <c r="F67" s="52">
        <v>7.43</v>
      </c>
      <c r="G67" s="52">
        <v>7.45</v>
      </c>
      <c r="H67" s="52">
        <v>8.11</v>
      </c>
      <c r="I67" s="52">
        <v>5.67</v>
      </c>
      <c r="J67" s="52">
        <v>6.85</v>
      </c>
      <c r="K67" s="52">
        <v>8.31</v>
      </c>
      <c r="L67" s="52">
        <v>9.5299999999999994</v>
      </c>
      <c r="M67" s="52">
        <v>10.51</v>
      </c>
      <c r="N67" s="52">
        <v>11.17</v>
      </c>
      <c r="O67" s="52">
        <v>11.23</v>
      </c>
      <c r="P67" s="52">
        <v>10.77</v>
      </c>
      <c r="Q67" s="52">
        <v>10.45</v>
      </c>
      <c r="R67" s="52">
        <v>10.17</v>
      </c>
      <c r="S67" s="52">
        <v>14.41</v>
      </c>
      <c r="T67" s="52">
        <v>15.68</v>
      </c>
      <c r="U67" s="52">
        <v>15.66</v>
      </c>
      <c r="V67" s="52">
        <v>15.08</v>
      </c>
      <c r="W67" s="52">
        <v>14.12</v>
      </c>
      <c r="X67" s="52">
        <v>12.62</v>
      </c>
      <c r="Y67" s="52">
        <v>10.86</v>
      </c>
      <c r="Z67" s="53">
        <f t="shared" si="9"/>
        <v>250.05</v>
      </c>
      <c r="AA67" s="54">
        <v>0</v>
      </c>
      <c r="AB67" s="69">
        <f t="shared" si="10"/>
        <v>0</v>
      </c>
      <c r="AD67" s="72" t="s">
        <v>51</v>
      </c>
    </row>
    <row r="68" spans="1:30" ht="16.5" thickBot="1" x14ac:dyDescent="0.3">
      <c r="A68"/>
      <c r="B68" s="70"/>
      <c r="C68" s="60"/>
      <c r="D68" s="60"/>
      <c r="E68" s="60"/>
      <c r="F68" s="60"/>
      <c r="G68" s="60"/>
      <c r="H68" s="60"/>
      <c r="I68" s="60"/>
      <c r="J68" s="60"/>
      <c r="K68" s="60"/>
      <c r="L68" s="60"/>
      <c r="M68" s="60"/>
      <c r="N68" s="60"/>
      <c r="O68" s="60"/>
      <c r="P68" s="60"/>
      <c r="Q68" s="60"/>
      <c r="R68" s="60"/>
      <c r="S68" s="60"/>
      <c r="T68" s="60"/>
      <c r="U68" s="60"/>
      <c r="V68" s="60"/>
      <c r="W68" s="60"/>
      <c r="X68" s="60"/>
      <c r="Y68" s="60"/>
      <c r="Z68" s="58"/>
      <c r="AA68" s="38"/>
      <c r="AB68"/>
    </row>
    <row r="69" spans="1:30" ht="16.5" thickBot="1" x14ac:dyDescent="0.3">
      <c r="A69" s="36" t="s">
        <v>37</v>
      </c>
      <c r="B69" s="60"/>
      <c r="C69" s="60"/>
      <c r="D69" s="60"/>
      <c r="E69" s="71"/>
      <c r="F69" s="60"/>
      <c r="G69" s="60"/>
      <c r="H69" s="60"/>
      <c r="I69" s="60"/>
      <c r="J69" s="60"/>
      <c r="K69" s="60"/>
      <c r="L69" s="60"/>
      <c r="M69" s="60"/>
      <c r="N69" s="60"/>
      <c r="O69" s="60"/>
      <c r="P69" s="60"/>
      <c r="Q69" s="60"/>
      <c r="R69" s="60"/>
      <c r="S69" s="60"/>
      <c r="T69" s="60"/>
      <c r="U69" s="60"/>
      <c r="V69" s="60"/>
      <c r="W69" s="60"/>
      <c r="X69" s="60"/>
      <c r="Y69" s="60"/>
      <c r="Z69" s="58"/>
      <c r="AA69" s="38"/>
      <c r="AB69"/>
    </row>
    <row r="70" spans="1:30" ht="16.5" thickBot="1" x14ac:dyDescent="0.3">
      <c r="A70"/>
      <c r="B70" s="70"/>
      <c r="C70" s="60"/>
      <c r="D70" s="60"/>
      <c r="E70" s="60"/>
      <c r="F70" s="60"/>
      <c r="G70" s="60"/>
      <c r="H70" s="60"/>
      <c r="I70" s="60"/>
      <c r="J70" s="60"/>
      <c r="K70" s="60"/>
      <c r="L70" s="60"/>
      <c r="M70" s="60"/>
      <c r="N70" s="60"/>
      <c r="O70" s="60"/>
      <c r="P70" s="60"/>
      <c r="Q70" s="60"/>
      <c r="R70" s="60"/>
      <c r="S70" s="60"/>
      <c r="T70" s="60"/>
      <c r="U70" s="60"/>
      <c r="V70" s="60"/>
      <c r="W70" s="60"/>
      <c r="X70" s="60"/>
      <c r="Y70" s="60"/>
      <c r="Z70" s="58"/>
      <c r="AA70"/>
      <c r="AB70"/>
    </row>
    <row r="71" spans="1:30" ht="15.75" thickBot="1" x14ac:dyDescent="0.25">
      <c r="A71" s="61" t="s">
        <v>11</v>
      </c>
      <c r="B71" s="62" t="s">
        <v>12</v>
      </c>
      <c r="C71" s="62" t="s">
        <v>13</v>
      </c>
      <c r="D71" s="62" t="s">
        <v>14</v>
      </c>
      <c r="E71" s="62" t="s">
        <v>15</v>
      </c>
      <c r="F71" s="62" t="s">
        <v>16</v>
      </c>
      <c r="G71" s="62" t="s">
        <v>17</v>
      </c>
      <c r="H71" s="62" t="s">
        <v>18</v>
      </c>
      <c r="I71" s="62" t="s">
        <v>19</v>
      </c>
      <c r="J71" s="62" t="s">
        <v>20</v>
      </c>
      <c r="K71" s="62" t="s">
        <v>21</v>
      </c>
      <c r="L71" s="62" t="s">
        <v>22</v>
      </c>
      <c r="M71" s="62" t="s">
        <v>23</v>
      </c>
      <c r="N71" s="62" t="s">
        <v>24</v>
      </c>
      <c r="O71" s="62" t="s">
        <v>25</v>
      </c>
      <c r="P71" s="62" t="s">
        <v>26</v>
      </c>
      <c r="Q71" s="62" t="s">
        <v>27</v>
      </c>
      <c r="R71" s="62" t="s">
        <v>28</v>
      </c>
      <c r="S71" s="62" t="s">
        <v>29</v>
      </c>
      <c r="T71" s="62" t="s">
        <v>30</v>
      </c>
      <c r="U71" s="62" t="s">
        <v>31</v>
      </c>
      <c r="V71" s="62" t="s">
        <v>32</v>
      </c>
      <c r="W71" s="62" t="s">
        <v>33</v>
      </c>
      <c r="X71" s="62" t="s">
        <v>34</v>
      </c>
      <c r="Y71" s="62" t="s">
        <v>35</v>
      </c>
      <c r="Z71" s="62" t="s">
        <v>7</v>
      </c>
      <c r="AA71" s="62" t="s">
        <v>36</v>
      </c>
      <c r="AB71" s="63"/>
      <c r="AD71" s="73"/>
    </row>
    <row r="72" spans="1:30" ht="15.75" x14ac:dyDescent="0.25">
      <c r="A72" s="64">
        <f t="shared" ref="A72:A83" si="11">+A56</f>
        <v>46023</v>
      </c>
      <c r="B72" s="46">
        <f t="shared" ref="B72:Y72" si="12">+B8*$AA8+B24*$AA24+B40*$AA40+B56*$AA56</f>
        <v>290.82</v>
      </c>
      <c r="C72" s="46">
        <f t="shared" si="12"/>
        <v>261.56</v>
      </c>
      <c r="D72" s="46">
        <f t="shared" si="12"/>
        <v>243.99999999999997</v>
      </c>
      <c r="E72" s="46">
        <f t="shared" si="12"/>
        <v>236.95000000000002</v>
      </c>
      <c r="F72" s="46">
        <f t="shared" si="12"/>
        <v>242.68999999999994</v>
      </c>
      <c r="G72" s="46">
        <f t="shared" si="12"/>
        <v>267.90999999999997</v>
      </c>
      <c r="H72" s="46">
        <f t="shared" si="12"/>
        <v>318.07</v>
      </c>
      <c r="I72" s="46">
        <f t="shared" si="12"/>
        <v>253.99999999999997</v>
      </c>
      <c r="J72" s="46">
        <f t="shared" si="12"/>
        <v>309.53999999999996</v>
      </c>
      <c r="K72" s="46">
        <f t="shared" si="12"/>
        <v>355.41</v>
      </c>
      <c r="L72" s="46">
        <f t="shared" si="12"/>
        <v>396.44000000000005</v>
      </c>
      <c r="M72" s="46">
        <f t="shared" si="12"/>
        <v>434.23</v>
      </c>
      <c r="N72" s="46">
        <f t="shared" si="12"/>
        <v>439.65000000000003</v>
      </c>
      <c r="O72" s="46">
        <f t="shared" si="12"/>
        <v>431.85</v>
      </c>
      <c r="P72" s="46">
        <f t="shared" si="12"/>
        <v>432.12</v>
      </c>
      <c r="Q72" s="46">
        <f t="shared" si="12"/>
        <v>428.45</v>
      </c>
      <c r="R72" s="46">
        <f t="shared" si="12"/>
        <v>417.88000000000005</v>
      </c>
      <c r="S72" s="46">
        <f t="shared" si="12"/>
        <v>535.31999999999994</v>
      </c>
      <c r="T72" s="46">
        <f t="shared" si="12"/>
        <v>551.02</v>
      </c>
      <c r="U72" s="46">
        <f t="shared" si="12"/>
        <v>568.63</v>
      </c>
      <c r="V72" s="46">
        <f t="shared" si="12"/>
        <v>542.5100000000001</v>
      </c>
      <c r="W72" s="46">
        <f t="shared" si="12"/>
        <v>497.83999999999992</v>
      </c>
      <c r="X72" s="46">
        <f t="shared" si="12"/>
        <v>431.76000000000005</v>
      </c>
      <c r="Y72" s="46">
        <f t="shared" si="12"/>
        <v>359.44</v>
      </c>
      <c r="Z72" s="47">
        <f t="shared" ref="Z72:Z83" si="13">SUM(B72:Y72)</f>
        <v>9248.09</v>
      </c>
      <c r="AA72" s="48">
        <f t="shared" ref="AA72:AA83" si="14">AA8+AA24+AA40+AA56</f>
        <v>31</v>
      </c>
      <c r="AB72" s="65">
        <f t="shared" ref="AB72:AB83" si="15">+AB8+AB24+AB40+AB56</f>
        <v>9248.09</v>
      </c>
      <c r="AD72" s="73"/>
    </row>
    <row r="73" spans="1:30" ht="15.75" x14ac:dyDescent="0.25">
      <c r="A73" s="66">
        <f t="shared" si="11"/>
        <v>46054</v>
      </c>
      <c r="B73" s="49">
        <f t="shared" ref="B73:Y73" si="16">+B9*$AA9+B25*$AA25+B41*$AA41+B57*$AA57</f>
        <v>253.36</v>
      </c>
      <c r="C73" s="49">
        <f t="shared" si="16"/>
        <v>229.64000000000001</v>
      </c>
      <c r="D73" s="49">
        <f t="shared" si="16"/>
        <v>215.88</v>
      </c>
      <c r="E73" s="49">
        <f t="shared" si="16"/>
        <v>210.76000000000002</v>
      </c>
      <c r="F73" s="49">
        <f t="shared" si="16"/>
        <v>220.12</v>
      </c>
      <c r="G73" s="49">
        <f t="shared" si="16"/>
        <v>259.44</v>
      </c>
      <c r="H73" s="49">
        <f t="shared" si="16"/>
        <v>311.76</v>
      </c>
      <c r="I73" s="49">
        <f t="shared" si="16"/>
        <v>252.6</v>
      </c>
      <c r="J73" s="49">
        <f t="shared" si="16"/>
        <v>297.39999999999998</v>
      </c>
      <c r="K73" s="49">
        <f t="shared" si="16"/>
        <v>333.84000000000003</v>
      </c>
      <c r="L73" s="49">
        <f t="shared" si="16"/>
        <v>367.6</v>
      </c>
      <c r="M73" s="49">
        <f t="shared" si="16"/>
        <v>397.80000000000007</v>
      </c>
      <c r="N73" s="49">
        <f t="shared" si="16"/>
        <v>391.72</v>
      </c>
      <c r="O73" s="49">
        <f t="shared" si="16"/>
        <v>388.44</v>
      </c>
      <c r="P73" s="49">
        <f t="shared" si="16"/>
        <v>394.04</v>
      </c>
      <c r="Q73" s="49">
        <f t="shared" si="16"/>
        <v>392.76</v>
      </c>
      <c r="R73" s="49">
        <f t="shared" si="16"/>
        <v>383.28</v>
      </c>
      <c r="S73" s="49">
        <f t="shared" si="16"/>
        <v>472</v>
      </c>
      <c r="T73" s="49">
        <f t="shared" si="16"/>
        <v>470.79999999999995</v>
      </c>
      <c r="U73" s="49">
        <f t="shared" si="16"/>
        <v>496.96</v>
      </c>
      <c r="V73" s="49">
        <f t="shared" si="16"/>
        <v>479.08</v>
      </c>
      <c r="W73" s="49">
        <f t="shared" si="16"/>
        <v>439.32</v>
      </c>
      <c r="X73" s="49">
        <f t="shared" si="16"/>
        <v>376.44</v>
      </c>
      <c r="Y73" s="49">
        <f t="shared" si="16"/>
        <v>311.03999999999996</v>
      </c>
      <c r="Z73" s="50">
        <f t="shared" si="13"/>
        <v>8346.0799999999981</v>
      </c>
      <c r="AA73" s="51">
        <f t="shared" si="14"/>
        <v>28</v>
      </c>
      <c r="AB73" s="67">
        <f t="shared" si="15"/>
        <v>8346.08</v>
      </c>
      <c r="AD73" s="73"/>
    </row>
    <row r="74" spans="1:30" ht="15.75" x14ac:dyDescent="0.25">
      <c r="A74" s="66">
        <f t="shared" si="11"/>
        <v>46082</v>
      </c>
      <c r="B74" s="49">
        <f t="shared" ref="B74:Y74" si="17">+B10*$AA10+B26*$AA26+B42*$AA42+B58*$AA58</f>
        <v>280.08999999999997</v>
      </c>
      <c r="C74" s="49">
        <f t="shared" si="17"/>
        <v>253.3</v>
      </c>
      <c r="D74" s="49">
        <f t="shared" si="17"/>
        <v>239.22</v>
      </c>
      <c r="E74" s="49">
        <f t="shared" si="17"/>
        <v>232.79</v>
      </c>
      <c r="F74" s="49">
        <f t="shared" si="17"/>
        <v>243.14000000000001</v>
      </c>
      <c r="G74" s="49">
        <f t="shared" si="17"/>
        <v>285.76</v>
      </c>
      <c r="H74" s="49">
        <f t="shared" si="17"/>
        <v>339.81000000000006</v>
      </c>
      <c r="I74" s="49">
        <f t="shared" si="17"/>
        <v>277.84000000000003</v>
      </c>
      <c r="J74" s="49">
        <f t="shared" si="17"/>
        <v>328.59999999999997</v>
      </c>
      <c r="K74" s="49">
        <f t="shared" si="17"/>
        <v>366.68</v>
      </c>
      <c r="L74" s="49">
        <f t="shared" si="17"/>
        <v>404.49999999999994</v>
      </c>
      <c r="M74" s="49">
        <f t="shared" si="17"/>
        <v>437.71</v>
      </c>
      <c r="N74" s="49">
        <f t="shared" si="17"/>
        <v>435.89</v>
      </c>
      <c r="O74" s="49">
        <f t="shared" si="17"/>
        <v>428.3</v>
      </c>
      <c r="P74" s="49">
        <f t="shared" si="17"/>
        <v>431.14</v>
      </c>
      <c r="Q74" s="49">
        <f t="shared" si="17"/>
        <v>426.89</v>
      </c>
      <c r="R74" s="49">
        <f t="shared" si="17"/>
        <v>419.11000000000007</v>
      </c>
      <c r="S74" s="49">
        <f t="shared" si="17"/>
        <v>532.03</v>
      </c>
      <c r="T74" s="49">
        <f t="shared" si="17"/>
        <v>536.47</v>
      </c>
      <c r="U74" s="49">
        <f t="shared" si="17"/>
        <v>562.4</v>
      </c>
      <c r="V74" s="49">
        <f t="shared" si="17"/>
        <v>535.19000000000005</v>
      </c>
      <c r="W74" s="49">
        <f t="shared" si="17"/>
        <v>489.42999999999995</v>
      </c>
      <c r="X74" s="49">
        <f t="shared" si="17"/>
        <v>419.59</v>
      </c>
      <c r="Y74" s="49">
        <f t="shared" si="17"/>
        <v>346.59</v>
      </c>
      <c r="Z74" s="50">
        <f t="shared" si="13"/>
        <v>9252.4700000000012</v>
      </c>
      <c r="AA74" s="51">
        <f t="shared" si="14"/>
        <v>31</v>
      </c>
      <c r="AB74" s="67">
        <f t="shared" si="15"/>
        <v>9252.4699999999993</v>
      </c>
      <c r="AD74" s="73"/>
    </row>
    <row r="75" spans="1:30" ht="15.75" x14ac:dyDescent="0.25">
      <c r="A75" s="66">
        <f t="shared" si="11"/>
        <v>46113</v>
      </c>
      <c r="B75" s="49">
        <f t="shared" ref="B75:Y75" si="18">+B11*$AA11+B27*$AA27+B43*$AA43+B59*$AA59</f>
        <v>270.5</v>
      </c>
      <c r="C75" s="49">
        <f t="shared" si="18"/>
        <v>243.38000000000002</v>
      </c>
      <c r="D75" s="49">
        <f t="shared" si="18"/>
        <v>229.18</v>
      </c>
      <c r="E75" s="49">
        <f t="shared" si="18"/>
        <v>222.84</v>
      </c>
      <c r="F75" s="49">
        <f t="shared" si="18"/>
        <v>233.04</v>
      </c>
      <c r="G75" s="49">
        <f t="shared" si="18"/>
        <v>266.35999999999996</v>
      </c>
      <c r="H75" s="49">
        <f t="shared" si="18"/>
        <v>320.86</v>
      </c>
      <c r="I75" s="49">
        <f t="shared" si="18"/>
        <v>266.3</v>
      </c>
      <c r="J75" s="49">
        <f t="shared" si="18"/>
        <v>311.84000000000003</v>
      </c>
      <c r="K75" s="49">
        <f t="shared" si="18"/>
        <v>358.72</v>
      </c>
      <c r="L75" s="49">
        <f t="shared" si="18"/>
        <v>393.62</v>
      </c>
      <c r="M75" s="49">
        <f t="shared" si="18"/>
        <v>426.24</v>
      </c>
      <c r="N75" s="49">
        <f t="shared" si="18"/>
        <v>425.22</v>
      </c>
      <c r="O75" s="49">
        <f t="shared" si="18"/>
        <v>412.78</v>
      </c>
      <c r="P75" s="49">
        <f t="shared" si="18"/>
        <v>408.62</v>
      </c>
      <c r="Q75" s="49">
        <f t="shared" si="18"/>
        <v>405.09999999999997</v>
      </c>
      <c r="R75" s="49">
        <f t="shared" si="18"/>
        <v>397.02</v>
      </c>
      <c r="S75" s="49">
        <f t="shared" si="18"/>
        <v>513.62</v>
      </c>
      <c r="T75" s="49">
        <f t="shared" si="18"/>
        <v>525.14</v>
      </c>
      <c r="U75" s="49">
        <f t="shared" si="18"/>
        <v>541.36</v>
      </c>
      <c r="V75" s="49">
        <f t="shared" si="18"/>
        <v>514.28</v>
      </c>
      <c r="W75" s="49">
        <f t="shared" si="18"/>
        <v>470.09999999999997</v>
      </c>
      <c r="X75" s="49">
        <f t="shared" si="18"/>
        <v>404.44000000000005</v>
      </c>
      <c r="Y75" s="49">
        <f t="shared" si="18"/>
        <v>337.72</v>
      </c>
      <c r="Z75" s="50">
        <f t="shared" si="13"/>
        <v>8898.2800000000007</v>
      </c>
      <c r="AA75" s="51">
        <f t="shared" si="14"/>
        <v>30</v>
      </c>
      <c r="AB75" s="67">
        <f t="shared" si="15"/>
        <v>8898.2800000000007</v>
      </c>
      <c r="AD75" s="73"/>
    </row>
    <row r="76" spans="1:30" ht="15.75" x14ac:dyDescent="0.25">
      <c r="A76" s="66">
        <f t="shared" si="11"/>
        <v>46143</v>
      </c>
      <c r="B76" s="49">
        <f t="shared" ref="B76:Y76" si="19">+B12*$AA12+B28*$AA28+B44*$AA44+B60*$AA60</f>
        <v>278.56</v>
      </c>
      <c r="C76" s="49">
        <f t="shared" si="19"/>
        <v>251.36</v>
      </c>
      <c r="D76" s="49">
        <f t="shared" si="19"/>
        <v>236.88</v>
      </c>
      <c r="E76" s="49">
        <f t="shared" si="19"/>
        <v>229.31</v>
      </c>
      <c r="F76" s="49">
        <f t="shared" si="19"/>
        <v>239.24</v>
      </c>
      <c r="G76" s="49">
        <f t="shared" si="19"/>
        <v>267.81</v>
      </c>
      <c r="H76" s="49">
        <f t="shared" si="19"/>
        <v>330.40999999999997</v>
      </c>
      <c r="I76" s="49">
        <f t="shared" si="19"/>
        <v>272.46999999999997</v>
      </c>
      <c r="J76" s="49">
        <f t="shared" si="19"/>
        <v>326.55</v>
      </c>
      <c r="K76" s="49">
        <f t="shared" si="19"/>
        <v>371.05999999999995</v>
      </c>
      <c r="L76" s="49">
        <f t="shared" si="19"/>
        <v>409.52000000000004</v>
      </c>
      <c r="M76" s="49">
        <f t="shared" si="19"/>
        <v>444.05</v>
      </c>
      <c r="N76" s="49">
        <f t="shared" si="19"/>
        <v>439.21</v>
      </c>
      <c r="O76" s="49">
        <f t="shared" si="19"/>
        <v>427.03</v>
      </c>
      <c r="P76" s="49">
        <f t="shared" si="19"/>
        <v>423.30000000000007</v>
      </c>
      <c r="Q76" s="49">
        <f t="shared" si="19"/>
        <v>419.68</v>
      </c>
      <c r="R76" s="49">
        <f t="shared" si="19"/>
        <v>406.81</v>
      </c>
      <c r="S76" s="49">
        <f t="shared" si="19"/>
        <v>529.73</v>
      </c>
      <c r="T76" s="49">
        <f t="shared" si="19"/>
        <v>541.14</v>
      </c>
      <c r="U76" s="49">
        <f t="shared" si="19"/>
        <v>559.44000000000017</v>
      </c>
      <c r="V76" s="49">
        <f t="shared" si="19"/>
        <v>531.7299999999999</v>
      </c>
      <c r="W76" s="49">
        <f t="shared" si="19"/>
        <v>483.20000000000005</v>
      </c>
      <c r="X76" s="49">
        <f t="shared" si="19"/>
        <v>412.93</v>
      </c>
      <c r="Y76" s="49">
        <f t="shared" si="19"/>
        <v>344.32000000000005</v>
      </c>
      <c r="Z76" s="50">
        <f t="shared" si="13"/>
        <v>9175.7400000000016</v>
      </c>
      <c r="AA76" s="51">
        <f t="shared" si="14"/>
        <v>31</v>
      </c>
      <c r="AB76" s="67">
        <f t="shared" si="15"/>
        <v>9175.74</v>
      </c>
      <c r="AD76" s="73"/>
    </row>
    <row r="77" spans="1:30" ht="15.75" x14ac:dyDescent="0.25">
      <c r="A77" s="66">
        <f t="shared" si="11"/>
        <v>46174</v>
      </c>
      <c r="B77" s="49">
        <f t="shared" ref="B77:Y77" si="20">+B13*$AA13+B29*$AA29+B45*$AA45+B61*$AA61</f>
        <v>264.22000000000003</v>
      </c>
      <c r="C77" s="49">
        <f t="shared" si="20"/>
        <v>237.39999999999998</v>
      </c>
      <c r="D77" s="49">
        <f t="shared" si="20"/>
        <v>222.06</v>
      </c>
      <c r="E77" s="49">
        <f t="shared" si="20"/>
        <v>215.77</v>
      </c>
      <c r="F77" s="49">
        <f t="shared" si="20"/>
        <v>225.71000000000004</v>
      </c>
      <c r="G77" s="49">
        <f t="shared" si="20"/>
        <v>253.26</v>
      </c>
      <c r="H77" s="49">
        <f t="shared" si="20"/>
        <v>314.02</v>
      </c>
      <c r="I77" s="49">
        <f t="shared" si="20"/>
        <v>261.60999999999996</v>
      </c>
      <c r="J77" s="49">
        <f t="shared" si="20"/>
        <v>313.43</v>
      </c>
      <c r="K77" s="49">
        <f t="shared" si="20"/>
        <v>355.46999999999997</v>
      </c>
      <c r="L77" s="49">
        <f t="shared" si="20"/>
        <v>389.14</v>
      </c>
      <c r="M77" s="49">
        <f t="shared" si="20"/>
        <v>422.99</v>
      </c>
      <c r="N77" s="49">
        <f t="shared" si="20"/>
        <v>424.63</v>
      </c>
      <c r="O77" s="49">
        <f t="shared" si="20"/>
        <v>412.79999999999995</v>
      </c>
      <c r="P77" s="49">
        <f t="shared" si="20"/>
        <v>406.84</v>
      </c>
      <c r="Q77" s="49">
        <f t="shared" si="20"/>
        <v>400.36999999999995</v>
      </c>
      <c r="R77" s="49">
        <f t="shared" si="20"/>
        <v>391.34999999999997</v>
      </c>
      <c r="S77" s="49">
        <f t="shared" si="20"/>
        <v>507.65</v>
      </c>
      <c r="T77" s="49">
        <f t="shared" si="20"/>
        <v>517.68999999999994</v>
      </c>
      <c r="U77" s="49">
        <f t="shared" si="20"/>
        <v>544.96999999999991</v>
      </c>
      <c r="V77" s="49">
        <f t="shared" si="20"/>
        <v>517.26</v>
      </c>
      <c r="W77" s="49">
        <f t="shared" si="20"/>
        <v>467.61</v>
      </c>
      <c r="X77" s="49">
        <f t="shared" si="20"/>
        <v>396.41</v>
      </c>
      <c r="Y77" s="49">
        <f t="shared" si="20"/>
        <v>328.76</v>
      </c>
      <c r="Z77" s="50">
        <f t="shared" si="13"/>
        <v>8791.42</v>
      </c>
      <c r="AA77" s="51">
        <f t="shared" si="14"/>
        <v>30</v>
      </c>
      <c r="AB77" s="67">
        <f t="shared" si="15"/>
        <v>8791.4200000000019</v>
      </c>
      <c r="AD77" s="73"/>
    </row>
    <row r="78" spans="1:30" ht="15.75" x14ac:dyDescent="0.25">
      <c r="A78" s="66">
        <f t="shared" si="11"/>
        <v>46204</v>
      </c>
      <c r="B78" s="49">
        <f t="shared" ref="B78:Y78" si="21">+B14*$AA14+B30*$AA30+B46*$AA46+B62*$AA62</f>
        <v>272.08999999999997</v>
      </c>
      <c r="C78" s="49">
        <f t="shared" si="21"/>
        <v>247.06000000000003</v>
      </c>
      <c r="D78" s="49">
        <f t="shared" si="21"/>
        <v>230.98000000000002</v>
      </c>
      <c r="E78" s="49">
        <f t="shared" si="21"/>
        <v>224.49</v>
      </c>
      <c r="F78" s="49">
        <f t="shared" si="21"/>
        <v>235.47</v>
      </c>
      <c r="G78" s="49">
        <f t="shared" si="21"/>
        <v>267.7</v>
      </c>
      <c r="H78" s="49">
        <f t="shared" si="21"/>
        <v>327.28000000000003</v>
      </c>
      <c r="I78" s="49">
        <f t="shared" si="21"/>
        <v>273.76</v>
      </c>
      <c r="J78" s="49">
        <f t="shared" si="21"/>
        <v>329.49</v>
      </c>
      <c r="K78" s="49">
        <f t="shared" si="21"/>
        <v>374.21</v>
      </c>
      <c r="L78" s="49">
        <f t="shared" si="21"/>
        <v>410.04999999999995</v>
      </c>
      <c r="M78" s="49">
        <f t="shared" si="21"/>
        <v>448.85</v>
      </c>
      <c r="N78" s="49">
        <f t="shared" si="21"/>
        <v>445.69</v>
      </c>
      <c r="O78" s="49">
        <f t="shared" si="21"/>
        <v>432.54</v>
      </c>
      <c r="P78" s="49">
        <f t="shared" si="21"/>
        <v>430.66</v>
      </c>
      <c r="Q78" s="49">
        <f t="shared" si="21"/>
        <v>428.06999999999994</v>
      </c>
      <c r="R78" s="49">
        <f t="shared" si="21"/>
        <v>420.37</v>
      </c>
      <c r="S78" s="49">
        <f t="shared" si="21"/>
        <v>531.43999999999994</v>
      </c>
      <c r="T78" s="49">
        <f t="shared" si="21"/>
        <v>529.91999999999996</v>
      </c>
      <c r="U78" s="49">
        <f t="shared" si="21"/>
        <v>564.16</v>
      </c>
      <c r="V78" s="49">
        <f t="shared" si="21"/>
        <v>535.19000000000005</v>
      </c>
      <c r="W78" s="49">
        <f t="shared" si="21"/>
        <v>485.19</v>
      </c>
      <c r="X78" s="49">
        <f t="shared" si="21"/>
        <v>410.65</v>
      </c>
      <c r="Y78" s="49">
        <f t="shared" si="21"/>
        <v>345.06000000000006</v>
      </c>
      <c r="Z78" s="50">
        <f t="shared" si="13"/>
        <v>9200.369999999999</v>
      </c>
      <c r="AA78" s="51">
        <f t="shared" si="14"/>
        <v>31</v>
      </c>
      <c r="AB78" s="67">
        <f t="shared" si="15"/>
        <v>9200.3700000000008</v>
      </c>
      <c r="AD78" s="73"/>
    </row>
    <row r="79" spans="1:30" ht="15.75" x14ac:dyDescent="0.25">
      <c r="A79" s="66">
        <f t="shared" si="11"/>
        <v>46235</v>
      </c>
      <c r="B79" s="49">
        <f t="shared" ref="B79:Y79" si="22">+B15*$AA15+B31*$AA31+B47*$AA47+B63*$AA63</f>
        <v>278.8</v>
      </c>
      <c r="C79" s="49">
        <f t="shared" si="22"/>
        <v>251.69000000000003</v>
      </c>
      <c r="D79" s="49">
        <f t="shared" si="22"/>
        <v>236.41</v>
      </c>
      <c r="E79" s="49">
        <f t="shared" si="22"/>
        <v>229.81</v>
      </c>
      <c r="F79" s="49">
        <f t="shared" si="22"/>
        <v>239.43</v>
      </c>
      <c r="G79" s="49">
        <f t="shared" si="22"/>
        <v>273.26000000000005</v>
      </c>
      <c r="H79" s="49">
        <f t="shared" si="22"/>
        <v>328.43</v>
      </c>
      <c r="I79" s="49">
        <f t="shared" si="22"/>
        <v>271.21999999999997</v>
      </c>
      <c r="J79" s="49">
        <f t="shared" si="22"/>
        <v>324.79000000000002</v>
      </c>
      <c r="K79" s="49">
        <f t="shared" si="22"/>
        <v>366.71000000000004</v>
      </c>
      <c r="L79" s="49">
        <f t="shared" si="22"/>
        <v>407.21000000000004</v>
      </c>
      <c r="M79" s="49">
        <f t="shared" si="22"/>
        <v>442.96</v>
      </c>
      <c r="N79" s="49">
        <f t="shared" si="22"/>
        <v>441.71999999999997</v>
      </c>
      <c r="O79" s="49">
        <f t="shared" si="22"/>
        <v>431.52</v>
      </c>
      <c r="P79" s="49">
        <f t="shared" si="22"/>
        <v>428.21</v>
      </c>
      <c r="Q79" s="49">
        <f t="shared" si="22"/>
        <v>421.00000000000006</v>
      </c>
      <c r="R79" s="49">
        <f t="shared" si="22"/>
        <v>410.77000000000004</v>
      </c>
      <c r="S79" s="49">
        <f t="shared" si="22"/>
        <v>523.54999999999995</v>
      </c>
      <c r="T79" s="49">
        <f t="shared" si="22"/>
        <v>529.54999999999995</v>
      </c>
      <c r="U79" s="49">
        <f t="shared" si="22"/>
        <v>557.66</v>
      </c>
      <c r="V79" s="49">
        <f t="shared" si="22"/>
        <v>528.79</v>
      </c>
      <c r="W79" s="49">
        <f t="shared" si="22"/>
        <v>479.96000000000004</v>
      </c>
      <c r="X79" s="49">
        <f t="shared" si="22"/>
        <v>406.26</v>
      </c>
      <c r="Y79" s="49">
        <f t="shared" si="22"/>
        <v>341.57</v>
      </c>
      <c r="Z79" s="50">
        <f t="shared" si="13"/>
        <v>9151.2800000000007</v>
      </c>
      <c r="AA79" s="51">
        <f t="shared" si="14"/>
        <v>31</v>
      </c>
      <c r="AB79" s="67">
        <f t="shared" si="15"/>
        <v>9151.2800000000025</v>
      </c>
      <c r="AD79" s="73"/>
    </row>
    <row r="80" spans="1:30" ht="15.75" x14ac:dyDescent="0.25">
      <c r="A80" s="66">
        <f t="shared" si="11"/>
        <v>46266</v>
      </c>
      <c r="B80" s="49">
        <f t="shared" ref="B80:Y80" si="23">+B16*$AA16+B32*$AA32+B48*$AA48+B64*$AA64</f>
        <v>263.38</v>
      </c>
      <c r="C80" s="49">
        <f t="shared" si="23"/>
        <v>237.89999999999998</v>
      </c>
      <c r="D80" s="49">
        <f t="shared" si="23"/>
        <v>224.12</v>
      </c>
      <c r="E80" s="49">
        <f t="shared" si="23"/>
        <v>218.24000000000004</v>
      </c>
      <c r="F80" s="49">
        <f t="shared" si="23"/>
        <v>230.06</v>
      </c>
      <c r="G80" s="49">
        <f t="shared" si="23"/>
        <v>266.39999999999998</v>
      </c>
      <c r="H80" s="49">
        <f t="shared" si="23"/>
        <v>325.54000000000002</v>
      </c>
      <c r="I80" s="49">
        <f t="shared" si="23"/>
        <v>271.53999999999996</v>
      </c>
      <c r="J80" s="49">
        <f t="shared" si="23"/>
        <v>312.14000000000004</v>
      </c>
      <c r="K80" s="49">
        <f t="shared" si="23"/>
        <v>354.94</v>
      </c>
      <c r="L80" s="49">
        <f t="shared" si="23"/>
        <v>399.4</v>
      </c>
      <c r="M80" s="49">
        <f t="shared" si="23"/>
        <v>434.16</v>
      </c>
      <c r="N80" s="49">
        <f t="shared" si="23"/>
        <v>427.56</v>
      </c>
      <c r="O80" s="49">
        <f t="shared" si="23"/>
        <v>418.65999999999997</v>
      </c>
      <c r="P80" s="49">
        <f t="shared" si="23"/>
        <v>419.68</v>
      </c>
      <c r="Q80" s="49">
        <f t="shared" si="23"/>
        <v>416.10000000000008</v>
      </c>
      <c r="R80" s="49">
        <f t="shared" si="23"/>
        <v>406.02</v>
      </c>
      <c r="S80" s="49">
        <f t="shared" si="23"/>
        <v>517.14</v>
      </c>
      <c r="T80" s="49">
        <f t="shared" si="23"/>
        <v>535.54</v>
      </c>
      <c r="U80" s="49">
        <f t="shared" si="23"/>
        <v>537.18000000000006</v>
      </c>
      <c r="V80" s="49">
        <f t="shared" si="23"/>
        <v>506.4</v>
      </c>
      <c r="W80" s="49">
        <f t="shared" si="23"/>
        <v>458.82</v>
      </c>
      <c r="X80" s="49">
        <f t="shared" si="23"/>
        <v>386.98</v>
      </c>
      <c r="Y80" s="49">
        <f t="shared" si="23"/>
        <v>323.74</v>
      </c>
      <c r="Z80" s="50">
        <f t="shared" si="13"/>
        <v>8891.64</v>
      </c>
      <c r="AA80" s="51">
        <f t="shared" si="14"/>
        <v>30</v>
      </c>
      <c r="AB80" s="67">
        <f t="shared" si="15"/>
        <v>8891.64</v>
      </c>
      <c r="AD80" s="73"/>
    </row>
    <row r="81" spans="1:30" ht="15.75" x14ac:dyDescent="0.25">
      <c r="A81" s="66">
        <f t="shared" si="11"/>
        <v>46296</v>
      </c>
      <c r="B81" s="49">
        <f t="shared" ref="B81:Y81" si="24">+B17*$AA17+B33*$AA33+B49*$AA49+B65*$AA65</f>
        <v>270.59999999999997</v>
      </c>
      <c r="C81" s="49">
        <f t="shared" si="24"/>
        <v>243.2</v>
      </c>
      <c r="D81" s="49">
        <f t="shared" si="24"/>
        <v>229.51</v>
      </c>
      <c r="E81" s="49">
        <f t="shared" si="24"/>
        <v>224.23000000000002</v>
      </c>
      <c r="F81" s="49">
        <f t="shared" si="24"/>
        <v>232.70000000000002</v>
      </c>
      <c r="G81" s="49">
        <f t="shared" si="24"/>
        <v>250.21</v>
      </c>
      <c r="H81" s="49">
        <f t="shared" si="24"/>
        <v>314.67</v>
      </c>
      <c r="I81" s="49">
        <f t="shared" si="24"/>
        <v>267.62</v>
      </c>
      <c r="J81" s="49">
        <f t="shared" si="24"/>
        <v>327.3</v>
      </c>
      <c r="K81" s="49">
        <f t="shared" si="24"/>
        <v>373.85</v>
      </c>
      <c r="L81" s="49">
        <f t="shared" si="24"/>
        <v>415.26</v>
      </c>
      <c r="M81" s="49">
        <f t="shared" si="24"/>
        <v>450.20000000000005</v>
      </c>
      <c r="N81" s="49">
        <f t="shared" si="24"/>
        <v>448.44000000000005</v>
      </c>
      <c r="O81" s="49">
        <f t="shared" si="24"/>
        <v>437.64000000000004</v>
      </c>
      <c r="P81" s="49">
        <f t="shared" si="24"/>
        <v>436.20000000000005</v>
      </c>
      <c r="Q81" s="49">
        <f t="shared" si="24"/>
        <v>426.73</v>
      </c>
      <c r="R81" s="49">
        <f t="shared" si="24"/>
        <v>417.12</v>
      </c>
      <c r="S81" s="49">
        <f t="shared" si="24"/>
        <v>541.79999999999995</v>
      </c>
      <c r="T81" s="49">
        <f t="shared" si="24"/>
        <v>562.94999999999993</v>
      </c>
      <c r="U81" s="49">
        <f t="shared" si="24"/>
        <v>547.66999999999996</v>
      </c>
      <c r="V81" s="49">
        <f t="shared" si="24"/>
        <v>516.37</v>
      </c>
      <c r="W81" s="49">
        <f t="shared" si="24"/>
        <v>469.26</v>
      </c>
      <c r="X81" s="49">
        <f t="shared" si="24"/>
        <v>403.94</v>
      </c>
      <c r="Y81" s="49">
        <f t="shared" si="24"/>
        <v>339.55</v>
      </c>
      <c r="Z81" s="50">
        <f t="shared" si="13"/>
        <v>9147.02</v>
      </c>
      <c r="AA81" s="51">
        <f t="shared" si="14"/>
        <v>31</v>
      </c>
      <c r="AB81" s="67">
        <f t="shared" si="15"/>
        <v>9147.02</v>
      </c>
      <c r="AD81" s="73"/>
    </row>
    <row r="82" spans="1:30" ht="15.75" x14ac:dyDescent="0.25">
      <c r="A82" s="66">
        <f t="shared" si="11"/>
        <v>46327</v>
      </c>
      <c r="B82" s="49">
        <f t="shared" ref="B82:Y82" si="25">+B18*$AA18+B34*$AA34+B50*$AA50+B66*$AA66</f>
        <v>267.08999999999997</v>
      </c>
      <c r="C82" s="49">
        <f t="shared" si="25"/>
        <v>240.61</v>
      </c>
      <c r="D82" s="49">
        <f t="shared" si="25"/>
        <v>225.49</v>
      </c>
      <c r="E82" s="49">
        <f t="shared" si="25"/>
        <v>218.94</v>
      </c>
      <c r="F82" s="49">
        <f t="shared" si="25"/>
        <v>226.55</v>
      </c>
      <c r="G82" s="49">
        <f t="shared" si="25"/>
        <v>247.11999999999995</v>
      </c>
      <c r="H82" s="49">
        <f t="shared" si="25"/>
        <v>304.08</v>
      </c>
      <c r="I82" s="49">
        <f t="shared" si="25"/>
        <v>257.91999999999996</v>
      </c>
      <c r="J82" s="49">
        <f t="shared" si="25"/>
        <v>311.52</v>
      </c>
      <c r="K82" s="49">
        <f t="shared" si="25"/>
        <v>351.47</v>
      </c>
      <c r="L82" s="49">
        <f t="shared" si="25"/>
        <v>388.55</v>
      </c>
      <c r="M82" s="49">
        <f t="shared" si="25"/>
        <v>422.86000000000007</v>
      </c>
      <c r="N82" s="49">
        <f t="shared" si="25"/>
        <v>425.02</v>
      </c>
      <c r="O82" s="49">
        <f t="shared" si="25"/>
        <v>415.14</v>
      </c>
      <c r="P82" s="49">
        <f t="shared" si="25"/>
        <v>416.88</v>
      </c>
      <c r="Q82" s="49">
        <f t="shared" si="25"/>
        <v>411.39</v>
      </c>
      <c r="R82" s="49">
        <f t="shared" si="25"/>
        <v>403.08</v>
      </c>
      <c r="S82" s="49">
        <f t="shared" si="25"/>
        <v>526.57000000000005</v>
      </c>
      <c r="T82" s="49">
        <f t="shared" si="25"/>
        <v>545.97</v>
      </c>
      <c r="U82" s="49">
        <f t="shared" si="25"/>
        <v>534.5200000000001</v>
      </c>
      <c r="V82" s="49">
        <f t="shared" si="25"/>
        <v>506.02000000000004</v>
      </c>
      <c r="W82" s="49">
        <f t="shared" si="25"/>
        <v>461.07000000000005</v>
      </c>
      <c r="X82" s="49">
        <f t="shared" si="25"/>
        <v>395.01999999999992</v>
      </c>
      <c r="Y82" s="49">
        <f t="shared" si="25"/>
        <v>331.12</v>
      </c>
      <c r="Z82" s="50">
        <f t="shared" si="13"/>
        <v>8834.0000000000018</v>
      </c>
      <c r="AA82" s="51">
        <f t="shared" si="14"/>
        <v>30</v>
      </c>
      <c r="AB82" s="67">
        <f t="shared" si="15"/>
        <v>8834</v>
      </c>
      <c r="AD82" s="73"/>
    </row>
    <row r="83" spans="1:30" ht="16.5" thickBot="1" x14ac:dyDescent="0.3">
      <c r="A83" s="68">
        <f t="shared" si="11"/>
        <v>46357</v>
      </c>
      <c r="B83" s="52">
        <f t="shared" ref="B83:Y83" si="26">+B19*$AA19+B35*$AA35+B51*$AA51+B67*$AA67</f>
        <v>296.39999999999998</v>
      </c>
      <c r="C83" s="52">
        <f t="shared" si="26"/>
        <v>264.92</v>
      </c>
      <c r="D83" s="52">
        <f t="shared" si="26"/>
        <v>246.97000000000003</v>
      </c>
      <c r="E83" s="52">
        <f t="shared" si="26"/>
        <v>238.35000000000002</v>
      </c>
      <c r="F83" s="52">
        <f t="shared" si="26"/>
        <v>243.94</v>
      </c>
      <c r="G83" s="52">
        <f t="shared" si="26"/>
        <v>264.08999999999997</v>
      </c>
      <c r="H83" s="52">
        <f t="shared" si="26"/>
        <v>318.95999999999992</v>
      </c>
      <c r="I83" s="52">
        <f t="shared" si="26"/>
        <v>270.19</v>
      </c>
      <c r="J83" s="52">
        <f t="shared" si="26"/>
        <v>327.62</v>
      </c>
      <c r="K83" s="52">
        <f t="shared" si="26"/>
        <v>369.85</v>
      </c>
      <c r="L83" s="52">
        <f t="shared" si="26"/>
        <v>408.52</v>
      </c>
      <c r="M83" s="52">
        <f t="shared" si="26"/>
        <v>442.78999999999996</v>
      </c>
      <c r="N83" s="52">
        <f t="shared" si="26"/>
        <v>447.92999999999995</v>
      </c>
      <c r="O83" s="52">
        <f t="shared" si="26"/>
        <v>440.64</v>
      </c>
      <c r="P83" s="52">
        <f t="shared" si="26"/>
        <v>438.61</v>
      </c>
      <c r="Q83" s="52">
        <f t="shared" si="26"/>
        <v>432.1</v>
      </c>
      <c r="R83" s="52">
        <f t="shared" si="26"/>
        <v>420.15999999999997</v>
      </c>
      <c r="S83" s="52">
        <f t="shared" si="26"/>
        <v>536.29999999999995</v>
      </c>
      <c r="T83" s="52">
        <f t="shared" si="26"/>
        <v>561.64</v>
      </c>
      <c r="U83" s="52">
        <f t="shared" si="26"/>
        <v>559.25</v>
      </c>
      <c r="V83" s="52">
        <f t="shared" si="26"/>
        <v>530.28</v>
      </c>
      <c r="W83" s="52">
        <f t="shared" si="26"/>
        <v>490.05000000000007</v>
      </c>
      <c r="X83" s="52">
        <f t="shared" si="26"/>
        <v>430.78999999999996</v>
      </c>
      <c r="Y83" s="52">
        <f t="shared" si="26"/>
        <v>367.40999999999997</v>
      </c>
      <c r="Z83" s="53">
        <f t="shared" si="13"/>
        <v>9347.7599999999984</v>
      </c>
      <c r="AA83" s="54">
        <f t="shared" si="14"/>
        <v>31</v>
      </c>
      <c r="AB83" s="69">
        <f t="shared" si="15"/>
        <v>9347.760000000002</v>
      </c>
      <c r="AD83" s="73"/>
    </row>
  </sheetData>
  <conditionalFormatting sqref="B1:Y1048576">
    <cfRule type="cellIs" dxfId="7" priority="2" operator="lessThan">
      <formula>0</formula>
    </cfRule>
  </conditionalFormatting>
  <conditionalFormatting sqref="AA8:AA19">
    <cfRule type="cellIs" dxfId="6" priority="350" operator="lessThan">
      <formula>0</formula>
    </cfRule>
  </conditionalFormatting>
  <conditionalFormatting sqref="AA24:AA35">
    <cfRule type="cellIs" dxfId="5" priority="104" operator="lessThan">
      <formula>0</formula>
    </cfRule>
  </conditionalFormatting>
  <conditionalFormatting sqref="AA40:AA51">
    <cfRule type="cellIs" dxfId="4" priority="78" operator="lessThan">
      <formula>0</formula>
    </cfRule>
  </conditionalFormatting>
  <conditionalFormatting sqref="AA56:AA67">
    <cfRule type="cellIs" dxfId="3" priority="52" operator="lessThan">
      <formula>0</formula>
    </cfRule>
  </conditionalFormatting>
  <conditionalFormatting sqref="AA72:AA83">
    <cfRule type="cellIs" dxfId="2" priority="26" operator="lessThan">
      <formula>0</formula>
    </cfRule>
  </conditionalFormatting>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DDB2-E196-4F71-9E63-CADD074C7F6B}">
  <sheetPr>
    <tabColor theme="9" tint="0.39997558519241921"/>
  </sheetPr>
  <dimension ref="A1:M38"/>
  <sheetViews>
    <sheetView view="pageBreakPreview" zoomScale="60" zoomScaleNormal="100" zoomScalePageLayoutView="30" workbookViewId="0">
      <selection activeCell="G27" sqref="G27"/>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76" t="s">
        <v>0</v>
      </c>
      <c r="E2" s="76"/>
      <c r="F2" s="76"/>
      <c r="G2" s="76"/>
      <c r="H2" s="76"/>
      <c r="I2" s="76"/>
      <c r="J2" s="76"/>
      <c r="K2" s="2"/>
      <c r="L2" s="2"/>
      <c r="M2" s="2"/>
    </row>
    <row r="3" spans="1:13" ht="89.25" customHeight="1" x14ac:dyDescent="0.3">
      <c r="A3" s="2"/>
      <c r="B3" s="2"/>
      <c r="C3" s="77" t="s">
        <v>53</v>
      </c>
      <c r="D3" s="77"/>
      <c r="E3" s="77"/>
      <c r="F3" s="77"/>
      <c r="G3" s="77"/>
      <c r="H3" s="77"/>
      <c r="I3" s="77"/>
      <c r="J3" s="77"/>
      <c r="K3" s="77"/>
      <c r="L3" s="2"/>
      <c r="M3" s="2"/>
    </row>
    <row r="4" spans="1:13" x14ac:dyDescent="0.3">
      <c r="A4" s="2"/>
      <c r="B4" s="2"/>
      <c r="C4" s="3"/>
      <c r="D4" s="78" t="s">
        <v>52</v>
      </c>
      <c r="E4" s="78"/>
      <c r="F4" s="78"/>
      <c r="G4" s="78"/>
      <c r="H4" s="78"/>
      <c r="I4" s="78"/>
      <c r="J4" s="78"/>
      <c r="K4" s="3"/>
      <c r="L4" s="2"/>
      <c r="M4" s="2"/>
    </row>
    <row r="5" spans="1:13" ht="19.5" customHeight="1" x14ac:dyDescent="0.3">
      <c r="A5" s="4"/>
      <c r="B5" s="5"/>
      <c r="C5" s="5"/>
      <c r="D5" s="6"/>
      <c r="E5" s="7"/>
      <c r="F5" s="7"/>
      <c r="G5" s="7"/>
      <c r="H5" s="7"/>
      <c r="I5" s="7"/>
      <c r="J5" s="8"/>
      <c r="K5" s="9"/>
      <c r="L5" s="4"/>
      <c r="M5" s="4"/>
    </row>
    <row r="6" spans="1:13" x14ac:dyDescent="0.3">
      <c r="A6" s="4"/>
      <c r="B6" s="5"/>
      <c r="C6" s="10" t="s">
        <v>2</v>
      </c>
      <c r="D6" s="5"/>
      <c r="E6" s="5"/>
      <c r="G6" s="5"/>
      <c r="H6" s="5"/>
      <c r="I6" s="5"/>
      <c r="J6" s="5"/>
      <c r="K6" s="9"/>
      <c r="L6" s="4"/>
      <c r="M6" s="4"/>
    </row>
    <row r="7" spans="1:13" x14ac:dyDescent="0.3">
      <c r="A7" s="4"/>
      <c r="B7" s="5"/>
      <c r="C7" s="10" t="s">
        <v>3</v>
      </c>
      <c r="D7" s="5"/>
      <c r="E7" s="5"/>
      <c r="G7" s="5"/>
      <c r="H7" s="5"/>
      <c r="I7" s="5"/>
      <c r="J7" s="5"/>
      <c r="K7" s="9"/>
      <c r="L7" s="4"/>
      <c r="M7" s="4"/>
    </row>
    <row r="8" spans="1:13" x14ac:dyDescent="0.3">
      <c r="B8" s="11"/>
      <c r="C8" s="10" t="s">
        <v>4</v>
      </c>
      <c r="D8" s="5"/>
      <c r="E8" s="5"/>
      <c r="G8" s="11"/>
      <c r="H8" s="11"/>
      <c r="I8" s="11"/>
      <c r="J8" s="11"/>
      <c r="K8" s="12"/>
    </row>
    <row r="9" spans="1:13" x14ac:dyDescent="0.3">
      <c r="B9" s="11"/>
      <c r="C9" s="13" t="str">
        <f>"PRODUCTO OFERTADO: "&amp;D4</f>
        <v>PRODUCTO OFERTADO: PRODUCTO No. 2</v>
      </c>
      <c r="D9" s="5"/>
      <c r="E9" s="5"/>
      <c r="G9" s="11"/>
      <c r="H9" s="11"/>
      <c r="I9" s="11"/>
      <c r="J9" s="11"/>
      <c r="K9" s="12"/>
    </row>
    <row r="10" spans="1:13" x14ac:dyDescent="0.3">
      <c r="B10" s="11"/>
      <c r="C10" s="13"/>
      <c r="D10" s="5"/>
      <c r="E10" s="5"/>
      <c r="G10" s="11"/>
      <c r="H10" s="11"/>
      <c r="I10" s="11"/>
      <c r="J10" s="11"/>
      <c r="K10" s="12"/>
    </row>
    <row r="11" spans="1:13" x14ac:dyDescent="0.3">
      <c r="B11" s="11"/>
      <c r="C11" s="10" t="s">
        <v>54</v>
      </c>
      <c r="D11" s="14"/>
      <c r="E11" s="14"/>
      <c r="F11" s="15"/>
      <c r="G11" s="11"/>
      <c r="H11" s="11"/>
      <c r="I11" s="11"/>
      <c r="J11" s="11"/>
      <c r="K11" s="12"/>
    </row>
    <row r="12" spans="1:13" x14ac:dyDescent="0.3">
      <c r="B12" s="16"/>
      <c r="C12" s="15"/>
    </row>
    <row r="13" spans="1:13" x14ac:dyDescent="0.3">
      <c r="F13" s="79" t="str">
        <f>"Oferta " &amp; PROPER(D4)</f>
        <v>Oferta Producto No. 2</v>
      </c>
      <c r="G13" s="79"/>
      <c r="H13" s="79"/>
      <c r="I13" s="79"/>
      <c r="J13" s="79"/>
    </row>
    <row r="14" spans="1:13" ht="72.75" customHeight="1" x14ac:dyDescent="0.3">
      <c r="F14" s="17" t="s">
        <v>5</v>
      </c>
      <c r="G14" s="18" t="s">
        <v>39</v>
      </c>
      <c r="H14" s="18" t="s">
        <v>40</v>
      </c>
      <c r="I14" s="18" t="s">
        <v>41</v>
      </c>
      <c r="J14" s="19" t="s">
        <v>6</v>
      </c>
    </row>
    <row r="15" spans="1:13" x14ac:dyDescent="0.3">
      <c r="A15" s="21">
        <v>22.85</v>
      </c>
      <c r="B15" s="21">
        <v>31</v>
      </c>
      <c r="F15" s="22">
        <f>+'Cantidades Producto No. 2'!A72</f>
        <v>46388</v>
      </c>
      <c r="G15" s="39">
        <f>+'Cantidades Producto No. 2'!AB72</f>
        <v>10296.93</v>
      </c>
      <c r="H15" s="23"/>
      <c r="I15" s="40"/>
      <c r="J15" s="80"/>
      <c r="L15" s="24"/>
      <c r="M15" s="24"/>
    </row>
    <row r="16" spans="1:13" x14ac:dyDescent="0.3">
      <c r="A16" s="20"/>
      <c r="B16" s="21">
        <v>28</v>
      </c>
      <c r="F16" s="22">
        <f>+'Cantidades Producto No. 2'!A73</f>
        <v>46419</v>
      </c>
      <c r="G16" s="39">
        <f>+'Cantidades Producto No. 2'!AB73</f>
        <v>10115.759999999998</v>
      </c>
      <c r="H16" s="23"/>
      <c r="I16" s="40"/>
      <c r="J16" s="81"/>
      <c r="L16" s="24"/>
      <c r="M16" s="24"/>
    </row>
    <row r="17" spans="1:13" x14ac:dyDescent="0.3">
      <c r="A17" s="20"/>
      <c r="B17" s="21">
        <v>31</v>
      </c>
      <c r="F17" s="22">
        <f>+'Cantidades Producto No. 2'!A74</f>
        <v>46447</v>
      </c>
      <c r="G17" s="39">
        <f>+'Cantidades Producto No. 2'!AB74</f>
        <v>10519.320000000002</v>
      </c>
      <c r="H17" s="23"/>
      <c r="I17" s="40"/>
      <c r="J17" s="81"/>
      <c r="L17" s="24"/>
      <c r="M17" s="24"/>
    </row>
    <row r="18" spans="1:13" x14ac:dyDescent="0.3">
      <c r="A18" s="20"/>
      <c r="B18" s="21">
        <v>30</v>
      </c>
      <c r="F18" s="22">
        <f>+'Cantidades Producto No. 2'!A75</f>
        <v>46478</v>
      </c>
      <c r="G18" s="39">
        <f>+'Cantidades Producto No. 2'!AB75</f>
        <v>10817.480000000001</v>
      </c>
      <c r="H18" s="23"/>
      <c r="I18" s="40"/>
      <c r="J18" s="81"/>
      <c r="L18" s="24"/>
      <c r="M18" s="24"/>
    </row>
    <row r="19" spans="1:13" x14ac:dyDescent="0.3">
      <c r="A19" s="20"/>
      <c r="B19" s="21">
        <v>31</v>
      </c>
      <c r="F19" s="22">
        <f>+'Cantidades Producto No. 2'!A76</f>
        <v>46508</v>
      </c>
      <c r="G19" s="39">
        <f>+'Cantidades Producto No. 2'!AB76</f>
        <v>10606.629999999997</v>
      </c>
      <c r="H19" s="23"/>
      <c r="I19" s="40"/>
      <c r="J19" s="81"/>
      <c r="L19" s="24"/>
      <c r="M19" s="24"/>
    </row>
    <row r="20" spans="1:13" x14ac:dyDescent="0.3">
      <c r="A20" s="25"/>
      <c r="B20" s="21">
        <v>30</v>
      </c>
      <c r="F20" s="22">
        <f>+'Cantidades Producto No. 2'!A77</f>
        <v>46539</v>
      </c>
      <c r="G20" s="39">
        <f>+'Cantidades Producto No. 2'!AB77</f>
        <v>10597.17</v>
      </c>
      <c r="H20" s="23"/>
      <c r="I20" s="40"/>
      <c r="J20" s="81"/>
      <c r="L20" s="24"/>
      <c r="M20" s="24"/>
    </row>
    <row r="21" spans="1:13" x14ac:dyDescent="0.3">
      <c r="A21" s="20"/>
      <c r="B21" s="21">
        <v>31</v>
      </c>
      <c r="F21" s="22">
        <f>+'Cantidades Producto No. 2'!A78</f>
        <v>46569</v>
      </c>
      <c r="G21" s="39">
        <f>+'Cantidades Producto No. 2'!AB78</f>
        <v>10183.380000000001</v>
      </c>
      <c r="H21" s="23"/>
      <c r="I21" s="40"/>
      <c r="J21" s="81"/>
      <c r="L21" s="24"/>
      <c r="M21" s="24"/>
    </row>
    <row r="22" spans="1:13" x14ac:dyDescent="0.3">
      <c r="A22" s="20"/>
      <c r="B22" s="21">
        <v>31</v>
      </c>
      <c r="F22" s="22">
        <f>+'Cantidades Producto No. 2'!A79</f>
        <v>46600</v>
      </c>
      <c r="G22" s="39">
        <f>+'Cantidades Producto No. 2'!AB79</f>
        <v>10622.07</v>
      </c>
      <c r="H22" s="23"/>
      <c r="I22" s="40"/>
      <c r="J22" s="81"/>
      <c r="K22" s="41"/>
      <c r="L22" s="24"/>
      <c r="M22" s="24"/>
    </row>
    <row r="23" spans="1:13" x14ac:dyDescent="0.3">
      <c r="A23" s="25"/>
      <c r="B23" s="21">
        <v>30</v>
      </c>
      <c r="F23" s="22">
        <f>+'Cantidades Producto No. 2'!A80</f>
        <v>46631</v>
      </c>
      <c r="G23" s="39">
        <f>+'Cantidades Producto No. 2'!AB80</f>
        <v>10607.800000000001</v>
      </c>
      <c r="H23" s="23"/>
      <c r="I23" s="40"/>
      <c r="J23" s="81"/>
      <c r="K23" s="41"/>
      <c r="L23" s="24"/>
      <c r="M23" s="24"/>
    </row>
    <row r="24" spans="1:13" x14ac:dyDescent="0.3">
      <c r="A24" s="25"/>
      <c r="B24" s="21">
        <v>31</v>
      </c>
      <c r="F24" s="22">
        <f>+'Cantidades Producto No. 2'!A81</f>
        <v>46661</v>
      </c>
      <c r="G24" s="39">
        <f>+'Cantidades Producto No. 2'!AB81</f>
        <v>10615.38</v>
      </c>
      <c r="H24" s="23"/>
      <c r="I24" s="40"/>
      <c r="J24" s="81"/>
      <c r="L24" s="24"/>
      <c r="M24" s="24"/>
    </row>
    <row r="25" spans="1:13" x14ac:dyDescent="0.3">
      <c r="A25" s="20"/>
      <c r="B25" s="21">
        <v>30</v>
      </c>
      <c r="F25" s="22">
        <f>+'Cantidades Producto No. 2'!A82</f>
        <v>46692</v>
      </c>
      <c r="G25" s="39">
        <f>+'Cantidades Producto No. 2'!AB82</f>
        <v>10602.499999999998</v>
      </c>
      <c r="H25" s="23"/>
      <c r="I25" s="40"/>
      <c r="J25" s="81"/>
      <c r="L25" s="24"/>
      <c r="M25" s="24"/>
    </row>
    <row r="26" spans="1:13" x14ac:dyDescent="0.3">
      <c r="A26" s="20"/>
      <c r="B26" s="21">
        <v>31</v>
      </c>
      <c r="D26" s="41"/>
      <c r="E26" s="41"/>
      <c r="F26" s="22">
        <f>+'Cantidades Producto No. 2'!A83</f>
        <v>46722</v>
      </c>
      <c r="G26" s="39">
        <f>+'Cantidades Producto No. 2'!AB83</f>
        <v>10381.11</v>
      </c>
      <c r="H26" s="23"/>
      <c r="I26" s="40"/>
      <c r="J26" s="82"/>
      <c r="L26" s="24"/>
      <c r="M26" s="24"/>
    </row>
    <row r="27" spans="1:13" x14ac:dyDescent="0.3">
      <c r="F27" s="26" t="s">
        <v>7</v>
      </c>
      <c r="G27" s="28">
        <f>SUM(G15:G26)</f>
        <v>125965.53</v>
      </c>
      <c r="H27" s="42"/>
      <c r="I27" s="42"/>
      <c r="J27" s="43"/>
    </row>
    <row r="28" spans="1:13" x14ac:dyDescent="0.3">
      <c r="F28" s="29"/>
      <c r="G28" s="27"/>
    </row>
    <row r="29" spans="1:13" x14ac:dyDescent="0.3">
      <c r="B29" s="30" t="s">
        <v>8</v>
      </c>
      <c r="C29" s="31"/>
      <c r="D29" s="31"/>
      <c r="E29" s="31"/>
      <c r="F29" s="31"/>
      <c r="G29" s="31"/>
      <c r="L29" s="31"/>
    </row>
    <row r="30" spans="1:13" x14ac:dyDescent="0.3">
      <c r="B30" s="30"/>
      <c r="C30" s="31"/>
      <c r="D30" s="31"/>
      <c r="E30" s="31"/>
      <c r="F30" s="31"/>
      <c r="G30" s="31"/>
      <c r="H30" s="31"/>
      <c r="I30" s="31"/>
      <c r="J30" s="31"/>
      <c r="K30" s="31"/>
      <c r="L30" s="31"/>
    </row>
    <row r="31" spans="1:13" ht="24.75" customHeight="1" x14ac:dyDescent="0.3">
      <c r="B31" s="74" t="s">
        <v>9</v>
      </c>
      <c r="C31" s="74"/>
      <c r="D31" s="74"/>
      <c r="E31" s="74"/>
      <c r="F31" s="74"/>
      <c r="G31" s="74"/>
      <c r="H31" s="74"/>
      <c r="I31" s="74"/>
      <c r="J31" s="74"/>
      <c r="K31" s="74"/>
      <c r="L31" s="74"/>
    </row>
    <row r="32" spans="1:13" ht="39" customHeight="1" x14ac:dyDescent="0.3">
      <c r="B32" s="74" t="str">
        <f>"(2) Las cantidades se distribuyen de acuerdo a la curva del Anexo 1. Ofertas y Cantidades "&amp; D4 &amp;" de los Pliegos de Condiciones definitivos"</f>
        <v>(2) Las cantidades se distribuyen de acuerdo a la curva del Anexo 1. Ofertas y Cantidades PRODUCTO No. 2 de los Pliegos de Condiciones definitivos</v>
      </c>
      <c r="C32" s="74"/>
      <c r="D32" s="74"/>
      <c r="E32" s="74"/>
      <c r="F32" s="74"/>
      <c r="G32" s="74"/>
      <c r="H32" s="74"/>
      <c r="I32" s="74"/>
      <c r="J32" s="74"/>
      <c r="K32" s="74"/>
      <c r="L32" s="74"/>
    </row>
    <row r="33" spans="1:12" ht="83.25" customHeight="1" x14ac:dyDescent="0.3">
      <c r="B33" s="75" t="s">
        <v>57</v>
      </c>
      <c r="C33" s="75"/>
      <c r="D33" s="75"/>
      <c r="E33" s="75"/>
      <c r="F33" s="75"/>
      <c r="G33" s="75"/>
      <c r="H33" s="75"/>
      <c r="I33" s="75"/>
      <c r="J33" s="75"/>
      <c r="K33" s="75"/>
      <c r="L33" s="75"/>
    </row>
    <row r="34" spans="1:12" ht="43.5" customHeight="1" x14ac:dyDescent="0.3">
      <c r="B34" s="75" t="s">
        <v>42</v>
      </c>
      <c r="C34" s="75"/>
      <c r="D34" s="75"/>
      <c r="E34" s="75"/>
      <c r="F34" s="75"/>
      <c r="G34" s="75"/>
      <c r="H34" s="75"/>
      <c r="I34" s="75"/>
      <c r="J34" s="75"/>
      <c r="K34" s="75"/>
      <c r="L34" s="75"/>
    </row>
    <row r="35" spans="1:12" ht="60" customHeight="1" x14ac:dyDescent="0.3">
      <c r="B35" s="75" t="s">
        <v>43</v>
      </c>
      <c r="C35" s="75"/>
      <c r="D35" s="75"/>
      <c r="E35" s="75"/>
      <c r="F35" s="75"/>
      <c r="G35" s="75"/>
      <c r="H35" s="75"/>
      <c r="I35" s="75"/>
      <c r="J35" s="75"/>
      <c r="K35" s="75"/>
      <c r="L35" s="75"/>
    </row>
    <row r="36" spans="1:12" ht="80.25" customHeight="1" x14ac:dyDescent="0.3">
      <c r="A36" s="15"/>
      <c r="B36" s="75" t="s">
        <v>55</v>
      </c>
      <c r="C36" s="75"/>
      <c r="D36" s="75"/>
      <c r="E36" s="75"/>
      <c r="F36" s="75"/>
      <c r="G36" s="75"/>
      <c r="H36" s="75"/>
      <c r="I36" s="75"/>
      <c r="J36" s="75"/>
      <c r="K36" s="75"/>
      <c r="L36" s="75"/>
    </row>
    <row r="38" spans="1:12" ht="24.75" customHeight="1" x14ac:dyDescent="0.3">
      <c r="B38" s="32"/>
      <c r="C38" s="32"/>
      <c r="D38" s="32"/>
      <c r="E38" s="32"/>
      <c r="F38" s="32"/>
      <c r="G38" s="32"/>
      <c r="H38" s="32"/>
      <c r="I38" s="32"/>
      <c r="J38" s="32"/>
      <c r="K38" s="32"/>
      <c r="L38" s="32"/>
    </row>
  </sheetData>
  <mergeCells count="11">
    <mergeCell ref="B32:L32"/>
    <mergeCell ref="B33:L33"/>
    <mergeCell ref="B34:L34"/>
    <mergeCell ref="B35:L35"/>
    <mergeCell ref="B36:L36"/>
    <mergeCell ref="B31:L31"/>
    <mergeCell ref="D2:J2"/>
    <mergeCell ref="C3:K3"/>
    <mergeCell ref="D4:J4"/>
    <mergeCell ref="F13:J13"/>
    <mergeCell ref="J15:J2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21C8E-BB61-40C6-9A66-19FF4A29473D}">
  <sheetPr>
    <tabColor theme="9" tint="0.39997558519241921"/>
  </sheetPr>
  <dimension ref="A1:AD83"/>
  <sheetViews>
    <sheetView showGridLines="0" zoomScale="60" zoomScaleNormal="60" workbookViewId="0">
      <selection activeCell="A5" sqref="A5"/>
    </sheetView>
  </sheetViews>
  <sheetFormatPr baseColWidth="10" defaultColWidth="14.42578125" defaultRowHeight="15" x14ac:dyDescent="0.2"/>
  <cols>
    <col min="1" max="1" width="93.140625" style="33" bestFit="1" customWidth="1"/>
    <col min="2" max="25" width="10.7109375" style="34" customWidth="1"/>
    <col min="26" max="26" width="14.140625" style="35" bestFit="1" customWidth="1"/>
    <col min="27" max="27" width="6.7109375" style="33" customWidth="1"/>
    <col min="28" max="28" width="9.7109375" style="33" customWidth="1"/>
    <col min="29" max="29" width="5.28515625" style="33" customWidth="1"/>
    <col min="30" max="30" width="14.42578125" style="72"/>
    <col min="31" max="16384" width="14.42578125" style="33"/>
  </cols>
  <sheetData>
    <row r="1" spans="1:30" ht="93" customHeight="1" thickBot="1" x14ac:dyDescent="0.25"/>
    <row r="2" spans="1:30" ht="23.25" x14ac:dyDescent="0.35">
      <c r="A2" s="44" t="s">
        <v>10</v>
      </c>
    </row>
    <row r="3" spans="1:30" ht="21" thickBot="1" x14ac:dyDescent="0.35">
      <c r="A3" s="45" t="s">
        <v>52</v>
      </c>
    </row>
    <row r="4" spans="1:30" ht="15.75" thickBot="1" x14ac:dyDescent="0.25"/>
    <row r="5" spans="1:30" ht="16.5" thickBot="1" x14ac:dyDescent="0.3">
      <c r="A5" s="36" t="s">
        <v>44</v>
      </c>
      <c r="B5" s="55"/>
      <c r="C5" s="55"/>
      <c r="D5" s="55"/>
      <c r="E5" s="56"/>
      <c r="F5" s="55"/>
      <c r="G5" s="55"/>
      <c r="H5" s="55"/>
      <c r="I5" s="55"/>
      <c r="J5" s="55"/>
      <c r="K5" s="57"/>
      <c r="L5" s="57"/>
      <c r="M5" s="57"/>
      <c r="N5" s="57"/>
      <c r="O5" s="57"/>
      <c r="P5" s="57"/>
      <c r="Q5" s="57"/>
      <c r="R5" s="57"/>
      <c r="S5" s="57"/>
      <c r="T5" s="57"/>
      <c r="U5" s="57"/>
      <c r="V5" s="57"/>
      <c r="W5" s="57"/>
      <c r="X5" s="57"/>
      <c r="Y5" s="57"/>
      <c r="Z5" s="58"/>
      <c r="AA5"/>
      <c r="AB5" s="59"/>
    </row>
    <row r="6" spans="1:30" ht="16.5" thickBot="1" x14ac:dyDescent="0.3">
      <c r="A6"/>
      <c r="B6" s="55"/>
      <c r="C6" s="55"/>
      <c r="D6" s="55"/>
      <c r="E6" s="55"/>
      <c r="F6" s="55"/>
      <c r="G6" s="55"/>
      <c r="H6" s="55"/>
      <c r="I6" s="55"/>
      <c r="J6" s="55"/>
      <c r="K6" s="60"/>
      <c r="L6" s="60"/>
      <c r="M6" s="60"/>
      <c r="N6" s="60"/>
      <c r="O6" s="60"/>
      <c r="P6" s="60"/>
      <c r="Q6" s="60"/>
      <c r="R6" s="60"/>
      <c r="S6" s="60"/>
      <c r="T6" s="60"/>
      <c r="U6" s="60"/>
      <c r="V6" s="60"/>
      <c r="W6" s="60"/>
      <c r="X6" s="60"/>
      <c r="Y6" s="60"/>
      <c r="Z6" s="58"/>
      <c r="AA6"/>
      <c r="AB6"/>
    </row>
    <row r="7" spans="1:30" ht="15.95" customHeight="1" thickBot="1" x14ac:dyDescent="0.25">
      <c r="A7" s="61" t="s">
        <v>11</v>
      </c>
      <c r="B7" s="62" t="s">
        <v>12</v>
      </c>
      <c r="C7" s="62" t="s">
        <v>13</v>
      </c>
      <c r="D7" s="62" t="s">
        <v>14</v>
      </c>
      <c r="E7" s="62" t="s">
        <v>15</v>
      </c>
      <c r="F7" s="62" t="s">
        <v>16</v>
      </c>
      <c r="G7" s="62" t="s">
        <v>17</v>
      </c>
      <c r="H7" s="62" t="s">
        <v>18</v>
      </c>
      <c r="I7" s="62" t="s">
        <v>19</v>
      </c>
      <c r="J7" s="62" t="s">
        <v>20</v>
      </c>
      <c r="K7" s="62" t="s">
        <v>21</v>
      </c>
      <c r="L7" s="62" t="s">
        <v>22</v>
      </c>
      <c r="M7" s="62" t="s">
        <v>23</v>
      </c>
      <c r="N7" s="62" t="s">
        <v>24</v>
      </c>
      <c r="O7" s="62" t="s">
        <v>25</v>
      </c>
      <c r="P7" s="62" t="s">
        <v>26</v>
      </c>
      <c r="Q7" s="62" t="s">
        <v>27</v>
      </c>
      <c r="R7" s="62" t="s">
        <v>28</v>
      </c>
      <c r="S7" s="62" t="s">
        <v>29</v>
      </c>
      <c r="T7" s="62" t="s">
        <v>30</v>
      </c>
      <c r="U7" s="62" t="s">
        <v>31</v>
      </c>
      <c r="V7" s="62" t="s">
        <v>32</v>
      </c>
      <c r="W7" s="62" t="s">
        <v>33</v>
      </c>
      <c r="X7" s="62" t="s">
        <v>34</v>
      </c>
      <c r="Y7" s="62" t="s">
        <v>35</v>
      </c>
      <c r="Z7" s="62" t="s">
        <v>7</v>
      </c>
      <c r="AA7" s="37" t="s">
        <v>36</v>
      </c>
      <c r="AB7" s="63"/>
    </row>
    <row r="8" spans="1:30" ht="15.75" x14ac:dyDescent="0.25">
      <c r="A8" s="64">
        <v>46388</v>
      </c>
      <c r="B8" s="46">
        <v>9.5500000000000007</v>
      </c>
      <c r="C8" s="46">
        <v>8.7100000000000009</v>
      </c>
      <c r="D8" s="46">
        <v>7.87</v>
      </c>
      <c r="E8" s="46">
        <v>7.56</v>
      </c>
      <c r="F8" s="46">
        <v>8.09</v>
      </c>
      <c r="G8" s="46">
        <v>9.93</v>
      </c>
      <c r="H8" s="46">
        <v>12.51</v>
      </c>
      <c r="I8" s="46">
        <v>9.16</v>
      </c>
      <c r="J8" s="46">
        <v>11.44</v>
      </c>
      <c r="K8" s="46">
        <v>13.84</v>
      </c>
      <c r="L8" s="46">
        <v>16.16</v>
      </c>
      <c r="M8" s="46">
        <v>18.32</v>
      </c>
      <c r="N8" s="46">
        <v>18.34</v>
      </c>
      <c r="O8" s="46">
        <v>17.91</v>
      </c>
      <c r="P8" s="46">
        <v>18.329999999999998</v>
      </c>
      <c r="Q8" s="46">
        <v>18.21</v>
      </c>
      <c r="R8" s="46">
        <v>17.5</v>
      </c>
      <c r="S8" s="46">
        <v>22.89</v>
      </c>
      <c r="T8" s="46">
        <v>23.28</v>
      </c>
      <c r="U8" s="46">
        <v>24.06</v>
      </c>
      <c r="V8" s="46">
        <v>22.6</v>
      </c>
      <c r="W8" s="46">
        <v>20.260000000000002</v>
      </c>
      <c r="X8" s="46">
        <v>16.649999999999999</v>
      </c>
      <c r="Y8" s="46">
        <v>13.95</v>
      </c>
      <c r="Z8" s="47">
        <f t="shared" ref="Z8:Z19" si="0">SUM(B8:Y8)</f>
        <v>367.12</v>
      </c>
      <c r="AA8" s="48">
        <v>19</v>
      </c>
      <c r="AB8" s="65">
        <f>+Z8*AA8</f>
        <v>6975.28</v>
      </c>
      <c r="AD8" s="72" t="s">
        <v>45</v>
      </c>
    </row>
    <row r="9" spans="1:30" ht="15.75" x14ac:dyDescent="0.25">
      <c r="A9" s="66">
        <v>46419</v>
      </c>
      <c r="B9" s="49">
        <v>9.76</v>
      </c>
      <c r="C9" s="49">
        <v>9.02</v>
      </c>
      <c r="D9" s="49">
        <v>8.2200000000000006</v>
      </c>
      <c r="E9" s="49">
        <v>7.99</v>
      </c>
      <c r="F9" s="49">
        <v>8.8000000000000007</v>
      </c>
      <c r="G9" s="49">
        <v>11.93</v>
      </c>
      <c r="H9" s="49">
        <v>14.92</v>
      </c>
      <c r="I9" s="49">
        <v>11</v>
      </c>
      <c r="J9" s="49">
        <v>12.81</v>
      </c>
      <c r="K9" s="49">
        <v>15</v>
      </c>
      <c r="L9" s="49">
        <v>17.239999999999998</v>
      </c>
      <c r="M9" s="49">
        <v>19.27</v>
      </c>
      <c r="N9" s="49">
        <v>18.579999999999998</v>
      </c>
      <c r="O9" s="49">
        <v>18.47</v>
      </c>
      <c r="P9" s="49">
        <v>19.23</v>
      </c>
      <c r="Q9" s="49">
        <v>19.309999999999999</v>
      </c>
      <c r="R9" s="49">
        <v>18.64</v>
      </c>
      <c r="S9" s="49">
        <v>23.32</v>
      </c>
      <c r="T9" s="49">
        <v>22.92</v>
      </c>
      <c r="U9" s="49">
        <v>24.21</v>
      </c>
      <c r="V9" s="49">
        <v>23.14</v>
      </c>
      <c r="W9" s="49">
        <v>20.73</v>
      </c>
      <c r="X9" s="49">
        <v>16.84</v>
      </c>
      <c r="Y9" s="49">
        <v>14.08</v>
      </c>
      <c r="Z9" s="50">
        <f t="shared" si="0"/>
        <v>385.42999999999995</v>
      </c>
      <c r="AA9" s="51">
        <v>20</v>
      </c>
      <c r="AB9" s="67">
        <f>+Z9*AA9</f>
        <v>7708.5999999999985</v>
      </c>
      <c r="AD9" s="72" t="s">
        <v>45</v>
      </c>
    </row>
    <row r="10" spans="1:30" ht="15.75" x14ac:dyDescent="0.25">
      <c r="A10" s="66">
        <v>46447</v>
      </c>
      <c r="B10" s="49">
        <v>9.2799999999999994</v>
      </c>
      <c r="C10" s="49">
        <v>8.5500000000000007</v>
      </c>
      <c r="D10" s="49">
        <v>7.86</v>
      </c>
      <c r="E10" s="49">
        <v>7.59</v>
      </c>
      <c r="F10" s="49">
        <v>8.41</v>
      </c>
      <c r="G10" s="49">
        <v>11.44</v>
      </c>
      <c r="H10" s="49">
        <v>14.2</v>
      </c>
      <c r="I10" s="49">
        <v>10.74</v>
      </c>
      <c r="J10" s="49">
        <v>12.56</v>
      </c>
      <c r="K10" s="49">
        <v>14.53</v>
      </c>
      <c r="L10" s="49">
        <v>16.739999999999998</v>
      </c>
      <c r="M10" s="49">
        <v>18.600000000000001</v>
      </c>
      <c r="N10" s="49">
        <v>18.18</v>
      </c>
      <c r="O10" s="49">
        <v>17.82</v>
      </c>
      <c r="P10" s="49">
        <v>18.41</v>
      </c>
      <c r="Q10" s="49">
        <v>18.27</v>
      </c>
      <c r="R10" s="49">
        <v>17.73</v>
      </c>
      <c r="S10" s="49">
        <v>22.86</v>
      </c>
      <c r="T10" s="49">
        <v>22.72</v>
      </c>
      <c r="U10" s="49">
        <v>24.05</v>
      </c>
      <c r="V10" s="49">
        <v>22.57</v>
      </c>
      <c r="W10" s="49">
        <v>20.16</v>
      </c>
      <c r="X10" s="49">
        <v>16.39</v>
      </c>
      <c r="Y10" s="49">
        <v>13.65</v>
      </c>
      <c r="Z10" s="50">
        <f t="shared" si="0"/>
        <v>373.31</v>
      </c>
      <c r="AA10" s="51">
        <v>20</v>
      </c>
      <c r="AB10" s="67">
        <f t="shared" ref="AB10:AB19" si="1">+Z10*AA10</f>
        <v>7466.2</v>
      </c>
      <c r="AD10" s="72" t="s">
        <v>45</v>
      </c>
    </row>
    <row r="11" spans="1:30" ht="15.75" x14ac:dyDescent="0.25">
      <c r="A11" s="66">
        <v>46478</v>
      </c>
      <c r="B11" s="49">
        <v>9.57</v>
      </c>
      <c r="C11" s="49">
        <v>8.77</v>
      </c>
      <c r="D11" s="49">
        <v>8.0500000000000007</v>
      </c>
      <c r="E11" s="49">
        <v>7.77</v>
      </c>
      <c r="F11" s="49">
        <v>8.6199999999999992</v>
      </c>
      <c r="G11" s="49">
        <v>11.39</v>
      </c>
      <c r="H11" s="49">
        <v>14.33</v>
      </c>
      <c r="I11" s="49">
        <v>11.06</v>
      </c>
      <c r="J11" s="49">
        <v>12.67</v>
      </c>
      <c r="K11" s="49">
        <v>15.44</v>
      </c>
      <c r="L11" s="49">
        <v>17.5</v>
      </c>
      <c r="M11" s="49">
        <v>19.41</v>
      </c>
      <c r="N11" s="49">
        <v>19.010000000000002</v>
      </c>
      <c r="O11" s="49">
        <v>18.32</v>
      </c>
      <c r="P11" s="49">
        <v>18.260000000000002</v>
      </c>
      <c r="Q11" s="49">
        <v>18.350000000000001</v>
      </c>
      <c r="R11" s="49">
        <v>17.88</v>
      </c>
      <c r="S11" s="49">
        <v>23.72</v>
      </c>
      <c r="T11" s="49">
        <v>24.07</v>
      </c>
      <c r="U11" s="49">
        <v>24.85</v>
      </c>
      <c r="V11" s="49">
        <v>23.22</v>
      </c>
      <c r="W11" s="49">
        <v>20.68</v>
      </c>
      <c r="X11" s="49">
        <v>16.8</v>
      </c>
      <c r="Y11" s="49">
        <v>14.16</v>
      </c>
      <c r="Z11" s="50">
        <f t="shared" si="0"/>
        <v>383.90000000000003</v>
      </c>
      <c r="AA11" s="51">
        <v>22</v>
      </c>
      <c r="AB11" s="67">
        <f t="shared" si="1"/>
        <v>8445.8000000000011</v>
      </c>
      <c r="AD11" s="72" t="s">
        <v>45</v>
      </c>
    </row>
    <row r="12" spans="1:30" ht="15.75" x14ac:dyDescent="0.25">
      <c r="A12" s="66">
        <v>46508</v>
      </c>
      <c r="B12" s="49">
        <v>9.3800000000000008</v>
      </c>
      <c r="C12" s="49">
        <v>8.6300000000000008</v>
      </c>
      <c r="D12" s="49">
        <v>7.88</v>
      </c>
      <c r="E12" s="49">
        <v>7.56</v>
      </c>
      <c r="F12" s="49">
        <v>8.44</v>
      </c>
      <c r="G12" s="49">
        <v>11</v>
      </c>
      <c r="H12" s="49">
        <v>14.2</v>
      </c>
      <c r="I12" s="49">
        <v>10.76</v>
      </c>
      <c r="J12" s="49">
        <v>12.78</v>
      </c>
      <c r="K12" s="49">
        <v>15.08</v>
      </c>
      <c r="L12" s="49">
        <v>17.440000000000001</v>
      </c>
      <c r="M12" s="49">
        <v>19.559999999999999</v>
      </c>
      <c r="N12" s="49">
        <v>19.04</v>
      </c>
      <c r="O12" s="49">
        <v>18.420000000000002</v>
      </c>
      <c r="P12" s="49">
        <v>18.75</v>
      </c>
      <c r="Q12" s="49">
        <v>18.52</v>
      </c>
      <c r="R12" s="49">
        <v>17.59</v>
      </c>
      <c r="S12" s="49">
        <v>23.55</v>
      </c>
      <c r="T12" s="49">
        <v>23.82</v>
      </c>
      <c r="U12" s="49">
        <v>24.45</v>
      </c>
      <c r="V12" s="49">
        <v>22.83</v>
      </c>
      <c r="W12" s="49">
        <v>20.09</v>
      </c>
      <c r="X12" s="49">
        <v>16.13</v>
      </c>
      <c r="Y12" s="49">
        <v>13.61</v>
      </c>
      <c r="Z12" s="50">
        <f t="shared" si="0"/>
        <v>379.51</v>
      </c>
      <c r="AA12" s="51">
        <v>19</v>
      </c>
      <c r="AB12" s="67">
        <f t="shared" si="1"/>
        <v>7210.69</v>
      </c>
      <c r="AD12" s="72" t="s">
        <v>45</v>
      </c>
    </row>
    <row r="13" spans="1:30" ht="15.75" x14ac:dyDescent="0.25">
      <c r="A13" s="66">
        <v>46539</v>
      </c>
      <c r="B13" s="49">
        <v>9.32</v>
      </c>
      <c r="C13" s="49">
        <v>8.52</v>
      </c>
      <c r="D13" s="49">
        <v>7.64</v>
      </c>
      <c r="E13" s="49">
        <v>7.33</v>
      </c>
      <c r="F13" s="49">
        <v>8.1999999999999993</v>
      </c>
      <c r="G13" s="49">
        <v>10.54</v>
      </c>
      <c r="H13" s="49">
        <v>14.04</v>
      </c>
      <c r="I13" s="49">
        <v>10.92</v>
      </c>
      <c r="J13" s="49">
        <v>12.99</v>
      </c>
      <c r="K13" s="49">
        <v>15.33</v>
      </c>
      <c r="L13" s="49">
        <v>17.45</v>
      </c>
      <c r="M13" s="49">
        <v>19.600000000000001</v>
      </c>
      <c r="N13" s="49">
        <v>19.3</v>
      </c>
      <c r="O13" s="49">
        <v>18.48</v>
      </c>
      <c r="P13" s="49">
        <v>18.52</v>
      </c>
      <c r="Q13" s="49">
        <v>18.32</v>
      </c>
      <c r="R13" s="49">
        <v>17.77</v>
      </c>
      <c r="S13" s="49">
        <v>23.67</v>
      </c>
      <c r="T13" s="49">
        <v>23.88</v>
      </c>
      <c r="U13" s="49">
        <v>25.22</v>
      </c>
      <c r="V13" s="49">
        <v>23.52</v>
      </c>
      <c r="W13" s="49">
        <v>20.61</v>
      </c>
      <c r="X13" s="49">
        <v>16.329999999999998</v>
      </c>
      <c r="Y13" s="49">
        <v>13.77</v>
      </c>
      <c r="Z13" s="50">
        <f t="shared" si="0"/>
        <v>381.26999999999992</v>
      </c>
      <c r="AA13" s="51">
        <v>21</v>
      </c>
      <c r="AB13" s="67">
        <f t="shared" si="1"/>
        <v>8006.6699999999983</v>
      </c>
      <c r="AD13" s="72" t="s">
        <v>45</v>
      </c>
    </row>
    <row r="14" spans="1:30" ht="15.75" x14ac:dyDescent="0.25">
      <c r="A14" s="66">
        <v>46569</v>
      </c>
      <c r="B14" s="49">
        <v>7.8</v>
      </c>
      <c r="C14" s="49">
        <v>7.16</v>
      </c>
      <c r="D14" s="49">
        <v>6.26</v>
      </c>
      <c r="E14" s="49">
        <v>5.96</v>
      </c>
      <c r="F14" s="49">
        <v>6.85</v>
      </c>
      <c r="G14" s="49">
        <v>9.4700000000000006</v>
      </c>
      <c r="H14" s="49">
        <v>12.7</v>
      </c>
      <c r="I14" s="49">
        <v>9.08</v>
      </c>
      <c r="J14" s="49">
        <v>11.36</v>
      </c>
      <c r="K14" s="49">
        <v>13.91</v>
      </c>
      <c r="L14" s="49">
        <v>16.12</v>
      </c>
      <c r="M14" s="49">
        <v>18.489999999999998</v>
      </c>
      <c r="N14" s="49">
        <v>17.98</v>
      </c>
      <c r="O14" s="49">
        <v>17.27</v>
      </c>
      <c r="P14" s="49">
        <v>17.579999999999998</v>
      </c>
      <c r="Q14" s="49">
        <v>17.690000000000001</v>
      </c>
      <c r="R14" s="49">
        <v>17.190000000000001</v>
      </c>
      <c r="S14" s="49">
        <v>24.33</v>
      </c>
      <c r="T14" s="49">
        <v>23.89</v>
      </c>
      <c r="U14" s="49">
        <v>25.64</v>
      </c>
      <c r="V14" s="49">
        <v>23.88</v>
      </c>
      <c r="W14" s="49">
        <v>20.91</v>
      </c>
      <c r="X14" s="49">
        <v>16.43</v>
      </c>
      <c r="Y14" s="49">
        <v>14.12</v>
      </c>
      <c r="Z14" s="50">
        <f t="shared" si="0"/>
        <v>362.07</v>
      </c>
      <c r="AA14" s="51">
        <v>20</v>
      </c>
      <c r="AB14" s="67">
        <f t="shared" si="1"/>
        <v>7241.4</v>
      </c>
      <c r="AD14" s="72" t="s">
        <v>45</v>
      </c>
    </row>
    <row r="15" spans="1:30" ht="15.75" x14ac:dyDescent="0.25">
      <c r="A15" s="66">
        <v>46600</v>
      </c>
      <c r="B15" s="49">
        <v>8.48</v>
      </c>
      <c r="C15" s="49">
        <v>7.67</v>
      </c>
      <c r="D15" s="49">
        <v>6.85</v>
      </c>
      <c r="E15" s="49">
        <v>6.56</v>
      </c>
      <c r="F15" s="49">
        <v>7.47</v>
      </c>
      <c r="G15" s="49">
        <v>10.47</v>
      </c>
      <c r="H15" s="49">
        <v>13.66</v>
      </c>
      <c r="I15" s="49">
        <v>9.9</v>
      </c>
      <c r="J15" s="49">
        <v>12.08</v>
      </c>
      <c r="K15" s="49">
        <v>14.38</v>
      </c>
      <c r="L15" s="49">
        <v>16.97</v>
      </c>
      <c r="M15" s="49">
        <v>19.27</v>
      </c>
      <c r="N15" s="49">
        <v>18.77</v>
      </c>
      <c r="O15" s="49">
        <v>18.2</v>
      </c>
      <c r="P15" s="49">
        <v>18.489999999999998</v>
      </c>
      <c r="Q15" s="49">
        <v>18.32</v>
      </c>
      <c r="R15" s="49">
        <v>17.77</v>
      </c>
      <c r="S15" s="49">
        <v>24.9</v>
      </c>
      <c r="T15" s="49">
        <v>24.76</v>
      </c>
      <c r="U15" s="49">
        <v>26.09</v>
      </c>
      <c r="V15" s="49">
        <v>24.22</v>
      </c>
      <c r="W15" s="49">
        <v>21.26</v>
      </c>
      <c r="X15" s="49">
        <v>16.68</v>
      </c>
      <c r="Y15" s="49">
        <v>14.3</v>
      </c>
      <c r="Z15" s="50">
        <f t="shared" si="0"/>
        <v>377.52</v>
      </c>
      <c r="AA15" s="51">
        <v>21</v>
      </c>
      <c r="AB15" s="67">
        <f t="shared" si="1"/>
        <v>7927.92</v>
      </c>
      <c r="AD15" s="72" t="s">
        <v>45</v>
      </c>
    </row>
    <row r="16" spans="1:30" ht="15.75" x14ac:dyDescent="0.25">
      <c r="A16" s="66">
        <v>46631</v>
      </c>
      <c r="B16" s="49">
        <v>8.5399999999999991</v>
      </c>
      <c r="C16" s="49">
        <v>7.7</v>
      </c>
      <c r="D16" s="49">
        <v>6.86</v>
      </c>
      <c r="E16" s="49">
        <v>6.59</v>
      </c>
      <c r="F16" s="49">
        <v>7.59</v>
      </c>
      <c r="G16" s="49">
        <v>10.6</v>
      </c>
      <c r="H16" s="49">
        <v>13.98</v>
      </c>
      <c r="I16" s="49">
        <v>9.9700000000000006</v>
      </c>
      <c r="J16" s="49">
        <v>11.28</v>
      </c>
      <c r="K16" s="49">
        <v>13.97</v>
      </c>
      <c r="L16" s="49">
        <v>16.97</v>
      </c>
      <c r="M16" s="49">
        <v>19.2</v>
      </c>
      <c r="N16" s="49">
        <v>18.61</v>
      </c>
      <c r="O16" s="49">
        <v>18</v>
      </c>
      <c r="P16" s="49">
        <v>18.5</v>
      </c>
      <c r="Q16" s="49">
        <v>18.420000000000002</v>
      </c>
      <c r="R16" s="49">
        <v>17.760000000000002</v>
      </c>
      <c r="S16" s="49">
        <v>25.31</v>
      </c>
      <c r="T16" s="49">
        <v>26.07</v>
      </c>
      <c r="U16" s="49">
        <v>26.06</v>
      </c>
      <c r="V16" s="49">
        <v>24.1</v>
      </c>
      <c r="W16" s="49">
        <v>21.16</v>
      </c>
      <c r="X16" s="49">
        <v>16.68</v>
      </c>
      <c r="Y16" s="49">
        <v>14.22</v>
      </c>
      <c r="Z16" s="50">
        <f t="shared" si="0"/>
        <v>378.1400000000001</v>
      </c>
      <c r="AA16" s="51">
        <v>22</v>
      </c>
      <c r="AB16" s="67">
        <f t="shared" si="1"/>
        <v>8319.0800000000017</v>
      </c>
      <c r="AD16" s="72" t="s">
        <v>45</v>
      </c>
    </row>
    <row r="17" spans="1:30" ht="15.75" x14ac:dyDescent="0.25">
      <c r="A17" s="66">
        <v>46661</v>
      </c>
      <c r="B17" s="49">
        <v>8.2899999999999991</v>
      </c>
      <c r="C17" s="49">
        <v>7.4</v>
      </c>
      <c r="D17" s="49">
        <v>6.65</v>
      </c>
      <c r="E17" s="49">
        <v>6.41</v>
      </c>
      <c r="F17" s="49">
        <v>7.12</v>
      </c>
      <c r="G17" s="49">
        <v>8.75</v>
      </c>
      <c r="H17" s="49">
        <v>12.44</v>
      </c>
      <c r="I17" s="49">
        <v>9.25</v>
      </c>
      <c r="J17" s="49">
        <v>11.92</v>
      </c>
      <c r="K17" s="49">
        <v>14.71</v>
      </c>
      <c r="L17" s="49">
        <v>17.350000000000001</v>
      </c>
      <c r="M17" s="49">
        <v>19.48</v>
      </c>
      <c r="N17" s="49">
        <v>19.05</v>
      </c>
      <c r="O17" s="49">
        <v>18.47</v>
      </c>
      <c r="P17" s="49">
        <v>18.79</v>
      </c>
      <c r="Q17" s="49">
        <v>18.37</v>
      </c>
      <c r="R17" s="49">
        <v>17.77</v>
      </c>
      <c r="S17" s="49">
        <v>25.83</v>
      </c>
      <c r="T17" s="49">
        <v>26.58</v>
      </c>
      <c r="U17" s="49">
        <v>25.56</v>
      </c>
      <c r="V17" s="49">
        <v>23.69</v>
      </c>
      <c r="W17" s="49">
        <v>20.79</v>
      </c>
      <c r="X17" s="49">
        <v>16.73</v>
      </c>
      <c r="Y17" s="49">
        <v>14.3</v>
      </c>
      <c r="Z17" s="50">
        <f t="shared" si="0"/>
        <v>375.70000000000005</v>
      </c>
      <c r="AA17" s="51">
        <v>20</v>
      </c>
      <c r="AB17" s="67">
        <f t="shared" si="1"/>
        <v>7514.0000000000009</v>
      </c>
      <c r="AD17" s="72" t="s">
        <v>45</v>
      </c>
    </row>
    <row r="18" spans="1:30" ht="15.75" x14ac:dyDescent="0.25">
      <c r="A18" s="66">
        <v>46692</v>
      </c>
      <c r="B18" s="49">
        <v>8.77</v>
      </c>
      <c r="C18" s="49">
        <v>7.88</v>
      </c>
      <c r="D18" s="49">
        <v>7</v>
      </c>
      <c r="E18" s="49">
        <v>6.72</v>
      </c>
      <c r="F18" s="49">
        <v>7.45</v>
      </c>
      <c r="G18" s="49">
        <v>9.5</v>
      </c>
      <c r="H18" s="49">
        <v>13.02</v>
      </c>
      <c r="I18" s="49">
        <v>9.85</v>
      </c>
      <c r="J18" s="49">
        <v>12.26</v>
      </c>
      <c r="K18" s="49">
        <v>14.71</v>
      </c>
      <c r="L18" s="49">
        <v>17.11</v>
      </c>
      <c r="M18" s="49">
        <v>19.329999999999998</v>
      </c>
      <c r="N18" s="49">
        <v>19.059999999999999</v>
      </c>
      <c r="O18" s="49">
        <v>18.5</v>
      </c>
      <c r="P18" s="49">
        <v>19.190000000000001</v>
      </c>
      <c r="Q18" s="49">
        <v>18.899999999999999</v>
      </c>
      <c r="R18" s="49">
        <v>18.309999999999999</v>
      </c>
      <c r="S18" s="49">
        <v>26.78</v>
      </c>
      <c r="T18" s="49">
        <v>27.24</v>
      </c>
      <c r="U18" s="49">
        <v>26.35</v>
      </c>
      <c r="V18" s="49">
        <v>24.51</v>
      </c>
      <c r="W18" s="49">
        <v>21.56</v>
      </c>
      <c r="X18" s="49">
        <v>17.329999999999998</v>
      </c>
      <c r="Y18" s="49">
        <v>14.77</v>
      </c>
      <c r="Z18" s="50">
        <f t="shared" si="0"/>
        <v>386.09999999999997</v>
      </c>
      <c r="AA18" s="51">
        <v>20</v>
      </c>
      <c r="AB18" s="67">
        <f t="shared" si="1"/>
        <v>7721.9999999999991</v>
      </c>
      <c r="AD18" s="72" t="s">
        <v>45</v>
      </c>
    </row>
    <row r="19" spans="1:30" ht="16.5" thickBot="1" x14ac:dyDescent="0.3">
      <c r="A19" s="68">
        <v>46722</v>
      </c>
      <c r="B19" s="52">
        <v>9.1</v>
      </c>
      <c r="C19" s="52">
        <v>8.0299999999999994</v>
      </c>
      <c r="D19" s="52">
        <v>7.07</v>
      </c>
      <c r="E19" s="52">
        <v>6.67</v>
      </c>
      <c r="F19" s="52">
        <v>7.16</v>
      </c>
      <c r="G19" s="52">
        <v>8.7200000000000006</v>
      </c>
      <c r="H19" s="52">
        <v>11.66</v>
      </c>
      <c r="I19" s="52">
        <v>8.73</v>
      </c>
      <c r="J19" s="52">
        <v>11.26</v>
      </c>
      <c r="K19" s="52">
        <v>13.53</v>
      </c>
      <c r="L19" s="52">
        <v>15.72</v>
      </c>
      <c r="M19" s="52">
        <v>17.670000000000002</v>
      </c>
      <c r="N19" s="52">
        <v>17.760000000000002</v>
      </c>
      <c r="O19" s="52">
        <v>17.38</v>
      </c>
      <c r="P19" s="52">
        <v>17.670000000000002</v>
      </c>
      <c r="Q19" s="52">
        <v>17.399999999999999</v>
      </c>
      <c r="R19" s="52">
        <v>16.64</v>
      </c>
      <c r="S19" s="52">
        <v>23.69</v>
      </c>
      <c r="T19" s="52">
        <v>24.7</v>
      </c>
      <c r="U19" s="52">
        <v>24.58</v>
      </c>
      <c r="V19" s="52">
        <v>22.94</v>
      </c>
      <c r="W19" s="52">
        <v>20.67</v>
      </c>
      <c r="X19" s="52">
        <v>17.3</v>
      </c>
      <c r="Y19" s="52">
        <v>15.18</v>
      </c>
      <c r="Z19" s="53">
        <f t="shared" si="0"/>
        <v>361.23</v>
      </c>
      <c r="AA19" s="54">
        <v>22</v>
      </c>
      <c r="AB19" s="69">
        <f t="shared" si="1"/>
        <v>7947.06</v>
      </c>
      <c r="AD19" s="72" t="s">
        <v>45</v>
      </c>
    </row>
    <row r="20" spans="1:30" ht="16.5" thickBot="1" x14ac:dyDescent="0.3">
      <c r="A20"/>
      <c r="B20" s="70"/>
      <c r="C20" s="60"/>
      <c r="D20" s="60"/>
      <c r="E20" s="60"/>
      <c r="F20" s="60"/>
      <c r="G20" s="60"/>
      <c r="H20" s="60"/>
      <c r="I20" s="60"/>
      <c r="J20" s="60"/>
      <c r="K20" s="60"/>
      <c r="L20" s="60"/>
      <c r="M20" s="60"/>
      <c r="N20" s="60"/>
      <c r="O20" s="60"/>
      <c r="P20" s="60"/>
      <c r="Q20" s="60"/>
      <c r="R20" s="60"/>
      <c r="S20" s="60"/>
      <c r="T20" s="60"/>
      <c r="U20" s="60"/>
      <c r="V20" s="60"/>
      <c r="W20" s="60"/>
      <c r="X20" s="60"/>
      <c r="Y20" s="60"/>
      <c r="Z20" s="58"/>
      <c r="AA20" s="38"/>
      <c r="AB20"/>
    </row>
    <row r="21" spans="1:30" ht="16.5" thickBot="1" x14ac:dyDescent="0.3">
      <c r="A21" s="36" t="s">
        <v>46</v>
      </c>
      <c r="B21" s="60"/>
      <c r="C21" s="60"/>
      <c r="D21" s="60"/>
      <c r="E21" s="71"/>
      <c r="F21" s="60"/>
      <c r="G21" s="60"/>
      <c r="H21" s="60"/>
      <c r="I21" s="60"/>
      <c r="J21" s="60"/>
      <c r="K21" s="60"/>
      <c r="L21" s="60"/>
      <c r="M21" s="60"/>
      <c r="N21" s="60"/>
      <c r="O21" s="60"/>
      <c r="P21" s="60"/>
      <c r="Q21" s="60"/>
      <c r="R21" s="60"/>
      <c r="S21" s="60"/>
      <c r="T21" s="60"/>
      <c r="U21" s="60"/>
      <c r="V21" s="60"/>
      <c r="W21" s="60"/>
      <c r="X21" s="60"/>
      <c r="Y21" s="60"/>
      <c r="Z21" s="58"/>
      <c r="AA21" s="38"/>
      <c r="AB21"/>
    </row>
    <row r="22" spans="1:30" ht="16.5" thickBot="1" x14ac:dyDescent="0.3">
      <c r="A22"/>
      <c r="B22" s="70"/>
      <c r="C22" s="60"/>
      <c r="D22" s="60"/>
      <c r="E22" s="60"/>
      <c r="F22" s="60"/>
      <c r="G22" s="60"/>
      <c r="H22" s="60"/>
      <c r="I22" s="60"/>
      <c r="J22" s="60"/>
      <c r="K22" s="60"/>
      <c r="L22" s="60"/>
      <c r="M22" s="60"/>
      <c r="N22" s="60"/>
      <c r="O22" s="60"/>
      <c r="P22" s="60"/>
      <c r="Q22" s="60"/>
      <c r="R22" s="60"/>
      <c r="S22" s="60"/>
      <c r="T22" s="60"/>
      <c r="U22" s="60"/>
      <c r="V22" s="60"/>
      <c r="W22" s="60"/>
      <c r="X22" s="60"/>
      <c r="Y22" s="60"/>
      <c r="Z22" s="58"/>
      <c r="AA22"/>
      <c r="AB22"/>
    </row>
    <row r="23" spans="1:30" ht="15.75" thickBot="1" x14ac:dyDescent="0.25">
      <c r="A23" s="61" t="s">
        <v>11</v>
      </c>
      <c r="B23" s="62" t="s">
        <v>12</v>
      </c>
      <c r="C23" s="62" t="s">
        <v>13</v>
      </c>
      <c r="D23" s="62" t="s">
        <v>14</v>
      </c>
      <c r="E23" s="62" t="s">
        <v>15</v>
      </c>
      <c r="F23" s="62" t="s">
        <v>16</v>
      </c>
      <c r="G23" s="62" t="s">
        <v>17</v>
      </c>
      <c r="H23" s="62" t="s">
        <v>18</v>
      </c>
      <c r="I23" s="62" t="s">
        <v>19</v>
      </c>
      <c r="J23" s="62" t="s">
        <v>20</v>
      </c>
      <c r="K23" s="62" t="s">
        <v>21</v>
      </c>
      <c r="L23" s="62" t="s">
        <v>22</v>
      </c>
      <c r="M23" s="62" t="s">
        <v>23</v>
      </c>
      <c r="N23" s="62" t="s">
        <v>24</v>
      </c>
      <c r="O23" s="62" t="s">
        <v>25</v>
      </c>
      <c r="P23" s="62" t="s">
        <v>26</v>
      </c>
      <c r="Q23" s="62" t="s">
        <v>27</v>
      </c>
      <c r="R23" s="62" t="s">
        <v>28</v>
      </c>
      <c r="S23" s="62" t="s">
        <v>29</v>
      </c>
      <c r="T23" s="62" t="s">
        <v>30</v>
      </c>
      <c r="U23" s="62" t="s">
        <v>31</v>
      </c>
      <c r="V23" s="62" t="s">
        <v>32</v>
      </c>
      <c r="W23" s="62" t="s">
        <v>33</v>
      </c>
      <c r="X23" s="62" t="s">
        <v>34</v>
      </c>
      <c r="Y23" s="62" t="s">
        <v>35</v>
      </c>
      <c r="Z23" s="62" t="s">
        <v>7</v>
      </c>
      <c r="AA23" s="62" t="s">
        <v>36</v>
      </c>
      <c r="AB23" s="63"/>
    </row>
    <row r="24" spans="1:30" ht="15.75" x14ac:dyDescent="0.25">
      <c r="A24" s="64">
        <f t="shared" ref="A24:A35" si="2">+A8</f>
        <v>46388</v>
      </c>
      <c r="B24" s="46">
        <v>9.76</v>
      </c>
      <c r="C24" s="46">
        <v>8.83</v>
      </c>
      <c r="D24" s="46">
        <v>7.86</v>
      </c>
      <c r="E24" s="46">
        <v>7.33</v>
      </c>
      <c r="F24" s="46">
        <v>7.52</v>
      </c>
      <c r="G24" s="46">
        <v>8.5</v>
      </c>
      <c r="H24" s="46">
        <v>10.39</v>
      </c>
      <c r="I24" s="46">
        <v>7.06</v>
      </c>
      <c r="J24" s="46">
        <v>9.59</v>
      </c>
      <c r="K24" s="46">
        <v>12.49</v>
      </c>
      <c r="L24" s="46">
        <v>14.43</v>
      </c>
      <c r="M24" s="46">
        <v>16.079999999999998</v>
      </c>
      <c r="N24" s="46">
        <v>16.329999999999998</v>
      </c>
      <c r="O24" s="46">
        <v>15.34</v>
      </c>
      <c r="P24" s="46">
        <v>14.49</v>
      </c>
      <c r="Q24" s="46">
        <v>14.15</v>
      </c>
      <c r="R24" s="46">
        <v>13.55</v>
      </c>
      <c r="S24" s="46">
        <v>20.22</v>
      </c>
      <c r="T24" s="46">
        <v>21.24</v>
      </c>
      <c r="U24" s="46">
        <v>21.77</v>
      </c>
      <c r="V24" s="46">
        <v>20.23</v>
      </c>
      <c r="W24" s="46">
        <v>18.100000000000001</v>
      </c>
      <c r="X24" s="46">
        <v>15.32</v>
      </c>
      <c r="Y24" s="46">
        <v>13.83</v>
      </c>
      <c r="Z24" s="47">
        <f t="shared" ref="Z24:Z35" si="3">SUM(B24:Y24)</f>
        <v>324.41000000000003</v>
      </c>
      <c r="AA24" s="48">
        <v>5</v>
      </c>
      <c r="AB24" s="65">
        <f>+Z24*AA24</f>
        <v>1622.0500000000002</v>
      </c>
      <c r="AD24" s="72" t="s">
        <v>47</v>
      </c>
    </row>
    <row r="25" spans="1:30" ht="15.75" x14ac:dyDescent="0.25">
      <c r="A25" s="66">
        <f t="shared" si="2"/>
        <v>46419</v>
      </c>
      <c r="B25" s="49">
        <v>9.8699999999999992</v>
      </c>
      <c r="C25" s="49">
        <v>9.0299999999999994</v>
      </c>
      <c r="D25" s="49">
        <v>8.14</v>
      </c>
      <c r="E25" s="49">
        <v>7.68</v>
      </c>
      <c r="F25" s="49">
        <v>7.94</v>
      </c>
      <c r="G25" s="49">
        <v>9.33</v>
      </c>
      <c r="H25" s="49">
        <v>11.7</v>
      </c>
      <c r="I25" s="49">
        <v>8.3699999999999992</v>
      </c>
      <c r="J25" s="49">
        <v>10.89</v>
      </c>
      <c r="K25" s="49">
        <v>13.36</v>
      </c>
      <c r="L25" s="49">
        <v>15.34</v>
      </c>
      <c r="M25" s="49">
        <v>16.600000000000001</v>
      </c>
      <c r="N25" s="49">
        <v>16.57</v>
      </c>
      <c r="O25" s="49">
        <v>15.92</v>
      </c>
      <c r="P25" s="49">
        <v>15.34</v>
      </c>
      <c r="Q25" s="49">
        <v>14.98</v>
      </c>
      <c r="R25" s="49">
        <v>14.59</v>
      </c>
      <c r="S25" s="49">
        <v>20.84</v>
      </c>
      <c r="T25" s="49">
        <v>21.16</v>
      </c>
      <c r="U25" s="49">
        <v>22.63</v>
      </c>
      <c r="V25" s="49">
        <v>21.21</v>
      </c>
      <c r="W25" s="49">
        <v>19.21</v>
      </c>
      <c r="X25" s="49">
        <v>16.3</v>
      </c>
      <c r="Y25" s="49">
        <v>14.81</v>
      </c>
      <c r="Z25" s="50">
        <f t="shared" si="3"/>
        <v>341.80999999999995</v>
      </c>
      <c r="AA25" s="51">
        <v>4</v>
      </c>
      <c r="AB25" s="67">
        <f>+Z25*AA25</f>
        <v>1367.2399999999998</v>
      </c>
      <c r="AD25" s="72" t="s">
        <v>47</v>
      </c>
    </row>
    <row r="26" spans="1:30" ht="15.75" x14ac:dyDescent="0.25">
      <c r="A26" s="66">
        <f t="shared" si="2"/>
        <v>46447</v>
      </c>
      <c r="B26" s="49">
        <v>9.44</v>
      </c>
      <c r="C26" s="49">
        <v>8.5500000000000007</v>
      </c>
      <c r="D26" s="49">
        <v>7.69</v>
      </c>
      <c r="E26" s="49">
        <v>7.24</v>
      </c>
      <c r="F26" s="49">
        <v>7.64</v>
      </c>
      <c r="G26" s="49">
        <v>8.93</v>
      </c>
      <c r="H26" s="49">
        <v>10.92</v>
      </c>
      <c r="I26" s="49">
        <v>8.0500000000000007</v>
      </c>
      <c r="J26" s="49">
        <v>10.66</v>
      </c>
      <c r="K26" s="49">
        <v>12.89</v>
      </c>
      <c r="L26" s="49">
        <v>14.76</v>
      </c>
      <c r="M26" s="49">
        <v>16.5</v>
      </c>
      <c r="N26" s="49">
        <v>16.45</v>
      </c>
      <c r="O26" s="49">
        <v>15.3</v>
      </c>
      <c r="P26" s="49">
        <v>14.52</v>
      </c>
      <c r="Q26" s="49">
        <v>14.12</v>
      </c>
      <c r="R26" s="49">
        <v>13.72</v>
      </c>
      <c r="S26" s="49">
        <v>20.37</v>
      </c>
      <c r="T26" s="49">
        <v>20.56</v>
      </c>
      <c r="U26" s="49">
        <v>21.21</v>
      </c>
      <c r="V26" s="49">
        <v>19.8</v>
      </c>
      <c r="W26" s="49">
        <v>17.899999999999999</v>
      </c>
      <c r="X26" s="49">
        <v>15.11</v>
      </c>
      <c r="Y26" s="49">
        <v>13.62</v>
      </c>
      <c r="Z26" s="50">
        <f t="shared" si="3"/>
        <v>325.95000000000005</v>
      </c>
      <c r="AA26" s="51">
        <v>4</v>
      </c>
      <c r="AB26" s="67">
        <f t="shared" ref="AB26:AB35" si="4">+Z26*AA26</f>
        <v>1303.8000000000002</v>
      </c>
      <c r="AD26" s="72" t="s">
        <v>47</v>
      </c>
    </row>
    <row r="27" spans="1:30" ht="15.75" x14ac:dyDescent="0.25">
      <c r="A27" s="66">
        <f t="shared" si="2"/>
        <v>46478</v>
      </c>
      <c r="B27" s="49">
        <v>9.94</v>
      </c>
      <c r="C27" s="49">
        <v>8.94</v>
      </c>
      <c r="D27" s="49">
        <v>7.95</v>
      </c>
      <c r="E27" s="49">
        <v>7.44</v>
      </c>
      <c r="F27" s="49">
        <v>7.71</v>
      </c>
      <c r="G27" s="49">
        <v>8.41</v>
      </c>
      <c r="H27" s="49">
        <v>10.91</v>
      </c>
      <c r="I27" s="49">
        <v>8.1</v>
      </c>
      <c r="J27" s="49">
        <v>10.64</v>
      </c>
      <c r="K27" s="49">
        <v>13.27</v>
      </c>
      <c r="L27" s="49">
        <v>15.24</v>
      </c>
      <c r="M27" s="49">
        <v>16.82</v>
      </c>
      <c r="N27" s="49">
        <v>16.940000000000001</v>
      </c>
      <c r="O27" s="49">
        <v>15.69</v>
      </c>
      <c r="P27" s="49">
        <v>15.03</v>
      </c>
      <c r="Q27" s="49">
        <v>14.64</v>
      </c>
      <c r="R27" s="49">
        <v>13.94</v>
      </c>
      <c r="S27" s="49">
        <v>20.75</v>
      </c>
      <c r="T27" s="49">
        <v>21.52</v>
      </c>
      <c r="U27" s="49">
        <v>22.34</v>
      </c>
      <c r="V27" s="49">
        <v>20.88</v>
      </c>
      <c r="W27" s="49">
        <v>18.8</v>
      </c>
      <c r="X27" s="49">
        <v>16.02</v>
      </c>
      <c r="Y27" s="49">
        <v>14.52</v>
      </c>
      <c r="Z27" s="50">
        <f t="shared" si="3"/>
        <v>336.43999999999994</v>
      </c>
      <c r="AA27" s="51">
        <v>4</v>
      </c>
      <c r="AB27" s="67">
        <f t="shared" si="4"/>
        <v>1345.7599999999998</v>
      </c>
      <c r="AD27" s="72" t="s">
        <v>47</v>
      </c>
    </row>
    <row r="28" spans="1:30" ht="15.75" x14ac:dyDescent="0.25">
      <c r="A28" s="66">
        <f t="shared" si="2"/>
        <v>46508</v>
      </c>
      <c r="B28" s="49">
        <v>9.36</v>
      </c>
      <c r="C28" s="49">
        <v>8.57</v>
      </c>
      <c r="D28" s="49">
        <v>7.68</v>
      </c>
      <c r="E28" s="49">
        <v>7.24</v>
      </c>
      <c r="F28" s="49">
        <v>7.59</v>
      </c>
      <c r="G28" s="49">
        <v>8.36</v>
      </c>
      <c r="H28" s="49">
        <v>11.24</v>
      </c>
      <c r="I28" s="49">
        <v>8.51</v>
      </c>
      <c r="J28" s="49">
        <v>11.12</v>
      </c>
      <c r="K28" s="49">
        <v>13.99</v>
      </c>
      <c r="L28" s="49">
        <v>15.8</v>
      </c>
      <c r="M28" s="49">
        <v>17.28</v>
      </c>
      <c r="N28" s="49">
        <v>16.95</v>
      </c>
      <c r="O28" s="49">
        <v>15.51</v>
      </c>
      <c r="P28" s="49">
        <v>14.92</v>
      </c>
      <c r="Q28" s="49">
        <v>14.46</v>
      </c>
      <c r="R28" s="49">
        <v>13.83</v>
      </c>
      <c r="S28" s="49">
        <v>20.73</v>
      </c>
      <c r="T28" s="49">
        <v>21.58</v>
      </c>
      <c r="U28" s="49">
        <v>22.44</v>
      </c>
      <c r="V28" s="49">
        <v>20.79</v>
      </c>
      <c r="W28" s="49">
        <v>18.690000000000001</v>
      </c>
      <c r="X28" s="49">
        <v>15.78</v>
      </c>
      <c r="Y28" s="49">
        <v>14.23</v>
      </c>
      <c r="Z28" s="50">
        <f t="shared" si="3"/>
        <v>336.65</v>
      </c>
      <c r="AA28" s="51">
        <v>4</v>
      </c>
      <c r="AB28" s="67">
        <f t="shared" si="4"/>
        <v>1346.6</v>
      </c>
      <c r="AD28" s="72" t="s">
        <v>47</v>
      </c>
    </row>
    <row r="29" spans="1:30" ht="15.75" x14ac:dyDescent="0.25">
      <c r="A29" s="66">
        <f t="shared" si="2"/>
        <v>46539</v>
      </c>
      <c r="B29" s="49">
        <v>9.43</v>
      </c>
      <c r="C29" s="49">
        <v>8.5299999999999994</v>
      </c>
      <c r="D29" s="49">
        <v>7.6</v>
      </c>
      <c r="E29" s="49">
        <v>7.17</v>
      </c>
      <c r="F29" s="49">
        <v>7.51</v>
      </c>
      <c r="G29" s="49">
        <v>8.61</v>
      </c>
      <c r="H29" s="49">
        <v>10.95</v>
      </c>
      <c r="I29" s="49">
        <v>8.1</v>
      </c>
      <c r="J29" s="49">
        <v>10.79</v>
      </c>
      <c r="K29" s="49">
        <v>13.63</v>
      </c>
      <c r="L29" s="49">
        <v>15.4</v>
      </c>
      <c r="M29" s="49">
        <v>17.100000000000001</v>
      </c>
      <c r="N29" s="49">
        <v>17.309999999999999</v>
      </c>
      <c r="O29" s="49">
        <v>16.23</v>
      </c>
      <c r="P29" s="49">
        <v>15.22</v>
      </c>
      <c r="Q29" s="49">
        <v>14.45</v>
      </c>
      <c r="R29" s="49">
        <v>13.78</v>
      </c>
      <c r="S29" s="49">
        <v>20.69</v>
      </c>
      <c r="T29" s="49">
        <v>21.59</v>
      </c>
      <c r="U29" s="49">
        <v>22.44</v>
      </c>
      <c r="V29" s="49">
        <v>20.74</v>
      </c>
      <c r="W29" s="49">
        <v>18.48</v>
      </c>
      <c r="X29" s="49">
        <v>15.36</v>
      </c>
      <c r="Y29" s="49">
        <v>13.65</v>
      </c>
      <c r="Z29" s="50">
        <f t="shared" si="3"/>
        <v>334.76</v>
      </c>
      <c r="AA29" s="51">
        <v>4</v>
      </c>
      <c r="AB29" s="67">
        <f t="shared" si="4"/>
        <v>1339.04</v>
      </c>
      <c r="AD29" s="72" t="s">
        <v>47</v>
      </c>
    </row>
    <row r="30" spans="1:30" ht="15.75" x14ac:dyDescent="0.25">
      <c r="A30" s="66">
        <f t="shared" si="2"/>
        <v>46569</v>
      </c>
      <c r="B30" s="49">
        <v>8.51</v>
      </c>
      <c r="C30" s="49">
        <v>7.45</v>
      </c>
      <c r="D30" s="49">
        <v>6.26</v>
      </c>
      <c r="E30" s="49">
        <v>5.82</v>
      </c>
      <c r="F30" s="49">
        <v>6.13</v>
      </c>
      <c r="G30" s="49">
        <v>6.89</v>
      </c>
      <c r="H30" s="49">
        <v>9.52</v>
      </c>
      <c r="I30" s="49">
        <v>6.1</v>
      </c>
      <c r="J30" s="49">
        <v>9.14</v>
      </c>
      <c r="K30" s="49">
        <v>12.17</v>
      </c>
      <c r="L30" s="49">
        <v>14.12</v>
      </c>
      <c r="M30" s="49">
        <v>15.96</v>
      </c>
      <c r="N30" s="49">
        <v>16.190000000000001</v>
      </c>
      <c r="O30" s="49">
        <v>14.93</v>
      </c>
      <c r="P30" s="49">
        <v>13.73</v>
      </c>
      <c r="Q30" s="49">
        <v>12.76</v>
      </c>
      <c r="R30" s="49">
        <v>12.17</v>
      </c>
      <c r="S30" s="49">
        <v>20.91</v>
      </c>
      <c r="T30" s="49">
        <v>21.28</v>
      </c>
      <c r="U30" s="49">
        <v>22.97</v>
      </c>
      <c r="V30" s="49">
        <v>21.2</v>
      </c>
      <c r="W30" s="49">
        <v>19.04</v>
      </c>
      <c r="X30" s="49">
        <v>16.04</v>
      </c>
      <c r="Y30" s="49">
        <v>14.37</v>
      </c>
      <c r="Z30" s="50">
        <f t="shared" si="3"/>
        <v>313.66000000000003</v>
      </c>
      <c r="AA30" s="51">
        <v>5</v>
      </c>
      <c r="AB30" s="67">
        <f t="shared" si="4"/>
        <v>1568.3000000000002</v>
      </c>
      <c r="AD30" s="72" t="s">
        <v>47</v>
      </c>
    </row>
    <row r="31" spans="1:30" ht="15.75" x14ac:dyDescent="0.25">
      <c r="A31" s="66">
        <f t="shared" si="2"/>
        <v>46600</v>
      </c>
      <c r="B31" s="49">
        <v>9.1199999999999992</v>
      </c>
      <c r="C31" s="49">
        <v>8.14</v>
      </c>
      <c r="D31" s="49">
        <v>7.09</v>
      </c>
      <c r="E31" s="49">
        <v>6.54</v>
      </c>
      <c r="F31" s="49">
        <v>6.91</v>
      </c>
      <c r="G31" s="49">
        <v>7.96</v>
      </c>
      <c r="H31" s="49">
        <v>10.67</v>
      </c>
      <c r="I31" s="49">
        <v>7.18</v>
      </c>
      <c r="J31" s="49">
        <v>9.9600000000000009</v>
      </c>
      <c r="K31" s="49">
        <v>12.81</v>
      </c>
      <c r="L31" s="49">
        <v>14.82</v>
      </c>
      <c r="M31" s="49">
        <v>16.54</v>
      </c>
      <c r="N31" s="49">
        <v>16.57</v>
      </c>
      <c r="O31" s="49">
        <v>15.26</v>
      </c>
      <c r="P31" s="49">
        <v>14.2</v>
      </c>
      <c r="Q31" s="49">
        <v>13.23</v>
      </c>
      <c r="R31" s="49">
        <v>12.52</v>
      </c>
      <c r="S31" s="49">
        <v>20.97</v>
      </c>
      <c r="T31" s="49">
        <v>21.68</v>
      </c>
      <c r="U31" s="49">
        <v>22.92</v>
      </c>
      <c r="V31" s="49">
        <v>21.28</v>
      </c>
      <c r="W31" s="49">
        <v>19.170000000000002</v>
      </c>
      <c r="X31" s="49">
        <v>16.21</v>
      </c>
      <c r="Y31" s="49">
        <v>14.44</v>
      </c>
      <c r="Z31" s="50">
        <f t="shared" si="3"/>
        <v>326.19</v>
      </c>
      <c r="AA31" s="51">
        <v>3</v>
      </c>
      <c r="AB31" s="67">
        <f t="shared" si="4"/>
        <v>978.56999999999994</v>
      </c>
      <c r="AD31" s="72" t="s">
        <v>47</v>
      </c>
    </row>
    <row r="32" spans="1:30" ht="15.75" x14ac:dyDescent="0.25">
      <c r="A32" s="66">
        <f t="shared" si="2"/>
        <v>46631</v>
      </c>
      <c r="B32" s="49">
        <v>8.6199999999999992</v>
      </c>
      <c r="C32" s="49">
        <v>7.71</v>
      </c>
      <c r="D32" s="49">
        <v>6.72</v>
      </c>
      <c r="E32" s="49">
        <v>6.16</v>
      </c>
      <c r="F32" s="49">
        <v>6.55</v>
      </c>
      <c r="G32" s="49">
        <v>7.54</v>
      </c>
      <c r="H32" s="49">
        <v>10.35</v>
      </c>
      <c r="I32" s="49">
        <v>7.34</v>
      </c>
      <c r="J32" s="49">
        <v>10.19</v>
      </c>
      <c r="K32" s="49">
        <v>12.88</v>
      </c>
      <c r="L32" s="49">
        <v>15.16</v>
      </c>
      <c r="M32" s="49">
        <v>17</v>
      </c>
      <c r="N32" s="49">
        <v>16.2</v>
      </c>
      <c r="O32" s="49">
        <v>15.58</v>
      </c>
      <c r="P32" s="49">
        <v>14.33</v>
      </c>
      <c r="Q32" s="49">
        <v>13.71</v>
      </c>
      <c r="R32" s="49">
        <v>12.86</v>
      </c>
      <c r="S32" s="49">
        <v>22.54</v>
      </c>
      <c r="T32" s="49">
        <v>23.67</v>
      </c>
      <c r="U32" s="49">
        <v>23.29</v>
      </c>
      <c r="V32" s="49">
        <v>21.44</v>
      </c>
      <c r="W32" s="49">
        <v>19.07</v>
      </c>
      <c r="X32" s="49">
        <v>15.85</v>
      </c>
      <c r="Y32" s="49">
        <v>14.18</v>
      </c>
      <c r="Z32" s="50">
        <f t="shared" si="3"/>
        <v>328.94000000000005</v>
      </c>
      <c r="AA32" s="51">
        <v>4</v>
      </c>
      <c r="AB32" s="67">
        <f t="shared" si="4"/>
        <v>1315.7600000000002</v>
      </c>
      <c r="AD32" s="72" t="s">
        <v>47</v>
      </c>
    </row>
    <row r="33" spans="1:30" ht="15.75" x14ac:dyDescent="0.25">
      <c r="A33" s="66">
        <f t="shared" si="2"/>
        <v>46661</v>
      </c>
      <c r="B33" s="49">
        <v>8.7799999999999994</v>
      </c>
      <c r="C33" s="49">
        <v>7.78</v>
      </c>
      <c r="D33" s="49">
        <v>6.8</v>
      </c>
      <c r="E33" s="49">
        <v>6.4</v>
      </c>
      <c r="F33" s="49">
        <v>6.78</v>
      </c>
      <c r="G33" s="49">
        <v>7.27</v>
      </c>
      <c r="H33" s="49">
        <v>10.23</v>
      </c>
      <c r="I33" s="49">
        <v>7.1</v>
      </c>
      <c r="J33" s="49">
        <v>10.1</v>
      </c>
      <c r="K33" s="49">
        <v>12.83</v>
      </c>
      <c r="L33" s="49">
        <v>14.94</v>
      </c>
      <c r="M33" s="49">
        <v>16.73</v>
      </c>
      <c r="N33" s="49">
        <v>16.72</v>
      </c>
      <c r="O33" s="49">
        <v>15.62</v>
      </c>
      <c r="P33" s="49">
        <v>14.74</v>
      </c>
      <c r="Q33" s="49">
        <v>13.92</v>
      </c>
      <c r="R33" s="49">
        <v>13.09</v>
      </c>
      <c r="S33" s="49">
        <v>22.44</v>
      </c>
      <c r="T33" s="49">
        <v>23.89</v>
      </c>
      <c r="U33" s="49">
        <v>23.08</v>
      </c>
      <c r="V33" s="49">
        <v>20.93</v>
      </c>
      <c r="W33" s="49">
        <v>18.78</v>
      </c>
      <c r="X33" s="49">
        <v>16.02</v>
      </c>
      <c r="Y33" s="49">
        <v>14.38</v>
      </c>
      <c r="Z33" s="50">
        <f t="shared" si="3"/>
        <v>329.35</v>
      </c>
      <c r="AA33" s="51">
        <v>5</v>
      </c>
      <c r="AB33" s="67">
        <f t="shared" si="4"/>
        <v>1646.75</v>
      </c>
      <c r="AD33" s="72" t="s">
        <v>47</v>
      </c>
    </row>
    <row r="34" spans="1:30" ht="15.75" x14ac:dyDescent="0.25">
      <c r="A34" s="66">
        <f t="shared" si="2"/>
        <v>46692</v>
      </c>
      <c r="B34" s="49">
        <v>9</v>
      </c>
      <c r="C34" s="49">
        <v>7.98</v>
      </c>
      <c r="D34" s="49">
        <v>6.97</v>
      </c>
      <c r="E34" s="49">
        <v>6.43</v>
      </c>
      <c r="F34" s="49">
        <v>6.81</v>
      </c>
      <c r="G34" s="49">
        <v>7.44</v>
      </c>
      <c r="H34" s="49">
        <v>10.44</v>
      </c>
      <c r="I34" s="49">
        <v>7.54</v>
      </c>
      <c r="J34" s="49">
        <v>10.41</v>
      </c>
      <c r="K34" s="49">
        <v>13.15</v>
      </c>
      <c r="L34" s="49">
        <v>15.4</v>
      </c>
      <c r="M34" s="49">
        <v>17.38</v>
      </c>
      <c r="N34" s="49">
        <v>17.29</v>
      </c>
      <c r="O34" s="49">
        <v>15.91</v>
      </c>
      <c r="P34" s="49">
        <v>14.87</v>
      </c>
      <c r="Q34" s="49">
        <v>14.43</v>
      </c>
      <c r="R34" s="49">
        <v>13.84</v>
      </c>
      <c r="S34" s="49">
        <v>22.7</v>
      </c>
      <c r="T34" s="49">
        <v>24.6</v>
      </c>
      <c r="U34" s="49">
        <v>24.1</v>
      </c>
      <c r="V34" s="49">
        <v>22.12</v>
      </c>
      <c r="W34" s="49">
        <v>20.07</v>
      </c>
      <c r="X34" s="49">
        <v>16.850000000000001</v>
      </c>
      <c r="Y34" s="49">
        <v>15.09</v>
      </c>
      <c r="Z34" s="50">
        <f t="shared" si="3"/>
        <v>340.82</v>
      </c>
      <c r="AA34" s="51">
        <v>4</v>
      </c>
      <c r="AB34" s="67">
        <f t="shared" si="4"/>
        <v>1363.28</v>
      </c>
      <c r="AD34" s="72" t="s">
        <v>47</v>
      </c>
    </row>
    <row r="35" spans="1:30" ht="16.5" thickBot="1" x14ac:dyDescent="0.3">
      <c r="A35" s="68">
        <f t="shared" si="2"/>
        <v>46722</v>
      </c>
      <c r="B35" s="52">
        <v>9.25</v>
      </c>
      <c r="C35" s="52">
        <v>8.16</v>
      </c>
      <c r="D35" s="52">
        <v>7.09</v>
      </c>
      <c r="E35" s="52">
        <v>6.53</v>
      </c>
      <c r="F35" s="52">
        <v>6.86</v>
      </c>
      <c r="G35" s="52">
        <v>7.67</v>
      </c>
      <c r="H35" s="52">
        <v>10.27</v>
      </c>
      <c r="I35" s="52">
        <v>7.3</v>
      </c>
      <c r="J35" s="52">
        <v>10.11</v>
      </c>
      <c r="K35" s="52">
        <v>12.69</v>
      </c>
      <c r="L35" s="52">
        <v>14.69</v>
      </c>
      <c r="M35" s="52">
        <v>16.489999999999998</v>
      </c>
      <c r="N35" s="52">
        <v>16.45</v>
      </c>
      <c r="O35" s="52">
        <v>15.06</v>
      </c>
      <c r="P35" s="52">
        <v>13.84</v>
      </c>
      <c r="Q35" s="52">
        <v>13.21</v>
      </c>
      <c r="R35" s="52">
        <v>12.94</v>
      </c>
      <c r="S35" s="52">
        <v>21.5</v>
      </c>
      <c r="T35" s="52">
        <v>22.83</v>
      </c>
      <c r="U35" s="52">
        <v>22.53</v>
      </c>
      <c r="V35" s="52">
        <v>20.8</v>
      </c>
      <c r="W35" s="52">
        <v>18.649999999999999</v>
      </c>
      <c r="X35" s="52">
        <v>15.81</v>
      </c>
      <c r="Y35" s="52">
        <v>14.34</v>
      </c>
      <c r="Z35" s="53">
        <f t="shared" si="3"/>
        <v>325.06999999999994</v>
      </c>
      <c r="AA35" s="54">
        <v>3</v>
      </c>
      <c r="AB35" s="69">
        <f t="shared" si="4"/>
        <v>975.20999999999981</v>
      </c>
      <c r="AD35" s="72" t="s">
        <v>47</v>
      </c>
    </row>
    <row r="36" spans="1:30" ht="16.5" thickBot="1" x14ac:dyDescent="0.3">
      <c r="A36"/>
      <c r="B36" s="70"/>
      <c r="C36" s="60"/>
      <c r="D36" s="60"/>
      <c r="E36" s="60"/>
      <c r="F36" s="60"/>
      <c r="G36" s="60"/>
      <c r="H36" s="60"/>
      <c r="I36" s="60"/>
      <c r="J36" s="60"/>
      <c r="K36" s="60"/>
      <c r="L36" s="60"/>
      <c r="M36" s="60"/>
      <c r="N36" s="60"/>
      <c r="O36" s="60"/>
      <c r="P36" s="60"/>
      <c r="Q36" s="60"/>
      <c r="R36" s="60"/>
      <c r="S36" s="60"/>
      <c r="T36" s="60"/>
      <c r="U36" s="60"/>
      <c r="V36" s="60"/>
      <c r="W36" s="60"/>
      <c r="X36" s="60"/>
      <c r="Y36" s="60"/>
      <c r="Z36" s="58"/>
      <c r="AA36" s="38"/>
      <c r="AB36"/>
    </row>
    <row r="37" spans="1:30" ht="16.5" thickBot="1" x14ac:dyDescent="0.3">
      <c r="A37" s="36" t="s">
        <v>48</v>
      </c>
      <c r="B37" s="60"/>
      <c r="C37" s="60"/>
      <c r="D37" s="60"/>
      <c r="E37" s="71"/>
      <c r="F37" s="60"/>
      <c r="G37" s="60"/>
      <c r="H37" s="60"/>
      <c r="I37" s="60"/>
      <c r="J37" s="60"/>
      <c r="K37" s="60"/>
      <c r="L37" s="60"/>
      <c r="M37" s="60"/>
      <c r="N37" s="60"/>
      <c r="O37" s="60"/>
      <c r="P37" s="60"/>
      <c r="Q37" s="60"/>
      <c r="R37" s="60"/>
      <c r="S37" s="60"/>
      <c r="T37" s="60"/>
      <c r="U37" s="60"/>
      <c r="V37" s="60"/>
      <c r="W37" s="60"/>
      <c r="X37" s="60"/>
      <c r="Y37" s="60"/>
      <c r="Z37" s="58"/>
      <c r="AA37" s="38"/>
      <c r="AB37"/>
    </row>
    <row r="38" spans="1:30" ht="16.5" thickBot="1" x14ac:dyDescent="0.3">
      <c r="A38"/>
      <c r="B38" s="70"/>
      <c r="C38" s="60"/>
      <c r="D38" s="60"/>
      <c r="E38" s="60"/>
      <c r="F38" s="60"/>
      <c r="G38" s="60"/>
      <c r="H38" s="60"/>
      <c r="I38" s="60"/>
      <c r="J38" s="60"/>
      <c r="K38" s="60"/>
      <c r="L38" s="60"/>
      <c r="M38" s="60"/>
      <c r="N38" s="60"/>
      <c r="O38" s="60"/>
      <c r="P38" s="60"/>
      <c r="Q38" s="60"/>
      <c r="R38" s="60"/>
      <c r="S38" s="60"/>
      <c r="T38" s="60"/>
      <c r="U38" s="60"/>
      <c r="V38" s="60"/>
      <c r="W38" s="60"/>
      <c r="X38" s="60"/>
      <c r="Y38" s="60"/>
      <c r="Z38" s="58"/>
      <c r="AA38"/>
      <c r="AB38"/>
    </row>
    <row r="39" spans="1:30" ht="15.75" thickBot="1" x14ac:dyDescent="0.25">
      <c r="A39" s="61" t="s">
        <v>11</v>
      </c>
      <c r="B39" s="62" t="s">
        <v>12</v>
      </c>
      <c r="C39" s="62" t="s">
        <v>13</v>
      </c>
      <c r="D39" s="62" t="s">
        <v>14</v>
      </c>
      <c r="E39" s="62" t="s">
        <v>15</v>
      </c>
      <c r="F39" s="62" t="s">
        <v>16</v>
      </c>
      <c r="G39" s="62" t="s">
        <v>17</v>
      </c>
      <c r="H39" s="62" t="s">
        <v>18</v>
      </c>
      <c r="I39" s="62" t="s">
        <v>19</v>
      </c>
      <c r="J39" s="62" t="s">
        <v>20</v>
      </c>
      <c r="K39" s="62" t="s">
        <v>21</v>
      </c>
      <c r="L39" s="62" t="s">
        <v>22</v>
      </c>
      <c r="M39" s="62" t="s">
        <v>23</v>
      </c>
      <c r="N39" s="62" t="s">
        <v>24</v>
      </c>
      <c r="O39" s="62" t="s">
        <v>25</v>
      </c>
      <c r="P39" s="62" t="s">
        <v>26</v>
      </c>
      <c r="Q39" s="62" t="s">
        <v>27</v>
      </c>
      <c r="R39" s="62" t="s">
        <v>28</v>
      </c>
      <c r="S39" s="62" t="s">
        <v>29</v>
      </c>
      <c r="T39" s="62" t="s">
        <v>30</v>
      </c>
      <c r="U39" s="62" t="s">
        <v>31</v>
      </c>
      <c r="V39" s="62" t="s">
        <v>32</v>
      </c>
      <c r="W39" s="62" t="s">
        <v>33</v>
      </c>
      <c r="X39" s="62" t="s">
        <v>34</v>
      </c>
      <c r="Y39" s="62" t="s">
        <v>35</v>
      </c>
      <c r="Z39" s="62" t="s">
        <v>7</v>
      </c>
      <c r="AA39" s="62" t="s">
        <v>36</v>
      </c>
      <c r="AB39" s="63"/>
    </row>
    <row r="40" spans="1:30" ht="15.75" x14ac:dyDescent="0.25">
      <c r="A40" s="64">
        <f t="shared" ref="A40:A51" si="5">+A24</f>
        <v>46388</v>
      </c>
      <c r="B40" s="46">
        <v>10</v>
      </c>
      <c r="C40" s="46">
        <v>9.1199999999999992</v>
      </c>
      <c r="D40" s="46">
        <v>7.76</v>
      </c>
      <c r="E40" s="46">
        <v>7.24</v>
      </c>
      <c r="F40" s="46">
        <v>6.91</v>
      </c>
      <c r="G40" s="46">
        <v>7.04</v>
      </c>
      <c r="H40" s="46">
        <v>7.48</v>
      </c>
      <c r="I40" s="46">
        <v>2.0499999999999998</v>
      </c>
      <c r="J40" s="46">
        <v>3.26</v>
      </c>
      <c r="K40" s="46">
        <v>5.32</v>
      </c>
      <c r="L40" s="46">
        <v>7.05</v>
      </c>
      <c r="M40" s="46">
        <v>8.66</v>
      </c>
      <c r="N40" s="46">
        <v>9.7799999999999994</v>
      </c>
      <c r="O40" s="46">
        <v>9.92</v>
      </c>
      <c r="P40" s="46">
        <v>9.4499999999999993</v>
      </c>
      <c r="Q40" s="46">
        <v>9.2200000000000006</v>
      </c>
      <c r="R40" s="46">
        <v>9.1199999999999992</v>
      </c>
      <c r="S40" s="46">
        <v>15.99</v>
      </c>
      <c r="T40" s="46">
        <v>17.2</v>
      </c>
      <c r="U40" s="46">
        <v>18.940000000000001</v>
      </c>
      <c r="V40" s="46">
        <v>18.43</v>
      </c>
      <c r="W40" s="46">
        <v>16.64</v>
      </c>
      <c r="X40" s="46">
        <v>14.01</v>
      </c>
      <c r="Y40" s="46">
        <v>12.67</v>
      </c>
      <c r="Z40" s="47">
        <f t="shared" ref="Z40:Z51" si="6">SUM(B40:Y40)</f>
        <v>243.25999999999996</v>
      </c>
      <c r="AA40" s="48">
        <v>6</v>
      </c>
      <c r="AB40" s="65">
        <f>+Z40*AA40</f>
        <v>1459.5599999999997</v>
      </c>
      <c r="AD40" s="72" t="s">
        <v>49</v>
      </c>
    </row>
    <row r="41" spans="1:30" ht="15.75" x14ac:dyDescent="0.25">
      <c r="A41" s="66">
        <f t="shared" si="5"/>
        <v>46419</v>
      </c>
      <c r="B41" s="49">
        <v>10.26</v>
      </c>
      <c r="C41" s="49">
        <v>9.2899999999999991</v>
      </c>
      <c r="D41" s="49">
        <v>8.06</v>
      </c>
      <c r="E41" s="49">
        <v>7.41</v>
      </c>
      <c r="F41" s="49">
        <v>7.32</v>
      </c>
      <c r="G41" s="49">
        <v>7.81</v>
      </c>
      <c r="H41" s="49">
        <v>8.69</v>
      </c>
      <c r="I41" s="49">
        <v>3.73</v>
      </c>
      <c r="J41" s="49">
        <v>5.44</v>
      </c>
      <c r="K41" s="49">
        <v>7.73</v>
      </c>
      <c r="L41" s="49">
        <v>9.1</v>
      </c>
      <c r="M41" s="49">
        <v>10.6</v>
      </c>
      <c r="N41" s="49">
        <v>11.32</v>
      </c>
      <c r="O41" s="49">
        <v>10.97</v>
      </c>
      <c r="P41" s="49">
        <v>10.130000000000001</v>
      </c>
      <c r="Q41" s="49">
        <v>9.58</v>
      </c>
      <c r="R41" s="49">
        <v>9.23</v>
      </c>
      <c r="S41" s="49">
        <v>16.28</v>
      </c>
      <c r="T41" s="49">
        <v>16.73</v>
      </c>
      <c r="U41" s="49">
        <v>19.559999999999999</v>
      </c>
      <c r="V41" s="49">
        <v>18.920000000000002</v>
      </c>
      <c r="W41" s="49">
        <v>16.8</v>
      </c>
      <c r="X41" s="49">
        <v>13.5</v>
      </c>
      <c r="Y41" s="49">
        <v>11.52</v>
      </c>
      <c r="Z41" s="50">
        <f t="shared" si="6"/>
        <v>259.97999999999996</v>
      </c>
      <c r="AA41" s="51">
        <v>4</v>
      </c>
      <c r="AB41" s="67">
        <f>+Z41*AA41</f>
        <v>1039.9199999999998</v>
      </c>
      <c r="AD41" s="72" t="s">
        <v>49</v>
      </c>
    </row>
    <row r="42" spans="1:30" ht="15.75" x14ac:dyDescent="0.25">
      <c r="A42" s="66">
        <f t="shared" si="5"/>
        <v>46447</v>
      </c>
      <c r="B42" s="49">
        <v>9.51</v>
      </c>
      <c r="C42" s="49">
        <v>8.59</v>
      </c>
      <c r="D42" s="49">
        <v>7.6</v>
      </c>
      <c r="E42" s="49">
        <v>7.02</v>
      </c>
      <c r="F42" s="49">
        <v>6.84</v>
      </c>
      <c r="G42" s="49">
        <v>7.37</v>
      </c>
      <c r="H42" s="49">
        <v>8.15</v>
      </c>
      <c r="I42" s="49">
        <v>3.53</v>
      </c>
      <c r="J42" s="49">
        <v>4.9800000000000004</v>
      </c>
      <c r="K42" s="49">
        <v>6.99</v>
      </c>
      <c r="L42" s="49">
        <v>8.26</v>
      </c>
      <c r="M42" s="49">
        <v>9.48</v>
      </c>
      <c r="N42" s="49">
        <v>10.44</v>
      </c>
      <c r="O42" s="49">
        <v>10.4</v>
      </c>
      <c r="P42" s="49">
        <v>9.57</v>
      </c>
      <c r="Q42" s="49">
        <v>9.1999999999999993</v>
      </c>
      <c r="R42" s="49">
        <v>9.2200000000000006</v>
      </c>
      <c r="S42" s="49">
        <v>16.48</v>
      </c>
      <c r="T42" s="49">
        <v>17.5</v>
      </c>
      <c r="U42" s="49">
        <v>19.14</v>
      </c>
      <c r="V42" s="49">
        <v>18.170000000000002</v>
      </c>
      <c r="W42" s="49">
        <v>16.100000000000001</v>
      </c>
      <c r="X42" s="49">
        <v>13.25</v>
      </c>
      <c r="Y42" s="49">
        <v>11.47</v>
      </c>
      <c r="Z42" s="50">
        <f t="shared" si="6"/>
        <v>249.26000000000005</v>
      </c>
      <c r="AA42" s="51">
        <v>6</v>
      </c>
      <c r="AB42" s="67">
        <f t="shared" ref="AB42:AB51" si="7">+Z42*AA42</f>
        <v>1495.5600000000004</v>
      </c>
      <c r="AD42" s="72" t="s">
        <v>49</v>
      </c>
    </row>
    <row r="43" spans="1:30" ht="15.75" x14ac:dyDescent="0.25">
      <c r="A43" s="66">
        <f t="shared" si="5"/>
        <v>46478</v>
      </c>
      <c r="B43" s="49">
        <v>9.4600000000000009</v>
      </c>
      <c r="C43" s="49">
        <v>8.42</v>
      </c>
      <c r="D43" s="49">
        <v>7.34</v>
      </c>
      <c r="E43" s="49">
        <v>6.76</v>
      </c>
      <c r="F43" s="49">
        <v>6.75</v>
      </c>
      <c r="G43" s="49">
        <v>6.78</v>
      </c>
      <c r="H43" s="49">
        <v>7.78</v>
      </c>
      <c r="I43" s="49">
        <v>3.45</v>
      </c>
      <c r="J43" s="49">
        <v>5.08</v>
      </c>
      <c r="K43" s="49">
        <v>7.32</v>
      </c>
      <c r="L43" s="49">
        <v>9.02</v>
      </c>
      <c r="M43" s="49">
        <v>10.77</v>
      </c>
      <c r="N43" s="49">
        <v>11.62</v>
      </c>
      <c r="O43" s="49">
        <v>11.18</v>
      </c>
      <c r="P43" s="49">
        <v>10.75</v>
      </c>
      <c r="Q43" s="49">
        <v>9.69</v>
      </c>
      <c r="R43" s="49">
        <v>9.4600000000000009</v>
      </c>
      <c r="S43" s="49">
        <v>17.09</v>
      </c>
      <c r="T43" s="49">
        <v>18.07</v>
      </c>
      <c r="U43" s="49">
        <v>19.239999999999998</v>
      </c>
      <c r="V43" s="49">
        <v>18.39</v>
      </c>
      <c r="W43" s="49">
        <v>16.440000000000001</v>
      </c>
      <c r="X43" s="49">
        <v>13.55</v>
      </c>
      <c r="Y43" s="49">
        <v>12.07</v>
      </c>
      <c r="Z43" s="50">
        <f t="shared" si="6"/>
        <v>256.48</v>
      </c>
      <c r="AA43" s="51">
        <v>4</v>
      </c>
      <c r="AB43" s="67">
        <f t="shared" si="7"/>
        <v>1025.92</v>
      </c>
      <c r="AD43" s="72" t="s">
        <v>49</v>
      </c>
    </row>
    <row r="44" spans="1:30" ht="15.75" x14ac:dyDescent="0.25">
      <c r="A44" s="66">
        <f t="shared" si="5"/>
        <v>46508</v>
      </c>
      <c r="B44" s="49">
        <v>9.44</v>
      </c>
      <c r="C44" s="49">
        <v>8.42</v>
      </c>
      <c r="D44" s="49">
        <v>7.41</v>
      </c>
      <c r="E44" s="49">
        <v>6.72</v>
      </c>
      <c r="F44" s="49">
        <v>6.54</v>
      </c>
      <c r="G44" s="49">
        <v>6.1</v>
      </c>
      <c r="H44" s="49">
        <v>7.9</v>
      </c>
      <c r="I44" s="49">
        <v>3.58</v>
      </c>
      <c r="J44" s="49">
        <v>5.3</v>
      </c>
      <c r="K44" s="49">
        <v>7.83</v>
      </c>
      <c r="L44" s="49">
        <v>9.48</v>
      </c>
      <c r="M44" s="49">
        <v>10.74</v>
      </c>
      <c r="N44" s="49">
        <v>10.94</v>
      </c>
      <c r="O44" s="49">
        <v>10.79</v>
      </c>
      <c r="P44" s="49">
        <v>9.5</v>
      </c>
      <c r="Q44" s="49">
        <v>9.6999999999999993</v>
      </c>
      <c r="R44" s="49">
        <v>9.6300000000000008</v>
      </c>
      <c r="S44" s="49">
        <v>16.96</v>
      </c>
      <c r="T44" s="49">
        <v>17.809999999999999</v>
      </c>
      <c r="U44" s="49">
        <v>19.61</v>
      </c>
      <c r="V44" s="49">
        <v>18.899999999999999</v>
      </c>
      <c r="W44" s="49">
        <v>16.84</v>
      </c>
      <c r="X44" s="49">
        <v>13.65</v>
      </c>
      <c r="Y44" s="49">
        <v>11.91</v>
      </c>
      <c r="Z44" s="50">
        <f t="shared" si="6"/>
        <v>255.7</v>
      </c>
      <c r="AA44" s="51">
        <v>6</v>
      </c>
      <c r="AB44" s="67">
        <f t="shared" si="7"/>
        <v>1534.1999999999998</v>
      </c>
      <c r="AD44" s="72" t="s">
        <v>49</v>
      </c>
    </row>
    <row r="45" spans="1:30" ht="15.75" x14ac:dyDescent="0.25">
      <c r="A45" s="66">
        <f t="shared" si="5"/>
        <v>46539</v>
      </c>
      <c r="B45" s="49">
        <v>9</v>
      </c>
      <c r="C45" s="49">
        <v>7.98</v>
      </c>
      <c r="D45" s="49">
        <v>6.99</v>
      </c>
      <c r="E45" s="49">
        <v>6.35</v>
      </c>
      <c r="F45" s="49">
        <v>6.3</v>
      </c>
      <c r="G45" s="49">
        <v>6.41</v>
      </c>
      <c r="H45" s="49">
        <v>7.72</v>
      </c>
      <c r="I45" s="49">
        <v>3.37</v>
      </c>
      <c r="J45" s="49">
        <v>5.0999999999999996</v>
      </c>
      <c r="K45" s="49">
        <v>7.49</v>
      </c>
      <c r="L45" s="49">
        <v>8.83</v>
      </c>
      <c r="M45" s="49">
        <v>10.029999999999999</v>
      </c>
      <c r="N45" s="49">
        <v>10.79</v>
      </c>
      <c r="O45" s="49">
        <v>10.77</v>
      </c>
      <c r="P45" s="49">
        <v>10</v>
      </c>
      <c r="Q45" s="49">
        <v>9.3800000000000008</v>
      </c>
      <c r="R45" s="49">
        <v>9.0399999999999991</v>
      </c>
      <c r="S45" s="49">
        <v>16.28</v>
      </c>
      <c r="T45" s="49">
        <v>17.010000000000002</v>
      </c>
      <c r="U45" s="49">
        <v>19.399999999999999</v>
      </c>
      <c r="V45" s="49">
        <v>18.62</v>
      </c>
      <c r="W45" s="49">
        <v>16.52</v>
      </c>
      <c r="X45" s="49">
        <v>13.64</v>
      </c>
      <c r="Y45" s="49">
        <v>11.9</v>
      </c>
      <c r="Z45" s="50">
        <f t="shared" si="6"/>
        <v>248.92</v>
      </c>
      <c r="AA45" s="51">
        <v>4</v>
      </c>
      <c r="AB45" s="67">
        <f t="shared" si="7"/>
        <v>995.68</v>
      </c>
      <c r="AD45" s="72" t="s">
        <v>49</v>
      </c>
    </row>
    <row r="46" spans="1:30" ht="15.75" x14ac:dyDescent="0.25">
      <c r="A46" s="66">
        <f t="shared" si="5"/>
        <v>46569</v>
      </c>
      <c r="B46" s="49">
        <v>8.18</v>
      </c>
      <c r="C46" s="49">
        <v>7.26</v>
      </c>
      <c r="D46" s="49">
        <v>6.17</v>
      </c>
      <c r="E46" s="49">
        <v>5.45</v>
      </c>
      <c r="F46" s="49">
        <v>5.38</v>
      </c>
      <c r="G46" s="49">
        <v>5.41</v>
      </c>
      <c r="H46" s="49">
        <v>6.47</v>
      </c>
      <c r="I46" s="49">
        <v>1.59</v>
      </c>
      <c r="J46" s="49">
        <v>3.41</v>
      </c>
      <c r="K46" s="49">
        <v>5.85</v>
      </c>
      <c r="L46" s="49">
        <v>7.36</v>
      </c>
      <c r="M46" s="49">
        <v>9.1</v>
      </c>
      <c r="N46" s="49">
        <v>9.77</v>
      </c>
      <c r="O46" s="49">
        <v>9.1999999999999993</v>
      </c>
      <c r="P46" s="49">
        <v>8.42</v>
      </c>
      <c r="Q46" s="49">
        <v>7.9</v>
      </c>
      <c r="R46" s="49">
        <v>7.91</v>
      </c>
      <c r="S46" s="49">
        <v>16.89</v>
      </c>
      <c r="T46" s="49">
        <v>17.23</v>
      </c>
      <c r="U46" s="49">
        <v>19.72</v>
      </c>
      <c r="V46" s="49">
        <v>19.04</v>
      </c>
      <c r="W46" s="49">
        <v>16.86</v>
      </c>
      <c r="X46" s="49">
        <v>13.7</v>
      </c>
      <c r="Y46" s="49">
        <v>11.88</v>
      </c>
      <c r="Z46" s="50">
        <f t="shared" si="6"/>
        <v>230.14999999999998</v>
      </c>
      <c r="AA46" s="51">
        <v>5</v>
      </c>
      <c r="AB46" s="67">
        <f t="shared" si="7"/>
        <v>1150.75</v>
      </c>
      <c r="AD46" s="72" t="s">
        <v>49</v>
      </c>
    </row>
    <row r="47" spans="1:30" ht="15.75" x14ac:dyDescent="0.25">
      <c r="A47" s="66">
        <f t="shared" si="5"/>
        <v>46600</v>
      </c>
      <c r="B47" s="49">
        <v>8.7799999999999994</v>
      </c>
      <c r="C47" s="49">
        <v>7.76</v>
      </c>
      <c r="D47" s="49">
        <v>6.71</v>
      </c>
      <c r="E47" s="49">
        <v>6.08</v>
      </c>
      <c r="F47" s="49">
        <v>5.94</v>
      </c>
      <c r="G47" s="49">
        <v>5.98</v>
      </c>
      <c r="H47" s="49">
        <v>6.74</v>
      </c>
      <c r="I47" s="49">
        <v>1.79</v>
      </c>
      <c r="J47" s="49">
        <v>3.7</v>
      </c>
      <c r="K47" s="49">
        <v>6.16</v>
      </c>
      <c r="L47" s="49">
        <v>8.01</v>
      </c>
      <c r="M47" s="49">
        <v>9.5500000000000007</v>
      </c>
      <c r="N47" s="49">
        <v>10.45</v>
      </c>
      <c r="O47" s="49">
        <v>10.33</v>
      </c>
      <c r="P47" s="49">
        <v>9.5500000000000007</v>
      </c>
      <c r="Q47" s="49">
        <v>8.98</v>
      </c>
      <c r="R47" s="49">
        <v>8.3800000000000008</v>
      </c>
      <c r="S47" s="49">
        <v>17.260000000000002</v>
      </c>
      <c r="T47" s="49">
        <v>18.170000000000002</v>
      </c>
      <c r="U47" s="49">
        <v>20.46</v>
      </c>
      <c r="V47" s="49">
        <v>19.77</v>
      </c>
      <c r="W47" s="49">
        <v>17.510000000000002</v>
      </c>
      <c r="X47" s="49">
        <v>14.21</v>
      </c>
      <c r="Y47" s="49">
        <v>12.32</v>
      </c>
      <c r="Z47" s="50">
        <f t="shared" si="6"/>
        <v>244.59</v>
      </c>
      <c r="AA47" s="51">
        <v>6</v>
      </c>
      <c r="AB47" s="67">
        <f t="shared" si="7"/>
        <v>1467.54</v>
      </c>
      <c r="AD47" s="72" t="s">
        <v>49</v>
      </c>
    </row>
    <row r="48" spans="1:30" ht="15.75" x14ac:dyDescent="0.25">
      <c r="A48" s="66">
        <f t="shared" si="5"/>
        <v>46631</v>
      </c>
      <c r="B48" s="49">
        <v>8.49</v>
      </c>
      <c r="C48" s="49">
        <v>7.58</v>
      </c>
      <c r="D48" s="49">
        <v>6.51</v>
      </c>
      <c r="E48" s="49">
        <v>5.75</v>
      </c>
      <c r="F48" s="49">
        <v>5.62</v>
      </c>
      <c r="G48" s="49">
        <v>5.49</v>
      </c>
      <c r="H48" s="49">
        <v>6.63</v>
      </c>
      <c r="I48" s="49">
        <v>1.79</v>
      </c>
      <c r="J48" s="49">
        <v>3.65</v>
      </c>
      <c r="K48" s="49">
        <v>6.14</v>
      </c>
      <c r="L48" s="49">
        <v>7.83</v>
      </c>
      <c r="M48" s="49">
        <v>9.6300000000000008</v>
      </c>
      <c r="N48" s="49">
        <v>10.44</v>
      </c>
      <c r="O48" s="49">
        <v>10.199999999999999</v>
      </c>
      <c r="P48" s="49">
        <v>9.16</v>
      </c>
      <c r="Q48" s="49">
        <v>8.6199999999999992</v>
      </c>
      <c r="R48" s="49">
        <v>8.4700000000000006</v>
      </c>
      <c r="S48" s="49">
        <v>17.600000000000001</v>
      </c>
      <c r="T48" s="49">
        <v>19.47</v>
      </c>
      <c r="U48" s="49">
        <v>20.81</v>
      </c>
      <c r="V48" s="49">
        <v>19.920000000000002</v>
      </c>
      <c r="W48" s="49">
        <v>17.54</v>
      </c>
      <c r="X48" s="49">
        <v>13.98</v>
      </c>
      <c r="Y48" s="49">
        <v>11.92</v>
      </c>
      <c r="Z48" s="50">
        <f t="shared" si="6"/>
        <v>243.23999999999998</v>
      </c>
      <c r="AA48" s="51">
        <v>4</v>
      </c>
      <c r="AB48" s="67">
        <f t="shared" si="7"/>
        <v>972.95999999999992</v>
      </c>
      <c r="AD48" s="72" t="s">
        <v>49</v>
      </c>
    </row>
    <row r="49" spans="1:30" ht="15.75" x14ac:dyDescent="0.25">
      <c r="A49" s="66">
        <f t="shared" si="5"/>
        <v>46661</v>
      </c>
      <c r="B49" s="49">
        <v>8.35</v>
      </c>
      <c r="C49" s="49">
        <v>7.3</v>
      </c>
      <c r="D49" s="49">
        <v>6.29</v>
      </c>
      <c r="E49" s="49">
        <v>5.69</v>
      </c>
      <c r="F49" s="49">
        <v>5.56</v>
      </c>
      <c r="G49" s="49">
        <v>5.0999999999999996</v>
      </c>
      <c r="H49" s="49">
        <v>6.36</v>
      </c>
      <c r="I49" s="49">
        <v>1.55</v>
      </c>
      <c r="J49" s="49">
        <v>3.53</v>
      </c>
      <c r="K49" s="49">
        <v>5.92</v>
      </c>
      <c r="L49" s="49">
        <v>7.8</v>
      </c>
      <c r="M49" s="49">
        <v>9.5500000000000007</v>
      </c>
      <c r="N49" s="49">
        <v>10.39</v>
      </c>
      <c r="O49" s="49">
        <v>10.029999999999999</v>
      </c>
      <c r="P49" s="49">
        <v>9.26</v>
      </c>
      <c r="Q49" s="49">
        <v>8.66</v>
      </c>
      <c r="R49" s="49">
        <v>8.39</v>
      </c>
      <c r="S49" s="49">
        <v>17.93</v>
      </c>
      <c r="T49" s="49">
        <v>19.829999999999998</v>
      </c>
      <c r="U49" s="49">
        <v>19.77</v>
      </c>
      <c r="V49" s="49">
        <v>19.03</v>
      </c>
      <c r="W49" s="49">
        <v>17.190000000000001</v>
      </c>
      <c r="X49" s="49">
        <v>14.4</v>
      </c>
      <c r="Y49" s="49">
        <v>12.57</v>
      </c>
      <c r="Z49" s="50">
        <f t="shared" si="6"/>
        <v>240.45000000000002</v>
      </c>
      <c r="AA49" s="51">
        <v>5</v>
      </c>
      <c r="AB49" s="67">
        <f t="shared" si="7"/>
        <v>1202.25</v>
      </c>
      <c r="AD49" s="72" t="s">
        <v>49</v>
      </c>
    </row>
    <row r="50" spans="1:30" ht="15.75" x14ac:dyDescent="0.25">
      <c r="A50" s="66">
        <f t="shared" si="5"/>
        <v>46692</v>
      </c>
      <c r="B50" s="49">
        <v>8.9</v>
      </c>
      <c r="C50" s="49">
        <v>7.93</v>
      </c>
      <c r="D50" s="49">
        <v>6.7</v>
      </c>
      <c r="E50" s="49">
        <v>5.94</v>
      </c>
      <c r="F50" s="49">
        <v>5.83</v>
      </c>
      <c r="G50" s="49">
        <v>5.38</v>
      </c>
      <c r="H50" s="49">
        <v>6.57</v>
      </c>
      <c r="I50" s="49">
        <v>1.59</v>
      </c>
      <c r="J50" s="49">
        <v>3.62</v>
      </c>
      <c r="K50" s="49">
        <v>5.95</v>
      </c>
      <c r="L50" s="49">
        <v>7.78</v>
      </c>
      <c r="M50" s="49">
        <v>9.81</v>
      </c>
      <c r="N50" s="49">
        <v>10.95</v>
      </c>
      <c r="O50" s="49">
        <v>10.67</v>
      </c>
      <c r="P50" s="49">
        <v>9.85</v>
      </c>
      <c r="Q50" s="49">
        <v>9.5</v>
      </c>
      <c r="R50" s="49">
        <v>9.2100000000000009</v>
      </c>
      <c r="S50" s="49">
        <v>18.79</v>
      </c>
      <c r="T50" s="49">
        <v>20.91</v>
      </c>
      <c r="U50" s="49">
        <v>20.82</v>
      </c>
      <c r="V50" s="49">
        <v>19.84</v>
      </c>
      <c r="W50" s="49">
        <v>17.73</v>
      </c>
      <c r="X50" s="49">
        <v>14.6</v>
      </c>
      <c r="Y50" s="49">
        <v>12.75</v>
      </c>
      <c r="Z50" s="50">
        <f t="shared" si="6"/>
        <v>251.61999999999998</v>
      </c>
      <c r="AA50" s="51">
        <v>4</v>
      </c>
      <c r="AB50" s="67">
        <f t="shared" si="7"/>
        <v>1006.4799999999999</v>
      </c>
      <c r="AD50" s="72" t="s">
        <v>49</v>
      </c>
    </row>
    <row r="51" spans="1:30" ht="16.5" thickBot="1" x14ac:dyDescent="0.3">
      <c r="A51" s="68">
        <f t="shared" si="5"/>
        <v>46722</v>
      </c>
      <c r="B51" s="52">
        <v>9.2799999999999994</v>
      </c>
      <c r="C51" s="52">
        <v>8.2799999999999994</v>
      </c>
      <c r="D51" s="52">
        <v>7.11</v>
      </c>
      <c r="E51" s="52">
        <v>6.31</v>
      </c>
      <c r="F51" s="52">
        <v>6.05</v>
      </c>
      <c r="G51" s="52">
        <v>6.08</v>
      </c>
      <c r="H51" s="52">
        <v>6.7</v>
      </c>
      <c r="I51" s="52">
        <v>1.69</v>
      </c>
      <c r="J51" s="52">
        <v>3.02</v>
      </c>
      <c r="K51" s="52">
        <v>5.52</v>
      </c>
      <c r="L51" s="52">
        <v>7.6</v>
      </c>
      <c r="M51" s="52">
        <v>9.2799999999999994</v>
      </c>
      <c r="N51" s="52">
        <v>10.37</v>
      </c>
      <c r="O51" s="52">
        <v>10.47</v>
      </c>
      <c r="P51" s="52">
        <v>9.65</v>
      </c>
      <c r="Q51" s="52">
        <v>9.1</v>
      </c>
      <c r="R51" s="52">
        <v>8.6300000000000008</v>
      </c>
      <c r="S51" s="52">
        <v>17.32</v>
      </c>
      <c r="T51" s="52">
        <v>19.25</v>
      </c>
      <c r="U51" s="52">
        <v>19.260000000000002</v>
      </c>
      <c r="V51" s="52">
        <v>18.32</v>
      </c>
      <c r="W51" s="52">
        <v>16.760000000000002</v>
      </c>
      <c r="X51" s="52">
        <v>14.31</v>
      </c>
      <c r="Y51" s="52">
        <v>12.78</v>
      </c>
      <c r="Z51" s="53">
        <f t="shared" si="6"/>
        <v>243.13999999999996</v>
      </c>
      <c r="AA51" s="54">
        <v>6</v>
      </c>
      <c r="AB51" s="69">
        <f t="shared" si="7"/>
        <v>1458.8399999999997</v>
      </c>
      <c r="AD51" s="72" t="s">
        <v>49</v>
      </c>
    </row>
    <row r="52" spans="1:30" ht="16.5" thickBot="1" x14ac:dyDescent="0.3">
      <c r="A52"/>
      <c r="B52" s="70"/>
      <c r="C52" s="60"/>
      <c r="D52" s="60"/>
      <c r="E52" s="60"/>
      <c r="F52" s="60"/>
      <c r="G52" s="60"/>
      <c r="H52" s="60"/>
      <c r="I52" s="60"/>
      <c r="J52" s="60"/>
      <c r="K52" s="60"/>
      <c r="L52" s="60"/>
      <c r="M52" s="60"/>
      <c r="N52" s="60"/>
      <c r="O52" s="60"/>
      <c r="P52" s="60"/>
      <c r="Q52" s="60"/>
      <c r="R52" s="60"/>
      <c r="S52" s="60"/>
      <c r="T52" s="60"/>
      <c r="U52" s="60"/>
      <c r="V52" s="60"/>
      <c r="W52" s="60"/>
      <c r="X52" s="60"/>
      <c r="Y52" s="60"/>
      <c r="Z52" s="58"/>
      <c r="AA52" s="38"/>
      <c r="AB52"/>
    </row>
    <row r="53" spans="1:30" ht="16.5" thickBot="1" x14ac:dyDescent="0.3">
      <c r="A53" s="36" t="s">
        <v>50</v>
      </c>
      <c r="B53" s="60"/>
      <c r="C53" s="60"/>
      <c r="D53" s="60"/>
      <c r="E53" s="71"/>
      <c r="F53" s="60"/>
      <c r="G53" s="60"/>
      <c r="H53" s="60"/>
      <c r="I53" s="60"/>
      <c r="J53" s="60"/>
      <c r="K53" s="60"/>
      <c r="L53" s="60"/>
      <c r="M53" s="60"/>
      <c r="N53" s="60"/>
      <c r="O53" s="60"/>
      <c r="P53" s="60"/>
      <c r="Q53" s="60"/>
      <c r="R53" s="60"/>
      <c r="S53" s="60"/>
      <c r="T53" s="60"/>
      <c r="U53" s="60"/>
      <c r="V53" s="60"/>
      <c r="W53" s="60"/>
      <c r="X53" s="60"/>
      <c r="Y53" s="60"/>
      <c r="Z53" s="58"/>
      <c r="AA53" s="38"/>
      <c r="AB53"/>
    </row>
    <row r="54" spans="1:30" ht="16.5" thickBot="1" x14ac:dyDescent="0.3">
      <c r="A54"/>
      <c r="B54" s="70"/>
      <c r="C54" s="60"/>
      <c r="D54" s="60"/>
      <c r="E54" s="60"/>
      <c r="F54" s="60"/>
      <c r="G54" s="60"/>
      <c r="H54" s="60"/>
      <c r="I54" s="60"/>
      <c r="J54" s="60"/>
      <c r="K54" s="60"/>
      <c r="L54" s="60"/>
      <c r="M54" s="60"/>
      <c r="N54" s="60"/>
      <c r="O54" s="60"/>
      <c r="P54" s="60"/>
      <c r="Q54" s="60"/>
      <c r="R54" s="60"/>
      <c r="S54" s="60"/>
      <c r="T54" s="60"/>
      <c r="U54" s="60"/>
      <c r="V54" s="60"/>
      <c r="W54" s="60"/>
      <c r="X54" s="60"/>
      <c r="Y54" s="60"/>
      <c r="Z54" s="58"/>
      <c r="AA54"/>
      <c r="AB54"/>
    </row>
    <row r="55" spans="1:30" ht="15.75" thickBot="1" x14ac:dyDescent="0.25">
      <c r="A55" s="61" t="s">
        <v>11</v>
      </c>
      <c r="B55" s="62" t="s">
        <v>12</v>
      </c>
      <c r="C55" s="62" t="s">
        <v>13</v>
      </c>
      <c r="D55" s="62" t="s">
        <v>14</v>
      </c>
      <c r="E55" s="62" t="s">
        <v>15</v>
      </c>
      <c r="F55" s="62" t="s">
        <v>16</v>
      </c>
      <c r="G55" s="62" t="s">
        <v>17</v>
      </c>
      <c r="H55" s="62" t="s">
        <v>18</v>
      </c>
      <c r="I55" s="62" t="s">
        <v>19</v>
      </c>
      <c r="J55" s="62" t="s">
        <v>20</v>
      </c>
      <c r="K55" s="62" t="s">
        <v>21</v>
      </c>
      <c r="L55" s="62" t="s">
        <v>22</v>
      </c>
      <c r="M55" s="62" t="s">
        <v>23</v>
      </c>
      <c r="N55" s="62" t="s">
        <v>24</v>
      </c>
      <c r="O55" s="62" t="s">
        <v>25</v>
      </c>
      <c r="P55" s="62" t="s">
        <v>26</v>
      </c>
      <c r="Q55" s="62" t="s">
        <v>27</v>
      </c>
      <c r="R55" s="62" t="s">
        <v>28</v>
      </c>
      <c r="S55" s="62" t="s">
        <v>29</v>
      </c>
      <c r="T55" s="62" t="s">
        <v>30</v>
      </c>
      <c r="U55" s="62" t="s">
        <v>31</v>
      </c>
      <c r="V55" s="62" t="s">
        <v>32</v>
      </c>
      <c r="W55" s="62" t="s">
        <v>33</v>
      </c>
      <c r="X55" s="62" t="s">
        <v>34</v>
      </c>
      <c r="Y55" s="62" t="s">
        <v>35</v>
      </c>
      <c r="Z55" s="62" t="s">
        <v>7</v>
      </c>
      <c r="AA55" s="62" t="s">
        <v>36</v>
      </c>
      <c r="AB55" s="63"/>
    </row>
    <row r="56" spans="1:30" ht="15.75" x14ac:dyDescent="0.25">
      <c r="A56" s="64">
        <f t="shared" ref="A56:A67" si="8">+A40</f>
        <v>46388</v>
      </c>
      <c r="B56" s="46">
        <v>8.6300000000000008</v>
      </c>
      <c r="C56" s="46">
        <v>7.73</v>
      </c>
      <c r="D56" s="46">
        <v>6.71</v>
      </c>
      <c r="E56" s="46">
        <v>6.12</v>
      </c>
      <c r="F56" s="46">
        <v>6.1</v>
      </c>
      <c r="G56" s="46">
        <v>6.63</v>
      </c>
      <c r="H56" s="46">
        <v>7.76</v>
      </c>
      <c r="I56" s="46">
        <v>2.65</v>
      </c>
      <c r="J56" s="46">
        <v>4.0199999999999996</v>
      </c>
      <c r="K56" s="46">
        <v>6.41</v>
      </c>
      <c r="L56" s="46">
        <v>8.65</v>
      </c>
      <c r="M56" s="46">
        <v>10.42</v>
      </c>
      <c r="N56" s="46">
        <v>11.33</v>
      </c>
      <c r="O56" s="46">
        <v>10.76</v>
      </c>
      <c r="P56" s="46">
        <v>9.32</v>
      </c>
      <c r="Q56" s="46">
        <v>8.7200000000000006</v>
      </c>
      <c r="R56" s="46">
        <v>8.93</v>
      </c>
      <c r="S56" s="46">
        <v>16.600000000000001</v>
      </c>
      <c r="T56" s="46">
        <v>18.02</v>
      </c>
      <c r="U56" s="46">
        <v>18.829999999999998</v>
      </c>
      <c r="V56" s="46">
        <v>17.579999999999998</v>
      </c>
      <c r="W56" s="46">
        <v>15.32</v>
      </c>
      <c r="X56" s="46">
        <v>12.28</v>
      </c>
      <c r="Y56" s="46">
        <v>10.52</v>
      </c>
      <c r="Z56" s="47">
        <f t="shared" ref="Z56:Z67" si="9">SUM(B56:Y56)</f>
        <v>240.04000000000002</v>
      </c>
      <c r="AA56" s="48">
        <v>1</v>
      </c>
      <c r="AB56" s="65">
        <f>+Z56*AA56</f>
        <v>240.04000000000002</v>
      </c>
      <c r="AD56" s="72" t="s">
        <v>51</v>
      </c>
    </row>
    <row r="57" spans="1:30" ht="15.75" x14ac:dyDescent="0.25">
      <c r="A57" s="66">
        <f t="shared" si="8"/>
        <v>46419</v>
      </c>
      <c r="B57" s="49">
        <v>10.26</v>
      </c>
      <c r="C57" s="49">
        <v>9.2899999999999991</v>
      </c>
      <c r="D57" s="49">
        <v>8.06</v>
      </c>
      <c r="E57" s="49">
        <v>7.41</v>
      </c>
      <c r="F57" s="49">
        <v>7.32</v>
      </c>
      <c r="G57" s="49">
        <v>7.81</v>
      </c>
      <c r="H57" s="49">
        <v>8.69</v>
      </c>
      <c r="I57" s="49">
        <v>3.73</v>
      </c>
      <c r="J57" s="49">
        <v>5.44</v>
      </c>
      <c r="K57" s="49">
        <v>7.73</v>
      </c>
      <c r="L57" s="49">
        <v>9.1</v>
      </c>
      <c r="M57" s="49">
        <v>10.6</v>
      </c>
      <c r="N57" s="49">
        <v>11.32</v>
      </c>
      <c r="O57" s="49">
        <v>10.97</v>
      </c>
      <c r="P57" s="49">
        <v>10.130000000000001</v>
      </c>
      <c r="Q57" s="49">
        <v>9.58</v>
      </c>
      <c r="R57" s="49">
        <v>9.23</v>
      </c>
      <c r="S57" s="49">
        <v>16.28</v>
      </c>
      <c r="T57" s="49">
        <v>16.73</v>
      </c>
      <c r="U57" s="49">
        <v>19.559999999999999</v>
      </c>
      <c r="V57" s="49">
        <v>18.920000000000002</v>
      </c>
      <c r="W57" s="49">
        <v>16.8</v>
      </c>
      <c r="X57" s="49">
        <v>13.5</v>
      </c>
      <c r="Y57" s="49">
        <v>11.52</v>
      </c>
      <c r="Z57" s="50">
        <f t="shared" si="9"/>
        <v>259.97999999999996</v>
      </c>
      <c r="AA57" s="51">
        <v>0</v>
      </c>
      <c r="AB57" s="67">
        <f>+Z57*AA57</f>
        <v>0</v>
      </c>
      <c r="AD57" s="72" t="s">
        <v>51</v>
      </c>
    </row>
    <row r="58" spans="1:30" ht="15.75" x14ac:dyDescent="0.25">
      <c r="A58" s="66">
        <f t="shared" si="8"/>
        <v>46447</v>
      </c>
      <c r="B58" s="49">
        <v>8.7200000000000006</v>
      </c>
      <c r="C58" s="49">
        <v>7.9</v>
      </c>
      <c r="D58" s="49">
        <v>7</v>
      </c>
      <c r="E58" s="49">
        <v>6.46</v>
      </c>
      <c r="F58" s="49">
        <v>6.3</v>
      </c>
      <c r="G58" s="49">
        <v>6.84</v>
      </c>
      <c r="H58" s="49">
        <v>7.56</v>
      </c>
      <c r="I58" s="49">
        <v>3.46</v>
      </c>
      <c r="J58" s="49">
        <v>5.34</v>
      </c>
      <c r="K58" s="49">
        <v>7.38</v>
      </c>
      <c r="L58" s="49">
        <v>9.1199999999999992</v>
      </c>
      <c r="M58" s="49">
        <v>10.71</v>
      </c>
      <c r="N58" s="49">
        <v>11.26</v>
      </c>
      <c r="O58" s="49">
        <v>10.98</v>
      </c>
      <c r="P58" s="49">
        <v>10.48</v>
      </c>
      <c r="Q58" s="49">
        <v>10</v>
      </c>
      <c r="R58" s="49">
        <v>10.01</v>
      </c>
      <c r="S58" s="49">
        <v>17.16</v>
      </c>
      <c r="T58" s="49">
        <v>17.95</v>
      </c>
      <c r="U58" s="49">
        <v>19.47</v>
      </c>
      <c r="V58" s="49">
        <v>18.73</v>
      </c>
      <c r="W58" s="49">
        <v>16.61</v>
      </c>
      <c r="X58" s="49">
        <v>13.04</v>
      </c>
      <c r="Y58" s="49">
        <v>11.28</v>
      </c>
      <c r="Z58" s="50">
        <f t="shared" si="9"/>
        <v>253.75999999999993</v>
      </c>
      <c r="AA58" s="51">
        <v>1</v>
      </c>
      <c r="AB58" s="67">
        <f t="shared" ref="AB58:AB67" si="10">+Z58*AA58</f>
        <v>253.75999999999993</v>
      </c>
      <c r="AD58" s="72" t="s">
        <v>51</v>
      </c>
    </row>
    <row r="59" spans="1:30" ht="15.75" x14ac:dyDescent="0.25">
      <c r="A59" s="66">
        <f t="shared" si="8"/>
        <v>46478</v>
      </c>
      <c r="B59" s="49">
        <v>9.4600000000000009</v>
      </c>
      <c r="C59" s="49">
        <v>8.42</v>
      </c>
      <c r="D59" s="49">
        <v>7.34</v>
      </c>
      <c r="E59" s="49">
        <v>6.76</v>
      </c>
      <c r="F59" s="49">
        <v>6.75</v>
      </c>
      <c r="G59" s="49">
        <v>6.78</v>
      </c>
      <c r="H59" s="49">
        <v>7.78</v>
      </c>
      <c r="I59" s="49">
        <v>3.45</v>
      </c>
      <c r="J59" s="49">
        <v>5.08</v>
      </c>
      <c r="K59" s="49">
        <v>7.32</v>
      </c>
      <c r="L59" s="49">
        <v>9.02</v>
      </c>
      <c r="M59" s="49">
        <v>10.77</v>
      </c>
      <c r="N59" s="49">
        <v>11.62</v>
      </c>
      <c r="O59" s="49">
        <v>11.18</v>
      </c>
      <c r="P59" s="49">
        <v>10.75</v>
      </c>
      <c r="Q59" s="49">
        <v>9.69</v>
      </c>
      <c r="R59" s="49">
        <v>9.4600000000000009</v>
      </c>
      <c r="S59" s="49">
        <v>17.09</v>
      </c>
      <c r="T59" s="49">
        <v>18.07</v>
      </c>
      <c r="U59" s="49">
        <v>19.239999999999998</v>
      </c>
      <c r="V59" s="49">
        <v>18.39</v>
      </c>
      <c r="W59" s="49">
        <v>16.440000000000001</v>
      </c>
      <c r="X59" s="49">
        <v>13.55</v>
      </c>
      <c r="Y59" s="49">
        <v>12.07</v>
      </c>
      <c r="Z59" s="50">
        <f t="shared" si="9"/>
        <v>256.48</v>
      </c>
      <c r="AA59" s="51">
        <v>0</v>
      </c>
      <c r="AB59" s="67">
        <f t="shared" si="10"/>
        <v>0</v>
      </c>
      <c r="AD59" s="72" t="s">
        <v>51</v>
      </c>
    </row>
    <row r="60" spans="1:30" ht="15.75" x14ac:dyDescent="0.25">
      <c r="A60" s="66">
        <f t="shared" si="8"/>
        <v>46508</v>
      </c>
      <c r="B60" s="49">
        <v>7.76</v>
      </c>
      <c r="C60" s="49">
        <v>6.98</v>
      </c>
      <c r="D60" s="49">
        <v>6.3</v>
      </c>
      <c r="E60" s="49">
        <v>5.86</v>
      </c>
      <c r="F60" s="49">
        <v>6.01</v>
      </c>
      <c r="G60" s="49">
        <v>6.13</v>
      </c>
      <c r="H60" s="49">
        <v>7.7</v>
      </c>
      <c r="I60" s="49">
        <v>3.82</v>
      </c>
      <c r="J60" s="49">
        <v>6.07</v>
      </c>
      <c r="K60" s="49">
        <v>8.1300000000000008</v>
      </c>
      <c r="L60" s="49">
        <v>9.65</v>
      </c>
      <c r="M60" s="49">
        <v>12.04</v>
      </c>
      <c r="N60" s="49">
        <v>13.62</v>
      </c>
      <c r="O60" s="49">
        <v>12.93</v>
      </c>
      <c r="P60" s="49">
        <v>11.04</v>
      </c>
      <c r="Q60" s="49">
        <v>10.29</v>
      </c>
      <c r="R60" s="49">
        <v>9.9600000000000009</v>
      </c>
      <c r="S60" s="49">
        <v>17.21</v>
      </c>
      <c r="T60" s="49">
        <v>17.5</v>
      </c>
      <c r="U60" s="49">
        <v>19.760000000000002</v>
      </c>
      <c r="V60" s="49">
        <v>18.68</v>
      </c>
      <c r="W60" s="49">
        <v>16.39</v>
      </c>
      <c r="X60" s="49">
        <v>12.82</v>
      </c>
      <c r="Y60" s="49">
        <v>10.92</v>
      </c>
      <c r="Z60" s="50">
        <f t="shared" si="9"/>
        <v>257.57000000000005</v>
      </c>
      <c r="AA60" s="51">
        <v>2</v>
      </c>
      <c r="AB60" s="67">
        <f t="shared" si="10"/>
        <v>515.1400000000001</v>
      </c>
      <c r="AD60" s="72" t="s">
        <v>51</v>
      </c>
    </row>
    <row r="61" spans="1:30" ht="15.75" x14ac:dyDescent="0.25">
      <c r="A61" s="66">
        <f t="shared" si="8"/>
        <v>46539</v>
      </c>
      <c r="B61" s="49">
        <v>8.11</v>
      </c>
      <c r="C61" s="49">
        <v>7.2</v>
      </c>
      <c r="D61" s="49">
        <v>6.27</v>
      </c>
      <c r="E61" s="49">
        <v>5.86</v>
      </c>
      <c r="F61" s="49">
        <v>5.98</v>
      </c>
      <c r="G61" s="49">
        <v>5.78</v>
      </c>
      <c r="H61" s="49">
        <v>7.52</v>
      </c>
      <c r="I61" s="49">
        <v>3.2</v>
      </c>
      <c r="J61" s="49">
        <v>5.05</v>
      </c>
      <c r="K61" s="49">
        <v>7.49</v>
      </c>
      <c r="L61" s="49">
        <v>9.25</v>
      </c>
      <c r="M61" s="49">
        <v>11.12</v>
      </c>
      <c r="N61" s="49">
        <v>12.48</v>
      </c>
      <c r="O61" s="49">
        <v>12.24</v>
      </c>
      <c r="P61" s="49">
        <v>11.05</v>
      </c>
      <c r="Q61" s="49">
        <v>10.46</v>
      </c>
      <c r="R61" s="49">
        <v>10.01</v>
      </c>
      <c r="S61" s="49">
        <v>17.57</v>
      </c>
      <c r="T61" s="49">
        <v>18.22</v>
      </c>
      <c r="U61" s="49">
        <v>20.34</v>
      </c>
      <c r="V61" s="49">
        <v>19.29</v>
      </c>
      <c r="W61" s="49">
        <v>16.78</v>
      </c>
      <c r="X61" s="49">
        <v>13.26</v>
      </c>
      <c r="Y61" s="49">
        <v>11.25</v>
      </c>
      <c r="Z61" s="50">
        <f t="shared" si="9"/>
        <v>255.77999999999997</v>
      </c>
      <c r="AA61" s="51">
        <v>1</v>
      </c>
      <c r="AB61" s="67">
        <f t="shared" si="10"/>
        <v>255.77999999999997</v>
      </c>
      <c r="AD61" s="72" t="s">
        <v>51</v>
      </c>
    </row>
    <row r="62" spans="1:30" ht="15.75" x14ac:dyDescent="0.25">
      <c r="A62" s="66">
        <f t="shared" si="8"/>
        <v>46569</v>
      </c>
      <c r="B62" s="49">
        <v>7.71</v>
      </c>
      <c r="C62" s="49">
        <v>6.76</v>
      </c>
      <c r="D62" s="49">
        <v>5.65</v>
      </c>
      <c r="E62" s="49">
        <v>5.07</v>
      </c>
      <c r="F62" s="49">
        <v>4.9800000000000004</v>
      </c>
      <c r="G62" s="49">
        <v>4.92</v>
      </c>
      <c r="H62" s="49">
        <v>6.31</v>
      </c>
      <c r="I62" s="49">
        <v>1.55</v>
      </c>
      <c r="J62" s="49">
        <v>3.35</v>
      </c>
      <c r="K62" s="49">
        <v>5.66</v>
      </c>
      <c r="L62" s="49">
        <v>7.95</v>
      </c>
      <c r="M62" s="49">
        <v>10.24</v>
      </c>
      <c r="N62" s="49">
        <v>11.53</v>
      </c>
      <c r="O62" s="49">
        <v>10.53</v>
      </c>
      <c r="P62" s="49">
        <v>8.2799999999999994</v>
      </c>
      <c r="Q62" s="49">
        <v>7.16</v>
      </c>
      <c r="R62" s="49">
        <v>6.7</v>
      </c>
      <c r="S62" s="49">
        <v>15.61</v>
      </c>
      <c r="T62" s="49">
        <v>15.83</v>
      </c>
      <c r="U62" s="49">
        <v>19.059999999999999</v>
      </c>
      <c r="V62" s="49">
        <v>18.27</v>
      </c>
      <c r="W62" s="49">
        <v>16.13</v>
      </c>
      <c r="X62" s="49">
        <v>12.85</v>
      </c>
      <c r="Y62" s="49">
        <v>10.83</v>
      </c>
      <c r="Z62" s="50">
        <f t="shared" si="9"/>
        <v>222.93</v>
      </c>
      <c r="AA62" s="51">
        <v>1</v>
      </c>
      <c r="AB62" s="67">
        <f t="shared" si="10"/>
        <v>222.93</v>
      </c>
      <c r="AD62" s="72" t="s">
        <v>51</v>
      </c>
    </row>
    <row r="63" spans="1:30" ht="15.75" x14ac:dyDescent="0.25">
      <c r="A63" s="66">
        <f t="shared" si="8"/>
        <v>46600</v>
      </c>
      <c r="B63" s="49">
        <v>7.82</v>
      </c>
      <c r="C63" s="49">
        <v>6.93</v>
      </c>
      <c r="D63" s="49">
        <v>5.98</v>
      </c>
      <c r="E63" s="49">
        <v>5.59</v>
      </c>
      <c r="F63" s="49">
        <v>5.44</v>
      </c>
      <c r="G63" s="49">
        <v>5.92</v>
      </c>
      <c r="H63" s="49">
        <v>6.86</v>
      </c>
      <c r="I63" s="49">
        <v>2.1800000000000002</v>
      </c>
      <c r="J63" s="49">
        <v>4.43</v>
      </c>
      <c r="K63" s="49">
        <v>6.98</v>
      </c>
      <c r="L63" s="49">
        <v>9.31</v>
      </c>
      <c r="M63" s="49">
        <v>11.25</v>
      </c>
      <c r="N63" s="49">
        <v>12.12</v>
      </c>
      <c r="O63" s="49">
        <v>11.82</v>
      </c>
      <c r="P63" s="49">
        <v>10.25</v>
      </c>
      <c r="Q63" s="49">
        <v>9.1199999999999992</v>
      </c>
      <c r="R63" s="49">
        <v>8.81</v>
      </c>
      <c r="S63" s="49">
        <v>17.53</v>
      </c>
      <c r="T63" s="49">
        <v>17.989999999999998</v>
      </c>
      <c r="U63" s="49">
        <v>20.66</v>
      </c>
      <c r="V63" s="49">
        <v>19.46</v>
      </c>
      <c r="W63" s="49">
        <v>16.940000000000001</v>
      </c>
      <c r="X63" s="49">
        <v>13.24</v>
      </c>
      <c r="Y63" s="49">
        <v>11.41</v>
      </c>
      <c r="Z63" s="50">
        <f t="shared" si="9"/>
        <v>248.04000000000002</v>
      </c>
      <c r="AA63" s="51">
        <v>1</v>
      </c>
      <c r="AB63" s="67">
        <f t="shared" si="10"/>
        <v>248.04000000000002</v>
      </c>
      <c r="AD63" s="72" t="s">
        <v>51</v>
      </c>
    </row>
    <row r="64" spans="1:30" ht="15.75" x14ac:dyDescent="0.25">
      <c r="A64" s="66">
        <f t="shared" si="8"/>
        <v>46631</v>
      </c>
      <c r="B64" s="49">
        <v>8.49</v>
      </c>
      <c r="C64" s="49">
        <v>7.58</v>
      </c>
      <c r="D64" s="49">
        <v>6.51</v>
      </c>
      <c r="E64" s="49">
        <v>5.75</v>
      </c>
      <c r="F64" s="49">
        <v>5.62</v>
      </c>
      <c r="G64" s="49">
        <v>5.49</v>
      </c>
      <c r="H64" s="49">
        <v>6.63</v>
      </c>
      <c r="I64" s="49">
        <v>1.79</v>
      </c>
      <c r="J64" s="49">
        <v>3.65</v>
      </c>
      <c r="K64" s="49">
        <v>6.14</v>
      </c>
      <c r="L64" s="49">
        <v>7.83</v>
      </c>
      <c r="M64" s="49">
        <v>9.6300000000000008</v>
      </c>
      <c r="N64" s="49">
        <v>10.44</v>
      </c>
      <c r="O64" s="49">
        <v>10.199999999999999</v>
      </c>
      <c r="P64" s="49">
        <v>9.16</v>
      </c>
      <c r="Q64" s="49">
        <v>8.6199999999999992</v>
      </c>
      <c r="R64" s="49">
        <v>8.4700000000000006</v>
      </c>
      <c r="S64" s="49">
        <v>17.600000000000001</v>
      </c>
      <c r="T64" s="49">
        <v>19.47</v>
      </c>
      <c r="U64" s="49">
        <v>20.81</v>
      </c>
      <c r="V64" s="49">
        <v>19.920000000000002</v>
      </c>
      <c r="W64" s="49">
        <v>17.54</v>
      </c>
      <c r="X64" s="49">
        <v>13.98</v>
      </c>
      <c r="Y64" s="49">
        <v>11.92</v>
      </c>
      <c r="Z64" s="50">
        <f t="shared" si="9"/>
        <v>243.23999999999998</v>
      </c>
      <c r="AA64" s="51">
        <v>0</v>
      </c>
      <c r="AB64" s="67">
        <f t="shared" si="10"/>
        <v>0</v>
      </c>
      <c r="AD64" s="72" t="s">
        <v>51</v>
      </c>
    </row>
    <row r="65" spans="1:30" ht="15.75" x14ac:dyDescent="0.25">
      <c r="A65" s="66">
        <f t="shared" si="8"/>
        <v>46661</v>
      </c>
      <c r="B65" s="49">
        <v>8.06</v>
      </c>
      <c r="C65" s="49">
        <v>7.1</v>
      </c>
      <c r="D65" s="49">
        <v>6.1</v>
      </c>
      <c r="E65" s="49">
        <v>5.52</v>
      </c>
      <c r="F65" s="49">
        <v>5.41</v>
      </c>
      <c r="G65" s="49">
        <v>4.8</v>
      </c>
      <c r="H65" s="49">
        <v>6.6</v>
      </c>
      <c r="I65" s="49">
        <v>1.98</v>
      </c>
      <c r="J65" s="49">
        <v>4.0599999999999996</v>
      </c>
      <c r="K65" s="49">
        <v>6.74</v>
      </c>
      <c r="L65" s="49">
        <v>8.9600000000000009</v>
      </c>
      <c r="M65" s="49">
        <v>11.35</v>
      </c>
      <c r="N65" s="49">
        <v>12.74</v>
      </c>
      <c r="O65" s="49">
        <v>11.75</v>
      </c>
      <c r="P65" s="49">
        <v>9.81</v>
      </c>
      <c r="Q65" s="49">
        <v>8.58</v>
      </c>
      <c r="R65" s="49">
        <v>8.59</v>
      </c>
      <c r="S65" s="49">
        <v>18.54</v>
      </c>
      <c r="T65" s="49">
        <v>21.03</v>
      </c>
      <c r="U65" s="49">
        <v>21.1</v>
      </c>
      <c r="V65" s="49">
        <v>19.97</v>
      </c>
      <c r="W65" s="49">
        <v>17.64</v>
      </c>
      <c r="X65" s="49">
        <v>14.19</v>
      </c>
      <c r="Y65" s="49">
        <v>11.76</v>
      </c>
      <c r="Z65" s="50">
        <f t="shared" si="9"/>
        <v>252.37999999999994</v>
      </c>
      <c r="AA65" s="51">
        <v>1</v>
      </c>
      <c r="AB65" s="67">
        <f t="shared" si="10"/>
        <v>252.37999999999994</v>
      </c>
      <c r="AD65" s="72" t="s">
        <v>51</v>
      </c>
    </row>
    <row r="66" spans="1:30" ht="15.75" x14ac:dyDescent="0.25">
      <c r="A66" s="66">
        <f t="shared" si="8"/>
        <v>46692</v>
      </c>
      <c r="B66" s="49">
        <v>7.6</v>
      </c>
      <c r="C66" s="49">
        <v>6.6</v>
      </c>
      <c r="D66" s="49">
        <v>5.72</v>
      </c>
      <c r="E66" s="49">
        <v>5.2</v>
      </c>
      <c r="F66" s="49">
        <v>5.28</v>
      </c>
      <c r="G66" s="49">
        <v>5.43</v>
      </c>
      <c r="H66" s="49">
        <v>6.64</v>
      </c>
      <c r="I66" s="49">
        <v>2.0099999999999998</v>
      </c>
      <c r="J66" s="49">
        <v>4.03</v>
      </c>
      <c r="K66" s="49">
        <v>6.69</v>
      </c>
      <c r="L66" s="49">
        <v>9</v>
      </c>
      <c r="M66" s="49">
        <v>10.49</v>
      </c>
      <c r="N66" s="49">
        <v>11.72</v>
      </c>
      <c r="O66" s="49">
        <v>11.35</v>
      </c>
      <c r="P66" s="49">
        <v>10.33</v>
      </c>
      <c r="Q66" s="49">
        <v>9.74</v>
      </c>
      <c r="R66" s="49">
        <v>9.7100000000000009</v>
      </c>
      <c r="S66" s="49">
        <v>19.53</v>
      </c>
      <c r="T66" s="49">
        <v>21.45</v>
      </c>
      <c r="U66" s="49">
        <v>21.32</v>
      </c>
      <c r="V66" s="49">
        <v>20.350000000000001</v>
      </c>
      <c r="W66" s="49">
        <v>18.22</v>
      </c>
      <c r="X66" s="49">
        <v>14.67</v>
      </c>
      <c r="Y66" s="49">
        <v>12.29</v>
      </c>
      <c r="Z66" s="50">
        <f t="shared" si="9"/>
        <v>255.36999999999992</v>
      </c>
      <c r="AA66" s="51">
        <v>2</v>
      </c>
      <c r="AB66" s="67">
        <f t="shared" si="10"/>
        <v>510.73999999999984</v>
      </c>
      <c r="AD66" s="72" t="s">
        <v>51</v>
      </c>
    </row>
    <row r="67" spans="1:30" ht="16.5" thickBot="1" x14ac:dyDescent="0.3">
      <c r="A67" s="68">
        <f t="shared" si="8"/>
        <v>46722</v>
      </c>
      <c r="B67" s="52">
        <v>9.2799999999999994</v>
      </c>
      <c r="C67" s="52">
        <v>8.2799999999999994</v>
      </c>
      <c r="D67" s="52">
        <v>7.11</v>
      </c>
      <c r="E67" s="52">
        <v>6.31</v>
      </c>
      <c r="F67" s="52">
        <v>6.05</v>
      </c>
      <c r="G67" s="52">
        <v>6.08</v>
      </c>
      <c r="H67" s="52">
        <v>6.7</v>
      </c>
      <c r="I67" s="52">
        <v>1.69</v>
      </c>
      <c r="J67" s="52">
        <v>3.02</v>
      </c>
      <c r="K67" s="52">
        <v>5.52</v>
      </c>
      <c r="L67" s="52">
        <v>7.6</v>
      </c>
      <c r="M67" s="52">
        <v>9.2799999999999994</v>
      </c>
      <c r="N67" s="52">
        <v>10.37</v>
      </c>
      <c r="O67" s="52">
        <v>10.47</v>
      </c>
      <c r="P67" s="52">
        <v>9.65</v>
      </c>
      <c r="Q67" s="52">
        <v>9.1</v>
      </c>
      <c r="R67" s="52">
        <v>8.6300000000000008</v>
      </c>
      <c r="S67" s="52">
        <v>17.32</v>
      </c>
      <c r="T67" s="52">
        <v>19.25</v>
      </c>
      <c r="U67" s="52">
        <v>19.260000000000002</v>
      </c>
      <c r="V67" s="52">
        <v>18.32</v>
      </c>
      <c r="W67" s="52">
        <v>16.760000000000002</v>
      </c>
      <c r="X67" s="52">
        <v>14.31</v>
      </c>
      <c r="Y67" s="52">
        <v>12.78</v>
      </c>
      <c r="Z67" s="53">
        <f t="shared" si="9"/>
        <v>243.13999999999996</v>
      </c>
      <c r="AA67" s="54">
        <v>0</v>
      </c>
      <c r="AB67" s="69">
        <f t="shared" si="10"/>
        <v>0</v>
      </c>
      <c r="AD67" s="72" t="s">
        <v>51</v>
      </c>
    </row>
    <row r="68" spans="1:30" ht="16.5" thickBot="1" x14ac:dyDescent="0.3">
      <c r="A68"/>
      <c r="B68" s="70"/>
      <c r="C68" s="60"/>
      <c r="D68" s="60"/>
      <c r="E68" s="60"/>
      <c r="F68" s="60"/>
      <c r="G68" s="60"/>
      <c r="H68" s="60"/>
      <c r="I68" s="60"/>
      <c r="J68" s="60"/>
      <c r="K68" s="60"/>
      <c r="L68" s="60"/>
      <c r="M68" s="60"/>
      <c r="N68" s="60"/>
      <c r="O68" s="60"/>
      <c r="P68" s="60"/>
      <c r="Q68" s="60"/>
      <c r="R68" s="60"/>
      <c r="S68" s="60"/>
      <c r="T68" s="60"/>
      <c r="U68" s="60"/>
      <c r="V68" s="60"/>
      <c r="W68" s="60"/>
      <c r="X68" s="60"/>
      <c r="Y68" s="60"/>
      <c r="Z68" s="58"/>
      <c r="AA68" s="38"/>
      <c r="AB68"/>
    </row>
    <row r="69" spans="1:30" ht="16.5" thickBot="1" x14ac:dyDescent="0.3">
      <c r="A69" s="36" t="s">
        <v>37</v>
      </c>
      <c r="B69" s="60"/>
      <c r="C69" s="60"/>
      <c r="D69" s="60"/>
      <c r="E69" s="71"/>
      <c r="F69" s="60"/>
      <c r="G69" s="60"/>
      <c r="H69" s="60"/>
      <c r="I69" s="60"/>
      <c r="J69" s="60"/>
      <c r="K69" s="60"/>
      <c r="L69" s="60"/>
      <c r="M69" s="60"/>
      <c r="N69" s="60"/>
      <c r="O69" s="60"/>
      <c r="P69" s="60"/>
      <c r="Q69" s="60"/>
      <c r="R69" s="60"/>
      <c r="S69" s="60"/>
      <c r="T69" s="60"/>
      <c r="U69" s="60"/>
      <c r="V69" s="60"/>
      <c r="W69" s="60"/>
      <c r="X69" s="60"/>
      <c r="Y69" s="60"/>
      <c r="Z69" s="58"/>
      <c r="AA69" s="38"/>
      <c r="AB69"/>
    </row>
    <row r="70" spans="1:30" ht="16.5" thickBot="1" x14ac:dyDescent="0.3">
      <c r="A70"/>
      <c r="B70" s="70"/>
      <c r="C70" s="60"/>
      <c r="D70" s="60"/>
      <c r="E70" s="60"/>
      <c r="F70" s="60"/>
      <c r="G70" s="60"/>
      <c r="H70" s="60"/>
      <c r="I70" s="60"/>
      <c r="J70" s="60"/>
      <c r="K70" s="60"/>
      <c r="L70" s="60"/>
      <c r="M70" s="60"/>
      <c r="N70" s="60"/>
      <c r="O70" s="60"/>
      <c r="P70" s="60"/>
      <c r="Q70" s="60"/>
      <c r="R70" s="60"/>
      <c r="S70" s="60"/>
      <c r="T70" s="60"/>
      <c r="U70" s="60"/>
      <c r="V70" s="60"/>
      <c r="W70" s="60"/>
      <c r="X70" s="60"/>
      <c r="Y70" s="60"/>
      <c r="Z70" s="58"/>
      <c r="AA70"/>
      <c r="AB70"/>
    </row>
    <row r="71" spans="1:30" ht="15.75" thickBot="1" x14ac:dyDescent="0.25">
      <c r="A71" s="61" t="s">
        <v>11</v>
      </c>
      <c r="B71" s="62" t="s">
        <v>12</v>
      </c>
      <c r="C71" s="62" t="s">
        <v>13</v>
      </c>
      <c r="D71" s="62" t="s">
        <v>14</v>
      </c>
      <c r="E71" s="62" t="s">
        <v>15</v>
      </c>
      <c r="F71" s="62" t="s">
        <v>16</v>
      </c>
      <c r="G71" s="62" t="s">
        <v>17</v>
      </c>
      <c r="H71" s="62" t="s">
        <v>18</v>
      </c>
      <c r="I71" s="62" t="s">
        <v>19</v>
      </c>
      <c r="J71" s="62" t="s">
        <v>20</v>
      </c>
      <c r="K71" s="62" t="s">
        <v>21</v>
      </c>
      <c r="L71" s="62" t="s">
        <v>22</v>
      </c>
      <c r="M71" s="62" t="s">
        <v>23</v>
      </c>
      <c r="N71" s="62" t="s">
        <v>24</v>
      </c>
      <c r="O71" s="62" t="s">
        <v>25</v>
      </c>
      <c r="P71" s="62" t="s">
        <v>26</v>
      </c>
      <c r="Q71" s="62" t="s">
        <v>27</v>
      </c>
      <c r="R71" s="62" t="s">
        <v>28</v>
      </c>
      <c r="S71" s="62" t="s">
        <v>29</v>
      </c>
      <c r="T71" s="62" t="s">
        <v>30</v>
      </c>
      <c r="U71" s="62" t="s">
        <v>31</v>
      </c>
      <c r="V71" s="62" t="s">
        <v>32</v>
      </c>
      <c r="W71" s="62" t="s">
        <v>33</v>
      </c>
      <c r="X71" s="62" t="s">
        <v>34</v>
      </c>
      <c r="Y71" s="62" t="s">
        <v>35</v>
      </c>
      <c r="Z71" s="62" t="s">
        <v>7</v>
      </c>
      <c r="AA71" s="62" t="s">
        <v>36</v>
      </c>
      <c r="AB71" s="63"/>
      <c r="AD71" s="73"/>
    </row>
    <row r="72" spans="1:30" ht="15.75" x14ac:dyDescent="0.25">
      <c r="A72" s="64">
        <f t="shared" ref="A72:A83" si="11">+A56</f>
        <v>46388</v>
      </c>
      <c r="B72" s="46">
        <f t="shared" ref="B72:Y72" si="12">+B8*$AA8+B24*$AA24+B40*$AA40+B56*$AA56</f>
        <v>298.88</v>
      </c>
      <c r="C72" s="46">
        <f t="shared" si="12"/>
        <v>272.09000000000003</v>
      </c>
      <c r="D72" s="46">
        <f t="shared" si="12"/>
        <v>242.10000000000002</v>
      </c>
      <c r="E72" s="46">
        <f t="shared" si="12"/>
        <v>229.85</v>
      </c>
      <c r="F72" s="46">
        <f t="shared" si="12"/>
        <v>238.87</v>
      </c>
      <c r="G72" s="46">
        <f t="shared" si="12"/>
        <v>280.03999999999996</v>
      </c>
      <c r="H72" s="46">
        <f t="shared" si="12"/>
        <v>342.28</v>
      </c>
      <c r="I72" s="46">
        <f t="shared" si="12"/>
        <v>224.29</v>
      </c>
      <c r="J72" s="46">
        <f t="shared" si="12"/>
        <v>288.89</v>
      </c>
      <c r="K72" s="46">
        <f t="shared" si="12"/>
        <v>363.74</v>
      </c>
      <c r="L72" s="46">
        <f t="shared" si="12"/>
        <v>430.14000000000004</v>
      </c>
      <c r="M72" s="46">
        <f t="shared" si="12"/>
        <v>490.85999999999996</v>
      </c>
      <c r="N72" s="46">
        <f t="shared" si="12"/>
        <v>500.11999999999995</v>
      </c>
      <c r="O72" s="46">
        <f t="shared" si="12"/>
        <v>487.27</v>
      </c>
      <c r="P72" s="46">
        <f t="shared" si="12"/>
        <v>486.73999999999995</v>
      </c>
      <c r="Q72" s="46">
        <f t="shared" si="12"/>
        <v>480.78000000000003</v>
      </c>
      <c r="R72" s="46">
        <f t="shared" si="12"/>
        <v>463.90000000000003</v>
      </c>
      <c r="S72" s="46">
        <f t="shared" si="12"/>
        <v>648.55000000000007</v>
      </c>
      <c r="T72" s="46">
        <f t="shared" si="12"/>
        <v>669.74</v>
      </c>
      <c r="U72" s="46">
        <f t="shared" si="12"/>
        <v>698.46</v>
      </c>
      <c r="V72" s="46">
        <f t="shared" si="12"/>
        <v>658.71000000000015</v>
      </c>
      <c r="W72" s="46">
        <f t="shared" si="12"/>
        <v>590.60000000000014</v>
      </c>
      <c r="X72" s="46">
        <f t="shared" si="12"/>
        <v>489.28999999999991</v>
      </c>
      <c r="Y72" s="46">
        <f t="shared" si="12"/>
        <v>420.74</v>
      </c>
      <c r="Z72" s="47">
        <f t="shared" ref="Z72:Z83" si="13">SUM(B72:Y72)</f>
        <v>10296.929999999998</v>
      </c>
      <c r="AA72" s="48">
        <f t="shared" ref="AA72:AA83" si="14">AA8+AA24+AA40+AA56</f>
        <v>31</v>
      </c>
      <c r="AB72" s="65">
        <f t="shared" ref="AB72:AB83" si="15">+AB8+AB24+AB40+AB56</f>
        <v>10296.93</v>
      </c>
      <c r="AD72" s="73"/>
    </row>
    <row r="73" spans="1:30" ht="15.75" x14ac:dyDescent="0.25">
      <c r="A73" s="66">
        <f t="shared" si="11"/>
        <v>46419</v>
      </c>
      <c r="B73" s="49">
        <f t="shared" ref="B73:Y73" si="16">+B9*$AA9+B25*$AA25+B41*$AA41+B57*$AA57</f>
        <v>275.71999999999997</v>
      </c>
      <c r="C73" s="49">
        <f t="shared" si="16"/>
        <v>253.67999999999998</v>
      </c>
      <c r="D73" s="49">
        <f t="shared" si="16"/>
        <v>229.20000000000002</v>
      </c>
      <c r="E73" s="49">
        <f t="shared" si="16"/>
        <v>220.16000000000003</v>
      </c>
      <c r="F73" s="49">
        <f t="shared" si="16"/>
        <v>237.04</v>
      </c>
      <c r="G73" s="49">
        <f t="shared" si="16"/>
        <v>307.16000000000003</v>
      </c>
      <c r="H73" s="49">
        <f t="shared" si="16"/>
        <v>379.96</v>
      </c>
      <c r="I73" s="49">
        <f t="shared" si="16"/>
        <v>268.39999999999998</v>
      </c>
      <c r="J73" s="49">
        <f t="shared" si="16"/>
        <v>321.52</v>
      </c>
      <c r="K73" s="49">
        <f t="shared" si="16"/>
        <v>384.36</v>
      </c>
      <c r="L73" s="49">
        <f t="shared" si="16"/>
        <v>442.55999999999995</v>
      </c>
      <c r="M73" s="49">
        <f t="shared" si="16"/>
        <v>494.19999999999993</v>
      </c>
      <c r="N73" s="49">
        <f t="shared" si="16"/>
        <v>483.15999999999997</v>
      </c>
      <c r="O73" s="49">
        <f t="shared" si="16"/>
        <v>476.96</v>
      </c>
      <c r="P73" s="49">
        <f t="shared" si="16"/>
        <v>486.48</v>
      </c>
      <c r="Q73" s="49">
        <f t="shared" si="16"/>
        <v>484.44</v>
      </c>
      <c r="R73" s="49">
        <f t="shared" si="16"/>
        <v>468.08000000000004</v>
      </c>
      <c r="S73" s="49">
        <f t="shared" si="16"/>
        <v>614.88</v>
      </c>
      <c r="T73" s="49">
        <f t="shared" si="16"/>
        <v>609.96</v>
      </c>
      <c r="U73" s="49">
        <f t="shared" si="16"/>
        <v>652.96</v>
      </c>
      <c r="V73" s="49">
        <f t="shared" si="16"/>
        <v>623.31999999999994</v>
      </c>
      <c r="W73" s="49">
        <f t="shared" si="16"/>
        <v>558.6400000000001</v>
      </c>
      <c r="X73" s="49">
        <f t="shared" si="16"/>
        <v>456</v>
      </c>
      <c r="Y73" s="49">
        <f t="shared" si="16"/>
        <v>386.92</v>
      </c>
      <c r="Z73" s="50">
        <f t="shared" si="13"/>
        <v>10115.759999999998</v>
      </c>
      <c r="AA73" s="51">
        <f t="shared" si="14"/>
        <v>28</v>
      </c>
      <c r="AB73" s="67">
        <f t="shared" si="15"/>
        <v>10115.759999999998</v>
      </c>
      <c r="AD73" s="73"/>
    </row>
    <row r="74" spans="1:30" ht="15.75" x14ac:dyDescent="0.25">
      <c r="A74" s="66">
        <f t="shared" si="11"/>
        <v>46447</v>
      </c>
      <c r="B74" s="49">
        <f t="shared" ref="B74:Y74" si="17">+B10*$AA10+B26*$AA26+B42*$AA42+B58*$AA58</f>
        <v>289.14</v>
      </c>
      <c r="C74" s="49">
        <f t="shared" si="17"/>
        <v>264.64</v>
      </c>
      <c r="D74" s="49">
        <f t="shared" si="17"/>
        <v>240.56</v>
      </c>
      <c r="E74" s="49">
        <f t="shared" si="17"/>
        <v>229.34000000000003</v>
      </c>
      <c r="F74" s="49">
        <f t="shared" si="17"/>
        <v>246.1</v>
      </c>
      <c r="G74" s="49">
        <f t="shared" si="17"/>
        <v>315.58</v>
      </c>
      <c r="H74" s="49">
        <f t="shared" si="17"/>
        <v>384.14000000000004</v>
      </c>
      <c r="I74" s="49">
        <f t="shared" si="17"/>
        <v>271.64</v>
      </c>
      <c r="J74" s="49">
        <f t="shared" si="17"/>
        <v>329.06</v>
      </c>
      <c r="K74" s="49">
        <f t="shared" si="17"/>
        <v>391.47999999999996</v>
      </c>
      <c r="L74" s="49">
        <f t="shared" si="17"/>
        <v>452.52</v>
      </c>
      <c r="M74" s="49">
        <f t="shared" si="17"/>
        <v>505.59</v>
      </c>
      <c r="N74" s="49">
        <f t="shared" si="17"/>
        <v>503.3</v>
      </c>
      <c r="O74" s="49">
        <f t="shared" si="17"/>
        <v>490.98</v>
      </c>
      <c r="P74" s="49">
        <f t="shared" si="17"/>
        <v>494.18</v>
      </c>
      <c r="Q74" s="49">
        <f t="shared" si="17"/>
        <v>487.08</v>
      </c>
      <c r="R74" s="49">
        <f t="shared" si="17"/>
        <v>474.81</v>
      </c>
      <c r="S74" s="49">
        <f t="shared" si="17"/>
        <v>654.71999999999991</v>
      </c>
      <c r="T74" s="49">
        <f t="shared" si="17"/>
        <v>659.59</v>
      </c>
      <c r="U74" s="49">
        <f t="shared" si="17"/>
        <v>700.15000000000009</v>
      </c>
      <c r="V74" s="49">
        <f t="shared" si="17"/>
        <v>658.35</v>
      </c>
      <c r="W74" s="49">
        <f t="shared" si="17"/>
        <v>588.01</v>
      </c>
      <c r="X74" s="49">
        <f t="shared" si="17"/>
        <v>480.78000000000003</v>
      </c>
      <c r="Y74" s="49">
        <f t="shared" si="17"/>
        <v>407.58</v>
      </c>
      <c r="Z74" s="50">
        <f t="shared" si="13"/>
        <v>10519.320000000002</v>
      </c>
      <c r="AA74" s="51">
        <f t="shared" si="14"/>
        <v>31</v>
      </c>
      <c r="AB74" s="67">
        <f t="shared" si="15"/>
        <v>10519.320000000002</v>
      </c>
      <c r="AD74" s="73"/>
    </row>
    <row r="75" spans="1:30" ht="15.75" x14ac:dyDescent="0.25">
      <c r="A75" s="66">
        <f t="shared" si="11"/>
        <v>46478</v>
      </c>
      <c r="B75" s="49">
        <f t="shared" ref="B75:Y75" si="18">+B11*$AA11+B27*$AA27+B43*$AA43+B59*$AA59</f>
        <v>288.14</v>
      </c>
      <c r="C75" s="49">
        <f t="shared" si="18"/>
        <v>262.38</v>
      </c>
      <c r="D75" s="49">
        <f t="shared" si="18"/>
        <v>238.26000000000005</v>
      </c>
      <c r="E75" s="49">
        <f t="shared" si="18"/>
        <v>227.73999999999998</v>
      </c>
      <c r="F75" s="49">
        <f t="shared" si="18"/>
        <v>247.48</v>
      </c>
      <c r="G75" s="49">
        <f t="shared" si="18"/>
        <v>311.34000000000003</v>
      </c>
      <c r="H75" s="49">
        <f t="shared" si="18"/>
        <v>390.02</v>
      </c>
      <c r="I75" s="49">
        <f t="shared" si="18"/>
        <v>289.52000000000004</v>
      </c>
      <c r="J75" s="49">
        <f t="shared" si="18"/>
        <v>341.62</v>
      </c>
      <c r="K75" s="49">
        <f t="shared" si="18"/>
        <v>422.03999999999996</v>
      </c>
      <c r="L75" s="49">
        <f t="shared" si="18"/>
        <v>482.03999999999996</v>
      </c>
      <c r="M75" s="49">
        <f t="shared" si="18"/>
        <v>537.38</v>
      </c>
      <c r="N75" s="49">
        <f t="shared" si="18"/>
        <v>532.46</v>
      </c>
      <c r="O75" s="49">
        <f t="shared" si="18"/>
        <v>510.52</v>
      </c>
      <c r="P75" s="49">
        <f t="shared" si="18"/>
        <v>504.84000000000003</v>
      </c>
      <c r="Q75" s="49">
        <f t="shared" si="18"/>
        <v>501.02000000000004</v>
      </c>
      <c r="R75" s="49">
        <f t="shared" si="18"/>
        <v>486.95999999999992</v>
      </c>
      <c r="S75" s="49">
        <f t="shared" si="18"/>
        <v>673.19999999999993</v>
      </c>
      <c r="T75" s="49">
        <f t="shared" si="18"/>
        <v>687.9</v>
      </c>
      <c r="U75" s="49">
        <f t="shared" si="18"/>
        <v>713.0200000000001</v>
      </c>
      <c r="V75" s="49">
        <f t="shared" si="18"/>
        <v>667.92000000000007</v>
      </c>
      <c r="W75" s="49">
        <f t="shared" si="18"/>
        <v>595.91999999999996</v>
      </c>
      <c r="X75" s="49">
        <f t="shared" si="18"/>
        <v>487.88</v>
      </c>
      <c r="Y75" s="49">
        <f t="shared" si="18"/>
        <v>417.88</v>
      </c>
      <c r="Z75" s="50">
        <f t="shared" si="13"/>
        <v>10817.48</v>
      </c>
      <c r="AA75" s="51">
        <f t="shared" si="14"/>
        <v>30</v>
      </c>
      <c r="AB75" s="67">
        <f t="shared" si="15"/>
        <v>10817.480000000001</v>
      </c>
      <c r="AD75" s="73"/>
    </row>
    <row r="76" spans="1:30" ht="15.75" x14ac:dyDescent="0.25">
      <c r="A76" s="66">
        <f t="shared" si="11"/>
        <v>46508</v>
      </c>
      <c r="B76" s="49">
        <f t="shared" ref="B76:Y76" si="19">+B12*$AA12+B28*$AA28+B44*$AA44+B60*$AA60</f>
        <v>287.82</v>
      </c>
      <c r="C76" s="49">
        <f t="shared" si="19"/>
        <v>262.73</v>
      </c>
      <c r="D76" s="49">
        <f t="shared" si="19"/>
        <v>237.5</v>
      </c>
      <c r="E76" s="49">
        <f t="shared" si="19"/>
        <v>224.64</v>
      </c>
      <c r="F76" s="49">
        <f t="shared" si="19"/>
        <v>241.98</v>
      </c>
      <c r="G76" s="49">
        <f t="shared" si="19"/>
        <v>291.29999999999995</v>
      </c>
      <c r="H76" s="49">
        <f t="shared" si="19"/>
        <v>377.55999999999995</v>
      </c>
      <c r="I76" s="49">
        <f t="shared" si="19"/>
        <v>267.59999999999997</v>
      </c>
      <c r="J76" s="49">
        <f t="shared" si="19"/>
        <v>331.24</v>
      </c>
      <c r="K76" s="49">
        <f t="shared" si="19"/>
        <v>405.71999999999997</v>
      </c>
      <c r="L76" s="49">
        <f t="shared" si="19"/>
        <v>470.74</v>
      </c>
      <c r="M76" s="49">
        <f t="shared" si="19"/>
        <v>529.28</v>
      </c>
      <c r="N76" s="49">
        <f t="shared" si="19"/>
        <v>522.43999999999994</v>
      </c>
      <c r="O76" s="49">
        <f t="shared" si="19"/>
        <v>502.62000000000006</v>
      </c>
      <c r="P76" s="49">
        <f t="shared" si="19"/>
        <v>495.01</v>
      </c>
      <c r="Q76" s="49">
        <f t="shared" si="19"/>
        <v>488.5</v>
      </c>
      <c r="R76" s="49">
        <f t="shared" si="19"/>
        <v>467.22999999999996</v>
      </c>
      <c r="S76" s="49">
        <f t="shared" si="19"/>
        <v>666.55</v>
      </c>
      <c r="T76" s="49">
        <f t="shared" si="19"/>
        <v>680.76</v>
      </c>
      <c r="U76" s="49">
        <f t="shared" si="19"/>
        <v>711.49</v>
      </c>
      <c r="V76" s="49">
        <f t="shared" si="19"/>
        <v>667.68999999999994</v>
      </c>
      <c r="W76" s="49">
        <f t="shared" si="19"/>
        <v>590.29</v>
      </c>
      <c r="X76" s="49">
        <f t="shared" si="19"/>
        <v>477.13</v>
      </c>
      <c r="Y76" s="49">
        <f t="shared" si="19"/>
        <v>408.81</v>
      </c>
      <c r="Z76" s="50">
        <f t="shared" si="13"/>
        <v>10606.629999999997</v>
      </c>
      <c r="AA76" s="51">
        <f t="shared" si="14"/>
        <v>31</v>
      </c>
      <c r="AB76" s="67">
        <f t="shared" si="15"/>
        <v>10606.629999999997</v>
      </c>
      <c r="AD76" s="73"/>
    </row>
    <row r="77" spans="1:30" ht="15.75" x14ac:dyDescent="0.25">
      <c r="A77" s="66">
        <f t="shared" si="11"/>
        <v>46539</v>
      </c>
      <c r="B77" s="49">
        <f t="shared" ref="B77:Y77" si="20">+B13*$AA13+B29*$AA29+B45*$AA45+B61*$AA61</f>
        <v>277.55</v>
      </c>
      <c r="C77" s="49">
        <f t="shared" si="20"/>
        <v>252.15999999999997</v>
      </c>
      <c r="D77" s="49">
        <f t="shared" si="20"/>
        <v>225.07000000000002</v>
      </c>
      <c r="E77" s="49">
        <f t="shared" si="20"/>
        <v>213.87000000000003</v>
      </c>
      <c r="F77" s="49">
        <f t="shared" si="20"/>
        <v>233.41999999999996</v>
      </c>
      <c r="G77" s="49">
        <f t="shared" si="20"/>
        <v>287.19999999999993</v>
      </c>
      <c r="H77" s="49">
        <f t="shared" si="20"/>
        <v>377.03999999999996</v>
      </c>
      <c r="I77" s="49">
        <f t="shared" si="20"/>
        <v>278.39999999999998</v>
      </c>
      <c r="J77" s="49">
        <f t="shared" si="20"/>
        <v>341.40000000000003</v>
      </c>
      <c r="K77" s="49">
        <f t="shared" si="20"/>
        <v>413.9</v>
      </c>
      <c r="L77" s="49">
        <f t="shared" si="20"/>
        <v>472.62</v>
      </c>
      <c r="M77" s="49">
        <f t="shared" si="20"/>
        <v>531.24</v>
      </c>
      <c r="N77" s="49">
        <f t="shared" si="20"/>
        <v>530.18000000000006</v>
      </c>
      <c r="O77" s="49">
        <f t="shared" si="20"/>
        <v>508.32</v>
      </c>
      <c r="P77" s="49">
        <f t="shared" si="20"/>
        <v>500.85</v>
      </c>
      <c r="Q77" s="49">
        <f t="shared" si="20"/>
        <v>490.5</v>
      </c>
      <c r="R77" s="49">
        <f t="shared" si="20"/>
        <v>474.46000000000004</v>
      </c>
      <c r="S77" s="49">
        <f t="shared" si="20"/>
        <v>662.5200000000001</v>
      </c>
      <c r="T77" s="49">
        <f t="shared" si="20"/>
        <v>674.09999999999991</v>
      </c>
      <c r="U77" s="49">
        <f t="shared" si="20"/>
        <v>717.32</v>
      </c>
      <c r="V77" s="49">
        <f t="shared" si="20"/>
        <v>670.65</v>
      </c>
      <c r="W77" s="49">
        <f t="shared" si="20"/>
        <v>589.59</v>
      </c>
      <c r="X77" s="49">
        <f t="shared" si="20"/>
        <v>472.18999999999994</v>
      </c>
      <c r="Y77" s="49">
        <f t="shared" si="20"/>
        <v>402.62000000000006</v>
      </c>
      <c r="Z77" s="50">
        <f t="shared" si="13"/>
        <v>10597.170000000002</v>
      </c>
      <c r="AA77" s="51">
        <f t="shared" si="14"/>
        <v>30</v>
      </c>
      <c r="AB77" s="67">
        <f t="shared" si="15"/>
        <v>10597.17</v>
      </c>
      <c r="AD77" s="73"/>
    </row>
    <row r="78" spans="1:30" ht="15.75" x14ac:dyDescent="0.25">
      <c r="A78" s="66">
        <f t="shared" si="11"/>
        <v>46569</v>
      </c>
      <c r="B78" s="49">
        <f t="shared" ref="B78:Y78" si="21">+B14*$AA14+B30*$AA30+B46*$AA46+B62*$AA62</f>
        <v>247.16000000000003</v>
      </c>
      <c r="C78" s="49">
        <f t="shared" si="21"/>
        <v>223.51</v>
      </c>
      <c r="D78" s="49">
        <f t="shared" si="21"/>
        <v>193</v>
      </c>
      <c r="E78" s="49">
        <f t="shared" si="21"/>
        <v>180.62</v>
      </c>
      <c r="F78" s="49">
        <f t="shared" si="21"/>
        <v>199.53</v>
      </c>
      <c r="G78" s="49">
        <f t="shared" si="21"/>
        <v>255.82</v>
      </c>
      <c r="H78" s="49">
        <f t="shared" si="21"/>
        <v>340.26000000000005</v>
      </c>
      <c r="I78" s="49">
        <f t="shared" si="21"/>
        <v>221.6</v>
      </c>
      <c r="J78" s="49">
        <f t="shared" si="21"/>
        <v>293.3</v>
      </c>
      <c r="K78" s="49">
        <f t="shared" si="21"/>
        <v>373.96000000000004</v>
      </c>
      <c r="L78" s="49">
        <f t="shared" si="21"/>
        <v>437.75</v>
      </c>
      <c r="M78" s="49">
        <f t="shared" si="21"/>
        <v>505.34</v>
      </c>
      <c r="N78" s="49">
        <f t="shared" si="21"/>
        <v>500.92999999999995</v>
      </c>
      <c r="O78" s="49">
        <f t="shared" si="21"/>
        <v>476.57999999999993</v>
      </c>
      <c r="P78" s="49">
        <f t="shared" si="21"/>
        <v>470.63</v>
      </c>
      <c r="Q78" s="49">
        <f t="shared" si="21"/>
        <v>464.26000000000005</v>
      </c>
      <c r="R78" s="49">
        <f t="shared" si="21"/>
        <v>450.90000000000003</v>
      </c>
      <c r="S78" s="49">
        <f t="shared" si="21"/>
        <v>691.21</v>
      </c>
      <c r="T78" s="49">
        <f t="shared" si="21"/>
        <v>686.18000000000006</v>
      </c>
      <c r="U78" s="49">
        <f t="shared" si="21"/>
        <v>745.31</v>
      </c>
      <c r="V78" s="49">
        <f t="shared" si="21"/>
        <v>697.06999999999994</v>
      </c>
      <c r="W78" s="49">
        <f t="shared" si="21"/>
        <v>613.82999999999993</v>
      </c>
      <c r="X78" s="49">
        <f t="shared" si="21"/>
        <v>490.15000000000003</v>
      </c>
      <c r="Y78" s="49">
        <f t="shared" si="21"/>
        <v>424.47999999999996</v>
      </c>
      <c r="Z78" s="50">
        <f t="shared" si="13"/>
        <v>10183.379999999999</v>
      </c>
      <c r="AA78" s="51">
        <f t="shared" si="14"/>
        <v>31</v>
      </c>
      <c r="AB78" s="67">
        <f t="shared" si="15"/>
        <v>10183.380000000001</v>
      </c>
      <c r="AD78" s="73"/>
    </row>
    <row r="79" spans="1:30" ht="15.75" x14ac:dyDescent="0.25">
      <c r="A79" s="66">
        <f t="shared" si="11"/>
        <v>46600</v>
      </c>
      <c r="B79" s="49">
        <f t="shared" ref="B79:Y79" si="22">+B15*$AA15+B31*$AA31+B47*$AA47+B63*$AA63</f>
        <v>265.94</v>
      </c>
      <c r="C79" s="49">
        <f t="shared" si="22"/>
        <v>238.98000000000002</v>
      </c>
      <c r="D79" s="49">
        <f t="shared" si="22"/>
        <v>211.35999999999999</v>
      </c>
      <c r="E79" s="49">
        <f t="shared" si="22"/>
        <v>199.45000000000002</v>
      </c>
      <c r="F79" s="49">
        <f t="shared" si="22"/>
        <v>218.68</v>
      </c>
      <c r="G79" s="49">
        <f t="shared" si="22"/>
        <v>285.55</v>
      </c>
      <c r="H79" s="49">
        <f t="shared" si="22"/>
        <v>366.17</v>
      </c>
      <c r="I79" s="49">
        <f t="shared" si="22"/>
        <v>242.36</v>
      </c>
      <c r="J79" s="49">
        <f t="shared" si="22"/>
        <v>310.19</v>
      </c>
      <c r="K79" s="49">
        <f t="shared" si="22"/>
        <v>384.35</v>
      </c>
      <c r="L79" s="49">
        <f t="shared" si="22"/>
        <v>458.2</v>
      </c>
      <c r="M79" s="49">
        <f t="shared" si="22"/>
        <v>522.84</v>
      </c>
      <c r="N79" s="49">
        <f t="shared" si="22"/>
        <v>518.69999999999993</v>
      </c>
      <c r="O79" s="49">
        <f t="shared" si="22"/>
        <v>501.78000000000003</v>
      </c>
      <c r="P79" s="49">
        <f t="shared" si="22"/>
        <v>498.44</v>
      </c>
      <c r="Q79" s="49">
        <f t="shared" si="22"/>
        <v>487.41</v>
      </c>
      <c r="R79" s="49">
        <f t="shared" si="22"/>
        <v>469.82</v>
      </c>
      <c r="S79" s="49">
        <f t="shared" si="22"/>
        <v>706.89999999999986</v>
      </c>
      <c r="T79" s="49">
        <f t="shared" si="22"/>
        <v>712.01</v>
      </c>
      <c r="U79" s="49">
        <f t="shared" si="22"/>
        <v>760.06999999999994</v>
      </c>
      <c r="V79" s="49">
        <f t="shared" si="22"/>
        <v>710.54000000000008</v>
      </c>
      <c r="W79" s="49">
        <f t="shared" si="22"/>
        <v>625.97</v>
      </c>
      <c r="X79" s="49">
        <f t="shared" si="22"/>
        <v>497.40999999999997</v>
      </c>
      <c r="Y79" s="49">
        <f t="shared" si="22"/>
        <v>428.95000000000005</v>
      </c>
      <c r="Z79" s="50">
        <f t="shared" si="13"/>
        <v>10622.07</v>
      </c>
      <c r="AA79" s="51">
        <f t="shared" si="14"/>
        <v>31</v>
      </c>
      <c r="AB79" s="67">
        <f t="shared" si="15"/>
        <v>10622.07</v>
      </c>
      <c r="AD79" s="73"/>
    </row>
    <row r="80" spans="1:30" ht="15.75" x14ac:dyDescent="0.25">
      <c r="A80" s="66">
        <f t="shared" si="11"/>
        <v>46631</v>
      </c>
      <c r="B80" s="49">
        <f t="shared" ref="B80:Y80" si="23">+B16*$AA16+B32*$AA32+B48*$AA48+B64*$AA64</f>
        <v>256.32</v>
      </c>
      <c r="C80" s="49">
        <f t="shared" si="23"/>
        <v>230.56</v>
      </c>
      <c r="D80" s="49">
        <f t="shared" si="23"/>
        <v>203.84</v>
      </c>
      <c r="E80" s="49">
        <f t="shared" si="23"/>
        <v>192.62</v>
      </c>
      <c r="F80" s="49">
        <f t="shared" si="23"/>
        <v>215.65999999999997</v>
      </c>
      <c r="G80" s="49">
        <f t="shared" si="23"/>
        <v>285.32</v>
      </c>
      <c r="H80" s="49">
        <f t="shared" si="23"/>
        <v>375.47999999999996</v>
      </c>
      <c r="I80" s="49">
        <f t="shared" si="23"/>
        <v>255.85999999999999</v>
      </c>
      <c r="J80" s="49">
        <f t="shared" si="23"/>
        <v>303.52000000000004</v>
      </c>
      <c r="K80" s="49">
        <f t="shared" si="23"/>
        <v>383.42</v>
      </c>
      <c r="L80" s="49">
        <f t="shared" si="23"/>
        <v>465.29999999999995</v>
      </c>
      <c r="M80" s="49">
        <f t="shared" si="23"/>
        <v>528.91999999999996</v>
      </c>
      <c r="N80" s="49">
        <f t="shared" si="23"/>
        <v>515.98</v>
      </c>
      <c r="O80" s="49">
        <f t="shared" si="23"/>
        <v>499.12</v>
      </c>
      <c r="P80" s="49">
        <f t="shared" si="23"/>
        <v>500.96</v>
      </c>
      <c r="Q80" s="49">
        <f t="shared" si="23"/>
        <v>494.56000000000006</v>
      </c>
      <c r="R80" s="49">
        <f t="shared" si="23"/>
        <v>476.04</v>
      </c>
      <c r="S80" s="49">
        <f t="shared" si="23"/>
        <v>717.37999999999988</v>
      </c>
      <c r="T80" s="49">
        <f t="shared" si="23"/>
        <v>746.1</v>
      </c>
      <c r="U80" s="49">
        <f t="shared" si="23"/>
        <v>749.71999999999991</v>
      </c>
      <c r="V80" s="49">
        <f t="shared" si="23"/>
        <v>695.6400000000001</v>
      </c>
      <c r="W80" s="49">
        <f t="shared" si="23"/>
        <v>611.95999999999992</v>
      </c>
      <c r="X80" s="49">
        <f t="shared" si="23"/>
        <v>486.28</v>
      </c>
      <c r="Y80" s="49">
        <f t="shared" si="23"/>
        <v>417.24000000000007</v>
      </c>
      <c r="Z80" s="50">
        <f t="shared" si="13"/>
        <v>10607.8</v>
      </c>
      <c r="AA80" s="51">
        <f t="shared" si="14"/>
        <v>30</v>
      </c>
      <c r="AB80" s="67">
        <f t="shared" si="15"/>
        <v>10607.800000000001</v>
      </c>
      <c r="AD80" s="73"/>
    </row>
    <row r="81" spans="1:30" ht="15.75" x14ac:dyDescent="0.25">
      <c r="A81" s="66">
        <f t="shared" si="11"/>
        <v>46661</v>
      </c>
      <c r="B81" s="49">
        <f t="shared" ref="B81:Y81" si="24">+B17*$AA17+B33*$AA33+B49*$AA49+B65*$AA65</f>
        <v>259.51</v>
      </c>
      <c r="C81" s="49">
        <f t="shared" si="24"/>
        <v>230.5</v>
      </c>
      <c r="D81" s="49">
        <f t="shared" si="24"/>
        <v>204.54999999999998</v>
      </c>
      <c r="E81" s="49">
        <f t="shared" si="24"/>
        <v>194.17</v>
      </c>
      <c r="F81" s="49">
        <f t="shared" si="24"/>
        <v>209.51000000000002</v>
      </c>
      <c r="G81" s="49">
        <f t="shared" si="24"/>
        <v>241.65</v>
      </c>
      <c r="H81" s="49">
        <f t="shared" si="24"/>
        <v>338.35</v>
      </c>
      <c r="I81" s="49">
        <f t="shared" si="24"/>
        <v>230.23</v>
      </c>
      <c r="J81" s="49">
        <f t="shared" si="24"/>
        <v>310.60999999999996</v>
      </c>
      <c r="K81" s="49">
        <f t="shared" si="24"/>
        <v>394.69000000000005</v>
      </c>
      <c r="L81" s="49">
        <f t="shared" si="24"/>
        <v>469.65999999999997</v>
      </c>
      <c r="M81" s="49">
        <f t="shared" si="24"/>
        <v>532.35</v>
      </c>
      <c r="N81" s="49">
        <f t="shared" si="24"/>
        <v>529.29000000000008</v>
      </c>
      <c r="O81" s="49">
        <f t="shared" si="24"/>
        <v>509.4</v>
      </c>
      <c r="P81" s="49">
        <f t="shared" si="24"/>
        <v>505.60999999999996</v>
      </c>
      <c r="Q81" s="49">
        <f t="shared" si="24"/>
        <v>488.88</v>
      </c>
      <c r="R81" s="49">
        <f t="shared" si="24"/>
        <v>471.38999999999993</v>
      </c>
      <c r="S81" s="49">
        <f t="shared" si="24"/>
        <v>736.9899999999999</v>
      </c>
      <c r="T81" s="49">
        <f t="shared" si="24"/>
        <v>771.2299999999999</v>
      </c>
      <c r="U81" s="49">
        <f t="shared" si="24"/>
        <v>746.55000000000007</v>
      </c>
      <c r="V81" s="49">
        <f t="shared" si="24"/>
        <v>693.57</v>
      </c>
      <c r="W81" s="49">
        <f t="shared" si="24"/>
        <v>613.29</v>
      </c>
      <c r="X81" s="49">
        <f t="shared" si="24"/>
        <v>500.89000000000004</v>
      </c>
      <c r="Y81" s="49">
        <f t="shared" si="24"/>
        <v>432.51</v>
      </c>
      <c r="Z81" s="50">
        <f t="shared" si="13"/>
        <v>10615.38</v>
      </c>
      <c r="AA81" s="51">
        <f t="shared" si="14"/>
        <v>31</v>
      </c>
      <c r="AB81" s="67">
        <f t="shared" si="15"/>
        <v>10615.38</v>
      </c>
      <c r="AD81" s="73"/>
    </row>
    <row r="82" spans="1:30" ht="15.75" x14ac:dyDescent="0.25">
      <c r="A82" s="66">
        <f t="shared" si="11"/>
        <v>46692</v>
      </c>
      <c r="B82" s="49">
        <f t="shared" ref="B82:Y82" si="25">+B18*$AA18+B34*$AA34+B50*$AA50+B66*$AA66</f>
        <v>262.2</v>
      </c>
      <c r="C82" s="49">
        <f t="shared" si="25"/>
        <v>234.43999999999997</v>
      </c>
      <c r="D82" s="49">
        <f t="shared" si="25"/>
        <v>206.12</v>
      </c>
      <c r="E82" s="49">
        <f t="shared" si="25"/>
        <v>194.28</v>
      </c>
      <c r="F82" s="49">
        <f t="shared" si="25"/>
        <v>210.12</v>
      </c>
      <c r="G82" s="49">
        <f t="shared" si="25"/>
        <v>252.14</v>
      </c>
      <c r="H82" s="49">
        <f t="shared" si="25"/>
        <v>341.71999999999991</v>
      </c>
      <c r="I82" s="49">
        <f t="shared" si="25"/>
        <v>237.54000000000002</v>
      </c>
      <c r="J82" s="49">
        <f t="shared" si="25"/>
        <v>309.38</v>
      </c>
      <c r="K82" s="49">
        <f t="shared" si="25"/>
        <v>383.98000000000008</v>
      </c>
      <c r="L82" s="49">
        <f t="shared" si="25"/>
        <v>452.92</v>
      </c>
      <c r="M82" s="49">
        <f t="shared" si="25"/>
        <v>516.33999999999992</v>
      </c>
      <c r="N82" s="49">
        <f t="shared" si="25"/>
        <v>517.6</v>
      </c>
      <c r="O82" s="49">
        <f t="shared" si="25"/>
        <v>499.02</v>
      </c>
      <c r="P82" s="49">
        <f t="shared" si="25"/>
        <v>503.34000000000003</v>
      </c>
      <c r="Q82" s="49">
        <f t="shared" si="25"/>
        <v>493.20000000000005</v>
      </c>
      <c r="R82" s="49">
        <f t="shared" si="25"/>
        <v>477.82</v>
      </c>
      <c r="S82" s="49">
        <f t="shared" si="25"/>
        <v>740.61999999999989</v>
      </c>
      <c r="T82" s="49">
        <f t="shared" si="25"/>
        <v>769.7399999999999</v>
      </c>
      <c r="U82" s="49">
        <f t="shared" si="25"/>
        <v>749.31999999999994</v>
      </c>
      <c r="V82" s="49">
        <f t="shared" si="25"/>
        <v>698.74000000000012</v>
      </c>
      <c r="W82" s="49">
        <f t="shared" si="25"/>
        <v>618.83999999999992</v>
      </c>
      <c r="X82" s="49">
        <f t="shared" si="25"/>
        <v>501.73999999999995</v>
      </c>
      <c r="Y82" s="49">
        <f t="shared" si="25"/>
        <v>431.34</v>
      </c>
      <c r="Z82" s="50">
        <f t="shared" si="13"/>
        <v>10602.499999999998</v>
      </c>
      <c r="AA82" s="51">
        <f t="shared" si="14"/>
        <v>30</v>
      </c>
      <c r="AB82" s="67">
        <f t="shared" si="15"/>
        <v>10602.499999999998</v>
      </c>
      <c r="AD82" s="73"/>
    </row>
    <row r="83" spans="1:30" ht="16.5" thickBot="1" x14ac:dyDescent="0.3">
      <c r="A83" s="68">
        <f t="shared" si="11"/>
        <v>46722</v>
      </c>
      <c r="B83" s="52">
        <f t="shared" ref="B83:Y83" si="26">+B19*$AA19+B35*$AA35+B51*$AA51+B67*$AA67</f>
        <v>283.63</v>
      </c>
      <c r="C83" s="52">
        <f t="shared" si="26"/>
        <v>250.82</v>
      </c>
      <c r="D83" s="52">
        <f t="shared" si="26"/>
        <v>219.47000000000003</v>
      </c>
      <c r="E83" s="52">
        <f t="shared" si="26"/>
        <v>204.19</v>
      </c>
      <c r="F83" s="52">
        <f t="shared" si="26"/>
        <v>214.40000000000003</v>
      </c>
      <c r="G83" s="52">
        <f t="shared" si="26"/>
        <v>251.32999999999998</v>
      </c>
      <c r="H83" s="52">
        <f t="shared" si="26"/>
        <v>327.52999999999997</v>
      </c>
      <c r="I83" s="52">
        <f t="shared" si="26"/>
        <v>224.10000000000002</v>
      </c>
      <c r="J83" s="52">
        <f t="shared" si="26"/>
        <v>296.17</v>
      </c>
      <c r="K83" s="52">
        <f t="shared" si="26"/>
        <v>368.84999999999997</v>
      </c>
      <c r="L83" s="52">
        <f t="shared" si="26"/>
        <v>435.51</v>
      </c>
      <c r="M83" s="52">
        <f t="shared" si="26"/>
        <v>493.89000000000004</v>
      </c>
      <c r="N83" s="52">
        <f t="shared" si="26"/>
        <v>502.29000000000008</v>
      </c>
      <c r="O83" s="52">
        <f t="shared" si="26"/>
        <v>490.35999999999996</v>
      </c>
      <c r="P83" s="52">
        <f t="shared" si="26"/>
        <v>488.15999999999997</v>
      </c>
      <c r="Q83" s="52">
        <f t="shared" si="26"/>
        <v>477.03</v>
      </c>
      <c r="R83" s="52">
        <f t="shared" si="26"/>
        <v>456.68000000000006</v>
      </c>
      <c r="S83" s="52">
        <f t="shared" si="26"/>
        <v>689.6</v>
      </c>
      <c r="T83" s="52">
        <f t="shared" si="26"/>
        <v>727.39</v>
      </c>
      <c r="U83" s="52">
        <f t="shared" si="26"/>
        <v>723.91000000000008</v>
      </c>
      <c r="V83" s="52">
        <f t="shared" si="26"/>
        <v>677</v>
      </c>
      <c r="W83" s="52">
        <f t="shared" si="26"/>
        <v>611.25</v>
      </c>
      <c r="X83" s="52">
        <f t="shared" si="26"/>
        <v>513.89</v>
      </c>
      <c r="Y83" s="52">
        <f t="shared" si="26"/>
        <v>453.65999999999997</v>
      </c>
      <c r="Z83" s="53">
        <f t="shared" si="13"/>
        <v>10381.11</v>
      </c>
      <c r="AA83" s="54">
        <f t="shared" si="14"/>
        <v>31</v>
      </c>
      <c r="AB83" s="69">
        <f t="shared" si="15"/>
        <v>10381.11</v>
      </c>
      <c r="AD83" s="73"/>
    </row>
  </sheetData>
  <conditionalFormatting sqref="B1:Y1048576 AA8:AA19 AA24:AA35 AA40:AA51 AA56:AA67 AA72:AA83">
    <cfRule type="cellIs" dxfId="1" priority="1" operator="lessThan">
      <formula>0</formula>
    </cfRule>
  </conditionalFormatting>
  <pageMargins left="0.75" right="0.75" top="1" bottom="1"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FE97-E16A-4411-85E7-2EAC6A5D99CE}">
  <sheetPr>
    <tabColor theme="9" tint="0.39997558519241921"/>
  </sheetPr>
  <dimension ref="A1:M38"/>
  <sheetViews>
    <sheetView view="pageBreakPreview" topLeftCell="A9" zoomScale="60" zoomScaleNormal="100" zoomScalePageLayoutView="30" workbookViewId="0">
      <selection activeCell="G27" sqref="G27"/>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76" t="s">
        <v>0</v>
      </c>
      <c r="E2" s="76"/>
      <c r="F2" s="76"/>
      <c r="G2" s="76"/>
      <c r="H2" s="76"/>
      <c r="I2" s="76"/>
      <c r="J2" s="76"/>
      <c r="K2" s="2"/>
      <c r="L2" s="2"/>
      <c r="M2" s="2"/>
    </row>
    <row r="3" spans="1:13" ht="89.25" customHeight="1" x14ac:dyDescent="0.3">
      <c r="A3" s="2"/>
      <c r="B3" s="2"/>
      <c r="C3" s="77" t="s">
        <v>53</v>
      </c>
      <c r="D3" s="77"/>
      <c r="E3" s="77"/>
      <c r="F3" s="77"/>
      <c r="G3" s="77"/>
      <c r="H3" s="77"/>
      <c r="I3" s="77"/>
      <c r="J3" s="77"/>
      <c r="K3" s="77"/>
      <c r="L3" s="2"/>
      <c r="M3" s="2"/>
    </row>
    <row r="4" spans="1:13" x14ac:dyDescent="0.3">
      <c r="A4" s="2"/>
      <c r="B4" s="2"/>
      <c r="C4" s="3"/>
      <c r="D4" s="78" t="s">
        <v>1</v>
      </c>
      <c r="E4" s="78"/>
      <c r="F4" s="78"/>
      <c r="G4" s="78"/>
      <c r="H4" s="78"/>
      <c r="I4" s="78"/>
      <c r="J4" s="78"/>
      <c r="K4" s="3"/>
      <c r="L4" s="2"/>
      <c r="M4" s="2"/>
    </row>
    <row r="5" spans="1:13" ht="19.5" customHeight="1" x14ac:dyDescent="0.3">
      <c r="A5" s="4"/>
      <c r="B5" s="5"/>
      <c r="C5" s="5"/>
      <c r="D5" s="6"/>
      <c r="E5" s="7"/>
      <c r="F5" s="7"/>
      <c r="G5" s="7"/>
      <c r="H5" s="7"/>
      <c r="I5" s="7"/>
      <c r="J5" s="8"/>
      <c r="K5" s="9"/>
      <c r="L5" s="4"/>
      <c r="M5" s="4"/>
    </row>
    <row r="6" spans="1:13" x14ac:dyDescent="0.3">
      <c r="A6" s="4"/>
      <c r="B6" s="5"/>
      <c r="C6" s="10" t="s">
        <v>2</v>
      </c>
      <c r="D6" s="5"/>
      <c r="E6" s="5"/>
      <c r="G6" s="5"/>
      <c r="H6" s="5"/>
      <c r="I6" s="5"/>
      <c r="J6" s="5"/>
      <c r="K6" s="9"/>
      <c r="L6" s="4"/>
      <c r="M6" s="4"/>
    </row>
    <row r="7" spans="1:13" x14ac:dyDescent="0.3">
      <c r="A7" s="4"/>
      <c r="B7" s="5"/>
      <c r="C7" s="10" t="s">
        <v>3</v>
      </c>
      <c r="D7" s="5"/>
      <c r="E7" s="5"/>
      <c r="G7" s="5"/>
      <c r="H7" s="5"/>
      <c r="I7" s="5"/>
      <c r="J7" s="5"/>
      <c r="K7" s="9"/>
      <c r="L7" s="4"/>
      <c r="M7" s="4"/>
    </row>
    <row r="8" spans="1:13" x14ac:dyDescent="0.3">
      <c r="B8" s="11"/>
      <c r="C8" s="10" t="s">
        <v>4</v>
      </c>
      <c r="D8" s="5"/>
      <c r="E8" s="5"/>
      <c r="G8" s="11"/>
      <c r="H8" s="11"/>
      <c r="I8" s="11"/>
      <c r="J8" s="11"/>
      <c r="K8" s="12"/>
    </row>
    <row r="9" spans="1:13" x14ac:dyDescent="0.3">
      <c r="B9" s="11"/>
      <c r="C9" s="13" t="str">
        <f>"PRODUCTO OFERTADO: "&amp;D4</f>
        <v>PRODUCTO OFERTADO: PRODUCTO No. 3</v>
      </c>
      <c r="D9" s="5"/>
      <c r="E9" s="5"/>
      <c r="G9" s="11"/>
      <c r="H9" s="11"/>
      <c r="I9" s="11"/>
      <c r="J9" s="11"/>
      <c r="K9" s="12"/>
    </row>
    <row r="10" spans="1:13" x14ac:dyDescent="0.3">
      <c r="B10" s="11"/>
      <c r="C10" s="13"/>
      <c r="D10" s="5"/>
      <c r="E10" s="5"/>
      <c r="G10" s="11"/>
      <c r="H10" s="11"/>
      <c r="I10" s="11"/>
      <c r="J10" s="11"/>
      <c r="K10" s="12"/>
    </row>
    <row r="11" spans="1:13" x14ac:dyDescent="0.3">
      <c r="B11" s="11"/>
      <c r="C11" s="10" t="s">
        <v>54</v>
      </c>
      <c r="D11" s="14"/>
      <c r="E11" s="14"/>
      <c r="F11" s="15"/>
      <c r="G11" s="11"/>
      <c r="H11" s="11"/>
      <c r="I11" s="11"/>
      <c r="J11" s="11"/>
      <c r="K11" s="12"/>
    </row>
    <row r="12" spans="1:13" x14ac:dyDescent="0.3">
      <c r="B12" s="16"/>
      <c r="C12" s="15"/>
    </row>
    <row r="13" spans="1:13" x14ac:dyDescent="0.3">
      <c r="F13" s="79" t="str">
        <f>"Oferta " &amp; PROPER(D4)</f>
        <v>Oferta Producto No. 3</v>
      </c>
      <c r="G13" s="79"/>
      <c r="H13" s="79"/>
      <c r="I13" s="79"/>
      <c r="J13" s="79"/>
    </row>
    <row r="14" spans="1:13" ht="72.75" customHeight="1" x14ac:dyDescent="0.3">
      <c r="F14" s="17" t="s">
        <v>5</v>
      </c>
      <c r="G14" s="18" t="s">
        <v>39</v>
      </c>
      <c r="H14" s="18" t="s">
        <v>40</v>
      </c>
      <c r="I14" s="18" t="s">
        <v>41</v>
      </c>
      <c r="J14" s="19" t="s">
        <v>6</v>
      </c>
    </row>
    <row r="15" spans="1:13" x14ac:dyDescent="0.3">
      <c r="A15" s="21">
        <v>22.85</v>
      </c>
      <c r="B15" s="21">
        <v>31</v>
      </c>
      <c r="F15" s="22">
        <f>+'Cantidades Producto No. 3'!A72</f>
        <v>46753</v>
      </c>
      <c r="G15" s="39">
        <f>+'Cantidades Producto No. 3'!AB72</f>
        <v>10044.820000000002</v>
      </c>
      <c r="H15" s="23"/>
      <c r="I15" s="40"/>
      <c r="J15" s="80"/>
      <c r="L15" s="24"/>
      <c r="M15" s="24"/>
    </row>
    <row r="16" spans="1:13" x14ac:dyDescent="0.3">
      <c r="A16" s="20"/>
      <c r="B16" s="21">
        <v>28</v>
      </c>
      <c r="F16" s="22">
        <f>+'Cantidades Producto No. 3'!A73</f>
        <v>46784</v>
      </c>
      <c r="G16" s="39">
        <f>+'Cantidades Producto No. 3'!AB73</f>
        <v>9711.7400000000016</v>
      </c>
      <c r="H16" s="23"/>
      <c r="I16" s="40"/>
      <c r="J16" s="81"/>
      <c r="L16" s="24"/>
      <c r="M16" s="24"/>
    </row>
    <row r="17" spans="1:13" x14ac:dyDescent="0.3">
      <c r="A17" s="20"/>
      <c r="B17" s="21">
        <v>31</v>
      </c>
      <c r="F17" s="22">
        <f>+'Cantidades Producto No. 3'!A74</f>
        <v>46813</v>
      </c>
      <c r="G17" s="39">
        <f>+'Cantidades Producto No. 3'!AB74</f>
        <v>10267.16</v>
      </c>
      <c r="H17" s="23"/>
      <c r="I17" s="40"/>
      <c r="J17" s="81"/>
      <c r="L17" s="24"/>
      <c r="M17" s="24"/>
    </row>
    <row r="18" spans="1:13" x14ac:dyDescent="0.3">
      <c r="A18" s="20"/>
      <c r="B18" s="21">
        <v>30</v>
      </c>
      <c r="F18" s="22">
        <f>+'Cantidades Producto No. 3'!A75</f>
        <v>46844</v>
      </c>
      <c r="G18" s="39">
        <f>+'Cantidades Producto No. 3'!AB75</f>
        <v>9693.56</v>
      </c>
      <c r="H18" s="23"/>
      <c r="I18" s="40"/>
      <c r="J18" s="81"/>
      <c r="L18" s="24"/>
      <c r="M18" s="24"/>
    </row>
    <row r="19" spans="1:13" x14ac:dyDescent="0.3">
      <c r="A19" s="20"/>
      <c r="B19" s="21">
        <v>31</v>
      </c>
      <c r="F19" s="22">
        <f>+'Cantidades Producto No. 3'!A76</f>
        <v>46874</v>
      </c>
      <c r="G19" s="39">
        <f>+'Cantidades Producto No. 3'!AB76</f>
        <v>10108.630000000001</v>
      </c>
      <c r="H19" s="23"/>
      <c r="I19" s="40"/>
      <c r="J19" s="81"/>
      <c r="L19" s="24"/>
      <c r="M19" s="24"/>
    </row>
    <row r="20" spans="1:13" x14ac:dyDescent="0.3">
      <c r="A20" s="25"/>
      <c r="B20" s="21">
        <v>30</v>
      </c>
      <c r="F20" s="22">
        <f>+'Cantidades Producto No. 3'!A77</f>
        <v>46905</v>
      </c>
      <c r="G20" s="39">
        <f>+'Cantidades Producto No. 3'!AB77</f>
        <v>9795.14</v>
      </c>
      <c r="H20" s="23"/>
      <c r="I20" s="40"/>
      <c r="J20" s="81"/>
      <c r="L20" s="24"/>
      <c r="M20" s="24"/>
    </row>
    <row r="21" spans="1:13" x14ac:dyDescent="0.3">
      <c r="A21" s="20"/>
      <c r="B21" s="21">
        <v>31</v>
      </c>
      <c r="F21" s="22">
        <f>+'Cantidades Producto No. 3'!A78</f>
        <v>46935</v>
      </c>
      <c r="G21" s="39">
        <f>+'Cantidades Producto No. 3'!AB78</f>
        <v>10102.98</v>
      </c>
      <c r="H21" s="23"/>
      <c r="I21" s="40"/>
      <c r="J21" s="81"/>
      <c r="L21" s="24"/>
      <c r="M21" s="24"/>
    </row>
    <row r="22" spans="1:13" x14ac:dyDescent="0.3">
      <c r="A22" s="20"/>
      <c r="B22" s="21">
        <v>31</v>
      </c>
      <c r="F22" s="22">
        <f>+'Cantidades Producto No. 3'!A79</f>
        <v>46966</v>
      </c>
      <c r="G22" s="39">
        <f>+'Cantidades Producto No. 3'!AB79</f>
        <v>10281.110000000002</v>
      </c>
      <c r="H22" s="23"/>
      <c r="I22" s="40"/>
      <c r="J22" s="81"/>
      <c r="K22" s="41"/>
      <c r="L22" s="24"/>
      <c r="M22" s="24"/>
    </row>
    <row r="23" spans="1:13" x14ac:dyDescent="0.3">
      <c r="A23" s="25"/>
      <c r="B23" s="21">
        <v>30</v>
      </c>
      <c r="F23" s="22">
        <f>+'Cantidades Producto No. 3'!A80</f>
        <v>46997</v>
      </c>
      <c r="G23" s="39">
        <f>+'Cantidades Producto No. 3'!AB80</f>
        <v>9996.6399999999976</v>
      </c>
      <c r="H23" s="23"/>
      <c r="I23" s="40"/>
      <c r="J23" s="81"/>
      <c r="K23" s="41"/>
      <c r="L23" s="24"/>
      <c r="M23" s="24"/>
    </row>
    <row r="24" spans="1:13" x14ac:dyDescent="0.3">
      <c r="A24" s="25"/>
      <c r="B24" s="21">
        <v>31</v>
      </c>
      <c r="F24" s="22">
        <f>+'Cantidades Producto No. 3'!A81</f>
        <v>47027</v>
      </c>
      <c r="G24" s="39">
        <f>+'Cantidades Producto No. 3'!AB81</f>
        <v>10158.1</v>
      </c>
      <c r="H24" s="23"/>
      <c r="I24" s="40"/>
      <c r="J24" s="81"/>
      <c r="L24" s="24"/>
      <c r="M24" s="24"/>
    </row>
    <row r="25" spans="1:13" x14ac:dyDescent="0.3">
      <c r="A25" s="20"/>
      <c r="B25" s="21">
        <v>30</v>
      </c>
      <c r="F25" s="22">
        <f>+'Cantidades Producto No. 3'!A82</f>
        <v>47058</v>
      </c>
      <c r="G25" s="39">
        <f>+'Cantidades Producto No. 3'!AB82</f>
        <v>9930.380000000001</v>
      </c>
      <c r="H25" s="23"/>
      <c r="I25" s="40"/>
      <c r="J25" s="81"/>
      <c r="L25" s="24"/>
      <c r="M25" s="24"/>
    </row>
    <row r="26" spans="1:13" x14ac:dyDescent="0.3">
      <c r="A26" s="20"/>
      <c r="B26" s="21">
        <v>31</v>
      </c>
      <c r="D26" s="41"/>
      <c r="E26" s="41"/>
      <c r="F26" s="22">
        <f>+'Cantidades Producto No. 3'!A83</f>
        <v>47088</v>
      </c>
      <c r="G26" s="39">
        <f>+'Cantidades Producto No. 3'!AB83</f>
        <v>10327.169999999998</v>
      </c>
      <c r="H26" s="23"/>
      <c r="I26" s="40"/>
      <c r="J26" s="82"/>
      <c r="L26" s="24"/>
      <c r="M26" s="24"/>
    </row>
    <row r="27" spans="1:13" x14ac:dyDescent="0.3">
      <c r="F27" s="26" t="s">
        <v>7</v>
      </c>
      <c r="G27" s="28">
        <f>SUM(G15:G26)</f>
        <v>120417.43000000001</v>
      </c>
      <c r="H27" s="42"/>
      <c r="I27" s="42"/>
      <c r="J27" s="43"/>
    </row>
    <row r="28" spans="1:13" x14ac:dyDescent="0.3">
      <c r="F28" s="29"/>
      <c r="G28" s="27"/>
    </row>
    <row r="29" spans="1:13" x14ac:dyDescent="0.3">
      <c r="B29" s="30" t="s">
        <v>8</v>
      </c>
      <c r="C29" s="31"/>
      <c r="D29" s="31"/>
      <c r="E29" s="31"/>
      <c r="F29" s="31"/>
      <c r="G29" s="31"/>
      <c r="L29" s="31"/>
    </row>
    <row r="30" spans="1:13" x14ac:dyDescent="0.3">
      <c r="B30" s="30"/>
      <c r="C30" s="31"/>
      <c r="D30" s="31"/>
      <c r="E30" s="31"/>
      <c r="F30" s="31"/>
      <c r="G30" s="31"/>
      <c r="H30" s="31"/>
      <c r="I30" s="31"/>
      <c r="J30" s="31"/>
      <c r="K30" s="31"/>
      <c r="L30" s="31"/>
    </row>
    <row r="31" spans="1:13" ht="24.75" customHeight="1" x14ac:dyDescent="0.3">
      <c r="B31" s="74" t="s">
        <v>9</v>
      </c>
      <c r="C31" s="74"/>
      <c r="D31" s="74"/>
      <c r="E31" s="74"/>
      <c r="F31" s="74"/>
      <c r="G31" s="74"/>
      <c r="H31" s="74"/>
      <c r="I31" s="74"/>
      <c r="J31" s="74"/>
      <c r="K31" s="74"/>
      <c r="L31" s="74"/>
    </row>
    <row r="32" spans="1:13" ht="39" customHeight="1" x14ac:dyDescent="0.3">
      <c r="B32" s="74" t="str">
        <f>"(2) Las cantidades se distribuyen de acuerdo a la curva del Anexo 1. Ofertas y Cantidades "&amp; D4 &amp;" de los Pliegos de Condiciones definitivos"</f>
        <v>(2) Las cantidades se distribuyen de acuerdo a la curva del Anexo 1. Ofertas y Cantidades PRODUCTO No. 3 de los Pliegos de Condiciones definitivos</v>
      </c>
      <c r="C32" s="74"/>
      <c r="D32" s="74"/>
      <c r="E32" s="74"/>
      <c r="F32" s="74"/>
      <c r="G32" s="74"/>
      <c r="H32" s="74"/>
      <c r="I32" s="74"/>
      <c r="J32" s="74"/>
      <c r="K32" s="74"/>
      <c r="L32" s="74"/>
    </row>
    <row r="33" spans="1:12" ht="83.25" customHeight="1" x14ac:dyDescent="0.3">
      <c r="B33" s="75" t="s">
        <v>58</v>
      </c>
      <c r="C33" s="75"/>
      <c r="D33" s="75"/>
      <c r="E33" s="75"/>
      <c r="F33" s="75"/>
      <c r="G33" s="75"/>
      <c r="H33" s="75"/>
      <c r="I33" s="75"/>
      <c r="J33" s="75"/>
      <c r="K33" s="75"/>
      <c r="L33" s="75"/>
    </row>
    <row r="34" spans="1:12" ht="43.5" customHeight="1" x14ac:dyDescent="0.3">
      <c r="B34" s="75" t="s">
        <v>42</v>
      </c>
      <c r="C34" s="75"/>
      <c r="D34" s="75"/>
      <c r="E34" s="75"/>
      <c r="F34" s="75"/>
      <c r="G34" s="75"/>
      <c r="H34" s="75"/>
      <c r="I34" s="75"/>
      <c r="J34" s="75"/>
      <c r="K34" s="75"/>
      <c r="L34" s="75"/>
    </row>
    <row r="35" spans="1:12" ht="60" customHeight="1" x14ac:dyDescent="0.3">
      <c r="B35" s="75" t="s">
        <v>43</v>
      </c>
      <c r="C35" s="75"/>
      <c r="D35" s="75"/>
      <c r="E35" s="75"/>
      <c r="F35" s="75"/>
      <c r="G35" s="75"/>
      <c r="H35" s="75"/>
      <c r="I35" s="75"/>
      <c r="J35" s="75"/>
      <c r="K35" s="75"/>
      <c r="L35" s="75"/>
    </row>
    <row r="36" spans="1:12" ht="80.25" customHeight="1" x14ac:dyDescent="0.3">
      <c r="A36" s="15"/>
      <c r="B36" s="75" t="s">
        <v>55</v>
      </c>
      <c r="C36" s="75"/>
      <c r="D36" s="75"/>
      <c r="E36" s="75"/>
      <c r="F36" s="75"/>
      <c r="G36" s="75"/>
      <c r="H36" s="75"/>
      <c r="I36" s="75"/>
      <c r="J36" s="75"/>
      <c r="K36" s="75"/>
      <c r="L36" s="75"/>
    </row>
    <row r="38" spans="1:12" ht="24.75" customHeight="1" x14ac:dyDescent="0.3">
      <c r="B38" s="32"/>
      <c r="C38" s="32"/>
      <c r="D38" s="32"/>
      <c r="E38" s="32"/>
      <c r="F38" s="32"/>
      <c r="G38" s="32"/>
      <c r="H38" s="32"/>
      <c r="I38" s="32"/>
      <c r="J38" s="32"/>
      <c r="K38" s="32"/>
      <c r="L38" s="32"/>
    </row>
  </sheetData>
  <mergeCells count="11">
    <mergeCell ref="B32:L32"/>
    <mergeCell ref="B33:L33"/>
    <mergeCell ref="B34:L34"/>
    <mergeCell ref="B35:L35"/>
    <mergeCell ref="B36:L36"/>
    <mergeCell ref="B31:L31"/>
    <mergeCell ref="D2:J2"/>
    <mergeCell ref="C3:K3"/>
    <mergeCell ref="D4:J4"/>
    <mergeCell ref="F13:J13"/>
    <mergeCell ref="J15:J2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FA669-9F8E-4DC3-BC31-D5BE9106B8D5}">
  <sheetPr>
    <tabColor theme="9" tint="0.39997558519241921"/>
  </sheetPr>
  <dimension ref="A1:AD83"/>
  <sheetViews>
    <sheetView showGridLines="0" zoomScale="70" zoomScaleNormal="70" workbookViewId="0">
      <selection activeCell="A5" sqref="A5"/>
    </sheetView>
  </sheetViews>
  <sheetFormatPr baseColWidth="10" defaultColWidth="14.42578125" defaultRowHeight="15" x14ac:dyDescent="0.2"/>
  <cols>
    <col min="1" max="1" width="93.140625" style="33" bestFit="1" customWidth="1"/>
    <col min="2" max="25" width="10.7109375" style="34" customWidth="1"/>
    <col min="26" max="26" width="10.7109375" style="35" customWidth="1"/>
    <col min="27" max="27" width="6.7109375" style="33" customWidth="1"/>
    <col min="28" max="28" width="9.7109375" style="33" customWidth="1"/>
    <col min="29" max="29" width="5.28515625" style="33" customWidth="1"/>
    <col min="30" max="30" width="14.42578125" style="72"/>
    <col min="31" max="16384" width="14.42578125" style="33"/>
  </cols>
  <sheetData>
    <row r="1" spans="1:30" ht="93" customHeight="1" thickBot="1" x14ac:dyDescent="0.25"/>
    <row r="2" spans="1:30" ht="23.25" x14ac:dyDescent="0.35">
      <c r="A2" s="44" t="s">
        <v>10</v>
      </c>
    </row>
    <row r="3" spans="1:30" ht="21" thickBot="1" x14ac:dyDescent="0.35">
      <c r="A3" s="45" t="s">
        <v>1</v>
      </c>
    </row>
    <row r="4" spans="1:30" ht="15.75" thickBot="1" x14ac:dyDescent="0.25"/>
    <row r="5" spans="1:30" ht="16.5" thickBot="1" x14ac:dyDescent="0.3">
      <c r="A5" s="36" t="s">
        <v>44</v>
      </c>
      <c r="B5" s="55"/>
      <c r="C5" s="55"/>
      <c r="D5" s="55"/>
      <c r="E5" s="56"/>
      <c r="F5" s="55"/>
      <c r="G5" s="55"/>
      <c r="H5" s="55"/>
      <c r="I5" s="55"/>
      <c r="J5" s="55"/>
      <c r="K5" s="57"/>
      <c r="L5" s="57"/>
      <c r="M5" s="57"/>
      <c r="N5" s="57"/>
      <c r="O5" s="57"/>
      <c r="P5" s="57"/>
      <c r="Q5" s="57"/>
      <c r="R5" s="57"/>
      <c r="S5" s="57"/>
      <c r="T5" s="57"/>
      <c r="U5" s="57"/>
      <c r="V5" s="57"/>
      <c r="W5" s="57"/>
      <c r="X5" s="57"/>
      <c r="Y5" s="57"/>
      <c r="Z5" s="58"/>
      <c r="AA5"/>
      <c r="AB5" s="59"/>
    </row>
    <row r="6" spans="1:30" ht="16.5" thickBot="1" x14ac:dyDescent="0.3">
      <c r="A6"/>
      <c r="B6" s="55"/>
      <c r="C6" s="55"/>
      <c r="D6" s="55"/>
      <c r="E6" s="55"/>
      <c r="F6" s="55"/>
      <c r="G6" s="55"/>
      <c r="H6" s="55"/>
      <c r="I6" s="55"/>
      <c r="J6" s="55"/>
      <c r="K6" s="60"/>
      <c r="L6" s="60"/>
      <c r="M6" s="60"/>
      <c r="N6" s="60"/>
      <c r="O6" s="60"/>
      <c r="P6" s="60"/>
      <c r="Q6" s="60"/>
      <c r="R6" s="60"/>
      <c r="S6" s="60"/>
      <c r="T6" s="60"/>
      <c r="U6" s="60"/>
      <c r="V6" s="60"/>
      <c r="W6" s="60"/>
      <c r="X6" s="60"/>
      <c r="Y6" s="60"/>
      <c r="Z6" s="58"/>
      <c r="AA6"/>
      <c r="AB6"/>
    </row>
    <row r="7" spans="1:30" ht="15.95" customHeight="1" thickBot="1" x14ac:dyDescent="0.25">
      <c r="A7" s="61" t="s">
        <v>11</v>
      </c>
      <c r="B7" s="62" t="s">
        <v>12</v>
      </c>
      <c r="C7" s="62" t="s">
        <v>13</v>
      </c>
      <c r="D7" s="62" t="s">
        <v>14</v>
      </c>
      <c r="E7" s="62" t="s">
        <v>15</v>
      </c>
      <c r="F7" s="62" t="s">
        <v>16</v>
      </c>
      <c r="G7" s="62" t="s">
        <v>17</v>
      </c>
      <c r="H7" s="62" t="s">
        <v>18</v>
      </c>
      <c r="I7" s="62" t="s">
        <v>19</v>
      </c>
      <c r="J7" s="62" t="s">
        <v>20</v>
      </c>
      <c r="K7" s="62" t="s">
        <v>21</v>
      </c>
      <c r="L7" s="62" t="s">
        <v>22</v>
      </c>
      <c r="M7" s="62" t="s">
        <v>23</v>
      </c>
      <c r="N7" s="62" t="s">
        <v>24</v>
      </c>
      <c r="O7" s="62" t="s">
        <v>25</v>
      </c>
      <c r="P7" s="62" t="s">
        <v>26</v>
      </c>
      <c r="Q7" s="62" t="s">
        <v>27</v>
      </c>
      <c r="R7" s="62" t="s">
        <v>28</v>
      </c>
      <c r="S7" s="62" t="s">
        <v>29</v>
      </c>
      <c r="T7" s="62" t="s">
        <v>30</v>
      </c>
      <c r="U7" s="62" t="s">
        <v>31</v>
      </c>
      <c r="V7" s="62" t="s">
        <v>32</v>
      </c>
      <c r="W7" s="62" t="s">
        <v>33</v>
      </c>
      <c r="X7" s="62" t="s">
        <v>34</v>
      </c>
      <c r="Y7" s="62" t="s">
        <v>35</v>
      </c>
      <c r="Z7" s="62" t="s">
        <v>7</v>
      </c>
      <c r="AA7" s="37" t="s">
        <v>36</v>
      </c>
      <c r="AB7" s="63"/>
    </row>
    <row r="8" spans="1:30" ht="15.75" x14ac:dyDescent="0.25">
      <c r="A8" s="64">
        <v>46753</v>
      </c>
      <c r="B8" s="46">
        <v>9.91</v>
      </c>
      <c r="C8" s="46">
        <v>8.98</v>
      </c>
      <c r="D8" s="46">
        <v>8.36</v>
      </c>
      <c r="E8" s="46">
        <v>8.14</v>
      </c>
      <c r="F8" s="46">
        <v>8.5399999999999991</v>
      </c>
      <c r="G8" s="46">
        <v>9.93</v>
      </c>
      <c r="H8" s="46">
        <v>12</v>
      </c>
      <c r="I8" s="46">
        <v>11.28</v>
      </c>
      <c r="J8" s="46">
        <v>13.43</v>
      </c>
      <c r="K8" s="46">
        <v>15.26</v>
      </c>
      <c r="L8" s="46">
        <v>17.04</v>
      </c>
      <c r="M8" s="46">
        <v>18.64</v>
      </c>
      <c r="N8" s="46">
        <v>18.59</v>
      </c>
      <c r="O8" s="46">
        <v>18.260000000000002</v>
      </c>
      <c r="P8" s="46">
        <v>18.600000000000001</v>
      </c>
      <c r="Q8" s="46">
        <v>18.52</v>
      </c>
      <c r="R8" s="46">
        <v>17.989999999999998</v>
      </c>
      <c r="S8" s="46">
        <v>20.71</v>
      </c>
      <c r="T8" s="46">
        <v>21.28</v>
      </c>
      <c r="U8" s="46">
        <v>21.91</v>
      </c>
      <c r="V8" s="46">
        <v>20.73</v>
      </c>
      <c r="W8" s="46">
        <v>18.899999999999999</v>
      </c>
      <c r="X8" s="46">
        <v>16.02</v>
      </c>
      <c r="Y8" s="46">
        <v>13.26</v>
      </c>
      <c r="Z8" s="47">
        <f t="shared" ref="Z8:Z12" si="0">SUM(B8:Y8)</f>
        <v>366.28000000000003</v>
      </c>
      <c r="AA8" s="48">
        <v>20</v>
      </c>
      <c r="AB8" s="65">
        <f>+Z8*AA8</f>
        <v>7325.6</v>
      </c>
      <c r="AD8" s="72" t="s">
        <v>45</v>
      </c>
    </row>
    <row r="9" spans="1:30" ht="15.75" x14ac:dyDescent="0.25">
      <c r="A9" s="66">
        <v>46784</v>
      </c>
      <c r="B9" s="49">
        <v>9.56</v>
      </c>
      <c r="C9" s="49">
        <v>8.73</v>
      </c>
      <c r="D9" s="49">
        <v>8.17</v>
      </c>
      <c r="E9" s="49">
        <v>8.02</v>
      </c>
      <c r="F9" s="49">
        <v>8.61</v>
      </c>
      <c r="G9" s="49">
        <v>10.87</v>
      </c>
      <c r="H9" s="49">
        <v>13.16</v>
      </c>
      <c r="I9" s="49">
        <v>12.02</v>
      </c>
      <c r="J9" s="49">
        <v>13.76</v>
      </c>
      <c r="K9" s="49">
        <v>15.37</v>
      </c>
      <c r="L9" s="49">
        <v>17.02</v>
      </c>
      <c r="M9" s="49">
        <v>18.46</v>
      </c>
      <c r="N9" s="49">
        <v>17.91</v>
      </c>
      <c r="O9" s="49">
        <v>17.809999999999999</v>
      </c>
      <c r="P9" s="49">
        <v>18.39</v>
      </c>
      <c r="Q9" s="49">
        <v>18.440000000000001</v>
      </c>
      <c r="R9" s="49">
        <v>17.96</v>
      </c>
      <c r="S9" s="49">
        <v>20.12</v>
      </c>
      <c r="T9" s="49">
        <v>20.07</v>
      </c>
      <c r="U9" s="49">
        <v>21.07</v>
      </c>
      <c r="V9" s="49">
        <v>20.21</v>
      </c>
      <c r="W9" s="49">
        <v>18.37</v>
      </c>
      <c r="X9" s="49">
        <v>15.41</v>
      </c>
      <c r="Y9" s="49">
        <v>12.71</v>
      </c>
      <c r="Z9" s="50">
        <f t="shared" si="0"/>
        <v>362.22</v>
      </c>
      <c r="AA9" s="51">
        <v>21</v>
      </c>
      <c r="AB9" s="67">
        <f>+Z9*AA9</f>
        <v>7606.6200000000008</v>
      </c>
      <c r="AD9" s="72" t="s">
        <v>45</v>
      </c>
    </row>
    <row r="10" spans="1:30" ht="15.75" x14ac:dyDescent="0.25">
      <c r="A10" s="66">
        <v>46813</v>
      </c>
      <c r="B10" s="49">
        <v>9.4700000000000006</v>
      </c>
      <c r="C10" s="49">
        <v>8.65</v>
      </c>
      <c r="D10" s="49">
        <v>8.14</v>
      </c>
      <c r="E10" s="49">
        <v>7.94</v>
      </c>
      <c r="F10" s="49">
        <v>8.5500000000000007</v>
      </c>
      <c r="G10" s="49">
        <v>10.81</v>
      </c>
      <c r="H10" s="49">
        <v>12.99</v>
      </c>
      <c r="I10" s="49">
        <v>12.12</v>
      </c>
      <c r="J10" s="49">
        <v>13.9</v>
      </c>
      <c r="K10" s="49">
        <v>15.41</v>
      </c>
      <c r="L10" s="49">
        <v>17.100000000000001</v>
      </c>
      <c r="M10" s="49">
        <v>18.48</v>
      </c>
      <c r="N10" s="49">
        <v>18.09</v>
      </c>
      <c r="O10" s="49">
        <v>17.82</v>
      </c>
      <c r="P10" s="49">
        <v>18.3</v>
      </c>
      <c r="Q10" s="49">
        <v>18.2</v>
      </c>
      <c r="R10" s="49">
        <v>17.8</v>
      </c>
      <c r="S10" s="49">
        <v>20.329999999999998</v>
      </c>
      <c r="T10" s="49">
        <v>20.45</v>
      </c>
      <c r="U10" s="49">
        <v>21.49</v>
      </c>
      <c r="V10" s="49">
        <v>20.32</v>
      </c>
      <c r="W10" s="49">
        <v>18.43</v>
      </c>
      <c r="X10" s="49">
        <v>15.46</v>
      </c>
      <c r="Y10" s="49">
        <v>12.74</v>
      </c>
      <c r="Z10" s="50">
        <f t="shared" si="0"/>
        <v>362.99</v>
      </c>
      <c r="AA10" s="51">
        <v>22</v>
      </c>
      <c r="AB10" s="67">
        <f t="shared" ref="AB10:AB19" si="1">+Z10*AA10</f>
        <v>7985.7800000000007</v>
      </c>
      <c r="AD10" s="72" t="s">
        <v>45</v>
      </c>
    </row>
    <row r="11" spans="1:30" ht="15.75" x14ac:dyDescent="0.25">
      <c r="A11" s="66">
        <v>46844</v>
      </c>
      <c r="B11" s="49">
        <v>9.65</v>
      </c>
      <c r="C11" s="49">
        <v>8.7799999999999994</v>
      </c>
      <c r="D11" s="49">
        <v>8.26</v>
      </c>
      <c r="E11" s="49">
        <v>8.06</v>
      </c>
      <c r="F11" s="49">
        <v>8.68</v>
      </c>
      <c r="G11" s="49">
        <v>10.71</v>
      </c>
      <c r="H11" s="49">
        <v>12.99</v>
      </c>
      <c r="I11" s="49">
        <v>12.36</v>
      </c>
      <c r="J11" s="49">
        <v>14.02</v>
      </c>
      <c r="K11" s="49">
        <v>16.05</v>
      </c>
      <c r="L11" s="49">
        <v>17.61</v>
      </c>
      <c r="M11" s="49">
        <v>19</v>
      </c>
      <c r="N11" s="49">
        <v>18.64</v>
      </c>
      <c r="O11" s="49">
        <v>18.13</v>
      </c>
      <c r="P11" s="49">
        <v>18.14</v>
      </c>
      <c r="Q11" s="49">
        <v>18.21</v>
      </c>
      <c r="R11" s="49">
        <v>17.86</v>
      </c>
      <c r="S11" s="49">
        <v>20.81</v>
      </c>
      <c r="T11" s="49">
        <v>21.32</v>
      </c>
      <c r="U11" s="49">
        <v>21.93</v>
      </c>
      <c r="V11" s="49">
        <v>20.66</v>
      </c>
      <c r="W11" s="49">
        <v>18.690000000000001</v>
      </c>
      <c r="X11" s="49">
        <v>15.68</v>
      </c>
      <c r="Y11" s="49">
        <v>13.03</v>
      </c>
      <c r="Z11" s="50">
        <f t="shared" si="0"/>
        <v>369.27</v>
      </c>
      <c r="AA11" s="51">
        <v>18</v>
      </c>
      <c r="AB11" s="67">
        <f t="shared" si="1"/>
        <v>6646.86</v>
      </c>
      <c r="AD11" s="72" t="s">
        <v>45</v>
      </c>
    </row>
    <row r="12" spans="1:30" ht="15.75" x14ac:dyDescent="0.25">
      <c r="A12" s="66">
        <v>46874</v>
      </c>
      <c r="B12" s="49">
        <v>9.4</v>
      </c>
      <c r="C12" s="49">
        <v>8.58</v>
      </c>
      <c r="D12" s="49">
        <v>8.0399999999999991</v>
      </c>
      <c r="E12" s="49">
        <v>7.82</v>
      </c>
      <c r="F12" s="49">
        <v>8.4499999999999993</v>
      </c>
      <c r="G12" s="49">
        <v>10.28</v>
      </c>
      <c r="H12" s="49">
        <v>12.71</v>
      </c>
      <c r="I12" s="49">
        <v>11.99</v>
      </c>
      <c r="J12" s="49">
        <v>13.89</v>
      </c>
      <c r="K12" s="49">
        <v>15.57</v>
      </c>
      <c r="L12" s="49">
        <v>17.28</v>
      </c>
      <c r="M12" s="49">
        <v>18.77</v>
      </c>
      <c r="N12" s="49">
        <v>18.329999999999998</v>
      </c>
      <c r="O12" s="49">
        <v>17.88</v>
      </c>
      <c r="P12" s="49">
        <v>18.16</v>
      </c>
      <c r="Q12" s="49">
        <v>18.010000000000002</v>
      </c>
      <c r="R12" s="49">
        <v>17.37</v>
      </c>
      <c r="S12" s="49">
        <v>20.37</v>
      </c>
      <c r="T12" s="49">
        <v>20.84</v>
      </c>
      <c r="U12" s="49">
        <v>21.32</v>
      </c>
      <c r="V12" s="49">
        <v>20.09</v>
      </c>
      <c r="W12" s="49">
        <v>18.04</v>
      </c>
      <c r="X12" s="49">
        <v>15.03</v>
      </c>
      <c r="Y12" s="49">
        <v>12.49</v>
      </c>
      <c r="Z12" s="50">
        <f t="shared" si="0"/>
        <v>360.71</v>
      </c>
      <c r="AA12" s="51">
        <v>21</v>
      </c>
      <c r="AB12" s="67">
        <f t="shared" si="1"/>
        <v>7574.91</v>
      </c>
      <c r="AD12" s="72" t="s">
        <v>45</v>
      </c>
    </row>
    <row r="13" spans="1:30" ht="15.75" x14ac:dyDescent="0.25">
      <c r="A13" s="66">
        <v>46905</v>
      </c>
      <c r="B13" s="49">
        <v>9.4600000000000009</v>
      </c>
      <c r="C13" s="49">
        <v>8.59</v>
      </c>
      <c r="D13" s="49">
        <v>7.97</v>
      </c>
      <c r="E13" s="49">
        <v>7.75</v>
      </c>
      <c r="F13" s="49">
        <v>8.3699999999999992</v>
      </c>
      <c r="G13" s="49">
        <v>10.01</v>
      </c>
      <c r="H13" s="49">
        <v>12.63</v>
      </c>
      <c r="I13" s="49">
        <v>12.19</v>
      </c>
      <c r="J13" s="49">
        <v>14.15</v>
      </c>
      <c r="K13" s="49">
        <v>15.87</v>
      </c>
      <c r="L13" s="49">
        <v>17.440000000000001</v>
      </c>
      <c r="M13" s="49">
        <v>18.97</v>
      </c>
      <c r="N13" s="49">
        <v>18.68</v>
      </c>
      <c r="O13" s="49">
        <v>18.100000000000001</v>
      </c>
      <c r="P13" s="49">
        <v>18.190000000000001</v>
      </c>
      <c r="Q13" s="49">
        <v>18.05</v>
      </c>
      <c r="R13" s="49">
        <v>17.66</v>
      </c>
      <c r="S13" s="49">
        <v>20.6</v>
      </c>
      <c r="T13" s="49">
        <v>20.98</v>
      </c>
      <c r="U13" s="49">
        <v>21.99</v>
      </c>
      <c r="V13" s="49">
        <v>20.7</v>
      </c>
      <c r="W13" s="49">
        <v>18.53</v>
      </c>
      <c r="X13" s="49">
        <v>15.32</v>
      </c>
      <c r="Y13" s="49">
        <v>12.73</v>
      </c>
      <c r="Z13" s="50">
        <f t="shared" ref="Z13:Z19" si="2">SUM(B13:Y13)</f>
        <v>364.93</v>
      </c>
      <c r="AA13" s="51">
        <v>20</v>
      </c>
      <c r="AB13" s="67">
        <f t="shared" si="1"/>
        <v>7298.6</v>
      </c>
      <c r="AD13" s="72" t="s">
        <v>45</v>
      </c>
    </row>
    <row r="14" spans="1:30" ht="15.75" x14ac:dyDescent="0.25">
      <c r="A14" s="66">
        <v>46935</v>
      </c>
      <c r="B14" s="49">
        <v>9.42</v>
      </c>
      <c r="C14" s="49">
        <v>8.66</v>
      </c>
      <c r="D14" s="49">
        <v>8.0399999999999991</v>
      </c>
      <c r="E14" s="49">
        <v>7.84</v>
      </c>
      <c r="F14" s="49">
        <v>8.4600000000000009</v>
      </c>
      <c r="G14" s="49">
        <v>10.3</v>
      </c>
      <c r="H14" s="49">
        <v>12.68</v>
      </c>
      <c r="I14" s="49">
        <v>12.14</v>
      </c>
      <c r="J14" s="49">
        <v>14.21</v>
      </c>
      <c r="K14" s="49">
        <v>16.03</v>
      </c>
      <c r="L14" s="49">
        <v>17.62</v>
      </c>
      <c r="M14" s="49">
        <v>19.239999999999998</v>
      </c>
      <c r="N14" s="49">
        <v>18.8</v>
      </c>
      <c r="O14" s="49">
        <v>18.3</v>
      </c>
      <c r="P14" s="49">
        <v>18.57</v>
      </c>
      <c r="Q14" s="49">
        <v>18.63</v>
      </c>
      <c r="R14" s="49">
        <v>18.29</v>
      </c>
      <c r="S14" s="49">
        <v>20.98</v>
      </c>
      <c r="T14" s="49">
        <v>20.9</v>
      </c>
      <c r="U14" s="49">
        <v>22.21</v>
      </c>
      <c r="V14" s="49">
        <v>20.92</v>
      </c>
      <c r="W14" s="49">
        <v>18.75</v>
      </c>
      <c r="X14" s="49">
        <v>15.44</v>
      </c>
      <c r="Y14" s="49">
        <v>13.03</v>
      </c>
      <c r="Z14" s="50">
        <f t="shared" si="2"/>
        <v>369.46</v>
      </c>
      <c r="AA14" s="51">
        <v>19</v>
      </c>
      <c r="AB14" s="67">
        <f t="shared" si="1"/>
        <v>7019.74</v>
      </c>
      <c r="AD14" s="72" t="s">
        <v>45</v>
      </c>
    </row>
    <row r="15" spans="1:30" ht="15.75" x14ac:dyDescent="0.25">
      <c r="A15" s="66">
        <v>46966</v>
      </c>
      <c r="B15" s="49">
        <v>9.49</v>
      </c>
      <c r="C15" s="49">
        <v>8.65</v>
      </c>
      <c r="D15" s="49">
        <v>8.09</v>
      </c>
      <c r="E15" s="49">
        <v>7.89</v>
      </c>
      <c r="F15" s="49">
        <v>8.52</v>
      </c>
      <c r="G15" s="49">
        <v>10.58</v>
      </c>
      <c r="H15" s="49">
        <v>12.89</v>
      </c>
      <c r="I15" s="49">
        <v>12.23</v>
      </c>
      <c r="J15" s="49">
        <v>14.16</v>
      </c>
      <c r="K15" s="49">
        <v>15.8</v>
      </c>
      <c r="L15" s="49">
        <v>17.61</v>
      </c>
      <c r="M15" s="49">
        <v>19.16</v>
      </c>
      <c r="N15" s="49">
        <v>18.73</v>
      </c>
      <c r="O15" s="49">
        <v>18.329999999999998</v>
      </c>
      <c r="P15" s="49">
        <v>18.59</v>
      </c>
      <c r="Q15" s="49">
        <v>18.48</v>
      </c>
      <c r="R15" s="49">
        <v>18.12</v>
      </c>
      <c r="S15" s="49">
        <v>20.76</v>
      </c>
      <c r="T15" s="49">
        <v>20.92</v>
      </c>
      <c r="U15" s="49">
        <v>21.88</v>
      </c>
      <c r="V15" s="49">
        <v>20.54</v>
      </c>
      <c r="W15" s="49">
        <v>18.41</v>
      </c>
      <c r="X15" s="49">
        <v>15.11</v>
      </c>
      <c r="Y15" s="49">
        <v>12.75</v>
      </c>
      <c r="Z15" s="50">
        <f t="shared" si="2"/>
        <v>367.69000000000005</v>
      </c>
      <c r="AA15" s="51">
        <v>21</v>
      </c>
      <c r="AB15" s="67">
        <f t="shared" si="1"/>
        <v>7721.4900000000016</v>
      </c>
      <c r="AD15" s="72" t="s">
        <v>45</v>
      </c>
    </row>
    <row r="16" spans="1:30" ht="15.75" x14ac:dyDescent="0.25">
      <c r="A16" s="66">
        <v>46997</v>
      </c>
      <c r="B16" s="49">
        <v>9.3699999999999992</v>
      </c>
      <c r="C16" s="49">
        <v>8.5299999999999994</v>
      </c>
      <c r="D16" s="49">
        <v>7.98</v>
      </c>
      <c r="E16" s="49">
        <v>7.81</v>
      </c>
      <c r="F16" s="49">
        <v>8.48</v>
      </c>
      <c r="G16" s="49">
        <v>10.48</v>
      </c>
      <c r="H16" s="49">
        <v>12.87</v>
      </c>
      <c r="I16" s="49">
        <v>12.1</v>
      </c>
      <c r="J16" s="49">
        <v>13.47</v>
      </c>
      <c r="K16" s="49">
        <v>15.3</v>
      </c>
      <c r="L16" s="49">
        <v>17.309999999999999</v>
      </c>
      <c r="M16" s="49">
        <v>18.79</v>
      </c>
      <c r="N16" s="49">
        <v>18.309999999999999</v>
      </c>
      <c r="O16" s="49">
        <v>17.91</v>
      </c>
      <c r="P16" s="49">
        <v>18.28</v>
      </c>
      <c r="Q16" s="49">
        <v>18.22</v>
      </c>
      <c r="R16" s="49">
        <v>17.78</v>
      </c>
      <c r="S16" s="49">
        <v>20.64</v>
      </c>
      <c r="T16" s="49">
        <v>21.46</v>
      </c>
      <c r="U16" s="49">
        <v>21.45</v>
      </c>
      <c r="V16" s="49">
        <v>20.07</v>
      </c>
      <c r="W16" s="49">
        <v>18.010000000000002</v>
      </c>
      <c r="X16" s="49">
        <v>14.83</v>
      </c>
      <c r="Y16" s="49">
        <v>12.45</v>
      </c>
      <c r="Z16" s="50">
        <f t="shared" si="2"/>
        <v>361.89999999999992</v>
      </c>
      <c r="AA16" s="51">
        <v>21</v>
      </c>
      <c r="AB16" s="67">
        <f t="shared" si="1"/>
        <v>7599.8999999999987</v>
      </c>
      <c r="AD16" s="72" t="s">
        <v>45</v>
      </c>
    </row>
    <row r="17" spans="1:30" ht="15.75" x14ac:dyDescent="0.25">
      <c r="A17" s="66">
        <v>47027</v>
      </c>
      <c r="B17" s="49">
        <v>9.26</v>
      </c>
      <c r="C17" s="49">
        <v>8.39</v>
      </c>
      <c r="D17" s="49">
        <v>7.89</v>
      </c>
      <c r="E17" s="49">
        <v>7.73</v>
      </c>
      <c r="F17" s="49">
        <v>8.2200000000000006</v>
      </c>
      <c r="G17" s="49">
        <v>9.39</v>
      </c>
      <c r="H17" s="49">
        <v>12</v>
      </c>
      <c r="I17" s="49">
        <v>11.75</v>
      </c>
      <c r="J17" s="49">
        <v>13.95</v>
      </c>
      <c r="K17" s="49">
        <v>15.87</v>
      </c>
      <c r="L17" s="49">
        <v>17.690000000000001</v>
      </c>
      <c r="M17" s="49">
        <v>19.13</v>
      </c>
      <c r="N17" s="49">
        <v>18.75</v>
      </c>
      <c r="O17" s="49">
        <v>18.350000000000001</v>
      </c>
      <c r="P17" s="49">
        <v>18.61</v>
      </c>
      <c r="Q17" s="49">
        <v>18.329999999999998</v>
      </c>
      <c r="R17" s="49">
        <v>17.940000000000001</v>
      </c>
      <c r="S17" s="49">
        <v>21.21</v>
      </c>
      <c r="T17" s="49">
        <v>22.02</v>
      </c>
      <c r="U17" s="49">
        <v>21.3</v>
      </c>
      <c r="V17" s="49">
        <v>19.96</v>
      </c>
      <c r="W17" s="49">
        <v>17.899999999999999</v>
      </c>
      <c r="X17" s="49">
        <v>14.97</v>
      </c>
      <c r="Y17" s="49">
        <v>12.6</v>
      </c>
      <c r="Z17" s="50">
        <f t="shared" si="2"/>
        <v>363.21000000000004</v>
      </c>
      <c r="AA17" s="51">
        <v>21</v>
      </c>
      <c r="AB17" s="67">
        <f t="shared" si="1"/>
        <v>7627.4100000000008</v>
      </c>
      <c r="AD17" s="72" t="s">
        <v>45</v>
      </c>
    </row>
    <row r="18" spans="1:30" ht="15.75" x14ac:dyDescent="0.25">
      <c r="A18" s="66">
        <v>47058</v>
      </c>
      <c r="B18" s="49">
        <v>9.5</v>
      </c>
      <c r="C18" s="49">
        <v>8.64</v>
      </c>
      <c r="D18" s="49">
        <v>8.06</v>
      </c>
      <c r="E18" s="49">
        <v>7.88</v>
      </c>
      <c r="F18" s="49">
        <v>8.39</v>
      </c>
      <c r="G18" s="49">
        <v>9.77</v>
      </c>
      <c r="H18" s="49">
        <v>12.25</v>
      </c>
      <c r="I18" s="49">
        <v>12.03</v>
      </c>
      <c r="J18" s="49">
        <v>14.06</v>
      </c>
      <c r="K18" s="49">
        <v>15.74</v>
      </c>
      <c r="L18" s="49">
        <v>17.37</v>
      </c>
      <c r="M18" s="49">
        <v>18.850000000000001</v>
      </c>
      <c r="N18" s="49">
        <v>18.59</v>
      </c>
      <c r="O18" s="49">
        <v>18.2</v>
      </c>
      <c r="P18" s="49">
        <v>18.68</v>
      </c>
      <c r="Q18" s="49">
        <v>18.510000000000002</v>
      </c>
      <c r="R18" s="49">
        <v>18.11</v>
      </c>
      <c r="S18" s="49">
        <v>21.6</v>
      </c>
      <c r="T18" s="49">
        <v>22.21</v>
      </c>
      <c r="U18" s="49">
        <v>21.6</v>
      </c>
      <c r="V18" s="49">
        <v>20.29</v>
      </c>
      <c r="W18" s="49">
        <v>18.22</v>
      </c>
      <c r="X18" s="49">
        <v>15.2</v>
      </c>
      <c r="Y18" s="49">
        <v>12.77</v>
      </c>
      <c r="Z18" s="50">
        <f t="shared" si="2"/>
        <v>366.52000000000004</v>
      </c>
      <c r="AA18" s="51">
        <v>20</v>
      </c>
      <c r="AB18" s="67">
        <f t="shared" si="1"/>
        <v>7330.4000000000005</v>
      </c>
      <c r="AD18" s="72" t="s">
        <v>45</v>
      </c>
    </row>
    <row r="19" spans="1:30" ht="16.5" thickBot="1" x14ac:dyDescent="0.3">
      <c r="A19" s="68">
        <v>47088</v>
      </c>
      <c r="B19" s="52">
        <v>10.3</v>
      </c>
      <c r="C19" s="52">
        <v>9.23</v>
      </c>
      <c r="D19" s="52">
        <v>8.5500000000000007</v>
      </c>
      <c r="E19" s="52">
        <v>8.26</v>
      </c>
      <c r="F19" s="52">
        <v>8.6199999999999992</v>
      </c>
      <c r="G19" s="52">
        <v>9.75</v>
      </c>
      <c r="H19" s="52">
        <v>12</v>
      </c>
      <c r="I19" s="52">
        <v>11.82</v>
      </c>
      <c r="J19" s="52">
        <v>14.1</v>
      </c>
      <c r="K19" s="52">
        <v>15.79</v>
      </c>
      <c r="L19" s="52">
        <v>17.41</v>
      </c>
      <c r="M19" s="52">
        <v>18.82</v>
      </c>
      <c r="N19" s="52">
        <v>18.809999999999999</v>
      </c>
      <c r="O19" s="52">
        <v>18.53</v>
      </c>
      <c r="P19" s="52">
        <v>18.75</v>
      </c>
      <c r="Q19" s="52">
        <v>18.57</v>
      </c>
      <c r="R19" s="52">
        <v>18.010000000000002</v>
      </c>
      <c r="S19" s="52">
        <v>20.88</v>
      </c>
      <c r="T19" s="52">
        <v>21.95</v>
      </c>
      <c r="U19" s="52">
        <v>21.88</v>
      </c>
      <c r="V19" s="52">
        <v>20.63</v>
      </c>
      <c r="W19" s="52">
        <v>18.89</v>
      </c>
      <c r="X19" s="52">
        <v>16.260000000000002</v>
      </c>
      <c r="Y19" s="52">
        <v>13.96</v>
      </c>
      <c r="Z19" s="53">
        <f t="shared" si="2"/>
        <v>371.76999999999992</v>
      </c>
      <c r="AA19" s="54">
        <v>19</v>
      </c>
      <c r="AB19" s="69">
        <f t="shared" si="1"/>
        <v>7063.6299999999983</v>
      </c>
      <c r="AD19" s="72" t="s">
        <v>45</v>
      </c>
    </row>
    <row r="20" spans="1:30" ht="16.5" thickBot="1" x14ac:dyDescent="0.3">
      <c r="A20"/>
      <c r="B20" s="70"/>
      <c r="C20" s="60"/>
      <c r="D20" s="60"/>
      <c r="E20" s="60"/>
      <c r="F20" s="60"/>
      <c r="G20" s="60"/>
      <c r="H20" s="60"/>
      <c r="I20" s="60"/>
      <c r="J20" s="60"/>
      <c r="K20" s="60"/>
      <c r="L20" s="60"/>
      <c r="M20" s="60"/>
      <c r="N20" s="60"/>
      <c r="O20" s="60"/>
      <c r="P20" s="60"/>
      <c r="Q20" s="60"/>
      <c r="R20" s="60"/>
      <c r="S20" s="60"/>
      <c r="T20" s="60"/>
      <c r="U20" s="60"/>
      <c r="V20" s="60"/>
      <c r="W20" s="60"/>
      <c r="X20" s="60"/>
      <c r="Y20" s="60"/>
      <c r="Z20" s="58"/>
      <c r="AA20" s="38"/>
      <c r="AB20"/>
    </row>
    <row r="21" spans="1:30" ht="16.5" thickBot="1" x14ac:dyDescent="0.3">
      <c r="A21" s="36" t="s">
        <v>46</v>
      </c>
      <c r="B21" s="60"/>
      <c r="C21" s="60"/>
      <c r="D21" s="60"/>
      <c r="E21" s="71"/>
      <c r="F21" s="60"/>
      <c r="G21" s="60"/>
      <c r="H21" s="60"/>
      <c r="I21" s="60"/>
      <c r="J21" s="60"/>
      <c r="K21" s="60"/>
      <c r="L21" s="60"/>
      <c r="M21" s="60"/>
      <c r="N21" s="60"/>
      <c r="O21" s="60"/>
      <c r="P21" s="60"/>
      <c r="Q21" s="60"/>
      <c r="R21" s="60"/>
      <c r="S21" s="60"/>
      <c r="T21" s="60"/>
      <c r="U21" s="60"/>
      <c r="V21" s="60"/>
      <c r="W21" s="60"/>
      <c r="X21" s="60"/>
      <c r="Y21" s="60"/>
      <c r="Z21" s="58"/>
      <c r="AA21" s="38"/>
      <c r="AB21"/>
    </row>
    <row r="22" spans="1:30" ht="16.5" thickBot="1" x14ac:dyDescent="0.3">
      <c r="A22"/>
      <c r="B22" s="70"/>
      <c r="C22" s="60"/>
      <c r="D22" s="60"/>
      <c r="E22" s="60"/>
      <c r="F22" s="60"/>
      <c r="G22" s="60"/>
      <c r="H22" s="60"/>
      <c r="I22" s="60"/>
      <c r="J22" s="60"/>
      <c r="K22" s="60"/>
      <c r="L22" s="60"/>
      <c r="M22" s="60"/>
      <c r="N22" s="60"/>
      <c r="O22" s="60"/>
      <c r="P22" s="60"/>
      <c r="Q22" s="60"/>
      <c r="R22" s="60"/>
      <c r="S22" s="60"/>
      <c r="T22" s="60"/>
      <c r="U22" s="60"/>
      <c r="V22" s="60"/>
      <c r="W22" s="60"/>
      <c r="X22" s="60"/>
      <c r="Y22" s="60"/>
      <c r="Z22" s="58"/>
      <c r="AA22"/>
      <c r="AB22"/>
    </row>
    <row r="23" spans="1:30" ht="15.75" thickBot="1" x14ac:dyDescent="0.25">
      <c r="A23" s="61" t="s">
        <v>11</v>
      </c>
      <c r="B23" s="62" t="s">
        <v>12</v>
      </c>
      <c r="C23" s="62" t="s">
        <v>13</v>
      </c>
      <c r="D23" s="62" t="s">
        <v>14</v>
      </c>
      <c r="E23" s="62" t="s">
        <v>15</v>
      </c>
      <c r="F23" s="62" t="s">
        <v>16</v>
      </c>
      <c r="G23" s="62" t="s">
        <v>17</v>
      </c>
      <c r="H23" s="62" t="s">
        <v>18</v>
      </c>
      <c r="I23" s="62" t="s">
        <v>19</v>
      </c>
      <c r="J23" s="62" t="s">
        <v>20</v>
      </c>
      <c r="K23" s="62" t="s">
        <v>21</v>
      </c>
      <c r="L23" s="62" t="s">
        <v>22</v>
      </c>
      <c r="M23" s="62" t="s">
        <v>23</v>
      </c>
      <c r="N23" s="62" t="s">
        <v>24</v>
      </c>
      <c r="O23" s="62" t="s">
        <v>25</v>
      </c>
      <c r="P23" s="62" t="s">
        <v>26</v>
      </c>
      <c r="Q23" s="62" t="s">
        <v>27</v>
      </c>
      <c r="R23" s="62" t="s">
        <v>28</v>
      </c>
      <c r="S23" s="62" t="s">
        <v>29</v>
      </c>
      <c r="T23" s="62" t="s">
        <v>30</v>
      </c>
      <c r="U23" s="62" t="s">
        <v>31</v>
      </c>
      <c r="V23" s="62" t="s">
        <v>32</v>
      </c>
      <c r="W23" s="62" t="s">
        <v>33</v>
      </c>
      <c r="X23" s="62" t="s">
        <v>34</v>
      </c>
      <c r="Y23" s="62" t="s">
        <v>35</v>
      </c>
      <c r="Z23" s="62" t="s">
        <v>7</v>
      </c>
      <c r="AA23" s="62" t="s">
        <v>36</v>
      </c>
      <c r="AB23" s="63"/>
    </row>
    <row r="24" spans="1:30" ht="15.75" x14ac:dyDescent="0.25">
      <c r="A24" s="64">
        <f t="shared" ref="A24:A35" si="3">+A8</f>
        <v>46753</v>
      </c>
      <c r="B24" s="46">
        <v>9.4700000000000006</v>
      </c>
      <c r="C24" s="46">
        <v>8.52</v>
      </c>
      <c r="D24" s="46">
        <v>7.85</v>
      </c>
      <c r="E24" s="46">
        <v>7.49</v>
      </c>
      <c r="F24" s="46">
        <v>7.62</v>
      </c>
      <c r="G24" s="46">
        <v>8.3000000000000007</v>
      </c>
      <c r="H24" s="46">
        <v>9.6999999999999993</v>
      </c>
      <c r="I24" s="46">
        <v>9.07</v>
      </c>
      <c r="J24" s="46">
        <v>11.23</v>
      </c>
      <c r="K24" s="46">
        <v>13.29</v>
      </c>
      <c r="L24" s="46">
        <v>14.71</v>
      </c>
      <c r="M24" s="46">
        <v>15.87</v>
      </c>
      <c r="N24" s="46">
        <v>16.010000000000002</v>
      </c>
      <c r="O24" s="46">
        <v>15.27</v>
      </c>
      <c r="P24" s="46">
        <v>14.66</v>
      </c>
      <c r="Q24" s="46">
        <v>14.38</v>
      </c>
      <c r="R24" s="46">
        <v>13.96</v>
      </c>
      <c r="S24" s="46">
        <v>17.309999999999999</v>
      </c>
      <c r="T24" s="46">
        <v>18.34</v>
      </c>
      <c r="U24" s="46">
        <v>18.82</v>
      </c>
      <c r="V24" s="46">
        <v>17.71</v>
      </c>
      <c r="W24" s="46">
        <v>16.16</v>
      </c>
      <c r="X24" s="46">
        <v>14.1</v>
      </c>
      <c r="Y24" s="46">
        <v>12.38</v>
      </c>
      <c r="Z24" s="47">
        <f t="shared" ref="Z24:Z35" si="4">SUM(B24:Y24)</f>
        <v>312.22000000000008</v>
      </c>
      <c r="AA24" s="48">
        <v>4</v>
      </c>
      <c r="AB24" s="65">
        <f>+Z24*AA24</f>
        <v>1248.8800000000003</v>
      </c>
      <c r="AD24" s="72" t="s">
        <v>47</v>
      </c>
    </row>
    <row r="25" spans="1:30" ht="15.75" x14ac:dyDescent="0.25">
      <c r="A25" s="66">
        <f t="shared" si="3"/>
        <v>46784</v>
      </c>
      <c r="B25" s="49">
        <v>9.11</v>
      </c>
      <c r="C25" s="49">
        <v>8.2799999999999994</v>
      </c>
      <c r="D25" s="49">
        <v>7.68</v>
      </c>
      <c r="E25" s="49">
        <v>7.38</v>
      </c>
      <c r="F25" s="49">
        <v>7.54</v>
      </c>
      <c r="G25" s="49">
        <v>8.4600000000000009</v>
      </c>
      <c r="H25" s="49">
        <v>10.16</v>
      </c>
      <c r="I25" s="49">
        <v>9.5399999999999991</v>
      </c>
      <c r="J25" s="49">
        <v>11.62</v>
      </c>
      <c r="K25" s="49">
        <v>13.35</v>
      </c>
      <c r="L25" s="49">
        <v>14.72</v>
      </c>
      <c r="M25" s="49">
        <v>15.6</v>
      </c>
      <c r="N25" s="49">
        <v>15.56</v>
      </c>
      <c r="O25" s="49">
        <v>15.04</v>
      </c>
      <c r="P25" s="49">
        <v>14.61</v>
      </c>
      <c r="Q25" s="49">
        <v>14.35</v>
      </c>
      <c r="R25" s="49">
        <v>14.06</v>
      </c>
      <c r="S25" s="49">
        <v>17.059999999999999</v>
      </c>
      <c r="T25" s="49">
        <v>17.579999999999998</v>
      </c>
      <c r="U25" s="49">
        <v>18.66</v>
      </c>
      <c r="V25" s="49">
        <v>17.649999999999999</v>
      </c>
      <c r="W25" s="49">
        <v>16.23</v>
      </c>
      <c r="X25" s="49">
        <v>14.16</v>
      </c>
      <c r="Y25" s="49">
        <v>12.48</v>
      </c>
      <c r="Z25" s="50">
        <f t="shared" si="4"/>
        <v>310.88000000000005</v>
      </c>
      <c r="AA25" s="51">
        <v>4</v>
      </c>
      <c r="AB25" s="67">
        <f>+Z25*AA25</f>
        <v>1243.5200000000002</v>
      </c>
      <c r="AD25" s="72" t="s">
        <v>47</v>
      </c>
    </row>
    <row r="26" spans="1:30" ht="15.75" x14ac:dyDescent="0.25">
      <c r="A26" s="66">
        <f t="shared" si="3"/>
        <v>46813</v>
      </c>
      <c r="B26" s="49">
        <v>8.9600000000000009</v>
      </c>
      <c r="C26" s="49">
        <v>8.09</v>
      </c>
      <c r="D26" s="49">
        <v>7.49</v>
      </c>
      <c r="E26" s="49">
        <v>7.17</v>
      </c>
      <c r="F26" s="49">
        <v>7.44</v>
      </c>
      <c r="G26" s="49">
        <v>8.34</v>
      </c>
      <c r="H26" s="49">
        <v>9.8000000000000007</v>
      </c>
      <c r="I26" s="49">
        <v>9.42</v>
      </c>
      <c r="J26" s="49">
        <v>11.58</v>
      </c>
      <c r="K26" s="49">
        <v>13.2</v>
      </c>
      <c r="L26" s="49">
        <v>14.53</v>
      </c>
      <c r="M26" s="49">
        <v>15.73</v>
      </c>
      <c r="N26" s="49">
        <v>15.67</v>
      </c>
      <c r="O26" s="49">
        <v>14.85</v>
      </c>
      <c r="P26" s="49">
        <v>14.28</v>
      </c>
      <c r="Q26" s="49">
        <v>13.99</v>
      </c>
      <c r="R26" s="49">
        <v>13.69</v>
      </c>
      <c r="S26" s="49">
        <v>16.989999999999998</v>
      </c>
      <c r="T26" s="49">
        <v>17.420000000000002</v>
      </c>
      <c r="U26" s="49">
        <v>18</v>
      </c>
      <c r="V26" s="49">
        <v>16.98</v>
      </c>
      <c r="W26" s="49">
        <v>15.6</v>
      </c>
      <c r="X26" s="49">
        <v>13.56</v>
      </c>
      <c r="Y26" s="49">
        <v>11.9</v>
      </c>
      <c r="Z26" s="50">
        <f t="shared" si="4"/>
        <v>304.68</v>
      </c>
      <c r="AA26" s="51">
        <v>4</v>
      </c>
      <c r="AB26" s="67">
        <f t="shared" ref="AB26:AB35" si="5">+Z26*AA26</f>
        <v>1218.72</v>
      </c>
      <c r="AD26" s="72" t="s">
        <v>47</v>
      </c>
    </row>
    <row r="27" spans="1:30" ht="15.75" x14ac:dyDescent="0.25">
      <c r="A27" s="66">
        <f t="shared" si="3"/>
        <v>46844</v>
      </c>
      <c r="B27" s="49">
        <v>9.25</v>
      </c>
      <c r="C27" s="49">
        <v>8.31</v>
      </c>
      <c r="D27" s="49">
        <v>7.64</v>
      </c>
      <c r="E27" s="49">
        <v>7.31</v>
      </c>
      <c r="F27" s="49">
        <v>7.48</v>
      </c>
      <c r="G27" s="49">
        <v>7.97</v>
      </c>
      <c r="H27" s="49">
        <v>9.74</v>
      </c>
      <c r="I27" s="49">
        <v>9.51</v>
      </c>
      <c r="J27" s="49">
        <v>11.62</v>
      </c>
      <c r="K27" s="49">
        <v>13.45</v>
      </c>
      <c r="L27" s="49">
        <v>14.83</v>
      </c>
      <c r="M27" s="49">
        <v>15.92</v>
      </c>
      <c r="N27" s="49">
        <v>15.97</v>
      </c>
      <c r="O27" s="49">
        <v>15.09</v>
      </c>
      <c r="P27" s="49">
        <v>14.57</v>
      </c>
      <c r="Q27" s="49">
        <v>14.3</v>
      </c>
      <c r="R27" s="49">
        <v>13.82</v>
      </c>
      <c r="S27" s="49">
        <v>17.14</v>
      </c>
      <c r="T27" s="49">
        <v>18.02</v>
      </c>
      <c r="U27" s="49">
        <v>18.649999999999999</v>
      </c>
      <c r="V27" s="49">
        <v>17.600000000000001</v>
      </c>
      <c r="W27" s="49">
        <v>16.100000000000001</v>
      </c>
      <c r="X27" s="49">
        <v>14.09</v>
      </c>
      <c r="Y27" s="49">
        <v>12.41</v>
      </c>
      <c r="Z27" s="50">
        <f t="shared" si="4"/>
        <v>310.79000000000008</v>
      </c>
      <c r="AA27" s="51">
        <v>5</v>
      </c>
      <c r="AB27" s="67">
        <f t="shared" si="5"/>
        <v>1553.9500000000003</v>
      </c>
      <c r="AD27" s="72" t="s">
        <v>47</v>
      </c>
    </row>
    <row r="28" spans="1:30" ht="15.75" x14ac:dyDescent="0.25">
      <c r="A28" s="66">
        <f t="shared" si="3"/>
        <v>46874</v>
      </c>
      <c r="B28" s="49">
        <v>8.89</v>
      </c>
      <c r="C28" s="49">
        <v>8.07</v>
      </c>
      <c r="D28" s="49">
        <v>7.46</v>
      </c>
      <c r="E28" s="49">
        <v>7.17</v>
      </c>
      <c r="F28" s="49">
        <v>7.4</v>
      </c>
      <c r="G28" s="49">
        <v>7.92</v>
      </c>
      <c r="H28" s="49">
        <v>9.92</v>
      </c>
      <c r="I28" s="49">
        <v>9.76</v>
      </c>
      <c r="J28" s="49">
        <v>11.91</v>
      </c>
      <c r="K28" s="49">
        <v>13.86</v>
      </c>
      <c r="L28" s="49">
        <v>15.12</v>
      </c>
      <c r="M28" s="49">
        <v>16.12</v>
      </c>
      <c r="N28" s="49">
        <v>15.88</v>
      </c>
      <c r="O28" s="49">
        <v>14.89</v>
      </c>
      <c r="P28" s="49">
        <v>14.44</v>
      </c>
      <c r="Q28" s="49">
        <v>14.12</v>
      </c>
      <c r="R28" s="49">
        <v>13.69</v>
      </c>
      <c r="S28" s="49">
        <v>17.059999999999999</v>
      </c>
      <c r="T28" s="49">
        <v>17.98</v>
      </c>
      <c r="U28" s="49">
        <v>18.62</v>
      </c>
      <c r="V28" s="49">
        <v>17.47</v>
      </c>
      <c r="W28" s="49">
        <v>15.96</v>
      </c>
      <c r="X28" s="49">
        <v>13.88</v>
      </c>
      <c r="Y28" s="49">
        <v>12.17</v>
      </c>
      <c r="Z28" s="50">
        <f t="shared" si="4"/>
        <v>309.76</v>
      </c>
      <c r="AA28" s="51">
        <v>4</v>
      </c>
      <c r="AB28" s="67">
        <f t="shared" si="5"/>
        <v>1239.04</v>
      </c>
      <c r="AD28" s="72" t="s">
        <v>47</v>
      </c>
    </row>
    <row r="29" spans="1:30" ht="15.75" x14ac:dyDescent="0.25">
      <c r="A29" s="66">
        <f t="shared" si="3"/>
        <v>46905</v>
      </c>
      <c r="B29" s="49">
        <v>8.9600000000000009</v>
      </c>
      <c r="C29" s="49">
        <v>8.06</v>
      </c>
      <c r="D29" s="49">
        <v>7.44</v>
      </c>
      <c r="E29" s="49">
        <v>7.15</v>
      </c>
      <c r="F29" s="49">
        <v>7.39</v>
      </c>
      <c r="G29" s="49">
        <v>8.08</v>
      </c>
      <c r="H29" s="49">
        <v>9.75</v>
      </c>
      <c r="I29" s="49">
        <v>9.5299999999999994</v>
      </c>
      <c r="J29" s="49">
        <v>11.73</v>
      </c>
      <c r="K29" s="49">
        <v>13.66</v>
      </c>
      <c r="L29" s="49">
        <v>14.89</v>
      </c>
      <c r="M29" s="49">
        <v>16.03</v>
      </c>
      <c r="N29" s="49">
        <v>16.12</v>
      </c>
      <c r="O29" s="49">
        <v>15.36</v>
      </c>
      <c r="P29" s="49">
        <v>14.66</v>
      </c>
      <c r="Q29" s="49">
        <v>14.14</v>
      </c>
      <c r="R29" s="49">
        <v>13.69</v>
      </c>
      <c r="S29" s="49">
        <v>17.03</v>
      </c>
      <c r="T29" s="49">
        <v>17.920000000000002</v>
      </c>
      <c r="U29" s="49">
        <v>18.600000000000001</v>
      </c>
      <c r="V29" s="49">
        <v>17.43</v>
      </c>
      <c r="W29" s="49">
        <v>15.85</v>
      </c>
      <c r="X29" s="49">
        <v>13.67</v>
      </c>
      <c r="Y29" s="49">
        <v>11.83</v>
      </c>
      <c r="Z29" s="50">
        <f t="shared" si="4"/>
        <v>308.96999999999997</v>
      </c>
      <c r="AA29" s="51">
        <v>4</v>
      </c>
      <c r="AB29" s="67">
        <f t="shared" si="5"/>
        <v>1235.8799999999999</v>
      </c>
      <c r="AD29" s="72" t="s">
        <v>47</v>
      </c>
    </row>
    <row r="30" spans="1:30" ht="15.75" x14ac:dyDescent="0.25">
      <c r="A30" s="66">
        <f t="shared" si="3"/>
        <v>46935</v>
      </c>
      <c r="B30" s="49">
        <v>9.2899999999999991</v>
      </c>
      <c r="C30" s="49">
        <v>8.32</v>
      </c>
      <c r="D30" s="49">
        <v>7.56</v>
      </c>
      <c r="E30" s="49">
        <v>7.26</v>
      </c>
      <c r="F30" s="49">
        <v>7.47</v>
      </c>
      <c r="G30" s="49">
        <v>7.95</v>
      </c>
      <c r="H30" s="49">
        <v>9.75</v>
      </c>
      <c r="I30" s="49">
        <v>9.42</v>
      </c>
      <c r="J30" s="49">
        <v>11.8</v>
      </c>
      <c r="K30" s="49">
        <v>13.82</v>
      </c>
      <c r="L30" s="49">
        <v>15.15</v>
      </c>
      <c r="M30" s="49">
        <v>16.329999999999998</v>
      </c>
      <c r="N30" s="49">
        <v>16.43</v>
      </c>
      <c r="O30" s="49">
        <v>15.57</v>
      </c>
      <c r="P30" s="49">
        <v>14.77</v>
      </c>
      <c r="Q30" s="49">
        <v>14.16</v>
      </c>
      <c r="R30" s="49">
        <v>13.76</v>
      </c>
      <c r="S30" s="49">
        <v>17.190000000000001</v>
      </c>
      <c r="T30" s="49">
        <v>17.73</v>
      </c>
      <c r="U30" s="49">
        <v>18.96</v>
      </c>
      <c r="V30" s="49">
        <v>17.77</v>
      </c>
      <c r="W30" s="49">
        <v>16.28</v>
      </c>
      <c r="X30" s="49">
        <v>14.2</v>
      </c>
      <c r="Y30" s="49">
        <v>12.42</v>
      </c>
      <c r="Z30" s="50">
        <f t="shared" si="4"/>
        <v>313.36</v>
      </c>
      <c r="AA30" s="51">
        <v>5</v>
      </c>
      <c r="AB30" s="67">
        <f t="shared" si="5"/>
        <v>1566.8000000000002</v>
      </c>
      <c r="AD30" s="72" t="s">
        <v>47</v>
      </c>
    </row>
    <row r="31" spans="1:30" ht="15.75" x14ac:dyDescent="0.25">
      <c r="A31" s="66">
        <f t="shared" si="3"/>
        <v>46966</v>
      </c>
      <c r="B31" s="49">
        <v>9.27</v>
      </c>
      <c r="C31" s="49">
        <v>8.3800000000000008</v>
      </c>
      <c r="D31" s="49">
        <v>7.72</v>
      </c>
      <c r="E31" s="49">
        <v>7.37</v>
      </c>
      <c r="F31" s="49">
        <v>7.61</v>
      </c>
      <c r="G31" s="49">
        <v>8.26</v>
      </c>
      <c r="H31" s="49">
        <v>10.07</v>
      </c>
      <c r="I31" s="49">
        <v>9.67</v>
      </c>
      <c r="J31" s="49">
        <v>11.83</v>
      </c>
      <c r="K31" s="49">
        <v>13.71</v>
      </c>
      <c r="L31" s="49">
        <v>15.04</v>
      </c>
      <c r="M31" s="49">
        <v>16.14</v>
      </c>
      <c r="N31" s="49">
        <v>16.12</v>
      </c>
      <c r="O31" s="49">
        <v>15.25</v>
      </c>
      <c r="P31" s="49">
        <v>14.55</v>
      </c>
      <c r="Q31" s="49">
        <v>13.93</v>
      </c>
      <c r="R31" s="49">
        <v>13.48</v>
      </c>
      <c r="S31" s="49">
        <v>16.68</v>
      </c>
      <c r="T31" s="49">
        <v>17.440000000000001</v>
      </c>
      <c r="U31" s="49">
        <v>18.34</v>
      </c>
      <c r="V31" s="49">
        <v>17.23</v>
      </c>
      <c r="W31" s="49">
        <v>15.8</v>
      </c>
      <c r="X31" s="49">
        <v>13.79</v>
      </c>
      <c r="Y31" s="49">
        <v>12.04</v>
      </c>
      <c r="Z31" s="50">
        <f t="shared" si="4"/>
        <v>309.72000000000003</v>
      </c>
      <c r="AA31" s="51">
        <v>4</v>
      </c>
      <c r="AB31" s="67">
        <f t="shared" si="5"/>
        <v>1238.8800000000001</v>
      </c>
      <c r="AD31" s="72" t="s">
        <v>47</v>
      </c>
    </row>
    <row r="32" spans="1:30" ht="15.75" x14ac:dyDescent="0.25">
      <c r="A32" s="66">
        <f t="shared" si="3"/>
        <v>46997</v>
      </c>
      <c r="B32" s="49">
        <v>8.8800000000000008</v>
      </c>
      <c r="C32" s="49">
        <v>8.0299999999999994</v>
      </c>
      <c r="D32" s="49">
        <v>7.42</v>
      </c>
      <c r="E32" s="49">
        <v>7.07</v>
      </c>
      <c r="F32" s="49">
        <v>7.31</v>
      </c>
      <c r="G32" s="49">
        <v>7.91</v>
      </c>
      <c r="H32" s="49">
        <v>9.76</v>
      </c>
      <c r="I32" s="49">
        <v>9.68</v>
      </c>
      <c r="J32" s="49">
        <v>11.86</v>
      </c>
      <c r="K32" s="49">
        <v>13.61</v>
      </c>
      <c r="L32" s="49">
        <v>15.07</v>
      </c>
      <c r="M32" s="49">
        <v>16.21</v>
      </c>
      <c r="N32" s="49">
        <v>15.7</v>
      </c>
      <c r="O32" s="49">
        <v>15.26</v>
      </c>
      <c r="P32" s="49">
        <v>14.46</v>
      </c>
      <c r="Q32" s="49">
        <v>14.05</v>
      </c>
      <c r="R32" s="49">
        <v>13.52</v>
      </c>
      <c r="S32" s="49">
        <v>17.399999999999999</v>
      </c>
      <c r="T32" s="49">
        <v>18.47</v>
      </c>
      <c r="U32" s="49">
        <v>18.3</v>
      </c>
      <c r="V32" s="49">
        <v>17.09</v>
      </c>
      <c r="W32" s="49">
        <v>15.53</v>
      </c>
      <c r="X32" s="49">
        <v>13.4</v>
      </c>
      <c r="Y32" s="49">
        <v>11.71</v>
      </c>
      <c r="Z32" s="50">
        <f t="shared" si="4"/>
        <v>307.69999999999993</v>
      </c>
      <c r="AA32" s="51">
        <v>5</v>
      </c>
      <c r="AB32" s="67">
        <f t="shared" si="5"/>
        <v>1538.4999999999995</v>
      </c>
      <c r="AD32" s="72" t="s">
        <v>47</v>
      </c>
    </row>
    <row r="33" spans="1:30" ht="15.75" x14ac:dyDescent="0.25">
      <c r="A33" s="66">
        <f t="shared" si="3"/>
        <v>47027</v>
      </c>
      <c r="B33" s="49">
        <v>9.0500000000000007</v>
      </c>
      <c r="C33" s="49">
        <v>8.16</v>
      </c>
      <c r="D33" s="49">
        <v>7.54</v>
      </c>
      <c r="E33" s="49">
        <v>7.27</v>
      </c>
      <c r="F33" s="49">
        <v>7.5</v>
      </c>
      <c r="G33" s="49">
        <v>7.84</v>
      </c>
      <c r="H33" s="49">
        <v>9.7899999999999991</v>
      </c>
      <c r="I33" s="49">
        <v>9.65</v>
      </c>
      <c r="J33" s="49">
        <v>11.93</v>
      </c>
      <c r="K33" s="49">
        <v>13.71</v>
      </c>
      <c r="L33" s="49">
        <v>15.09</v>
      </c>
      <c r="M33" s="49">
        <v>16.22</v>
      </c>
      <c r="N33" s="49">
        <v>16.18</v>
      </c>
      <c r="O33" s="49">
        <v>15.43</v>
      </c>
      <c r="P33" s="49">
        <v>14.84</v>
      </c>
      <c r="Q33" s="49">
        <v>14.31</v>
      </c>
      <c r="R33" s="49">
        <v>13.78</v>
      </c>
      <c r="S33" s="49">
        <v>17.579999999999998</v>
      </c>
      <c r="T33" s="49">
        <v>18.829999999999998</v>
      </c>
      <c r="U33" s="49">
        <v>18.34</v>
      </c>
      <c r="V33" s="49">
        <v>16.95</v>
      </c>
      <c r="W33" s="49">
        <v>15.5</v>
      </c>
      <c r="X33" s="49">
        <v>13.61</v>
      </c>
      <c r="Y33" s="49">
        <v>11.93</v>
      </c>
      <c r="Z33" s="50">
        <f t="shared" si="4"/>
        <v>311.03000000000003</v>
      </c>
      <c r="AA33" s="51">
        <v>4</v>
      </c>
      <c r="AB33" s="67">
        <f t="shared" si="5"/>
        <v>1244.1200000000001</v>
      </c>
      <c r="AD33" s="72" t="s">
        <v>47</v>
      </c>
    </row>
    <row r="34" spans="1:30" ht="15.75" x14ac:dyDescent="0.25">
      <c r="A34" s="66">
        <f t="shared" si="3"/>
        <v>47058</v>
      </c>
      <c r="B34" s="49">
        <v>9.16</v>
      </c>
      <c r="C34" s="49">
        <v>8.26</v>
      </c>
      <c r="D34" s="49">
        <v>7.63</v>
      </c>
      <c r="E34" s="49">
        <v>7.29</v>
      </c>
      <c r="F34" s="49">
        <v>7.52</v>
      </c>
      <c r="G34" s="49">
        <v>7.92</v>
      </c>
      <c r="H34" s="49">
        <v>9.91</v>
      </c>
      <c r="I34" s="49">
        <v>9.9</v>
      </c>
      <c r="J34" s="49">
        <v>12.09</v>
      </c>
      <c r="K34" s="49">
        <v>13.87</v>
      </c>
      <c r="L34" s="49">
        <v>15.32</v>
      </c>
      <c r="M34" s="49">
        <v>16.53</v>
      </c>
      <c r="N34" s="49">
        <v>16.45</v>
      </c>
      <c r="O34" s="49">
        <v>15.55</v>
      </c>
      <c r="P34" s="49">
        <v>14.87</v>
      </c>
      <c r="Q34" s="49">
        <v>14.57</v>
      </c>
      <c r="R34" s="49">
        <v>14.2</v>
      </c>
      <c r="S34" s="49">
        <v>17.66</v>
      </c>
      <c r="T34" s="49">
        <v>19.190000000000001</v>
      </c>
      <c r="U34" s="49">
        <v>18.87</v>
      </c>
      <c r="V34" s="49">
        <v>17.62</v>
      </c>
      <c r="W34" s="49">
        <v>16.22</v>
      </c>
      <c r="X34" s="49">
        <v>14.07</v>
      </c>
      <c r="Y34" s="49">
        <v>12.3</v>
      </c>
      <c r="Z34" s="50">
        <f t="shared" si="4"/>
        <v>316.97000000000003</v>
      </c>
      <c r="AA34" s="51">
        <v>4</v>
      </c>
      <c r="AB34" s="67">
        <f t="shared" si="5"/>
        <v>1267.8800000000001</v>
      </c>
      <c r="AD34" s="72" t="s">
        <v>47</v>
      </c>
    </row>
    <row r="35" spans="1:30" ht="16.5" thickBot="1" x14ac:dyDescent="0.3">
      <c r="A35" s="68">
        <f t="shared" si="3"/>
        <v>47088</v>
      </c>
      <c r="B35" s="52">
        <v>9.99</v>
      </c>
      <c r="C35" s="52">
        <v>8.94</v>
      </c>
      <c r="D35" s="52">
        <v>8.2100000000000009</v>
      </c>
      <c r="E35" s="52">
        <v>7.83</v>
      </c>
      <c r="F35" s="52">
        <v>8.0399999999999991</v>
      </c>
      <c r="G35" s="52">
        <v>8.6</v>
      </c>
      <c r="H35" s="52">
        <v>10.47</v>
      </c>
      <c r="I35" s="52">
        <v>10.26</v>
      </c>
      <c r="J35" s="52">
        <v>12.58</v>
      </c>
      <c r="K35" s="52">
        <v>14.4</v>
      </c>
      <c r="L35" s="52">
        <v>15.82</v>
      </c>
      <c r="M35" s="52">
        <v>17.04</v>
      </c>
      <c r="N35" s="52">
        <v>16.989999999999998</v>
      </c>
      <c r="O35" s="52">
        <v>16.03</v>
      </c>
      <c r="P35" s="52">
        <v>15.17</v>
      </c>
      <c r="Q35" s="52">
        <v>14.73</v>
      </c>
      <c r="R35" s="52">
        <v>14.53</v>
      </c>
      <c r="S35" s="52">
        <v>18.21</v>
      </c>
      <c r="T35" s="52">
        <v>19.54</v>
      </c>
      <c r="U35" s="52">
        <v>19.41</v>
      </c>
      <c r="V35" s="52">
        <v>18.2</v>
      </c>
      <c r="W35" s="52">
        <v>16.66</v>
      </c>
      <c r="X35" s="52">
        <v>14.56</v>
      </c>
      <c r="Y35" s="52">
        <v>12.83</v>
      </c>
      <c r="Z35" s="53">
        <f t="shared" si="4"/>
        <v>329.04</v>
      </c>
      <c r="AA35" s="54">
        <v>5</v>
      </c>
      <c r="AB35" s="69">
        <f t="shared" si="5"/>
        <v>1645.2</v>
      </c>
      <c r="AD35" s="72" t="s">
        <v>47</v>
      </c>
    </row>
    <row r="36" spans="1:30" ht="16.5" thickBot="1" x14ac:dyDescent="0.3">
      <c r="A36"/>
      <c r="B36" s="70"/>
      <c r="C36" s="60"/>
      <c r="D36" s="60"/>
      <c r="E36" s="60"/>
      <c r="F36" s="60"/>
      <c r="G36" s="60"/>
      <c r="H36" s="60"/>
      <c r="I36" s="60"/>
      <c r="J36" s="60"/>
      <c r="K36" s="60"/>
      <c r="L36" s="60"/>
      <c r="M36" s="60"/>
      <c r="N36" s="60"/>
      <c r="O36" s="60"/>
      <c r="P36" s="60"/>
      <c r="Q36" s="60"/>
      <c r="R36" s="60"/>
      <c r="S36" s="60"/>
      <c r="T36" s="60"/>
      <c r="U36" s="60"/>
      <c r="V36" s="60"/>
      <c r="W36" s="60"/>
      <c r="X36" s="60"/>
      <c r="Y36" s="60"/>
      <c r="Z36" s="58"/>
      <c r="AA36" s="38"/>
      <c r="AB36"/>
    </row>
    <row r="37" spans="1:30" ht="16.5" thickBot="1" x14ac:dyDescent="0.3">
      <c r="A37" s="36" t="s">
        <v>48</v>
      </c>
      <c r="B37" s="60"/>
      <c r="C37" s="60"/>
      <c r="D37" s="60"/>
      <c r="E37" s="71"/>
      <c r="F37" s="60"/>
      <c r="G37" s="60"/>
      <c r="H37" s="60"/>
      <c r="I37" s="60"/>
      <c r="J37" s="60"/>
      <c r="K37" s="60"/>
      <c r="L37" s="60"/>
      <c r="M37" s="60"/>
      <c r="N37" s="60"/>
      <c r="O37" s="60"/>
      <c r="P37" s="60"/>
      <c r="Q37" s="60"/>
      <c r="R37" s="60"/>
      <c r="S37" s="60"/>
      <c r="T37" s="60"/>
      <c r="U37" s="60"/>
      <c r="V37" s="60"/>
      <c r="W37" s="60"/>
      <c r="X37" s="60"/>
      <c r="Y37" s="60"/>
      <c r="Z37" s="58"/>
      <c r="AA37" s="38"/>
      <c r="AB37"/>
    </row>
    <row r="38" spans="1:30" ht="16.5" thickBot="1" x14ac:dyDescent="0.3">
      <c r="A38"/>
      <c r="B38" s="70"/>
      <c r="C38" s="60"/>
      <c r="D38" s="60"/>
      <c r="E38" s="60"/>
      <c r="F38" s="60"/>
      <c r="G38" s="60"/>
      <c r="H38" s="60"/>
      <c r="I38" s="60"/>
      <c r="J38" s="60"/>
      <c r="K38" s="60"/>
      <c r="L38" s="60"/>
      <c r="M38" s="60"/>
      <c r="N38" s="60"/>
      <c r="O38" s="60"/>
      <c r="P38" s="60"/>
      <c r="Q38" s="60"/>
      <c r="R38" s="60"/>
      <c r="S38" s="60"/>
      <c r="T38" s="60"/>
      <c r="U38" s="60"/>
      <c r="V38" s="60"/>
      <c r="W38" s="60"/>
      <c r="X38" s="60"/>
      <c r="Y38" s="60"/>
      <c r="Z38" s="58"/>
      <c r="AA38"/>
      <c r="AB38"/>
    </row>
    <row r="39" spans="1:30" ht="15.75" thickBot="1" x14ac:dyDescent="0.25">
      <c r="A39" s="61" t="s">
        <v>11</v>
      </c>
      <c r="B39" s="62" t="s">
        <v>12</v>
      </c>
      <c r="C39" s="62" t="s">
        <v>13</v>
      </c>
      <c r="D39" s="62" t="s">
        <v>14</v>
      </c>
      <c r="E39" s="62" t="s">
        <v>15</v>
      </c>
      <c r="F39" s="62" t="s">
        <v>16</v>
      </c>
      <c r="G39" s="62" t="s">
        <v>17</v>
      </c>
      <c r="H39" s="62" t="s">
        <v>18</v>
      </c>
      <c r="I39" s="62" t="s">
        <v>19</v>
      </c>
      <c r="J39" s="62" t="s">
        <v>20</v>
      </c>
      <c r="K39" s="62" t="s">
        <v>21</v>
      </c>
      <c r="L39" s="62" t="s">
        <v>22</v>
      </c>
      <c r="M39" s="62" t="s">
        <v>23</v>
      </c>
      <c r="N39" s="62" t="s">
        <v>24</v>
      </c>
      <c r="O39" s="62" t="s">
        <v>25</v>
      </c>
      <c r="P39" s="62" t="s">
        <v>26</v>
      </c>
      <c r="Q39" s="62" t="s">
        <v>27</v>
      </c>
      <c r="R39" s="62" t="s">
        <v>28</v>
      </c>
      <c r="S39" s="62" t="s">
        <v>29</v>
      </c>
      <c r="T39" s="62" t="s">
        <v>30</v>
      </c>
      <c r="U39" s="62" t="s">
        <v>31</v>
      </c>
      <c r="V39" s="62" t="s">
        <v>32</v>
      </c>
      <c r="W39" s="62" t="s">
        <v>33</v>
      </c>
      <c r="X39" s="62" t="s">
        <v>34</v>
      </c>
      <c r="Y39" s="62" t="s">
        <v>35</v>
      </c>
      <c r="Z39" s="62" t="s">
        <v>7</v>
      </c>
      <c r="AA39" s="62" t="s">
        <v>36</v>
      </c>
      <c r="AB39" s="63"/>
    </row>
    <row r="40" spans="1:30" ht="15.75" x14ac:dyDescent="0.25">
      <c r="A40" s="64">
        <f t="shared" ref="A40:A51" si="6">+A24</f>
        <v>46753</v>
      </c>
      <c r="B40" s="46">
        <v>7.95</v>
      </c>
      <c r="C40" s="46">
        <v>7.19</v>
      </c>
      <c r="D40" s="46">
        <v>6.42</v>
      </c>
      <c r="E40" s="46">
        <v>6.11</v>
      </c>
      <c r="F40" s="46">
        <v>5.93</v>
      </c>
      <c r="G40" s="46">
        <v>5.99</v>
      </c>
      <c r="H40" s="46">
        <v>6.31</v>
      </c>
      <c r="I40" s="46">
        <v>4.6900000000000004</v>
      </c>
      <c r="J40" s="46">
        <v>5.66</v>
      </c>
      <c r="K40" s="46">
        <v>6.87</v>
      </c>
      <c r="L40" s="46">
        <v>7.89</v>
      </c>
      <c r="M40" s="46">
        <v>8.82</v>
      </c>
      <c r="N40" s="46">
        <v>9.44</v>
      </c>
      <c r="O40" s="46">
        <v>9.49</v>
      </c>
      <c r="P40" s="46">
        <v>9.18</v>
      </c>
      <c r="Q40" s="46">
        <v>9.01</v>
      </c>
      <c r="R40" s="46">
        <v>8.94</v>
      </c>
      <c r="S40" s="46">
        <v>11.76</v>
      </c>
      <c r="T40" s="46">
        <v>12.77</v>
      </c>
      <c r="U40" s="46">
        <v>13.84</v>
      </c>
      <c r="V40" s="46">
        <v>13.53</v>
      </c>
      <c r="W40" s="46">
        <v>12.44</v>
      </c>
      <c r="X40" s="46">
        <v>10.79</v>
      </c>
      <c r="Y40" s="46">
        <v>9.4499999999999993</v>
      </c>
      <c r="Z40" s="47">
        <f t="shared" ref="Z40:Z51" si="7">SUM(B40:Y40)</f>
        <v>210.46999999999997</v>
      </c>
      <c r="AA40" s="48">
        <v>6</v>
      </c>
      <c r="AB40" s="65">
        <f>+Z40*AA40</f>
        <v>1262.8199999999997</v>
      </c>
      <c r="AD40" s="72" t="s">
        <v>49</v>
      </c>
    </row>
    <row r="41" spans="1:30" ht="15.75" x14ac:dyDescent="0.25">
      <c r="A41" s="66">
        <f t="shared" si="6"/>
        <v>46784</v>
      </c>
      <c r="B41" s="49">
        <v>7.94</v>
      </c>
      <c r="C41" s="49">
        <v>7.14</v>
      </c>
      <c r="D41" s="49">
        <v>6.45</v>
      </c>
      <c r="E41" s="49">
        <v>6.08</v>
      </c>
      <c r="F41" s="49">
        <v>6.03</v>
      </c>
      <c r="G41" s="49">
        <v>6.26</v>
      </c>
      <c r="H41" s="49">
        <v>6.81</v>
      </c>
      <c r="I41" s="49">
        <v>5.44</v>
      </c>
      <c r="J41" s="49">
        <v>6.66</v>
      </c>
      <c r="K41" s="49">
        <v>7.99</v>
      </c>
      <c r="L41" s="49">
        <v>8.8000000000000007</v>
      </c>
      <c r="M41" s="49">
        <v>9.67</v>
      </c>
      <c r="N41" s="49">
        <v>10.07</v>
      </c>
      <c r="O41" s="49">
        <v>9.8699999999999992</v>
      </c>
      <c r="P41" s="49">
        <v>9.3699999999999992</v>
      </c>
      <c r="Q41" s="49">
        <v>9.0399999999999991</v>
      </c>
      <c r="R41" s="49">
        <v>8.84</v>
      </c>
      <c r="S41" s="49">
        <v>11.72</v>
      </c>
      <c r="T41" s="49">
        <v>12.31</v>
      </c>
      <c r="U41" s="49">
        <v>13.96</v>
      </c>
      <c r="V41" s="49">
        <v>13.58</v>
      </c>
      <c r="W41" s="49">
        <v>12.33</v>
      </c>
      <c r="X41" s="49">
        <v>10.34</v>
      </c>
      <c r="Y41" s="49">
        <v>8.6999999999999993</v>
      </c>
      <c r="Z41" s="50">
        <f t="shared" si="7"/>
        <v>215.40000000000003</v>
      </c>
      <c r="AA41" s="51">
        <v>4</v>
      </c>
      <c r="AB41" s="67">
        <f>+Z41*AA41</f>
        <v>861.60000000000014</v>
      </c>
      <c r="AD41" s="72" t="s">
        <v>49</v>
      </c>
    </row>
    <row r="42" spans="1:30" ht="15.75" x14ac:dyDescent="0.25">
      <c r="A42" s="66">
        <f t="shared" si="6"/>
        <v>46813</v>
      </c>
      <c r="B42" s="49">
        <v>7.61</v>
      </c>
      <c r="C42" s="49">
        <v>6.84</v>
      </c>
      <c r="D42" s="49">
        <v>6.27</v>
      </c>
      <c r="E42" s="49">
        <v>5.92</v>
      </c>
      <c r="F42" s="49">
        <v>5.82</v>
      </c>
      <c r="G42" s="49">
        <v>6.09</v>
      </c>
      <c r="H42" s="49">
        <v>6.58</v>
      </c>
      <c r="I42" s="49">
        <v>5.32</v>
      </c>
      <c r="J42" s="49">
        <v>6.42</v>
      </c>
      <c r="K42" s="49">
        <v>7.62</v>
      </c>
      <c r="L42" s="49">
        <v>8.4</v>
      </c>
      <c r="M42" s="49">
        <v>9.1300000000000008</v>
      </c>
      <c r="N42" s="49">
        <v>9.67</v>
      </c>
      <c r="O42" s="49">
        <v>9.6199999999999992</v>
      </c>
      <c r="P42" s="49">
        <v>9.1300000000000008</v>
      </c>
      <c r="Q42" s="49">
        <v>8.89</v>
      </c>
      <c r="R42" s="49">
        <v>8.8699999999999992</v>
      </c>
      <c r="S42" s="49">
        <v>11.94</v>
      </c>
      <c r="T42" s="49">
        <v>12.83</v>
      </c>
      <c r="U42" s="49">
        <v>13.87</v>
      </c>
      <c r="V42" s="49">
        <v>13.3</v>
      </c>
      <c r="W42" s="49">
        <v>12.05</v>
      </c>
      <c r="X42" s="49">
        <v>10.28</v>
      </c>
      <c r="Y42" s="49">
        <v>8.74</v>
      </c>
      <c r="Z42" s="50">
        <f t="shared" si="7"/>
        <v>211.21000000000004</v>
      </c>
      <c r="AA42" s="51">
        <v>4</v>
      </c>
      <c r="AB42" s="67">
        <f t="shared" ref="AB42:AB51" si="8">+Z42*AA42</f>
        <v>844.84000000000015</v>
      </c>
      <c r="AD42" s="72" t="s">
        <v>49</v>
      </c>
    </row>
    <row r="43" spans="1:30" ht="15.75" x14ac:dyDescent="0.25">
      <c r="A43" s="66">
        <f t="shared" si="6"/>
        <v>46844</v>
      </c>
      <c r="B43" s="49">
        <v>7.5</v>
      </c>
      <c r="C43" s="49">
        <v>6.69</v>
      </c>
      <c r="D43" s="49">
        <v>6.07</v>
      </c>
      <c r="E43" s="49">
        <v>5.74</v>
      </c>
      <c r="F43" s="49">
        <v>5.73</v>
      </c>
      <c r="G43" s="49">
        <v>5.74</v>
      </c>
      <c r="H43" s="49">
        <v>6.32</v>
      </c>
      <c r="I43" s="49">
        <v>5.31</v>
      </c>
      <c r="J43" s="49">
        <v>6.49</v>
      </c>
      <c r="K43" s="49">
        <v>7.78</v>
      </c>
      <c r="L43" s="49">
        <v>8.77</v>
      </c>
      <c r="M43" s="49">
        <v>9.75</v>
      </c>
      <c r="N43" s="49">
        <v>10.23</v>
      </c>
      <c r="O43" s="49">
        <v>9.9700000000000006</v>
      </c>
      <c r="P43" s="49">
        <v>9.69</v>
      </c>
      <c r="Q43" s="49">
        <v>9.1</v>
      </c>
      <c r="R43" s="49">
        <v>8.9600000000000009</v>
      </c>
      <c r="S43" s="49">
        <v>12.1</v>
      </c>
      <c r="T43" s="49">
        <v>12.96</v>
      </c>
      <c r="U43" s="49">
        <v>13.73</v>
      </c>
      <c r="V43" s="49">
        <v>13.25</v>
      </c>
      <c r="W43" s="49">
        <v>12.08</v>
      </c>
      <c r="X43" s="49">
        <v>10.33</v>
      </c>
      <c r="Y43" s="49">
        <v>8.9600000000000009</v>
      </c>
      <c r="Z43" s="50">
        <f t="shared" si="7"/>
        <v>213.25000000000003</v>
      </c>
      <c r="AA43" s="51">
        <v>7</v>
      </c>
      <c r="AB43" s="67">
        <f t="shared" si="8"/>
        <v>1492.7500000000002</v>
      </c>
      <c r="AD43" s="72" t="s">
        <v>49</v>
      </c>
    </row>
    <row r="44" spans="1:30" ht="15.75" x14ac:dyDescent="0.25">
      <c r="A44" s="66">
        <f t="shared" si="6"/>
        <v>46874</v>
      </c>
      <c r="B44" s="49">
        <v>7.55</v>
      </c>
      <c r="C44" s="49">
        <v>6.74</v>
      </c>
      <c r="D44" s="49">
        <v>6.17</v>
      </c>
      <c r="E44" s="49">
        <v>5.78</v>
      </c>
      <c r="F44" s="49">
        <v>5.68</v>
      </c>
      <c r="G44" s="49">
        <v>5.45</v>
      </c>
      <c r="H44" s="49">
        <v>6.45</v>
      </c>
      <c r="I44" s="49">
        <v>5.46</v>
      </c>
      <c r="J44" s="49">
        <v>6.69</v>
      </c>
      <c r="K44" s="49">
        <v>8.1300000000000008</v>
      </c>
      <c r="L44" s="49">
        <v>9.08</v>
      </c>
      <c r="M44" s="49">
        <v>9.81</v>
      </c>
      <c r="N44" s="49">
        <v>9.9499999999999993</v>
      </c>
      <c r="O44" s="49">
        <v>9.84</v>
      </c>
      <c r="P44" s="49">
        <v>9.1199999999999992</v>
      </c>
      <c r="Q44" s="49">
        <v>9.18</v>
      </c>
      <c r="R44" s="49">
        <v>9.1300000000000008</v>
      </c>
      <c r="S44" s="49">
        <v>12.11</v>
      </c>
      <c r="T44" s="49">
        <v>12.91</v>
      </c>
      <c r="U44" s="49">
        <v>14.01</v>
      </c>
      <c r="V44" s="49">
        <v>13.59</v>
      </c>
      <c r="W44" s="49">
        <v>12.38</v>
      </c>
      <c r="X44" s="49">
        <v>10.47</v>
      </c>
      <c r="Y44" s="49">
        <v>8.94</v>
      </c>
      <c r="Z44" s="50">
        <f t="shared" si="7"/>
        <v>214.61999999999998</v>
      </c>
      <c r="AA44" s="51">
        <v>4</v>
      </c>
      <c r="AB44" s="67">
        <f t="shared" si="8"/>
        <v>858.4799999999999</v>
      </c>
      <c r="AD44" s="72" t="s">
        <v>49</v>
      </c>
    </row>
    <row r="45" spans="1:30" ht="15.75" x14ac:dyDescent="0.25">
      <c r="A45" s="66">
        <f t="shared" si="6"/>
        <v>46905</v>
      </c>
      <c r="B45" s="49">
        <v>7.19</v>
      </c>
      <c r="C45" s="49">
        <v>6.38</v>
      </c>
      <c r="D45" s="49">
        <v>5.84</v>
      </c>
      <c r="E45" s="49">
        <v>5.48</v>
      </c>
      <c r="F45" s="49">
        <v>5.45</v>
      </c>
      <c r="G45" s="49">
        <v>5.5</v>
      </c>
      <c r="H45" s="49">
        <v>6.23</v>
      </c>
      <c r="I45" s="49">
        <v>5.27</v>
      </c>
      <c r="J45" s="49">
        <v>6.48</v>
      </c>
      <c r="K45" s="49">
        <v>7.81</v>
      </c>
      <c r="L45" s="49">
        <v>8.59</v>
      </c>
      <c r="M45" s="49">
        <v>9.27</v>
      </c>
      <c r="N45" s="49">
        <v>9.67</v>
      </c>
      <c r="O45" s="49">
        <v>9.6300000000000008</v>
      </c>
      <c r="P45" s="49">
        <v>9.19</v>
      </c>
      <c r="Q45" s="49">
        <v>8.85</v>
      </c>
      <c r="R45" s="49">
        <v>8.65</v>
      </c>
      <c r="S45" s="49">
        <v>11.49</v>
      </c>
      <c r="T45" s="49">
        <v>12.23</v>
      </c>
      <c r="U45" s="49">
        <v>13.6</v>
      </c>
      <c r="V45" s="49">
        <v>13.16</v>
      </c>
      <c r="W45" s="49">
        <v>11.96</v>
      </c>
      <c r="X45" s="49">
        <v>10.25</v>
      </c>
      <c r="Y45" s="49">
        <v>8.74</v>
      </c>
      <c r="Z45" s="50">
        <f t="shared" si="7"/>
        <v>206.91</v>
      </c>
      <c r="AA45" s="51">
        <v>4</v>
      </c>
      <c r="AB45" s="67">
        <f t="shared" si="8"/>
        <v>827.64</v>
      </c>
      <c r="AD45" s="72" t="s">
        <v>49</v>
      </c>
    </row>
    <row r="46" spans="1:30" ht="15.75" x14ac:dyDescent="0.25">
      <c r="A46" s="66">
        <f t="shared" si="6"/>
        <v>46935</v>
      </c>
      <c r="B46" s="49">
        <v>7.7</v>
      </c>
      <c r="C46" s="49">
        <v>6.93</v>
      </c>
      <c r="D46" s="49">
        <v>6.34</v>
      </c>
      <c r="E46" s="49">
        <v>5.94</v>
      </c>
      <c r="F46" s="49">
        <v>5.89</v>
      </c>
      <c r="G46" s="49">
        <v>5.9</v>
      </c>
      <c r="H46" s="49">
        <v>6.52</v>
      </c>
      <c r="I46" s="49">
        <v>5.48</v>
      </c>
      <c r="J46" s="49">
        <v>6.74</v>
      </c>
      <c r="K46" s="49">
        <v>8.1</v>
      </c>
      <c r="L46" s="49">
        <v>8.9700000000000006</v>
      </c>
      <c r="M46" s="49">
        <v>9.92</v>
      </c>
      <c r="N46" s="49">
        <v>10.3</v>
      </c>
      <c r="O46" s="49">
        <v>9.98</v>
      </c>
      <c r="P46" s="49">
        <v>9.5299999999999994</v>
      </c>
      <c r="Q46" s="49">
        <v>9.23</v>
      </c>
      <c r="R46" s="49">
        <v>9.1999999999999993</v>
      </c>
      <c r="S46" s="49">
        <v>12.18</v>
      </c>
      <c r="T46" s="49">
        <v>12.71</v>
      </c>
      <c r="U46" s="49">
        <v>14.14</v>
      </c>
      <c r="V46" s="49">
        <v>13.75</v>
      </c>
      <c r="W46" s="49">
        <v>12.5</v>
      </c>
      <c r="X46" s="49">
        <v>10.64</v>
      </c>
      <c r="Y46" s="49">
        <v>9.07</v>
      </c>
      <c r="Z46" s="50">
        <f t="shared" si="7"/>
        <v>217.66000000000003</v>
      </c>
      <c r="AA46" s="51">
        <v>6</v>
      </c>
      <c r="AB46" s="67">
        <f t="shared" si="8"/>
        <v>1305.96</v>
      </c>
      <c r="AD46" s="72" t="s">
        <v>49</v>
      </c>
    </row>
    <row r="47" spans="1:30" ht="15.75" x14ac:dyDescent="0.25">
      <c r="A47" s="66">
        <f t="shared" si="6"/>
        <v>46966</v>
      </c>
      <c r="B47" s="49">
        <v>7.76</v>
      </c>
      <c r="C47" s="49">
        <v>6.97</v>
      </c>
      <c r="D47" s="49">
        <v>6.39</v>
      </c>
      <c r="E47" s="49">
        <v>6.04</v>
      </c>
      <c r="F47" s="49">
        <v>5.97</v>
      </c>
      <c r="G47" s="49">
        <v>5.98</v>
      </c>
      <c r="H47" s="49">
        <v>6.43</v>
      </c>
      <c r="I47" s="49">
        <v>5.34</v>
      </c>
      <c r="J47" s="49">
        <v>6.63</v>
      </c>
      <c r="K47" s="49">
        <v>7.98</v>
      </c>
      <c r="L47" s="49">
        <v>9.02</v>
      </c>
      <c r="M47" s="49">
        <v>9.86</v>
      </c>
      <c r="N47" s="49">
        <v>10.34</v>
      </c>
      <c r="O47" s="49">
        <v>10.25</v>
      </c>
      <c r="P47" s="49">
        <v>9.8000000000000007</v>
      </c>
      <c r="Q47" s="49">
        <v>9.48</v>
      </c>
      <c r="R47" s="49">
        <v>9.16</v>
      </c>
      <c r="S47" s="49">
        <v>12.06</v>
      </c>
      <c r="T47" s="49">
        <v>12.87</v>
      </c>
      <c r="U47" s="49">
        <v>14.18</v>
      </c>
      <c r="V47" s="49">
        <v>13.78</v>
      </c>
      <c r="W47" s="49">
        <v>12.52</v>
      </c>
      <c r="X47" s="49">
        <v>10.6</v>
      </c>
      <c r="Y47" s="49">
        <v>9.0500000000000007</v>
      </c>
      <c r="Z47" s="50">
        <f t="shared" si="7"/>
        <v>218.46000000000004</v>
      </c>
      <c r="AA47" s="51">
        <v>4</v>
      </c>
      <c r="AB47" s="67">
        <f t="shared" si="8"/>
        <v>873.84000000000015</v>
      </c>
      <c r="AD47" s="72" t="s">
        <v>49</v>
      </c>
    </row>
    <row r="48" spans="1:30" ht="15.75" x14ac:dyDescent="0.25">
      <c r="A48" s="66">
        <f t="shared" si="6"/>
        <v>46997</v>
      </c>
      <c r="B48" s="49">
        <v>7.51</v>
      </c>
      <c r="C48" s="49">
        <v>6.77</v>
      </c>
      <c r="D48" s="49">
        <v>6.2</v>
      </c>
      <c r="E48" s="49">
        <v>5.8</v>
      </c>
      <c r="F48" s="49">
        <v>5.74</v>
      </c>
      <c r="G48" s="49">
        <v>5.66</v>
      </c>
      <c r="H48" s="49">
        <v>6.29</v>
      </c>
      <c r="I48" s="49">
        <v>5.3</v>
      </c>
      <c r="J48" s="49">
        <v>6.54</v>
      </c>
      <c r="K48" s="49">
        <v>7.89</v>
      </c>
      <c r="L48" s="49">
        <v>8.81</v>
      </c>
      <c r="M48" s="49">
        <v>9.76</v>
      </c>
      <c r="N48" s="49">
        <v>10.18</v>
      </c>
      <c r="O48" s="49">
        <v>10.039999999999999</v>
      </c>
      <c r="P48" s="49">
        <v>9.48</v>
      </c>
      <c r="Q48" s="49">
        <v>9.18</v>
      </c>
      <c r="R48" s="49">
        <v>9.08</v>
      </c>
      <c r="S48" s="49">
        <v>12.02</v>
      </c>
      <c r="T48" s="49">
        <v>13.28</v>
      </c>
      <c r="U48" s="49">
        <v>14.09</v>
      </c>
      <c r="V48" s="49">
        <v>13.61</v>
      </c>
      <c r="W48" s="49">
        <v>12.31</v>
      </c>
      <c r="X48" s="49">
        <v>10.32</v>
      </c>
      <c r="Y48" s="49">
        <v>8.6999999999999993</v>
      </c>
      <c r="Z48" s="50">
        <f t="shared" si="7"/>
        <v>214.56</v>
      </c>
      <c r="AA48" s="51">
        <v>4</v>
      </c>
      <c r="AB48" s="67">
        <f t="shared" si="8"/>
        <v>858.24</v>
      </c>
      <c r="AD48" s="72" t="s">
        <v>49</v>
      </c>
    </row>
    <row r="49" spans="1:30" ht="15.75" x14ac:dyDescent="0.25">
      <c r="A49" s="66">
        <f t="shared" si="6"/>
        <v>47027</v>
      </c>
      <c r="B49" s="49">
        <v>7.39</v>
      </c>
      <c r="C49" s="49">
        <v>6.6</v>
      </c>
      <c r="D49" s="49">
        <v>6.05</v>
      </c>
      <c r="E49" s="49">
        <v>5.73</v>
      </c>
      <c r="F49" s="49">
        <v>5.66</v>
      </c>
      <c r="G49" s="49">
        <v>5.43</v>
      </c>
      <c r="H49" s="49">
        <v>6.11</v>
      </c>
      <c r="I49" s="49">
        <v>5.13</v>
      </c>
      <c r="J49" s="49">
        <v>6.42</v>
      </c>
      <c r="K49" s="49">
        <v>7.72</v>
      </c>
      <c r="L49" s="49">
        <v>8.74</v>
      </c>
      <c r="M49" s="49">
        <v>9.67</v>
      </c>
      <c r="N49" s="49">
        <v>10.11</v>
      </c>
      <c r="O49" s="49">
        <v>9.9</v>
      </c>
      <c r="P49" s="49">
        <v>9.4700000000000006</v>
      </c>
      <c r="Q49" s="49">
        <v>9.15</v>
      </c>
      <c r="R49" s="49">
        <v>8.99</v>
      </c>
      <c r="S49" s="49">
        <v>12.13</v>
      </c>
      <c r="T49" s="49">
        <v>13.41</v>
      </c>
      <c r="U49" s="49">
        <v>13.53</v>
      </c>
      <c r="V49" s="49">
        <v>13.13</v>
      </c>
      <c r="W49" s="49">
        <v>12.08</v>
      </c>
      <c r="X49" s="49">
        <v>10.47</v>
      </c>
      <c r="Y49" s="49">
        <v>8.98</v>
      </c>
      <c r="Z49" s="50">
        <f t="shared" si="7"/>
        <v>212</v>
      </c>
      <c r="AA49" s="51">
        <v>5</v>
      </c>
      <c r="AB49" s="67">
        <f t="shared" si="8"/>
        <v>1060</v>
      </c>
      <c r="AD49" s="72" t="s">
        <v>49</v>
      </c>
    </row>
    <row r="50" spans="1:30" ht="15.75" x14ac:dyDescent="0.25">
      <c r="A50" s="66">
        <f t="shared" si="6"/>
        <v>47058</v>
      </c>
      <c r="B50" s="49">
        <v>7.76</v>
      </c>
      <c r="C50" s="49">
        <v>6.99</v>
      </c>
      <c r="D50" s="49">
        <v>6.35</v>
      </c>
      <c r="E50" s="49">
        <v>5.93</v>
      </c>
      <c r="F50" s="49">
        <v>5.87</v>
      </c>
      <c r="G50" s="49">
        <v>5.65</v>
      </c>
      <c r="H50" s="49">
        <v>6.31</v>
      </c>
      <c r="I50" s="49">
        <v>5.27</v>
      </c>
      <c r="J50" s="49">
        <v>6.59</v>
      </c>
      <c r="K50" s="49">
        <v>7.87</v>
      </c>
      <c r="L50" s="49">
        <v>8.8699999999999992</v>
      </c>
      <c r="M50" s="49">
        <v>9.93</v>
      </c>
      <c r="N50" s="49">
        <v>10.52</v>
      </c>
      <c r="O50" s="49">
        <v>10.36</v>
      </c>
      <c r="P50" s="49">
        <v>9.9</v>
      </c>
      <c r="Q50" s="49">
        <v>9.69</v>
      </c>
      <c r="R50" s="49">
        <v>9.52</v>
      </c>
      <c r="S50" s="49">
        <v>12.68</v>
      </c>
      <c r="T50" s="49">
        <v>14.08</v>
      </c>
      <c r="U50" s="49">
        <v>14.18</v>
      </c>
      <c r="V50" s="49">
        <v>13.65</v>
      </c>
      <c r="W50" s="49">
        <v>12.47</v>
      </c>
      <c r="X50" s="49">
        <v>10.68</v>
      </c>
      <c r="Y50" s="49">
        <v>9.16</v>
      </c>
      <c r="Z50" s="50">
        <f t="shared" si="7"/>
        <v>220.28000000000006</v>
      </c>
      <c r="AA50" s="51">
        <v>4</v>
      </c>
      <c r="AB50" s="67">
        <f t="shared" si="8"/>
        <v>881.12000000000023</v>
      </c>
      <c r="AD50" s="72" t="s">
        <v>49</v>
      </c>
    </row>
    <row r="51" spans="1:30" ht="16.5" thickBot="1" x14ac:dyDescent="0.3">
      <c r="A51" s="68">
        <f t="shared" si="6"/>
        <v>47088</v>
      </c>
      <c r="B51" s="52">
        <v>8.58</v>
      </c>
      <c r="C51" s="52">
        <v>7.74</v>
      </c>
      <c r="D51" s="52">
        <v>7.05</v>
      </c>
      <c r="E51" s="52">
        <v>6.58</v>
      </c>
      <c r="F51" s="52">
        <v>6.43</v>
      </c>
      <c r="G51" s="52">
        <v>6.44</v>
      </c>
      <c r="H51" s="52">
        <v>6.87</v>
      </c>
      <c r="I51" s="52">
        <v>5.59</v>
      </c>
      <c r="J51" s="52">
        <v>6.67</v>
      </c>
      <c r="K51" s="52">
        <v>8.15</v>
      </c>
      <c r="L51" s="52">
        <v>9.39</v>
      </c>
      <c r="M51" s="52">
        <v>10.38</v>
      </c>
      <c r="N51" s="52">
        <v>11.01</v>
      </c>
      <c r="O51" s="52">
        <v>11.03</v>
      </c>
      <c r="P51" s="52">
        <v>10.52</v>
      </c>
      <c r="Q51" s="52">
        <v>10.17</v>
      </c>
      <c r="R51" s="52">
        <v>9.9</v>
      </c>
      <c r="S51" s="52">
        <v>13.05</v>
      </c>
      <c r="T51" s="52">
        <v>14.47</v>
      </c>
      <c r="U51" s="52">
        <v>14.63</v>
      </c>
      <c r="V51" s="52">
        <v>14.07</v>
      </c>
      <c r="W51" s="52">
        <v>13.08</v>
      </c>
      <c r="X51" s="52">
        <v>11.48</v>
      </c>
      <c r="Y51" s="52">
        <v>9.99</v>
      </c>
      <c r="Z51" s="53">
        <f t="shared" si="7"/>
        <v>233.27</v>
      </c>
      <c r="AA51" s="54">
        <v>6</v>
      </c>
      <c r="AB51" s="69">
        <f t="shared" si="8"/>
        <v>1399.6200000000001</v>
      </c>
      <c r="AD51" s="72" t="s">
        <v>49</v>
      </c>
    </row>
    <row r="52" spans="1:30" ht="16.5" thickBot="1" x14ac:dyDescent="0.3">
      <c r="A52"/>
      <c r="B52" s="70"/>
      <c r="C52" s="60"/>
      <c r="D52" s="60"/>
      <c r="E52" s="60"/>
      <c r="F52" s="60"/>
      <c r="G52" s="60"/>
      <c r="H52" s="60"/>
      <c r="I52" s="60"/>
      <c r="J52" s="60"/>
      <c r="K52" s="60"/>
      <c r="L52" s="60"/>
      <c r="M52" s="60"/>
      <c r="N52" s="60"/>
      <c r="O52" s="60"/>
      <c r="P52" s="60"/>
      <c r="Q52" s="60"/>
      <c r="R52" s="60"/>
      <c r="S52" s="60"/>
      <c r="T52" s="60"/>
      <c r="U52" s="60"/>
      <c r="V52" s="60"/>
      <c r="W52" s="60"/>
      <c r="X52" s="60"/>
      <c r="Y52" s="60"/>
      <c r="Z52" s="58"/>
      <c r="AA52" s="38"/>
      <c r="AB52"/>
    </row>
    <row r="53" spans="1:30" ht="16.5" thickBot="1" x14ac:dyDescent="0.3">
      <c r="A53" s="36" t="s">
        <v>50</v>
      </c>
      <c r="B53" s="60"/>
      <c r="C53" s="60"/>
      <c r="D53" s="60"/>
      <c r="E53" s="71"/>
      <c r="F53" s="60"/>
      <c r="G53" s="60"/>
      <c r="H53" s="60"/>
      <c r="I53" s="60"/>
      <c r="J53" s="60"/>
      <c r="K53" s="60"/>
      <c r="L53" s="60"/>
      <c r="M53" s="60"/>
      <c r="N53" s="60"/>
      <c r="O53" s="60"/>
      <c r="P53" s="60"/>
      <c r="Q53" s="60"/>
      <c r="R53" s="60"/>
      <c r="S53" s="60"/>
      <c r="T53" s="60"/>
      <c r="U53" s="60"/>
      <c r="V53" s="60"/>
      <c r="W53" s="60"/>
      <c r="X53" s="60"/>
      <c r="Y53" s="60"/>
      <c r="Z53" s="58"/>
      <c r="AA53" s="38"/>
      <c r="AB53"/>
    </row>
    <row r="54" spans="1:30" ht="16.5" thickBot="1" x14ac:dyDescent="0.3">
      <c r="A54"/>
      <c r="B54" s="70"/>
      <c r="C54" s="60"/>
      <c r="D54" s="60"/>
      <c r="E54" s="60"/>
      <c r="F54" s="60"/>
      <c r="G54" s="60"/>
      <c r="H54" s="60"/>
      <c r="I54" s="60"/>
      <c r="J54" s="60"/>
      <c r="K54" s="60"/>
      <c r="L54" s="60"/>
      <c r="M54" s="60"/>
      <c r="N54" s="60"/>
      <c r="O54" s="60"/>
      <c r="P54" s="60"/>
      <c r="Q54" s="60"/>
      <c r="R54" s="60"/>
      <c r="S54" s="60"/>
      <c r="T54" s="60"/>
      <c r="U54" s="60"/>
      <c r="V54" s="60"/>
      <c r="W54" s="60"/>
      <c r="X54" s="60"/>
      <c r="Y54" s="60"/>
      <c r="Z54" s="58"/>
      <c r="AA54"/>
      <c r="AB54"/>
    </row>
    <row r="55" spans="1:30" ht="15.75" thickBot="1" x14ac:dyDescent="0.25">
      <c r="A55" s="61" t="s">
        <v>11</v>
      </c>
      <c r="B55" s="62" t="s">
        <v>12</v>
      </c>
      <c r="C55" s="62" t="s">
        <v>13</v>
      </c>
      <c r="D55" s="62" t="s">
        <v>14</v>
      </c>
      <c r="E55" s="62" t="s">
        <v>15</v>
      </c>
      <c r="F55" s="62" t="s">
        <v>16</v>
      </c>
      <c r="G55" s="62" t="s">
        <v>17</v>
      </c>
      <c r="H55" s="62" t="s">
        <v>18</v>
      </c>
      <c r="I55" s="62" t="s">
        <v>19</v>
      </c>
      <c r="J55" s="62" t="s">
        <v>20</v>
      </c>
      <c r="K55" s="62" t="s">
        <v>21</v>
      </c>
      <c r="L55" s="62" t="s">
        <v>22</v>
      </c>
      <c r="M55" s="62" t="s">
        <v>23</v>
      </c>
      <c r="N55" s="62" t="s">
        <v>24</v>
      </c>
      <c r="O55" s="62" t="s">
        <v>25</v>
      </c>
      <c r="P55" s="62" t="s">
        <v>26</v>
      </c>
      <c r="Q55" s="62" t="s">
        <v>27</v>
      </c>
      <c r="R55" s="62" t="s">
        <v>28</v>
      </c>
      <c r="S55" s="62" t="s">
        <v>29</v>
      </c>
      <c r="T55" s="62" t="s">
        <v>30</v>
      </c>
      <c r="U55" s="62" t="s">
        <v>31</v>
      </c>
      <c r="V55" s="62" t="s">
        <v>32</v>
      </c>
      <c r="W55" s="62" t="s">
        <v>33</v>
      </c>
      <c r="X55" s="62" t="s">
        <v>34</v>
      </c>
      <c r="Y55" s="62" t="s">
        <v>35</v>
      </c>
      <c r="Z55" s="62" t="s">
        <v>7</v>
      </c>
      <c r="AA55" s="62" t="s">
        <v>36</v>
      </c>
      <c r="AB55" s="63"/>
    </row>
    <row r="56" spans="1:30" ht="15.75" x14ac:dyDescent="0.25">
      <c r="A56" s="64">
        <f t="shared" ref="A56:A67" si="9">+A40</f>
        <v>46753</v>
      </c>
      <c r="B56" s="46">
        <v>7.11</v>
      </c>
      <c r="C56" s="46">
        <v>6.37</v>
      </c>
      <c r="D56" s="46">
        <v>5.8</v>
      </c>
      <c r="E56" s="46">
        <v>5.47</v>
      </c>
      <c r="F56" s="46">
        <v>5.47</v>
      </c>
      <c r="G56" s="46">
        <v>5.74</v>
      </c>
      <c r="H56" s="46">
        <v>6.4</v>
      </c>
      <c r="I56" s="46">
        <v>4.97</v>
      </c>
      <c r="J56" s="46">
        <v>6.03</v>
      </c>
      <c r="K56" s="46">
        <v>7.42</v>
      </c>
      <c r="L56" s="46">
        <v>8.7200000000000006</v>
      </c>
      <c r="M56" s="46">
        <v>9.74</v>
      </c>
      <c r="N56" s="46">
        <v>10.25</v>
      </c>
      <c r="O56" s="46">
        <v>9.9</v>
      </c>
      <c r="P56" s="46">
        <v>9.07</v>
      </c>
      <c r="Q56" s="46">
        <v>8.7100000000000009</v>
      </c>
      <c r="R56" s="46">
        <v>8.8000000000000007</v>
      </c>
      <c r="S56" s="46">
        <v>12.04</v>
      </c>
      <c r="T56" s="46">
        <v>13.14</v>
      </c>
      <c r="U56" s="46">
        <v>13.72</v>
      </c>
      <c r="V56" s="46">
        <v>13</v>
      </c>
      <c r="W56" s="46">
        <v>11.64</v>
      </c>
      <c r="X56" s="46">
        <v>9.77</v>
      </c>
      <c r="Y56" s="46">
        <v>8.24</v>
      </c>
      <c r="Z56" s="47">
        <f t="shared" ref="Z56:Z67" si="10">SUM(B56:Y56)</f>
        <v>207.52000000000007</v>
      </c>
      <c r="AA56" s="48">
        <v>1</v>
      </c>
      <c r="AB56" s="65">
        <f>+Z56*AA56</f>
        <v>207.52000000000007</v>
      </c>
      <c r="AD56" s="72" t="s">
        <v>51</v>
      </c>
    </row>
    <row r="57" spans="1:30" ht="15.75" x14ac:dyDescent="0.25">
      <c r="A57" s="66">
        <f t="shared" si="9"/>
        <v>46784</v>
      </c>
      <c r="B57" s="49">
        <v>7.94</v>
      </c>
      <c r="C57" s="49">
        <v>7.14</v>
      </c>
      <c r="D57" s="49">
        <v>6.45</v>
      </c>
      <c r="E57" s="49">
        <v>6.08</v>
      </c>
      <c r="F57" s="49">
        <v>6.03</v>
      </c>
      <c r="G57" s="49">
        <v>6.26</v>
      </c>
      <c r="H57" s="49">
        <v>6.81</v>
      </c>
      <c r="I57" s="49">
        <v>5.44</v>
      </c>
      <c r="J57" s="49">
        <v>6.66</v>
      </c>
      <c r="K57" s="49">
        <v>7.99</v>
      </c>
      <c r="L57" s="49">
        <v>8.8000000000000007</v>
      </c>
      <c r="M57" s="49">
        <v>9.67</v>
      </c>
      <c r="N57" s="49">
        <v>10.07</v>
      </c>
      <c r="O57" s="49">
        <v>9.8699999999999992</v>
      </c>
      <c r="P57" s="49">
        <v>9.3699999999999992</v>
      </c>
      <c r="Q57" s="49">
        <v>9.0399999999999991</v>
      </c>
      <c r="R57" s="49">
        <v>8.84</v>
      </c>
      <c r="S57" s="49">
        <v>11.72</v>
      </c>
      <c r="T57" s="49">
        <v>12.31</v>
      </c>
      <c r="U57" s="49">
        <v>13.96</v>
      </c>
      <c r="V57" s="49">
        <v>13.58</v>
      </c>
      <c r="W57" s="49">
        <v>12.33</v>
      </c>
      <c r="X57" s="49">
        <v>10.34</v>
      </c>
      <c r="Y57" s="49">
        <v>8.6999999999999993</v>
      </c>
      <c r="Z57" s="50">
        <f t="shared" si="10"/>
        <v>215.40000000000003</v>
      </c>
      <c r="AA57" s="51">
        <v>0</v>
      </c>
      <c r="AB57" s="67">
        <f>+Z57*AA57</f>
        <v>0</v>
      </c>
      <c r="AD57" s="72" t="s">
        <v>51</v>
      </c>
    </row>
    <row r="58" spans="1:30" ht="15.75" x14ac:dyDescent="0.25">
      <c r="A58" s="66">
        <f t="shared" si="9"/>
        <v>46813</v>
      </c>
      <c r="B58" s="49">
        <v>7.25</v>
      </c>
      <c r="C58" s="49">
        <v>6.55</v>
      </c>
      <c r="D58" s="49">
        <v>6.02</v>
      </c>
      <c r="E58" s="49">
        <v>5.71</v>
      </c>
      <c r="F58" s="49">
        <v>5.63</v>
      </c>
      <c r="G58" s="49">
        <v>5.91</v>
      </c>
      <c r="H58" s="49">
        <v>6.38</v>
      </c>
      <c r="I58" s="49">
        <v>5.39</v>
      </c>
      <c r="J58" s="49">
        <v>6.74</v>
      </c>
      <c r="K58" s="49">
        <v>8</v>
      </c>
      <c r="L58" s="49">
        <v>9.07</v>
      </c>
      <c r="M58" s="49">
        <v>10.029999999999999</v>
      </c>
      <c r="N58" s="49">
        <v>10.36</v>
      </c>
      <c r="O58" s="49">
        <v>10.16</v>
      </c>
      <c r="P58" s="49">
        <v>9.82</v>
      </c>
      <c r="Q58" s="49">
        <v>9.51</v>
      </c>
      <c r="R58" s="49">
        <v>9.49</v>
      </c>
      <c r="S58" s="49">
        <v>12.57</v>
      </c>
      <c r="T58" s="49">
        <v>13.35</v>
      </c>
      <c r="U58" s="49">
        <v>14.34</v>
      </c>
      <c r="V58" s="49">
        <v>13.88</v>
      </c>
      <c r="W58" s="49">
        <v>12.55</v>
      </c>
      <c r="X58" s="49">
        <v>10.34</v>
      </c>
      <c r="Y58" s="49">
        <v>8.77</v>
      </c>
      <c r="Z58" s="50">
        <f t="shared" si="10"/>
        <v>217.82000000000002</v>
      </c>
      <c r="AA58" s="51">
        <v>1</v>
      </c>
      <c r="AB58" s="67">
        <f t="shared" ref="AB58:AB67" si="11">+Z58*AA58</f>
        <v>217.82000000000002</v>
      </c>
      <c r="AD58" s="72" t="s">
        <v>51</v>
      </c>
    </row>
    <row r="59" spans="1:30" ht="15.75" x14ac:dyDescent="0.25">
      <c r="A59" s="66">
        <f t="shared" si="9"/>
        <v>46844</v>
      </c>
      <c r="B59" s="49">
        <v>7.5</v>
      </c>
      <c r="C59" s="49">
        <v>6.69</v>
      </c>
      <c r="D59" s="49">
        <v>6.07</v>
      </c>
      <c r="E59" s="49">
        <v>5.74</v>
      </c>
      <c r="F59" s="49">
        <v>5.73</v>
      </c>
      <c r="G59" s="49">
        <v>5.74</v>
      </c>
      <c r="H59" s="49">
        <v>6.32</v>
      </c>
      <c r="I59" s="49">
        <v>5.31</v>
      </c>
      <c r="J59" s="49">
        <v>6.49</v>
      </c>
      <c r="K59" s="49">
        <v>7.78</v>
      </c>
      <c r="L59" s="49">
        <v>8.77</v>
      </c>
      <c r="M59" s="49">
        <v>9.75</v>
      </c>
      <c r="N59" s="49">
        <v>10.23</v>
      </c>
      <c r="O59" s="49">
        <v>9.9700000000000006</v>
      </c>
      <c r="P59" s="49">
        <v>9.69</v>
      </c>
      <c r="Q59" s="49">
        <v>9.1</v>
      </c>
      <c r="R59" s="49">
        <v>8.9600000000000009</v>
      </c>
      <c r="S59" s="49">
        <v>12.1</v>
      </c>
      <c r="T59" s="49">
        <v>12.96</v>
      </c>
      <c r="U59" s="49">
        <v>13.73</v>
      </c>
      <c r="V59" s="49">
        <v>13.25</v>
      </c>
      <c r="W59" s="49">
        <v>12.08</v>
      </c>
      <c r="X59" s="49">
        <v>10.33</v>
      </c>
      <c r="Y59" s="49">
        <v>8.9600000000000009</v>
      </c>
      <c r="Z59" s="50">
        <f t="shared" si="10"/>
        <v>213.25000000000003</v>
      </c>
      <c r="AA59" s="51">
        <v>0</v>
      </c>
      <c r="AB59" s="67">
        <f t="shared" si="11"/>
        <v>0</v>
      </c>
      <c r="AD59" s="72" t="s">
        <v>51</v>
      </c>
    </row>
    <row r="60" spans="1:30" ht="15.75" x14ac:dyDescent="0.25">
      <c r="A60" s="66">
        <f t="shared" si="9"/>
        <v>46874</v>
      </c>
      <c r="B60" s="49">
        <v>6.7</v>
      </c>
      <c r="C60" s="49">
        <v>6.03</v>
      </c>
      <c r="D60" s="49">
        <v>5.63</v>
      </c>
      <c r="E60" s="49">
        <v>5.38</v>
      </c>
      <c r="F60" s="49">
        <v>5.46</v>
      </c>
      <c r="G60" s="49">
        <v>5.53</v>
      </c>
      <c r="H60" s="49">
        <v>6.41</v>
      </c>
      <c r="I60" s="49">
        <v>5.64</v>
      </c>
      <c r="J60" s="49">
        <v>7.17</v>
      </c>
      <c r="K60" s="49">
        <v>8.41</v>
      </c>
      <c r="L60" s="49">
        <v>9.32</v>
      </c>
      <c r="M60" s="49">
        <v>10.66</v>
      </c>
      <c r="N60" s="49">
        <v>11.51</v>
      </c>
      <c r="O60" s="49">
        <v>11.1</v>
      </c>
      <c r="P60" s="49">
        <v>10.039999999999999</v>
      </c>
      <c r="Q60" s="49">
        <v>9.61</v>
      </c>
      <c r="R60" s="49">
        <v>9.42</v>
      </c>
      <c r="S60" s="49">
        <v>12.41</v>
      </c>
      <c r="T60" s="49">
        <v>12.92</v>
      </c>
      <c r="U60" s="49">
        <v>14.27</v>
      </c>
      <c r="V60" s="49">
        <v>13.63</v>
      </c>
      <c r="W60" s="49">
        <v>12.26</v>
      </c>
      <c r="X60" s="49">
        <v>10.11</v>
      </c>
      <c r="Y60" s="49">
        <v>8.48</v>
      </c>
      <c r="Z60" s="50">
        <f t="shared" si="10"/>
        <v>218.1</v>
      </c>
      <c r="AA60" s="51">
        <v>2</v>
      </c>
      <c r="AB60" s="67">
        <f t="shared" si="11"/>
        <v>436.2</v>
      </c>
      <c r="AD60" s="72" t="s">
        <v>51</v>
      </c>
    </row>
    <row r="61" spans="1:30" ht="15.75" x14ac:dyDescent="0.25">
      <c r="A61" s="66">
        <f t="shared" si="9"/>
        <v>46905</v>
      </c>
      <c r="B61" s="49">
        <v>6.86</v>
      </c>
      <c r="C61" s="49">
        <v>6.11</v>
      </c>
      <c r="D61" s="49">
        <v>5.61</v>
      </c>
      <c r="E61" s="49">
        <v>5.37</v>
      </c>
      <c r="F61" s="49">
        <v>5.43</v>
      </c>
      <c r="G61" s="49">
        <v>5.34</v>
      </c>
      <c r="H61" s="49">
        <v>6.3</v>
      </c>
      <c r="I61" s="49">
        <v>5.34</v>
      </c>
      <c r="J61" s="49">
        <v>6.66</v>
      </c>
      <c r="K61" s="49">
        <v>8.06</v>
      </c>
      <c r="L61" s="49">
        <v>9.09</v>
      </c>
      <c r="M61" s="49">
        <v>10.16</v>
      </c>
      <c r="N61" s="49">
        <v>10.87</v>
      </c>
      <c r="O61" s="49">
        <v>10.7</v>
      </c>
      <c r="P61" s="49">
        <v>10.02</v>
      </c>
      <c r="Q61" s="49">
        <v>9.67</v>
      </c>
      <c r="R61" s="49">
        <v>9.42</v>
      </c>
      <c r="S61" s="49">
        <v>12.53</v>
      </c>
      <c r="T61" s="49">
        <v>13.23</v>
      </c>
      <c r="U61" s="49">
        <v>14.5</v>
      </c>
      <c r="V61" s="49">
        <v>13.88</v>
      </c>
      <c r="W61" s="49">
        <v>12.42</v>
      </c>
      <c r="X61" s="49">
        <v>10.32</v>
      </c>
      <c r="Y61" s="49">
        <v>8.6199999999999992</v>
      </c>
      <c r="Z61" s="50">
        <f t="shared" si="10"/>
        <v>216.50999999999996</v>
      </c>
      <c r="AA61" s="51">
        <v>2</v>
      </c>
      <c r="AB61" s="67">
        <f t="shared" si="11"/>
        <v>433.01999999999992</v>
      </c>
      <c r="AD61" s="72" t="s">
        <v>51</v>
      </c>
    </row>
    <row r="62" spans="1:30" ht="15.75" x14ac:dyDescent="0.25">
      <c r="A62" s="66">
        <f t="shared" si="9"/>
        <v>46935</v>
      </c>
      <c r="B62" s="49">
        <v>7.26</v>
      </c>
      <c r="C62" s="49">
        <v>6.53</v>
      </c>
      <c r="D62" s="49">
        <v>5.93</v>
      </c>
      <c r="E62" s="49">
        <v>5.63</v>
      </c>
      <c r="F62" s="49">
        <v>5.59</v>
      </c>
      <c r="G62" s="49">
        <v>5.56</v>
      </c>
      <c r="H62" s="49">
        <v>6.33</v>
      </c>
      <c r="I62" s="49">
        <v>5.36</v>
      </c>
      <c r="J62" s="49">
        <v>6.61</v>
      </c>
      <c r="K62" s="49">
        <v>7.9</v>
      </c>
      <c r="L62" s="49">
        <v>9.15</v>
      </c>
      <c r="M62" s="49">
        <v>10.38</v>
      </c>
      <c r="N62" s="49">
        <v>11.04</v>
      </c>
      <c r="O62" s="49">
        <v>10.5</v>
      </c>
      <c r="P62" s="49">
        <v>9.32</v>
      </c>
      <c r="Q62" s="49">
        <v>8.73</v>
      </c>
      <c r="R62" s="49">
        <v>8.48</v>
      </c>
      <c r="S62" s="49">
        <v>11.36</v>
      </c>
      <c r="T62" s="49">
        <v>11.82</v>
      </c>
      <c r="U62" s="49">
        <v>13.59</v>
      </c>
      <c r="V62" s="49">
        <v>13.14</v>
      </c>
      <c r="W62" s="49">
        <v>11.9</v>
      </c>
      <c r="X62" s="49">
        <v>10</v>
      </c>
      <c r="Y62" s="49">
        <v>8.3699999999999992</v>
      </c>
      <c r="Z62" s="50">
        <f t="shared" si="10"/>
        <v>210.48</v>
      </c>
      <c r="AA62" s="51">
        <v>1</v>
      </c>
      <c r="AB62" s="67">
        <f t="shared" si="11"/>
        <v>210.48</v>
      </c>
      <c r="AD62" s="72" t="s">
        <v>51</v>
      </c>
    </row>
    <row r="63" spans="1:30" ht="15.75" x14ac:dyDescent="0.25">
      <c r="A63" s="66">
        <f t="shared" si="9"/>
        <v>46966</v>
      </c>
      <c r="B63" s="49">
        <v>7.32</v>
      </c>
      <c r="C63" s="49">
        <v>6.6</v>
      </c>
      <c r="D63" s="49">
        <v>6.08</v>
      </c>
      <c r="E63" s="49">
        <v>5.86</v>
      </c>
      <c r="F63" s="49">
        <v>5.79</v>
      </c>
      <c r="G63" s="49">
        <v>6.03</v>
      </c>
      <c r="H63" s="49">
        <v>6.57</v>
      </c>
      <c r="I63" s="49">
        <v>5.62</v>
      </c>
      <c r="J63" s="49">
        <v>7.1</v>
      </c>
      <c r="K63" s="49">
        <v>8.5399999999999991</v>
      </c>
      <c r="L63" s="49">
        <v>9.84</v>
      </c>
      <c r="M63" s="49">
        <v>10.93</v>
      </c>
      <c r="N63" s="49">
        <v>11.39</v>
      </c>
      <c r="O63" s="49">
        <v>11.19</v>
      </c>
      <c r="P63" s="49">
        <v>10.33</v>
      </c>
      <c r="Q63" s="49">
        <v>9.7100000000000009</v>
      </c>
      <c r="R63" s="49">
        <v>9.5399999999999991</v>
      </c>
      <c r="S63" s="49">
        <v>12.39</v>
      </c>
      <c r="T63" s="49">
        <v>12.99</v>
      </c>
      <c r="U63" s="49">
        <v>14.5</v>
      </c>
      <c r="V63" s="49">
        <v>13.83</v>
      </c>
      <c r="W63" s="49">
        <v>12.38</v>
      </c>
      <c r="X63" s="49">
        <v>10.23</v>
      </c>
      <c r="Y63" s="49">
        <v>8.69</v>
      </c>
      <c r="Z63" s="50">
        <f t="shared" si="10"/>
        <v>223.45</v>
      </c>
      <c r="AA63" s="51">
        <v>2</v>
      </c>
      <c r="AB63" s="67">
        <f t="shared" si="11"/>
        <v>446.9</v>
      </c>
      <c r="AD63" s="72" t="s">
        <v>51</v>
      </c>
    </row>
    <row r="64" spans="1:30" ht="15.75" x14ac:dyDescent="0.25">
      <c r="A64" s="66">
        <f t="shared" si="9"/>
        <v>46997</v>
      </c>
      <c r="B64" s="49">
        <v>7.51</v>
      </c>
      <c r="C64" s="49">
        <v>6.77</v>
      </c>
      <c r="D64" s="49">
        <v>6.2</v>
      </c>
      <c r="E64" s="49">
        <v>5.8</v>
      </c>
      <c r="F64" s="49">
        <v>5.74</v>
      </c>
      <c r="G64" s="49">
        <v>5.66</v>
      </c>
      <c r="H64" s="49">
        <v>6.29</v>
      </c>
      <c r="I64" s="49">
        <v>5.3</v>
      </c>
      <c r="J64" s="49">
        <v>6.54</v>
      </c>
      <c r="K64" s="49">
        <v>7.89</v>
      </c>
      <c r="L64" s="49">
        <v>8.81</v>
      </c>
      <c r="M64" s="49">
        <v>9.76</v>
      </c>
      <c r="N64" s="49">
        <v>10.18</v>
      </c>
      <c r="O64" s="49">
        <v>10.039999999999999</v>
      </c>
      <c r="P64" s="49">
        <v>9.48</v>
      </c>
      <c r="Q64" s="49">
        <v>9.18</v>
      </c>
      <c r="R64" s="49">
        <v>9.08</v>
      </c>
      <c r="S64" s="49">
        <v>12.02</v>
      </c>
      <c r="T64" s="49">
        <v>13.28</v>
      </c>
      <c r="U64" s="49">
        <v>14.09</v>
      </c>
      <c r="V64" s="49">
        <v>13.61</v>
      </c>
      <c r="W64" s="49">
        <v>12.31</v>
      </c>
      <c r="X64" s="49">
        <v>10.32</v>
      </c>
      <c r="Y64" s="49">
        <v>8.6999999999999993</v>
      </c>
      <c r="Z64" s="50">
        <f t="shared" si="10"/>
        <v>214.56</v>
      </c>
      <c r="AA64" s="51">
        <v>0</v>
      </c>
      <c r="AB64" s="67">
        <f t="shared" si="11"/>
        <v>0</v>
      </c>
      <c r="AD64" s="72" t="s">
        <v>51</v>
      </c>
    </row>
    <row r="65" spans="1:30" ht="15.75" x14ac:dyDescent="0.25">
      <c r="A65" s="66">
        <f t="shared" si="9"/>
        <v>47027</v>
      </c>
      <c r="B65" s="49">
        <v>7.45</v>
      </c>
      <c r="C65" s="49">
        <v>6.71</v>
      </c>
      <c r="D65" s="49">
        <v>6.15</v>
      </c>
      <c r="E65" s="49">
        <v>5.84</v>
      </c>
      <c r="F65" s="49">
        <v>5.79</v>
      </c>
      <c r="G65" s="49">
        <v>5.49</v>
      </c>
      <c r="H65" s="49">
        <v>6.47</v>
      </c>
      <c r="I65" s="49">
        <v>5.56</v>
      </c>
      <c r="J65" s="49">
        <v>6.96</v>
      </c>
      <c r="K65" s="49">
        <v>8.4700000000000006</v>
      </c>
      <c r="L65" s="49">
        <v>9.7200000000000006</v>
      </c>
      <c r="M65" s="49">
        <v>11.03</v>
      </c>
      <c r="N65" s="49">
        <v>11.76</v>
      </c>
      <c r="O65" s="49">
        <v>11.21</v>
      </c>
      <c r="P65" s="49">
        <v>10.16</v>
      </c>
      <c r="Q65" s="49">
        <v>9.49</v>
      </c>
      <c r="R65" s="49">
        <v>9.4600000000000009</v>
      </c>
      <c r="S65" s="49">
        <v>12.95</v>
      </c>
      <c r="T65" s="49">
        <v>14.58</v>
      </c>
      <c r="U65" s="49">
        <v>14.77</v>
      </c>
      <c r="V65" s="49">
        <v>14.14</v>
      </c>
      <c r="W65" s="49">
        <v>12.78</v>
      </c>
      <c r="X65" s="49">
        <v>10.74</v>
      </c>
      <c r="Y65" s="49">
        <v>8.89</v>
      </c>
      <c r="Z65" s="50">
        <f t="shared" si="10"/>
        <v>226.57000000000005</v>
      </c>
      <c r="AA65" s="51">
        <v>1</v>
      </c>
      <c r="AB65" s="67">
        <f t="shared" si="11"/>
        <v>226.57000000000005</v>
      </c>
      <c r="AD65" s="72" t="s">
        <v>51</v>
      </c>
    </row>
    <row r="66" spans="1:30" ht="15.75" x14ac:dyDescent="0.25">
      <c r="A66" s="66">
        <f t="shared" si="9"/>
        <v>47058</v>
      </c>
      <c r="B66" s="49">
        <v>7.15</v>
      </c>
      <c r="C66" s="49">
        <v>6.39</v>
      </c>
      <c r="D66" s="49">
        <v>5.91</v>
      </c>
      <c r="E66" s="49">
        <v>5.63</v>
      </c>
      <c r="F66" s="49">
        <v>5.68</v>
      </c>
      <c r="G66" s="49">
        <v>5.75</v>
      </c>
      <c r="H66" s="49">
        <v>6.42</v>
      </c>
      <c r="I66" s="49">
        <v>5.55</v>
      </c>
      <c r="J66" s="49">
        <v>6.9</v>
      </c>
      <c r="K66" s="49">
        <v>8.3800000000000008</v>
      </c>
      <c r="L66" s="49">
        <v>9.65</v>
      </c>
      <c r="M66" s="49">
        <v>10.48</v>
      </c>
      <c r="N66" s="49">
        <v>11.11</v>
      </c>
      <c r="O66" s="49">
        <v>10.89</v>
      </c>
      <c r="P66" s="49">
        <v>10.3</v>
      </c>
      <c r="Q66" s="49">
        <v>9.9700000000000006</v>
      </c>
      <c r="R66" s="49">
        <v>9.93</v>
      </c>
      <c r="S66" s="49">
        <v>13.27</v>
      </c>
      <c r="T66" s="49">
        <v>14.58</v>
      </c>
      <c r="U66" s="49">
        <v>14.67</v>
      </c>
      <c r="V66" s="49">
        <v>14.12</v>
      </c>
      <c r="W66" s="49">
        <v>12.89</v>
      </c>
      <c r="X66" s="49">
        <v>10.85</v>
      </c>
      <c r="Y66" s="49">
        <v>9.02</v>
      </c>
      <c r="Z66" s="50">
        <f t="shared" si="10"/>
        <v>225.49</v>
      </c>
      <c r="AA66" s="51">
        <v>2</v>
      </c>
      <c r="AB66" s="67">
        <f t="shared" si="11"/>
        <v>450.98</v>
      </c>
      <c r="AD66" s="72" t="s">
        <v>51</v>
      </c>
    </row>
    <row r="67" spans="1:30" ht="16.5" thickBot="1" x14ac:dyDescent="0.3">
      <c r="A67" s="68">
        <f t="shared" si="9"/>
        <v>47088</v>
      </c>
      <c r="B67" s="52">
        <v>8.17</v>
      </c>
      <c r="C67" s="52">
        <v>7.35</v>
      </c>
      <c r="D67" s="52">
        <v>6.68</v>
      </c>
      <c r="E67" s="52">
        <v>6.21</v>
      </c>
      <c r="F67" s="52">
        <v>6.04</v>
      </c>
      <c r="G67" s="52">
        <v>6.04</v>
      </c>
      <c r="H67" s="52">
        <v>6.44</v>
      </c>
      <c r="I67" s="52">
        <v>5.19</v>
      </c>
      <c r="J67" s="52">
        <v>6.18</v>
      </c>
      <c r="K67" s="52">
        <v>7.56</v>
      </c>
      <c r="L67" s="52">
        <v>8.7100000000000009</v>
      </c>
      <c r="M67" s="52">
        <v>9.6199999999999992</v>
      </c>
      <c r="N67" s="52">
        <v>10.220000000000001</v>
      </c>
      <c r="O67" s="52">
        <v>10.27</v>
      </c>
      <c r="P67" s="52">
        <v>9.82</v>
      </c>
      <c r="Q67" s="52">
        <v>9.5</v>
      </c>
      <c r="R67" s="52">
        <v>9.23</v>
      </c>
      <c r="S67" s="52">
        <v>12.25</v>
      </c>
      <c r="T67" s="52">
        <v>13.6</v>
      </c>
      <c r="U67" s="52">
        <v>13.74</v>
      </c>
      <c r="V67" s="52">
        <v>13.24</v>
      </c>
      <c r="W67" s="52">
        <v>12.35</v>
      </c>
      <c r="X67" s="52">
        <v>10.85</v>
      </c>
      <c r="Y67" s="52">
        <v>9.4600000000000009</v>
      </c>
      <c r="Z67" s="53">
        <f t="shared" si="10"/>
        <v>218.72</v>
      </c>
      <c r="AA67" s="54">
        <v>1</v>
      </c>
      <c r="AB67" s="69">
        <f t="shared" si="11"/>
        <v>218.72</v>
      </c>
      <c r="AD67" s="72" t="s">
        <v>51</v>
      </c>
    </row>
    <row r="68" spans="1:30" ht="16.5" thickBot="1" x14ac:dyDescent="0.3">
      <c r="A68"/>
      <c r="B68" s="70"/>
      <c r="C68" s="60"/>
      <c r="D68" s="60"/>
      <c r="E68" s="60"/>
      <c r="F68" s="60"/>
      <c r="G68" s="60"/>
      <c r="H68" s="60"/>
      <c r="I68" s="60"/>
      <c r="J68" s="60"/>
      <c r="K68" s="60"/>
      <c r="L68" s="60"/>
      <c r="M68" s="60"/>
      <c r="N68" s="60"/>
      <c r="O68" s="60"/>
      <c r="P68" s="60"/>
      <c r="Q68" s="60"/>
      <c r="R68" s="60"/>
      <c r="S68" s="60"/>
      <c r="T68" s="60"/>
      <c r="U68" s="60"/>
      <c r="V68" s="60"/>
      <c r="W68" s="60"/>
      <c r="X68" s="60"/>
      <c r="Y68" s="60"/>
      <c r="Z68" s="58"/>
      <c r="AA68" s="38"/>
      <c r="AB68"/>
    </row>
    <row r="69" spans="1:30" ht="16.5" thickBot="1" x14ac:dyDescent="0.3">
      <c r="A69" s="36" t="s">
        <v>37</v>
      </c>
      <c r="B69" s="60"/>
      <c r="C69" s="60"/>
      <c r="D69" s="60"/>
      <c r="E69" s="71"/>
      <c r="F69" s="60"/>
      <c r="G69" s="60"/>
      <c r="H69" s="60"/>
      <c r="I69" s="60"/>
      <c r="J69" s="60"/>
      <c r="K69" s="60"/>
      <c r="L69" s="60"/>
      <c r="M69" s="60"/>
      <c r="N69" s="60"/>
      <c r="O69" s="60"/>
      <c r="P69" s="60"/>
      <c r="Q69" s="60"/>
      <c r="R69" s="60"/>
      <c r="S69" s="60"/>
      <c r="T69" s="60"/>
      <c r="U69" s="60"/>
      <c r="V69" s="60"/>
      <c r="W69" s="60"/>
      <c r="X69" s="60"/>
      <c r="Y69" s="60"/>
      <c r="Z69" s="58"/>
      <c r="AA69" s="38"/>
      <c r="AB69"/>
    </row>
    <row r="70" spans="1:30" ht="16.5" thickBot="1" x14ac:dyDescent="0.3">
      <c r="A70"/>
      <c r="B70" s="70"/>
      <c r="C70" s="60"/>
      <c r="D70" s="60"/>
      <c r="E70" s="60"/>
      <c r="F70" s="60"/>
      <c r="G70" s="60"/>
      <c r="H70" s="60"/>
      <c r="I70" s="60"/>
      <c r="J70" s="60"/>
      <c r="K70" s="60"/>
      <c r="L70" s="60"/>
      <c r="M70" s="60"/>
      <c r="N70" s="60"/>
      <c r="O70" s="60"/>
      <c r="P70" s="60"/>
      <c r="Q70" s="60"/>
      <c r="R70" s="60"/>
      <c r="S70" s="60"/>
      <c r="T70" s="60"/>
      <c r="U70" s="60"/>
      <c r="V70" s="60"/>
      <c r="W70" s="60"/>
      <c r="X70" s="60"/>
      <c r="Y70" s="60"/>
      <c r="Z70" s="58"/>
      <c r="AA70"/>
      <c r="AB70"/>
    </row>
    <row r="71" spans="1:30" ht="15.75" thickBot="1" x14ac:dyDescent="0.25">
      <c r="A71" s="61" t="s">
        <v>11</v>
      </c>
      <c r="B71" s="62" t="s">
        <v>12</v>
      </c>
      <c r="C71" s="62" t="s">
        <v>13</v>
      </c>
      <c r="D71" s="62" t="s">
        <v>14</v>
      </c>
      <c r="E71" s="62" t="s">
        <v>15</v>
      </c>
      <c r="F71" s="62" t="s">
        <v>16</v>
      </c>
      <c r="G71" s="62" t="s">
        <v>17</v>
      </c>
      <c r="H71" s="62" t="s">
        <v>18</v>
      </c>
      <c r="I71" s="62" t="s">
        <v>19</v>
      </c>
      <c r="J71" s="62" t="s">
        <v>20</v>
      </c>
      <c r="K71" s="62" t="s">
        <v>21</v>
      </c>
      <c r="L71" s="62" t="s">
        <v>22</v>
      </c>
      <c r="M71" s="62" t="s">
        <v>23</v>
      </c>
      <c r="N71" s="62" t="s">
        <v>24</v>
      </c>
      <c r="O71" s="62" t="s">
        <v>25</v>
      </c>
      <c r="P71" s="62" t="s">
        <v>26</v>
      </c>
      <c r="Q71" s="62" t="s">
        <v>27</v>
      </c>
      <c r="R71" s="62" t="s">
        <v>28</v>
      </c>
      <c r="S71" s="62" t="s">
        <v>29</v>
      </c>
      <c r="T71" s="62" t="s">
        <v>30</v>
      </c>
      <c r="U71" s="62" t="s">
        <v>31</v>
      </c>
      <c r="V71" s="62" t="s">
        <v>32</v>
      </c>
      <c r="W71" s="62" t="s">
        <v>33</v>
      </c>
      <c r="X71" s="62" t="s">
        <v>34</v>
      </c>
      <c r="Y71" s="62" t="s">
        <v>35</v>
      </c>
      <c r="Z71" s="62" t="s">
        <v>7</v>
      </c>
      <c r="AA71" s="62" t="s">
        <v>36</v>
      </c>
      <c r="AB71" s="63"/>
      <c r="AD71" s="73"/>
    </row>
    <row r="72" spans="1:30" ht="15.75" x14ac:dyDescent="0.25">
      <c r="A72" s="64">
        <f t="shared" ref="A72:A83" si="12">+A56</f>
        <v>46753</v>
      </c>
      <c r="B72" s="46">
        <f t="shared" ref="B72:Y72" si="13">+B8*$AA8+B24*$AA24+B40*$AA40+B56*$AA56</f>
        <v>290.89</v>
      </c>
      <c r="C72" s="46">
        <f t="shared" si="13"/>
        <v>263.19</v>
      </c>
      <c r="D72" s="46">
        <f t="shared" si="13"/>
        <v>242.92000000000002</v>
      </c>
      <c r="E72" s="46">
        <f t="shared" si="13"/>
        <v>234.89000000000001</v>
      </c>
      <c r="F72" s="46">
        <f t="shared" si="13"/>
        <v>242.32999999999996</v>
      </c>
      <c r="G72" s="46">
        <f t="shared" si="13"/>
        <v>273.48</v>
      </c>
      <c r="H72" s="46">
        <f t="shared" si="13"/>
        <v>323.06</v>
      </c>
      <c r="I72" s="46">
        <f t="shared" si="13"/>
        <v>294.99</v>
      </c>
      <c r="J72" s="46">
        <f t="shared" si="13"/>
        <v>353.51</v>
      </c>
      <c r="K72" s="46">
        <f t="shared" si="13"/>
        <v>407.00000000000006</v>
      </c>
      <c r="L72" s="46">
        <f t="shared" si="13"/>
        <v>455.7</v>
      </c>
      <c r="M72" s="46">
        <f t="shared" si="13"/>
        <v>498.94000000000005</v>
      </c>
      <c r="N72" s="46">
        <f t="shared" si="13"/>
        <v>502.73</v>
      </c>
      <c r="O72" s="46">
        <f t="shared" si="13"/>
        <v>493.12</v>
      </c>
      <c r="P72" s="46">
        <f t="shared" si="13"/>
        <v>494.78999999999996</v>
      </c>
      <c r="Q72" s="46">
        <f t="shared" si="13"/>
        <v>490.68999999999994</v>
      </c>
      <c r="R72" s="46">
        <f t="shared" si="13"/>
        <v>478.08</v>
      </c>
      <c r="S72" s="46">
        <f t="shared" si="13"/>
        <v>566.04</v>
      </c>
      <c r="T72" s="46">
        <f t="shared" si="13"/>
        <v>588.72</v>
      </c>
      <c r="U72" s="46">
        <f t="shared" si="13"/>
        <v>610.24</v>
      </c>
      <c r="V72" s="46">
        <f t="shared" si="13"/>
        <v>579.62</v>
      </c>
      <c r="W72" s="46">
        <f t="shared" si="13"/>
        <v>528.91999999999996</v>
      </c>
      <c r="X72" s="46">
        <f t="shared" si="13"/>
        <v>451.30999999999995</v>
      </c>
      <c r="Y72" s="46">
        <f t="shared" si="13"/>
        <v>379.65999999999997</v>
      </c>
      <c r="Z72" s="47">
        <f t="shared" ref="Z72:Z83" si="14">SUM(B72:Y72)</f>
        <v>10044.82</v>
      </c>
      <c r="AA72" s="48">
        <f t="shared" ref="AA72:AA83" si="15">AA8+AA24+AA40+AA56</f>
        <v>31</v>
      </c>
      <c r="AB72" s="65">
        <f t="shared" ref="AB72:AB83" si="16">+AB8+AB24+AB40+AB56</f>
        <v>10044.820000000002</v>
      </c>
      <c r="AD72" s="73"/>
    </row>
    <row r="73" spans="1:30" ht="15.75" x14ac:dyDescent="0.25">
      <c r="A73" s="66">
        <f t="shared" si="12"/>
        <v>46784</v>
      </c>
      <c r="B73" s="49">
        <f t="shared" ref="B73:Y73" si="17">+B9*$AA9+B25*$AA25+B41*$AA41+B57*$AA57</f>
        <v>268.96000000000004</v>
      </c>
      <c r="C73" s="49">
        <f t="shared" si="17"/>
        <v>245.01000000000002</v>
      </c>
      <c r="D73" s="49">
        <f t="shared" si="17"/>
        <v>228.09</v>
      </c>
      <c r="E73" s="49">
        <f t="shared" si="17"/>
        <v>222.26</v>
      </c>
      <c r="F73" s="49">
        <f t="shared" si="17"/>
        <v>235.09</v>
      </c>
      <c r="G73" s="49">
        <f t="shared" si="17"/>
        <v>287.15000000000003</v>
      </c>
      <c r="H73" s="49">
        <f t="shared" si="17"/>
        <v>344.24</v>
      </c>
      <c r="I73" s="49">
        <f t="shared" si="17"/>
        <v>312.33999999999997</v>
      </c>
      <c r="J73" s="49">
        <f t="shared" si="17"/>
        <v>362.08</v>
      </c>
      <c r="K73" s="49">
        <f t="shared" si="17"/>
        <v>408.12999999999994</v>
      </c>
      <c r="L73" s="49">
        <f t="shared" si="17"/>
        <v>451.5</v>
      </c>
      <c r="M73" s="49">
        <f t="shared" si="17"/>
        <v>488.74</v>
      </c>
      <c r="N73" s="49">
        <f t="shared" si="17"/>
        <v>478.63</v>
      </c>
      <c r="O73" s="49">
        <f t="shared" si="17"/>
        <v>473.65</v>
      </c>
      <c r="P73" s="49">
        <f t="shared" si="17"/>
        <v>482.11</v>
      </c>
      <c r="Q73" s="49">
        <f t="shared" si="17"/>
        <v>480.79999999999995</v>
      </c>
      <c r="R73" s="49">
        <f t="shared" si="17"/>
        <v>468.76000000000005</v>
      </c>
      <c r="S73" s="49">
        <f t="shared" si="17"/>
        <v>537.6400000000001</v>
      </c>
      <c r="T73" s="49">
        <f t="shared" si="17"/>
        <v>541.03</v>
      </c>
      <c r="U73" s="49">
        <f t="shared" si="17"/>
        <v>572.95000000000005</v>
      </c>
      <c r="V73" s="49">
        <f t="shared" si="17"/>
        <v>549.33000000000004</v>
      </c>
      <c r="W73" s="49">
        <f t="shared" si="17"/>
        <v>500.01000000000005</v>
      </c>
      <c r="X73" s="49">
        <f t="shared" si="17"/>
        <v>421.61</v>
      </c>
      <c r="Y73" s="49">
        <f t="shared" si="17"/>
        <v>351.63000000000005</v>
      </c>
      <c r="Z73" s="50">
        <f t="shared" si="14"/>
        <v>9711.74</v>
      </c>
      <c r="AA73" s="51">
        <f t="shared" si="15"/>
        <v>29</v>
      </c>
      <c r="AB73" s="67">
        <f t="shared" si="16"/>
        <v>9711.7400000000016</v>
      </c>
      <c r="AD73" s="73"/>
    </row>
    <row r="74" spans="1:30" ht="15.75" x14ac:dyDescent="0.25">
      <c r="A74" s="66">
        <f t="shared" si="12"/>
        <v>46813</v>
      </c>
      <c r="B74" s="49">
        <f t="shared" ref="B74:Y74" si="18">+B10*$AA10+B26*$AA26+B42*$AA42+B58*$AA58</f>
        <v>281.87</v>
      </c>
      <c r="C74" s="49">
        <f t="shared" si="18"/>
        <v>256.57000000000005</v>
      </c>
      <c r="D74" s="49">
        <f t="shared" si="18"/>
        <v>240.14000000000001</v>
      </c>
      <c r="E74" s="49">
        <f t="shared" si="18"/>
        <v>232.75000000000003</v>
      </c>
      <c r="F74" s="49">
        <f t="shared" si="18"/>
        <v>246.77</v>
      </c>
      <c r="G74" s="49">
        <f t="shared" si="18"/>
        <v>301.45000000000005</v>
      </c>
      <c r="H74" s="49">
        <f t="shared" si="18"/>
        <v>357.68</v>
      </c>
      <c r="I74" s="49">
        <f t="shared" si="18"/>
        <v>330.99</v>
      </c>
      <c r="J74" s="49">
        <f t="shared" si="18"/>
        <v>384.54</v>
      </c>
      <c r="K74" s="49">
        <f t="shared" si="18"/>
        <v>430.3</v>
      </c>
      <c r="L74" s="49">
        <f t="shared" si="18"/>
        <v>476.99000000000007</v>
      </c>
      <c r="M74" s="49">
        <f t="shared" si="18"/>
        <v>516.03</v>
      </c>
      <c r="N74" s="49">
        <f t="shared" si="18"/>
        <v>509.70000000000005</v>
      </c>
      <c r="O74" s="49">
        <f t="shared" si="18"/>
        <v>500.08000000000004</v>
      </c>
      <c r="P74" s="49">
        <f t="shared" si="18"/>
        <v>506.06</v>
      </c>
      <c r="Q74" s="49">
        <f t="shared" si="18"/>
        <v>501.42999999999995</v>
      </c>
      <c r="R74" s="49">
        <f t="shared" si="18"/>
        <v>491.33000000000004</v>
      </c>
      <c r="S74" s="49">
        <f t="shared" si="18"/>
        <v>575.55000000000007</v>
      </c>
      <c r="T74" s="49">
        <f t="shared" si="18"/>
        <v>584.25</v>
      </c>
      <c r="U74" s="49">
        <f t="shared" si="18"/>
        <v>614.6</v>
      </c>
      <c r="V74" s="49">
        <f t="shared" si="18"/>
        <v>582.04000000000008</v>
      </c>
      <c r="W74" s="49">
        <f t="shared" si="18"/>
        <v>528.6099999999999</v>
      </c>
      <c r="X74" s="49">
        <f t="shared" si="18"/>
        <v>445.82</v>
      </c>
      <c r="Y74" s="49">
        <f t="shared" si="18"/>
        <v>371.61</v>
      </c>
      <c r="Z74" s="50">
        <f t="shared" si="14"/>
        <v>10267.160000000003</v>
      </c>
      <c r="AA74" s="51">
        <f t="shared" si="15"/>
        <v>31</v>
      </c>
      <c r="AB74" s="67">
        <f t="shared" si="16"/>
        <v>10267.16</v>
      </c>
      <c r="AD74" s="73"/>
    </row>
    <row r="75" spans="1:30" ht="15.75" x14ac:dyDescent="0.25">
      <c r="A75" s="66">
        <f t="shared" si="12"/>
        <v>46844</v>
      </c>
      <c r="B75" s="49">
        <f t="shared" ref="B75:Y75" si="19">+B11*$AA11+B27*$AA27+B43*$AA43+B59*$AA59</f>
        <v>272.45000000000005</v>
      </c>
      <c r="C75" s="49">
        <f t="shared" si="19"/>
        <v>246.42000000000002</v>
      </c>
      <c r="D75" s="49">
        <f t="shared" si="19"/>
        <v>229.37</v>
      </c>
      <c r="E75" s="49">
        <f t="shared" si="19"/>
        <v>221.81</v>
      </c>
      <c r="F75" s="49">
        <f t="shared" si="19"/>
        <v>233.75</v>
      </c>
      <c r="G75" s="49">
        <f t="shared" si="19"/>
        <v>272.81</v>
      </c>
      <c r="H75" s="49">
        <f t="shared" si="19"/>
        <v>326.76</v>
      </c>
      <c r="I75" s="49">
        <f t="shared" si="19"/>
        <v>307.2</v>
      </c>
      <c r="J75" s="49">
        <f t="shared" si="19"/>
        <v>355.89</v>
      </c>
      <c r="K75" s="49">
        <f t="shared" si="19"/>
        <v>410.61</v>
      </c>
      <c r="L75" s="49">
        <f t="shared" si="19"/>
        <v>452.52</v>
      </c>
      <c r="M75" s="49">
        <f t="shared" si="19"/>
        <v>489.85</v>
      </c>
      <c r="N75" s="49">
        <f t="shared" si="19"/>
        <v>486.98</v>
      </c>
      <c r="O75" s="49">
        <f t="shared" si="19"/>
        <v>471.58</v>
      </c>
      <c r="P75" s="49">
        <f t="shared" si="19"/>
        <v>467.2</v>
      </c>
      <c r="Q75" s="49">
        <f t="shared" si="19"/>
        <v>462.98</v>
      </c>
      <c r="R75" s="49">
        <f t="shared" si="19"/>
        <v>453.30000000000007</v>
      </c>
      <c r="S75" s="49">
        <f t="shared" si="19"/>
        <v>544.98</v>
      </c>
      <c r="T75" s="49">
        <f t="shared" si="19"/>
        <v>564.58000000000004</v>
      </c>
      <c r="U75" s="49">
        <f t="shared" si="19"/>
        <v>584.1</v>
      </c>
      <c r="V75" s="49">
        <f t="shared" si="19"/>
        <v>552.63</v>
      </c>
      <c r="W75" s="49">
        <f t="shared" si="19"/>
        <v>501.48</v>
      </c>
      <c r="X75" s="49">
        <f t="shared" si="19"/>
        <v>425</v>
      </c>
      <c r="Y75" s="49">
        <f t="shared" si="19"/>
        <v>359.31</v>
      </c>
      <c r="Z75" s="50">
        <f t="shared" si="14"/>
        <v>9693.56</v>
      </c>
      <c r="AA75" s="51">
        <f t="shared" si="15"/>
        <v>30</v>
      </c>
      <c r="AB75" s="67">
        <f t="shared" si="16"/>
        <v>9693.56</v>
      </c>
      <c r="AD75" s="73"/>
    </row>
    <row r="76" spans="1:30" ht="15.75" x14ac:dyDescent="0.25">
      <c r="A76" s="66">
        <f t="shared" si="12"/>
        <v>46874</v>
      </c>
      <c r="B76" s="49">
        <f t="shared" ref="B76:Y76" si="20">+B12*$AA12+B28*$AA28+B44*$AA44+B60*$AA60</f>
        <v>276.56</v>
      </c>
      <c r="C76" s="49">
        <f t="shared" si="20"/>
        <v>251.48000000000002</v>
      </c>
      <c r="D76" s="49">
        <f t="shared" si="20"/>
        <v>234.61999999999998</v>
      </c>
      <c r="E76" s="49">
        <f t="shared" si="20"/>
        <v>226.78</v>
      </c>
      <c r="F76" s="49">
        <f t="shared" si="20"/>
        <v>240.68999999999997</v>
      </c>
      <c r="G76" s="49">
        <f t="shared" si="20"/>
        <v>280.42</v>
      </c>
      <c r="H76" s="49">
        <f t="shared" si="20"/>
        <v>345.21000000000004</v>
      </c>
      <c r="I76" s="49">
        <f t="shared" si="20"/>
        <v>323.94999999999993</v>
      </c>
      <c r="J76" s="49">
        <f t="shared" si="20"/>
        <v>380.42999999999995</v>
      </c>
      <c r="K76" s="49">
        <f t="shared" si="20"/>
        <v>431.75</v>
      </c>
      <c r="L76" s="49">
        <f t="shared" si="20"/>
        <v>478.32</v>
      </c>
      <c r="M76" s="49">
        <f t="shared" si="20"/>
        <v>519.21</v>
      </c>
      <c r="N76" s="49">
        <f t="shared" si="20"/>
        <v>511.26999999999992</v>
      </c>
      <c r="O76" s="49">
        <f t="shared" si="20"/>
        <v>496.59999999999997</v>
      </c>
      <c r="P76" s="49">
        <f t="shared" si="20"/>
        <v>495.68</v>
      </c>
      <c r="Q76" s="49">
        <f t="shared" si="20"/>
        <v>490.63000000000011</v>
      </c>
      <c r="R76" s="49">
        <f t="shared" si="20"/>
        <v>474.89</v>
      </c>
      <c r="S76" s="49">
        <f t="shared" si="20"/>
        <v>569.2700000000001</v>
      </c>
      <c r="T76" s="49">
        <f t="shared" si="20"/>
        <v>587.04000000000008</v>
      </c>
      <c r="U76" s="49">
        <f t="shared" si="20"/>
        <v>606.78</v>
      </c>
      <c r="V76" s="49">
        <f t="shared" si="20"/>
        <v>573.39</v>
      </c>
      <c r="W76" s="49">
        <f t="shared" si="20"/>
        <v>516.71999999999991</v>
      </c>
      <c r="X76" s="49">
        <f t="shared" si="20"/>
        <v>433.25</v>
      </c>
      <c r="Y76" s="49">
        <f t="shared" si="20"/>
        <v>363.69</v>
      </c>
      <c r="Z76" s="50">
        <f t="shared" si="14"/>
        <v>10108.630000000001</v>
      </c>
      <c r="AA76" s="51">
        <f t="shared" si="15"/>
        <v>31</v>
      </c>
      <c r="AB76" s="67">
        <f t="shared" si="16"/>
        <v>10108.630000000001</v>
      </c>
      <c r="AD76" s="73"/>
    </row>
    <row r="77" spans="1:30" ht="15.75" x14ac:dyDescent="0.25">
      <c r="A77" s="66">
        <f t="shared" si="12"/>
        <v>46905</v>
      </c>
      <c r="B77" s="49">
        <f t="shared" ref="B77:Y77" si="21">+B13*$AA13+B29*$AA29+B45*$AA45+B61*$AA61</f>
        <v>267.52000000000004</v>
      </c>
      <c r="C77" s="49">
        <f t="shared" si="21"/>
        <v>241.78000000000003</v>
      </c>
      <c r="D77" s="49">
        <f t="shared" si="21"/>
        <v>223.73999999999998</v>
      </c>
      <c r="E77" s="49">
        <f t="shared" si="21"/>
        <v>216.26</v>
      </c>
      <c r="F77" s="49">
        <f t="shared" si="21"/>
        <v>229.62</v>
      </c>
      <c r="G77" s="49">
        <f t="shared" si="21"/>
        <v>265.2</v>
      </c>
      <c r="H77" s="49">
        <f t="shared" si="21"/>
        <v>329.12000000000006</v>
      </c>
      <c r="I77" s="49">
        <f t="shared" si="21"/>
        <v>313.67999999999995</v>
      </c>
      <c r="J77" s="49">
        <f t="shared" si="21"/>
        <v>369.16</v>
      </c>
      <c r="K77" s="49">
        <f t="shared" si="21"/>
        <v>419.4</v>
      </c>
      <c r="L77" s="49">
        <f t="shared" si="21"/>
        <v>460.90000000000003</v>
      </c>
      <c r="M77" s="49">
        <f t="shared" si="21"/>
        <v>500.91999999999996</v>
      </c>
      <c r="N77" s="49">
        <f t="shared" si="21"/>
        <v>498.50000000000006</v>
      </c>
      <c r="O77" s="49">
        <f t="shared" si="21"/>
        <v>483.35999999999996</v>
      </c>
      <c r="P77" s="49">
        <f t="shared" si="21"/>
        <v>479.24</v>
      </c>
      <c r="Q77" s="49">
        <f t="shared" si="21"/>
        <v>472.29999999999995</v>
      </c>
      <c r="R77" s="49">
        <f t="shared" si="21"/>
        <v>461.4</v>
      </c>
      <c r="S77" s="49">
        <f t="shared" si="21"/>
        <v>551.14</v>
      </c>
      <c r="T77" s="49">
        <f t="shared" si="21"/>
        <v>566.66000000000008</v>
      </c>
      <c r="U77" s="49">
        <f t="shared" si="21"/>
        <v>597.59999999999991</v>
      </c>
      <c r="V77" s="49">
        <f t="shared" si="21"/>
        <v>564.12</v>
      </c>
      <c r="W77" s="49">
        <f t="shared" si="21"/>
        <v>506.68</v>
      </c>
      <c r="X77" s="49">
        <f t="shared" si="21"/>
        <v>422.71999999999997</v>
      </c>
      <c r="Y77" s="49">
        <f t="shared" si="21"/>
        <v>354.12</v>
      </c>
      <c r="Z77" s="50">
        <f t="shared" si="14"/>
        <v>9795.1400000000012</v>
      </c>
      <c r="AA77" s="51">
        <f t="shared" si="15"/>
        <v>30</v>
      </c>
      <c r="AB77" s="67">
        <f t="shared" si="16"/>
        <v>9795.14</v>
      </c>
      <c r="AD77" s="73"/>
    </row>
    <row r="78" spans="1:30" ht="15.75" x14ac:dyDescent="0.25">
      <c r="A78" s="66">
        <f t="shared" si="12"/>
        <v>46935</v>
      </c>
      <c r="B78" s="49">
        <f t="shared" ref="B78:Y78" si="22">+B14*$AA14+B30*$AA30+B46*$AA46+B62*$AA62</f>
        <v>278.89</v>
      </c>
      <c r="C78" s="49">
        <f t="shared" si="22"/>
        <v>254.24999999999997</v>
      </c>
      <c r="D78" s="49">
        <f t="shared" si="22"/>
        <v>234.53</v>
      </c>
      <c r="E78" s="49">
        <f t="shared" si="22"/>
        <v>226.52999999999997</v>
      </c>
      <c r="F78" s="49">
        <f t="shared" si="22"/>
        <v>239.02</v>
      </c>
      <c r="G78" s="49">
        <f t="shared" si="22"/>
        <v>276.41000000000003</v>
      </c>
      <c r="H78" s="49">
        <f t="shared" si="22"/>
        <v>335.11999999999995</v>
      </c>
      <c r="I78" s="49">
        <f t="shared" si="22"/>
        <v>316.00000000000006</v>
      </c>
      <c r="J78" s="49">
        <f t="shared" si="22"/>
        <v>376.04</v>
      </c>
      <c r="K78" s="49">
        <f t="shared" si="22"/>
        <v>430.17000000000007</v>
      </c>
      <c r="L78" s="49">
        <f t="shared" si="22"/>
        <v>473.5</v>
      </c>
      <c r="M78" s="49">
        <f t="shared" si="22"/>
        <v>517.1099999999999</v>
      </c>
      <c r="N78" s="49">
        <f t="shared" si="22"/>
        <v>512.19000000000005</v>
      </c>
      <c r="O78" s="49">
        <f t="shared" si="22"/>
        <v>495.92999999999995</v>
      </c>
      <c r="P78" s="49">
        <f t="shared" si="22"/>
        <v>493.17999999999995</v>
      </c>
      <c r="Q78" s="49">
        <f t="shared" si="22"/>
        <v>488.88</v>
      </c>
      <c r="R78" s="49">
        <f t="shared" si="22"/>
        <v>479.99</v>
      </c>
      <c r="S78" s="49">
        <f t="shared" si="22"/>
        <v>569.01</v>
      </c>
      <c r="T78" s="49">
        <f t="shared" si="22"/>
        <v>573.83000000000004</v>
      </c>
      <c r="U78" s="49">
        <f t="shared" si="22"/>
        <v>615.22</v>
      </c>
      <c r="V78" s="49">
        <f t="shared" si="22"/>
        <v>581.97</v>
      </c>
      <c r="W78" s="49">
        <f t="shared" si="22"/>
        <v>524.54999999999995</v>
      </c>
      <c r="X78" s="49">
        <f t="shared" si="22"/>
        <v>438.20000000000005</v>
      </c>
      <c r="Y78" s="49">
        <f t="shared" si="22"/>
        <v>372.46000000000004</v>
      </c>
      <c r="Z78" s="50">
        <f t="shared" si="14"/>
        <v>10102.98</v>
      </c>
      <c r="AA78" s="51">
        <f t="shared" si="15"/>
        <v>31</v>
      </c>
      <c r="AB78" s="67">
        <f t="shared" si="16"/>
        <v>10102.98</v>
      </c>
      <c r="AD78" s="73"/>
    </row>
    <row r="79" spans="1:30" ht="15.75" x14ac:dyDescent="0.25">
      <c r="A79" s="66">
        <f t="shared" si="12"/>
        <v>46966</v>
      </c>
      <c r="B79" s="49">
        <f t="shared" ref="B79:Y79" si="23">+B15*$AA15+B31*$AA31+B47*$AA47+B63*$AA63</f>
        <v>282.05</v>
      </c>
      <c r="C79" s="49">
        <f t="shared" si="23"/>
        <v>256.25</v>
      </c>
      <c r="D79" s="49">
        <f t="shared" si="23"/>
        <v>238.48999999999998</v>
      </c>
      <c r="E79" s="49">
        <f t="shared" si="23"/>
        <v>231.04999999999998</v>
      </c>
      <c r="F79" s="49">
        <f t="shared" si="23"/>
        <v>244.82</v>
      </c>
      <c r="G79" s="49">
        <f t="shared" si="23"/>
        <v>291.2</v>
      </c>
      <c r="H79" s="49">
        <f t="shared" si="23"/>
        <v>349.83000000000004</v>
      </c>
      <c r="I79" s="49">
        <f t="shared" si="23"/>
        <v>328.11</v>
      </c>
      <c r="J79" s="49">
        <f t="shared" si="23"/>
        <v>385.4</v>
      </c>
      <c r="K79" s="49">
        <f t="shared" si="23"/>
        <v>435.64</v>
      </c>
      <c r="L79" s="49">
        <f t="shared" si="23"/>
        <v>485.73</v>
      </c>
      <c r="M79" s="49">
        <f t="shared" si="23"/>
        <v>528.22</v>
      </c>
      <c r="N79" s="49">
        <f t="shared" si="23"/>
        <v>521.95000000000005</v>
      </c>
      <c r="O79" s="49">
        <f t="shared" si="23"/>
        <v>509.30999999999995</v>
      </c>
      <c r="P79" s="49">
        <f t="shared" si="23"/>
        <v>508.45</v>
      </c>
      <c r="Q79" s="49">
        <f t="shared" si="23"/>
        <v>501.14</v>
      </c>
      <c r="R79" s="49">
        <f t="shared" si="23"/>
        <v>490.16</v>
      </c>
      <c r="S79" s="49">
        <f t="shared" si="23"/>
        <v>575.70000000000005</v>
      </c>
      <c r="T79" s="49">
        <f t="shared" si="23"/>
        <v>586.54000000000008</v>
      </c>
      <c r="U79" s="49">
        <f t="shared" si="23"/>
        <v>618.55999999999995</v>
      </c>
      <c r="V79" s="49">
        <f t="shared" si="23"/>
        <v>583.04</v>
      </c>
      <c r="W79" s="49">
        <f t="shared" si="23"/>
        <v>524.65</v>
      </c>
      <c r="X79" s="49">
        <f t="shared" si="23"/>
        <v>435.33</v>
      </c>
      <c r="Y79" s="49">
        <f t="shared" si="23"/>
        <v>369.48999999999995</v>
      </c>
      <c r="Z79" s="50">
        <f t="shared" si="14"/>
        <v>10281.109999999999</v>
      </c>
      <c r="AA79" s="51">
        <f t="shared" si="15"/>
        <v>31</v>
      </c>
      <c r="AB79" s="67">
        <f t="shared" si="16"/>
        <v>10281.110000000002</v>
      </c>
      <c r="AD79" s="73"/>
    </row>
    <row r="80" spans="1:30" ht="15.75" x14ac:dyDescent="0.25">
      <c r="A80" s="66">
        <f t="shared" si="12"/>
        <v>46997</v>
      </c>
      <c r="B80" s="49">
        <f t="shared" ref="B80:Y80" si="24">+B16*$AA16+B32*$AA32+B48*$AA48+B64*$AA64</f>
        <v>271.20999999999998</v>
      </c>
      <c r="C80" s="49">
        <f t="shared" si="24"/>
        <v>246.36</v>
      </c>
      <c r="D80" s="49">
        <f t="shared" si="24"/>
        <v>229.48000000000002</v>
      </c>
      <c r="E80" s="49">
        <f t="shared" si="24"/>
        <v>222.55999999999997</v>
      </c>
      <c r="F80" s="49">
        <f t="shared" si="24"/>
        <v>237.59</v>
      </c>
      <c r="G80" s="49">
        <f t="shared" si="24"/>
        <v>282.27</v>
      </c>
      <c r="H80" s="49">
        <f t="shared" si="24"/>
        <v>344.23</v>
      </c>
      <c r="I80" s="49">
        <f t="shared" si="24"/>
        <v>323.7</v>
      </c>
      <c r="J80" s="49">
        <f t="shared" si="24"/>
        <v>368.33000000000004</v>
      </c>
      <c r="K80" s="49">
        <f t="shared" si="24"/>
        <v>420.91</v>
      </c>
      <c r="L80" s="49">
        <f t="shared" si="24"/>
        <v>474.1</v>
      </c>
      <c r="M80" s="49">
        <f t="shared" si="24"/>
        <v>514.67999999999995</v>
      </c>
      <c r="N80" s="49">
        <f t="shared" si="24"/>
        <v>503.73</v>
      </c>
      <c r="O80" s="49">
        <f t="shared" si="24"/>
        <v>492.57000000000005</v>
      </c>
      <c r="P80" s="49">
        <f t="shared" si="24"/>
        <v>494.1</v>
      </c>
      <c r="Q80" s="49">
        <f t="shared" si="24"/>
        <v>489.59000000000003</v>
      </c>
      <c r="R80" s="49">
        <f t="shared" si="24"/>
        <v>477.3</v>
      </c>
      <c r="S80" s="49">
        <f t="shared" si="24"/>
        <v>568.5200000000001</v>
      </c>
      <c r="T80" s="49">
        <f t="shared" si="24"/>
        <v>596.13</v>
      </c>
      <c r="U80" s="49">
        <f t="shared" si="24"/>
        <v>598.31000000000006</v>
      </c>
      <c r="V80" s="49">
        <f t="shared" si="24"/>
        <v>561.36</v>
      </c>
      <c r="W80" s="49">
        <f t="shared" si="24"/>
        <v>505.1</v>
      </c>
      <c r="X80" s="49">
        <f t="shared" si="24"/>
        <v>419.71000000000004</v>
      </c>
      <c r="Y80" s="49">
        <f t="shared" si="24"/>
        <v>354.8</v>
      </c>
      <c r="Z80" s="50">
        <f t="shared" si="14"/>
        <v>9996.64</v>
      </c>
      <c r="AA80" s="51">
        <f t="shared" si="15"/>
        <v>30</v>
      </c>
      <c r="AB80" s="67">
        <f t="shared" si="16"/>
        <v>9996.6399999999976</v>
      </c>
      <c r="AD80" s="73"/>
    </row>
    <row r="81" spans="1:30" ht="15.75" x14ac:dyDescent="0.25">
      <c r="A81" s="66">
        <f t="shared" si="12"/>
        <v>47027</v>
      </c>
      <c r="B81" s="49">
        <f t="shared" ref="B81:Y81" si="25">+B17*$AA17+B33*$AA33+B49*$AA49+B65*$AA65</f>
        <v>275.06</v>
      </c>
      <c r="C81" s="49">
        <f t="shared" si="25"/>
        <v>248.54</v>
      </c>
      <c r="D81" s="49">
        <f t="shared" si="25"/>
        <v>232.25</v>
      </c>
      <c r="E81" s="49">
        <f t="shared" si="25"/>
        <v>225.90000000000003</v>
      </c>
      <c r="F81" s="49">
        <f t="shared" si="25"/>
        <v>236.71</v>
      </c>
      <c r="G81" s="49">
        <f t="shared" si="25"/>
        <v>261.19</v>
      </c>
      <c r="H81" s="49">
        <f t="shared" si="25"/>
        <v>328.18</v>
      </c>
      <c r="I81" s="49">
        <f t="shared" si="25"/>
        <v>316.56</v>
      </c>
      <c r="J81" s="49">
        <f t="shared" si="25"/>
        <v>379.72999999999996</v>
      </c>
      <c r="K81" s="49">
        <f t="shared" si="25"/>
        <v>435.18000000000006</v>
      </c>
      <c r="L81" s="49">
        <f t="shared" si="25"/>
        <v>485.27000000000004</v>
      </c>
      <c r="M81" s="49">
        <f t="shared" si="25"/>
        <v>525.9899999999999</v>
      </c>
      <c r="N81" s="49">
        <f t="shared" si="25"/>
        <v>520.78000000000009</v>
      </c>
      <c r="O81" s="49">
        <f t="shared" si="25"/>
        <v>507.78000000000003</v>
      </c>
      <c r="P81" s="49">
        <f t="shared" si="25"/>
        <v>507.68000000000006</v>
      </c>
      <c r="Q81" s="49">
        <f t="shared" si="25"/>
        <v>497.40999999999997</v>
      </c>
      <c r="R81" s="49">
        <f t="shared" si="25"/>
        <v>486.27</v>
      </c>
      <c r="S81" s="49">
        <f t="shared" si="25"/>
        <v>589.33000000000004</v>
      </c>
      <c r="T81" s="49">
        <f t="shared" si="25"/>
        <v>619.37</v>
      </c>
      <c r="U81" s="49">
        <f t="shared" si="25"/>
        <v>603.07999999999993</v>
      </c>
      <c r="V81" s="49">
        <f t="shared" si="25"/>
        <v>566.75</v>
      </c>
      <c r="W81" s="49">
        <f t="shared" si="25"/>
        <v>511.07999999999993</v>
      </c>
      <c r="X81" s="49">
        <f t="shared" si="25"/>
        <v>431.90000000000003</v>
      </c>
      <c r="Y81" s="49">
        <f t="shared" si="25"/>
        <v>366.1099999999999</v>
      </c>
      <c r="Z81" s="50">
        <f t="shared" si="14"/>
        <v>10158.099999999999</v>
      </c>
      <c r="AA81" s="51">
        <f t="shared" si="15"/>
        <v>31</v>
      </c>
      <c r="AB81" s="67">
        <f t="shared" si="16"/>
        <v>10158.1</v>
      </c>
      <c r="AD81" s="73"/>
    </row>
    <row r="82" spans="1:30" ht="15.75" x14ac:dyDescent="0.25">
      <c r="A82" s="66">
        <f t="shared" si="12"/>
        <v>47058</v>
      </c>
      <c r="B82" s="49">
        <f t="shared" ref="B82:Y82" si="26">+B18*$AA18+B34*$AA34+B50*$AA50+B66*$AA66</f>
        <v>271.98</v>
      </c>
      <c r="C82" s="49">
        <f t="shared" si="26"/>
        <v>246.58</v>
      </c>
      <c r="D82" s="49">
        <f t="shared" si="26"/>
        <v>228.94000000000003</v>
      </c>
      <c r="E82" s="49">
        <f t="shared" si="26"/>
        <v>221.73999999999998</v>
      </c>
      <c r="F82" s="49">
        <f t="shared" si="26"/>
        <v>232.71999999999997</v>
      </c>
      <c r="G82" s="49">
        <f t="shared" si="26"/>
        <v>261.17999999999995</v>
      </c>
      <c r="H82" s="49">
        <f t="shared" si="26"/>
        <v>322.71999999999997</v>
      </c>
      <c r="I82" s="49">
        <f t="shared" si="26"/>
        <v>312.38</v>
      </c>
      <c r="J82" s="49">
        <f t="shared" si="26"/>
        <v>369.72</v>
      </c>
      <c r="K82" s="49">
        <f t="shared" si="26"/>
        <v>418.52000000000004</v>
      </c>
      <c r="L82" s="49">
        <f t="shared" si="26"/>
        <v>463.46000000000009</v>
      </c>
      <c r="M82" s="49">
        <f t="shared" si="26"/>
        <v>503.8</v>
      </c>
      <c r="N82" s="49">
        <f t="shared" si="26"/>
        <v>501.9</v>
      </c>
      <c r="O82" s="49">
        <f t="shared" si="26"/>
        <v>489.41999999999996</v>
      </c>
      <c r="P82" s="49">
        <f t="shared" si="26"/>
        <v>493.28000000000009</v>
      </c>
      <c r="Q82" s="49">
        <f t="shared" si="26"/>
        <v>487.18</v>
      </c>
      <c r="R82" s="49">
        <f t="shared" si="26"/>
        <v>476.94</v>
      </c>
      <c r="S82" s="49">
        <f t="shared" si="26"/>
        <v>579.9</v>
      </c>
      <c r="T82" s="49">
        <f t="shared" si="26"/>
        <v>606.44000000000005</v>
      </c>
      <c r="U82" s="49">
        <f t="shared" si="26"/>
        <v>593.54000000000008</v>
      </c>
      <c r="V82" s="49">
        <f t="shared" si="26"/>
        <v>559.12</v>
      </c>
      <c r="W82" s="49">
        <f t="shared" si="26"/>
        <v>504.93999999999994</v>
      </c>
      <c r="X82" s="49">
        <f t="shared" si="26"/>
        <v>424.7</v>
      </c>
      <c r="Y82" s="49">
        <f t="shared" si="26"/>
        <v>359.28</v>
      </c>
      <c r="Z82" s="50">
        <f t="shared" si="14"/>
        <v>9930.380000000001</v>
      </c>
      <c r="AA82" s="51">
        <f t="shared" si="15"/>
        <v>30</v>
      </c>
      <c r="AB82" s="67">
        <f t="shared" si="16"/>
        <v>9930.380000000001</v>
      </c>
      <c r="AD82" s="73"/>
    </row>
    <row r="83" spans="1:30" ht="16.5" thickBot="1" x14ac:dyDescent="0.3">
      <c r="A83" s="68">
        <f t="shared" si="12"/>
        <v>47088</v>
      </c>
      <c r="B83" s="52">
        <f t="shared" ref="B83:Y83" si="27">+B19*$AA19+B35*$AA35+B51*$AA51+B67*$AA67</f>
        <v>305.30000000000007</v>
      </c>
      <c r="C83" s="52">
        <f t="shared" si="27"/>
        <v>273.86</v>
      </c>
      <c r="D83" s="52">
        <f t="shared" si="27"/>
        <v>252.48000000000002</v>
      </c>
      <c r="E83" s="52">
        <f t="shared" si="27"/>
        <v>241.78</v>
      </c>
      <c r="F83" s="52">
        <f t="shared" si="27"/>
        <v>248.59999999999994</v>
      </c>
      <c r="G83" s="52">
        <f t="shared" si="27"/>
        <v>272.93</v>
      </c>
      <c r="H83" s="52">
        <f t="shared" si="27"/>
        <v>328.01000000000005</v>
      </c>
      <c r="I83" s="52">
        <f t="shared" si="27"/>
        <v>314.61</v>
      </c>
      <c r="J83" s="52">
        <f t="shared" si="27"/>
        <v>376.99999999999994</v>
      </c>
      <c r="K83" s="52">
        <f t="shared" si="27"/>
        <v>428.46999999999997</v>
      </c>
      <c r="L83" s="52">
        <f t="shared" si="27"/>
        <v>474.94</v>
      </c>
      <c r="M83" s="52">
        <f t="shared" si="27"/>
        <v>514.67999999999995</v>
      </c>
      <c r="N83" s="52">
        <f t="shared" si="27"/>
        <v>518.62</v>
      </c>
      <c r="O83" s="52">
        <f t="shared" si="27"/>
        <v>508.67</v>
      </c>
      <c r="P83" s="52">
        <f t="shared" si="27"/>
        <v>505.04</v>
      </c>
      <c r="Q83" s="52">
        <f t="shared" si="27"/>
        <v>497</v>
      </c>
      <c r="R83" s="52">
        <f t="shared" si="27"/>
        <v>483.47</v>
      </c>
      <c r="S83" s="52">
        <f t="shared" si="27"/>
        <v>578.31999999999994</v>
      </c>
      <c r="T83" s="52">
        <f t="shared" si="27"/>
        <v>615.17000000000007</v>
      </c>
      <c r="U83" s="52">
        <f t="shared" si="27"/>
        <v>614.29</v>
      </c>
      <c r="V83" s="52">
        <f t="shared" si="27"/>
        <v>580.63</v>
      </c>
      <c r="W83" s="52">
        <f t="shared" si="27"/>
        <v>533.04000000000008</v>
      </c>
      <c r="X83" s="52">
        <f t="shared" si="27"/>
        <v>461.47000000000008</v>
      </c>
      <c r="Y83" s="52">
        <f t="shared" si="27"/>
        <v>398.78999999999996</v>
      </c>
      <c r="Z83" s="53">
        <f t="shared" si="14"/>
        <v>10327.169999999998</v>
      </c>
      <c r="AA83" s="54">
        <f t="shared" si="15"/>
        <v>31</v>
      </c>
      <c r="AB83" s="69">
        <f t="shared" si="16"/>
        <v>10327.169999999998</v>
      </c>
      <c r="AD83" s="73"/>
    </row>
  </sheetData>
  <conditionalFormatting sqref="B1:Y1048576 AA8:AA19 AA24:AA35 AA40:AA51 AA56:AA67 AA72:AA83">
    <cfRule type="cellIs" dxfId="0" priority="1" operator="lessThan">
      <formula>0</formula>
    </cfRule>
  </conditionalFormatting>
  <pageMargins left="0.75" right="0.75" top="1" bottom="1" header="0" footer="0"/>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Oferta Producto No. 1</vt:lpstr>
      <vt:lpstr>Cantidades Producto No. 1</vt:lpstr>
      <vt:lpstr>Oferta Producto No. 2</vt:lpstr>
      <vt:lpstr>Cantidades Producto No. 2</vt:lpstr>
      <vt:lpstr>Oferta Producto No. 3</vt:lpstr>
      <vt:lpstr>Cantidades Producto No. 3</vt:lpstr>
      <vt:lpstr>'Oferta Producto No. 1'!Área_de_impresión</vt:lpstr>
      <vt:lpstr>'Oferta Producto No. 2'!Área_de_impresión</vt:lpstr>
      <vt:lpstr>'Oferta Producto No. 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 Caicedo Aristizabal</dc:creator>
  <cp:lastModifiedBy>John Alexander Perilla Rincon</cp:lastModifiedBy>
  <dcterms:created xsi:type="dcterms:W3CDTF">2023-08-25T18:59:43Z</dcterms:created>
  <dcterms:modified xsi:type="dcterms:W3CDTF">2025-05-21T16:58:25Z</dcterms:modified>
</cp:coreProperties>
</file>