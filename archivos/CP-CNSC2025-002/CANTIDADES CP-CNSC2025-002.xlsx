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MPRAS ENERGIA AÑO 2025\PROCESOS DE COMPRADE ENERGIA\PROCESO COMPRA ENERGÍA SICEP\AÑO 2025\CP CNSC2025-002\3. ADENDA Y PLIEGO DEFINITIVO\Adenda y pliego\CARGAR AL SICEP\"/>
    </mc:Choice>
  </mc:AlternateContent>
  <xr:revisionPtr revIDLastSave="0" documentId="13_ncr:1_{C00A62B8-5CEA-406B-9D1F-9B1FAAF4A7EE}" xr6:coauthVersionLast="47" xr6:coauthVersionMax="47" xr10:uidLastSave="{00000000-0000-0000-0000-000000000000}"/>
  <bookViews>
    <workbookView xWindow="-110" yWindow="-110" windowWidth="19420" windowHeight="10420" tabRatio="598" activeTab="5" xr2:uid="{D0603849-4D70-4D94-86F2-F3E2C6C23002}"/>
  </bookViews>
  <sheets>
    <sheet name="OF P1 " sheetId="14" r:id="rId1"/>
    <sheet name="CURVA P1" sheetId="15" r:id="rId2"/>
    <sheet name="OF P2" sheetId="16" r:id="rId3"/>
    <sheet name="CURVA P2" sheetId="17" r:id="rId4"/>
    <sheet name="OF P3" sheetId="19" r:id="rId5"/>
    <sheet name="CURVA P3" sheetId="20" r:id="rId6"/>
    <sheet name="OF P4" sheetId="21" r:id="rId7"/>
    <sheet name="CURVA P4" sheetId="22" r:id="rId8"/>
    <sheet name="OF P5" sheetId="23" r:id="rId9"/>
    <sheet name="CURVA P5" sheetId="24" r:id="rId10"/>
    <sheet name="OF P6" sheetId="25" r:id="rId11"/>
    <sheet name="CURVA P6" sheetId="26" r:id="rId12"/>
    <sheet name="OF P7" sheetId="31" r:id="rId13"/>
    <sheet name="CURVA P7" sheetId="32" r:id="rId14"/>
    <sheet name="Producto 8" sheetId="28" r:id="rId15"/>
    <sheet name="CURVA P8" sheetId="29" r:id="rId16"/>
    <sheet name="tabla distribucion prod 8" sheetId="30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31" l="1"/>
  <c r="F30" i="31"/>
  <c r="EX54" i="32"/>
  <c r="DR54" i="32"/>
  <c r="CL54" i="32"/>
  <c r="BG54" i="32"/>
  <c r="AB54" i="32"/>
  <c r="EW53" i="32"/>
  <c r="EY53" i="32" s="1"/>
  <c r="DQ53" i="32"/>
  <c r="DS53" i="32" s="1"/>
  <c r="CK53" i="32"/>
  <c r="CM53" i="32" s="1"/>
  <c r="BF53" i="32"/>
  <c r="BH53" i="32" s="1"/>
  <c r="AA53" i="32"/>
  <c r="AC53" i="32" s="1"/>
  <c r="EW52" i="32"/>
  <c r="EY52" i="32" s="1"/>
  <c r="DQ52" i="32"/>
  <c r="DS52" i="32" s="1"/>
  <c r="CK52" i="32"/>
  <c r="CM52" i="32" s="1"/>
  <c r="BF52" i="32"/>
  <c r="BH52" i="32" s="1"/>
  <c r="AA52" i="32"/>
  <c r="AC52" i="32" s="1"/>
  <c r="EW51" i="32"/>
  <c r="EY51" i="32" s="1"/>
  <c r="DQ51" i="32"/>
  <c r="DS51" i="32" s="1"/>
  <c r="CK51" i="32"/>
  <c r="CM51" i="32" s="1"/>
  <c r="BF51" i="32"/>
  <c r="BH51" i="32" s="1"/>
  <c r="AA51" i="32"/>
  <c r="AC51" i="32" s="1"/>
  <c r="EW50" i="32"/>
  <c r="EY50" i="32" s="1"/>
  <c r="DQ50" i="32"/>
  <c r="DS50" i="32" s="1"/>
  <c r="CK50" i="32"/>
  <c r="CM50" i="32" s="1"/>
  <c r="BF50" i="32"/>
  <c r="BH50" i="32" s="1"/>
  <c r="AA50" i="32"/>
  <c r="AC50" i="32" s="1"/>
  <c r="EW49" i="32"/>
  <c r="EY49" i="32" s="1"/>
  <c r="DQ49" i="32"/>
  <c r="DS49" i="32" s="1"/>
  <c r="CK49" i="32"/>
  <c r="CM49" i="32" s="1"/>
  <c r="BF49" i="32"/>
  <c r="BH49" i="32" s="1"/>
  <c r="AA49" i="32"/>
  <c r="AC49" i="32" s="1"/>
  <c r="EW48" i="32"/>
  <c r="EY48" i="32" s="1"/>
  <c r="DQ48" i="32"/>
  <c r="DS48" i="32" s="1"/>
  <c r="CK48" i="32"/>
  <c r="CM48" i="32" s="1"/>
  <c r="BF48" i="32"/>
  <c r="BH48" i="32" s="1"/>
  <c r="AA48" i="32"/>
  <c r="AC48" i="32" s="1"/>
  <c r="EW47" i="32"/>
  <c r="EY47" i="32" s="1"/>
  <c r="DQ47" i="32"/>
  <c r="DS47" i="32" s="1"/>
  <c r="CK47" i="32"/>
  <c r="CM47" i="32" s="1"/>
  <c r="BF47" i="32"/>
  <c r="BH47" i="32" s="1"/>
  <c r="AA47" i="32"/>
  <c r="AC47" i="32" s="1"/>
  <c r="EW46" i="32"/>
  <c r="EY46" i="32" s="1"/>
  <c r="DQ46" i="32"/>
  <c r="DS46" i="32" s="1"/>
  <c r="CK46" i="32"/>
  <c r="CM46" i="32" s="1"/>
  <c r="BF46" i="32"/>
  <c r="BH46" i="32" s="1"/>
  <c r="AA46" i="32"/>
  <c r="AC46" i="32" s="1"/>
  <c r="EW45" i="32"/>
  <c r="EY45" i="32" s="1"/>
  <c r="DQ45" i="32"/>
  <c r="DS45" i="32" s="1"/>
  <c r="CK45" i="32"/>
  <c r="CM45" i="32" s="1"/>
  <c r="BF45" i="32"/>
  <c r="BH45" i="32" s="1"/>
  <c r="AA45" i="32"/>
  <c r="AC45" i="32" s="1"/>
  <c r="EW44" i="32"/>
  <c r="EY44" i="32" s="1"/>
  <c r="DQ44" i="32"/>
  <c r="DS44" i="32" s="1"/>
  <c r="CK44" i="32"/>
  <c r="CM44" i="32" s="1"/>
  <c r="BF44" i="32"/>
  <c r="BH44" i="32" s="1"/>
  <c r="AA44" i="32"/>
  <c r="AC44" i="32" s="1"/>
  <c r="EW43" i="32"/>
  <c r="EY43" i="32" s="1"/>
  <c r="DQ43" i="32"/>
  <c r="DS43" i="32" s="1"/>
  <c r="CK43" i="32"/>
  <c r="CM43" i="32" s="1"/>
  <c r="BF43" i="32"/>
  <c r="BH43" i="32" s="1"/>
  <c r="AA43" i="32"/>
  <c r="AC43" i="32" s="1"/>
  <c r="EW42" i="32"/>
  <c r="EY42" i="32" s="1"/>
  <c r="DQ42" i="32"/>
  <c r="DS42" i="32" s="1"/>
  <c r="CK42" i="32"/>
  <c r="CM42" i="32" s="1"/>
  <c r="BF42" i="32"/>
  <c r="BH42" i="32" s="1"/>
  <c r="AA42" i="32"/>
  <c r="AC42" i="32" s="1"/>
  <c r="EW41" i="32"/>
  <c r="EY41" i="32" s="1"/>
  <c r="DQ41" i="32"/>
  <c r="DS41" i="32" s="1"/>
  <c r="CK41" i="32"/>
  <c r="CM41" i="32" s="1"/>
  <c r="BF41" i="32"/>
  <c r="BH41" i="32" s="1"/>
  <c r="AA41" i="32"/>
  <c r="AC41" i="32" s="1"/>
  <c r="EW40" i="32"/>
  <c r="EY40" i="32" s="1"/>
  <c r="DQ40" i="32"/>
  <c r="DS40" i="32" s="1"/>
  <c r="CK40" i="32"/>
  <c r="CM40" i="32" s="1"/>
  <c r="BF40" i="32"/>
  <c r="BH40" i="32" s="1"/>
  <c r="AA40" i="32"/>
  <c r="AC40" i="32" s="1"/>
  <c r="EW39" i="32"/>
  <c r="EY39" i="32" s="1"/>
  <c r="DQ39" i="32"/>
  <c r="DS39" i="32" s="1"/>
  <c r="CK39" i="32"/>
  <c r="CM39" i="32" s="1"/>
  <c r="BF39" i="32"/>
  <c r="BH39" i="32" s="1"/>
  <c r="AA39" i="32"/>
  <c r="AC39" i="32" s="1"/>
  <c r="EW38" i="32"/>
  <c r="EY38" i="32" s="1"/>
  <c r="DQ38" i="32"/>
  <c r="DS38" i="32" s="1"/>
  <c r="CK38" i="32"/>
  <c r="CM38" i="32" s="1"/>
  <c r="BF38" i="32"/>
  <c r="BH38" i="32" s="1"/>
  <c r="AA38" i="32"/>
  <c r="AC38" i="32" s="1"/>
  <c r="EW37" i="32"/>
  <c r="EY37" i="32" s="1"/>
  <c r="DQ37" i="32"/>
  <c r="DS37" i="32" s="1"/>
  <c r="CK37" i="32"/>
  <c r="CM37" i="32" s="1"/>
  <c r="BF37" i="32"/>
  <c r="BH37" i="32" s="1"/>
  <c r="AA37" i="32"/>
  <c r="AC37" i="32" s="1"/>
  <c r="EW36" i="32"/>
  <c r="EY36" i="32" s="1"/>
  <c r="DQ36" i="32"/>
  <c r="DS36" i="32" s="1"/>
  <c r="CK36" i="32"/>
  <c r="CM36" i="32" s="1"/>
  <c r="BF36" i="32"/>
  <c r="BH36" i="32" s="1"/>
  <c r="AA36" i="32"/>
  <c r="AC36" i="32" s="1"/>
  <c r="EW35" i="32"/>
  <c r="EY35" i="32" s="1"/>
  <c r="DQ35" i="32"/>
  <c r="DS35" i="32" s="1"/>
  <c r="CK35" i="32"/>
  <c r="CM35" i="32" s="1"/>
  <c r="BF35" i="32"/>
  <c r="BH35" i="32" s="1"/>
  <c r="AA35" i="32"/>
  <c r="AC35" i="32" s="1"/>
  <c r="EW34" i="32"/>
  <c r="EY34" i="32" s="1"/>
  <c r="DQ34" i="32"/>
  <c r="DS34" i="32" s="1"/>
  <c r="CK34" i="32"/>
  <c r="CM34" i="32" s="1"/>
  <c r="BF34" i="32"/>
  <c r="BH34" i="32" s="1"/>
  <c r="AA34" i="32"/>
  <c r="AC34" i="32" s="1"/>
  <c r="EW33" i="32"/>
  <c r="EY33" i="32" s="1"/>
  <c r="DQ33" i="32"/>
  <c r="DS33" i="32" s="1"/>
  <c r="CK33" i="32"/>
  <c r="CM33" i="32" s="1"/>
  <c r="BF33" i="32"/>
  <c r="BH33" i="32" s="1"/>
  <c r="AA33" i="32"/>
  <c r="AC33" i="32" s="1"/>
  <c r="EW32" i="32"/>
  <c r="EY32" i="32" s="1"/>
  <c r="DQ32" i="32"/>
  <c r="DS32" i="32" s="1"/>
  <c r="CK32" i="32"/>
  <c r="CM32" i="32" s="1"/>
  <c r="BF32" i="32"/>
  <c r="BH32" i="32" s="1"/>
  <c r="AA32" i="32"/>
  <c r="AC32" i="32" s="1"/>
  <c r="EW31" i="32"/>
  <c r="EY31" i="32" s="1"/>
  <c r="DQ31" i="32"/>
  <c r="DS31" i="32" s="1"/>
  <c r="CK31" i="32"/>
  <c r="CM31" i="32" s="1"/>
  <c r="BF31" i="32"/>
  <c r="BH31" i="32" s="1"/>
  <c r="AA31" i="32"/>
  <c r="AC31" i="32" s="1"/>
  <c r="EW30" i="32"/>
  <c r="EY30" i="32" s="1"/>
  <c r="DQ30" i="32"/>
  <c r="DS30" i="32" s="1"/>
  <c r="CK30" i="32"/>
  <c r="CM30" i="32" s="1"/>
  <c r="BF30" i="32"/>
  <c r="BH30" i="32" s="1"/>
  <c r="AA30" i="32"/>
  <c r="AC30" i="32" s="1"/>
  <c r="EW29" i="32"/>
  <c r="EY29" i="32" s="1"/>
  <c r="DQ29" i="32"/>
  <c r="DS29" i="32" s="1"/>
  <c r="CK29" i="32"/>
  <c r="CM29" i="32" s="1"/>
  <c r="BF29" i="32"/>
  <c r="BH29" i="32" s="1"/>
  <c r="AA29" i="32"/>
  <c r="AC29" i="32" s="1"/>
  <c r="EW28" i="32"/>
  <c r="EY28" i="32" s="1"/>
  <c r="DQ28" i="32"/>
  <c r="DS28" i="32" s="1"/>
  <c r="CK28" i="32"/>
  <c r="CM28" i="32" s="1"/>
  <c r="BF28" i="32"/>
  <c r="BH28" i="32" s="1"/>
  <c r="AA28" i="32"/>
  <c r="AC28" i="32" s="1"/>
  <c r="EW27" i="32"/>
  <c r="EY27" i="32" s="1"/>
  <c r="DQ27" i="32"/>
  <c r="DS27" i="32" s="1"/>
  <c r="CK27" i="32"/>
  <c r="CM27" i="32" s="1"/>
  <c r="BF27" i="32"/>
  <c r="BH27" i="32" s="1"/>
  <c r="AA27" i="32"/>
  <c r="AC27" i="32" s="1"/>
  <c r="EW26" i="32"/>
  <c r="EY26" i="32" s="1"/>
  <c r="DQ26" i="32"/>
  <c r="DS26" i="32" s="1"/>
  <c r="CK26" i="32"/>
  <c r="CM26" i="32" s="1"/>
  <c r="BF26" i="32"/>
  <c r="BH26" i="32" s="1"/>
  <c r="AA26" i="32"/>
  <c r="AC26" i="32" s="1"/>
  <c r="EW25" i="32"/>
  <c r="EY25" i="32" s="1"/>
  <c r="DQ25" i="32"/>
  <c r="DS25" i="32" s="1"/>
  <c r="CK25" i="32"/>
  <c r="CM25" i="32" s="1"/>
  <c r="BF25" i="32"/>
  <c r="BH25" i="32" s="1"/>
  <c r="AA25" i="32"/>
  <c r="AC25" i="32" s="1"/>
  <c r="EW24" i="32"/>
  <c r="EY24" i="32" s="1"/>
  <c r="DQ24" i="32"/>
  <c r="DS24" i="32" s="1"/>
  <c r="CK24" i="32"/>
  <c r="CM24" i="32" s="1"/>
  <c r="BF24" i="32"/>
  <c r="BH24" i="32" s="1"/>
  <c r="AA24" i="32"/>
  <c r="AC24" i="32" s="1"/>
  <c r="EW23" i="32"/>
  <c r="EY23" i="32" s="1"/>
  <c r="DQ23" i="32"/>
  <c r="DS23" i="32" s="1"/>
  <c r="CK23" i="32"/>
  <c r="CM23" i="32" s="1"/>
  <c r="BF23" i="32"/>
  <c r="BH23" i="32" s="1"/>
  <c r="AA23" i="32"/>
  <c r="AC23" i="32" s="1"/>
  <c r="EW22" i="32"/>
  <c r="EY22" i="32" s="1"/>
  <c r="DQ22" i="32"/>
  <c r="DS22" i="32" s="1"/>
  <c r="CK22" i="32"/>
  <c r="CM22" i="32" s="1"/>
  <c r="BF22" i="32"/>
  <c r="BH22" i="32" s="1"/>
  <c r="AA22" i="32"/>
  <c r="AC22" i="32" s="1"/>
  <c r="EW21" i="32"/>
  <c r="EY21" i="32" s="1"/>
  <c r="DQ21" i="32"/>
  <c r="DS21" i="32" s="1"/>
  <c r="CK21" i="32"/>
  <c r="CM21" i="32" s="1"/>
  <c r="BF21" i="32"/>
  <c r="BH21" i="32" s="1"/>
  <c r="AA21" i="32"/>
  <c r="AC21" i="32" s="1"/>
  <c r="EW20" i="32"/>
  <c r="EY20" i="32" s="1"/>
  <c r="DQ20" i="32"/>
  <c r="DS20" i="32" s="1"/>
  <c r="CK20" i="32"/>
  <c r="CM20" i="32" s="1"/>
  <c r="BF20" i="32"/>
  <c r="BH20" i="32" s="1"/>
  <c r="AA20" i="32"/>
  <c r="AC20" i="32" s="1"/>
  <c r="EW19" i="32"/>
  <c r="EY19" i="32" s="1"/>
  <c r="DQ19" i="32"/>
  <c r="DS19" i="32" s="1"/>
  <c r="CK19" i="32"/>
  <c r="CM19" i="32" s="1"/>
  <c r="BF19" i="32"/>
  <c r="BH19" i="32" s="1"/>
  <c r="AA19" i="32"/>
  <c r="AC19" i="32" s="1"/>
  <c r="EW18" i="32"/>
  <c r="EY18" i="32" s="1"/>
  <c r="DQ18" i="32"/>
  <c r="DS18" i="32" s="1"/>
  <c r="CK18" i="32"/>
  <c r="CM18" i="32" s="1"/>
  <c r="BF18" i="32"/>
  <c r="BH18" i="32" s="1"/>
  <c r="AA18" i="32"/>
  <c r="AC18" i="32" s="1"/>
  <c r="EW17" i="32"/>
  <c r="EY17" i="32" s="1"/>
  <c r="DQ17" i="32"/>
  <c r="DS17" i="32" s="1"/>
  <c r="CK17" i="32"/>
  <c r="CM17" i="32" s="1"/>
  <c r="BF17" i="32"/>
  <c r="BH17" i="32" s="1"/>
  <c r="AA17" i="32"/>
  <c r="AC17" i="32" s="1"/>
  <c r="EW16" i="32"/>
  <c r="EY16" i="32" s="1"/>
  <c r="DQ16" i="32"/>
  <c r="DS16" i="32" s="1"/>
  <c r="CK16" i="32"/>
  <c r="CM16" i="32" s="1"/>
  <c r="BF16" i="32"/>
  <c r="BH16" i="32" s="1"/>
  <c r="AA16" i="32"/>
  <c r="AC16" i="32" s="1"/>
  <c r="EW15" i="32"/>
  <c r="EY15" i="32" s="1"/>
  <c r="DQ15" i="32"/>
  <c r="DS15" i="32" s="1"/>
  <c r="CK15" i="32"/>
  <c r="CM15" i="32" s="1"/>
  <c r="BF15" i="32"/>
  <c r="BH15" i="32" s="1"/>
  <c r="AA15" i="32"/>
  <c r="AC15" i="32" s="1"/>
  <c r="EW14" i="32"/>
  <c r="EY14" i="32" s="1"/>
  <c r="DQ14" i="32"/>
  <c r="DS14" i="32" s="1"/>
  <c r="CK14" i="32"/>
  <c r="CM14" i="32" s="1"/>
  <c r="BF14" i="32"/>
  <c r="BH14" i="32" s="1"/>
  <c r="AA14" i="32"/>
  <c r="AC14" i="32" s="1"/>
  <c r="EW13" i="32"/>
  <c r="EY13" i="32" s="1"/>
  <c r="DQ13" i="32"/>
  <c r="DS13" i="32" s="1"/>
  <c r="CK13" i="32"/>
  <c r="CM13" i="32" s="1"/>
  <c r="BF13" i="32"/>
  <c r="BH13" i="32" s="1"/>
  <c r="AA13" i="32"/>
  <c r="AC13" i="32" s="1"/>
  <c r="EW12" i="32"/>
  <c r="EY12" i="32" s="1"/>
  <c r="DQ12" i="32"/>
  <c r="DS12" i="32" s="1"/>
  <c r="CK12" i="32"/>
  <c r="CM12" i="32" s="1"/>
  <c r="BF12" i="32"/>
  <c r="BH12" i="32" s="1"/>
  <c r="AA12" i="32"/>
  <c r="AC12" i="32" s="1"/>
  <c r="EW11" i="32"/>
  <c r="EY11" i="32" s="1"/>
  <c r="DQ11" i="32"/>
  <c r="DS11" i="32" s="1"/>
  <c r="CK11" i="32"/>
  <c r="CM11" i="32" s="1"/>
  <c r="BF11" i="32"/>
  <c r="BH11" i="32" s="1"/>
  <c r="AA11" i="32"/>
  <c r="AC11" i="32" s="1"/>
  <c r="EW10" i="32"/>
  <c r="EY10" i="32" s="1"/>
  <c r="DQ10" i="32"/>
  <c r="DS10" i="32" s="1"/>
  <c r="CK10" i="32"/>
  <c r="CM10" i="32" s="1"/>
  <c r="BF10" i="32"/>
  <c r="BH10" i="32" s="1"/>
  <c r="AA10" i="32"/>
  <c r="AC10" i="32" s="1"/>
  <c r="EW9" i="32"/>
  <c r="EY9" i="32" s="1"/>
  <c r="DQ9" i="32"/>
  <c r="DS9" i="32" s="1"/>
  <c r="CK9" i="32"/>
  <c r="CM9" i="32" s="1"/>
  <c r="BF9" i="32"/>
  <c r="BH9" i="32" s="1"/>
  <c r="AA9" i="32"/>
  <c r="AC9" i="32" s="1"/>
  <c r="EW8" i="32"/>
  <c r="EY8" i="32" s="1"/>
  <c r="DQ8" i="32"/>
  <c r="DS8" i="32" s="1"/>
  <c r="CK8" i="32"/>
  <c r="CM8" i="32" s="1"/>
  <c r="BF8" i="32"/>
  <c r="BH8" i="32" s="1"/>
  <c r="AA8" i="32"/>
  <c r="AC8" i="32" s="1"/>
  <c r="EW7" i="32"/>
  <c r="EY7" i="32" s="1"/>
  <c r="DQ7" i="32"/>
  <c r="DS7" i="32" s="1"/>
  <c r="CK7" i="32"/>
  <c r="CM7" i="32" s="1"/>
  <c r="BF7" i="32"/>
  <c r="BH7" i="32" s="1"/>
  <c r="AA7" i="32"/>
  <c r="AC7" i="32" s="1"/>
  <c r="EW6" i="32"/>
  <c r="EY6" i="32" s="1"/>
  <c r="DQ6" i="32"/>
  <c r="DS6" i="32" s="1"/>
  <c r="CK6" i="32"/>
  <c r="CM6" i="32" s="1"/>
  <c r="BF6" i="32"/>
  <c r="BH6" i="32" s="1"/>
  <c r="AA6" i="32"/>
  <c r="AC6" i="32" s="1"/>
  <c r="F18" i="31"/>
  <c r="F42" i="31"/>
  <c r="BI34" i="32" l="1"/>
  <c r="EZ26" i="32"/>
  <c r="EZ38" i="32"/>
  <c r="EZ46" i="32"/>
  <c r="EZ42" i="32"/>
  <c r="DT22" i="32"/>
  <c r="DT38" i="32"/>
  <c r="CN38" i="32"/>
  <c r="CN10" i="32"/>
  <c r="CN14" i="32"/>
  <c r="CN46" i="32"/>
  <c r="BI14" i="32"/>
  <c r="BI38" i="32"/>
  <c r="BI6" i="32"/>
  <c r="BI10" i="32"/>
  <c r="BI18" i="32"/>
  <c r="AD10" i="32"/>
  <c r="AD38" i="32"/>
  <c r="AD34" i="32"/>
  <c r="AD22" i="32"/>
  <c r="AD30" i="32"/>
  <c r="AD46" i="32"/>
  <c r="AD6" i="32"/>
  <c r="AD18" i="32"/>
  <c r="AD50" i="32"/>
  <c r="BI22" i="32"/>
  <c r="CN34" i="32"/>
  <c r="EZ6" i="32"/>
  <c r="DT10" i="32"/>
  <c r="DT14" i="32"/>
  <c r="EZ34" i="32"/>
  <c r="EZ10" i="32"/>
  <c r="CN18" i="32"/>
  <c r="AD26" i="32"/>
  <c r="AD42" i="32"/>
  <c r="DT18" i="32"/>
  <c r="EZ22" i="32"/>
  <c r="BI26" i="32"/>
  <c r="BI42" i="32"/>
  <c r="EZ50" i="32"/>
  <c r="EZ18" i="32"/>
  <c r="CN26" i="32"/>
  <c r="BI30" i="32"/>
  <c r="CN42" i="32"/>
  <c r="BI46" i="32"/>
  <c r="DT6" i="32"/>
  <c r="BI50" i="32"/>
  <c r="CN50" i="32"/>
  <c r="DT50" i="32"/>
  <c r="DT26" i="32"/>
  <c r="CN30" i="32"/>
  <c r="DT42" i="32"/>
  <c r="CN22" i="32"/>
  <c r="DT34" i="32"/>
  <c r="EZ14" i="32"/>
  <c r="DT30" i="32"/>
  <c r="DT46" i="32"/>
  <c r="EZ30" i="32"/>
  <c r="CN6" i="32"/>
  <c r="AD14" i="32"/>
  <c r="F6" i="31"/>
  <c r="F66" i="31" s="1"/>
  <c r="BI54" i="32" l="1"/>
  <c r="AH3" i="32" s="1"/>
  <c r="AD54" i="32"/>
  <c r="C3" i="32" s="1"/>
  <c r="DT54" i="32"/>
  <c r="CS3" i="32" s="1"/>
  <c r="CN54" i="32"/>
  <c r="BM3" i="32" s="1"/>
  <c r="EZ54" i="32"/>
  <c r="DY3" i="32" s="1"/>
  <c r="PS55" i="29"/>
  <c r="PR54" i="29"/>
  <c r="PT54" i="29" s="1"/>
  <c r="PR53" i="29"/>
  <c r="PT53" i="29" s="1"/>
  <c r="PR52" i="29"/>
  <c r="PT52" i="29" s="1"/>
  <c r="PR51" i="29"/>
  <c r="PT51" i="29" s="1"/>
  <c r="PR50" i="29"/>
  <c r="PT50" i="29" s="1"/>
  <c r="PR49" i="29"/>
  <c r="PT49" i="29" s="1"/>
  <c r="PR48" i="29"/>
  <c r="PT48" i="29" s="1"/>
  <c r="PR47" i="29"/>
  <c r="PT47" i="29" s="1"/>
  <c r="PT46" i="29"/>
  <c r="PR46" i="29"/>
  <c r="PR45" i="29"/>
  <c r="PT45" i="29" s="1"/>
  <c r="PR44" i="29"/>
  <c r="PT44" i="29" s="1"/>
  <c r="PR43" i="29"/>
  <c r="PT43" i="29" s="1"/>
  <c r="PR42" i="29"/>
  <c r="PT42" i="29" s="1"/>
  <c r="PR41" i="29"/>
  <c r="PT41" i="29" s="1"/>
  <c r="PR40" i="29"/>
  <c r="PT40" i="29" s="1"/>
  <c r="PR39" i="29"/>
  <c r="PT39" i="29" s="1"/>
  <c r="PR38" i="29"/>
  <c r="PT38" i="29" s="1"/>
  <c r="PR37" i="29"/>
  <c r="PT37" i="29" s="1"/>
  <c r="PT36" i="29"/>
  <c r="PR36" i="29"/>
  <c r="PR35" i="29"/>
  <c r="PT35" i="29" s="1"/>
  <c r="PR34" i="29"/>
  <c r="PT34" i="29" s="1"/>
  <c r="PR33" i="29"/>
  <c r="PT33" i="29" s="1"/>
  <c r="PR32" i="29"/>
  <c r="PT32" i="29" s="1"/>
  <c r="PR31" i="29"/>
  <c r="PT31" i="29" s="1"/>
  <c r="PR30" i="29"/>
  <c r="PT30" i="29" s="1"/>
  <c r="PR29" i="29"/>
  <c r="PT29" i="29" s="1"/>
  <c r="PR28" i="29"/>
  <c r="PT28" i="29" s="1"/>
  <c r="PR27" i="29"/>
  <c r="PT27" i="29" s="1"/>
  <c r="PR26" i="29"/>
  <c r="PT26" i="29" s="1"/>
  <c r="PR25" i="29"/>
  <c r="PT25" i="29" s="1"/>
  <c r="PR24" i="29"/>
  <c r="PT24" i="29" s="1"/>
  <c r="PR23" i="29"/>
  <c r="PT23" i="29" s="1"/>
  <c r="PR22" i="29"/>
  <c r="PT22" i="29" s="1"/>
  <c r="PR21" i="29"/>
  <c r="PT21" i="29" s="1"/>
  <c r="PR20" i="29"/>
  <c r="PT20" i="29" s="1"/>
  <c r="PR19" i="29"/>
  <c r="PT19" i="29" s="1"/>
  <c r="PT18" i="29"/>
  <c r="PR18" i="29"/>
  <c r="PR17" i="29"/>
  <c r="PT17" i="29" s="1"/>
  <c r="PR16" i="29"/>
  <c r="PT16" i="29" s="1"/>
  <c r="PR15" i="29"/>
  <c r="PT15" i="29" s="1"/>
  <c r="PT14" i="29"/>
  <c r="PR14" i="29"/>
  <c r="PR13" i="29"/>
  <c r="PT13" i="29" s="1"/>
  <c r="PR12" i="29"/>
  <c r="PT12" i="29" s="1"/>
  <c r="PR11" i="29"/>
  <c r="PT11" i="29" s="1"/>
  <c r="PR10" i="29"/>
  <c r="PT10" i="29" s="1"/>
  <c r="PR9" i="29"/>
  <c r="PT9" i="29" s="1"/>
  <c r="PR8" i="29"/>
  <c r="PT8" i="29" s="1"/>
  <c r="PR7" i="29"/>
  <c r="PT7" i="29" s="1"/>
  <c r="ON55" i="29"/>
  <c r="NI55" i="29"/>
  <c r="MD55" i="29"/>
  <c r="KY55" i="29"/>
  <c r="JT55" i="29"/>
  <c r="IO55" i="29"/>
  <c r="HJ55" i="29"/>
  <c r="GE55" i="29"/>
  <c r="EZ55" i="29"/>
  <c r="DT55" i="29"/>
  <c r="CN55" i="29"/>
  <c r="BI55" i="29"/>
  <c r="AD55" i="29"/>
  <c r="OM54" i="29"/>
  <c r="OO54" i="29" s="1"/>
  <c r="NH54" i="29"/>
  <c r="NJ54" i="29" s="1"/>
  <c r="MC54" i="29"/>
  <c r="ME54" i="29" s="1"/>
  <c r="KX54" i="29"/>
  <c r="KZ54" i="29" s="1"/>
  <c r="JS54" i="29"/>
  <c r="JU54" i="29" s="1"/>
  <c r="IN54" i="29"/>
  <c r="IP54" i="29" s="1"/>
  <c r="HI54" i="29"/>
  <c r="HK54" i="29" s="1"/>
  <c r="GD54" i="29"/>
  <c r="GF54" i="29" s="1"/>
  <c r="EY54" i="29"/>
  <c r="FA54" i="29" s="1"/>
  <c r="DS54" i="29"/>
  <c r="DU54" i="29" s="1"/>
  <c r="CM54" i="29"/>
  <c r="CO54" i="29" s="1"/>
  <c r="BH54" i="29"/>
  <c r="BJ54" i="29" s="1"/>
  <c r="AC54" i="29"/>
  <c r="AE54" i="29" s="1"/>
  <c r="OM53" i="29"/>
  <c r="OO53" i="29" s="1"/>
  <c r="NH53" i="29"/>
  <c r="NJ53" i="29" s="1"/>
  <c r="MC53" i="29"/>
  <c r="ME53" i="29" s="1"/>
  <c r="KX53" i="29"/>
  <c r="KZ53" i="29" s="1"/>
  <c r="JS53" i="29"/>
  <c r="JU53" i="29" s="1"/>
  <c r="IN53" i="29"/>
  <c r="IP53" i="29" s="1"/>
  <c r="HI53" i="29"/>
  <c r="HK53" i="29" s="1"/>
  <c r="GD53" i="29"/>
  <c r="GF53" i="29" s="1"/>
  <c r="EY53" i="29"/>
  <c r="FA53" i="29" s="1"/>
  <c r="DS53" i="29"/>
  <c r="DU53" i="29" s="1"/>
  <c r="CM53" i="29"/>
  <c r="CO53" i="29" s="1"/>
  <c r="BH53" i="29"/>
  <c r="BJ53" i="29" s="1"/>
  <c r="AC53" i="29"/>
  <c r="AE53" i="29" s="1"/>
  <c r="OM52" i="29"/>
  <c r="OO52" i="29" s="1"/>
  <c r="NH52" i="29"/>
  <c r="NJ52" i="29" s="1"/>
  <c r="MC52" i="29"/>
  <c r="ME52" i="29" s="1"/>
  <c r="KX52" i="29"/>
  <c r="KZ52" i="29" s="1"/>
  <c r="JS52" i="29"/>
  <c r="JU52" i="29" s="1"/>
  <c r="IN52" i="29"/>
  <c r="IP52" i="29" s="1"/>
  <c r="HI52" i="29"/>
  <c r="HK52" i="29" s="1"/>
  <c r="GD52" i="29"/>
  <c r="GF52" i="29" s="1"/>
  <c r="EY52" i="29"/>
  <c r="FA52" i="29" s="1"/>
  <c r="DS52" i="29"/>
  <c r="DU52" i="29" s="1"/>
  <c r="CM52" i="29"/>
  <c r="CO52" i="29" s="1"/>
  <c r="BH52" i="29"/>
  <c r="BJ52" i="29" s="1"/>
  <c r="AC52" i="29"/>
  <c r="AE52" i="29" s="1"/>
  <c r="OM51" i="29"/>
  <c r="OO51" i="29" s="1"/>
  <c r="NH51" i="29"/>
  <c r="NJ51" i="29" s="1"/>
  <c r="MC51" i="29"/>
  <c r="ME51" i="29" s="1"/>
  <c r="KX51" i="29"/>
  <c r="KZ51" i="29" s="1"/>
  <c r="JS51" i="29"/>
  <c r="JU51" i="29" s="1"/>
  <c r="IN51" i="29"/>
  <c r="IP51" i="29" s="1"/>
  <c r="HI51" i="29"/>
  <c r="HK51" i="29" s="1"/>
  <c r="GD51" i="29"/>
  <c r="GF51" i="29" s="1"/>
  <c r="EY51" i="29"/>
  <c r="FA51" i="29" s="1"/>
  <c r="DS51" i="29"/>
  <c r="DU51" i="29" s="1"/>
  <c r="CM51" i="29"/>
  <c r="CO51" i="29" s="1"/>
  <c r="BH51" i="29"/>
  <c r="BJ51" i="29" s="1"/>
  <c r="AC51" i="29"/>
  <c r="AE51" i="29" s="1"/>
  <c r="OM50" i="29"/>
  <c r="OO50" i="29" s="1"/>
  <c r="NH50" i="29"/>
  <c r="NJ50" i="29" s="1"/>
  <c r="MC50" i="29"/>
  <c r="ME50" i="29" s="1"/>
  <c r="KX50" i="29"/>
  <c r="KZ50" i="29" s="1"/>
  <c r="JS50" i="29"/>
  <c r="JU50" i="29" s="1"/>
  <c r="IN50" i="29"/>
  <c r="IP50" i="29" s="1"/>
  <c r="HI50" i="29"/>
  <c r="HK50" i="29" s="1"/>
  <c r="GD50" i="29"/>
  <c r="GF50" i="29" s="1"/>
  <c r="EY50" i="29"/>
  <c r="FA50" i="29" s="1"/>
  <c r="DS50" i="29"/>
  <c r="DU50" i="29" s="1"/>
  <c r="CM50" i="29"/>
  <c r="CO50" i="29" s="1"/>
  <c r="BH50" i="29"/>
  <c r="BJ50" i="29" s="1"/>
  <c r="AC50" i="29"/>
  <c r="AE50" i="29" s="1"/>
  <c r="OM49" i="29"/>
  <c r="OO49" i="29" s="1"/>
  <c r="NH49" i="29"/>
  <c r="NJ49" i="29" s="1"/>
  <c r="MC49" i="29"/>
  <c r="ME49" i="29" s="1"/>
  <c r="KX49" i="29"/>
  <c r="KZ49" i="29" s="1"/>
  <c r="JS49" i="29"/>
  <c r="JU49" i="29" s="1"/>
  <c r="IN49" i="29"/>
  <c r="IP49" i="29" s="1"/>
  <c r="HI49" i="29"/>
  <c r="HK49" i="29" s="1"/>
  <c r="GD49" i="29"/>
  <c r="GF49" i="29" s="1"/>
  <c r="EY49" i="29"/>
  <c r="FA49" i="29" s="1"/>
  <c r="DS49" i="29"/>
  <c r="DU49" i="29" s="1"/>
  <c r="CM49" i="29"/>
  <c r="CO49" i="29" s="1"/>
  <c r="BH49" i="29"/>
  <c r="BJ49" i="29" s="1"/>
  <c r="AC49" i="29"/>
  <c r="AE49" i="29" s="1"/>
  <c r="OM48" i="29"/>
  <c r="OO48" i="29" s="1"/>
  <c r="NH48" i="29"/>
  <c r="NJ48" i="29" s="1"/>
  <c r="MC48" i="29"/>
  <c r="ME48" i="29" s="1"/>
  <c r="KX48" i="29"/>
  <c r="KZ48" i="29" s="1"/>
  <c r="JS48" i="29"/>
  <c r="JU48" i="29" s="1"/>
  <c r="IN48" i="29"/>
  <c r="IP48" i="29" s="1"/>
  <c r="HI48" i="29"/>
  <c r="HK48" i="29" s="1"/>
  <c r="GD48" i="29"/>
  <c r="GF48" i="29" s="1"/>
  <c r="EY48" i="29"/>
  <c r="FA48" i="29" s="1"/>
  <c r="DS48" i="29"/>
  <c r="DU48" i="29" s="1"/>
  <c r="CM48" i="29"/>
  <c r="CO48" i="29" s="1"/>
  <c r="BH48" i="29"/>
  <c r="BJ48" i="29" s="1"/>
  <c r="AC48" i="29"/>
  <c r="AE48" i="29" s="1"/>
  <c r="OM47" i="29"/>
  <c r="OO47" i="29" s="1"/>
  <c r="NH47" i="29"/>
  <c r="NJ47" i="29" s="1"/>
  <c r="MC47" i="29"/>
  <c r="ME47" i="29" s="1"/>
  <c r="KX47" i="29"/>
  <c r="KZ47" i="29" s="1"/>
  <c r="JS47" i="29"/>
  <c r="JU47" i="29" s="1"/>
  <c r="IN47" i="29"/>
  <c r="IP47" i="29" s="1"/>
  <c r="HI47" i="29"/>
  <c r="HK47" i="29" s="1"/>
  <c r="GD47" i="29"/>
  <c r="GF47" i="29" s="1"/>
  <c r="EY47" i="29"/>
  <c r="FA47" i="29" s="1"/>
  <c r="DS47" i="29"/>
  <c r="DU47" i="29" s="1"/>
  <c r="CM47" i="29"/>
  <c r="CO47" i="29" s="1"/>
  <c r="BH47" i="29"/>
  <c r="BJ47" i="29" s="1"/>
  <c r="AC47" i="29"/>
  <c r="AE47" i="29" s="1"/>
  <c r="OM46" i="29"/>
  <c r="OO46" i="29" s="1"/>
  <c r="NH46" i="29"/>
  <c r="NJ46" i="29" s="1"/>
  <c r="MC46" i="29"/>
  <c r="ME46" i="29" s="1"/>
  <c r="KX46" i="29"/>
  <c r="KZ46" i="29" s="1"/>
  <c r="JS46" i="29"/>
  <c r="JU46" i="29" s="1"/>
  <c r="IN46" i="29"/>
  <c r="IP46" i="29" s="1"/>
  <c r="HI46" i="29"/>
  <c r="HK46" i="29" s="1"/>
  <c r="GD46" i="29"/>
  <c r="GF46" i="29" s="1"/>
  <c r="EY46" i="29"/>
  <c r="FA46" i="29" s="1"/>
  <c r="DS46" i="29"/>
  <c r="DU46" i="29" s="1"/>
  <c r="CM46" i="29"/>
  <c r="CO46" i="29" s="1"/>
  <c r="BH46" i="29"/>
  <c r="BJ46" i="29" s="1"/>
  <c r="AC46" i="29"/>
  <c r="AE46" i="29" s="1"/>
  <c r="OM45" i="29"/>
  <c r="OO45" i="29" s="1"/>
  <c r="NH45" i="29"/>
  <c r="NJ45" i="29" s="1"/>
  <c r="MC45" i="29"/>
  <c r="ME45" i="29" s="1"/>
  <c r="KX45" i="29"/>
  <c r="KZ45" i="29" s="1"/>
  <c r="JS45" i="29"/>
  <c r="JU45" i="29" s="1"/>
  <c r="IN45" i="29"/>
  <c r="IP45" i="29" s="1"/>
  <c r="HI45" i="29"/>
  <c r="HK45" i="29" s="1"/>
  <c r="GD45" i="29"/>
  <c r="GF45" i="29" s="1"/>
  <c r="EY45" i="29"/>
  <c r="FA45" i="29" s="1"/>
  <c r="DS45" i="29"/>
  <c r="DU45" i="29" s="1"/>
  <c r="CM45" i="29"/>
  <c r="CO45" i="29" s="1"/>
  <c r="BH45" i="29"/>
  <c r="BJ45" i="29" s="1"/>
  <c r="AC45" i="29"/>
  <c r="AE45" i="29" s="1"/>
  <c r="OM44" i="29"/>
  <c r="OO44" i="29" s="1"/>
  <c r="NH44" i="29"/>
  <c r="NJ44" i="29" s="1"/>
  <c r="MC44" i="29"/>
  <c r="ME44" i="29" s="1"/>
  <c r="KX44" i="29"/>
  <c r="KZ44" i="29" s="1"/>
  <c r="JS44" i="29"/>
  <c r="JU44" i="29" s="1"/>
  <c r="IN44" i="29"/>
  <c r="IP44" i="29" s="1"/>
  <c r="HI44" i="29"/>
  <c r="HK44" i="29" s="1"/>
  <c r="GD44" i="29"/>
  <c r="GF44" i="29" s="1"/>
  <c r="EY44" i="29"/>
  <c r="FA44" i="29" s="1"/>
  <c r="DS44" i="29"/>
  <c r="DU44" i="29" s="1"/>
  <c r="CM44" i="29"/>
  <c r="CO44" i="29" s="1"/>
  <c r="BH44" i="29"/>
  <c r="BJ44" i="29" s="1"/>
  <c r="AC44" i="29"/>
  <c r="AE44" i="29" s="1"/>
  <c r="OM43" i="29"/>
  <c r="OO43" i="29" s="1"/>
  <c r="NH43" i="29"/>
  <c r="NJ43" i="29" s="1"/>
  <c r="MC43" i="29"/>
  <c r="ME43" i="29" s="1"/>
  <c r="KX43" i="29"/>
  <c r="KZ43" i="29" s="1"/>
  <c r="JS43" i="29"/>
  <c r="JU43" i="29" s="1"/>
  <c r="IN43" i="29"/>
  <c r="IP43" i="29" s="1"/>
  <c r="HI43" i="29"/>
  <c r="HK43" i="29" s="1"/>
  <c r="GD43" i="29"/>
  <c r="GF43" i="29" s="1"/>
  <c r="EY43" i="29"/>
  <c r="FA43" i="29" s="1"/>
  <c r="DS43" i="29"/>
  <c r="DU43" i="29" s="1"/>
  <c r="CM43" i="29"/>
  <c r="CO43" i="29" s="1"/>
  <c r="BH43" i="29"/>
  <c r="BJ43" i="29" s="1"/>
  <c r="AC43" i="29"/>
  <c r="AE43" i="29" s="1"/>
  <c r="OM42" i="29"/>
  <c r="OO42" i="29" s="1"/>
  <c r="NH42" i="29"/>
  <c r="NJ42" i="29" s="1"/>
  <c r="MC42" i="29"/>
  <c r="ME42" i="29" s="1"/>
  <c r="KX42" i="29"/>
  <c r="KZ42" i="29" s="1"/>
  <c r="JS42" i="29"/>
  <c r="JU42" i="29" s="1"/>
  <c r="IN42" i="29"/>
  <c r="IP42" i="29" s="1"/>
  <c r="HI42" i="29"/>
  <c r="HK42" i="29" s="1"/>
  <c r="GD42" i="29"/>
  <c r="GF42" i="29" s="1"/>
  <c r="EY42" i="29"/>
  <c r="FA42" i="29" s="1"/>
  <c r="DS42" i="29"/>
  <c r="DU42" i="29" s="1"/>
  <c r="CM42" i="29"/>
  <c r="CO42" i="29" s="1"/>
  <c r="BH42" i="29"/>
  <c r="BJ42" i="29" s="1"/>
  <c r="AC42" i="29"/>
  <c r="AE42" i="29" s="1"/>
  <c r="OM41" i="29"/>
  <c r="OO41" i="29" s="1"/>
  <c r="NH41" i="29"/>
  <c r="NJ41" i="29" s="1"/>
  <c r="MC41" i="29"/>
  <c r="ME41" i="29" s="1"/>
  <c r="KX41" i="29"/>
  <c r="KZ41" i="29" s="1"/>
  <c r="JS41" i="29"/>
  <c r="JU41" i="29" s="1"/>
  <c r="IN41" i="29"/>
  <c r="IP41" i="29" s="1"/>
  <c r="HI41" i="29"/>
  <c r="HK41" i="29" s="1"/>
  <c r="GD41" i="29"/>
  <c r="GF41" i="29" s="1"/>
  <c r="FA41" i="29"/>
  <c r="EY41" i="29"/>
  <c r="DS41" i="29"/>
  <c r="DU41" i="29" s="1"/>
  <c r="CM41" i="29"/>
  <c r="CO41" i="29" s="1"/>
  <c r="BH41" i="29"/>
  <c r="BJ41" i="29" s="1"/>
  <c r="AC41" i="29"/>
  <c r="AE41" i="29" s="1"/>
  <c r="OM40" i="29"/>
  <c r="OO40" i="29" s="1"/>
  <c r="NH40" i="29"/>
  <c r="NJ40" i="29" s="1"/>
  <c r="MC40" i="29"/>
  <c r="ME40" i="29" s="1"/>
  <c r="KX40" i="29"/>
  <c r="KZ40" i="29" s="1"/>
  <c r="JS40" i="29"/>
  <c r="JU40" i="29" s="1"/>
  <c r="IN40" i="29"/>
  <c r="IP40" i="29" s="1"/>
  <c r="HI40" i="29"/>
  <c r="HK40" i="29" s="1"/>
  <c r="GD40" i="29"/>
  <c r="GF40" i="29" s="1"/>
  <c r="EY40" i="29"/>
  <c r="FA40" i="29" s="1"/>
  <c r="DS40" i="29"/>
  <c r="DU40" i="29" s="1"/>
  <c r="CM40" i="29"/>
  <c r="CO40" i="29" s="1"/>
  <c r="BH40" i="29"/>
  <c r="BJ40" i="29" s="1"/>
  <c r="AC40" i="29"/>
  <c r="AE40" i="29" s="1"/>
  <c r="OM39" i="29"/>
  <c r="OO39" i="29" s="1"/>
  <c r="NH39" i="29"/>
  <c r="NJ39" i="29" s="1"/>
  <c r="MC39" i="29"/>
  <c r="ME39" i="29" s="1"/>
  <c r="KX39" i="29"/>
  <c r="KZ39" i="29" s="1"/>
  <c r="JS39" i="29"/>
  <c r="JU39" i="29" s="1"/>
  <c r="IN39" i="29"/>
  <c r="IP39" i="29" s="1"/>
  <c r="HI39" i="29"/>
  <c r="HK39" i="29" s="1"/>
  <c r="GD39" i="29"/>
  <c r="GF39" i="29" s="1"/>
  <c r="EY39" i="29"/>
  <c r="FA39" i="29" s="1"/>
  <c r="DS39" i="29"/>
  <c r="DU39" i="29" s="1"/>
  <c r="CM39" i="29"/>
  <c r="CO39" i="29" s="1"/>
  <c r="BH39" i="29"/>
  <c r="BJ39" i="29" s="1"/>
  <c r="AC39" i="29"/>
  <c r="AE39" i="29" s="1"/>
  <c r="OM38" i="29"/>
  <c r="OO38" i="29" s="1"/>
  <c r="NH38" i="29"/>
  <c r="NJ38" i="29" s="1"/>
  <c r="MC38" i="29"/>
  <c r="ME38" i="29" s="1"/>
  <c r="KX38" i="29"/>
  <c r="KZ38" i="29" s="1"/>
  <c r="JS38" i="29"/>
  <c r="JU38" i="29" s="1"/>
  <c r="IN38" i="29"/>
  <c r="IP38" i="29" s="1"/>
  <c r="HI38" i="29"/>
  <c r="HK38" i="29" s="1"/>
  <c r="GD38" i="29"/>
  <c r="GF38" i="29" s="1"/>
  <c r="EY38" i="29"/>
  <c r="FA38" i="29" s="1"/>
  <c r="DS38" i="29"/>
  <c r="DU38" i="29" s="1"/>
  <c r="CM38" i="29"/>
  <c r="CO38" i="29" s="1"/>
  <c r="BH38" i="29"/>
  <c r="BJ38" i="29" s="1"/>
  <c r="AC38" i="29"/>
  <c r="AE38" i="29" s="1"/>
  <c r="OM37" i="29"/>
  <c r="OO37" i="29" s="1"/>
  <c r="NH37" i="29"/>
  <c r="NJ37" i="29" s="1"/>
  <c r="MC37" i="29"/>
  <c r="ME37" i="29" s="1"/>
  <c r="KX37" i="29"/>
  <c r="KZ37" i="29" s="1"/>
  <c r="JS37" i="29"/>
  <c r="JU37" i="29" s="1"/>
  <c r="IN37" i="29"/>
  <c r="IP37" i="29" s="1"/>
  <c r="HI37" i="29"/>
  <c r="HK37" i="29" s="1"/>
  <c r="GD37" i="29"/>
  <c r="GF37" i="29" s="1"/>
  <c r="EY37" i="29"/>
  <c r="FA37" i="29" s="1"/>
  <c r="DS37" i="29"/>
  <c r="DU37" i="29" s="1"/>
  <c r="CM37" i="29"/>
  <c r="CO37" i="29" s="1"/>
  <c r="BH37" i="29"/>
  <c r="BJ37" i="29" s="1"/>
  <c r="AC37" i="29"/>
  <c r="AE37" i="29" s="1"/>
  <c r="OM36" i="29"/>
  <c r="OO36" i="29" s="1"/>
  <c r="NH36" i="29"/>
  <c r="NJ36" i="29" s="1"/>
  <c r="MC36" i="29"/>
  <c r="ME36" i="29" s="1"/>
  <c r="KX36" i="29"/>
  <c r="KZ36" i="29" s="1"/>
  <c r="JS36" i="29"/>
  <c r="JU36" i="29" s="1"/>
  <c r="IN36" i="29"/>
  <c r="IP36" i="29" s="1"/>
  <c r="HI36" i="29"/>
  <c r="HK36" i="29" s="1"/>
  <c r="GD36" i="29"/>
  <c r="GF36" i="29" s="1"/>
  <c r="EY36" i="29"/>
  <c r="FA36" i="29" s="1"/>
  <c r="DS36" i="29"/>
  <c r="DU36" i="29" s="1"/>
  <c r="CM36" i="29"/>
  <c r="CO36" i="29" s="1"/>
  <c r="BH36" i="29"/>
  <c r="BJ36" i="29" s="1"/>
  <c r="AC36" i="29"/>
  <c r="AE36" i="29" s="1"/>
  <c r="OM35" i="29"/>
  <c r="OO35" i="29" s="1"/>
  <c r="NH35" i="29"/>
  <c r="NJ35" i="29" s="1"/>
  <c r="MC35" i="29"/>
  <c r="ME35" i="29" s="1"/>
  <c r="KX35" i="29"/>
  <c r="KZ35" i="29" s="1"/>
  <c r="JS35" i="29"/>
  <c r="JU35" i="29" s="1"/>
  <c r="IN35" i="29"/>
  <c r="IP35" i="29" s="1"/>
  <c r="HI35" i="29"/>
  <c r="HK35" i="29" s="1"/>
  <c r="GD35" i="29"/>
  <c r="GF35" i="29" s="1"/>
  <c r="EY35" i="29"/>
  <c r="FA35" i="29" s="1"/>
  <c r="DS35" i="29"/>
  <c r="DU35" i="29" s="1"/>
  <c r="CM35" i="29"/>
  <c r="CO35" i="29" s="1"/>
  <c r="BH35" i="29"/>
  <c r="BJ35" i="29" s="1"/>
  <c r="AC35" i="29"/>
  <c r="AE35" i="29" s="1"/>
  <c r="OM34" i="29"/>
  <c r="OO34" i="29" s="1"/>
  <c r="NH34" i="29"/>
  <c r="NJ34" i="29" s="1"/>
  <c r="MC34" i="29"/>
  <c r="ME34" i="29" s="1"/>
  <c r="KX34" i="29"/>
  <c r="KZ34" i="29" s="1"/>
  <c r="JS34" i="29"/>
  <c r="JU34" i="29" s="1"/>
  <c r="IN34" i="29"/>
  <c r="IP34" i="29" s="1"/>
  <c r="HI34" i="29"/>
  <c r="HK34" i="29" s="1"/>
  <c r="GD34" i="29"/>
  <c r="GF34" i="29" s="1"/>
  <c r="EY34" i="29"/>
  <c r="FA34" i="29" s="1"/>
  <c r="DS34" i="29"/>
  <c r="DU34" i="29" s="1"/>
  <c r="CM34" i="29"/>
  <c r="CO34" i="29" s="1"/>
  <c r="BH34" i="29"/>
  <c r="BJ34" i="29" s="1"/>
  <c r="AC34" i="29"/>
  <c r="AE34" i="29" s="1"/>
  <c r="OM33" i="29"/>
  <c r="OO33" i="29" s="1"/>
  <c r="NH33" i="29"/>
  <c r="NJ33" i="29" s="1"/>
  <c r="MC33" i="29"/>
  <c r="ME33" i="29" s="1"/>
  <c r="KX33" i="29"/>
  <c r="KZ33" i="29" s="1"/>
  <c r="JS33" i="29"/>
  <c r="JU33" i="29" s="1"/>
  <c r="IN33" i="29"/>
  <c r="IP33" i="29" s="1"/>
  <c r="HI33" i="29"/>
  <c r="HK33" i="29" s="1"/>
  <c r="GD33" i="29"/>
  <c r="GF33" i="29" s="1"/>
  <c r="EY33" i="29"/>
  <c r="FA33" i="29" s="1"/>
  <c r="DS33" i="29"/>
  <c r="DU33" i="29" s="1"/>
  <c r="CM33" i="29"/>
  <c r="CO33" i="29" s="1"/>
  <c r="BH33" i="29"/>
  <c r="BJ33" i="29" s="1"/>
  <c r="AC33" i="29"/>
  <c r="AE33" i="29" s="1"/>
  <c r="OM32" i="29"/>
  <c r="OO32" i="29" s="1"/>
  <c r="NH32" i="29"/>
  <c r="NJ32" i="29" s="1"/>
  <c r="MC32" i="29"/>
  <c r="ME32" i="29" s="1"/>
  <c r="KX32" i="29"/>
  <c r="KZ32" i="29" s="1"/>
  <c r="JS32" i="29"/>
  <c r="JU32" i="29" s="1"/>
  <c r="IN32" i="29"/>
  <c r="IP32" i="29" s="1"/>
  <c r="HI32" i="29"/>
  <c r="HK32" i="29" s="1"/>
  <c r="GD32" i="29"/>
  <c r="GF32" i="29" s="1"/>
  <c r="EY32" i="29"/>
  <c r="FA32" i="29" s="1"/>
  <c r="DS32" i="29"/>
  <c r="DU32" i="29" s="1"/>
  <c r="CM32" i="29"/>
  <c r="CO32" i="29" s="1"/>
  <c r="BH32" i="29"/>
  <c r="BJ32" i="29" s="1"/>
  <c r="AC32" i="29"/>
  <c r="AE32" i="29" s="1"/>
  <c r="OM31" i="29"/>
  <c r="OO31" i="29" s="1"/>
  <c r="NH31" i="29"/>
  <c r="NJ31" i="29" s="1"/>
  <c r="MC31" i="29"/>
  <c r="ME31" i="29" s="1"/>
  <c r="KX31" i="29"/>
  <c r="KZ31" i="29" s="1"/>
  <c r="JS31" i="29"/>
  <c r="JU31" i="29" s="1"/>
  <c r="IN31" i="29"/>
  <c r="IP31" i="29" s="1"/>
  <c r="HI31" i="29"/>
  <c r="HK31" i="29" s="1"/>
  <c r="GD31" i="29"/>
  <c r="GF31" i="29" s="1"/>
  <c r="EY31" i="29"/>
  <c r="FA31" i="29" s="1"/>
  <c r="DS31" i="29"/>
  <c r="DU31" i="29" s="1"/>
  <c r="CM31" i="29"/>
  <c r="CO31" i="29" s="1"/>
  <c r="BH31" i="29"/>
  <c r="BJ31" i="29" s="1"/>
  <c r="AC31" i="29"/>
  <c r="AE31" i="29" s="1"/>
  <c r="OM30" i="29"/>
  <c r="OO30" i="29" s="1"/>
  <c r="NH30" i="29"/>
  <c r="NJ30" i="29" s="1"/>
  <c r="MC30" i="29"/>
  <c r="ME30" i="29" s="1"/>
  <c r="KX30" i="29"/>
  <c r="KZ30" i="29" s="1"/>
  <c r="JS30" i="29"/>
  <c r="JU30" i="29" s="1"/>
  <c r="IN30" i="29"/>
  <c r="IP30" i="29" s="1"/>
  <c r="HI30" i="29"/>
  <c r="HK30" i="29" s="1"/>
  <c r="GD30" i="29"/>
  <c r="GF30" i="29" s="1"/>
  <c r="EY30" i="29"/>
  <c r="FA30" i="29" s="1"/>
  <c r="DS30" i="29"/>
  <c r="DU30" i="29" s="1"/>
  <c r="CM30" i="29"/>
  <c r="CO30" i="29" s="1"/>
  <c r="BH30" i="29"/>
  <c r="BJ30" i="29" s="1"/>
  <c r="AC30" i="29"/>
  <c r="AE30" i="29" s="1"/>
  <c r="OM29" i="29"/>
  <c r="OO29" i="29" s="1"/>
  <c r="NH29" i="29"/>
  <c r="NJ29" i="29" s="1"/>
  <c r="MC29" i="29"/>
  <c r="ME29" i="29" s="1"/>
  <c r="KX29" i="29"/>
  <c r="KZ29" i="29" s="1"/>
  <c r="JS29" i="29"/>
  <c r="JU29" i="29" s="1"/>
  <c r="IN29" i="29"/>
  <c r="IP29" i="29" s="1"/>
  <c r="HI29" i="29"/>
  <c r="HK29" i="29" s="1"/>
  <c r="GD29" i="29"/>
  <c r="GF29" i="29" s="1"/>
  <c r="EY29" i="29"/>
  <c r="FA29" i="29" s="1"/>
  <c r="DS29" i="29"/>
  <c r="DU29" i="29" s="1"/>
  <c r="CM29" i="29"/>
  <c r="CO29" i="29" s="1"/>
  <c r="BH29" i="29"/>
  <c r="BJ29" i="29" s="1"/>
  <c r="AC29" i="29"/>
  <c r="AE29" i="29" s="1"/>
  <c r="OM28" i="29"/>
  <c r="OO28" i="29" s="1"/>
  <c r="NH28" i="29"/>
  <c r="NJ28" i="29" s="1"/>
  <c r="MC28" i="29"/>
  <c r="ME28" i="29" s="1"/>
  <c r="KX28" i="29"/>
  <c r="KZ28" i="29" s="1"/>
  <c r="JS28" i="29"/>
  <c r="JU28" i="29" s="1"/>
  <c r="IN28" i="29"/>
  <c r="IP28" i="29" s="1"/>
  <c r="HI28" i="29"/>
  <c r="HK28" i="29" s="1"/>
  <c r="GD28" i="29"/>
  <c r="GF28" i="29" s="1"/>
  <c r="EY28" i="29"/>
  <c r="FA28" i="29" s="1"/>
  <c r="DS28" i="29"/>
  <c r="DU28" i="29" s="1"/>
  <c r="CM28" i="29"/>
  <c r="CO28" i="29" s="1"/>
  <c r="BH28" i="29"/>
  <c r="BJ28" i="29" s="1"/>
  <c r="AC28" i="29"/>
  <c r="AE28" i="29" s="1"/>
  <c r="OM27" i="29"/>
  <c r="OO27" i="29" s="1"/>
  <c r="NH27" i="29"/>
  <c r="NJ27" i="29" s="1"/>
  <c r="MC27" i="29"/>
  <c r="ME27" i="29" s="1"/>
  <c r="KX27" i="29"/>
  <c r="KZ27" i="29" s="1"/>
  <c r="JS27" i="29"/>
  <c r="JU27" i="29" s="1"/>
  <c r="IN27" i="29"/>
  <c r="IP27" i="29" s="1"/>
  <c r="HI27" i="29"/>
  <c r="HK27" i="29" s="1"/>
  <c r="GD27" i="29"/>
  <c r="GF27" i="29" s="1"/>
  <c r="EY27" i="29"/>
  <c r="FA27" i="29" s="1"/>
  <c r="DS27" i="29"/>
  <c r="DU27" i="29" s="1"/>
  <c r="CM27" i="29"/>
  <c r="CO27" i="29" s="1"/>
  <c r="BH27" i="29"/>
  <c r="BJ27" i="29" s="1"/>
  <c r="AC27" i="29"/>
  <c r="AE27" i="29" s="1"/>
  <c r="OM26" i="29"/>
  <c r="OO26" i="29" s="1"/>
  <c r="NJ26" i="29"/>
  <c r="NH26" i="29"/>
  <c r="MC26" i="29"/>
  <c r="ME26" i="29" s="1"/>
  <c r="KX26" i="29"/>
  <c r="KZ26" i="29" s="1"/>
  <c r="JS26" i="29"/>
  <c r="JU26" i="29" s="1"/>
  <c r="IN26" i="29"/>
  <c r="IP26" i="29" s="1"/>
  <c r="HI26" i="29"/>
  <c r="HK26" i="29" s="1"/>
  <c r="GD26" i="29"/>
  <c r="GF26" i="29" s="1"/>
  <c r="EY26" i="29"/>
  <c r="FA26" i="29" s="1"/>
  <c r="DS26" i="29"/>
  <c r="DU26" i="29" s="1"/>
  <c r="CM26" i="29"/>
  <c r="CO26" i="29" s="1"/>
  <c r="BH26" i="29"/>
  <c r="BJ26" i="29" s="1"/>
  <c r="AC26" i="29"/>
  <c r="AE26" i="29" s="1"/>
  <c r="OM25" i="29"/>
  <c r="OO25" i="29" s="1"/>
  <c r="NH25" i="29"/>
  <c r="NJ25" i="29" s="1"/>
  <c r="MC25" i="29"/>
  <c r="ME25" i="29" s="1"/>
  <c r="KX25" i="29"/>
  <c r="KZ25" i="29" s="1"/>
  <c r="JS25" i="29"/>
  <c r="JU25" i="29" s="1"/>
  <c r="IN25" i="29"/>
  <c r="IP25" i="29" s="1"/>
  <c r="HI25" i="29"/>
  <c r="HK25" i="29" s="1"/>
  <c r="GD25" i="29"/>
  <c r="GF25" i="29" s="1"/>
  <c r="EY25" i="29"/>
  <c r="FA25" i="29" s="1"/>
  <c r="DS25" i="29"/>
  <c r="DU25" i="29" s="1"/>
  <c r="CM25" i="29"/>
  <c r="CO25" i="29" s="1"/>
  <c r="BH25" i="29"/>
  <c r="BJ25" i="29" s="1"/>
  <c r="AC25" i="29"/>
  <c r="AE25" i="29" s="1"/>
  <c r="OM24" i="29"/>
  <c r="OO24" i="29" s="1"/>
  <c r="NH24" i="29"/>
  <c r="NJ24" i="29" s="1"/>
  <c r="MC24" i="29"/>
  <c r="ME24" i="29" s="1"/>
  <c r="KX24" i="29"/>
  <c r="KZ24" i="29" s="1"/>
  <c r="JS24" i="29"/>
  <c r="JU24" i="29" s="1"/>
  <c r="IN24" i="29"/>
  <c r="IP24" i="29" s="1"/>
  <c r="HI24" i="29"/>
  <c r="HK24" i="29" s="1"/>
  <c r="GD24" i="29"/>
  <c r="GF24" i="29" s="1"/>
  <c r="EY24" i="29"/>
  <c r="FA24" i="29" s="1"/>
  <c r="DS24" i="29"/>
  <c r="DU24" i="29" s="1"/>
  <c r="CM24" i="29"/>
  <c r="CO24" i="29" s="1"/>
  <c r="BH24" i="29"/>
  <c r="BJ24" i="29" s="1"/>
  <c r="AC24" i="29"/>
  <c r="AE24" i="29" s="1"/>
  <c r="OM23" i="29"/>
  <c r="OO23" i="29" s="1"/>
  <c r="NH23" i="29"/>
  <c r="NJ23" i="29" s="1"/>
  <c r="MC23" i="29"/>
  <c r="ME23" i="29" s="1"/>
  <c r="KX23" i="29"/>
  <c r="KZ23" i="29" s="1"/>
  <c r="JS23" i="29"/>
  <c r="JU23" i="29" s="1"/>
  <c r="IN23" i="29"/>
  <c r="IP23" i="29" s="1"/>
  <c r="HI23" i="29"/>
  <c r="HK23" i="29" s="1"/>
  <c r="GD23" i="29"/>
  <c r="GF23" i="29" s="1"/>
  <c r="EY23" i="29"/>
  <c r="FA23" i="29" s="1"/>
  <c r="DS23" i="29"/>
  <c r="DU23" i="29" s="1"/>
  <c r="CM23" i="29"/>
  <c r="CO23" i="29" s="1"/>
  <c r="BH23" i="29"/>
  <c r="BJ23" i="29" s="1"/>
  <c r="AC23" i="29"/>
  <c r="AE23" i="29" s="1"/>
  <c r="OM22" i="29"/>
  <c r="OO22" i="29" s="1"/>
  <c r="NH22" i="29"/>
  <c r="NJ22" i="29" s="1"/>
  <c r="MC22" i="29"/>
  <c r="ME22" i="29" s="1"/>
  <c r="KX22" i="29"/>
  <c r="KZ22" i="29" s="1"/>
  <c r="JS22" i="29"/>
  <c r="JU22" i="29" s="1"/>
  <c r="IN22" i="29"/>
  <c r="IP22" i="29" s="1"/>
  <c r="HI22" i="29"/>
  <c r="HK22" i="29" s="1"/>
  <c r="GD22" i="29"/>
  <c r="GF22" i="29" s="1"/>
  <c r="EY22" i="29"/>
  <c r="FA22" i="29" s="1"/>
  <c r="DS22" i="29"/>
  <c r="DU22" i="29" s="1"/>
  <c r="CM22" i="29"/>
  <c r="CO22" i="29" s="1"/>
  <c r="BH22" i="29"/>
  <c r="BJ22" i="29" s="1"/>
  <c r="AC22" i="29"/>
  <c r="AE22" i="29" s="1"/>
  <c r="OM21" i="29"/>
  <c r="OO21" i="29" s="1"/>
  <c r="NH21" i="29"/>
  <c r="NJ21" i="29" s="1"/>
  <c r="MC21" i="29"/>
  <c r="ME21" i="29" s="1"/>
  <c r="KX21" i="29"/>
  <c r="KZ21" i="29" s="1"/>
  <c r="JS21" i="29"/>
  <c r="JU21" i="29" s="1"/>
  <c r="IN21" i="29"/>
  <c r="IP21" i="29" s="1"/>
  <c r="HI21" i="29"/>
  <c r="HK21" i="29" s="1"/>
  <c r="GD21" i="29"/>
  <c r="GF21" i="29" s="1"/>
  <c r="EY21" i="29"/>
  <c r="FA21" i="29" s="1"/>
  <c r="DS21" i="29"/>
  <c r="DU21" i="29" s="1"/>
  <c r="CM21" i="29"/>
  <c r="CO21" i="29" s="1"/>
  <c r="BH21" i="29"/>
  <c r="BJ21" i="29" s="1"/>
  <c r="AC21" i="29"/>
  <c r="AE21" i="29" s="1"/>
  <c r="OM20" i="29"/>
  <c r="OO20" i="29" s="1"/>
  <c r="NH20" i="29"/>
  <c r="NJ20" i="29" s="1"/>
  <c r="MC20" i="29"/>
  <c r="ME20" i="29" s="1"/>
  <c r="KX20" i="29"/>
  <c r="KZ20" i="29" s="1"/>
  <c r="JS20" i="29"/>
  <c r="JU20" i="29" s="1"/>
  <c r="IN20" i="29"/>
  <c r="IP20" i="29" s="1"/>
  <c r="HI20" i="29"/>
  <c r="HK20" i="29" s="1"/>
  <c r="GD20" i="29"/>
  <c r="GF20" i="29" s="1"/>
  <c r="EY20" i="29"/>
  <c r="FA20" i="29" s="1"/>
  <c r="DS20" i="29"/>
  <c r="DU20" i="29" s="1"/>
  <c r="CM20" i="29"/>
  <c r="CO20" i="29" s="1"/>
  <c r="BH20" i="29"/>
  <c r="BJ20" i="29" s="1"/>
  <c r="AC20" i="29"/>
  <c r="AE20" i="29" s="1"/>
  <c r="OM19" i="29"/>
  <c r="OO19" i="29" s="1"/>
  <c r="NH19" i="29"/>
  <c r="NJ19" i="29" s="1"/>
  <c r="MC19" i="29"/>
  <c r="ME19" i="29" s="1"/>
  <c r="KX19" i="29"/>
  <c r="KZ19" i="29" s="1"/>
  <c r="JS19" i="29"/>
  <c r="JU19" i="29" s="1"/>
  <c r="IN19" i="29"/>
  <c r="IP19" i="29" s="1"/>
  <c r="HI19" i="29"/>
  <c r="HK19" i="29" s="1"/>
  <c r="GD19" i="29"/>
  <c r="GF19" i="29" s="1"/>
  <c r="EY19" i="29"/>
  <c r="FA19" i="29" s="1"/>
  <c r="DS19" i="29"/>
  <c r="DU19" i="29" s="1"/>
  <c r="CM19" i="29"/>
  <c r="CO19" i="29" s="1"/>
  <c r="BH19" i="29"/>
  <c r="BJ19" i="29" s="1"/>
  <c r="AC19" i="29"/>
  <c r="AE19" i="29" s="1"/>
  <c r="OM18" i="29"/>
  <c r="OO18" i="29" s="1"/>
  <c r="NH18" i="29"/>
  <c r="NJ18" i="29" s="1"/>
  <c r="MC18" i="29"/>
  <c r="ME18" i="29" s="1"/>
  <c r="KX18" i="29"/>
  <c r="KZ18" i="29" s="1"/>
  <c r="JS18" i="29"/>
  <c r="JU18" i="29" s="1"/>
  <c r="IN18" i="29"/>
  <c r="IP18" i="29" s="1"/>
  <c r="HI18" i="29"/>
  <c r="HK18" i="29" s="1"/>
  <c r="GD18" i="29"/>
  <c r="GF18" i="29" s="1"/>
  <c r="EY18" i="29"/>
  <c r="FA18" i="29" s="1"/>
  <c r="DS18" i="29"/>
  <c r="DU18" i="29" s="1"/>
  <c r="CM18" i="29"/>
  <c r="CO18" i="29" s="1"/>
  <c r="BH18" i="29"/>
  <c r="BJ18" i="29" s="1"/>
  <c r="AC18" i="29"/>
  <c r="AE18" i="29" s="1"/>
  <c r="OM17" i="29"/>
  <c r="OO17" i="29" s="1"/>
  <c r="NH17" i="29"/>
  <c r="NJ17" i="29" s="1"/>
  <c r="MC17" i="29"/>
  <c r="ME17" i="29" s="1"/>
  <c r="KX17" i="29"/>
  <c r="KZ17" i="29" s="1"/>
  <c r="JS17" i="29"/>
  <c r="JU17" i="29" s="1"/>
  <c r="IN17" i="29"/>
  <c r="IP17" i="29" s="1"/>
  <c r="HI17" i="29"/>
  <c r="HK17" i="29" s="1"/>
  <c r="GD17" i="29"/>
  <c r="GF17" i="29" s="1"/>
  <c r="EY17" i="29"/>
  <c r="FA17" i="29" s="1"/>
  <c r="DS17" i="29"/>
  <c r="DU17" i="29" s="1"/>
  <c r="CM17" i="29"/>
  <c r="CO17" i="29" s="1"/>
  <c r="BH17" i="29"/>
  <c r="BJ17" i="29" s="1"/>
  <c r="AC17" i="29"/>
  <c r="AE17" i="29" s="1"/>
  <c r="OM16" i="29"/>
  <c r="OO16" i="29" s="1"/>
  <c r="NH16" i="29"/>
  <c r="NJ16" i="29" s="1"/>
  <c r="MC16" i="29"/>
  <c r="ME16" i="29" s="1"/>
  <c r="KX16" i="29"/>
  <c r="KZ16" i="29" s="1"/>
  <c r="JS16" i="29"/>
  <c r="JU16" i="29" s="1"/>
  <c r="IN16" i="29"/>
  <c r="IP16" i="29" s="1"/>
  <c r="HI16" i="29"/>
  <c r="HK16" i="29" s="1"/>
  <c r="GD16" i="29"/>
  <c r="GF16" i="29" s="1"/>
  <c r="EY16" i="29"/>
  <c r="FA16" i="29" s="1"/>
  <c r="DS16" i="29"/>
  <c r="DU16" i="29" s="1"/>
  <c r="CM16" i="29"/>
  <c r="CO16" i="29" s="1"/>
  <c r="BH16" i="29"/>
  <c r="BJ16" i="29" s="1"/>
  <c r="AC16" i="29"/>
  <c r="AE16" i="29" s="1"/>
  <c r="OM15" i="29"/>
  <c r="OO15" i="29" s="1"/>
  <c r="NH15" i="29"/>
  <c r="NJ15" i="29" s="1"/>
  <c r="MC15" i="29"/>
  <c r="ME15" i="29" s="1"/>
  <c r="KX15" i="29"/>
  <c r="KZ15" i="29" s="1"/>
  <c r="JS15" i="29"/>
  <c r="JU15" i="29" s="1"/>
  <c r="IN15" i="29"/>
  <c r="IP15" i="29" s="1"/>
  <c r="HI15" i="29"/>
  <c r="HK15" i="29" s="1"/>
  <c r="GD15" i="29"/>
  <c r="GF15" i="29" s="1"/>
  <c r="EY15" i="29"/>
  <c r="FA15" i="29" s="1"/>
  <c r="DS15" i="29"/>
  <c r="DU15" i="29" s="1"/>
  <c r="CM15" i="29"/>
  <c r="CO15" i="29" s="1"/>
  <c r="BH15" i="29"/>
  <c r="BJ15" i="29" s="1"/>
  <c r="AC15" i="29"/>
  <c r="AE15" i="29" s="1"/>
  <c r="OO14" i="29"/>
  <c r="OM14" i="29"/>
  <c r="NH14" i="29"/>
  <c r="NJ14" i="29" s="1"/>
  <c r="MC14" i="29"/>
  <c r="ME14" i="29" s="1"/>
  <c r="KX14" i="29"/>
  <c r="KZ14" i="29" s="1"/>
  <c r="JS14" i="29"/>
  <c r="JU14" i="29" s="1"/>
  <c r="IN14" i="29"/>
  <c r="IP14" i="29" s="1"/>
  <c r="HI14" i="29"/>
  <c r="HK14" i="29" s="1"/>
  <c r="GD14" i="29"/>
  <c r="GF14" i="29" s="1"/>
  <c r="EY14" i="29"/>
  <c r="FA14" i="29" s="1"/>
  <c r="DS14" i="29"/>
  <c r="DU14" i="29" s="1"/>
  <c r="CM14" i="29"/>
  <c r="CO14" i="29" s="1"/>
  <c r="BH14" i="29"/>
  <c r="BJ14" i="29" s="1"/>
  <c r="AE14" i="29"/>
  <c r="AC14" i="29"/>
  <c r="OM13" i="29"/>
  <c r="OO13" i="29" s="1"/>
  <c r="NH13" i="29"/>
  <c r="NJ13" i="29" s="1"/>
  <c r="MC13" i="29"/>
  <c r="ME13" i="29" s="1"/>
  <c r="KX13" i="29"/>
  <c r="KZ13" i="29" s="1"/>
  <c r="JS13" i="29"/>
  <c r="JU13" i="29" s="1"/>
  <c r="IN13" i="29"/>
  <c r="IP13" i="29" s="1"/>
  <c r="HI13" i="29"/>
  <c r="HK13" i="29" s="1"/>
  <c r="GD13" i="29"/>
  <c r="GF13" i="29" s="1"/>
  <c r="EY13" i="29"/>
  <c r="FA13" i="29" s="1"/>
  <c r="DS13" i="29"/>
  <c r="DU13" i="29" s="1"/>
  <c r="CM13" i="29"/>
  <c r="CO13" i="29" s="1"/>
  <c r="BH13" i="29"/>
  <c r="BJ13" i="29" s="1"/>
  <c r="AC13" i="29"/>
  <c r="AE13" i="29" s="1"/>
  <c r="OM12" i="29"/>
  <c r="OO12" i="29" s="1"/>
  <c r="NH12" i="29"/>
  <c r="NJ12" i="29" s="1"/>
  <c r="MC12" i="29"/>
  <c r="ME12" i="29" s="1"/>
  <c r="KX12" i="29"/>
  <c r="KZ12" i="29" s="1"/>
  <c r="JS12" i="29"/>
  <c r="JU12" i="29" s="1"/>
  <c r="IN12" i="29"/>
  <c r="IP12" i="29" s="1"/>
  <c r="HI12" i="29"/>
  <c r="HK12" i="29" s="1"/>
  <c r="GD12" i="29"/>
  <c r="GF12" i="29" s="1"/>
  <c r="EY12" i="29"/>
  <c r="FA12" i="29" s="1"/>
  <c r="DS12" i="29"/>
  <c r="DU12" i="29" s="1"/>
  <c r="CM12" i="29"/>
  <c r="CO12" i="29" s="1"/>
  <c r="BH12" i="29"/>
  <c r="BJ12" i="29" s="1"/>
  <c r="AC12" i="29"/>
  <c r="AE12" i="29" s="1"/>
  <c r="OM11" i="29"/>
  <c r="OO11" i="29" s="1"/>
  <c r="NH11" i="29"/>
  <c r="NJ11" i="29" s="1"/>
  <c r="MC11" i="29"/>
  <c r="ME11" i="29" s="1"/>
  <c r="KX11" i="29"/>
  <c r="KZ11" i="29" s="1"/>
  <c r="JS11" i="29"/>
  <c r="JU11" i="29" s="1"/>
  <c r="IN11" i="29"/>
  <c r="IP11" i="29" s="1"/>
  <c r="HI11" i="29"/>
  <c r="HK11" i="29" s="1"/>
  <c r="GD11" i="29"/>
  <c r="GF11" i="29" s="1"/>
  <c r="EY11" i="29"/>
  <c r="FA11" i="29" s="1"/>
  <c r="DS11" i="29"/>
  <c r="DU11" i="29" s="1"/>
  <c r="CM11" i="29"/>
  <c r="CO11" i="29" s="1"/>
  <c r="BH11" i="29"/>
  <c r="BJ11" i="29" s="1"/>
  <c r="AC11" i="29"/>
  <c r="AE11" i="29" s="1"/>
  <c r="OM10" i="29"/>
  <c r="OO10" i="29" s="1"/>
  <c r="NH10" i="29"/>
  <c r="NJ10" i="29" s="1"/>
  <c r="MC10" i="29"/>
  <c r="ME10" i="29" s="1"/>
  <c r="KX10" i="29"/>
  <c r="KZ10" i="29" s="1"/>
  <c r="JS10" i="29"/>
  <c r="JU10" i="29" s="1"/>
  <c r="IN10" i="29"/>
  <c r="IP10" i="29" s="1"/>
  <c r="HI10" i="29"/>
  <c r="HK10" i="29" s="1"/>
  <c r="GD10" i="29"/>
  <c r="GF10" i="29" s="1"/>
  <c r="EY10" i="29"/>
  <c r="FA10" i="29" s="1"/>
  <c r="DS10" i="29"/>
  <c r="DU10" i="29" s="1"/>
  <c r="CM10" i="29"/>
  <c r="CO10" i="29" s="1"/>
  <c r="BH10" i="29"/>
  <c r="BJ10" i="29" s="1"/>
  <c r="AC10" i="29"/>
  <c r="AE10" i="29" s="1"/>
  <c r="OM9" i="29"/>
  <c r="OO9" i="29" s="1"/>
  <c r="NH9" i="29"/>
  <c r="NJ9" i="29" s="1"/>
  <c r="MC9" i="29"/>
  <c r="ME9" i="29" s="1"/>
  <c r="KX9" i="29"/>
  <c r="KZ9" i="29" s="1"/>
  <c r="JS9" i="29"/>
  <c r="JU9" i="29" s="1"/>
  <c r="IN9" i="29"/>
  <c r="IP9" i="29" s="1"/>
  <c r="HI9" i="29"/>
  <c r="HK9" i="29" s="1"/>
  <c r="GD9" i="29"/>
  <c r="GF9" i="29" s="1"/>
  <c r="EY9" i="29"/>
  <c r="FA9" i="29" s="1"/>
  <c r="DS9" i="29"/>
  <c r="DU9" i="29" s="1"/>
  <c r="CM9" i="29"/>
  <c r="CO9" i="29" s="1"/>
  <c r="BH9" i="29"/>
  <c r="BJ9" i="29" s="1"/>
  <c r="AC9" i="29"/>
  <c r="AE9" i="29" s="1"/>
  <c r="OM8" i="29"/>
  <c r="OO8" i="29" s="1"/>
  <c r="NH8" i="29"/>
  <c r="NJ8" i="29" s="1"/>
  <c r="MC8" i="29"/>
  <c r="ME8" i="29" s="1"/>
  <c r="KX8" i="29"/>
  <c r="KZ8" i="29" s="1"/>
  <c r="JS8" i="29"/>
  <c r="JU8" i="29" s="1"/>
  <c r="IN8" i="29"/>
  <c r="IP8" i="29" s="1"/>
  <c r="HI8" i="29"/>
  <c r="HK8" i="29" s="1"/>
  <c r="GD8" i="29"/>
  <c r="GF8" i="29" s="1"/>
  <c r="EY8" i="29"/>
  <c r="FA8" i="29" s="1"/>
  <c r="DS8" i="29"/>
  <c r="DU8" i="29" s="1"/>
  <c r="CM8" i="29"/>
  <c r="CO8" i="29" s="1"/>
  <c r="BH8" i="29"/>
  <c r="BJ8" i="29" s="1"/>
  <c r="AC8" i="29"/>
  <c r="AE8" i="29" s="1"/>
  <c r="OM7" i="29"/>
  <c r="OO7" i="29" s="1"/>
  <c r="NH7" i="29"/>
  <c r="NJ7" i="29" s="1"/>
  <c r="MC7" i="29"/>
  <c r="ME7" i="29" s="1"/>
  <c r="KX7" i="29"/>
  <c r="KZ7" i="29" s="1"/>
  <c r="JS7" i="29"/>
  <c r="JU7" i="29" s="1"/>
  <c r="IN7" i="29"/>
  <c r="IP7" i="29" s="1"/>
  <c r="HI7" i="29"/>
  <c r="HK7" i="29" s="1"/>
  <c r="GD7" i="29"/>
  <c r="GF7" i="29" s="1"/>
  <c r="EY7" i="29"/>
  <c r="FA7" i="29" s="1"/>
  <c r="DS7" i="29"/>
  <c r="DU7" i="29" s="1"/>
  <c r="CM7" i="29"/>
  <c r="CO7" i="29" s="1"/>
  <c r="BH7" i="29"/>
  <c r="BJ7" i="29" s="1"/>
  <c r="AC7" i="29"/>
  <c r="AE7" i="29" s="1"/>
  <c r="CP23" i="29" l="1"/>
  <c r="AF35" i="29"/>
  <c r="PU11" i="29"/>
  <c r="PU47" i="29"/>
  <c r="PU15" i="29"/>
  <c r="PU19" i="29"/>
  <c r="PU43" i="29"/>
  <c r="PU7" i="29"/>
  <c r="PU35" i="29"/>
  <c r="PU27" i="29"/>
  <c r="PU39" i="29"/>
  <c r="PU31" i="29"/>
  <c r="PU23" i="29"/>
  <c r="PU51" i="29"/>
  <c r="LA19" i="29"/>
  <c r="DV39" i="29"/>
  <c r="LA7" i="29"/>
  <c r="OP35" i="29"/>
  <c r="NK19" i="29"/>
  <c r="IQ43" i="29"/>
  <c r="OP11" i="29"/>
  <c r="OP15" i="29"/>
  <c r="DV19" i="29"/>
  <c r="BK31" i="29"/>
  <c r="BK7" i="29"/>
  <c r="FB11" i="29"/>
  <c r="HL27" i="29"/>
  <c r="NK23" i="29"/>
  <c r="OP23" i="29"/>
  <c r="GG7" i="29"/>
  <c r="LA47" i="29"/>
  <c r="BK51" i="29"/>
  <c r="FB23" i="29"/>
  <c r="MF27" i="29"/>
  <c r="GG31" i="29"/>
  <c r="HL31" i="29"/>
  <c r="CP27" i="29"/>
  <c r="HL39" i="29"/>
  <c r="MF23" i="29"/>
  <c r="JV51" i="29"/>
  <c r="GG51" i="29"/>
  <c r="MF43" i="29"/>
  <c r="MF47" i="29"/>
  <c r="HL43" i="29"/>
  <c r="FB35" i="29"/>
  <c r="IQ7" i="29"/>
  <c r="JV35" i="29"/>
  <c r="GG35" i="29"/>
  <c r="GG47" i="29"/>
  <c r="CP47" i="29"/>
  <c r="GG39" i="29"/>
  <c r="IQ27" i="29"/>
  <c r="LA31" i="29"/>
  <c r="NK43" i="29"/>
  <c r="MF51" i="29"/>
  <c r="AF7" i="29"/>
  <c r="JV7" i="29"/>
  <c r="GG15" i="29"/>
  <c r="FB31" i="29"/>
  <c r="DV35" i="29"/>
  <c r="MF35" i="29"/>
  <c r="FB43" i="29"/>
  <c r="DV11" i="29"/>
  <c r="OP19" i="29"/>
  <c r="GG27" i="29"/>
  <c r="AF39" i="29"/>
  <c r="JV39" i="29"/>
  <c r="FB19" i="29"/>
  <c r="CP7" i="29"/>
  <c r="IQ15" i="29"/>
  <c r="IQ23" i="29"/>
  <c r="NK39" i="29"/>
  <c r="MF7" i="29"/>
  <c r="AF15" i="29"/>
  <c r="JV15" i="29"/>
  <c r="CP15" i="29"/>
  <c r="HL7" i="29"/>
  <c r="DV7" i="29"/>
  <c r="NK7" i="29"/>
  <c r="BK15" i="29"/>
  <c r="BK19" i="29"/>
  <c r="AF23" i="29"/>
  <c r="JV23" i="29"/>
  <c r="HL35" i="29"/>
  <c r="LA39" i="29"/>
  <c r="BK47" i="29"/>
  <c r="NK51" i="29"/>
  <c r="FB7" i="29"/>
  <c r="OP7" i="29"/>
  <c r="AF11" i="29"/>
  <c r="MF15" i="29"/>
  <c r="AF19" i="29"/>
  <c r="IQ19" i="29"/>
  <c r="NK27" i="29"/>
  <c r="AF31" i="29"/>
  <c r="LA35" i="29"/>
  <c r="CP43" i="29"/>
  <c r="AF51" i="29"/>
  <c r="IQ51" i="29"/>
  <c r="DV27" i="29"/>
  <c r="OP31" i="29"/>
  <c r="FB51" i="29"/>
  <c r="JV19" i="29"/>
  <c r="JV31" i="29"/>
  <c r="BK35" i="29"/>
  <c r="IQ39" i="29"/>
  <c r="BK43" i="29"/>
  <c r="LA27" i="29"/>
  <c r="HL47" i="29"/>
  <c r="BK11" i="29"/>
  <c r="LA11" i="29"/>
  <c r="IQ11" i="29"/>
  <c r="HL15" i="29"/>
  <c r="CP11" i="29"/>
  <c r="MF11" i="29"/>
  <c r="HL23" i="29"/>
  <c r="BK27" i="29"/>
  <c r="JV11" i="29"/>
  <c r="NK11" i="29"/>
  <c r="LA15" i="29"/>
  <c r="GG11" i="29"/>
  <c r="LA51" i="29"/>
  <c r="HL11" i="29"/>
  <c r="GG19" i="29"/>
  <c r="DV23" i="29"/>
  <c r="FB15" i="29"/>
  <c r="OP51" i="29"/>
  <c r="IQ31" i="29"/>
  <c r="AF47" i="29"/>
  <c r="OP47" i="29"/>
  <c r="LA23" i="29"/>
  <c r="FB39" i="29"/>
  <c r="OP39" i="29"/>
  <c r="HL51" i="29"/>
  <c r="OP27" i="29"/>
  <c r="CP35" i="29"/>
  <c r="GG43" i="29"/>
  <c r="DV43" i="29"/>
  <c r="IQ47" i="29"/>
  <c r="MF19" i="29"/>
  <c r="JV27" i="29"/>
  <c r="DV31" i="29"/>
  <c r="BK39" i="29"/>
  <c r="AF43" i="29"/>
  <c r="OP43" i="29"/>
  <c r="JV47" i="29"/>
  <c r="NK15" i="29"/>
  <c r="HL19" i="29"/>
  <c r="BK23" i="29"/>
  <c r="NK35" i="29"/>
  <c r="CP51" i="29"/>
  <c r="GG23" i="29"/>
  <c r="FB27" i="29"/>
  <c r="CP31" i="29"/>
  <c r="MF31" i="29"/>
  <c r="CP39" i="29"/>
  <c r="DV47" i="29"/>
  <c r="DV15" i="29"/>
  <c r="CP19" i="29"/>
  <c r="DV51" i="29"/>
  <c r="AF27" i="29"/>
  <c r="NK31" i="29"/>
  <c r="JV43" i="29"/>
  <c r="FB47" i="29"/>
  <c r="IQ35" i="29"/>
  <c r="MF39" i="29"/>
  <c r="LA43" i="29"/>
  <c r="NK47" i="29"/>
  <c r="PU55" i="29" l="1"/>
  <c r="GG55" i="29"/>
  <c r="IQ55" i="29"/>
  <c r="MF55" i="29"/>
  <c r="FB55" i="29"/>
  <c r="CP55" i="29"/>
  <c r="OP55" i="29"/>
  <c r="DV55" i="29"/>
  <c r="HL55" i="29"/>
  <c r="LA55" i="29"/>
  <c r="BK55" i="29"/>
  <c r="JV55" i="29"/>
  <c r="AF55" i="29"/>
  <c r="NK55" i="29"/>
  <c r="BO4" i="29" l="1"/>
  <c r="C5" i="28"/>
  <c r="F5" i="28" s="1"/>
  <c r="LE4" i="29"/>
  <c r="C13" i="28"/>
  <c r="F13" i="28" s="1"/>
  <c r="FF4" i="29"/>
  <c r="C8" i="28"/>
  <c r="F8" i="28" s="1"/>
  <c r="AJ4" i="29"/>
  <c r="C4" i="28"/>
  <c r="F4" i="28" s="1"/>
  <c r="NO4" i="29"/>
  <c r="C15" i="28"/>
  <c r="F15" i="28" s="1"/>
  <c r="EA4" i="29"/>
  <c r="C7" i="28"/>
  <c r="F7" i="28" s="1"/>
  <c r="HP4" i="29"/>
  <c r="C10" i="28"/>
  <c r="F10" i="28" s="1"/>
  <c r="MJ4" i="29"/>
  <c r="C14" i="28"/>
  <c r="F14" i="28" s="1"/>
  <c r="E4" i="29"/>
  <c r="C3" i="28"/>
  <c r="OT4" i="29"/>
  <c r="C16" i="28"/>
  <c r="F16" i="28" s="1"/>
  <c r="IU4" i="29"/>
  <c r="C11" i="28"/>
  <c r="F11" i="28" s="1"/>
  <c r="JZ4" i="29"/>
  <c r="C12" i="28"/>
  <c r="F12" i="28" s="1"/>
  <c r="GK4" i="29"/>
  <c r="C9" i="28"/>
  <c r="F9" i="28" s="1"/>
  <c r="CU4" i="29"/>
  <c r="C6" i="28"/>
  <c r="F6" i="28" s="1"/>
  <c r="AA54" i="26"/>
  <c r="AC54" i="26" s="1"/>
  <c r="AA53" i="26"/>
  <c r="AC53" i="26" s="1"/>
  <c r="AA52" i="26"/>
  <c r="AC52" i="26" s="1"/>
  <c r="AA51" i="26"/>
  <c r="AC51" i="26" s="1"/>
  <c r="AA50" i="26"/>
  <c r="AC50" i="26" s="1"/>
  <c r="AA49" i="26"/>
  <c r="AC49" i="26" s="1"/>
  <c r="AA48" i="26"/>
  <c r="AC48" i="26" s="1"/>
  <c r="AA47" i="26"/>
  <c r="AC47" i="26" s="1"/>
  <c r="AA46" i="26"/>
  <c r="AC46" i="26" s="1"/>
  <c r="AA45" i="26"/>
  <c r="AC45" i="26" s="1"/>
  <c r="AA44" i="26"/>
  <c r="AC44" i="26" s="1"/>
  <c r="AA43" i="26"/>
  <c r="AC43" i="26" s="1"/>
  <c r="AA42" i="26"/>
  <c r="AC42" i="26" s="1"/>
  <c r="AA41" i="26"/>
  <c r="AC41" i="26" s="1"/>
  <c r="AA40" i="26"/>
  <c r="AC40" i="26" s="1"/>
  <c r="AA39" i="26"/>
  <c r="AC39" i="26" s="1"/>
  <c r="AC38" i="26"/>
  <c r="AA38" i="26"/>
  <c r="AA37" i="26"/>
  <c r="AC37" i="26" s="1"/>
  <c r="AA36" i="26"/>
  <c r="AC36" i="26" s="1"/>
  <c r="AA35" i="26"/>
  <c r="AC35" i="26" s="1"/>
  <c r="AA34" i="26"/>
  <c r="AC34" i="26" s="1"/>
  <c r="AC33" i="26"/>
  <c r="AA33" i="26"/>
  <c r="AA32" i="26"/>
  <c r="AC32" i="26" s="1"/>
  <c r="AA31" i="26"/>
  <c r="AC31" i="26" s="1"/>
  <c r="AA30" i="26"/>
  <c r="AC30" i="26" s="1"/>
  <c r="AA29" i="26"/>
  <c r="AC29" i="26" s="1"/>
  <c r="AA28" i="26"/>
  <c r="AC28" i="26" s="1"/>
  <c r="AA27" i="26"/>
  <c r="AC27" i="26" s="1"/>
  <c r="AA26" i="26"/>
  <c r="AC26" i="26" s="1"/>
  <c r="AA25" i="26"/>
  <c r="AC25" i="26" s="1"/>
  <c r="AA24" i="26"/>
  <c r="AC24" i="26" s="1"/>
  <c r="AA23" i="26"/>
  <c r="AC23" i="26" s="1"/>
  <c r="AC22" i="26"/>
  <c r="AA22" i="26"/>
  <c r="AA21" i="26"/>
  <c r="AC21" i="26" s="1"/>
  <c r="AA20" i="26"/>
  <c r="AC20" i="26" s="1"/>
  <c r="AA19" i="26"/>
  <c r="AC19" i="26" s="1"/>
  <c r="AA18" i="26"/>
  <c r="AC18" i="26" s="1"/>
  <c r="AA17" i="26"/>
  <c r="AC17" i="26" s="1"/>
  <c r="AA16" i="26"/>
  <c r="AC16" i="26" s="1"/>
  <c r="AA15" i="26"/>
  <c r="AC15" i="26" s="1"/>
  <c r="AA14" i="26"/>
  <c r="AC14" i="26" s="1"/>
  <c r="AA13" i="26"/>
  <c r="AC13" i="26" s="1"/>
  <c r="AA12" i="26"/>
  <c r="AC12" i="26" s="1"/>
  <c r="AA11" i="26"/>
  <c r="AC11" i="26" s="1"/>
  <c r="AA10" i="26"/>
  <c r="AC10" i="26" s="1"/>
  <c r="AA9" i="26"/>
  <c r="AC9" i="26" s="1"/>
  <c r="AA8" i="26"/>
  <c r="AC8" i="26" s="1"/>
  <c r="AA7" i="26"/>
  <c r="AC7" i="26" s="1"/>
  <c r="AA54" i="24"/>
  <c r="AC54" i="24" s="1"/>
  <c r="AA53" i="24"/>
  <c r="AC53" i="24" s="1"/>
  <c r="AA52" i="24"/>
  <c r="AC52" i="24" s="1"/>
  <c r="AA51" i="24"/>
  <c r="AC51" i="24" s="1"/>
  <c r="AA50" i="24"/>
  <c r="AC50" i="24" s="1"/>
  <c r="AA49" i="24"/>
  <c r="AC49" i="24" s="1"/>
  <c r="AA48" i="24"/>
  <c r="AC48" i="24" s="1"/>
  <c r="AA47" i="24"/>
  <c r="AC47" i="24" s="1"/>
  <c r="AA46" i="24"/>
  <c r="AC46" i="24" s="1"/>
  <c r="AA45" i="24"/>
  <c r="AC45" i="24" s="1"/>
  <c r="AA44" i="24"/>
  <c r="AC44" i="24" s="1"/>
  <c r="AA43" i="24"/>
  <c r="AC43" i="24" s="1"/>
  <c r="AA42" i="24"/>
  <c r="AC42" i="24" s="1"/>
  <c r="AA41" i="24"/>
  <c r="AC41" i="24" s="1"/>
  <c r="AA40" i="24"/>
  <c r="AC40" i="24" s="1"/>
  <c r="AA39" i="24"/>
  <c r="AC39" i="24" s="1"/>
  <c r="AA38" i="24"/>
  <c r="AC38" i="24" s="1"/>
  <c r="AA37" i="24"/>
  <c r="AC37" i="24" s="1"/>
  <c r="AA36" i="24"/>
  <c r="AC36" i="24" s="1"/>
  <c r="AA35" i="24"/>
  <c r="AC35" i="24" s="1"/>
  <c r="AA34" i="24"/>
  <c r="AC34" i="24" s="1"/>
  <c r="AA33" i="24"/>
  <c r="AC33" i="24" s="1"/>
  <c r="AA32" i="24"/>
  <c r="AC32" i="24" s="1"/>
  <c r="AA31" i="24"/>
  <c r="AC31" i="24" s="1"/>
  <c r="AA30" i="24"/>
  <c r="AC30" i="24" s="1"/>
  <c r="AA29" i="24"/>
  <c r="AC29" i="24" s="1"/>
  <c r="AA28" i="24"/>
  <c r="AC28" i="24" s="1"/>
  <c r="AA27" i="24"/>
  <c r="AC27" i="24" s="1"/>
  <c r="AA26" i="24"/>
  <c r="AC26" i="24" s="1"/>
  <c r="AA25" i="24"/>
  <c r="AC25" i="24" s="1"/>
  <c r="AA24" i="24"/>
  <c r="AC24" i="24" s="1"/>
  <c r="AA23" i="24"/>
  <c r="AC23" i="24" s="1"/>
  <c r="AA22" i="24"/>
  <c r="AC22" i="24" s="1"/>
  <c r="AA21" i="24"/>
  <c r="AC21" i="24" s="1"/>
  <c r="AA20" i="24"/>
  <c r="AC20" i="24" s="1"/>
  <c r="AA19" i="24"/>
  <c r="AC19" i="24" s="1"/>
  <c r="AA18" i="24"/>
  <c r="AC18" i="24" s="1"/>
  <c r="AA17" i="24"/>
  <c r="AC17" i="24" s="1"/>
  <c r="AA16" i="24"/>
  <c r="AC16" i="24" s="1"/>
  <c r="AA15" i="24"/>
  <c r="AC15" i="24" s="1"/>
  <c r="AA14" i="24"/>
  <c r="AC14" i="24" s="1"/>
  <c r="AA13" i="24"/>
  <c r="AC13" i="24" s="1"/>
  <c r="AA12" i="24"/>
  <c r="AC12" i="24" s="1"/>
  <c r="AA11" i="24"/>
  <c r="AC11" i="24" s="1"/>
  <c r="AA10" i="24"/>
  <c r="AC10" i="24" s="1"/>
  <c r="AA9" i="24"/>
  <c r="AC9" i="24" s="1"/>
  <c r="AA8" i="24"/>
  <c r="AC8" i="24" s="1"/>
  <c r="AA7" i="24"/>
  <c r="AC7" i="24" s="1"/>
  <c r="AA7" i="20"/>
  <c r="AA8" i="20"/>
  <c r="AA9" i="20"/>
  <c r="AA10" i="20"/>
  <c r="AA11" i="20"/>
  <c r="AA12" i="20"/>
  <c r="AA13" i="20"/>
  <c r="AA15" i="20"/>
  <c r="AA16" i="20"/>
  <c r="AA17" i="20"/>
  <c r="AA18" i="20"/>
  <c r="AA19" i="20"/>
  <c r="AA20" i="20"/>
  <c r="AA21" i="20"/>
  <c r="AA22" i="20"/>
  <c r="AA23" i="20"/>
  <c r="AA24" i="20"/>
  <c r="AA25" i="20"/>
  <c r="AA26" i="20"/>
  <c r="AA27" i="20"/>
  <c r="AA28" i="20"/>
  <c r="AA29" i="20"/>
  <c r="AA30" i="20"/>
  <c r="AA31" i="20"/>
  <c r="AA32" i="20"/>
  <c r="AA33" i="20"/>
  <c r="AA34" i="20"/>
  <c r="AA35" i="20"/>
  <c r="AA36" i="20"/>
  <c r="AA37" i="20"/>
  <c r="AA38" i="20"/>
  <c r="AA39" i="20"/>
  <c r="AA40" i="20"/>
  <c r="AA41" i="20"/>
  <c r="AA43" i="20"/>
  <c r="AA44" i="20"/>
  <c r="AA45" i="20"/>
  <c r="AA46" i="20"/>
  <c r="AA47" i="20"/>
  <c r="AA48" i="20"/>
  <c r="AA49" i="20"/>
  <c r="AA50" i="20"/>
  <c r="AA51" i="20"/>
  <c r="AA52" i="20"/>
  <c r="AA53" i="20"/>
  <c r="AA54" i="20"/>
  <c r="AA54" i="15"/>
  <c r="AC54" i="15" s="1"/>
  <c r="AA53" i="15"/>
  <c r="AC53" i="15" s="1"/>
  <c r="AA52" i="15"/>
  <c r="AC52" i="15" s="1"/>
  <c r="AA51" i="15"/>
  <c r="AC51" i="15" s="1"/>
  <c r="AA50" i="15"/>
  <c r="AC50" i="15" s="1"/>
  <c r="AA49" i="15"/>
  <c r="AC49" i="15" s="1"/>
  <c r="AA48" i="15"/>
  <c r="AC48" i="15" s="1"/>
  <c r="AA47" i="15"/>
  <c r="AC47" i="15" s="1"/>
  <c r="AA46" i="15"/>
  <c r="AC46" i="15" s="1"/>
  <c r="AA45" i="15"/>
  <c r="AC45" i="15" s="1"/>
  <c r="AA44" i="15"/>
  <c r="AC44" i="15" s="1"/>
  <c r="AA43" i="15"/>
  <c r="AC43" i="15" s="1"/>
  <c r="AA42" i="15"/>
  <c r="AC42" i="15" s="1"/>
  <c r="AA41" i="15"/>
  <c r="AC41" i="15" s="1"/>
  <c r="AA40" i="15"/>
  <c r="AC40" i="15" s="1"/>
  <c r="AA39" i="15"/>
  <c r="AC39" i="15" s="1"/>
  <c r="AA38" i="15"/>
  <c r="AC38" i="15" s="1"/>
  <c r="AA37" i="15"/>
  <c r="AC37" i="15" s="1"/>
  <c r="AA36" i="15"/>
  <c r="AC36" i="15" s="1"/>
  <c r="AA35" i="15"/>
  <c r="AC35" i="15" s="1"/>
  <c r="AA34" i="15"/>
  <c r="AC34" i="15" s="1"/>
  <c r="AA33" i="15"/>
  <c r="AC33" i="15" s="1"/>
  <c r="AA32" i="15"/>
  <c r="AC32" i="15" s="1"/>
  <c r="AA31" i="15"/>
  <c r="AC31" i="15" s="1"/>
  <c r="AA30" i="15"/>
  <c r="AC30" i="15" s="1"/>
  <c r="AA29" i="15"/>
  <c r="AC29" i="15" s="1"/>
  <c r="AA28" i="15"/>
  <c r="AC28" i="15" s="1"/>
  <c r="AA27" i="15"/>
  <c r="AC27" i="15" s="1"/>
  <c r="AA26" i="15"/>
  <c r="AC26" i="15" s="1"/>
  <c r="AA25" i="15"/>
  <c r="AC25" i="15" s="1"/>
  <c r="AA24" i="15"/>
  <c r="AC24" i="15" s="1"/>
  <c r="AA23" i="15"/>
  <c r="AC23" i="15" s="1"/>
  <c r="AA22" i="15"/>
  <c r="AC22" i="15" s="1"/>
  <c r="AA21" i="15"/>
  <c r="AC21" i="15" s="1"/>
  <c r="AA20" i="15"/>
  <c r="AC20" i="15" s="1"/>
  <c r="AA19" i="15"/>
  <c r="AC19" i="15" s="1"/>
  <c r="AA18" i="15"/>
  <c r="AC18" i="15" s="1"/>
  <c r="AA17" i="15"/>
  <c r="AC17" i="15" s="1"/>
  <c r="AA16" i="15"/>
  <c r="AC16" i="15" s="1"/>
  <c r="AA15" i="15"/>
  <c r="AC15" i="15" s="1"/>
  <c r="AA14" i="15"/>
  <c r="AC14" i="15" s="1"/>
  <c r="AA13" i="15"/>
  <c r="AC13" i="15" s="1"/>
  <c r="AA12" i="15"/>
  <c r="AC12" i="15" s="1"/>
  <c r="AA11" i="15"/>
  <c r="AC11" i="15" s="1"/>
  <c r="AA10" i="15"/>
  <c r="AC10" i="15" s="1"/>
  <c r="AA9" i="15"/>
  <c r="AC9" i="15" s="1"/>
  <c r="AA8" i="15"/>
  <c r="AC8" i="15" s="1"/>
  <c r="AA7" i="15"/>
  <c r="AC7" i="15" s="1"/>
  <c r="AA54" i="22"/>
  <c r="AC54" i="22" s="1"/>
  <c r="AA53" i="22"/>
  <c r="AC53" i="22" s="1"/>
  <c r="AA52" i="22"/>
  <c r="AC52" i="22" s="1"/>
  <c r="AA51" i="22"/>
  <c r="AC51" i="22" s="1"/>
  <c r="AA50" i="22"/>
  <c r="AC50" i="22" s="1"/>
  <c r="AA49" i="22"/>
  <c r="AC49" i="22" s="1"/>
  <c r="AA48" i="22"/>
  <c r="AC48" i="22" s="1"/>
  <c r="AA47" i="22"/>
  <c r="AC47" i="22" s="1"/>
  <c r="AA46" i="22"/>
  <c r="AC46" i="22" s="1"/>
  <c r="AA45" i="22"/>
  <c r="AC45" i="22" s="1"/>
  <c r="AA44" i="22"/>
  <c r="AC44" i="22" s="1"/>
  <c r="AA43" i="22"/>
  <c r="AC43" i="22" s="1"/>
  <c r="AA42" i="22"/>
  <c r="AC42" i="22" s="1"/>
  <c r="AA41" i="22"/>
  <c r="AC41" i="22" s="1"/>
  <c r="AA40" i="22"/>
  <c r="AC40" i="22" s="1"/>
  <c r="AA39" i="22"/>
  <c r="AC39" i="22" s="1"/>
  <c r="AA38" i="22"/>
  <c r="AC38" i="22" s="1"/>
  <c r="AA37" i="22"/>
  <c r="AC37" i="22" s="1"/>
  <c r="AA36" i="22"/>
  <c r="AC36" i="22" s="1"/>
  <c r="AA35" i="22"/>
  <c r="AC35" i="22" s="1"/>
  <c r="AA34" i="22"/>
  <c r="AC34" i="22" s="1"/>
  <c r="AA33" i="22"/>
  <c r="AC33" i="22" s="1"/>
  <c r="AA32" i="22"/>
  <c r="AC32" i="22" s="1"/>
  <c r="AA31" i="22"/>
  <c r="AC31" i="22" s="1"/>
  <c r="AA30" i="22"/>
  <c r="AC30" i="22" s="1"/>
  <c r="AA29" i="22"/>
  <c r="AC29" i="22" s="1"/>
  <c r="AA28" i="22"/>
  <c r="AC28" i="22" s="1"/>
  <c r="AA27" i="22"/>
  <c r="AC27" i="22" s="1"/>
  <c r="AA26" i="22"/>
  <c r="AC26" i="22" s="1"/>
  <c r="AA25" i="22"/>
  <c r="AC25" i="22" s="1"/>
  <c r="AA24" i="22"/>
  <c r="AC24" i="22" s="1"/>
  <c r="AA23" i="22"/>
  <c r="AC23" i="22" s="1"/>
  <c r="AA22" i="22"/>
  <c r="AC22" i="22" s="1"/>
  <c r="AA21" i="22"/>
  <c r="AC21" i="22" s="1"/>
  <c r="AA20" i="22"/>
  <c r="AC20" i="22" s="1"/>
  <c r="AA19" i="22"/>
  <c r="AC19" i="22" s="1"/>
  <c r="AA18" i="22"/>
  <c r="AC18" i="22" s="1"/>
  <c r="AA17" i="22"/>
  <c r="AC17" i="22" s="1"/>
  <c r="AA16" i="22"/>
  <c r="AC16" i="22" s="1"/>
  <c r="AA15" i="22"/>
  <c r="AC15" i="22" s="1"/>
  <c r="AA14" i="22"/>
  <c r="AC14" i="22" s="1"/>
  <c r="AA13" i="22"/>
  <c r="AC13" i="22" s="1"/>
  <c r="AA12" i="22"/>
  <c r="AC12" i="22" s="1"/>
  <c r="AA11" i="22"/>
  <c r="AC11" i="22" s="1"/>
  <c r="AA10" i="22"/>
  <c r="AC10" i="22" s="1"/>
  <c r="AA9" i="22"/>
  <c r="AC9" i="22" s="1"/>
  <c r="AA8" i="22"/>
  <c r="AC8" i="22" s="1"/>
  <c r="AA7" i="22"/>
  <c r="AC7" i="22" s="1"/>
  <c r="C17" i="28" l="1"/>
  <c r="D19" i="28" s="1"/>
  <c r="AD15" i="26"/>
  <c r="D8" i="25" s="1"/>
  <c r="AD7" i="26"/>
  <c r="D6" i="25" s="1"/>
  <c r="AD39" i="26"/>
  <c r="D14" i="25" s="1"/>
  <c r="AD47" i="26"/>
  <c r="D16" i="25" s="1"/>
  <c r="AD23" i="26"/>
  <c r="D10" i="25" s="1"/>
  <c r="AD31" i="26"/>
  <c r="D12" i="25" s="1"/>
  <c r="AD43" i="26"/>
  <c r="D15" i="25" s="1"/>
  <c r="AD51" i="26"/>
  <c r="D17" i="25" s="1"/>
  <c r="AD19" i="26"/>
  <c r="D9" i="25" s="1"/>
  <c r="AD35" i="26"/>
  <c r="D13" i="25" s="1"/>
  <c r="AD11" i="26"/>
  <c r="D7" i="25" s="1"/>
  <c r="AD27" i="26"/>
  <c r="D11" i="25" s="1"/>
  <c r="AD23" i="24"/>
  <c r="D10" i="23" s="1"/>
  <c r="AD39" i="24"/>
  <c r="D14" i="23" s="1"/>
  <c r="AD15" i="24"/>
  <c r="D8" i="23" s="1"/>
  <c r="AD7" i="24"/>
  <c r="D6" i="23" s="1"/>
  <c r="AD31" i="24"/>
  <c r="D12" i="23" s="1"/>
  <c r="AD47" i="24"/>
  <c r="D16" i="23" s="1"/>
  <c r="AD19" i="24"/>
  <c r="D9" i="23" s="1"/>
  <c r="AD11" i="24"/>
  <c r="D7" i="23" s="1"/>
  <c r="AD35" i="24"/>
  <c r="D13" i="23" s="1"/>
  <c r="AD51" i="24"/>
  <c r="D17" i="23" s="1"/>
  <c r="AD27" i="24"/>
  <c r="D11" i="23" s="1"/>
  <c r="AD43" i="24"/>
  <c r="D15" i="23" s="1"/>
  <c r="AD23" i="15"/>
  <c r="AD35" i="15"/>
  <c r="AD11" i="15"/>
  <c r="AD47" i="15"/>
  <c r="AD15" i="15"/>
  <c r="AD27" i="15"/>
  <c r="AD39" i="15"/>
  <c r="AD51" i="15"/>
  <c r="AD7" i="15"/>
  <c r="AD19" i="15"/>
  <c r="AD31" i="15"/>
  <c r="AD43" i="15"/>
  <c r="AD43" i="22"/>
  <c r="D15" i="21" s="1"/>
  <c r="AD31" i="22"/>
  <c r="D12" i="21" s="1"/>
  <c r="AD19" i="22"/>
  <c r="D9" i="21" s="1"/>
  <c r="AD11" i="22"/>
  <c r="D7" i="21" s="1"/>
  <c r="AD23" i="22"/>
  <c r="D10" i="21" s="1"/>
  <c r="AD27" i="22"/>
  <c r="D11" i="21" s="1"/>
  <c r="AD39" i="22"/>
  <c r="D14" i="21" s="1"/>
  <c r="AD47" i="22"/>
  <c r="D16" i="21" s="1"/>
  <c r="AD7" i="22"/>
  <c r="AD15" i="22"/>
  <c r="D8" i="21" s="1"/>
  <c r="AD51" i="22"/>
  <c r="D17" i="21" s="1"/>
  <c r="AD35" i="22"/>
  <c r="D13" i="21" s="1"/>
  <c r="AD55" i="26" l="1"/>
  <c r="C4" i="26" s="1"/>
  <c r="D18" i="25"/>
  <c r="D18" i="23"/>
  <c r="AD55" i="24"/>
  <c r="C4" i="24" s="1"/>
  <c r="AD55" i="15"/>
  <c r="C4" i="15" s="1"/>
  <c r="AD55" i="22"/>
  <c r="C4" i="22" s="1"/>
  <c r="D6" i="21"/>
  <c r="D18" i="21" s="1"/>
  <c r="AC54" i="20" l="1"/>
  <c r="AC53" i="20"/>
  <c r="AC52" i="20"/>
  <c r="AC51" i="20"/>
  <c r="AC50" i="20"/>
  <c r="AC49" i="20"/>
  <c r="AC48" i="20"/>
  <c r="AC47" i="20"/>
  <c r="AC46" i="20"/>
  <c r="AC45" i="20"/>
  <c r="AC44" i="20"/>
  <c r="AC43" i="20"/>
  <c r="AC42" i="20"/>
  <c r="AC41" i="20"/>
  <c r="AC40" i="20"/>
  <c r="AC39" i="20"/>
  <c r="AC38" i="20"/>
  <c r="AC37" i="20"/>
  <c r="AC36" i="20"/>
  <c r="AC35" i="20"/>
  <c r="AC34" i="20"/>
  <c r="AC33" i="20"/>
  <c r="AC32" i="20"/>
  <c r="AC31" i="20"/>
  <c r="AC30" i="20"/>
  <c r="AC29" i="20"/>
  <c r="AC28" i="20"/>
  <c r="AC27" i="20"/>
  <c r="AC26" i="20"/>
  <c r="AC25" i="20"/>
  <c r="AC24" i="20"/>
  <c r="AC23" i="20"/>
  <c r="AC22" i="20"/>
  <c r="AC21" i="20"/>
  <c r="AC20" i="20"/>
  <c r="AC19" i="20"/>
  <c r="AC18" i="20"/>
  <c r="AC17" i="20"/>
  <c r="AC16" i="20"/>
  <c r="AC15" i="20"/>
  <c r="AC14" i="20"/>
  <c r="AC13" i="20"/>
  <c r="AC12" i="20"/>
  <c r="AC11" i="20"/>
  <c r="AC10" i="20"/>
  <c r="AC9" i="20"/>
  <c r="AC8" i="20"/>
  <c r="AC7" i="20"/>
  <c r="AD7" i="20" s="1"/>
  <c r="AD11" i="20" l="1"/>
  <c r="D7" i="19" s="1"/>
  <c r="AD39" i="20"/>
  <c r="D14" i="19" s="1"/>
  <c r="AD51" i="20"/>
  <c r="D17" i="19" s="1"/>
  <c r="AD23" i="20"/>
  <c r="D10" i="19" s="1"/>
  <c r="AD47" i="20"/>
  <c r="D16" i="19" s="1"/>
  <c r="AD15" i="20"/>
  <c r="D8" i="19" s="1"/>
  <c r="AD31" i="20"/>
  <c r="D12" i="19" s="1"/>
  <c r="AD43" i="20"/>
  <c r="D15" i="19" s="1"/>
  <c r="D6" i="19"/>
  <c r="AD27" i="20"/>
  <c r="D11" i="19" s="1"/>
  <c r="AD35" i="20"/>
  <c r="D13" i="19" s="1"/>
  <c r="AD19" i="20"/>
  <c r="D9" i="19" s="1"/>
  <c r="D18" i="19" l="1"/>
  <c r="AD55" i="20"/>
  <c r="C4" i="20" s="1"/>
  <c r="AA54" i="17"/>
  <c r="AC54" i="17" s="1"/>
  <c r="AA53" i="17"/>
  <c r="AC53" i="17" s="1"/>
  <c r="AA52" i="17"/>
  <c r="AC52" i="17" s="1"/>
  <c r="AA51" i="17"/>
  <c r="AC51" i="17" s="1"/>
  <c r="AA50" i="17"/>
  <c r="AC50" i="17" s="1"/>
  <c r="AA49" i="17"/>
  <c r="AC49" i="17" s="1"/>
  <c r="AA48" i="17"/>
  <c r="AC48" i="17" s="1"/>
  <c r="AA47" i="17"/>
  <c r="AC47" i="17" s="1"/>
  <c r="AA46" i="17"/>
  <c r="AC46" i="17" s="1"/>
  <c r="AA45" i="17"/>
  <c r="AC45" i="17" s="1"/>
  <c r="AA44" i="17"/>
  <c r="AC44" i="17" s="1"/>
  <c r="AA43" i="17"/>
  <c r="AC43" i="17" s="1"/>
  <c r="AA42" i="17"/>
  <c r="AC42" i="17" s="1"/>
  <c r="AA41" i="17"/>
  <c r="AC41" i="17" s="1"/>
  <c r="AA40" i="17"/>
  <c r="AC40" i="17" s="1"/>
  <c r="AA39" i="17"/>
  <c r="AC39" i="17" s="1"/>
  <c r="AA38" i="17"/>
  <c r="AC38" i="17" s="1"/>
  <c r="AA37" i="17"/>
  <c r="AC37" i="17" s="1"/>
  <c r="AA36" i="17"/>
  <c r="AC36" i="17" s="1"/>
  <c r="AA35" i="17"/>
  <c r="AC35" i="17" s="1"/>
  <c r="AA34" i="17"/>
  <c r="AC34" i="17" s="1"/>
  <c r="AA33" i="17"/>
  <c r="AC33" i="17" s="1"/>
  <c r="AA32" i="17"/>
  <c r="AC32" i="17" s="1"/>
  <c r="AA31" i="17"/>
  <c r="AC31" i="17" s="1"/>
  <c r="AA30" i="17"/>
  <c r="AC30" i="17" s="1"/>
  <c r="AA29" i="17"/>
  <c r="AC29" i="17" s="1"/>
  <c r="AA28" i="17"/>
  <c r="AC28" i="17" s="1"/>
  <c r="AA27" i="17"/>
  <c r="AC27" i="17" s="1"/>
  <c r="AA26" i="17"/>
  <c r="AC26" i="17" s="1"/>
  <c r="AA25" i="17"/>
  <c r="AC25" i="17" s="1"/>
  <c r="AA24" i="17"/>
  <c r="AC24" i="17" s="1"/>
  <c r="AA23" i="17"/>
  <c r="AC23" i="17" s="1"/>
  <c r="AA22" i="17"/>
  <c r="AC22" i="17" s="1"/>
  <c r="AA21" i="17"/>
  <c r="AC21" i="17" s="1"/>
  <c r="AA20" i="17"/>
  <c r="AC20" i="17" s="1"/>
  <c r="AA19" i="17"/>
  <c r="AC19" i="17" s="1"/>
  <c r="AA18" i="17"/>
  <c r="AC18" i="17" s="1"/>
  <c r="AA17" i="17"/>
  <c r="AC17" i="17" s="1"/>
  <c r="AA16" i="17"/>
  <c r="AC16" i="17" s="1"/>
  <c r="AA15" i="17"/>
  <c r="AC15" i="17" s="1"/>
  <c r="AA14" i="17"/>
  <c r="AC14" i="17" s="1"/>
  <c r="AA13" i="17"/>
  <c r="AC13" i="17" s="1"/>
  <c r="AA12" i="17"/>
  <c r="AC12" i="17" s="1"/>
  <c r="AA11" i="17"/>
  <c r="AC11" i="17" s="1"/>
  <c r="AA10" i="17"/>
  <c r="AC10" i="17" s="1"/>
  <c r="AA9" i="17"/>
  <c r="AC9" i="17" s="1"/>
  <c r="AA8" i="17"/>
  <c r="AC8" i="17" s="1"/>
  <c r="AA7" i="17"/>
  <c r="AC7" i="17" s="1"/>
  <c r="AD35" i="17" l="1"/>
  <c r="D13" i="16" s="1"/>
  <c r="AD15" i="17"/>
  <c r="D8" i="16" s="1"/>
  <c r="AD27" i="17"/>
  <c r="D11" i="16" s="1"/>
  <c r="AD7" i="17"/>
  <c r="D6" i="16" s="1"/>
  <c r="AD51" i="17"/>
  <c r="D17" i="16" s="1"/>
  <c r="AD19" i="17"/>
  <c r="D9" i="16" s="1"/>
  <c r="AD43" i="17"/>
  <c r="D15" i="16" s="1"/>
  <c r="AD23" i="17"/>
  <c r="D10" i="16" s="1"/>
  <c r="AD47" i="17"/>
  <c r="D16" i="16" s="1"/>
  <c r="AD39" i="17"/>
  <c r="D14" i="16" s="1"/>
  <c r="AD11" i="17"/>
  <c r="D7" i="16" s="1"/>
  <c r="AD31" i="17"/>
  <c r="D12" i="16" s="1"/>
  <c r="D18" i="16" l="1"/>
  <c r="AD55" i="17"/>
  <c r="C4" i="17" s="1"/>
  <c r="C6" i="14" l="1"/>
  <c r="C8" i="14"/>
  <c r="C14" i="14"/>
  <c r="C16" i="14"/>
  <c r="C11" i="14"/>
  <c r="C17" i="14"/>
  <c r="C15" i="14"/>
  <c r="C9" i="14"/>
  <c r="C10" i="14"/>
  <c r="C7" i="14"/>
  <c r="C13" i="14"/>
  <c r="C12" i="14" l="1"/>
  <c r="C18" i="14" s="1"/>
</calcChain>
</file>

<file path=xl/sharedStrings.xml><?xml version="1.0" encoding="utf-8"?>
<sst xmlns="http://schemas.openxmlformats.org/spreadsheetml/2006/main" count="2148" uniqueCount="101">
  <si>
    <t>OFERTA PRODUCTO 1</t>
  </si>
  <si>
    <t>MES</t>
  </si>
  <si>
    <t>ENERGIA  SOLICITADA (kWh)</t>
  </si>
  <si>
    <t>%</t>
  </si>
  <si>
    <t>ENERGIA  OFERTADA (kWh)</t>
  </si>
  <si>
    <t>PRECIO $/kWh</t>
  </si>
  <si>
    <t>$/kWh</t>
  </si>
  <si>
    <t>OFERTA PRODUCTO 2</t>
  </si>
  <si>
    <t>ENERGIA  SOLICITADA (KWh)</t>
  </si>
  <si>
    <t>ENERGIA  OFERTADA (KWh)</t>
  </si>
  <si>
    <t>OFERTA PRODUCTO 3</t>
  </si>
  <si>
    <t>OFERTA PRODUCTO 5</t>
  </si>
  <si>
    <t>Curva de distribucion en kwh</t>
  </si>
  <si>
    <t xml:space="preserve">TOTAL </t>
  </si>
  <si>
    <t>DÍA</t>
  </si>
  <si>
    <t>HORA 01</t>
  </si>
  <si>
    <t>HORA 02</t>
  </si>
  <si>
    <t>HORA 03</t>
  </si>
  <si>
    <t>HORA 04</t>
  </si>
  <si>
    <t>HORA 05</t>
  </si>
  <si>
    <t>HORA 06</t>
  </si>
  <si>
    <t>HORA 07</t>
  </si>
  <si>
    <t>HORA 08</t>
  </si>
  <si>
    <t>HORA 09</t>
  </si>
  <si>
    <t>HORA 10</t>
  </si>
  <si>
    <t>HORA 11</t>
  </si>
  <si>
    <t>HORA 12</t>
  </si>
  <si>
    <t>HORA 13</t>
  </si>
  <si>
    <t>HORA 14</t>
  </si>
  <si>
    <t>HORA 15</t>
  </si>
  <si>
    <t>HORA 16</t>
  </si>
  <si>
    <t>HORA 17</t>
  </si>
  <si>
    <t>HORA 18</t>
  </si>
  <si>
    <t>HORA 19</t>
  </si>
  <si>
    <t>HORA 20</t>
  </si>
  <si>
    <t>HORA 21</t>
  </si>
  <si>
    <t>HORA 22</t>
  </si>
  <si>
    <t>HORA 23</t>
  </si>
  <si>
    <t>HORA 24</t>
  </si>
  <si>
    <t>TOTAL DÍA</t>
  </si>
  <si>
    <t>NUMERO DÍAS</t>
  </si>
  <si>
    <t>TOTAL DÍA MES</t>
  </si>
  <si>
    <t>TOTAL MES</t>
  </si>
  <si>
    <t>Hábil</t>
  </si>
  <si>
    <t>Sábado</t>
  </si>
  <si>
    <t>Domingo</t>
  </si>
  <si>
    <t>Festivo</t>
  </si>
  <si>
    <t>* La energia a ofertar debe ser expresada únicamente en kilovatio (kWh) redondeado a cero decimales</t>
  </si>
  <si>
    <t>AÑO</t>
  </si>
  <si>
    <t>DIAS DE SUMINISTRO</t>
  </si>
  <si>
    <t>ENERGIA DIARIA SOLICITADA (kWh-DIA)</t>
  </si>
  <si>
    <t xml:space="preserve">PRECIO $/kWh </t>
  </si>
  <si>
    <r>
      <rPr>
        <b/>
        <sz val="11"/>
        <color theme="1"/>
        <rFont val="Calibri"/>
        <family val="2"/>
        <scheme val="minor"/>
      </rPr>
      <t>NOTA:</t>
    </r>
    <r>
      <rPr>
        <sz val="11"/>
        <color theme="1"/>
        <rFont val="Calibri"/>
        <family val="2"/>
        <scheme val="minor"/>
      </rPr>
      <t xml:space="preserve">  * La energia máxima solicitada para el producto 6,  debe ser distribuidad en el bloque B2, hora 8 a 17
             * La energia a ofertar debe ser expresada únicamente en kilovatio (kWh) redondeado a cero decimales</t>
    </r>
  </si>
  <si>
    <t>Tipo de oferta</t>
  </si>
  <si>
    <t>Bloque B2 (H8-17)</t>
  </si>
  <si>
    <t>Distribucion maxima kwh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</si>
  <si>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</si>
  <si>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</si>
  <si>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</si>
  <si>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</si>
  <si>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</si>
  <si>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</si>
  <si>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</si>
  <si>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</si>
  <si>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</si>
  <si>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</si>
  <si>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</si>
  <si>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</si>
  <si>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</si>
  <si>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</si>
  <si>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</si>
  <si>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</si>
  <si>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</si>
  <si>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</si>
  <si>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</si>
  <si>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</si>
  <si>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</si>
  <si>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</si>
  <si>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</si>
  <si>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</si>
  <si>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</t>
  </si>
  <si>
    <t>Diaria - 2027</t>
  </si>
  <si>
    <t>Diaria - 2028</t>
  </si>
  <si>
    <t>Diaria - 2029</t>
  </si>
  <si>
    <t>Diaria - 2030</t>
  </si>
  <si>
    <t>Diaria - 2031</t>
  </si>
  <si>
    <t>Diaria - 2032</t>
  </si>
  <si>
    <t>Diaria - 2033</t>
  </si>
  <si>
    <t>Diaria - 2034</t>
  </si>
  <si>
    <t>Diaria - 2035</t>
  </si>
  <si>
    <t>Diaria - 2036</t>
  </si>
  <si>
    <t>Diaria - 2037</t>
  </si>
  <si>
    <t>Diaria - 2038</t>
  </si>
  <si>
    <t>Diaria - 2039</t>
  </si>
  <si>
    <t>OFERTA PRODUCTO 8</t>
  </si>
  <si>
    <t>Diaria - 2040</t>
  </si>
  <si>
    <t>2027-2040</t>
  </si>
  <si>
    <t>ENERGIA  TOTAL SOLICITADA AÑO (KWh)</t>
  </si>
  <si>
    <t>OFERTA PRODUCTO 7</t>
  </si>
  <si>
    <t>DISTRIBUCION- PROD 8</t>
  </si>
  <si>
    <t>41096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</si>
</sst>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(* #,##0.00_);_(* \(#,##0.00\);_(* &quot;-&quot;??_);_(@_)"/>
    <numFmt numFmtId="166" formatCode="[$-C0A]mmm\-yy;@"/>
    <numFmt numFmtId="167" formatCode="_(* #,##0_);_(* \(#,##0\);_(* &quot;-&quot;??_);_(@_)"/>
    <numFmt numFmtId="168" formatCode="[$-C0A]dd\-mmm\-yy;@"/>
    <numFmt numFmtId="169" formatCode="0_);\(0\)"/>
    <numFmt numFmtId="170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8"/>
      <color theme="0"/>
      <name val="Arial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6"/>
        </stop>
      </gradientFill>
    </fill>
    <fill>
      <patternFill patternType="solid">
        <fgColor theme="6" tint="0.79998168889431442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rgb="FFC5E0B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499984740745262"/>
        <bgColor rgb="FFC5E0B3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DotDot">
        <color auto="1"/>
      </left>
      <right/>
      <top style="dashDotDot">
        <color auto="1"/>
      </top>
      <bottom style="dashDotDot">
        <color auto="1"/>
      </bottom>
      <diagonal/>
    </border>
    <border>
      <left/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dashDotDot">
        <color auto="1"/>
      </left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dashDotDot">
        <color indexed="64"/>
      </left>
      <right style="hair">
        <color indexed="64"/>
      </right>
      <top style="dashDotDot">
        <color indexed="64"/>
      </top>
      <bottom/>
      <diagonal/>
    </border>
    <border>
      <left style="hair">
        <color indexed="64"/>
      </left>
      <right style="hair">
        <color indexed="64"/>
      </right>
      <top style="dashDotDot">
        <color auto="1"/>
      </top>
      <bottom style="hair">
        <color indexed="64"/>
      </bottom>
      <diagonal/>
    </border>
    <border>
      <left style="hair">
        <color indexed="64"/>
      </left>
      <right style="dashDotDot">
        <color indexed="64"/>
      </right>
      <top style="dashDotDot">
        <color indexed="64"/>
      </top>
      <bottom style="hair">
        <color indexed="64"/>
      </bottom>
      <diagonal/>
    </border>
    <border>
      <left style="dashDotDot">
        <color indexed="64"/>
      </left>
      <right style="dashDotDot">
        <color indexed="64"/>
      </right>
      <top style="dashDotDot">
        <color indexed="64"/>
      </top>
      <bottom/>
      <diagonal/>
    </border>
    <border>
      <left style="dashDotDot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ashDotDot">
        <color auto="1"/>
      </left>
      <right style="dashDotDot">
        <color auto="1"/>
      </right>
      <top/>
      <bottom/>
      <diagonal/>
    </border>
    <border>
      <left style="dashDotDot">
        <color indexed="64"/>
      </left>
      <right style="hair">
        <color indexed="64"/>
      </right>
      <top/>
      <bottom style="dashDotDot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Dot">
        <color indexed="64"/>
      </bottom>
      <diagonal/>
    </border>
    <border>
      <left style="dashDotDot">
        <color indexed="64"/>
      </left>
      <right style="dashDotDot">
        <color indexed="64"/>
      </right>
      <top/>
      <bottom style="dashDot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ashDotDot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ashDotDot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ashDotDot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ashDotDot">
        <color indexed="64"/>
      </top>
      <bottom style="medium">
        <color indexed="64"/>
      </bottom>
      <diagonal/>
    </border>
    <border>
      <left style="dashDotDot">
        <color indexed="64"/>
      </left>
      <right style="dashDotDot">
        <color indexed="64"/>
      </right>
      <top style="medium">
        <color indexed="64"/>
      </top>
      <bottom/>
      <diagonal/>
    </border>
    <border>
      <left style="dashDotDot">
        <color indexed="64"/>
      </left>
      <right style="dashDotDot">
        <color indexed="64"/>
      </right>
      <top style="dashDotDot">
        <color indexed="64"/>
      </top>
      <bottom style="medium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" fillId="0" borderId="0"/>
    <xf numFmtId="0" fontId="5" fillId="0" borderId="0"/>
    <xf numFmtId="170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7">
    <xf numFmtId="0" fontId="0" fillId="0" borderId="0" xfId="0"/>
    <xf numFmtId="17" fontId="0" fillId="0" borderId="5" xfId="0" applyNumberFormat="1" applyBorder="1" applyAlignment="1">
      <alignment horizontal="left"/>
    </xf>
    <xf numFmtId="2" fontId="0" fillId="0" borderId="6" xfId="0" applyNumberFormat="1" applyBorder="1" applyAlignment="1">
      <alignment horizontal="center" vertical="center"/>
    </xf>
    <xf numFmtId="17" fontId="0" fillId="0" borderId="10" xfId="0" applyNumberFormat="1" applyBorder="1" applyAlignment="1">
      <alignment horizontal="left"/>
    </xf>
    <xf numFmtId="2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7" fontId="0" fillId="0" borderId="5" xfId="0" applyNumberFormat="1" applyBorder="1" applyAlignment="1">
      <alignment horizontal="center"/>
    </xf>
    <xf numFmtId="164" fontId="0" fillId="0" borderId="6" xfId="1" applyNumberFormat="1" applyFont="1" applyBorder="1"/>
    <xf numFmtId="17" fontId="0" fillId="0" borderId="10" xfId="0" applyNumberFormat="1" applyBorder="1" applyAlignment="1">
      <alignment horizontal="center"/>
    </xf>
    <xf numFmtId="164" fontId="0" fillId="0" borderId="11" xfId="1" applyNumberFormat="1" applyFont="1" applyBorder="1"/>
    <xf numFmtId="0" fontId="0" fillId="0" borderId="11" xfId="0" applyBorder="1"/>
    <xf numFmtId="17" fontId="0" fillId="0" borderId="6" xfId="0" applyNumberFormat="1" applyBorder="1" applyAlignment="1">
      <alignment horizontal="center"/>
    </xf>
    <xf numFmtId="0" fontId="0" fillId="0" borderId="6" xfId="0" applyBorder="1"/>
    <xf numFmtId="164" fontId="0" fillId="0" borderId="0" xfId="0" applyNumberFormat="1"/>
    <xf numFmtId="166" fontId="3" fillId="4" borderId="18" xfId="2" applyNumberFormat="1" applyFont="1" applyFill="1" applyBorder="1" applyAlignment="1">
      <alignment horizontal="center" vertical="center" wrapText="1"/>
    </xf>
    <xf numFmtId="168" fontId="3" fillId="4" borderId="18" xfId="2" applyNumberFormat="1" applyFont="1" applyFill="1" applyBorder="1" applyAlignment="1">
      <alignment horizontal="center" vertical="center" wrapText="1"/>
    </xf>
    <xf numFmtId="166" fontId="3" fillId="0" borderId="18" xfId="2" applyNumberFormat="1" applyFont="1" applyFill="1" applyBorder="1" applyAlignment="1">
      <alignment horizontal="center" vertical="center" wrapText="1"/>
    </xf>
    <xf numFmtId="1" fontId="3" fillId="0" borderId="18" xfId="2" applyNumberFormat="1" applyFont="1" applyFill="1" applyBorder="1" applyAlignment="1">
      <alignment horizontal="center" vertical="center" wrapText="1"/>
    </xf>
    <xf numFmtId="168" fontId="4" fillId="0" borderId="20" xfId="2" applyNumberFormat="1" applyFont="1" applyBorder="1" applyAlignment="1">
      <alignment horizontal="center" vertical="center" wrapText="1"/>
    </xf>
    <xf numFmtId="167" fontId="4" fillId="0" borderId="20" xfId="2" applyNumberFormat="1" applyFont="1" applyBorder="1" applyAlignment="1">
      <alignment vertical="center" wrapText="1"/>
    </xf>
    <xf numFmtId="167" fontId="4" fillId="0" borderId="21" xfId="2" applyNumberFormat="1" applyFont="1" applyBorder="1" applyAlignment="1">
      <alignment vertical="center" wrapText="1"/>
    </xf>
    <xf numFmtId="169" fontId="4" fillId="0" borderId="21" xfId="2" applyNumberFormat="1" applyFont="1" applyBorder="1" applyAlignment="1">
      <alignment horizontal="center" vertical="center" wrapText="1"/>
    </xf>
    <xf numFmtId="168" fontId="4" fillId="0" borderId="24" xfId="2" applyNumberFormat="1" applyFont="1" applyBorder="1" applyAlignment="1">
      <alignment horizontal="center" vertical="center" wrapText="1"/>
    </xf>
    <xf numFmtId="168" fontId="4" fillId="0" borderId="27" xfId="2" applyNumberFormat="1" applyFont="1" applyBorder="1" applyAlignment="1">
      <alignment horizontal="center" vertical="center" wrapText="1"/>
    </xf>
    <xf numFmtId="43" fontId="0" fillId="0" borderId="0" xfId="1" applyFont="1"/>
    <xf numFmtId="43" fontId="0" fillId="0" borderId="0" xfId="0" applyNumberFormat="1"/>
    <xf numFmtId="0" fontId="0" fillId="6" borderId="0" xfId="0" applyFill="1"/>
    <xf numFmtId="166" fontId="3" fillId="6" borderId="18" xfId="2" applyNumberFormat="1" applyFont="1" applyFill="1" applyBorder="1" applyAlignment="1">
      <alignment horizontal="center" vertical="center" wrapText="1"/>
    </xf>
    <xf numFmtId="1" fontId="3" fillId="6" borderId="18" xfId="2" applyNumberFormat="1" applyFont="1" applyFill="1" applyBorder="1" applyAlignment="1">
      <alignment horizontal="center" vertical="center" wrapText="1"/>
    </xf>
    <xf numFmtId="168" fontId="4" fillId="6" borderId="20" xfId="2" applyNumberFormat="1" applyFont="1" applyFill="1" applyBorder="1" applyAlignment="1">
      <alignment horizontal="center" vertical="center" wrapText="1"/>
    </xf>
    <xf numFmtId="167" fontId="4" fillId="6" borderId="21" xfId="2" applyNumberFormat="1" applyFont="1" applyFill="1" applyBorder="1" applyAlignment="1">
      <alignment vertical="center" wrapText="1"/>
    </xf>
    <xf numFmtId="169" fontId="4" fillId="6" borderId="21" xfId="2" applyNumberFormat="1" applyFont="1" applyFill="1" applyBorder="1" applyAlignment="1">
      <alignment horizontal="center" vertical="center" wrapText="1"/>
    </xf>
    <xf numFmtId="168" fontId="4" fillId="6" borderId="24" xfId="2" applyNumberFormat="1" applyFont="1" applyFill="1" applyBorder="1" applyAlignment="1">
      <alignment horizontal="center" vertical="center" wrapText="1"/>
    </xf>
    <xf numFmtId="168" fontId="4" fillId="6" borderId="27" xfId="2" applyNumberFormat="1" applyFont="1" applyFill="1" applyBorder="1" applyAlignment="1">
      <alignment horizontal="center" vertical="center" wrapText="1"/>
    </xf>
    <xf numFmtId="164" fontId="0" fillId="0" borderId="0" xfId="1" applyNumberFormat="1" applyFont="1"/>
    <xf numFmtId="3" fontId="0" fillId="0" borderId="0" xfId="0" applyNumberFormat="1"/>
    <xf numFmtId="0" fontId="7" fillId="7" borderId="29" xfId="4" applyFont="1" applyFill="1" applyBorder="1" applyAlignment="1">
      <alignment horizontal="center" vertical="center" wrapText="1" readingOrder="1"/>
    </xf>
    <xf numFmtId="0" fontId="0" fillId="0" borderId="0" xfId="0" applyAlignment="1">
      <alignment wrapText="1"/>
    </xf>
    <xf numFmtId="167" fontId="2" fillId="3" borderId="0" xfId="0" applyNumberFormat="1" applyFont="1" applyFill="1"/>
    <xf numFmtId="165" fontId="0" fillId="0" borderId="0" xfId="0" applyNumberFormat="1"/>
    <xf numFmtId="167" fontId="3" fillId="5" borderId="16" xfId="2" applyNumberFormat="1" applyFont="1" applyFill="1" applyBorder="1" applyAlignment="1">
      <alignment horizontal="center" vertical="center" wrapText="1"/>
    </xf>
    <xf numFmtId="167" fontId="3" fillId="5" borderId="17" xfId="2" applyNumberFormat="1" applyFont="1" applyFill="1" applyBorder="1" applyAlignment="1">
      <alignment horizontal="center" vertical="center" wrapText="1"/>
    </xf>
    <xf numFmtId="167" fontId="0" fillId="0" borderId="0" xfId="0" applyNumberFormat="1"/>
    <xf numFmtId="0" fontId="0" fillId="0" borderId="6" xfId="1" applyNumberFormat="1" applyFont="1" applyBorder="1" applyAlignment="1">
      <alignment horizontal="center" vertical="center"/>
    </xf>
    <xf numFmtId="164" fontId="0" fillId="0" borderId="6" xfId="1" applyNumberFormat="1" applyFont="1" applyBorder="1" applyAlignment="1">
      <alignment horizontal="left"/>
    </xf>
    <xf numFmtId="0" fontId="0" fillId="0" borderId="0" xfId="0" applyAlignment="1">
      <alignment horizontal="left" wrapText="1"/>
    </xf>
    <xf numFmtId="164" fontId="3" fillId="4" borderId="18" xfId="1" applyNumberFormat="1" applyFont="1" applyFill="1" applyBorder="1" applyAlignment="1">
      <alignment horizontal="center" vertical="center" wrapText="1"/>
    </xf>
    <xf numFmtId="169" fontId="4" fillId="0" borderId="35" xfId="2" applyNumberFormat="1" applyFont="1" applyBorder="1" applyAlignment="1">
      <alignment horizontal="center" vertical="center" wrapText="1"/>
    </xf>
    <xf numFmtId="169" fontId="4" fillId="0" borderId="36" xfId="2" applyNumberFormat="1" applyFont="1" applyBorder="1" applyAlignment="1">
      <alignment horizontal="center" vertical="center" wrapText="1"/>
    </xf>
    <xf numFmtId="169" fontId="4" fillId="0" borderId="37" xfId="2" applyNumberFormat="1" applyFont="1" applyBorder="1" applyAlignment="1">
      <alignment horizontal="center" vertical="center" wrapText="1"/>
    </xf>
    <xf numFmtId="169" fontId="4" fillId="0" borderId="38" xfId="2" applyNumberFormat="1" applyFont="1" applyBorder="1" applyAlignment="1">
      <alignment horizontal="center" vertical="center" wrapText="1"/>
    </xf>
    <xf numFmtId="169" fontId="4" fillId="0" borderId="39" xfId="2" applyNumberFormat="1" applyFont="1" applyBorder="1" applyAlignment="1">
      <alignment horizontal="center" vertical="center" wrapText="1"/>
    </xf>
    <xf numFmtId="169" fontId="4" fillId="0" borderId="0" xfId="2" applyNumberFormat="1" applyFont="1" applyBorder="1" applyAlignment="1">
      <alignment horizontal="center" vertical="center" wrapText="1"/>
    </xf>
    <xf numFmtId="167" fontId="2" fillId="0" borderId="0" xfId="0" applyNumberFormat="1" applyFont="1"/>
    <xf numFmtId="169" fontId="0" fillId="0" borderId="0" xfId="0" applyNumberFormat="1"/>
    <xf numFmtId="0" fontId="2" fillId="0" borderId="0" xfId="0" applyFont="1" applyAlignment="1">
      <alignment horizontal="center"/>
    </xf>
    <xf numFmtId="0" fontId="2" fillId="8" borderId="30" xfId="0" applyFont="1" applyFill="1" applyBorder="1"/>
    <xf numFmtId="164" fontId="0" fillId="0" borderId="6" xfId="1" applyNumberFormat="1" applyFont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0" fillId="2" borderId="6" xfId="0" applyFill="1" applyBorder="1"/>
    <xf numFmtId="0" fontId="7" fillId="7" borderId="41" xfId="4" applyFont="1" applyFill="1" applyBorder="1" applyAlignment="1">
      <alignment horizontal="center" vertical="center" wrapText="1" readingOrder="1"/>
    </xf>
    <xf numFmtId="0" fontId="4" fillId="0" borderId="36" xfId="2" applyNumberFormat="1" applyFont="1" applyBorder="1" applyAlignment="1">
      <alignment horizontal="center" vertical="center" wrapText="1"/>
    </xf>
    <xf numFmtId="0" fontId="4" fillId="0" borderId="35" xfId="2" applyNumberFormat="1" applyFont="1" applyBorder="1" applyAlignment="1">
      <alignment horizontal="center" vertical="center" wrapText="1"/>
    </xf>
    <xf numFmtId="0" fontId="4" fillId="0" borderId="37" xfId="2" applyNumberFormat="1" applyFont="1" applyBorder="1" applyAlignment="1">
      <alignment horizontal="center" vertical="center" wrapText="1"/>
    </xf>
    <xf numFmtId="3" fontId="4" fillId="0" borderId="35" xfId="2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1" applyNumberFormat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1" applyNumberFormat="1" applyFont="1" applyBorder="1" applyAlignment="1">
      <alignment horizontal="center" vertical="center"/>
    </xf>
    <xf numFmtId="164" fontId="0" fillId="0" borderId="11" xfId="1" applyNumberFormat="1" applyFont="1" applyBorder="1" applyAlignment="1">
      <alignment horizontal="left"/>
    </xf>
    <xf numFmtId="17" fontId="0" fillId="0" borderId="2" xfId="0" applyNumberFormat="1" applyBorder="1" applyAlignment="1">
      <alignment horizontal="center"/>
    </xf>
    <xf numFmtId="164" fontId="0" fillId="0" borderId="3" xfId="1" applyNumberFormat="1" applyFont="1" applyBorder="1"/>
    <xf numFmtId="2" fontId="0" fillId="0" borderId="3" xfId="0" applyNumberFormat="1" applyBorder="1" applyAlignment="1">
      <alignment horizontal="center" vertical="center"/>
    </xf>
    <xf numFmtId="169" fontId="0" fillId="0" borderId="0" xfId="0" applyNumberFormat="1" applyAlignment="1">
      <alignment horizontal="center"/>
    </xf>
    <xf numFmtId="167" fontId="4" fillId="0" borderId="22" xfId="2" applyNumberFormat="1" applyFont="1" applyBorder="1" applyAlignment="1">
      <alignment vertical="center" wrapText="1"/>
    </xf>
    <xf numFmtId="167" fontId="4" fillId="0" borderId="25" xfId="2" applyNumberFormat="1" applyFont="1" applyBorder="1" applyAlignment="1">
      <alignment vertical="center" wrapText="1"/>
    </xf>
    <xf numFmtId="167" fontId="4" fillId="0" borderId="44" xfId="2" applyNumberFormat="1" applyFont="1" applyBorder="1" applyAlignment="1">
      <alignment vertical="center" wrapText="1"/>
    </xf>
    <xf numFmtId="167" fontId="4" fillId="0" borderId="45" xfId="2" applyNumberFormat="1" applyFont="1" applyBorder="1" applyAlignment="1">
      <alignment vertical="center" wrapText="1"/>
    </xf>
    <xf numFmtId="167" fontId="4" fillId="0" borderId="46" xfId="2" applyNumberFormat="1" applyFont="1" applyBorder="1" applyAlignment="1">
      <alignment vertical="center" wrapText="1"/>
    </xf>
    <xf numFmtId="0" fontId="2" fillId="9" borderId="6" xfId="0" applyFont="1" applyFill="1" applyBorder="1" applyAlignment="1">
      <alignment horizontal="center"/>
    </xf>
    <xf numFmtId="164" fontId="2" fillId="3" borderId="14" xfId="0" applyNumberFormat="1" applyFont="1" applyFill="1" applyBorder="1"/>
    <xf numFmtId="164" fontId="0" fillId="6" borderId="6" xfId="1" applyNumberFormat="1" applyFont="1" applyFill="1" applyBorder="1"/>
    <xf numFmtId="0" fontId="9" fillId="0" borderId="0" xfId="0" applyFont="1"/>
    <xf numFmtId="43" fontId="9" fillId="0" borderId="0" xfId="0" applyNumberFormat="1" applyFont="1"/>
    <xf numFmtId="0" fontId="9" fillId="0" borderId="0" xfId="0" applyFont="1" applyAlignment="1">
      <alignment horizontal="left" wrapText="1"/>
    </xf>
    <xf numFmtId="0" fontId="9" fillId="0" borderId="6" xfId="0" applyFont="1" applyBorder="1"/>
    <xf numFmtId="167" fontId="10" fillId="5" borderId="17" xfId="2" applyNumberFormat="1" applyFont="1" applyFill="1" applyBorder="1" applyAlignment="1">
      <alignment horizontal="center" vertical="center" wrapText="1"/>
    </xf>
    <xf numFmtId="166" fontId="10" fillId="4" borderId="18" xfId="2" applyNumberFormat="1" applyFont="1" applyFill="1" applyBorder="1" applyAlignment="1">
      <alignment horizontal="center" vertical="center" wrapText="1"/>
    </xf>
    <xf numFmtId="166" fontId="10" fillId="0" borderId="18" xfId="2" applyNumberFormat="1" applyFont="1" applyFill="1" applyBorder="1" applyAlignment="1">
      <alignment horizontal="center" vertical="center" wrapText="1"/>
    </xf>
    <xf numFmtId="167" fontId="11" fillId="0" borderId="20" xfId="2" applyNumberFormat="1" applyFont="1" applyBorder="1" applyAlignment="1">
      <alignment vertical="center" wrapText="1"/>
    </xf>
    <xf numFmtId="0" fontId="7" fillId="10" borderId="29" xfId="4" applyFont="1" applyFill="1" applyBorder="1" applyAlignment="1">
      <alignment horizontal="center" vertical="center" wrapText="1" readingOrder="1"/>
    </xf>
    <xf numFmtId="169" fontId="4" fillId="11" borderId="21" xfId="2" applyNumberFormat="1" applyFont="1" applyFill="1" applyBorder="1" applyAlignment="1">
      <alignment horizontal="center" vertical="center" wrapText="1"/>
    </xf>
    <xf numFmtId="17" fontId="0" fillId="3" borderId="5" xfId="0" applyNumberFormat="1" applyFill="1" applyBorder="1" applyAlignment="1">
      <alignment horizontal="center"/>
    </xf>
    <xf numFmtId="167" fontId="4" fillId="3" borderId="22" xfId="2" applyNumberFormat="1" applyFont="1" applyFill="1" applyBorder="1" applyAlignment="1">
      <alignment vertical="center" wrapText="1"/>
    </xf>
    <xf numFmtId="167" fontId="4" fillId="3" borderId="44" xfId="2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9" fontId="0" fillId="0" borderId="1" xfId="1" applyNumberFormat="1" applyFont="1" applyBorder="1" applyAlignment="1">
      <alignment horizontal="center" vertical="center"/>
    </xf>
    <xf numFmtId="43" fontId="0" fillId="0" borderId="8" xfId="1" applyFont="1" applyBorder="1" applyAlignment="1">
      <alignment horizontal="center" vertical="center"/>
    </xf>
    <xf numFmtId="43" fontId="0" fillId="0" borderId="12" xfId="1" applyFont="1" applyBorder="1" applyAlignment="1">
      <alignment horizontal="center" vertical="center"/>
    </xf>
    <xf numFmtId="43" fontId="0" fillId="0" borderId="7" xfId="1" applyFont="1" applyBorder="1" applyAlignment="1">
      <alignment horizontal="center" vertical="center"/>
    </xf>
    <xf numFmtId="43" fontId="0" fillId="0" borderId="9" xfId="1" applyFont="1" applyBorder="1" applyAlignment="1">
      <alignment horizontal="center" vertical="center"/>
    </xf>
    <xf numFmtId="43" fontId="0" fillId="0" borderId="13" xfId="1" applyFont="1" applyBorder="1" applyAlignment="1">
      <alignment horizontal="center" vertical="center"/>
    </xf>
    <xf numFmtId="0" fontId="0" fillId="0" borderId="0" xfId="0" applyAlignment="1">
      <alignment horizontal="justify" wrapText="1"/>
    </xf>
    <xf numFmtId="166" fontId="4" fillId="0" borderId="19" xfId="2" applyNumberFormat="1" applyFont="1" applyBorder="1" applyAlignment="1">
      <alignment horizontal="center" vertical="center" wrapText="1"/>
    </xf>
    <xf numFmtId="166" fontId="4" fillId="0" borderId="23" xfId="2" applyNumberFormat="1" applyFont="1" applyBorder="1" applyAlignment="1">
      <alignment horizontal="center" vertical="center" wrapText="1"/>
    </xf>
    <xf numFmtId="166" fontId="4" fillId="0" borderId="26" xfId="2" applyNumberFormat="1" applyFont="1" applyBorder="1" applyAlignment="1">
      <alignment horizontal="center" vertical="center" wrapText="1"/>
    </xf>
    <xf numFmtId="167" fontId="4" fillId="0" borderId="22" xfId="2" applyNumberFormat="1" applyFont="1" applyBorder="1" applyAlignment="1">
      <alignment horizontal="center" vertical="center" wrapText="1"/>
    </xf>
    <xf numFmtId="167" fontId="4" fillId="0" borderId="25" xfId="2" applyNumberFormat="1" applyFont="1" applyBorder="1" applyAlignment="1">
      <alignment horizontal="center" vertical="center" wrapText="1"/>
    </xf>
    <xf numFmtId="167" fontId="4" fillId="0" borderId="28" xfId="2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66" fontId="3" fillId="4" borderId="16" xfId="2" applyNumberFormat="1" applyFont="1" applyFill="1" applyBorder="1" applyAlignment="1">
      <alignment horizontal="center" vertical="center" wrapText="1"/>
    </xf>
    <xf numFmtId="166" fontId="3" fillId="4" borderId="17" xfId="2" applyNumberFormat="1" applyFont="1" applyFill="1" applyBorder="1" applyAlignment="1">
      <alignment horizontal="center" vertical="center" wrapText="1"/>
    </xf>
    <xf numFmtId="167" fontId="3" fillId="5" borderId="16" xfId="2" applyNumberFormat="1" applyFont="1" applyFill="1" applyBorder="1" applyAlignment="1">
      <alignment horizontal="center" vertical="center" wrapText="1"/>
    </xf>
    <xf numFmtId="167" fontId="3" fillId="5" borderId="17" xfId="2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43" fontId="0" fillId="0" borderId="1" xfId="1" applyFont="1" applyBorder="1" applyAlignment="1">
      <alignment horizontal="center" vertical="center"/>
    </xf>
    <xf numFmtId="166" fontId="3" fillId="4" borderId="18" xfId="2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/>
    </xf>
    <xf numFmtId="43" fontId="0" fillId="0" borderId="15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6" fontId="4" fillId="6" borderId="19" xfId="2" applyNumberFormat="1" applyFont="1" applyFill="1" applyBorder="1" applyAlignment="1">
      <alignment horizontal="center" vertical="center" wrapText="1"/>
    </xf>
    <xf numFmtId="166" fontId="4" fillId="6" borderId="23" xfId="2" applyNumberFormat="1" applyFont="1" applyFill="1" applyBorder="1" applyAlignment="1">
      <alignment horizontal="center" vertical="center" wrapText="1"/>
    </xf>
    <xf numFmtId="166" fontId="4" fillId="6" borderId="26" xfId="2" applyNumberFormat="1" applyFont="1" applyFill="1" applyBorder="1" applyAlignment="1">
      <alignment horizontal="center" vertical="center" wrapText="1"/>
    </xf>
    <xf numFmtId="167" fontId="4" fillId="6" borderId="22" xfId="2" applyNumberFormat="1" applyFont="1" applyFill="1" applyBorder="1" applyAlignment="1">
      <alignment horizontal="center" vertical="center" wrapText="1"/>
    </xf>
    <xf numFmtId="167" fontId="4" fillId="6" borderId="25" xfId="2" applyNumberFormat="1" applyFont="1" applyFill="1" applyBorder="1" applyAlignment="1">
      <alignment horizontal="center" vertical="center" wrapText="1"/>
    </xf>
    <xf numFmtId="167" fontId="4" fillId="6" borderId="28" xfId="2" applyNumberFormat="1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left"/>
    </xf>
    <xf numFmtId="0" fontId="0" fillId="6" borderId="0" xfId="0" applyFill="1" applyAlignment="1">
      <alignment horizontal="center"/>
    </xf>
    <xf numFmtId="43" fontId="0" fillId="0" borderId="42" xfId="1" applyFont="1" applyBorder="1" applyAlignment="1">
      <alignment horizontal="center" vertical="center"/>
    </xf>
    <xf numFmtId="43" fontId="0" fillId="0" borderId="43" xfId="1" applyFont="1" applyBorder="1" applyAlignment="1">
      <alignment horizontal="center" vertical="center"/>
    </xf>
    <xf numFmtId="164" fontId="0" fillId="0" borderId="42" xfId="1" applyNumberFormat="1" applyFont="1" applyBorder="1" applyAlignment="1">
      <alignment horizontal="center" vertical="center"/>
    </xf>
    <xf numFmtId="164" fontId="0" fillId="0" borderId="8" xfId="1" applyNumberFormat="1" applyFont="1" applyBorder="1" applyAlignment="1">
      <alignment horizontal="center" vertical="center"/>
    </xf>
    <xf numFmtId="164" fontId="0" fillId="0" borderId="12" xfId="1" applyNumberFormat="1" applyFont="1" applyBorder="1" applyAlignment="1">
      <alignment horizontal="center" vertical="center"/>
    </xf>
    <xf numFmtId="0" fontId="0" fillId="6" borderId="0" xfId="0" applyFill="1"/>
    <xf numFmtId="43" fontId="2" fillId="0" borderId="4" xfId="1" applyFont="1" applyBorder="1" applyAlignment="1">
      <alignment horizontal="center" vertical="center"/>
    </xf>
    <xf numFmtId="43" fontId="2" fillId="0" borderId="33" xfId="1" applyFont="1" applyBorder="1" applyAlignment="1">
      <alignment horizontal="center" vertical="center"/>
    </xf>
    <xf numFmtId="43" fontId="2" fillId="0" borderId="34" xfId="1" applyFont="1" applyBorder="1" applyAlignment="1">
      <alignment horizontal="center" vertical="center"/>
    </xf>
    <xf numFmtId="0" fontId="2" fillId="2" borderId="30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0" fillId="6" borderId="0" xfId="0" applyFill="1" applyAlignment="1">
      <alignment horizontal="left"/>
    </xf>
    <xf numFmtId="0" fontId="0" fillId="0" borderId="0" xfId="0" applyAlignment="1">
      <alignment horizontal="left" vertical="center" wrapText="1"/>
    </xf>
    <xf numFmtId="0" fontId="2" fillId="8" borderId="30" xfId="1" applyNumberFormat="1" applyFont="1" applyFill="1" applyBorder="1" applyAlignment="1">
      <alignment horizontal="center"/>
    </xf>
    <xf numFmtId="0" fontId="2" fillId="8" borderId="32" xfId="1" applyNumberFormat="1" applyFont="1" applyFill="1" applyBorder="1" applyAlignment="1">
      <alignment horizontal="center"/>
    </xf>
    <xf numFmtId="164" fontId="0" fillId="0" borderId="6" xfId="1" applyNumberFormat="1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0" xfId="0" applyFont="1" applyAlignment="1">
      <alignment horizontal="center"/>
    </xf>
    <xf numFmtId="167" fontId="4" fillId="6" borderId="20" xfId="2" applyNumberFormat="1" applyFont="1" applyFill="1" applyBorder="1" applyAlignment="1">
      <alignment vertical="center" wrapText="1"/>
    </xf>
  </cellXfs>
  <cellStyles count="14">
    <cellStyle name="Hipervínculo" xfId="9" xr:uid="{A6C1D0A9-8A59-4ED4-AB42-01F00E4DF0B0}"/>
    <cellStyle name="Millares" xfId="1" builtinId="3"/>
    <cellStyle name="Millares [0] 2" xfId="3" xr:uid="{9AA47B74-586C-4EB3-A64B-1CA2623FD25D}"/>
    <cellStyle name="Millares [0] 2 2" xfId="12" xr:uid="{D63F650E-BB92-42FD-BF7F-190BEE985254}"/>
    <cellStyle name="Millares [0] 3" xfId="10" xr:uid="{6D13AE8C-C3A9-471A-B305-80421A156E9D}"/>
    <cellStyle name="Millares 2" xfId="8" xr:uid="{519D4CAA-9C02-43A2-9BF2-3E79ADED5710}"/>
    <cellStyle name="Millares 2 2 2" xfId="2" xr:uid="{F3EF14F5-8C09-446A-8A64-95C276110155}"/>
    <cellStyle name="Millares 3" xfId="6" xr:uid="{90FBDCC2-E5A3-4509-8584-0E17DCCEF5AA}"/>
    <cellStyle name="Millares 4" xfId="11" xr:uid="{EC60B4E2-5804-476B-A910-8F2664BA5089}"/>
    <cellStyle name="Moneda 2" xfId="13" xr:uid="{6053A034-9304-4F93-8CE4-643170D794F5}"/>
    <cellStyle name="Normal" xfId="0" builtinId="0"/>
    <cellStyle name="Normal 2" xfId="4" xr:uid="{14FFD09C-F474-42A4-87A1-8E5B8BFBC77F}"/>
    <cellStyle name="Normal 2 2 3" xfId="5" xr:uid="{7A8B2A5B-3373-41DF-97EC-0414CC33D333}"/>
    <cellStyle name="Porcentaje 2" xfId="7" xr:uid="{B560073C-CEE0-45AC-B1AA-5081C21E2EB8}"/>
  </cellStyles>
  <dxfs count="7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86C5F6B4-4E91-41A3-94DD-2DFC918A35A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961F0-16FB-44F2-999C-74A724C4333F}">
  <dimension ref="B1:K21"/>
  <sheetViews>
    <sheetView showGridLines="0" topLeftCell="A5" zoomScaleNormal="100" workbookViewId="0">
      <selection activeCell="E5" sqref="E5:F5"/>
    </sheetView>
  </sheetViews>
  <sheetFormatPr baseColWidth="10" defaultRowHeight="14.5" x14ac:dyDescent="0.35"/>
  <cols>
    <col min="1" max="1" width="5.54296875" customWidth="1"/>
    <col min="2" max="2" width="10.90625" style="5"/>
    <col min="3" max="3" width="15.1796875" style="14" customWidth="1"/>
    <col min="4" max="4" width="15.1796875" bestFit="1" customWidth="1"/>
    <col min="5" max="5" width="12.54296875" customWidth="1"/>
    <col min="6" max="6" width="8.81640625" style="6" customWidth="1"/>
    <col min="7" max="7" width="5" customWidth="1"/>
    <col min="8" max="8" width="11.7265625" customWidth="1"/>
  </cols>
  <sheetData>
    <row r="1" spans="2:11" ht="14.5" customHeight="1" x14ac:dyDescent="0.35">
      <c r="B1" s="105" t="s">
        <v>47</v>
      </c>
      <c r="C1" s="105"/>
      <c r="D1" s="105"/>
      <c r="E1" s="105"/>
      <c r="F1" s="105"/>
      <c r="G1" s="38"/>
      <c r="H1" s="38"/>
    </row>
    <row r="2" spans="2:11" x14ac:dyDescent="0.35">
      <c r="B2" s="105"/>
      <c r="C2" s="105"/>
      <c r="D2" s="105"/>
      <c r="E2" s="105"/>
      <c r="F2" s="105"/>
    </row>
    <row r="4" spans="2:11" ht="15" thickBot="1" x14ac:dyDescent="0.4">
      <c r="B4" s="98" t="s">
        <v>0</v>
      </c>
      <c r="C4" s="98"/>
      <c r="D4" s="98"/>
      <c r="E4" s="98"/>
      <c r="F4" s="98"/>
    </row>
    <row r="5" spans="2:11" ht="32" thickBot="1" x14ac:dyDescent="0.4">
      <c r="B5" s="37" t="s">
        <v>1</v>
      </c>
      <c r="C5" s="37" t="s">
        <v>2</v>
      </c>
      <c r="D5" s="37" t="s">
        <v>3</v>
      </c>
      <c r="E5" s="93" t="s">
        <v>4</v>
      </c>
      <c r="F5" s="93" t="s">
        <v>5</v>
      </c>
    </row>
    <row r="6" spans="2:11" x14ac:dyDescent="0.35">
      <c r="B6" s="1">
        <v>46023</v>
      </c>
      <c r="C6" s="8">
        <f>+VLOOKUP(B6,'CURVA P1'!$A$7:$AD$56,30,FALSE)</f>
        <v>26673174</v>
      </c>
      <c r="D6" s="99" t="s">
        <v>3</v>
      </c>
      <c r="E6" s="2"/>
      <c r="F6" s="102" t="s">
        <v>6</v>
      </c>
      <c r="K6" s="14"/>
    </row>
    <row r="7" spans="2:11" x14ac:dyDescent="0.35">
      <c r="B7" s="1">
        <v>46054</v>
      </c>
      <c r="C7" s="8">
        <f>+VLOOKUP(B7,'CURVA P1'!$A$7:$AD$56,30,FALSE)</f>
        <v>27446688</v>
      </c>
      <c r="D7" s="100"/>
      <c r="E7" s="2"/>
      <c r="F7" s="103"/>
      <c r="K7" s="14"/>
    </row>
    <row r="8" spans="2:11" x14ac:dyDescent="0.35">
      <c r="B8" s="1">
        <v>46082</v>
      </c>
      <c r="C8" s="8">
        <f>+VLOOKUP(B8,'CURVA P1'!$A$7:$AD$56,30,FALSE)</f>
        <v>26678356</v>
      </c>
      <c r="D8" s="100"/>
      <c r="E8" s="2"/>
      <c r="F8" s="103"/>
      <c r="K8" s="14"/>
    </row>
    <row r="9" spans="2:11" x14ac:dyDescent="0.35">
      <c r="B9" s="1">
        <v>46113</v>
      </c>
      <c r="C9" s="8">
        <f>+VLOOKUP(B9,'CURVA P1'!$A$7:$AD$56,30,FALSE)</f>
        <v>27760442</v>
      </c>
      <c r="D9" s="100"/>
      <c r="E9" s="2"/>
      <c r="F9" s="103"/>
      <c r="K9" s="14"/>
    </row>
    <row r="10" spans="2:11" x14ac:dyDescent="0.35">
      <c r="B10" s="1">
        <v>46143</v>
      </c>
      <c r="C10" s="84">
        <f>+VLOOKUP(B10,'CURVA P1'!$A$7:$AD$56,30,FALSE)</f>
        <v>28373867</v>
      </c>
      <c r="D10" s="100"/>
      <c r="E10" s="2"/>
      <c r="F10" s="103"/>
      <c r="K10" s="14"/>
    </row>
    <row r="11" spans="2:11" x14ac:dyDescent="0.35">
      <c r="B11" s="1">
        <v>46174</v>
      </c>
      <c r="C11" s="84">
        <f>+VLOOKUP(B11,'CURVA P1'!$A$7:$AD$56,30,FALSE)</f>
        <v>28775725</v>
      </c>
      <c r="D11" s="100"/>
      <c r="E11" s="2"/>
      <c r="F11" s="103"/>
      <c r="K11" s="14"/>
    </row>
    <row r="12" spans="2:11" x14ac:dyDescent="0.35">
      <c r="B12" s="1">
        <v>46204</v>
      </c>
      <c r="C12" s="84">
        <f>+VLOOKUP(B12,'CURVA P1'!$A$7:$AD$56,30,FALSE)</f>
        <v>27971551</v>
      </c>
      <c r="D12" s="100"/>
      <c r="E12" s="2"/>
      <c r="F12" s="103"/>
      <c r="K12" s="14"/>
    </row>
    <row r="13" spans="2:11" x14ac:dyDescent="0.35">
      <c r="B13" s="1">
        <v>46235</v>
      </c>
      <c r="C13" s="84">
        <f>+VLOOKUP(B13,'CURVA P1'!$A$7:$AD$56,30,FALSE)</f>
        <v>29060343</v>
      </c>
      <c r="D13" s="100"/>
      <c r="E13" s="2"/>
      <c r="F13" s="103"/>
      <c r="K13" s="14"/>
    </row>
    <row r="14" spans="2:11" x14ac:dyDescent="0.35">
      <c r="B14" s="1">
        <v>46266</v>
      </c>
      <c r="C14" s="84">
        <f>+VLOOKUP(B14,'CURVA P1'!$A$7:$AD$56,30,FALSE)</f>
        <v>29703314</v>
      </c>
      <c r="D14" s="100"/>
      <c r="E14" s="2"/>
      <c r="F14" s="103"/>
      <c r="K14" s="14"/>
    </row>
    <row r="15" spans="2:11" x14ac:dyDescent="0.35">
      <c r="B15" s="1">
        <v>46296</v>
      </c>
      <c r="C15" s="84">
        <f>+VLOOKUP(B15,'CURVA P1'!$A$7:$AD$56,30,FALSE)</f>
        <v>29301634</v>
      </c>
      <c r="D15" s="100"/>
      <c r="E15" s="2"/>
      <c r="F15" s="103"/>
      <c r="K15" s="14"/>
    </row>
    <row r="16" spans="2:11" x14ac:dyDescent="0.35">
      <c r="B16" s="1">
        <v>46327</v>
      </c>
      <c r="C16" s="8">
        <f>+VLOOKUP(B16,'CURVA P1'!$A$7:$AD$56,30,FALSE)</f>
        <v>28803316</v>
      </c>
      <c r="D16" s="100"/>
      <c r="E16" s="2"/>
      <c r="F16" s="103"/>
      <c r="K16" s="14"/>
    </row>
    <row r="17" spans="2:11" ht="15" thickBot="1" x14ac:dyDescent="0.4">
      <c r="B17" s="3">
        <v>46357</v>
      </c>
      <c r="C17" s="10">
        <f>+VLOOKUP(B17,'CURVA P1'!$A$7:$AD$56,30,FALSE)</f>
        <v>28030366</v>
      </c>
      <c r="D17" s="101"/>
      <c r="E17" s="4"/>
      <c r="F17" s="104"/>
      <c r="K17" s="14"/>
    </row>
    <row r="18" spans="2:11" ht="15" thickBot="1" x14ac:dyDescent="0.4">
      <c r="C18" s="83">
        <f>+SUM(C6:C17)</f>
        <v>338578776</v>
      </c>
    </row>
    <row r="20" spans="2:11" x14ac:dyDescent="0.35">
      <c r="C20" s="26"/>
    </row>
    <row r="21" spans="2:11" x14ac:dyDescent="0.35">
      <c r="C21" s="26"/>
    </row>
  </sheetData>
  <mergeCells count="4">
    <mergeCell ref="B4:F4"/>
    <mergeCell ref="D6:D17"/>
    <mergeCell ref="F6:F17"/>
    <mergeCell ref="B1:F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E5FE1-D095-476B-99B4-812D0AC11289}">
  <dimension ref="A1:AH55"/>
  <sheetViews>
    <sheetView showGridLines="0" topLeftCell="A4" zoomScaleNormal="100" workbookViewId="0">
      <selection activeCell="H14" sqref="H14"/>
    </sheetView>
  </sheetViews>
  <sheetFormatPr baseColWidth="10" defaultRowHeight="14.5" x14ac:dyDescent="0.35"/>
  <cols>
    <col min="1" max="1" width="7.26953125" bestFit="1" customWidth="1"/>
    <col min="2" max="2" width="8" bestFit="1" customWidth="1"/>
    <col min="3" max="26" width="10.08984375" bestFit="1" customWidth="1"/>
    <col min="27" max="27" width="10.1796875" customWidth="1"/>
    <col min="28" max="28" width="10.453125" bestFit="1" customWidth="1"/>
    <col min="29" max="29" width="12.1796875" bestFit="1" customWidth="1"/>
    <col min="30" max="30" width="14.54296875" bestFit="1" customWidth="1"/>
    <col min="31" max="31" width="11.08984375" bestFit="1" customWidth="1"/>
    <col min="32" max="32" width="13.54296875" style="25" bestFit="1" customWidth="1"/>
  </cols>
  <sheetData>
    <row r="1" spans="1:30" x14ac:dyDescent="0.35">
      <c r="A1" s="112" t="s">
        <v>12</v>
      </c>
      <c r="B1" s="112"/>
      <c r="C1" s="112"/>
      <c r="D1" s="112"/>
    </row>
    <row r="2" spans="1:30" x14ac:dyDescent="0.35">
      <c r="A2" s="113" t="s">
        <v>47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</row>
    <row r="4" spans="1:30" x14ac:dyDescent="0.35">
      <c r="A4" s="114" t="s">
        <v>13</v>
      </c>
      <c r="B4" s="115"/>
      <c r="C4" s="116">
        <f>+AD55</f>
        <v>338578776</v>
      </c>
      <c r="D4" s="117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</row>
    <row r="5" spans="1:30" x14ac:dyDescent="0.35">
      <c r="A5" s="15" t="s">
        <v>1</v>
      </c>
      <c r="B5" s="16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5" t="s">
        <v>19</v>
      </c>
      <c r="H5" s="15" t="s">
        <v>20</v>
      </c>
      <c r="I5" s="15" t="s">
        <v>21</v>
      </c>
      <c r="J5" s="15" t="s">
        <v>22</v>
      </c>
      <c r="K5" s="15" t="s">
        <v>23</v>
      </c>
      <c r="L5" s="15" t="s">
        <v>24</v>
      </c>
      <c r="M5" s="15" t="s">
        <v>25</v>
      </c>
      <c r="N5" s="15" t="s">
        <v>26</v>
      </c>
      <c r="O5" s="15" t="s">
        <v>27</v>
      </c>
      <c r="P5" s="15" t="s">
        <v>28</v>
      </c>
      <c r="Q5" s="15" t="s">
        <v>29</v>
      </c>
      <c r="R5" s="15" t="s">
        <v>30</v>
      </c>
      <c r="S5" s="15" t="s">
        <v>31</v>
      </c>
      <c r="T5" s="15" t="s">
        <v>32</v>
      </c>
      <c r="U5" s="15" t="s">
        <v>33</v>
      </c>
      <c r="V5" s="15" t="s">
        <v>34</v>
      </c>
      <c r="W5" s="15" t="s">
        <v>35</v>
      </c>
      <c r="X5" s="15" t="s">
        <v>36</v>
      </c>
      <c r="Y5" s="15" t="s">
        <v>37</v>
      </c>
      <c r="Z5" s="15" t="s">
        <v>38</v>
      </c>
      <c r="AA5" s="15" t="s">
        <v>39</v>
      </c>
      <c r="AB5" s="15" t="s">
        <v>40</v>
      </c>
      <c r="AC5" s="15" t="s">
        <v>41</v>
      </c>
      <c r="AD5" s="15" t="s">
        <v>42</v>
      </c>
    </row>
    <row r="6" spans="1:30" ht="14.5" hidden="1" customHeight="1" x14ac:dyDescent="0.3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7"/>
      <c r="AB6" s="17"/>
      <c r="AC6" s="17"/>
      <c r="AD6" s="17"/>
    </row>
    <row r="7" spans="1:30" x14ac:dyDescent="0.35">
      <c r="A7" s="106">
        <v>46023</v>
      </c>
      <c r="B7" s="19" t="s">
        <v>43</v>
      </c>
      <c r="C7" s="20">
        <v>36483</v>
      </c>
      <c r="D7" s="20">
        <v>35530</v>
      </c>
      <c r="E7" s="20">
        <v>34091</v>
      </c>
      <c r="F7" s="20">
        <v>33021</v>
      </c>
      <c r="G7" s="20">
        <v>32679</v>
      </c>
      <c r="H7" s="20">
        <v>33265</v>
      </c>
      <c r="I7" s="20">
        <v>34178</v>
      </c>
      <c r="J7" s="20">
        <v>35053</v>
      </c>
      <c r="K7" s="20">
        <v>38371</v>
      </c>
      <c r="L7" s="20">
        <v>40922</v>
      </c>
      <c r="M7" s="20">
        <v>43080</v>
      </c>
      <c r="N7" s="20">
        <v>44425</v>
      </c>
      <c r="O7" s="20">
        <v>42333</v>
      </c>
      <c r="P7" s="20">
        <v>45202</v>
      </c>
      <c r="Q7" s="20">
        <v>49073</v>
      </c>
      <c r="R7" s="20">
        <v>49850</v>
      </c>
      <c r="S7" s="20">
        <v>48845</v>
      </c>
      <c r="T7" s="20">
        <v>33000</v>
      </c>
      <c r="U7" s="20">
        <v>33611</v>
      </c>
      <c r="V7" s="20">
        <v>32533</v>
      </c>
      <c r="W7" s="20">
        <v>31567</v>
      </c>
      <c r="X7" s="20">
        <v>30791</v>
      </c>
      <c r="Y7" s="20">
        <v>29414</v>
      </c>
      <c r="Z7" s="20">
        <v>27515</v>
      </c>
      <c r="AA7" s="20">
        <f>SUM(C7:Z7)</f>
        <v>894832</v>
      </c>
      <c r="AB7" s="22">
        <v>20</v>
      </c>
      <c r="AC7" s="21">
        <f>+AA7*AB7</f>
        <v>17896640</v>
      </c>
      <c r="AD7" s="109">
        <f>+SUM(AC7:AC10)</f>
        <v>26673174</v>
      </c>
    </row>
    <row r="8" spans="1:30" x14ac:dyDescent="0.35">
      <c r="A8" s="107">
        <v>46024</v>
      </c>
      <c r="B8" s="23" t="s">
        <v>44</v>
      </c>
      <c r="C8" s="20">
        <v>37377</v>
      </c>
      <c r="D8" s="20">
        <v>36097</v>
      </c>
      <c r="E8" s="20">
        <v>34425</v>
      </c>
      <c r="F8" s="20">
        <v>33232</v>
      </c>
      <c r="G8" s="20">
        <v>32684</v>
      </c>
      <c r="H8" s="20">
        <v>32851</v>
      </c>
      <c r="I8" s="20">
        <v>33460</v>
      </c>
      <c r="J8" s="20">
        <v>34411</v>
      </c>
      <c r="K8" s="20">
        <v>38197</v>
      </c>
      <c r="L8" s="20">
        <v>40946</v>
      </c>
      <c r="M8" s="20">
        <v>42939</v>
      </c>
      <c r="N8" s="20">
        <v>43849</v>
      </c>
      <c r="O8" s="20">
        <v>42448</v>
      </c>
      <c r="P8" s="20">
        <v>43007</v>
      </c>
      <c r="Q8" s="20">
        <v>44664</v>
      </c>
      <c r="R8" s="20">
        <v>45009</v>
      </c>
      <c r="S8" s="20">
        <v>43876</v>
      </c>
      <c r="T8" s="20">
        <v>30845</v>
      </c>
      <c r="U8" s="20">
        <v>32410</v>
      </c>
      <c r="V8" s="20">
        <v>31557</v>
      </c>
      <c r="W8" s="20">
        <v>30491</v>
      </c>
      <c r="X8" s="20">
        <v>29539</v>
      </c>
      <c r="Y8" s="20">
        <v>28485</v>
      </c>
      <c r="Z8" s="20">
        <v>26959</v>
      </c>
      <c r="AA8" s="20">
        <f t="shared" ref="AA8:AA54" si="0">SUM(C8:Z8)</f>
        <v>869758</v>
      </c>
      <c r="AB8" s="22">
        <v>5</v>
      </c>
      <c r="AC8" s="21">
        <f t="shared" ref="AC8:AC54" si="1">+AA8*AB8</f>
        <v>4348790</v>
      </c>
      <c r="AD8" s="110"/>
    </row>
    <row r="9" spans="1:30" x14ac:dyDescent="0.35">
      <c r="A9" s="107">
        <v>46025</v>
      </c>
      <c r="B9" s="23" t="s">
        <v>45</v>
      </c>
      <c r="C9" s="20">
        <v>36740</v>
      </c>
      <c r="D9" s="20">
        <v>35636</v>
      </c>
      <c r="E9" s="20">
        <v>34091</v>
      </c>
      <c r="F9" s="20">
        <v>32890</v>
      </c>
      <c r="G9" s="20">
        <v>32185</v>
      </c>
      <c r="H9" s="20">
        <v>31809</v>
      </c>
      <c r="I9" s="20">
        <v>31771</v>
      </c>
      <c r="J9" s="20">
        <v>30156</v>
      </c>
      <c r="K9" s="20">
        <v>31360</v>
      </c>
      <c r="L9" s="20">
        <v>32941</v>
      </c>
      <c r="M9" s="20">
        <v>33958</v>
      </c>
      <c r="N9" s="20">
        <v>34857</v>
      </c>
      <c r="O9" s="20">
        <v>35463</v>
      </c>
      <c r="P9" s="20">
        <v>35757</v>
      </c>
      <c r="Q9" s="20">
        <v>36486</v>
      </c>
      <c r="R9" s="20">
        <v>37026</v>
      </c>
      <c r="S9" s="20">
        <v>36701</v>
      </c>
      <c r="T9" s="20">
        <v>25763</v>
      </c>
      <c r="U9" s="20">
        <v>27737</v>
      </c>
      <c r="V9" s="20">
        <v>28107</v>
      </c>
      <c r="W9" s="20">
        <v>28048</v>
      </c>
      <c r="X9" s="20">
        <v>27805</v>
      </c>
      <c r="Y9" s="20">
        <v>26801</v>
      </c>
      <c r="Z9" s="20">
        <v>24924</v>
      </c>
      <c r="AA9" s="20">
        <f t="shared" si="0"/>
        <v>769012</v>
      </c>
      <c r="AB9" s="22">
        <v>4</v>
      </c>
      <c r="AC9" s="21">
        <f t="shared" si="1"/>
        <v>3076048</v>
      </c>
      <c r="AD9" s="110"/>
    </row>
    <row r="10" spans="1:30" x14ac:dyDescent="0.35">
      <c r="A10" s="108">
        <v>46026</v>
      </c>
      <c r="B10" s="24" t="s">
        <v>46</v>
      </c>
      <c r="C10" s="20">
        <v>30982</v>
      </c>
      <c r="D10" s="20">
        <v>29952</v>
      </c>
      <c r="E10" s="20">
        <v>29420</v>
      </c>
      <c r="F10" s="20">
        <v>28681</v>
      </c>
      <c r="G10" s="20">
        <v>28350</v>
      </c>
      <c r="H10" s="20">
        <v>28026</v>
      </c>
      <c r="I10" s="20">
        <v>27591</v>
      </c>
      <c r="J10" s="20">
        <v>25828</v>
      </c>
      <c r="K10" s="20">
        <v>26941</v>
      </c>
      <c r="L10" s="20">
        <v>28477</v>
      </c>
      <c r="M10" s="20">
        <v>30028</v>
      </c>
      <c r="N10" s="20">
        <v>30899</v>
      </c>
      <c r="O10" s="20">
        <v>31265</v>
      </c>
      <c r="P10" s="20">
        <v>31774</v>
      </c>
      <c r="Q10" s="20">
        <v>32497</v>
      </c>
      <c r="R10" s="20">
        <v>32934</v>
      </c>
      <c r="S10" s="20">
        <v>32343</v>
      </c>
      <c r="T10" s="20">
        <v>22982</v>
      </c>
      <c r="U10" s="20">
        <v>25092</v>
      </c>
      <c r="V10" s="20">
        <v>25278</v>
      </c>
      <c r="W10" s="20">
        <v>25160</v>
      </c>
      <c r="X10" s="20">
        <v>24843</v>
      </c>
      <c r="Y10" s="20">
        <v>23919</v>
      </c>
      <c r="Z10" s="20">
        <v>22586</v>
      </c>
      <c r="AA10" s="20">
        <f t="shared" si="0"/>
        <v>675848</v>
      </c>
      <c r="AB10" s="22">
        <v>2</v>
      </c>
      <c r="AC10" s="21">
        <f t="shared" si="1"/>
        <v>1351696</v>
      </c>
      <c r="AD10" s="111"/>
    </row>
    <row r="11" spans="1:30" x14ac:dyDescent="0.35">
      <c r="A11" s="106">
        <v>46054</v>
      </c>
      <c r="B11" s="19" t="s">
        <v>43</v>
      </c>
      <c r="C11" s="20">
        <v>40714</v>
      </c>
      <c r="D11" s="20">
        <v>38660</v>
      </c>
      <c r="E11" s="20">
        <v>37169</v>
      </c>
      <c r="F11" s="20">
        <v>36236</v>
      </c>
      <c r="G11" s="20">
        <v>36317</v>
      </c>
      <c r="H11" s="20">
        <v>38550</v>
      </c>
      <c r="I11" s="20">
        <v>40311</v>
      </c>
      <c r="J11" s="20">
        <v>41867</v>
      </c>
      <c r="K11" s="20">
        <v>45322</v>
      </c>
      <c r="L11" s="20">
        <v>47873</v>
      </c>
      <c r="M11" s="20">
        <v>50238</v>
      </c>
      <c r="N11" s="20">
        <v>50415</v>
      </c>
      <c r="O11" s="20">
        <v>46583</v>
      </c>
      <c r="P11" s="20">
        <v>51148</v>
      </c>
      <c r="Q11" s="20">
        <v>55819</v>
      </c>
      <c r="R11" s="20">
        <v>56707</v>
      </c>
      <c r="S11" s="20">
        <v>55412</v>
      </c>
      <c r="T11" s="20">
        <v>36735</v>
      </c>
      <c r="U11" s="20">
        <v>36918</v>
      </c>
      <c r="V11" s="20">
        <v>36405</v>
      </c>
      <c r="W11" s="20">
        <v>35774</v>
      </c>
      <c r="X11" s="20">
        <v>34307</v>
      </c>
      <c r="Y11" s="20">
        <v>31455</v>
      </c>
      <c r="Z11" s="20">
        <v>28759</v>
      </c>
      <c r="AA11" s="20">
        <f t="shared" si="0"/>
        <v>1009694</v>
      </c>
      <c r="AB11" s="22">
        <v>20</v>
      </c>
      <c r="AC11" s="21">
        <f t="shared" si="1"/>
        <v>20193880</v>
      </c>
      <c r="AD11" s="109">
        <f>+SUM(AC11:AC14)</f>
        <v>27446688</v>
      </c>
    </row>
    <row r="12" spans="1:30" x14ac:dyDescent="0.35">
      <c r="A12" s="107">
        <v>46055</v>
      </c>
      <c r="B12" s="23" t="s">
        <v>44</v>
      </c>
      <c r="C12" s="20">
        <v>39077</v>
      </c>
      <c r="D12" s="20">
        <v>37140</v>
      </c>
      <c r="E12" s="20">
        <v>35692</v>
      </c>
      <c r="F12" s="20">
        <v>34823</v>
      </c>
      <c r="G12" s="20">
        <v>34396</v>
      </c>
      <c r="H12" s="20">
        <v>35067</v>
      </c>
      <c r="I12" s="20">
        <v>36692</v>
      </c>
      <c r="J12" s="20">
        <v>38967</v>
      </c>
      <c r="K12" s="20">
        <v>42909</v>
      </c>
      <c r="L12" s="20">
        <v>45818</v>
      </c>
      <c r="M12" s="20">
        <v>47755</v>
      </c>
      <c r="N12" s="20">
        <v>48495</v>
      </c>
      <c r="O12" s="20">
        <v>46757</v>
      </c>
      <c r="P12" s="20">
        <v>46918</v>
      </c>
      <c r="Q12" s="20">
        <v>48176</v>
      </c>
      <c r="R12" s="20">
        <v>48567</v>
      </c>
      <c r="S12" s="20">
        <v>47256</v>
      </c>
      <c r="T12" s="20">
        <v>32139</v>
      </c>
      <c r="U12" s="20">
        <v>33979</v>
      </c>
      <c r="V12" s="20">
        <v>34024</v>
      </c>
      <c r="W12" s="20">
        <v>32945</v>
      </c>
      <c r="X12" s="20">
        <v>31780</v>
      </c>
      <c r="Y12" s="20">
        <v>30241</v>
      </c>
      <c r="Z12" s="20">
        <v>28439</v>
      </c>
      <c r="AA12" s="20">
        <f t="shared" si="0"/>
        <v>938052</v>
      </c>
      <c r="AB12" s="22">
        <v>4</v>
      </c>
      <c r="AC12" s="21">
        <f t="shared" si="1"/>
        <v>3752208</v>
      </c>
      <c r="AD12" s="110"/>
    </row>
    <row r="13" spans="1:30" x14ac:dyDescent="0.35">
      <c r="A13" s="107">
        <v>46056</v>
      </c>
      <c r="B13" s="23" t="s">
        <v>45</v>
      </c>
      <c r="C13" s="20">
        <v>40291</v>
      </c>
      <c r="D13" s="20">
        <v>38238</v>
      </c>
      <c r="E13" s="20">
        <v>36732</v>
      </c>
      <c r="F13" s="20">
        <v>35457</v>
      </c>
      <c r="G13" s="20">
        <v>34864</v>
      </c>
      <c r="H13" s="20">
        <v>34707</v>
      </c>
      <c r="I13" s="20">
        <v>35065</v>
      </c>
      <c r="J13" s="20">
        <v>34200</v>
      </c>
      <c r="K13" s="20">
        <v>35705</v>
      </c>
      <c r="L13" s="20">
        <v>37750</v>
      </c>
      <c r="M13" s="20">
        <v>38979</v>
      </c>
      <c r="N13" s="20">
        <v>40163</v>
      </c>
      <c r="O13" s="20">
        <v>40612</v>
      </c>
      <c r="P13" s="20">
        <v>40725</v>
      </c>
      <c r="Q13" s="20">
        <v>41775</v>
      </c>
      <c r="R13" s="20">
        <v>42790</v>
      </c>
      <c r="S13" s="20">
        <v>42631</v>
      </c>
      <c r="T13" s="20">
        <v>30082</v>
      </c>
      <c r="U13" s="20">
        <v>32474</v>
      </c>
      <c r="V13" s="20">
        <v>33567</v>
      </c>
      <c r="W13" s="20">
        <v>33682</v>
      </c>
      <c r="X13" s="20">
        <v>33416</v>
      </c>
      <c r="Y13" s="20">
        <v>31850</v>
      </c>
      <c r="Z13" s="20">
        <v>29395</v>
      </c>
      <c r="AA13" s="20">
        <f t="shared" si="0"/>
        <v>875150</v>
      </c>
      <c r="AB13" s="22">
        <v>4</v>
      </c>
      <c r="AC13" s="21">
        <f t="shared" si="1"/>
        <v>3500600</v>
      </c>
      <c r="AD13" s="110"/>
    </row>
    <row r="14" spans="1:30" x14ac:dyDescent="0.35">
      <c r="A14" s="108">
        <v>46057</v>
      </c>
      <c r="B14" s="24" t="s">
        <v>46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f t="shared" si="0"/>
        <v>0</v>
      </c>
      <c r="AB14" s="22">
        <v>0</v>
      </c>
      <c r="AC14" s="21">
        <f t="shared" si="1"/>
        <v>0</v>
      </c>
      <c r="AD14" s="111"/>
    </row>
    <row r="15" spans="1:30" x14ac:dyDescent="0.35">
      <c r="A15" s="106">
        <v>46082</v>
      </c>
      <c r="B15" s="19" t="s">
        <v>43</v>
      </c>
      <c r="C15" s="20">
        <v>37021</v>
      </c>
      <c r="D15" s="20">
        <v>35042</v>
      </c>
      <c r="E15" s="20">
        <v>33649</v>
      </c>
      <c r="F15" s="20">
        <v>32631</v>
      </c>
      <c r="G15" s="20">
        <v>32521</v>
      </c>
      <c r="H15" s="20">
        <v>33969</v>
      </c>
      <c r="I15" s="20">
        <v>34520</v>
      </c>
      <c r="J15" s="20">
        <v>35443</v>
      </c>
      <c r="K15" s="20">
        <v>38367</v>
      </c>
      <c r="L15" s="20">
        <v>40558</v>
      </c>
      <c r="M15" s="20">
        <v>42553</v>
      </c>
      <c r="N15" s="20">
        <v>43035</v>
      </c>
      <c r="O15" s="20">
        <v>40173</v>
      </c>
      <c r="P15" s="20">
        <v>44403</v>
      </c>
      <c r="Q15" s="20">
        <v>48725</v>
      </c>
      <c r="R15" s="20">
        <v>49439</v>
      </c>
      <c r="S15" s="20">
        <v>48353</v>
      </c>
      <c r="T15" s="20">
        <v>31559</v>
      </c>
      <c r="U15" s="20">
        <v>31768</v>
      </c>
      <c r="V15" s="20">
        <v>31692</v>
      </c>
      <c r="W15" s="20">
        <v>31750</v>
      </c>
      <c r="X15" s="20">
        <v>31202</v>
      </c>
      <c r="Y15" s="20">
        <v>29092</v>
      </c>
      <c r="Z15" s="20">
        <v>26820</v>
      </c>
      <c r="AA15" s="20">
        <f t="shared" si="0"/>
        <v>884285</v>
      </c>
      <c r="AB15" s="22">
        <v>21</v>
      </c>
      <c r="AC15" s="21">
        <f t="shared" si="1"/>
        <v>18569985</v>
      </c>
      <c r="AD15" s="109">
        <f>+SUM(AC15:AC18)</f>
        <v>26678356</v>
      </c>
    </row>
    <row r="16" spans="1:30" x14ac:dyDescent="0.35">
      <c r="A16" s="107"/>
      <c r="B16" s="23" t="s">
        <v>44</v>
      </c>
      <c r="C16" s="20">
        <v>38120</v>
      </c>
      <c r="D16" s="20">
        <v>36123</v>
      </c>
      <c r="E16" s="20">
        <v>34578</v>
      </c>
      <c r="F16" s="20">
        <v>33302</v>
      </c>
      <c r="G16" s="20">
        <v>32635</v>
      </c>
      <c r="H16" s="20">
        <v>32644</v>
      </c>
      <c r="I16" s="20">
        <v>33347</v>
      </c>
      <c r="J16" s="20">
        <v>34826</v>
      </c>
      <c r="K16" s="20">
        <v>38264</v>
      </c>
      <c r="L16" s="20">
        <v>40835</v>
      </c>
      <c r="M16" s="20">
        <v>42748</v>
      </c>
      <c r="N16" s="20">
        <v>43297</v>
      </c>
      <c r="O16" s="20">
        <v>41482</v>
      </c>
      <c r="P16" s="20">
        <v>42049</v>
      </c>
      <c r="Q16" s="20">
        <v>43818</v>
      </c>
      <c r="R16" s="20">
        <v>44243</v>
      </c>
      <c r="S16" s="20">
        <v>43197</v>
      </c>
      <c r="T16" s="20">
        <v>29876</v>
      </c>
      <c r="U16" s="20">
        <v>31215</v>
      </c>
      <c r="V16" s="20">
        <v>31130</v>
      </c>
      <c r="W16" s="20">
        <v>30754</v>
      </c>
      <c r="X16" s="20">
        <v>30476</v>
      </c>
      <c r="Y16" s="20">
        <v>29861</v>
      </c>
      <c r="Z16" s="20">
        <v>28421</v>
      </c>
      <c r="AA16" s="20">
        <f t="shared" si="0"/>
        <v>867241</v>
      </c>
      <c r="AB16" s="22">
        <v>4</v>
      </c>
      <c r="AC16" s="21">
        <f t="shared" si="1"/>
        <v>3468964</v>
      </c>
      <c r="AD16" s="110"/>
    </row>
    <row r="17" spans="1:34" x14ac:dyDescent="0.35">
      <c r="A17" s="107"/>
      <c r="B17" s="23" t="s">
        <v>45</v>
      </c>
      <c r="C17" s="20">
        <v>38845</v>
      </c>
      <c r="D17" s="20">
        <v>36799</v>
      </c>
      <c r="E17" s="20">
        <v>35346</v>
      </c>
      <c r="F17" s="20">
        <v>34161</v>
      </c>
      <c r="G17" s="20">
        <v>33370</v>
      </c>
      <c r="H17" s="20">
        <v>32766</v>
      </c>
      <c r="I17" s="20">
        <v>32439</v>
      </c>
      <c r="J17" s="20">
        <v>30809</v>
      </c>
      <c r="K17" s="20">
        <v>31622</v>
      </c>
      <c r="L17" s="20">
        <v>32700</v>
      </c>
      <c r="M17" s="20">
        <v>33303</v>
      </c>
      <c r="N17" s="20">
        <v>34098</v>
      </c>
      <c r="O17" s="20">
        <v>34921</v>
      </c>
      <c r="P17" s="20">
        <v>35461</v>
      </c>
      <c r="Q17" s="20">
        <v>36548</v>
      </c>
      <c r="R17" s="20">
        <v>37438</v>
      </c>
      <c r="S17" s="20">
        <v>37274</v>
      </c>
      <c r="T17" s="20">
        <v>25914</v>
      </c>
      <c r="U17" s="20">
        <v>27839</v>
      </c>
      <c r="V17" s="20">
        <v>29255</v>
      </c>
      <c r="W17" s="20">
        <v>29841</v>
      </c>
      <c r="X17" s="20">
        <v>30034</v>
      </c>
      <c r="Y17" s="20">
        <v>28309</v>
      </c>
      <c r="Z17" s="20">
        <v>26226</v>
      </c>
      <c r="AA17" s="20">
        <f t="shared" si="0"/>
        <v>785318</v>
      </c>
      <c r="AB17" s="22">
        <v>5</v>
      </c>
      <c r="AC17" s="21">
        <f t="shared" si="1"/>
        <v>3926590</v>
      </c>
      <c r="AD17" s="110"/>
    </row>
    <row r="18" spans="1:34" x14ac:dyDescent="0.35">
      <c r="A18" s="108"/>
      <c r="B18" s="24" t="s">
        <v>46</v>
      </c>
      <c r="C18" s="20">
        <v>31524</v>
      </c>
      <c r="D18" s="20">
        <v>29493</v>
      </c>
      <c r="E18" s="20">
        <v>28244</v>
      </c>
      <c r="F18" s="20">
        <v>27384</v>
      </c>
      <c r="G18" s="20">
        <v>27117</v>
      </c>
      <c r="H18" s="20">
        <v>26867</v>
      </c>
      <c r="I18" s="20">
        <v>27428</v>
      </c>
      <c r="J18" s="20">
        <v>27427</v>
      </c>
      <c r="K18" s="20">
        <v>29370</v>
      </c>
      <c r="L18" s="20">
        <v>31533</v>
      </c>
      <c r="M18" s="20">
        <v>33612</v>
      </c>
      <c r="N18" s="20">
        <v>35117</v>
      </c>
      <c r="O18" s="20">
        <v>34896</v>
      </c>
      <c r="P18" s="20">
        <v>35808</v>
      </c>
      <c r="Q18" s="20">
        <v>36319</v>
      </c>
      <c r="R18" s="20">
        <v>36141</v>
      </c>
      <c r="S18" s="20">
        <v>35385</v>
      </c>
      <c r="T18" s="20">
        <v>23607</v>
      </c>
      <c r="U18" s="20">
        <v>25977</v>
      </c>
      <c r="V18" s="20">
        <v>27344</v>
      </c>
      <c r="W18" s="20">
        <v>27611</v>
      </c>
      <c r="X18" s="20">
        <v>27156</v>
      </c>
      <c r="Y18" s="20">
        <v>24911</v>
      </c>
      <c r="Z18" s="20">
        <v>22546</v>
      </c>
      <c r="AA18" s="20">
        <f t="shared" si="0"/>
        <v>712817</v>
      </c>
      <c r="AB18" s="22">
        <v>1</v>
      </c>
      <c r="AC18" s="21">
        <f t="shared" si="1"/>
        <v>712817</v>
      </c>
      <c r="AD18" s="111"/>
    </row>
    <row r="19" spans="1:34" x14ac:dyDescent="0.35">
      <c r="A19" s="106">
        <v>46113</v>
      </c>
      <c r="B19" s="19" t="s">
        <v>43</v>
      </c>
      <c r="C19" s="20">
        <v>39038</v>
      </c>
      <c r="D19" s="20">
        <v>36963</v>
      </c>
      <c r="E19" s="20">
        <v>35545</v>
      </c>
      <c r="F19" s="20">
        <v>34531</v>
      </c>
      <c r="G19" s="20">
        <v>34530</v>
      </c>
      <c r="H19" s="20">
        <v>35569</v>
      </c>
      <c r="I19" s="20">
        <v>36698</v>
      </c>
      <c r="J19" s="20">
        <v>38718</v>
      </c>
      <c r="K19" s="20">
        <v>42539</v>
      </c>
      <c r="L19" s="20">
        <v>45066</v>
      </c>
      <c r="M19" s="20">
        <v>47618</v>
      </c>
      <c r="N19" s="20">
        <v>48409</v>
      </c>
      <c r="O19" s="20">
        <v>44899</v>
      </c>
      <c r="P19" s="20">
        <v>49182</v>
      </c>
      <c r="Q19" s="20">
        <v>54140</v>
      </c>
      <c r="R19" s="20">
        <v>54709</v>
      </c>
      <c r="S19" s="20">
        <v>53184</v>
      </c>
      <c r="T19" s="20">
        <v>35099</v>
      </c>
      <c r="U19" s="20">
        <v>35537</v>
      </c>
      <c r="V19" s="20">
        <v>35061</v>
      </c>
      <c r="W19" s="20">
        <v>34665</v>
      </c>
      <c r="X19" s="20">
        <v>33820</v>
      </c>
      <c r="Y19" s="20">
        <v>31629</v>
      </c>
      <c r="Z19" s="20">
        <v>29038</v>
      </c>
      <c r="AA19" s="20">
        <f t="shared" si="0"/>
        <v>966187</v>
      </c>
      <c r="AB19" s="22">
        <v>20</v>
      </c>
      <c r="AC19" s="21">
        <f t="shared" si="1"/>
        <v>19323740</v>
      </c>
      <c r="AD19" s="109">
        <f>+SUM(AC19:AC22)</f>
        <v>27760442</v>
      </c>
    </row>
    <row r="20" spans="1:34" x14ac:dyDescent="0.35">
      <c r="A20" s="107"/>
      <c r="B20" s="23" t="s">
        <v>44</v>
      </c>
      <c r="C20" s="20">
        <v>39981</v>
      </c>
      <c r="D20" s="20">
        <v>38014</v>
      </c>
      <c r="E20" s="20">
        <v>36544</v>
      </c>
      <c r="F20" s="20">
        <v>35219</v>
      </c>
      <c r="G20" s="20">
        <v>34747</v>
      </c>
      <c r="H20" s="20">
        <v>34334</v>
      </c>
      <c r="I20" s="20">
        <v>35612</v>
      </c>
      <c r="J20" s="20">
        <v>37290</v>
      </c>
      <c r="K20" s="20">
        <v>41393</v>
      </c>
      <c r="L20" s="20">
        <v>43989</v>
      </c>
      <c r="M20" s="20">
        <v>46288</v>
      </c>
      <c r="N20" s="20">
        <v>47213</v>
      </c>
      <c r="O20" s="20">
        <v>45404</v>
      </c>
      <c r="P20" s="20">
        <v>45786</v>
      </c>
      <c r="Q20" s="20">
        <v>47274</v>
      </c>
      <c r="R20" s="20">
        <v>47540</v>
      </c>
      <c r="S20" s="20">
        <v>46053</v>
      </c>
      <c r="T20" s="20">
        <v>32108</v>
      </c>
      <c r="U20" s="20">
        <v>33484</v>
      </c>
      <c r="V20" s="20">
        <v>32675</v>
      </c>
      <c r="W20" s="20">
        <v>31752</v>
      </c>
      <c r="X20" s="20">
        <v>30731</v>
      </c>
      <c r="Y20" s="20">
        <v>29515</v>
      </c>
      <c r="Z20" s="20">
        <v>28020</v>
      </c>
      <c r="AA20" s="20">
        <f t="shared" si="0"/>
        <v>920966</v>
      </c>
      <c r="AB20" s="22">
        <v>4</v>
      </c>
      <c r="AC20" s="21">
        <f t="shared" si="1"/>
        <v>3683864</v>
      </c>
      <c r="AD20" s="110"/>
    </row>
    <row r="21" spans="1:34" x14ac:dyDescent="0.35">
      <c r="A21" s="107"/>
      <c r="B21" s="23" t="s">
        <v>45</v>
      </c>
      <c r="C21" s="20">
        <v>39899</v>
      </c>
      <c r="D21" s="20">
        <v>37653</v>
      </c>
      <c r="E21" s="20">
        <v>36012</v>
      </c>
      <c r="F21" s="20">
        <v>34742</v>
      </c>
      <c r="G21" s="20">
        <v>33934</v>
      </c>
      <c r="H21" s="20">
        <v>32997</v>
      </c>
      <c r="I21" s="20">
        <v>33084</v>
      </c>
      <c r="J21" s="20">
        <v>32296</v>
      </c>
      <c r="K21" s="20">
        <v>33691</v>
      </c>
      <c r="L21" s="20">
        <v>35057</v>
      </c>
      <c r="M21" s="20">
        <v>36139</v>
      </c>
      <c r="N21" s="20">
        <v>37645</v>
      </c>
      <c r="O21" s="20">
        <v>38191</v>
      </c>
      <c r="P21" s="20">
        <v>38586</v>
      </c>
      <c r="Q21" s="20">
        <v>39691</v>
      </c>
      <c r="R21" s="20">
        <v>40354</v>
      </c>
      <c r="S21" s="20">
        <v>39971</v>
      </c>
      <c r="T21" s="20">
        <v>27676</v>
      </c>
      <c r="U21" s="20">
        <v>29849</v>
      </c>
      <c r="V21" s="20">
        <v>30728</v>
      </c>
      <c r="W21" s="20">
        <v>30168</v>
      </c>
      <c r="X21" s="20">
        <v>30040</v>
      </c>
      <c r="Y21" s="20">
        <v>28544</v>
      </c>
      <c r="Z21" s="20">
        <v>26220</v>
      </c>
      <c r="AA21" s="20">
        <f t="shared" si="0"/>
        <v>823167</v>
      </c>
      <c r="AB21" s="22">
        <v>4</v>
      </c>
      <c r="AC21" s="21">
        <f t="shared" si="1"/>
        <v>3292668</v>
      </c>
      <c r="AD21" s="110"/>
    </row>
    <row r="22" spans="1:34" x14ac:dyDescent="0.35">
      <c r="A22" s="108"/>
      <c r="B22" s="24" t="s">
        <v>46</v>
      </c>
      <c r="C22" s="20">
        <v>37378</v>
      </c>
      <c r="D22" s="20">
        <v>35313</v>
      </c>
      <c r="E22" s="20">
        <v>33780</v>
      </c>
      <c r="F22" s="20">
        <v>32639</v>
      </c>
      <c r="G22" s="20">
        <v>31802</v>
      </c>
      <c r="H22" s="20">
        <v>30879</v>
      </c>
      <c r="I22" s="20">
        <v>31062</v>
      </c>
      <c r="J22" s="20">
        <v>29297</v>
      </c>
      <c r="K22" s="20">
        <v>29446</v>
      </c>
      <c r="L22" s="20">
        <v>29885</v>
      </c>
      <c r="M22" s="20">
        <v>30425</v>
      </c>
      <c r="N22" s="20">
        <v>31706</v>
      </c>
      <c r="O22" s="20">
        <v>32426</v>
      </c>
      <c r="P22" s="20">
        <v>32795</v>
      </c>
      <c r="Q22" s="20">
        <v>33886</v>
      </c>
      <c r="R22" s="20">
        <v>34189</v>
      </c>
      <c r="S22" s="20">
        <v>33738</v>
      </c>
      <c r="T22" s="20">
        <v>23686</v>
      </c>
      <c r="U22" s="20">
        <v>25934</v>
      </c>
      <c r="V22" s="20">
        <v>26790</v>
      </c>
      <c r="W22" s="20">
        <v>26399</v>
      </c>
      <c r="X22" s="20">
        <v>26292</v>
      </c>
      <c r="Y22" s="20">
        <v>25789</v>
      </c>
      <c r="Z22" s="20">
        <v>24549</v>
      </c>
      <c r="AA22" s="20">
        <f t="shared" si="0"/>
        <v>730085</v>
      </c>
      <c r="AB22" s="22">
        <v>2</v>
      </c>
      <c r="AC22" s="21">
        <f t="shared" si="1"/>
        <v>1460170</v>
      </c>
      <c r="AD22" s="111"/>
    </row>
    <row r="23" spans="1:34" x14ac:dyDescent="0.35">
      <c r="A23" s="106">
        <v>46143</v>
      </c>
      <c r="B23" s="19" t="s">
        <v>43</v>
      </c>
      <c r="C23" s="20">
        <v>39885</v>
      </c>
      <c r="D23" s="20">
        <v>37867</v>
      </c>
      <c r="E23" s="20">
        <v>36298</v>
      </c>
      <c r="F23" s="20">
        <v>35183</v>
      </c>
      <c r="G23" s="20">
        <v>34853</v>
      </c>
      <c r="H23" s="20">
        <v>34862</v>
      </c>
      <c r="I23" s="20">
        <v>35908</v>
      </c>
      <c r="J23" s="20">
        <v>37946</v>
      </c>
      <c r="K23" s="20">
        <v>41932</v>
      </c>
      <c r="L23" s="20">
        <v>44653</v>
      </c>
      <c r="M23" s="20">
        <v>47053</v>
      </c>
      <c r="N23" s="20">
        <v>47669</v>
      </c>
      <c r="O23" s="20">
        <v>44273</v>
      </c>
      <c r="P23" s="20">
        <v>48865</v>
      </c>
      <c r="Q23" s="20">
        <v>53707</v>
      </c>
      <c r="R23" s="20">
        <v>53954</v>
      </c>
      <c r="S23" s="20">
        <v>52271</v>
      </c>
      <c r="T23" s="20">
        <v>35045</v>
      </c>
      <c r="U23" s="20">
        <v>34369</v>
      </c>
      <c r="V23" s="20">
        <v>34106</v>
      </c>
      <c r="W23" s="20">
        <v>34382</v>
      </c>
      <c r="X23" s="20">
        <v>33955</v>
      </c>
      <c r="Y23" s="20">
        <v>32065</v>
      </c>
      <c r="Z23" s="20">
        <v>29627</v>
      </c>
      <c r="AA23" s="20">
        <f t="shared" si="0"/>
        <v>960728</v>
      </c>
      <c r="AB23" s="22">
        <v>19</v>
      </c>
      <c r="AC23" s="21">
        <f t="shared" si="1"/>
        <v>18253832</v>
      </c>
      <c r="AD23" s="109">
        <f>+SUM(AC23:AC26)</f>
        <v>28373867</v>
      </c>
    </row>
    <row r="24" spans="1:34" x14ac:dyDescent="0.35">
      <c r="A24" s="107"/>
      <c r="B24" s="23" t="s">
        <v>44</v>
      </c>
      <c r="C24" s="20">
        <v>40646</v>
      </c>
      <c r="D24" s="20">
        <v>38298</v>
      </c>
      <c r="E24" s="20">
        <v>36467</v>
      </c>
      <c r="F24" s="20">
        <v>35207</v>
      </c>
      <c r="G24" s="20">
        <v>34575</v>
      </c>
      <c r="H24" s="20">
        <v>33520</v>
      </c>
      <c r="I24" s="20">
        <v>35130</v>
      </c>
      <c r="J24" s="20">
        <v>36816</v>
      </c>
      <c r="K24" s="20">
        <v>41070</v>
      </c>
      <c r="L24" s="20">
        <v>44151</v>
      </c>
      <c r="M24" s="20">
        <v>46488</v>
      </c>
      <c r="N24" s="20">
        <v>47072</v>
      </c>
      <c r="O24" s="20">
        <v>45240</v>
      </c>
      <c r="P24" s="20">
        <v>45823</v>
      </c>
      <c r="Q24" s="20">
        <v>47234</v>
      </c>
      <c r="R24" s="20">
        <v>46808</v>
      </c>
      <c r="S24" s="20">
        <v>45226</v>
      </c>
      <c r="T24" s="20">
        <v>30691</v>
      </c>
      <c r="U24" s="20">
        <v>31707</v>
      </c>
      <c r="V24" s="20">
        <v>31791</v>
      </c>
      <c r="W24" s="20">
        <v>30972</v>
      </c>
      <c r="X24" s="20">
        <v>30416</v>
      </c>
      <c r="Y24" s="20">
        <v>29588</v>
      </c>
      <c r="Z24" s="20">
        <v>27879</v>
      </c>
      <c r="AA24" s="20">
        <f t="shared" si="0"/>
        <v>912815</v>
      </c>
      <c r="AB24" s="22">
        <v>5</v>
      </c>
      <c r="AC24" s="21">
        <f t="shared" si="1"/>
        <v>4564075</v>
      </c>
      <c r="AD24" s="110"/>
    </row>
    <row r="25" spans="1:34" x14ac:dyDescent="0.35">
      <c r="A25" s="107"/>
      <c r="B25" s="23" t="s">
        <v>45</v>
      </c>
      <c r="C25" s="20">
        <v>39303</v>
      </c>
      <c r="D25" s="20">
        <v>37437</v>
      </c>
      <c r="E25" s="20">
        <v>35899</v>
      </c>
      <c r="F25" s="20">
        <v>34644</v>
      </c>
      <c r="G25" s="20">
        <v>33797</v>
      </c>
      <c r="H25" s="20">
        <v>32192</v>
      </c>
      <c r="I25" s="20">
        <v>32778</v>
      </c>
      <c r="J25" s="20">
        <v>31994</v>
      </c>
      <c r="K25" s="20">
        <v>33173</v>
      </c>
      <c r="L25" s="20">
        <v>34542</v>
      </c>
      <c r="M25" s="20">
        <v>35837</v>
      </c>
      <c r="N25" s="20">
        <v>36680</v>
      </c>
      <c r="O25" s="20">
        <v>36480</v>
      </c>
      <c r="P25" s="20">
        <v>36481</v>
      </c>
      <c r="Q25" s="20">
        <v>37786</v>
      </c>
      <c r="R25" s="20">
        <v>38299</v>
      </c>
      <c r="S25" s="20">
        <v>38004</v>
      </c>
      <c r="T25" s="20">
        <v>26693</v>
      </c>
      <c r="U25" s="20">
        <v>28502</v>
      </c>
      <c r="V25" s="20">
        <v>29350</v>
      </c>
      <c r="W25" s="20">
        <v>29780</v>
      </c>
      <c r="X25" s="20">
        <v>30317</v>
      </c>
      <c r="Y25" s="20">
        <v>29392</v>
      </c>
      <c r="Z25" s="20">
        <v>27488</v>
      </c>
      <c r="AA25" s="20">
        <f t="shared" si="0"/>
        <v>806848</v>
      </c>
      <c r="AB25" s="22">
        <v>5</v>
      </c>
      <c r="AC25" s="21">
        <f t="shared" si="1"/>
        <v>4034240</v>
      </c>
      <c r="AD25" s="110"/>
    </row>
    <row r="26" spans="1:34" x14ac:dyDescent="0.35">
      <c r="A26" s="108"/>
      <c r="B26" s="24" t="s">
        <v>46</v>
      </c>
      <c r="C26" s="20">
        <v>34678</v>
      </c>
      <c r="D26" s="20">
        <v>32822</v>
      </c>
      <c r="E26" s="20">
        <v>31456</v>
      </c>
      <c r="F26" s="20">
        <v>30395</v>
      </c>
      <c r="G26" s="20">
        <v>29875</v>
      </c>
      <c r="H26" s="20">
        <v>28639</v>
      </c>
      <c r="I26" s="20">
        <v>29602</v>
      </c>
      <c r="J26" s="20">
        <v>29226</v>
      </c>
      <c r="K26" s="20">
        <v>31009</v>
      </c>
      <c r="L26" s="20">
        <v>32991</v>
      </c>
      <c r="M26" s="20">
        <v>34688</v>
      </c>
      <c r="N26" s="20">
        <v>35935</v>
      </c>
      <c r="O26" s="20">
        <v>35889</v>
      </c>
      <c r="P26" s="20">
        <v>36567</v>
      </c>
      <c r="Q26" s="20">
        <v>37526</v>
      </c>
      <c r="R26" s="20">
        <v>37937</v>
      </c>
      <c r="S26" s="20">
        <v>37082</v>
      </c>
      <c r="T26" s="20">
        <v>24963</v>
      </c>
      <c r="U26" s="20">
        <v>27231</v>
      </c>
      <c r="V26" s="20">
        <v>29165</v>
      </c>
      <c r="W26" s="20">
        <v>29811</v>
      </c>
      <c r="X26" s="20">
        <v>29881</v>
      </c>
      <c r="Y26" s="20">
        <v>28038</v>
      </c>
      <c r="Z26" s="20">
        <v>25454</v>
      </c>
      <c r="AA26" s="20">
        <f t="shared" si="0"/>
        <v>760860</v>
      </c>
      <c r="AB26" s="22">
        <v>2</v>
      </c>
      <c r="AC26" s="21">
        <f t="shared" si="1"/>
        <v>1521720</v>
      </c>
      <c r="AD26" s="111"/>
    </row>
    <row r="27" spans="1:34" x14ac:dyDescent="0.35">
      <c r="A27" s="106">
        <v>46174</v>
      </c>
      <c r="B27" s="19" t="s">
        <v>43</v>
      </c>
      <c r="C27" s="20">
        <v>41789</v>
      </c>
      <c r="D27" s="20">
        <v>39664</v>
      </c>
      <c r="E27" s="20">
        <v>37982</v>
      </c>
      <c r="F27" s="20">
        <v>36874</v>
      </c>
      <c r="G27" s="20">
        <v>36520</v>
      </c>
      <c r="H27" s="20">
        <v>36337</v>
      </c>
      <c r="I27" s="20">
        <v>38048</v>
      </c>
      <c r="J27" s="20">
        <v>40608</v>
      </c>
      <c r="K27" s="20">
        <v>44754</v>
      </c>
      <c r="L27" s="20">
        <v>47328</v>
      </c>
      <c r="M27" s="20">
        <v>49698</v>
      </c>
      <c r="N27" s="20">
        <v>50631</v>
      </c>
      <c r="O27" s="20">
        <v>46803</v>
      </c>
      <c r="P27" s="20">
        <v>51004</v>
      </c>
      <c r="Q27" s="20">
        <v>55402</v>
      </c>
      <c r="R27" s="20">
        <v>55849</v>
      </c>
      <c r="S27" s="20">
        <v>54411</v>
      </c>
      <c r="T27" s="20">
        <v>35690</v>
      </c>
      <c r="U27" s="20">
        <v>35348</v>
      </c>
      <c r="V27" s="20">
        <v>35269</v>
      </c>
      <c r="W27" s="20">
        <v>35211</v>
      </c>
      <c r="X27" s="20">
        <v>34714</v>
      </c>
      <c r="Y27" s="20">
        <v>32959</v>
      </c>
      <c r="Z27" s="20">
        <v>30546</v>
      </c>
      <c r="AA27" s="20">
        <f t="shared" si="0"/>
        <v>1003439</v>
      </c>
      <c r="AB27" s="22">
        <v>19</v>
      </c>
      <c r="AC27" s="21">
        <f t="shared" si="1"/>
        <v>19065341</v>
      </c>
      <c r="AD27" s="109">
        <f>+SUM(AC27:AC30)</f>
        <v>28775725</v>
      </c>
      <c r="AE27" s="25"/>
      <c r="AG27" s="25"/>
      <c r="AH27" s="26"/>
    </row>
    <row r="28" spans="1:34" x14ac:dyDescent="0.35">
      <c r="A28" s="107"/>
      <c r="B28" s="23" t="s">
        <v>44</v>
      </c>
      <c r="C28" s="20">
        <v>41690</v>
      </c>
      <c r="D28" s="20">
        <v>39621</v>
      </c>
      <c r="E28" s="20">
        <v>38004</v>
      </c>
      <c r="F28" s="20">
        <v>36752</v>
      </c>
      <c r="G28" s="20">
        <v>36320</v>
      </c>
      <c r="H28" s="20">
        <v>35350</v>
      </c>
      <c r="I28" s="20">
        <v>37111</v>
      </c>
      <c r="J28" s="20">
        <v>39502</v>
      </c>
      <c r="K28" s="20">
        <v>43505</v>
      </c>
      <c r="L28" s="20">
        <v>46140</v>
      </c>
      <c r="M28" s="20">
        <v>48108</v>
      </c>
      <c r="N28" s="20">
        <v>48599</v>
      </c>
      <c r="O28" s="20">
        <v>46321</v>
      </c>
      <c r="P28" s="20">
        <v>46484</v>
      </c>
      <c r="Q28" s="20">
        <v>48783</v>
      </c>
      <c r="R28" s="20">
        <v>49365</v>
      </c>
      <c r="S28" s="20">
        <v>47904</v>
      </c>
      <c r="T28" s="20">
        <v>32927</v>
      </c>
      <c r="U28" s="20">
        <v>33956</v>
      </c>
      <c r="V28" s="20">
        <v>33495</v>
      </c>
      <c r="W28" s="20">
        <v>32753</v>
      </c>
      <c r="X28" s="20">
        <v>31962</v>
      </c>
      <c r="Y28" s="20">
        <v>30952</v>
      </c>
      <c r="Z28" s="20">
        <v>29444</v>
      </c>
      <c r="AA28" s="20">
        <f t="shared" si="0"/>
        <v>955048</v>
      </c>
      <c r="AB28" s="22">
        <v>4</v>
      </c>
      <c r="AC28" s="21">
        <f t="shared" si="1"/>
        <v>3820192</v>
      </c>
      <c r="AD28" s="110"/>
      <c r="AE28" s="25"/>
      <c r="AG28" s="25"/>
      <c r="AH28" s="26"/>
    </row>
    <row r="29" spans="1:34" x14ac:dyDescent="0.35">
      <c r="A29" s="107"/>
      <c r="B29" s="23" t="s">
        <v>45</v>
      </c>
      <c r="C29" s="20">
        <v>41545</v>
      </c>
      <c r="D29" s="20">
        <v>39717</v>
      </c>
      <c r="E29" s="20">
        <v>38192</v>
      </c>
      <c r="F29" s="20">
        <v>36860</v>
      </c>
      <c r="G29" s="20">
        <v>36121</v>
      </c>
      <c r="H29" s="20">
        <v>34490</v>
      </c>
      <c r="I29" s="20">
        <v>34979</v>
      </c>
      <c r="J29" s="20">
        <v>34330</v>
      </c>
      <c r="K29" s="20">
        <v>35111</v>
      </c>
      <c r="L29" s="20">
        <v>36920</v>
      </c>
      <c r="M29" s="20">
        <v>37430</v>
      </c>
      <c r="N29" s="20">
        <v>38288</v>
      </c>
      <c r="O29" s="20">
        <v>38734</v>
      </c>
      <c r="P29" s="20">
        <v>38990</v>
      </c>
      <c r="Q29" s="20">
        <v>40089</v>
      </c>
      <c r="R29" s="20">
        <v>40785</v>
      </c>
      <c r="S29" s="20">
        <v>40686</v>
      </c>
      <c r="T29" s="20">
        <v>27825</v>
      </c>
      <c r="U29" s="20">
        <v>29765</v>
      </c>
      <c r="V29" s="20">
        <v>31271</v>
      </c>
      <c r="W29" s="20">
        <v>31726</v>
      </c>
      <c r="X29" s="20">
        <v>32479</v>
      </c>
      <c r="Y29" s="20">
        <v>31804</v>
      </c>
      <c r="Z29" s="20">
        <v>30257</v>
      </c>
      <c r="AA29" s="20">
        <f t="shared" si="0"/>
        <v>858394</v>
      </c>
      <c r="AB29" s="22">
        <v>4</v>
      </c>
      <c r="AC29" s="21">
        <f t="shared" si="1"/>
        <v>3433576</v>
      </c>
      <c r="AD29" s="110"/>
      <c r="AE29" s="25"/>
      <c r="AG29" s="25"/>
      <c r="AH29" s="26"/>
    </row>
    <row r="30" spans="1:34" x14ac:dyDescent="0.35">
      <c r="A30" s="108"/>
      <c r="B30" s="24" t="s">
        <v>46</v>
      </c>
      <c r="C30" s="20">
        <v>37231</v>
      </c>
      <c r="D30" s="20">
        <v>35422</v>
      </c>
      <c r="E30" s="20">
        <v>34086</v>
      </c>
      <c r="F30" s="20">
        <v>32973</v>
      </c>
      <c r="G30" s="20">
        <v>32485</v>
      </c>
      <c r="H30" s="20">
        <v>31308</v>
      </c>
      <c r="I30" s="20">
        <v>32261</v>
      </c>
      <c r="J30" s="20">
        <v>32753</v>
      </c>
      <c r="K30" s="20">
        <v>35257</v>
      </c>
      <c r="L30" s="20">
        <v>37748</v>
      </c>
      <c r="M30" s="20">
        <v>39402</v>
      </c>
      <c r="N30" s="20">
        <v>40242</v>
      </c>
      <c r="O30" s="20">
        <v>39633</v>
      </c>
      <c r="P30" s="20">
        <v>39834</v>
      </c>
      <c r="Q30" s="20">
        <v>40635</v>
      </c>
      <c r="R30" s="20">
        <v>40615</v>
      </c>
      <c r="S30" s="20">
        <v>39512</v>
      </c>
      <c r="T30" s="20">
        <v>25910</v>
      </c>
      <c r="U30" s="20">
        <v>27589</v>
      </c>
      <c r="V30" s="20">
        <v>29833</v>
      </c>
      <c r="W30" s="20">
        <v>29845</v>
      </c>
      <c r="X30" s="20">
        <v>29763</v>
      </c>
      <c r="Y30" s="20">
        <v>28352</v>
      </c>
      <c r="Z30" s="20">
        <v>26183</v>
      </c>
      <c r="AA30" s="20">
        <f t="shared" si="0"/>
        <v>818872</v>
      </c>
      <c r="AB30" s="22">
        <v>3</v>
      </c>
      <c r="AC30" s="21">
        <f t="shared" si="1"/>
        <v>2456616</v>
      </c>
      <c r="AD30" s="111"/>
      <c r="AE30" s="25"/>
      <c r="AG30" s="25"/>
      <c r="AH30" s="26"/>
    </row>
    <row r="31" spans="1:34" x14ac:dyDescent="0.35">
      <c r="A31" s="106">
        <v>46204</v>
      </c>
      <c r="B31" s="19" t="s">
        <v>43</v>
      </c>
      <c r="C31" s="20">
        <v>39220</v>
      </c>
      <c r="D31" s="20">
        <v>37153</v>
      </c>
      <c r="E31" s="20">
        <v>35653</v>
      </c>
      <c r="F31" s="20">
        <v>34432</v>
      </c>
      <c r="G31" s="20">
        <v>34042</v>
      </c>
      <c r="H31" s="20">
        <v>34242</v>
      </c>
      <c r="I31" s="20">
        <v>35481</v>
      </c>
      <c r="J31" s="20">
        <v>37438</v>
      </c>
      <c r="K31" s="20">
        <v>41446</v>
      </c>
      <c r="L31" s="20">
        <v>44011</v>
      </c>
      <c r="M31" s="20">
        <v>46372</v>
      </c>
      <c r="N31" s="20">
        <v>46685</v>
      </c>
      <c r="O31" s="20">
        <v>42892</v>
      </c>
      <c r="P31" s="20">
        <v>46836</v>
      </c>
      <c r="Q31" s="20">
        <v>51098</v>
      </c>
      <c r="R31" s="20">
        <v>51477</v>
      </c>
      <c r="S31" s="20">
        <v>49800</v>
      </c>
      <c r="T31" s="20">
        <v>32507</v>
      </c>
      <c r="U31" s="20">
        <v>32037</v>
      </c>
      <c r="V31" s="20">
        <v>32397</v>
      </c>
      <c r="W31" s="20">
        <v>32683</v>
      </c>
      <c r="X31" s="20">
        <v>32279</v>
      </c>
      <c r="Y31" s="20">
        <v>30532</v>
      </c>
      <c r="Z31" s="20">
        <v>28181</v>
      </c>
      <c r="AA31" s="20">
        <f t="shared" si="0"/>
        <v>928894</v>
      </c>
      <c r="AB31" s="22">
        <v>22</v>
      </c>
      <c r="AC31" s="21">
        <f t="shared" si="1"/>
        <v>20435668</v>
      </c>
      <c r="AD31" s="109">
        <f>+SUM(AC31:AC34)</f>
        <v>27971551</v>
      </c>
      <c r="AE31" s="25"/>
      <c r="AG31" s="25"/>
      <c r="AH31" s="26"/>
    </row>
    <row r="32" spans="1:34" x14ac:dyDescent="0.35">
      <c r="A32" s="107"/>
      <c r="B32" s="23" t="s">
        <v>44</v>
      </c>
      <c r="C32" s="20">
        <v>38033</v>
      </c>
      <c r="D32" s="20">
        <v>36212</v>
      </c>
      <c r="E32" s="20">
        <v>34811</v>
      </c>
      <c r="F32" s="20">
        <v>33698</v>
      </c>
      <c r="G32" s="20">
        <v>33359</v>
      </c>
      <c r="H32" s="20">
        <v>32594</v>
      </c>
      <c r="I32" s="20">
        <v>33820</v>
      </c>
      <c r="J32" s="20">
        <v>35458</v>
      </c>
      <c r="K32" s="20">
        <v>39120</v>
      </c>
      <c r="L32" s="20">
        <v>41760</v>
      </c>
      <c r="M32" s="20">
        <v>43495</v>
      </c>
      <c r="N32" s="20">
        <v>44437</v>
      </c>
      <c r="O32" s="20">
        <v>42558</v>
      </c>
      <c r="P32" s="20">
        <v>43172</v>
      </c>
      <c r="Q32" s="20">
        <v>45077</v>
      </c>
      <c r="R32" s="20">
        <v>45035</v>
      </c>
      <c r="S32" s="20">
        <v>43332</v>
      </c>
      <c r="T32" s="20">
        <v>28344</v>
      </c>
      <c r="U32" s="20">
        <v>29909</v>
      </c>
      <c r="V32" s="20">
        <v>30913</v>
      </c>
      <c r="W32" s="20">
        <v>30116</v>
      </c>
      <c r="X32" s="20">
        <v>29849</v>
      </c>
      <c r="Y32" s="20">
        <v>29403</v>
      </c>
      <c r="Z32" s="20">
        <v>28305</v>
      </c>
      <c r="AA32" s="20">
        <f t="shared" si="0"/>
        <v>872810</v>
      </c>
      <c r="AB32" s="22">
        <v>4</v>
      </c>
      <c r="AC32" s="21">
        <f t="shared" si="1"/>
        <v>3491240</v>
      </c>
      <c r="AD32" s="110"/>
      <c r="AE32" s="25"/>
      <c r="AG32" s="25"/>
      <c r="AH32" s="26"/>
    </row>
    <row r="33" spans="1:34" x14ac:dyDescent="0.35">
      <c r="A33" s="107"/>
      <c r="B33" s="23" t="s">
        <v>45</v>
      </c>
      <c r="C33" s="20">
        <v>40236</v>
      </c>
      <c r="D33" s="20">
        <v>38329</v>
      </c>
      <c r="E33" s="20">
        <v>36645</v>
      </c>
      <c r="F33" s="20">
        <v>35396</v>
      </c>
      <c r="G33" s="20">
        <v>34535</v>
      </c>
      <c r="H33" s="20">
        <v>33160</v>
      </c>
      <c r="I33" s="20">
        <v>33540</v>
      </c>
      <c r="J33" s="20">
        <v>31788</v>
      </c>
      <c r="K33" s="20">
        <v>32829</v>
      </c>
      <c r="L33" s="20">
        <v>34528</v>
      </c>
      <c r="M33" s="20">
        <v>35290</v>
      </c>
      <c r="N33" s="20">
        <v>35872</v>
      </c>
      <c r="O33" s="20">
        <v>36371</v>
      </c>
      <c r="P33" s="20">
        <v>36806</v>
      </c>
      <c r="Q33" s="20">
        <v>37501</v>
      </c>
      <c r="R33" s="20">
        <v>38292</v>
      </c>
      <c r="S33" s="20">
        <v>38016</v>
      </c>
      <c r="T33" s="20">
        <v>27305</v>
      </c>
      <c r="U33" s="20">
        <v>29042</v>
      </c>
      <c r="V33" s="20">
        <v>30554</v>
      </c>
      <c r="W33" s="20">
        <v>30861</v>
      </c>
      <c r="X33" s="20">
        <v>31230</v>
      </c>
      <c r="Y33" s="20">
        <v>30346</v>
      </c>
      <c r="Z33" s="20">
        <v>28724</v>
      </c>
      <c r="AA33" s="20">
        <f t="shared" si="0"/>
        <v>817196</v>
      </c>
      <c r="AB33" s="22">
        <v>4</v>
      </c>
      <c r="AC33" s="21">
        <f t="shared" si="1"/>
        <v>3268784</v>
      </c>
      <c r="AD33" s="110"/>
      <c r="AE33" s="25"/>
      <c r="AG33" s="25"/>
      <c r="AH33" s="26"/>
    </row>
    <row r="34" spans="1:34" x14ac:dyDescent="0.35">
      <c r="A34" s="108"/>
      <c r="B34" s="24" t="s">
        <v>46</v>
      </c>
      <c r="C34" s="20">
        <v>37063</v>
      </c>
      <c r="D34" s="20">
        <v>35105</v>
      </c>
      <c r="E34" s="20">
        <v>33539</v>
      </c>
      <c r="F34" s="20">
        <v>32580</v>
      </c>
      <c r="G34" s="20">
        <v>32019</v>
      </c>
      <c r="H34" s="20">
        <v>31076</v>
      </c>
      <c r="I34" s="20">
        <v>31580</v>
      </c>
      <c r="J34" s="20">
        <v>31202</v>
      </c>
      <c r="K34" s="20">
        <v>32949</v>
      </c>
      <c r="L34" s="20">
        <v>34796</v>
      </c>
      <c r="M34" s="20">
        <v>36086</v>
      </c>
      <c r="N34" s="20">
        <v>36668</v>
      </c>
      <c r="O34" s="20">
        <v>35989</v>
      </c>
      <c r="P34" s="20">
        <v>36730</v>
      </c>
      <c r="Q34" s="20">
        <v>37591</v>
      </c>
      <c r="R34" s="20">
        <v>37986</v>
      </c>
      <c r="S34" s="20">
        <v>37136</v>
      </c>
      <c r="T34" s="20">
        <v>24410</v>
      </c>
      <c r="U34" s="20">
        <v>26460</v>
      </c>
      <c r="V34" s="20">
        <v>28245</v>
      </c>
      <c r="W34" s="20">
        <v>28286</v>
      </c>
      <c r="X34" s="20">
        <v>27815</v>
      </c>
      <c r="Y34" s="20">
        <v>26229</v>
      </c>
      <c r="Z34" s="20">
        <v>24319</v>
      </c>
      <c r="AA34" s="20">
        <f t="shared" si="0"/>
        <v>775859</v>
      </c>
      <c r="AB34" s="22">
        <v>1</v>
      </c>
      <c r="AC34" s="21">
        <f t="shared" si="1"/>
        <v>775859</v>
      </c>
      <c r="AD34" s="111"/>
      <c r="AE34" s="25"/>
      <c r="AG34" s="25"/>
      <c r="AH34" s="26"/>
    </row>
    <row r="35" spans="1:34" x14ac:dyDescent="0.35">
      <c r="A35" s="106">
        <v>46235</v>
      </c>
      <c r="B35" s="19" t="s">
        <v>43</v>
      </c>
      <c r="C35" s="20">
        <v>40968</v>
      </c>
      <c r="D35" s="20">
        <v>38760</v>
      </c>
      <c r="E35" s="20">
        <v>37135</v>
      </c>
      <c r="F35" s="20">
        <v>35858</v>
      </c>
      <c r="G35" s="20">
        <v>35399</v>
      </c>
      <c r="H35" s="20">
        <v>35416</v>
      </c>
      <c r="I35" s="20">
        <v>36446</v>
      </c>
      <c r="J35" s="20">
        <v>38650</v>
      </c>
      <c r="K35" s="20">
        <v>42372</v>
      </c>
      <c r="L35" s="20">
        <v>45321</v>
      </c>
      <c r="M35" s="20">
        <v>47650</v>
      </c>
      <c r="N35" s="20">
        <v>48327</v>
      </c>
      <c r="O35" s="20">
        <v>44507</v>
      </c>
      <c r="P35" s="20">
        <v>49153</v>
      </c>
      <c r="Q35" s="20">
        <v>54075</v>
      </c>
      <c r="R35" s="20">
        <v>54509</v>
      </c>
      <c r="S35" s="20">
        <v>52988</v>
      </c>
      <c r="T35" s="20">
        <v>34573</v>
      </c>
      <c r="U35" s="20">
        <v>34183</v>
      </c>
      <c r="V35" s="20">
        <v>34670</v>
      </c>
      <c r="W35" s="20">
        <v>35095</v>
      </c>
      <c r="X35" s="20">
        <v>35119</v>
      </c>
      <c r="Y35" s="20">
        <v>33250</v>
      </c>
      <c r="Z35" s="20">
        <v>31017</v>
      </c>
      <c r="AA35" s="20">
        <f t="shared" si="0"/>
        <v>975441</v>
      </c>
      <c r="AB35" s="22">
        <v>19</v>
      </c>
      <c r="AC35" s="21">
        <f t="shared" si="1"/>
        <v>18533379</v>
      </c>
      <c r="AD35" s="109">
        <f>+SUM(AC35:AC38)</f>
        <v>29060343</v>
      </c>
      <c r="AE35" s="25"/>
      <c r="AG35" s="25"/>
      <c r="AH35" s="26"/>
    </row>
    <row r="36" spans="1:34" x14ac:dyDescent="0.35">
      <c r="A36" s="107"/>
      <c r="B36" s="23" t="s">
        <v>44</v>
      </c>
      <c r="C36" s="20">
        <v>44120</v>
      </c>
      <c r="D36" s="20">
        <v>41738</v>
      </c>
      <c r="E36" s="20">
        <v>39857</v>
      </c>
      <c r="F36" s="20">
        <v>38362</v>
      </c>
      <c r="G36" s="20">
        <v>37607</v>
      </c>
      <c r="H36" s="20">
        <v>36466</v>
      </c>
      <c r="I36" s="20">
        <v>37463</v>
      </c>
      <c r="J36" s="20">
        <v>39537</v>
      </c>
      <c r="K36" s="20">
        <v>43087</v>
      </c>
      <c r="L36" s="20">
        <v>46175</v>
      </c>
      <c r="M36" s="20">
        <v>47718</v>
      </c>
      <c r="N36" s="20">
        <v>48991</v>
      </c>
      <c r="O36" s="20">
        <v>46415</v>
      </c>
      <c r="P36" s="20">
        <v>47132</v>
      </c>
      <c r="Q36" s="20">
        <v>48835</v>
      </c>
      <c r="R36" s="20">
        <v>48785</v>
      </c>
      <c r="S36" s="20">
        <v>47576</v>
      </c>
      <c r="T36" s="20">
        <v>32465</v>
      </c>
      <c r="U36" s="20">
        <v>34032</v>
      </c>
      <c r="V36" s="20">
        <v>34150</v>
      </c>
      <c r="W36" s="20">
        <v>33404</v>
      </c>
      <c r="X36" s="20">
        <v>33748</v>
      </c>
      <c r="Y36" s="20">
        <v>33272</v>
      </c>
      <c r="Z36" s="20">
        <v>32077</v>
      </c>
      <c r="AA36" s="20">
        <f t="shared" si="0"/>
        <v>973012</v>
      </c>
      <c r="AB36" s="22">
        <v>5</v>
      </c>
      <c r="AC36" s="21">
        <f t="shared" si="1"/>
        <v>4865060</v>
      </c>
      <c r="AD36" s="110"/>
      <c r="AE36" s="25"/>
      <c r="AG36" s="25"/>
      <c r="AH36" s="26"/>
    </row>
    <row r="37" spans="1:34" x14ac:dyDescent="0.35">
      <c r="A37" s="107"/>
      <c r="B37" s="23" t="s">
        <v>45</v>
      </c>
      <c r="C37" s="20">
        <v>42201</v>
      </c>
      <c r="D37" s="20">
        <v>40079</v>
      </c>
      <c r="E37" s="20">
        <v>38358</v>
      </c>
      <c r="F37" s="20">
        <v>36960</v>
      </c>
      <c r="G37" s="20">
        <v>35854</v>
      </c>
      <c r="H37" s="20">
        <v>33971</v>
      </c>
      <c r="I37" s="20">
        <v>33907</v>
      </c>
      <c r="J37" s="20">
        <v>32927</v>
      </c>
      <c r="K37" s="20">
        <v>33633</v>
      </c>
      <c r="L37" s="20">
        <v>34384</v>
      </c>
      <c r="M37" s="20">
        <v>35541</v>
      </c>
      <c r="N37" s="20">
        <v>35608</v>
      </c>
      <c r="O37" s="20">
        <v>36290</v>
      </c>
      <c r="P37" s="20">
        <v>37722</v>
      </c>
      <c r="Q37" s="20">
        <v>38385</v>
      </c>
      <c r="R37" s="20">
        <v>39140</v>
      </c>
      <c r="S37" s="20">
        <v>37859</v>
      </c>
      <c r="T37" s="20">
        <v>25829</v>
      </c>
      <c r="U37" s="20">
        <v>28180</v>
      </c>
      <c r="V37" s="20">
        <v>29115</v>
      </c>
      <c r="W37" s="20">
        <v>29485</v>
      </c>
      <c r="X37" s="20">
        <v>30225</v>
      </c>
      <c r="Y37" s="20">
        <v>29301</v>
      </c>
      <c r="Z37" s="20">
        <v>27660</v>
      </c>
      <c r="AA37" s="20">
        <f t="shared" si="0"/>
        <v>822614</v>
      </c>
      <c r="AB37" s="22">
        <v>5</v>
      </c>
      <c r="AC37" s="21">
        <f t="shared" si="1"/>
        <v>4113070</v>
      </c>
      <c r="AD37" s="110"/>
      <c r="AE37" s="25"/>
      <c r="AG37" s="25"/>
      <c r="AH37" s="26"/>
    </row>
    <row r="38" spans="1:34" x14ac:dyDescent="0.35">
      <c r="A38" s="108"/>
      <c r="B38" s="24" t="s">
        <v>46</v>
      </c>
      <c r="C38" s="20">
        <v>34791</v>
      </c>
      <c r="D38" s="20">
        <v>33270</v>
      </c>
      <c r="E38" s="20">
        <v>31936</v>
      </c>
      <c r="F38" s="20">
        <v>31103</v>
      </c>
      <c r="G38" s="20">
        <v>30653</v>
      </c>
      <c r="H38" s="20">
        <v>29902</v>
      </c>
      <c r="I38" s="20">
        <v>30107</v>
      </c>
      <c r="J38" s="20">
        <v>29677</v>
      </c>
      <c r="K38" s="20">
        <v>31439</v>
      </c>
      <c r="L38" s="20">
        <v>33957</v>
      </c>
      <c r="M38" s="20">
        <v>35600</v>
      </c>
      <c r="N38" s="20">
        <v>36863</v>
      </c>
      <c r="O38" s="20">
        <v>36790</v>
      </c>
      <c r="P38" s="20">
        <v>37414</v>
      </c>
      <c r="Q38" s="20">
        <v>38358</v>
      </c>
      <c r="R38" s="20">
        <v>38934</v>
      </c>
      <c r="S38" s="20">
        <v>38006</v>
      </c>
      <c r="T38" s="20">
        <v>24130</v>
      </c>
      <c r="U38" s="20">
        <v>26817</v>
      </c>
      <c r="V38" s="20">
        <v>28973</v>
      </c>
      <c r="W38" s="20">
        <v>29419</v>
      </c>
      <c r="X38" s="20">
        <v>30554</v>
      </c>
      <c r="Y38" s="20">
        <v>29362</v>
      </c>
      <c r="Z38" s="20">
        <v>26362</v>
      </c>
      <c r="AA38" s="20">
        <f t="shared" si="0"/>
        <v>774417</v>
      </c>
      <c r="AB38" s="22">
        <v>2</v>
      </c>
      <c r="AC38" s="21">
        <f t="shared" si="1"/>
        <v>1548834</v>
      </c>
      <c r="AD38" s="111"/>
      <c r="AE38" s="25"/>
      <c r="AG38" s="25"/>
      <c r="AH38" s="26"/>
    </row>
    <row r="39" spans="1:34" x14ac:dyDescent="0.35">
      <c r="A39" s="106">
        <v>46266</v>
      </c>
      <c r="B39" s="19" t="s">
        <v>43</v>
      </c>
      <c r="C39" s="20">
        <v>42678</v>
      </c>
      <c r="D39" s="20">
        <v>40251</v>
      </c>
      <c r="E39" s="20">
        <v>38434</v>
      </c>
      <c r="F39" s="20">
        <v>37012</v>
      </c>
      <c r="G39" s="20">
        <v>36467</v>
      </c>
      <c r="H39" s="20">
        <v>36504</v>
      </c>
      <c r="I39" s="20">
        <v>37733</v>
      </c>
      <c r="J39" s="20">
        <v>40145</v>
      </c>
      <c r="K39" s="20">
        <v>43990</v>
      </c>
      <c r="L39" s="20">
        <v>47028</v>
      </c>
      <c r="M39" s="20">
        <v>49568</v>
      </c>
      <c r="N39" s="20">
        <v>50255</v>
      </c>
      <c r="O39" s="20">
        <v>46661</v>
      </c>
      <c r="P39" s="20">
        <v>51664</v>
      </c>
      <c r="Q39" s="20">
        <v>56120</v>
      </c>
      <c r="R39" s="20">
        <v>56412</v>
      </c>
      <c r="S39" s="20">
        <v>54414</v>
      </c>
      <c r="T39" s="20">
        <v>36218</v>
      </c>
      <c r="U39" s="20">
        <v>36425</v>
      </c>
      <c r="V39" s="20">
        <v>35970</v>
      </c>
      <c r="W39" s="20">
        <v>36297</v>
      </c>
      <c r="X39" s="20">
        <v>36208</v>
      </c>
      <c r="Y39" s="20">
        <v>34411</v>
      </c>
      <c r="Z39" s="20">
        <v>31630</v>
      </c>
      <c r="AA39" s="20">
        <f t="shared" si="0"/>
        <v>1012495</v>
      </c>
      <c r="AB39" s="22">
        <v>22</v>
      </c>
      <c r="AC39" s="21">
        <f t="shared" si="1"/>
        <v>22274890</v>
      </c>
      <c r="AD39" s="109">
        <f>+SUM(AC39:AC42)</f>
        <v>29703314</v>
      </c>
      <c r="AE39" s="25"/>
      <c r="AG39" s="25"/>
      <c r="AH39" s="26"/>
    </row>
    <row r="40" spans="1:34" x14ac:dyDescent="0.35">
      <c r="A40" s="107"/>
      <c r="B40" s="23" t="s">
        <v>44</v>
      </c>
      <c r="C40" s="20">
        <v>42960</v>
      </c>
      <c r="D40" s="20">
        <v>40770</v>
      </c>
      <c r="E40" s="20">
        <v>39043</v>
      </c>
      <c r="F40" s="20">
        <v>37701</v>
      </c>
      <c r="G40" s="20">
        <v>37017</v>
      </c>
      <c r="H40" s="20">
        <v>35868</v>
      </c>
      <c r="I40" s="20">
        <v>37368</v>
      </c>
      <c r="J40" s="20">
        <v>39849</v>
      </c>
      <c r="K40" s="20">
        <v>44133</v>
      </c>
      <c r="L40" s="20">
        <v>46822</v>
      </c>
      <c r="M40" s="20">
        <v>49072</v>
      </c>
      <c r="N40" s="20">
        <v>50068</v>
      </c>
      <c r="O40" s="20">
        <v>47646</v>
      </c>
      <c r="P40" s="20">
        <v>48652</v>
      </c>
      <c r="Q40" s="20">
        <v>50649</v>
      </c>
      <c r="R40" s="20">
        <v>50717</v>
      </c>
      <c r="S40" s="20">
        <v>49068</v>
      </c>
      <c r="T40" s="20">
        <v>34625</v>
      </c>
      <c r="U40" s="20">
        <v>36254</v>
      </c>
      <c r="V40" s="20">
        <v>35297</v>
      </c>
      <c r="W40" s="20">
        <v>34286</v>
      </c>
      <c r="X40" s="20">
        <v>33882</v>
      </c>
      <c r="Y40" s="20">
        <v>32936</v>
      </c>
      <c r="Z40" s="20">
        <v>31612</v>
      </c>
      <c r="AA40" s="20">
        <f t="shared" si="0"/>
        <v>986295</v>
      </c>
      <c r="AB40" s="22">
        <v>4</v>
      </c>
      <c r="AC40" s="21">
        <f t="shared" si="1"/>
        <v>3945180</v>
      </c>
      <c r="AD40" s="110"/>
      <c r="AE40" s="25"/>
      <c r="AG40" s="25"/>
      <c r="AH40" s="26"/>
    </row>
    <row r="41" spans="1:34" x14ac:dyDescent="0.35">
      <c r="A41" s="107"/>
      <c r="B41" s="23" t="s">
        <v>45</v>
      </c>
      <c r="C41" s="20">
        <v>42591</v>
      </c>
      <c r="D41" s="20">
        <v>40570</v>
      </c>
      <c r="E41" s="20">
        <v>39034</v>
      </c>
      <c r="F41" s="20">
        <v>37769</v>
      </c>
      <c r="G41" s="20">
        <v>36782</v>
      </c>
      <c r="H41" s="20">
        <v>35506</v>
      </c>
      <c r="I41" s="20">
        <v>35845</v>
      </c>
      <c r="J41" s="20">
        <v>34712</v>
      </c>
      <c r="K41" s="20">
        <v>35445</v>
      </c>
      <c r="L41" s="20">
        <v>36218</v>
      </c>
      <c r="M41" s="20">
        <v>37661</v>
      </c>
      <c r="N41" s="20">
        <v>38774</v>
      </c>
      <c r="O41" s="20">
        <v>38514</v>
      </c>
      <c r="P41" s="20">
        <v>39430</v>
      </c>
      <c r="Q41" s="20">
        <v>41178</v>
      </c>
      <c r="R41" s="20">
        <v>41642</v>
      </c>
      <c r="S41" s="20">
        <v>41018</v>
      </c>
      <c r="T41" s="20">
        <v>28769</v>
      </c>
      <c r="U41" s="20">
        <v>31028</v>
      </c>
      <c r="V41" s="20">
        <v>31977</v>
      </c>
      <c r="W41" s="20">
        <v>32440</v>
      </c>
      <c r="X41" s="20">
        <v>32793</v>
      </c>
      <c r="Y41" s="20">
        <v>31553</v>
      </c>
      <c r="Z41" s="20">
        <v>29562</v>
      </c>
      <c r="AA41" s="20">
        <f t="shared" si="0"/>
        <v>870811</v>
      </c>
      <c r="AB41" s="22">
        <v>4</v>
      </c>
      <c r="AC41" s="21">
        <f t="shared" si="1"/>
        <v>3483244</v>
      </c>
      <c r="AD41" s="110"/>
      <c r="AE41" s="25"/>
      <c r="AG41" s="25"/>
      <c r="AH41" s="26"/>
    </row>
    <row r="42" spans="1:34" x14ac:dyDescent="0.35">
      <c r="A42" s="108"/>
      <c r="B42" s="24" t="s">
        <v>46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f t="shared" si="0"/>
        <v>0</v>
      </c>
      <c r="AB42" s="22">
        <v>0</v>
      </c>
      <c r="AC42" s="21">
        <f t="shared" si="1"/>
        <v>0</v>
      </c>
      <c r="AD42" s="111"/>
      <c r="AE42" s="25"/>
      <c r="AG42" s="25"/>
      <c r="AH42" s="26"/>
    </row>
    <row r="43" spans="1:34" x14ac:dyDescent="0.35">
      <c r="A43" s="106">
        <v>46296</v>
      </c>
      <c r="B43" s="19" t="s">
        <v>43</v>
      </c>
      <c r="C43" s="20">
        <v>39964</v>
      </c>
      <c r="D43" s="20">
        <v>37816</v>
      </c>
      <c r="E43" s="20">
        <v>36251</v>
      </c>
      <c r="F43" s="20">
        <v>35126</v>
      </c>
      <c r="G43" s="20">
        <v>34806</v>
      </c>
      <c r="H43" s="20">
        <v>34903</v>
      </c>
      <c r="I43" s="20">
        <v>36210</v>
      </c>
      <c r="J43" s="20">
        <v>38596</v>
      </c>
      <c r="K43" s="20">
        <v>43117</v>
      </c>
      <c r="L43" s="20">
        <v>46248</v>
      </c>
      <c r="M43" s="20">
        <v>49066</v>
      </c>
      <c r="N43" s="20">
        <v>50172</v>
      </c>
      <c r="O43" s="20">
        <v>46650</v>
      </c>
      <c r="P43" s="20">
        <v>51059</v>
      </c>
      <c r="Q43" s="20">
        <v>55695</v>
      </c>
      <c r="R43" s="20">
        <v>55684</v>
      </c>
      <c r="S43" s="20">
        <v>53761</v>
      </c>
      <c r="T43" s="20">
        <v>36714</v>
      </c>
      <c r="U43" s="20">
        <v>36064</v>
      </c>
      <c r="V43" s="20">
        <v>34837</v>
      </c>
      <c r="W43" s="20">
        <v>34210</v>
      </c>
      <c r="X43" s="20">
        <v>33527</v>
      </c>
      <c r="Y43" s="20">
        <v>31492</v>
      </c>
      <c r="Z43" s="20">
        <v>28983</v>
      </c>
      <c r="AA43" s="20">
        <f t="shared" si="0"/>
        <v>980951</v>
      </c>
      <c r="AB43" s="22">
        <v>21</v>
      </c>
      <c r="AC43" s="21">
        <f t="shared" si="1"/>
        <v>20599971</v>
      </c>
      <c r="AD43" s="109">
        <f>+SUM(AC43:AC46)</f>
        <v>29301634</v>
      </c>
      <c r="AE43" s="25"/>
      <c r="AG43" s="25"/>
      <c r="AH43" s="26"/>
    </row>
    <row r="44" spans="1:34" x14ac:dyDescent="0.35">
      <c r="A44" s="107"/>
      <c r="B44" s="23" t="s">
        <v>44</v>
      </c>
      <c r="C44" s="20">
        <v>38689</v>
      </c>
      <c r="D44" s="20">
        <v>36527</v>
      </c>
      <c r="E44" s="20">
        <v>34964</v>
      </c>
      <c r="F44" s="20">
        <v>33736</v>
      </c>
      <c r="G44" s="20">
        <v>33239</v>
      </c>
      <c r="H44" s="20">
        <v>32617</v>
      </c>
      <c r="I44" s="20">
        <v>33799</v>
      </c>
      <c r="J44" s="20">
        <v>35540</v>
      </c>
      <c r="K44" s="20">
        <v>40081</v>
      </c>
      <c r="L44" s="20">
        <v>43235</v>
      </c>
      <c r="M44" s="20">
        <v>45465</v>
      </c>
      <c r="N44" s="20">
        <v>46590</v>
      </c>
      <c r="O44" s="20">
        <v>44915</v>
      </c>
      <c r="P44" s="20">
        <v>44954</v>
      </c>
      <c r="Q44" s="20">
        <v>46404</v>
      </c>
      <c r="R44" s="20">
        <v>46397</v>
      </c>
      <c r="S44" s="20">
        <v>45440</v>
      </c>
      <c r="T44" s="20">
        <v>31695</v>
      </c>
      <c r="U44" s="20">
        <v>33192</v>
      </c>
      <c r="V44" s="20">
        <v>32064</v>
      </c>
      <c r="W44" s="20">
        <v>31233</v>
      </c>
      <c r="X44" s="20">
        <v>30272</v>
      </c>
      <c r="Y44" s="20">
        <v>29100</v>
      </c>
      <c r="Z44" s="20">
        <v>27596</v>
      </c>
      <c r="AA44" s="20">
        <f t="shared" si="0"/>
        <v>897744</v>
      </c>
      <c r="AB44" s="22">
        <v>5</v>
      </c>
      <c r="AC44" s="21">
        <f t="shared" si="1"/>
        <v>4488720</v>
      </c>
      <c r="AD44" s="110"/>
      <c r="AE44" s="25"/>
      <c r="AG44" s="25"/>
      <c r="AH44" s="26"/>
    </row>
    <row r="45" spans="1:34" x14ac:dyDescent="0.35">
      <c r="A45" s="107"/>
      <c r="B45" s="23" t="s">
        <v>45</v>
      </c>
      <c r="C45" s="20">
        <v>40140</v>
      </c>
      <c r="D45" s="20">
        <v>38179</v>
      </c>
      <c r="E45" s="20">
        <v>36647</v>
      </c>
      <c r="F45" s="20">
        <v>35394</v>
      </c>
      <c r="G45" s="20">
        <v>34506</v>
      </c>
      <c r="H45" s="20">
        <v>33253</v>
      </c>
      <c r="I45" s="20">
        <v>33736</v>
      </c>
      <c r="J45" s="20">
        <v>32383</v>
      </c>
      <c r="K45" s="20">
        <v>33461</v>
      </c>
      <c r="L45" s="20">
        <v>35162</v>
      </c>
      <c r="M45" s="20">
        <v>36238</v>
      </c>
      <c r="N45" s="20">
        <v>37626</v>
      </c>
      <c r="O45" s="20">
        <v>37950</v>
      </c>
      <c r="P45" s="20">
        <v>38419</v>
      </c>
      <c r="Q45" s="20">
        <v>39317</v>
      </c>
      <c r="R45" s="20">
        <v>40290</v>
      </c>
      <c r="S45" s="20">
        <v>40048</v>
      </c>
      <c r="T45" s="20">
        <v>28818</v>
      </c>
      <c r="U45" s="20">
        <v>30932</v>
      </c>
      <c r="V45" s="20">
        <v>31388</v>
      </c>
      <c r="W45" s="20">
        <v>31649</v>
      </c>
      <c r="X45" s="20">
        <v>31719</v>
      </c>
      <c r="Y45" s="20">
        <v>30224</v>
      </c>
      <c r="Z45" s="20">
        <v>28276</v>
      </c>
      <c r="AA45" s="20">
        <f t="shared" si="0"/>
        <v>835755</v>
      </c>
      <c r="AB45" s="22">
        <v>4</v>
      </c>
      <c r="AC45" s="21">
        <f t="shared" si="1"/>
        <v>3343020</v>
      </c>
      <c r="AD45" s="110"/>
      <c r="AE45" s="25"/>
      <c r="AG45" s="25"/>
      <c r="AH45" s="26"/>
    </row>
    <row r="46" spans="1:34" x14ac:dyDescent="0.35">
      <c r="A46" s="108"/>
      <c r="B46" s="24" t="s">
        <v>46</v>
      </c>
      <c r="C46" s="20">
        <v>39342</v>
      </c>
      <c r="D46" s="20">
        <v>37363</v>
      </c>
      <c r="E46" s="20">
        <v>36051</v>
      </c>
      <c r="F46" s="20">
        <v>35255</v>
      </c>
      <c r="G46" s="20">
        <v>34824</v>
      </c>
      <c r="H46" s="20">
        <v>33511</v>
      </c>
      <c r="I46" s="20">
        <v>33637</v>
      </c>
      <c r="J46" s="20">
        <v>34072</v>
      </c>
      <c r="K46" s="20">
        <v>36361</v>
      </c>
      <c r="L46" s="20">
        <v>39052</v>
      </c>
      <c r="M46" s="20">
        <v>40723</v>
      </c>
      <c r="N46" s="20">
        <v>40987</v>
      </c>
      <c r="O46" s="20">
        <v>41771</v>
      </c>
      <c r="P46" s="20">
        <v>42432</v>
      </c>
      <c r="Q46" s="20">
        <v>44052</v>
      </c>
      <c r="R46" s="20">
        <v>43769</v>
      </c>
      <c r="S46" s="20">
        <v>42939</v>
      </c>
      <c r="T46" s="20">
        <v>30402</v>
      </c>
      <c r="U46" s="20">
        <v>32017</v>
      </c>
      <c r="V46" s="20">
        <v>31990</v>
      </c>
      <c r="W46" s="20">
        <v>32052</v>
      </c>
      <c r="X46" s="20">
        <v>31184</v>
      </c>
      <c r="Y46" s="20">
        <v>29111</v>
      </c>
      <c r="Z46" s="20">
        <v>27026</v>
      </c>
      <c r="AA46" s="20">
        <f t="shared" si="0"/>
        <v>869923</v>
      </c>
      <c r="AB46" s="22">
        <v>1</v>
      </c>
      <c r="AC46" s="21">
        <f t="shared" si="1"/>
        <v>869923</v>
      </c>
      <c r="AD46" s="111"/>
      <c r="AE46" s="25"/>
      <c r="AG46" s="25"/>
      <c r="AH46" s="26"/>
    </row>
    <row r="47" spans="1:34" x14ac:dyDescent="0.35">
      <c r="A47" s="106">
        <v>46327</v>
      </c>
      <c r="B47" s="19" t="s">
        <v>43</v>
      </c>
      <c r="C47" s="20">
        <v>39982</v>
      </c>
      <c r="D47" s="20">
        <v>37863</v>
      </c>
      <c r="E47" s="20">
        <v>36409</v>
      </c>
      <c r="F47" s="20">
        <v>35446</v>
      </c>
      <c r="G47" s="20">
        <v>35376</v>
      </c>
      <c r="H47" s="20">
        <v>35810</v>
      </c>
      <c r="I47" s="20">
        <v>37596</v>
      </c>
      <c r="J47" s="20">
        <v>40262</v>
      </c>
      <c r="K47" s="20">
        <v>44664</v>
      </c>
      <c r="L47" s="20">
        <v>47563</v>
      </c>
      <c r="M47" s="20">
        <v>50133</v>
      </c>
      <c r="N47" s="20">
        <v>51160</v>
      </c>
      <c r="O47" s="20">
        <v>47540</v>
      </c>
      <c r="P47" s="20">
        <v>51266</v>
      </c>
      <c r="Q47" s="20">
        <v>55535</v>
      </c>
      <c r="R47" s="20">
        <v>56256</v>
      </c>
      <c r="S47" s="20">
        <v>54654</v>
      </c>
      <c r="T47" s="20">
        <v>38140</v>
      </c>
      <c r="U47" s="20">
        <v>37527</v>
      </c>
      <c r="V47" s="20">
        <v>35877</v>
      </c>
      <c r="W47" s="20">
        <v>35179</v>
      </c>
      <c r="X47" s="20">
        <v>33965</v>
      </c>
      <c r="Y47" s="20">
        <v>31684</v>
      </c>
      <c r="Z47" s="20">
        <v>29035</v>
      </c>
      <c r="AA47" s="20">
        <f t="shared" si="0"/>
        <v>998922</v>
      </c>
      <c r="AB47" s="22">
        <v>19</v>
      </c>
      <c r="AC47" s="21">
        <f t="shared" si="1"/>
        <v>18979518</v>
      </c>
      <c r="AD47" s="109">
        <f>+SUM(AC47:AC50)</f>
        <v>28803316</v>
      </c>
      <c r="AE47" s="25"/>
      <c r="AG47" s="25"/>
      <c r="AH47" s="26"/>
    </row>
    <row r="48" spans="1:34" x14ac:dyDescent="0.35">
      <c r="A48" s="107"/>
      <c r="B48" s="23" t="s">
        <v>44</v>
      </c>
      <c r="C48" s="20">
        <v>40558</v>
      </c>
      <c r="D48" s="20">
        <v>38485</v>
      </c>
      <c r="E48" s="20">
        <v>36944</v>
      </c>
      <c r="F48" s="20">
        <v>35835</v>
      </c>
      <c r="G48" s="20">
        <v>35336</v>
      </c>
      <c r="H48" s="20">
        <v>34869</v>
      </c>
      <c r="I48" s="20">
        <v>36219</v>
      </c>
      <c r="J48" s="20">
        <v>38548</v>
      </c>
      <c r="K48" s="20">
        <v>43290</v>
      </c>
      <c r="L48" s="20">
        <v>46652</v>
      </c>
      <c r="M48" s="20">
        <v>48497</v>
      </c>
      <c r="N48" s="20">
        <v>49479</v>
      </c>
      <c r="O48" s="20">
        <v>47170</v>
      </c>
      <c r="P48" s="20">
        <v>47034</v>
      </c>
      <c r="Q48" s="20">
        <v>48139</v>
      </c>
      <c r="R48" s="20">
        <v>47879</v>
      </c>
      <c r="S48" s="20">
        <v>46683</v>
      </c>
      <c r="T48" s="20">
        <v>32961</v>
      </c>
      <c r="U48" s="20">
        <v>33804</v>
      </c>
      <c r="V48" s="20">
        <v>32558</v>
      </c>
      <c r="W48" s="20">
        <v>31391</v>
      </c>
      <c r="X48" s="20">
        <v>30036</v>
      </c>
      <c r="Y48" s="20">
        <v>28936</v>
      </c>
      <c r="Z48" s="20">
        <v>27246</v>
      </c>
      <c r="AA48" s="20">
        <f t="shared" si="0"/>
        <v>938549</v>
      </c>
      <c r="AB48" s="22">
        <v>4</v>
      </c>
      <c r="AC48" s="21">
        <f t="shared" si="1"/>
        <v>3754196</v>
      </c>
      <c r="AD48" s="110"/>
      <c r="AE48" s="25"/>
      <c r="AG48" s="25"/>
      <c r="AH48" s="26"/>
    </row>
    <row r="49" spans="1:34" x14ac:dyDescent="0.35">
      <c r="A49" s="107"/>
      <c r="B49" s="23" t="s">
        <v>45</v>
      </c>
      <c r="C49" s="20">
        <v>39272</v>
      </c>
      <c r="D49" s="20">
        <v>37440</v>
      </c>
      <c r="E49" s="20">
        <v>36210</v>
      </c>
      <c r="F49" s="20">
        <v>35016</v>
      </c>
      <c r="G49" s="20">
        <v>34292</v>
      </c>
      <c r="H49" s="20">
        <v>33392</v>
      </c>
      <c r="I49" s="20">
        <v>33992</v>
      </c>
      <c r="J49" s="20">
        <v>33550</v>
      </c>
      <c r="K49" s="20">
        <v>35477</v>
      </c>
      <c r="L49" s="20">
        <v>37396</v>
      </c>
      <c r="M49" s="20">
        <v>39094</v>
      </c>
      <c r="N49" s="20">
        <v>40151</v>
      </c>
      <c r="O49" s="20">
        <v>40553</v>
      </c>
      <c r="P49" s="20">
        <v>40661</v>
      </c>
      <c r="Q49" s="20">
        <v>41281</v>
      </c>
      <c r="R49" s="20">
        <v>41241</v>
      </c>
      <c r="S49" s="20">
        <v>40752</v>
      </c>
      <c r="T49" s="20">
        <v>29966</v>
      </c>
      <c r="U49" s="20">
        <v>31231</v>
      </c>
      <c r="V49" s="20">
        <v>31173</v>
      </c>
      <c r="W49" s="20">
        <v>30692</v>
      </c>
      <c r="X49" s="20">
        <v>30202</v>
      </c>
      <c r="Y49" s="20">
        <v>29114</v>
      </c>
      <c r="Z49" s="20">
        <v>27246</v>
      </c>
      <c r="AA49" s="20">
        <f t="shared" si="0"/>
        <v>849394</v>
      </c>
      <c r="AB49" s="22">
        <v>5</v>
      </c>
      <c r="AC49" s="21">
        <f t="shared" si="1"/>
        <v>4246970</v>
      </c>
      <c r="AD49" s="110"/>
      <c r="AE49" s="25"/>
      <c r="AG49" s="25"/>
      <c r="AH49" s="26"/>
    </row>
    <row r="50" spans="1:34" x14ac:dyDescent="0.35">
      <c r="A50" s="108"/>
      <c r="B50" s="24" t="s">
        <v>46</v>
      </c>
      <c r="C50" s="20">
        <v>39781</v>
      </c>
      <c r="D50" s="20">
        <v>37792</v>
      </c>
      <c r="E50" s="20">
        <v>36256</v>
      </c>
      <c r="F50" s="20">
        <v>35202</v>
      </c>
      <c r="G50" s="20">
        <v>34805</v>
      </c>
      <c r="H50" s="20">
        <v>33928</v>
      </c>
      <c r="I50" s="20">
        <v>34415</v>
      </c>
      <c r="J50" s="20">
        <v>35013</v>
      </c>
      <c r="K50" s="20">
        <v>37611</v>
      </c>
      <c r="L50" s="20">
        <v>40535</v>
      </c>
      <c r="M50" s="20">
        <v>42818</v>
      </c>
      <c r="N50" s="20">
        <v>44275</v>
      </c>
      <c r="O50" s="20">
        <v>44307</v>
      </c>
      <c r="P50" s="20">
        <v>45401</v>
      </c>
      <c r="Q50" s="20">
        <v>46152</v>
      </c>
      <c r="R50" s="20">
        <v>46138</v>
      </c>
      <c r="S50" s="20">
        <v>45392</v>
      </c>
      <c r="T50" s="20">
        <v>33550</v>
      </c>
      <c r="U50" s="20">
        <v>34904</v>
      </c>
      <c r="V50" s="20">
        <v>34738</v>
      </c>
      <c r="W50" s="20">
        <v>34246</v>
      </c>
      <c r="X50" s="20">
        <v>33335</v>
      </c>
      <c r="Y50" s="20">
        <v>31456</v>
      </c>
      <c r="Z50" s="20">
        <v>29266</v>
      </c>
      <c r="AA50" s="20">
        <f t="shared" si="0"/>
        <v>911316</v>
      </c>
      <c r="AB50" s="22">
        <v>2</v>
      </c>
      <c r="AC50" s="21">
        <f t="shared" si="1"/>
        <v>1822632</v>
      </c>
      <c r="AD50" s="111"/>
      <c r="AE50" s="25"/>
      <c r="AG50" s="25"/>
      <c r="AH50" s="26"/>
    </row>
    <row r="51" spans="1:34" x14ac:dyDescent="0.35">
      <c r="A51" s="106">
        <v>46357</v>
      </c>
      <c r="B51" s="19" t="s">
        <v>43</v>
      </c>
      <c r="C51" s="20">
        <v>38813</v>
      </c>
      <c r="D51" s="20">
        <v>36777</v>
      </c>
      <c r="E51" s="20">
        <v>35359</v>
      </c>
      <c r="F51" s="20">
        <v>34323</v>
      </c>
      <c r="G51" s="20">
        <v>33954</v>
      </c>
      <c r="H51" s="20">
        <v>33952</v>
      </c>
      <c r="I51" s="20">
        <v>34872</v>
      </c>
      <c r="J51" s="20">
        <v>36942</v>
      </c>
      <c r="K51" s="20">
        <v>40889</v>
      </c>
      <c r="L51" s="20">
        <v>43873</v>
      </c>
      <c r="M51" s="20">
        <v>46141</v>
      </c>
      <c r="N51" s="20">
        <v>47254</v>
      </c>
      <c r="O51" s="20">
        <v>44696</v>
      </c>
      <c r="P51" s="20">
        <v>46979</v>
      </c>
      <c r="Q51" s="20">
        <v>50857</v>
      </c>
      <c r="R51" s="20">
        <v>51530</v>
      </c>
      <c r="S51" s="20">
        <v>50453</v>
      </c>
      <c r="T51" s="20">
        <v>34394</v>
      </c>
      <c r="U51" s="20">
        <v>34953</v>
      </c>
      <c r="V51" s="20">
        <v>33634</v>
      </c>
      <c r="W51" s="20">
        <v>32527</v>
      </c>
      <c r="X51" s="20">
        <v>31693</v>
      </c>
      <c r="Y51" s="20">
        <v>30293</v>
      </c>
      <c r="Z51" s="20">
        <v>28310</v>
      </c>
      <c r="AA51" s="20">
        <f t="shared" si="0"/>
        <v>933468</v>
      </c>
      <c r="AB51" s="22">
        <v>21</v>
      </c>
      <c r="AC51" s="21">
        <f t="shared" si="1"/>
        <v>19602828</v>
      </c>
      <c r="AD51" s="109">
        <f>+SUM(AC51:AC54)</f>
        <v>28030366</v>
      </c>
      <c r="AE51" s="25"/>
      <c r="AG51" s="25"/>
      <c r="AH51" s="26"/>
    </row>
    <row r="52" spans="1:34" x14ac:dyDescent="0.35">
      <c r="A52" s="107"/>
      <c r="B52" s="23" t="s">
        <v>44</v>
      </c>
      <c r="C52" s="20">
        <v>40135</v>
      </c>
      <c r="D52" s="20">
        <v>37874</v>
      </c>
      <c r="E52" s="20">
        <v>36264</v>
      </c>
      <c r="F52" s="20">
        <v>35017</v>
      </c>
      <c r="G52" s="20">
        <v>34383</v>
      </c>
      <c r="H52" s="20">
        <v>34197</v>
      </c>
      <c r="I52" s="20">
        <v>34806</v>
      </c>
      <c r="J52" s="20">
        <v>35597</v>
      </c>
      <c r="K52" s="20">
        <v>39178</v>
      </c>
      <c r="L52" s="20">
        <v>41824</v>
      </c>
      <c r="M52" s="20">
        <v>43912</v>
      </c>
      <c r="N52" s="20">
        <v>44921</v>
      </c>
      <c r="O52" s="20">
        <v>44121</v>
      </c>
      <c r="P52" s="20">
        <v>44671</v>
      </c>
      <c r="Q52" s="20">
        <v>46276</v>
      </c>
      <c r="R52" s="20">
        <v>46543</v>
      </c>
      <c r="S52" s="20">
        <v>45526</v>
      </c>
      <c r="T52" s="20">
        <v>32529</v>
      </c>
      <c r="U52" s="20">
        <v>34697</v>
      </c>
      <c r="V52" s="20">
        <v>34164</v>
      </c>
      <c r="W52" s="20">
        <v>32514</v>
      </c>
      <c r="X52" s="20">
        <v>30996</v>
      </c>
      <c r="Y52" s="20">
        <v>29866</v>
      </c>
      <c r="Z52" s="20">
        <v>28431</v>
      </c>
      <c r="AA52" s="20">
        <f t="shared" si="0"/>
        <v>908442</v>
      </c>
      <c r="AB52" s="22">
        <v>4</v>
      </c>
      <c r="AC52" s="21">
        <f t="shared" si="1"/>
        <v>3633768</v>
      </c>
      <c r="AD52" s="110"/>
      <c r="AE52" s="25"/>
      <c r="AG52" s="25"/>
      <c r="AH52" s="26"/>
    </row>
    <row r="53" spans="1:34" x14ac:dyDescent="0.35">
      <c r="A53" s="107"/>
      <c r="B53" s="23" t="s">
        <v>45</v>
      </c>
      <c r="C53" s="20">
        <v>41259</v>
      </c>
      <c r="D53" s="20">
        <v>39133</v>
      </c>
      <c r="E53" s="20">
        <v>37527</v>
      </c>
      <c r="F53" s="20">
        <v>36270</v>
      </c>
      <c r="G53" s="20">
        <v>35499</v>
      </c>
      <c r="H53" s="20">
        <v>33968</v>
      </c>
      <c r="I53" s="20">
        <v>33946</v>
      </c>
      <c r="J53" s="20">
        <v>32978</v>
      </c>
      <c r="K53" s="20">
        <v>34454</v>
      </c>
      <c r="L53" s="20">
        <v>36258</v>
      </c>
      <c r="M53" s="20">
        <v>37566</v>
      </c>
      <c r="N53" s="20">
        <v>38631</v>
      </c>
      <c r="O53" s="20">
        <v>38404</v>
      </c>
      <c r="P53" s="20">
        <v>38692</v>
      </c>
      <c r="Q53" s="20">
        <v>39773</v>
      </c>
      <c r="R53" s="20">
        <v>41017</v>
      </c>
      <c r="S53" s="20">
        <v>40762</v>
      </c>
      <c r="T53" s="20">
        <v>29852</v>
      </c>
      <c r="U53" s="20">
        <v>32510</v>
      </c>
      <c r="V53" s="20">
        <v>31995</v>
      </c>
      <c r="W53" s="20">
        <v>30670</v>
      </c>
      <c r="X53" s="20">
        <v>29210</v>
      </c>
      <c r="Y53" s="20">
        <v>27510</v>
      </c>
      <c r="Z53" s="20">
        <v>25932</v>
      </c>
      <c r="AA53" s="20">
        <f t="shared" si="0"/>
        <v>843816</v>
      </c>
      <c r="AB53" s="22">
        <v>4</v>
      </c>
      <c r="AC53" s="21">
        <f t="shared" si="1"/>
        <v>3375264</v>
      </c>
      <c r="AD53" s="110"/>
      <c r="AE53" s="25"/>
      <c r="AG53" s="25"/>
      <c r="AH53" s="26"/>
    </row>
    <row r="54" spans="1:34" x14ac:dyDescent="0.35">
      <c r="A54" s="108"/>
      <c r="B54" s="24" t="s">
        <v>46</v>
      </c>
      <c r="C54" s="20">
        <v>32730</v>
      </c>
      <c r="D54" s="20">
        <v>31529</v>
      </c>
      <c r="E54" s="20">
        <v>30604</v>
      </c>
      <c r="F54" s="20">
        <v>29712</v>
      </c>
      <c r="G54" s="20">
        <v>29192</v>
      </c>
      <c r="H54" s="20">
        <v>28647</v>
      </c>
      <c r="I54" s="20">
        <v>28500</v>
      </c>
      <c r="J54" s="20">
        <v>27705</v>
      </c>
      <c r="K54" s="20">
        <v>29001</v>
      </c>
      <c r="L54" s="20">
        <v>30907</v>
      </c>
      <c r="M54" s="20">
        <v>32215</v>
      </c>
      <c r="N54" s="20">
        <v>33051</v>
      </c>
      <c r="O54" s="20">
        <v>33512</v>
      </c>
      <c r="P54" s="20">
        <v>34002</v>
      </c>
      <c r="Q54" s="20">
        <v>34593</v>
      </c>
      <c r="R54" s="20">
        <v>35006</v>
      </c>
      <c r="S54" s="20">
        <v>34743</v>
      </c>
      <c r="T54" s="20">
        <v>23603</v>
      </c>
      <c r="U54" s="20">
        <v>26187</v>
      </c>
      <c r="V54" s="20">
        <v>26511</v>
      </c>
      <c r="W54" s="20">
        <v>25822</v>
      </c>
      <c r="X54" s="20">
        <v>25161</v>
      </c>
      <c r="Y54" s="20">
        <v>24085</v>
      </c>
      <c r="Z54" s="20">
        <v>22235</v>
      </c>
      <c r="AA54" s="20">
        <f t="shared" si="0"/>
        <v>709253</v>
      </c>
      <c r="AB54" s="22">
        <v>2</v>
      </c>
      <c r="AC54" s="21">
        <f t="shared" si="1"/>
        <v>1418506</v>
      </c>
      <c r="AD54" s="111"/>
      <c r="AE54" s="25"/>
      <c r="AG54" s="25"/>
      <c r="AH54" s="26"/>
    </row>
    <row r="55" spans="1:34" x14ac:dyDescent="0.35">
      <c r="AD55" s="43">
        <f>SUM(AD7:AD51)</f>
        <v>338578776</v>
      </c>
    </row>
  </sheetData>
  <mergeCells count="28">
    <mergeCell ref="AD7:AD10"/>
    <mergeCell ref="A1:D1"/>
    <mergeCell ref="A2:L2"/>
    <mergeCell ref="A4:B4"/>
    <mergeCell ref="C4:D4"/>
    <mergeCell ref="A7:A10"/>
    <mergeCell ref="A11:A14"/>
    <mergeCell ref="AD11:AD14"/>
    <mergeCell ref="A15:A18"/>
    <mergeCell ref="AD15:AD18"/>
    <mergeCell ref="A19:A22"/>
    <mergeCell ref="AD19:AD22"/>
    <mergeCell ref="A23:A26"/>
    <mergeCell ref="AD23:AD26"/>
    <mergeCell ref="A27:A30"/>
    <mergeCell ref="AD27:AD30"/>
    <mergeCell ref="A31:A34"/>
    <mergeCell ref="AD31:AD34"/>
    <mergeCell ref="A47:A50"/>
    <mergeCell ref="AD47:AD50"/>
    <mergeCell ref="A51:A54"/>
    <mergeCell ref="AD51:AD54"/>
    <mergeCell ref="A35:A38"/>
    <mergeCell ref="AD35:AD38"/>
    <mergeCell ref="A39:A42"/>
    <mergeCell ref="AD39:AD42"/>
    <mergeCell ref="A43:A46"/>
    <mergeCell ref="AD43:AD46"/>
  </mergeCells>
  <conditionalFormatting sqref="C56:Z56">
    <cfRule type="cellIs" dxfId="69" priority="4" operator="lessThan">
      <formula>0</formula>
    </cfRule>
  </conditionalFormatting>
  <conditionalFormatting sqref="C7:AA54">
    <cfRule type="cellIs" dxfId="68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DB2B0-F7D6-4041-A1F1-C02321A83719}">
  <dimension ref="C1:G20"/>
  <sheetViews>
    <sheetView showGridLines="0" workbookViewId="0">
      <selection activeCell="F5" sqref="F5:G5"/>
    </sheetView>
  </sheetViews>
  <sheetFormatPr baseColWidth="10" defaultRowHeight="14.5" x14ac:dyDescent="0.35"/>
  <cols>
    <col min="2" max="2" width="2.54296875" customWidth="1"/>
    <col min="4" max="4" width="15.1796875" customWidth="1"/>
    <col min="5" max="5" width="15.1796875" bestFit="1" customWidth="1"/>
    <col min="6" max="6" width="12.54296875" customWidth="1"/>
    <col min="8" max="8" width="2" customWidth="1"/>
    <col min="9" max="9" width="14.1796875" bestFit="1" customWidth="1"/>
  </cols>
  <sheetData>
    <row r="1" spans="3:7" ht="14.5" customHeight="1" x14ac:dyDescent="0.35">
      <c r="C1" s="105" t="s">
        <v>47</v>
      </c>
      <c r="D1" s="105"/>
      <c r="E1" s="105"/>
      <c r="F1" s="105"/>
      <c r="G1" s="105"/>
    </row>
    <row r="2" spans="3:7" x14ac:dyDescent="0.35">
      <c r="C2" s="105"/>
      <c r="D2" s="105"/>
      <c r="E2" s="105"/>
      <c r="F2" s="105"/>
      <c r="G2" s="105"/>
    </row>
    <row r="3" spans="3:7" ht="15" thickBot="1" x14ac:dyDescent="0.4"/>
    <row r="4" spans="3:7" ht="15" thickBot="1" x14ac:dyDescent="0.4">
      <c r="C4" s="118" t="s">
        <v>7</v>
      </c>
      <c r="D4" s="119"/>
      <c r="E4" s="119"/>
      <c r="F4" s="119"/>
      <c r="G4" s="120"/>
    </row>
    <row r="5" spans="3:7" ht="32" thickBot="1" x14ac:dyDescent="0.4">
      <c r="C5" s="37" t="s">
        <v>1</v>
      </c>
      <c r="D5" s="37" t="s">
        <v>8</v>
      </c>
      <c r="E5" s="37" t="s">
        <v>3</v>
      </c>
      <c r="F5" s="93" t="s">
        <v>9</v>
      </c>
      <c r="G5" s="93" t="s">
        <v>5</v>
      </c>
    </row>
    <row r="6" spans="3:7" x14ac:dyDescent="0.35">
      <c r="C6" s="7">
        <v>46388</v>
      </c>
      <c r="D6" s="8">
        <f>+VLOOKUP(C6,'CURVA P2'!$A$4:$AD$55,30,FALSE)</f>
        <v>26183284</v>
      </c>
      <c r="E6" s="121" t="s">
        <v>3</v>
      </c>
      <c r="F6" s="2"/>
      <c r="G6" s="102" t="s">
        <v>6</v>
      </c>
    </row>
    <row r="7" spans="3:7" x14ac:dyDescent="0.35">
      <c r="C7" s="7">
        <v>46419</v>
      </c>
      <c r="D7" s="8">
        <f>+VLOOKUP(C7,'CURVA P2'!$A$4:$AD$55,30,FALSE)</f>
        <v>27076744</v>
      </c>
      <c r="E7" s="100"/>
      <c r="F7" s="2"/>
      <c r="G7" s="103"/>
    </row>
    <row r="8" spans="3:7" x14ac:dyDescent="0.35">
      <c r="C8" s="7">
        <v>46447</v>
      </c>
      <c r="D8" s="8">
        <f>+VLOOKUP(C8,'CURVA P2'!$A$4:$AD$55,30,FALSE)</f>
        <v>26175253</v>
      </c>
      <c r="E8" s="100"/>
      <c r="F8" s="2"/>
      <c r="G8" s="103"/>
    </row>
    <row r="9" spans="3:7" x14ac:dyDescent="0.35">
      <c r="C9" s="7">
        <v>46478</v>
      </c>
      <c r="D9" s="8">
        <f>+VLOOKUP(C9,'CURVA P2'!$A$4:$AD$55,30,FALSE)</f>
        <v>27329640</v>
      </c>
      <c r="E9" s="100"/>
      <c r="F9" s="2"/>
      <c r="G9" s="103"/>
    </row>
    <row r="10" spans="3:7" x14ac:dyDescent="0.35">
      <c r="C10" s="7">
        <v>46508</v>
      </c>
      <c r="D10" s="8">
        <f>+VLOOKUP(C10,'CURVA P2'!$A$4:$AD$55,30,FALSE)</f>
        <v>27682621</v>
      </c>
      <c r="E10" s="100"/>
      <c r="F10" s="2"/>
      <c r="G10" s="103"/>
    </row>
    <row r="11" spans="3:7" x14ac:dyDescent="0.35">
      <c r="C11" s="7">
        <v>46539</v>
      </c>
      <c r="D11" s="8">
        <f>+VLOOKUP(C11,'CURVA P2'!$A$4:$AD$55,30,FALSE)</f>
        <v>28239251</v>
      </c>
      <c r="E11" s="100"/>
      <c r="F11" s="2"/>
      <c r="G11" s="103"/>
    </row>
    <row r="12" spans="3:7" x14ac:dyDescent="0.35">
      <c r="C12" s="7">
        <v>46569</v>
      </c>
      <c r="D12" s="8">
        <f>+VLOOKUP(C12,'CURVA P2'!$A$4:$AD$55,30,FALSE)</f>
        <v>24946557</v>
      </c>
      <c r="E12" s="100"/>
      <c r="F12" s="2"/>
      <c r="G12" s="103"/>
    </row>
    <row r="13" spans="3:7" x14ac:dyDescent="0.35">
      <c r="C13" s="7">
        <v>46600</v>
      </c>
      <c r="D13" s="8">
        <f>+VLOOKUP(C13,'CURVA P2'!$A$4:$AD$55,30,FALSE)</f>
        <v>26544363</v>
      </c>
      <c r="E13" s="100"/>
      <c r="F13" s="2"/>
      <c r="G13" s="103"/>
    </row>
    <row r="14" spans="3:7" x14ac:dyDescent="0.35">
      <c r="C14" s="7">
        <v>46631</v>
      </c>
      <c r="D14" s="8">
        <f>+VLOOKUP(C14,'CURVA P2'!$A$4:$AD$55,30,FALSE)</f>
        <v>27481854</v>
      </c>
      <c r="E14" s="100"/>
      <c r="F14" s="2"/>
      <c r="G14" s="103"/>
    </row>
    <row r="15" spans="3:7" x14ac:dyDescent="0.35">
      <c r="C15" s="7">
        <v>46661</v>
      </c>
      <c r="D15" s="8">
        <f>+VLOOKUP(C15,'CURVA P2'!$A$4:$AD$55,30,FALSE)</f>
        <v>27071840</v>
      </c>
      <c r="E15" s="100"/>
      <c r="F15" s="2"/>
      <c r="G15" s="103"/>
    </row>
    <row r="16" spans="3:7" x14ac:dyDescent="0.35">
      <c r="C16" s="7">
        <v>46692</v>
      </c>
      <c r="D16" s="8">
        <f>+VLOOKUP(C16,'CURVA P2'!$A$4:$AD$55,30,FALSE)</f>
        <v>26729030</v>
      </c>
      <c r="E16" s="100"/>
      <c r="F16" s="2"/>
      <c r="G16" s="103"/>
    </row>
    <row r="17" spans="3:7" ht="15" thickBot="1" x14ac:dyDescent="0.4">
      <c r="C17" s="9">
        <v>46722</v>
      </c>
      <c r="D17" s="10">
        <f>+VLOOKUP(C17,'CURVA P2'!$A$4:$AD$55,30,FALSE)</f>
        <v>25768675</v>
      </c>
      <c r="E17" s="101"/>
      <c r="F17" s="11"/>
      <c r="G17" s="104"/>
    </row>
    <row r="18" spans="3:7" ht="15" thickBot="1" x14ac:dyDescent="0.4">
      <c r="D18" s="83">
        <f>SUM(D6:D17)</f>
        <v>321229112</v>
      </c>
    </row>
    <row r="19" spans="3:7" x14ac:dyDescent="0.35">
      <c r="D19" s="35"/>
    </row>
    <row r="20" spans="3:7" x14ac:dyDescent="0.35">
      <c r="D20" s="26"/>
    </row>
  </sheetData>
  <mergeCells count="4">
    <mergeCell ref="C4:G4"/>
    <mergeCell ref="E6:E17"/>
    <mergeCell ref="G6:G17"/>
    <mergeCell ref="C1:G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32752-BC92-4A3C-A7DF-65FA0A38A715}">
  <dimension ref="A1:AD55"/>
  <sheetViews>
    <sheetView showGridLines="0" topLeftCell="O43" workbookViewId="0">
      <selection activeCell="D18" sqref="D18"/>
    </sheetView>
  </sheetViews>
  <sheetFormatPr baseColWidth="10" defaultRowHeight="14.5" x14ac:dyDescent="0.35"/>
  <cols>
    <col min="1" max="1" width="7.26953125" bestFit="1" customWidth="1"/>
    <col min="2" max="2" width="8" bestFit="1" customWidth="1"/>
    <col min="3" max="26" width="9" bestFit="1" customWidth="1"/>
    <col min="27" max="27" width="9.81640625" customWidth="1"/>
    <col min="28" max="28" width="10.453125" bestFit="1" customWidth="1"/>
    <col min="29" max="29" width="11" bestFit="1" customWidth="1"/>
    <col min="30" max="30" width="12.54296875" bestFit="1" customWidth="1"/>
  </cols>
  <sheetData>
    <row r="1" spans="1:30" x14ac:dyDescent="0.35">
      <c r="A1" s="112" t="s">
        <v>12</v>
      </c>
      <c r="B1" s="112"/>
      <c r="C1" s="112"/>
      <c r="D1" s="112"/>
    </row>
    <row r="2" spans="1:30" x14ac:dyDescent="0.35">
      <c r="A2" s="113" t="s">
        <v>47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</row>
    <row r="4" spans="1:30" x14ac:dyDescent="0.35">
      <c r="A4" s="122" t="s">
        <v>13</v>
      </c>
      <c r="B4" s="122"/>
      <c r="C4" s="116">
        <f>+AD55</f>
        <v>321229112</v>
      </c>
      <c r="D4" s="117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</row>
    <row r="5" spans="1:30" x14ac:dyDescent="0.35">
      <c r="A5" s="15" t="s">
        <v>1</v>
      </c>
      <c r="B5" s="16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5" t="s">
        <v>19</v>
      </c>
      <c r="H5" s="15" t="s">
        <v>20</v>
      </c>
      <c r="I5" s="15" t="s">
        <v>21</v>
      </c>
      <c r="J5" s="15" t="s">
        <v>22</v>
      </c>
      <c r="K5" s="15" t="s">
        <v>23</v>
      </c>
      <c r="L5" s="15" t="s">
        <v>24</v>
      </c>
      <c r="M5" s="15" t="s">
        <v>25</v>
      </c>
      <c r="N5" s="15" t="s">
        <v>26</v>
      </c>
      <c r="O5" s="15" t="s">
        <v>27</v>
      </c>
      <c r="P5" s="15" t="s">
        <v>28</v>
      </c>
      <c r="Q5" s="15" t="s">
        <v>29</v>
      </c>
      <c r="R5" s="15" t="s">
        <v>30</v>
      </c>
      <c r="S5" s="15" t="s">
        <v>31</v>
      </c>
      <c r="T5" s="15" t="s">
        <v>32</v>
      </c>
      <c r="U5" s="15" t="s">
        <v>33</v>
      </c>
      <c r="V5" s="15" t="s">
        <v>34</v>
      </c>
      <c r="W5" s="15" t="s">
        <v>35</v>
      </c>
      <c r="X5" s="15" t="s">
        <v>36</v>
      </c>
      <c r="Y5" s="15" t="s">
        <v>37</v>
      </c>
      <c r="Z5" s="15" t="s">
        <v>38</v>
      </c>
      <c r="AA5" s="15" t="s">
        <v>39</v>
      </c>
      <c r="AB5" s="15" t="s">
        <v>40</v>
      </c>
      <c r="AC5" s="15" t="s">
        <v>41</v>
      </c>
      <c r="AD5" s="15" t="s">
        <v>42</v>
      </c>
    </row>
    <row r="6" spans="1:30" hidden="1" x14ac:dyDescent="0.35">
      <c r="A6" s="17"/>
      <c r="B6" s="18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 spans="1:30" x14ac:dyDescent="0.35">
      <c r="A7" s="106">
        <v>46388</v>
      </c>
      <c r="B7" s="19" t="s">
        <v>43</v>
      </c>
      <c r="C7" s="20">
        <v>40227</v>
      </c>
      <c r="D7" s="20">
        <v>38779</v>
      </c>
      <c r="E7" s="20">
        <v>37353</v>
      </c>
      <c r="F7" s="20">
        <v>36304</v>
      </c>
      <c r="G7" s="20">
        <v>35978</v>
      </c>
      <c r="H7" s="20">
        <v>36610</v>
      </c>
      <c r="I7" s="20">
        <v>37571</v>
      </c>
      <c r="J7" s="20">
        <v>23640</v>
      </c>
      <c r="K7" s="20">
        <v>27146</v>
      </c>
      <c r="L7" s="20">
        <v>29695</v>
      </c>
      <c r="M7" s="20">
        <v>31892</v>
      </c>
      <c r="N7" s="20">
        <v>33200</v>
      </c>
      <c r="O7" s="20">
        <v>31024</v>
      </c>
      <c r="P7" s="20">
        <v>33744</v>
      </c>
      <c r="Q7" s="20">
        <v>37342</v>
      </c>
      <c r="R7" s="20">
        <v>37978</v>
      </c>
      <c r="S7" s="20">
        <v>36844</v>
      </c>
      <c r="T7" s="20">
        <v>43998</v>
      </c>
      <c r="U7" s="20">
        <v>45229</v>
      </c>
      <c r="V7" s="20">
        <v>44426</v>
      </c>
      <c r="W7" s="20">
        <v>43550</v>
      </c>
      <c r="X7" s="20">
        <v>42485</v>
      </c>
      <c r="Y7" s="20">
        <v>40439</v>
      </c>
      <c r="Z7" s="20">
        <v>37701</v>
      </c>
      <c r="AA7" s="21">
        <f>SUM(C7:Z7)</f>
        <v>883155</v>
      </c>
      <c r="AB7" s="22">
        <v>19</v>
      </c>
      <c r="AC7" s="21">
        <f>+AA7*AB7</f>
        <v>16779945</v>
      </c>
      <c r="AD7" s="109">
        <f>+SUM(AC7:AC10)</f>
        <v>26183284</v>
      </c>
    </row>
    <row r="8" spans="1:30" x14ac:dyDescent="0.35">
      <c r="A8" s="107"/>
      <c r="B8" s="23" t="s">
        <v>44</v>
      </c>
      <c r="C8" s="20">
        <v>41175</v>
      </c>
      <c r="D8" s="20">
        <v>39486</v>
      </c>
      <c r="E8" s="20">
        <v>37870</v>
      </c>
      <c r="F8" s="20">
        <v>36692</v>
      </c>
      <c r="G8" s="20">
        <v>36198</v>
      </c>
      <c r="H8" s="20">
        <v>36403</v>
      </c>
      <c r="I8" s="20">
        <v>36994</v>
      </c>
      <c r="J8" s="20">
        <v>22827</v>
      </c>
      <c r="K8" s="20">
        <v>26535</v>
      </c>
      <c r="L8" s="20">
        <v>29139</v>
      </c>
      <c r="M8" s="20">
        <v>31075</v>
      </c>
      <c r="N8" s="20">
        <v>32039</v>
      </c>
      <c r="O8" s="20">
        <v>30692</v>
      </c>
      <c r="P8" s="20">
        <v>31206</v>
      </c>
      <c r="Q8" s="20">
        <v>32591</v>
      </c>
      <c r="R8" s="20">
        <v>32745</v>
      </c>
      <c r="S8" s="20">
        <v>31565</v>
      </c>
      <c r="T8" s="20">
        <v>40905</v>
      </c>
      <c r="U8" s="20">
        <v>43588</v>
      </c>
      <c r="V8" s="20">
        <v>43106</v>
      </c>
      <c r="W8" s="20">
        <v>41927</v>
      </c>
      <c r="X8" s="20">
        <v>40785</v>
      </c>
      <c r="Y8" s="20">
        <v>39317</v>
      </c>
      <c r="Z8" s="20">
        <v>37291</v>
      </c>
      <c r="AA8" s="21">
        <f t="shared" ref="AA8:AA54" si="0">SUM(C8:Z8)</f>
        <v>852151</v>
      </c>
      <c r="AB8" s="22">
        <v>5</v>
      </c>
      <c r="AC8" s="21">
        <f t="shared" ref="AC8:AC54" si="1">+AA8*AB8</f>
        <v>4260755</v>
      </c>
      <c r="AD8" s="110"/>
    </row>
    <row r="9" spans="1:30" x14ac:dyDescent="0.35">
      <c r="A9" s="107"/>
      <c r="B9" s="23" t="s">
        <v>45</v>
      </c>
      <c r="C9" s="20">
        <v>40654</v>
      </c>
      <c r="D9" s="20">
        <v>39109</v>
      </c>
      <c r="E9" s="20">
        <v>37570</v>
      </c>
      <c r="F9" s="20">
        <v>36361</v>
      </c>
      <c r="G9" s="20">
        <v>35666</v>
      </c>
      <c r="H9" s="20">
        <v>35321</v>
      </c>
      <c r="I9" s="20">
        <v>35235</v>
      </c>
      <c r="J9" s="20">
        <v>18777</v>
      </c>
      <c r="K9" s="20">
        <v>20139</v>
      </c>
      <c r="L9" s="20">
        <v>21735</v>
      </c>
      <c r="M9" s="20">
        <v>22717</v>
      </c>
      <c r="N9" s="20">
        <v>23633</v>
      </c>
      <c r="O9" s="20">
        <v>24137</v>
      </c>
      <c r="P9" s="20">
        <v>24368</v>
      </c>
      <c r="Q9" s="20">
        <v>24976</v>
      </c>
      <c r="R9" s="20">
        <v>25426</v>
      </c>
      <c r="S9" s="20">
        <v>25049</v>
      </c>
      <c r="T9" s="20">
        <v>35905</v>
      </c>
      <c r="U9" s="20">
        <v>39161</v>
      </c>
      <c r="V9" s="20">
        <v>39986</v>
      </c>
      <c r="W9" s="20">
        <v>39859</v>
      </c>
      <c r="X9" s="20">
        <v>39387</v>
      </c>
      <c r="Y9" s="20">
        <v>37827</v>
      </c>
      <c r="Z9" s="20">
        <v>35444</v>
      </c>
      <c r="AA9" s="21">
        <f t="shared" si="0"/>
        <v>758442</v>
      </c>
      <c r="AB9" s="22">
        <v>5</v>
      </c>
      <c r="AC9" s="21">
        <f t="shared" si="1"/>
        <v>3792210</v>
      </c>
      <c r="AD9" s="110"/>
    </row>
    <row r="10" spans="1:30" x14ac:dyDescent="0.35">
      <c r="A10" s="108"/>
      <c r="B10" s="24" t="s">
        <v>46</v>
      </c>
      <c r="C10" s="20">
        <v>35315</v>
      </c>
      <c r="D10" s="20">
        <v>34367</v>
      </c>
      <c r="E10" s="20">
        <v>33680</v>
      </c>
      <c r="F10" s="20">
        <v>32903</v>
      </c>
      <c r="G10" s="20">
        <v>32522</v>
      </c>
      <c r="H10" s="20">
        <v>32181</v>
      </c>
      <c r="I10" s="20">
        <v>31716</v>
      </c>
      <c r="J10" s="20">
        <v>15031</v>
      </c>
      <c r="K10" s="20">
        <v>16210</v>
      </c>
      <c r="L10" s="20">
        <v>17782</v>
      </c>
      <c r="M10" s="20">
        <v>19176</v>
      </c>
      <c r="N10" s="20">
        <v>20081</v>
      </c>
      <c r="O10" s="20">
        <v>20516</v>
      </c>
      <c r="P10" s="20">
        <v>20953</v>
      </c>
      <c r="Q10" s="20">
        <v>21491</v>
      </c>
      <c r="R10" s="20">
        <v>21802</v>
      </c>
      <c r="S10" s="20">
        <v>21158</v>
      </c>
      <c r="T10" s="20">
        <v>33234</v>
      </c>
      <c r="U10" s="20">
        <v>36729</v>
      </c>
      <c r="V10" s="20">
        <v>37283</v>
      </c>
      <c r="W10" s="20">
        <v>36962</v>
      </c>
      <c r="X10" s="20">
        <v>36264</v>
      </c>
      <c r="Y10" s="20">
        <v>34850</v>
      </c>
      <c r="Z10" s="20">
        <v>32981</v>
      </c>
      <c r="AA10" s="21">
        <f t="shared" si="0"/>
        <v>675187</v>
      </c>
      <c r="AB10" s="22">
        <v>2</v>
      </c>
      <c r="AC10" s="21">
        <f t="shared" si="1"/>
        <v>1350374</v>
      </c>
      <c r="AD10" s="111"/>
    </row>
    <row r="11" spans="1:30" x14ac:dyDescent="0.35">
      <c r="A11" s="106">
        <v>46419</v>
      </c>
      <c r="B11" s="19" t="s">
        <v>43</v>
      </c>
      <c r="C11" s="20">
        <v>44237</v>
      </c>
      <c r="D11" s="20">
        <v>42125</v>
      </c>
      <c r="E11" s="20">
        <v>40625</v>
      </c>
      <c r="F11" s="20">
        <v>39645</v>
      </c>
      <c r="G11" s="20">
        <v>39658</v>
      </c>
      <c r="H11" s="20">
        <v>41620</v>
      </c>
      <c r="I11" s="20">
        <v>43304</v>
      </c>
      <c r="J11" s="20">
        <v>29848</v>
      </c>
      <c r="K11" s="20">
        <v>33433</v>
      </c>
      <c r="L11" s="20">
        <v>35976</v>
      </c>
      <c r="M11" s="20">
        <v>38320</v>
      </c>
      <c r="N11" s="20">
        <v>38720</v>
      </c>
      <c r="O11" s="20">
        <v>35003</v>
      </c>
      <c r="P11" s="20">
        <v>39214</v>
      </c>
      <c r="Q11" s="20">
        <v>43593</v>
      </c>
      <c r="R11" s="20">
        <v>44346</v>
      </c>
      <c r="S11" s="20">
        <v>42974</v>
      </c>
      <c r="T11" s="20">
        <v>48334</v>
      </c>
      <c r="U11" s="20">
        <v>48925</v>
      </c>
      <c r="V11" s="20">
        <v>48666</v>
      </c>
      <c r="W11" s="20">
        <v>47984</v>
      </c>
      <c r="X11" s="20">
        <v>46495</v>
      </c>
      <c r="Y11" s="20">
        <v>43433</v>
      </c>
      <c r="Z11" s="20">
        <v>40014</v>
      </c>
      <c r="AA11" s="21">
        <f t="shared" si="0"/>
        <v>996492</v>
      </c>
      <c r="AB11" s="22">
        <v>20</v>
      </c>
      <c r="AC11" s="21">
        <f t="shared" si="1"/>
        <v>19929840</v>
      </c>
      <c r="AD11" s="109">
        <f>+SUM(AC11:AC14)</f>
        <v>27076744</v>
      </c>
    </row>
    <row r="12" spans="1:30" x14ac:dyDescent="0.35">
      <c r="A12" s="107"/>
      <c r="B12" s="23" t="s">
        <v>44</v>
      </c>
      <c r="C12" s="20">
        <v>43058</v>
      </c>
      <c r="D12" s="20">
        <v>41032</v>
      </c>
      <c r="E12" s="20">
        <v>39572</v>
      </c>
      <c r="F12" s="20">
        <v>38610</v>
      </c>
      <c r="G12" s="20">
        <v>38237</v>
      </c>
      <c r="H12" s="20">
        <v>38849</v>
      </c>
      <c r="I12" s="20">
        <v>40350</v>
      </c>
      <c r="J12" s="20">
        <v>27261</v>
      </c>
      <c r="K12" s="20">
        <v>31394</v>
      </c>
      <c r="L12" s="20">
        <v>34154</v>
      </c>
      <c r="M12" s="20">
        <v>36092</v>
      </c>
      <c r="N12" s="20">
        <v>36856</v>
      </c>
      <c r="O12" s="20">
        <v>34872</v>
      </c>
      <c r="P12" s="20">
        <v>35077</v>
      </c>
      <c r="Q12" s="20">
        <v>36396</v>
      </c>
      <c r="R12" s="20">
        <v>36574</v>
      </c>
      <c r="S12" s="20">
        <v>35219</v>
      </c>
      <c r="T12" s="20">
        <v>43288</v>
      </c>
      <c r="U12" s="20">
        <v>45859</v>
      </c>
      <c r="V12" s="20">
        <v>46078</v>
      </c>
      <c r="W12" s="20">
        <v>44862</v>
      </c>
      <c r="X12" s="20">
        <v>43549</v>
      </c>
      <c r="Y12" s="20">
        <v>41838</v>
      </c>
      <c r="Z12" s="20">
        <v>39578</v>
      </c>
      <c r="AA12" s="21">
        <f t="shared" si="0"/>
        <v>928655</v>
      </c>
      <c r="AB12" s="22">
        <v>4</v>
      </c>
      <c r="AC12" s="21">
        <f t="shared" si="1"/>
        <v>3714620</v>
      </c>
      <c r="AD12" s="110"/>
    </row>
    <row r="13" spans="1:30" x14ac:dyDescent="0.35">
      <c r="A13" s="107"/>
      <c r="B13" s="23" t="s">
        <v>45</v>
      </c>
      <c r="C13" s="20">
        <v>44001</v>
      </c>
      <c r="D13" s="20">
        <v>41859</v>
      </c>
      <c r="E13" s="20">
        <v>40341</v>
      </c>
      <c r="F13" s="20">
        <v>39102</v>
      </c>
      <c r="G13" s="20">
        <v>38454</v>
      </c>
      <c r="H13" s="20">
        <v>38277</v>
      </c>
      <c r="I13" s="20">
        <v>38561</v>
      </c>
      <c r="J13" s="20">
        <v>22651</v>
      </c>
      <c r="K13" s="20">
        <v>24215</v>
      </c>
      <c r="L13" s="20">
        <v>26139</v>
      </c>
      <c r="M13" s="20">
        <v>27321</v>
      </c>
      <c r="N13" s="20">
        <v>28448</v>
      </c>
      <c r="O13" s="20">
        <v>28865</v>
      </c>
      <c r="P13" s="20">
        <v>28961</v>
      </c>
      <c r="Q13" s="20">
        <v>29815</v>
      </c>
      <c r="R13" s="20">
        <v>30558</v>
      </c>
      <c r="S13" s="20">
        <v>30289</v>
      </c>
      <c r="T13" s="20">
        <v>40041</v>
      </c>
      <c r="U13" s="20">
        <v>43269</v>
      </c>
      <c r="V13" s="20">
        <v>44880</v>
      </c>
      <c r="W13" s="20">
        <v>45059</v>
      </c>
      <c r="X13" s="20">
        <v>44714</v>
      </c>
      <c r="Y13" s="20">
        <v>42627</v>
      </c>
      <c r="Z13" s="20">
        <v>39624</v>
      </c>
      <c r="AA13" s="21">
        <f t="shared" si="0"/>
        <v>858071</v>
      </c>
      <c r="AB13" s="22">
        <v>4</v>
      </c>
      <c r="AC13" s="21">
        <f t="shared" si="1"/>
        <v>3432284</v>
      </c>
      <c r="AD13" s="110"/>
    </row>
    <row r="14" spans="1:30" x14ac:dyDescent="0.35">
      <c r="A14" s="108"/>
      <c r="B14" s="24" t="s">
        <v>46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1">
        <f t="shared" si="0"/>
        <v>0</v>
      </c>
      <c r="AB14" s="22">
        <v>0</v>
      </c>
      <c r="AC14" s="21">
        <f t="shared" si="1"/>
        <v>0</v>
      </c>
      <c r="AD14" s="111"/>
    </row>
    <row r="15" spans="1:30" x14ac:dyDescent="0.35">
      <c r="A15" s="106">
        <v>46447</v>
      </c>
      <c r="B15" s="19" t="s">
        <v>43</v>
      </c>
      <c r="C15" s="20">
        <v>40470</v>
      </c>
      <c r="D15" s="20">
        <v>38469</v>
      </c>
      <c r="E15" s="20">
        <v>37080</v>
      </c>
      <c r="F15" s="20">
        <v>36076</v>
      </c>
      <c r="G15" s="20">
        <v>35980</v>
      </c>
      <c r="H15" s="20">
        <v>37292</v>
      </c>
      <c r="I15" s="20">
        <v>38078</v>
      </c>
      <c r="J15" s="20">
        <v>24228</v>
      </c>
      <c r="K15" s="20">
        <v>27384</v>
      </c>
      <c r="L15" s="20">
        <v>29561</v>
      </c>
      <c r="M15" s="20">
        <v>31563</v>
      </c>
      <c r="N15" s="20">
        <v>32161</v>
      </c>
      <c r="O15" s="20">
        <v>29253</v>
      </c>
      <c r="P15" s="20">
        <v>33063</v>
      </c>
      <c r="Q15" s="20">
        <v>37052</v>
      </c>
      <c r="R15" s="20">
        <v>37657</v>
      </c>
      <c r="S15" s="20">
        <v>36558</v>
      </c>
      <c r="T15" s="20">
        <v>43123</v>
      </c>
      <c r="U15" s="20">
        <v>43880</v>
      </c>
      <c r="V15" s="20">
        <v>43805</v>
      </c>
      <c r="W15" s="20">
        <v>43488</v>
      </c>
      <c r="X15" s="20">
        <v>42545</v>
      </c>
      <c r="Y15" s="20">
        <v>40108</v>
      </c>
      <c r="Z15" s="20">
        <v>37145</v>
      </c>
      <c r="AA15" s="21">
        <f t="shared" si="0"/>
        <v>876019</v>
      </c>
      <c r="AB15" s="22">
        <v>20</v>
      </c>
      <c r="AC15" s="21">
        <f t="shared" si="1"/>
        <v>17520380</v>
      </c>
      <c r="AD15" s="109">
        <f>+SUM(AC15:AC18)</f>
        <v>26175253</v>
      </c>
    </row>
    <row r="16" spans="1:30" x14ac:dyDescent="0.35">
      <c r="A16" s="107"/>
      <c r="B16" s="23" t="s">
        <v>44</v>
      </c>
      <c r="C16" s="20">
        <v>41476</v>
      </c>
      <c r="D16" s="20">
        <v>39408</v>
      </c>
      <c r="E16" s="20">
        <v>37900</v>
      </c>
      <c r="F16" s="20">
        <v>36677</v>
      </c>
      <c r="G16" s="20">
        <v>36106</v>
      </c>
      <c r="H16" s="20">
        <v>36193</v>
      </c>
      <c r="I16" s="20">
        <v>37025</v>
      </c>
      <c r="J16" s="20">
        <v>23529</v>
      </c>
      <c r="K16" s="20">
        <v>27045</v>
      </c>
      <c r="L16" s="20">
        <v>29425</v>
      </c>
      <c r="M16" s="20">
        <v>31285</v>
      </c>
      <c r="N16" s="20">
        <v>31824</v>
      </c>
      <c r="O16" s="20">
        <v>29942</v>
      </c>
      <c r="P16" s="20">
        <v>30376</v>
      </c>
      <c r="Q16" s="20">
        <v>31834</v>
      </c>
      <c r="R16" s="20">
        <v>32083</v>
      </c>
      <c r="S16" s="20">
        <v>31028</v>
      </c>
      <c r="T16" s="20">
        <v>40153</v>
      </c>
      <c r="U16" s="20">
        <v>42465</v>
      </c>
      <c r="V16" s="20">
        <v>42563</v>
      </c>
      <c r="W16" s="20">
        <v>41792</v>
      </c>
      <c r="X16" s="20">
        <v>41040</v>
      </c>
      <c r="Y16" s="20">
        <v>39926</v>
      </c>
      <c r="Z16" s="20">
        <v>38060</v>
      </c>
      <c r="AA16" s="21">
        <f t="shared" si="0"/>
        <v>849155</v>
      </c>
      <c r="AB16" s="22">
        <v>4</v>
      </c>
      <c r="AC16" s="21">
        <f t="shared" si="1"/>
        <v>3396620</v>
      </c>
      <c r="AD16" s="110"/>
    </row>
    <row r="17" spans="1:30" x14ac:dyDescent="0.35">
      <c r="A17" s="107"/>
      <c r="B17" s="23" t="s">
        <v>45</v>
      </c>
      <c r="C17" s="20">
        <v>41854</v>
      </c>
      <c r="D17" s="20">
        <v>39809</v>
      </c>
      <c r="E17" s="20">
        <v>38361</v>
      </c>
      <c r="F17" s="20">
        <v>37184</v>
      </c>
      <c r="G17" s="20">
        <v>36452</v>
      </c>
      <c r="H17" s="20">
        <v>35961</v>
      </c>
      <c r="I17" s="20">
        <v>35710</v>
      </c>
      <c r="J17" s="20">
        <v>19358</v>
      </c>
      <c r="K17" s="20">
        <v>20483</v>
      </c>
      <c r="L17" s="20">
        <v>21699</v>
      </c>
      <c r="M17" s="20">
        <v>22352</v>
      </c>
      <c r="N17" s="20">
        <v>23306</v>
      </c>
      <c r="O17" s="20">
        <v>23932</v>
      </c>
      <c r="P17" s="20">
        <v>24296</v>
      </c>
      <c r="Q17" s="20">
        <v>25210</v>
      </c>
      <c r="R17" s="20">
        <v>25842</v>
      </c>
      <c r="S17" s="20">
        <v>25594</v>
      </c>
      <c r="T17" s="20">
        <v>36134</v>
      </c>
      <c r="U17" s="20">
        <v>39060</v>
      </c>
      <c r="V17" s="20">
        <v>40707</v>
      </c>
      <c r="W17" s="20">
        <v>41143</v>
      </c>
      <c r="X17" s="20">
        <v>41061</v>
      </c>
      <c r="Y17" s="20">
        <v>39082</v>
      </c>
      <c r="Z17" s="20">
        <v>36491</v>
      </c>
      <c r="AA17" s="21">
        <f t="shared" si="0"/>
        <v>771081</v>
      </c>
      <c r="AB17" s="22">
        <v>4</v>
      </c>
      <c r="AC17" s="21">
        <f t="shared" si="1"/>
        <v>3084324</v>
      </c>
      <c r="AD17" s="110"/>
    </row>
    <row r="18" spans="1:30" x14ac:dyDescent="0.35">
      <c r="A18" s="108"/>
      <c r="B18" s="24" t="s">
        <v>46</v>
      </c>
      <c r="C18" s="20">
        <v>36563</v>
      </c>
      <c r="D18" s="20">
        <v>34504</v>
      </c>
      <c r="E18" s="20">
        <v>33202</v>
      </c>
      <c r="F18" s="20">
        <v>32312</v>
      </c>
      <c r="G18" s="20">
        <v>31933</v>
      </c>
      <c r="H18" s="20">
        <v>31772</v>
      </c>
      <c r="I18" s="20">
        <v>32294</v>
      </c>
      <c r="J18" s="20">
        <v>17299</v>
      </c>
      <c r="K18" s="20">
        <v>19382</v>
      </c>
      <c r="L18" s="20">
        <v>21530</v>
      </c>
      <c r="M18" s="20">
        <v>23416</v>
      </c>
      <c r="N18" s="20">
        <v>24685</v>
      </c>
      <c r="O18" s="20">
        <v>24223</v>
      </c>
      <c r="P18" s="20">
        <v>25000</v>
      </c>
      <c r="Q18" s="20">
        <v>25513</v>
      </c>
      <c r="R18" s="20">
        <v>25362</v>
      </c>
      <c r="S18" s="20">
        <v>24500</v>
      </c>
      <c r="T18" s="20">
        <v>34741</v>
      </c>
      <c r="U18" s="20">
        <v>38101</v>
      </c>
      <c r="V18" s="20">
        <v>39709</v>
      </c>
      <c r="W18" s="20">
        <v>39798</v>
      </c>
      <c r="X18" s="20">
        <v>38998</v>
      </c>
      <c r="Y18" s="20">
        <v>36326</v>
      </c>
      <c r="Z18" s="20">
        <v>33480</v>
      </c>
      <c r="AA18" s="21">
        <f t="shared" si="0"/>
        <v>724643</v>
      </c>
      <c r="AB18" s="22">
        <v>3</v>
      </c>
      <c r="AC18" s="21">
        <f t="shared" si="1"/>
        <v>2173929</v>
      </c>
      <c r="AD18" s="111"/>
    </row>
    <row r="19" spans="1:30" x14ac:dyDescent="0.35">
      <c r="A19" s="106">
        <v>46478</v>
      </c>
      <c r="B19" s="19" t="s">
        <v>43</v>
      </c>
      <c r="C19" s="20">
        <v>41990</v>
      </c>
      <c r="D19" s="20">
        <v>39893</v>
      </c>
      <c r="E19" s="20">
        <v>38461</v>
      </c>
      <c r="F19" s="20">
        <v>37451</v>
      </c>
      <c r="G19" s="20">
        <v>37386</v>
      </c>
      <c r="H19" s="20">
        <v>38110</v>
      </c>
      <c r="I19" s="20">
        <v>39321</v>
      </c>
      <c r="J19" s="20">
        <v>26236</v>
      </c>
      <c r="K19" s="20">
        <v>30148</v>
      </c>
      <c r="L19" s="20">
        <v>32697</v>
      </c>
      <c r="M19" s="20">
        <v>35148</v>
      </c>
      <c r="N19" s="20">
        <v>36031</v>
      </c>
      <c r="O19" s="20">
        <v>32660</v>
      </c>
      <c r="P19" s="20">
        <v>36560</v>
      </c>
      <c r="Q19" s="20">
        <v>41010</v>
      </c>
      <c r="R19" s="20">
        <v>41460</v>
      </c>
      <c r="S19" s="20">
        <v>39955</v>
      </c>
      <c r="T19" s="20">
        <v>46007</v>
      </c>
      <c r="U19" s="20">
        <v>46707</v>
      </c>
      <c r="V19" s="20">
        <v>46362</v>
      </c>
      <c r="W19" s="20">
        <v>45936</v>
      </c>
      <c r="X19" s="20">
        <v>44830</v>
      </c>
      <c r="Y19" s="20">
        <v>42288</v>
      </c>
      <c r="Z19" s="20">
        <v>39063</v>
      </c>
      <c r="AA19" s="21">
        <f t="shared" si="0"/>
        <v>935710</v>
      </c>
      <c r="AB19" s="22">
        <v>22</v>
      </c>
      <c r="AC19" s="21">
        <f t="shared" si="1"/>
        <v>20585620</v>
      </c>
      <c r="AD19" s="109">
        <f>+SUM(AC19:AC22)</f>
        <v>27329640</v>
      </c>
    </row>
    <row r="20" spans="1:30" x14ac:dyDescent="0.35">
      <c r="A20" s="107"/>
      <c r="B20" s="23" t="s">
        <v>44</v>
      </c>
      <c r="C20" s="20">
        <v>42708</v>
      </c>
      <c r="D20" s="20">
        <v>40646</v>
      </c>
      <c r="E20" s="20">
        <v>39124</v>
      </c>
      <c r="F20" s="20">
        <v>37899</v>
      </c>
      <c r="G20" s="20">
        <v>37428</v>
      </c>
      <c r="H20" s="20">
        <v>36915</v>
      </c>
      <c r="I20" s="20">
        <v>38174</v>
      </c>
      <c r="J20" s="20">
        <v>24704</v>
      </c>
      <c r="K20" s="20">
        <v>28827</v>
      </c>
      <c r="L20" s="20">
        <v>31449</v>
      </c>
      <c r="M20" s="20">
        <v>33524</v>
      </c>
      <c r="N20" s="20">
        <v>34429</v>
      </c>
      <c r="O20" s="20">
        <v>32676</v>
      </c>
      <c r="P20" s="20">
        <v>33119</v>
      </c>
      <c r="Q20" s="20">
        <v>34507</v>
      </c>
      <c r="R20" s="20">
        <v>34572</v>
      </c>
      <c r="S20" s="20">
        <v>33105</v>
      </c>
      <c r="T20" s="20">
        <v>42078</v>
      </c>
      <c r="U20" s="20">
        <v>44254</v>
      </c>
      <c r="V20" s="20">
        <v>43730</v>
      </c>
      <c r="W20" s="20">
        <v>42702</v>
      </c>
      <c r="X20" s="20">
        <v>41579</v>
      </c>
      <c r="Y20" s="20">
        <v>40139</v>
      </c>
      <c r="Z20" s="20">
        <v>38245</v>
      </c>
      <c r="AA20" s="21">
        <f t="shared" si="0"/>
        <v>886533</v>
      </c>
      <c r="AB20" s="22">
        <v>4</v>
      </c>
      <c r="AC20" s="21">
        <f t="shared" si="1"/>
        <v>3546132</v>
      </c>
      <c r="AD20" s="110"/>
    </row>
    <row r="21" spans="1:30" x14ac:dyDescent="0.35">
      <c r="A21" s="107"/>
      <c r="B21" s="23" t="s">
        <v>45</v>
      </c>
      <c r="C21" s="20">
        <v>42769</v>
      </c>
      <c r="D21" s="20">
        <v>40544</v>
      </c>
      <c r="E21" s="20">
        <v>38921</v>
      </c>
      <c r="F21" s="20">
        <v>37646</v>
      </c>
      <c r="G21" s="20">
        <v>36887</v>
      </c>
      <c r="H21" s="20">
        <v>35911</v>
      </c>
      <c r="I21" s="20">
        <v>36113</v>
      </c>
      <c r="J21" s="20">
        <v>20254</v>
      </c>
      <c r="K21" s="20">
        <v>21707</v>
      </c>
      <c r="L21" s="20">
        <v>23202</v>
      </c>
      <c r="M21" s="20">
        <v>24328</v>
      </c>
      <c r="N21" s="20">
        <v>25738</v>
      </c>
      <c r="O21" s="20">
        <v>26204</v>
      </c>
      <c r="P21" s="20">
        <v>26544</v>
      </c>
      <c r="Q21" s="20">
        <v>27492</v>
      </c>
      <c r="R21" s="20">
        <v>27970</v>
      </c>
      <c r="S21" s="20">
        <v>27466</v>
      </c>
      <c r="T21" s="20">
        <v>37659</v>
      </c>
      <c r="U21" s="20">
        <v>40630</v>
      </c>
      <c r="V21" s="20">
        <v>41835</v>
      </c>
      <c r="W21" s="20">
        <v>41588</v>
      </c>
      <c r="X21" s="20">
        <v>41422</v>
      </c>
      <c r="Y21" s="20">
        <v>39678</v>
      </c>
      <c r="Z21" s="20">
        <v>36964</v>
      </c>
      <c r="AA21" s="21">
        <f t="shared" si="0"/>
        <v>799472</v>
      </c>
      <c r="AB21" s="22">
        <v>4</v>
      </c>
      <c r="AC21" s="21">
        <f t="shared" si="1"/>
        <v>3197888</v>
      </c>
      <c r="AD21" s="110"/>
    </row>
    <row r="22" spans="1:30" x14ac:dyDescent="0.35">
      <c r="A22" s="108"/>
      <c r="B22" s="24" t="s">
        <v>46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1">
        <f t="shared" si="0"/>
        <v>0</v>
      </c>
      <c r="AB22" s="22">
        <v>0</v>
      </c>
      <c r="AC22" s="21">
        <f t="shared" si="1"/>
        <v>0</v>
      </c>
      <c r="AD22" s="111"/>
    </row>
    <row r="23" spans="1:30" x14ac:dyDescent="0.35">
      <c r="A23" s="106">
        <v>46508</v>
      </c>
      <c r="B23" s="19" t="s">
        <v>43</v>
      </c>
      <c r="C23" s="20">
        <v>42836</v>
      </c>
      <c r="D23" s="20">
        <v>40804</v>
      </c>
      <c r="E23" s="20">
        <v>39277</v>
      </c>
      <c r="F23" s="20">
        <v>38201</v>
      </c>
      <c r="G23" s="20">
        <v>37910</v>
      </c>
      <c r="H23" s="20">
        <v>37775</v>
      </c>
      <c r="I23" s="20">
        <v>39081</v>
      </c>
      <c r="J23" s="20">
        <v>26207</v>
      </c>
      <c r="K23" s="20">
        <v>30367</v>
      </c>
      <c r="L23" s="20">
        <v>33086</v>
      </c>
      <c r="M23" s="20">
        <v>35426</v>
      </c>
      <c r="N23" s="20">
        <v>36147</v>
      </c>
      <c r="O23" s="20">
        <v>32844</v>
      </c>
      <c r="P23" s="20">
        <v>36864</v>
      </c>
      <c r="Q23" s="20">
        <v>41231</v>
      </c>
      <c r="R23" s="20">
        <v>41394</v>
      </c>
      <c r="S23" s="20">
        <v>39743</v>
      </c>
      <c r="T23" s="20">
        <v>45819</v>
      </c>
      <c r="U23" s="20">
        <v>45919</v>
      </c>
      <c r="V23" s="20">
        <v>45831</v>
      </c>
      <c r="W23" s="20">
        <v>45840</v>
      </c>
      <c r="X23" s="20">
        <v>45046</v>
      </c>
      <c r="Y23" s="20">
        <v>42700</v>
      </c>
      <c r="Z23" s="20">
        <v>39640</v>
      </c>
      <c r="AA23" s="21">
        <f t="shared" si="0"/>
        <v>939988</v>
      </c>
      <c r="AB23" s="22">
        <v>19</v>
      </c>
      <c r="AC23" s="21">
        <f t="shared" si="1"/>
        <v>17859772</v>
      </c>
      <c r="AD23" s="109">
        <f>+SUM(AC23:AC26)</f>
        <v>27682621</v>
      </c>
    </row>
    <row r="24" spans="1:30" x14ac:dyDescent="0.35">
      <c r="A24" s="107"/>
      <c r="B24" s="23" t="s">
        <v>44</v>
      </c>
      <c r="C24" s="20">
        <v>44039</v>
      </c>
      <c r="D24" s="20">
        <v>41722</v>
      </c>
      <c r="E24" s="20">
        <v>39985</v>
      </c>
      <c r="F24" s="20">
        <v>38694</v>
      </c>
      <c r="G24" s="20">
        <v>38125</v>
      </c>
      <c r="H24" s="20">
        <v>37057</v>
      </c>
      <c r="I24" s="20">
        <v>38506</v>
      </c>
      <c r="J24" s="20">
        <v>25149</v>
      </c>
      <c r="K24" s="20">
        <v>29482</v>
      </c>
      <c r="L24" s="20">
        <v>32434</v>
      </c>
      <c r="M24" s="20">
        <v>34550</v>
      </c>
      <c r="N24" s="20">
        <v>35135</v>
      </c>
      <c r="O24" s="20">
        <v>33222</v>
      </c>
      <c r="P24" s="20">
        <v>33693</v>
      </c>
      <c r="Q24" s="20">
        <v>34910</v>
      </c>
      <c r="R24" s="20">
        <v>34700</v>
      </c>
      <c r="S24" s="20">
        <v>33130</v>
      </c>
      <c r="T24" s="20">
        <v>41334</v>
      </c>
      <c r="U24" s="20">
        <v>43242</v>
      </c>
      <c r="V24" s="20">
        <v>43492</v>
      </c>
      <c r="W24" s="20">
        <v>42627</v>
      </c>
      <c r="X24" s="20">
        <v>41853</v>
      </c>
      <c r="Y24" s="20">
        <v>40650</v>
      </c>
      <c r="Z24" s="20">
        <v>38669</v>
      </c>
      <c r="AA24" s="21">
        <f t="shared" si="0"/>
        <v>896400</v>
      </c>
      <c r="AB24" s="22">
        <v>4</v>
      </c>
      <c r="AC24" s="21">
        <f t="shared" si="1"/>
        <v>3585600</v>
      </c>
      <c r="AD24" s="110"/>
    </row>
    <row r="25" spans="1:30" x14ac:dyDescent="0.35">
      <c r="A25" s="107"/>
      <c r="B25" s="23" t="s">
        <v>45</v>
      </c>
      <c r="C25" s="20">
        <v>42803</v>
      </c>
      <c r="D25" s="20">
        <v>40858</v>
      </c>
      <c r="E25" s="20">
        <v>39335</v>
      </c>
      <c r="F25" s="20">
        <v>38084</v>
      </c>
      <c r="G25" s="20">
        <v>37269</v>
      </c>
      <c r="H25" s="20">
        <v>35645</v>
      </c>
      <c r="I25" s="20">
        <v>36308</v>
      </c>
      <c r="J25" s="20">
        <v>20405</v>
      </c>
      <c r="K25" s="20">
        <v>21758</v>
      </c>
      <c r="L25" s="20">
        <v>23254</v>
      </c>
      <c r="M25" s="20">
        <v>24524</v>
      </c>
      <c r="N25" s="20">
        <v>25401</v>
      </c>
      <c r="O25" s="20">
        <v>25238</v>
      </c>
      <c r="P25" s="20">
        <v>25274</v>
      </c>
      <c r="Q25" s="20">
        <v>26391</v>
      </c>
      <c r="R25" s="20">
        <v>26723</v>
      </c>
      <c r="S25" s="20">
        <v>26288</v>
      </c>
      <c r="T25" s="20">
        <v>36758</v>
      </c>
      <c r="U25" s="20">
        <v>39523</v>
      </c>
      <c r="V25" s="20">
        <v>40837</v>
      </c>
      <c r="W25" s="20">
        <v>41202</v>
      </c>
      <c r="X25" s="20">
        <v>41453</v>
      </c>
      <c r="Y25" s="20">
        <v>40140</v>
      </c>
      <c r="Z25" s="20">
        <v>37756</v>
      </c>
      <c r="AA25" s="21">
        <f t="shared" si="0"/>
        <v>793227</v>
      </c>
      <c r="AB25" s="22">
        <v>5</v>
      </c>
      <c r="AC25" s="21">
        <f t="shared" si="1"/>
        <v>3966135</v>
      </c>
      <c r="AD25" s="110"/>
    </row>
    <row r="26" spans="1:30" x14ac:dyDescent="0.35">
      <c r="A26" s="108"/>
      <c r="B26" s="24" t="s">
        <v>46</v>
      </c>
      <c r="C26" s="20">
        <v>38557</v>
      </c>
      <c r="D26" s="20">
        <v>36633</v>
      </c>
      <c r="E26" s="20">
        <v>35247</v>
      </c>
      <c r="F26" s="20">
        <v>34213</v>
      </c>
      <c r="G26" s="20">
        <v>33725</v>
      </c>
      <c r="H26" s="20">
        <v>32577</v>
      </c>
      <c r="I26" s="20">
        <v>33556</v>
      </c>
      <c r="J26" s="20">
        <v>18288</v>
      </c>
      <c r="K26" s="20">
        <v>20260</v>
      </c>
      <c r="L26" s="20">
        <v>22336</v>
      </c>
      <c r="M26" s="20">
        <v>24083</v>
      </c>
      <c r="N26" s="20">
        <v>25273</v>
      </c>
      <c r="O26" s="20">
        <v>25044</v>
      </c>
      <c r="P26" s="20">
        <v>25663</v>
      </c>
      <c r="Q26" s="20">
        <v>26597</v>
      </c>
      <c r="R26" s="20">
        <v>26831</v>
      </c>
      <c r="S26" s="20">
        <v>25891</v>
      </c>
      <c r="T26" s="20">
        <v>35724</v>
      </c>
      <c r="U26" s="20">
        <v>38787</v>
      </c>
      <c r="V26" s="20">
        <v>40783</v>
      </c>
      <c r="W26" s="20">
        <v>41192</v>
      </c>
      <c r="X26" s="20">
        <v>40919</v>
      </c>
      <c r="Y26" s="20">
        <v>38838</v>
      </c>
      <c r="Z26" s="20">
        <v>36021</v>
      </c>
      <c r="AA26" s="21">
        <f t="shared" si="0"/>
        <v>757038</v>
      </c>
      <c r="AB26" s="22">
        <v>3</v>
      </c>
      <c r="AC26" s="21">
        <f t="shared" si="1"/>
        <v>2271114</v>
      </c>
      <c r="AD26" s="111"/>
    </row>
    <row r="27" spans="1:30" x14ac:dyDescent="0.35">
      <c r="A27" s="106">
        <v>46539</v>
      </c>
      <c r="B27" s="19" t="s">
        <v>43</v>
      </c>
      <c r="C27" s="20">
        <v>44238</v>
      </c>
      <c r="D27" s="20">
        <v>42101</v>
      </c>
      <c r="E27" s="20">
        <v>40484</v>
      </c>
      <c r="F27" s="20">
        <v>39392</v>
      </c>
      <c r="G27" s="20">
        <v>39090</v>
      </c>
      <c r="H27" s="20">
        <v>38800</v>
      </c>
      <c r="I27" s="20">
        <v>40634</v>
      </c>
      <c r="J27" s="20">
        <v>28146</v>
      </c>
      <c r="K27" s="20">
        <v>32411</v>
      </c>
      <c r="L27" s="20">
        <v>35007</v>
      </c>
      <c r="M27" s="20">
        <v>37306</v>
      </c>
      <c r="N27" s="20">
        <v>38257</v>
      </c>
      <c r="O27" s="20">
        <v>34593</v>
      </c>
      <c r="P27" s="20">
        <v>38346</v>
      </c>
      <c r="Q27" s="20">
        <v>42442</v>
      </c>
      <c r="R27" s="20">
        <v>42772</v>
      </c>
      <c r="S27" s="20">
        <v>41329</v>
      </c>
      <c r="T27" s="20">
        <v>46747</v>
      </c>
      <c r="U27" s="20">
        <v>46728</v>
      </c>
      <c r="V27" s="20">
        <v>46929</v>
      </c>
      <c r="W27" s="20">
        <v>46621</v>
      </c>
      <c r="X27" s="20">
        <v>45684</v>
      </c>
      <c r="Y27" s="20">
        <v>43447</v>
      </c>
      <c r="Z27" s="20">
        <v>40429</v>
      </c>
      <c r="AA27" s="21">
        <f t="shared" si="0"/>
        <v>971933</v>
      </c>
      <c r="AB27" s="22">
        <v>21</v>
      </c>
      <c r="AC27" s="21">
        <f t="shared" si="1"/>
        <v>20410593</v>
      </c>
      <c r="AD27" s="109">
        <f>+SUM(AC27:AC30)</f>
        <v>28239251</v>
      </c>
    </row>
    <row r="28" spans="1:30" x14ac:dyDescent="0.35">
      <c r="A28" s="107"/>
      <c r="B28" s="23" t="s">
        <v>44</v>
      </c>
      <c r="C28" s="20">
        <v>44595</v>
      </c>
      <c r="D28" s="20">
        <v>42512</v>
      </c>
      <c r="E28" s="20">
        <v>40923</v>
      </c>
      <c r="F28" s="20">
        <v>39722</v>
      </c>
      <c r="G28" s="20">
        <v>39311</v>
      </c>
      <c r="H28" s="20">
        <v>38314</v>
      </c>
      <c r="I28" s="20">
        <v>40069</v>
      </c>
      <c r="J28" s="20">
        <v>27050</v>
      </c>
      <c r="K28" s="20">
        <v>31192</v>
      </c>
      <c r="L28" s="20">
        <v>33847</v>
      </c>
      <c r="M28" s="20">
        <v>35805</v>
      </c>
      <c r="N28" s="20">
        <v>36396</v>
      </c>
      <c r="O28" s="20">
        <v>34188</v>
      </c>
      <c r="P28" s="20">
        <v>34240</v>
      </c>
      <c r="Q28" s="20">
        <v>36036</v>
      </c>
      <c r="R28" s="20">
        <v>36359</v>
      </c>
      <c r="S28" s="20">
        <v>34931</v>
      </c>
      <c r="T28" s="20">
        <v>43100</v>
      </c>
      <c r="U28" s="20">
        <v>44738</v>
      </c>
      <c r="V28" s="20">
        <v>44904</v>
      </c>
      <c r="W28" s="20">
        <v>43971</v>
      </c>
      <c r="X28" s="20">
        <v>42980</v>
      </c>
      <c r="Y28" s="20">
        <v>41668</v>
      </c>
      <c r="Z28" s="20">
        <v>39791</v>
      </c>
      <c r="AA28" s="21">
        <f t="shared" si="0"/>
        <v>926642</v>
      </c>
      <c r="AB28" s="22">
        <v>4</v>
      </c>
      <c r="AC28" s="21">
        <f t="shared" si="1"/>
        <v>3706568</v>
      </c>
      <c r="AD28" s="110"/>
    </row>
    <row r="29" spans="1:30" x14ac:dyDescent="0.35">
      <c r="A29" s="107"/>
      <c r="B29" s="23" t="s">
        <v>45</v>
      </c>
      <c r="C29" s="20">
        <v>44388</v>
      </c>
      <c r="D29" s="20">
        <v>42450</v>
      </c>
      <c r="E29" s="20">
        <v>40948</v>
      </c>
      <c r="F29" s="20">
        <v>39697</v>
      </c>
      <c r="G29" s="20">
        <v>38973</v>
      </c>
      <c r="H29" s="20">
        <v>37390</v>
      </c>
      <c r="I29" s="20">
        <v>37981</v>
      </c>
      <c r="J29" s="20">
        <v>22213</v>
      </c>
      <c r="K29" s="20">
        <v>23203</v>
      </c>
      <c r="L29" s="20">
        <v>25033</v>
      </c>
      <c r="M29" s="20">
        <v>25630</v>
      </c>
      <c r="N29" s="20">
        <v>26459</v>
      </c>
      <c r="O29" s="20">
        <v>26751</v>
      </c>
      <c r="P29" s="20">
        <v>26880</v>
      </c>
      <c r="Q29" s="20">
        <v>27737</v>
      </c>
      <c r="R29" s="20">
        <v>28173</v>
      </c>
      <c r="S29" s="20">
        <v>27991</v>
      </c>
      <c r="T29" s="20">
        <v>37625</v>
      </c>
      <c r="U29" s="20">
        <v>40318</v>
      </c>
      <c r="V29" s="20">
        <v>42375</v>
      </c>
      <c r="W29" s="20">
        <v>42670</v>
      </c>
      <c r="X29" s="20">
        <v>42894</v>
      </c>
      <c r="Y29" s="20">
        <v>41776</v>
      </c>
      <c r="Z29" s="20">
        <v>39695</v>
      </c>
      <c r="AA29" s="21">
        <f t="shared" si="0"/>
        <v>829250</v>
      </c>
      <c r="AB29" s="22">
        <v>4</v>
      </c>
      <c r="AC29" s="21">
        <f t="shared" si="1"/>
        <v>3317000</v>
      </c>
      <c r="AD29" s="110"/>
    </row>
    <row r="30" spans="1:30" x14ac:dyDescent="0.35">
      <c r="A30" s="108"/>
      <c r="B30" s="24" t="s">
        <v>46</v>
      </c>
      <c r="C30" s="20">
        <v>40584</v>
      </c>
      <c r="D30" s="20">
        <v>38691</v>
      </c>
      <c r="E30" s="20">
        <v>37350</v>
      </c>
      <c r="F30" s="20">
        <v>36259</v>
      </c>
      <c r="G30" s="20">
        <v>35824</v>
      </c>
      <c r="H30" s="20">
        <v>34665</v>
      </c>
      <c r="I30" s="20">
        <v>35645</v>
      </c>
      <c r="J30" s="20">
        <v>20983</v>
      </c>
      <c r="K30" s="20">
        <v>23498</v>
      </c>
      <c r="L30" s="20">
        <v>25942</v>
      </c>
      <c r="M30" s="20">
        <v>27725</v>
      </c>
      <c r="N30" s="20">
        <v>28677</v>
      </c>
      <c r="O30" s="20">
        <v>28066</v>
      </c>
      <c r="P30" s="20">
        <v>28352</v>
      </c>
      <c r="Q30" s="20">
        <v>29038</v>
      </c>
      <c r="R30" s="20">
        <v>28874</v>
      </c>
      <c r="S30" s="20">
        <v>27728</v>
      </c>
      <c r="T30" s="20">
        <v>36834</v>
      </c>
      <c r="U30" s="20">
        <v>39349</v>
      </c>
      <c r="V30" s="20">
        <v>41860</v>
      </c>
      <c r="W30" s="20">
        <v>41768</v>
      </c>
      <c r="X30" s="20">
        <v>41278</v>
      </c>
      <c r="Y30" s="20">
        <v>39385</v>
      </c>
      <c r="Z30" s="20">
        <v>36715</v>
      </c>
      <c r="AA30" s="21">
        <f t="shared" si="0"/>
        <v>805090</v>
      </c>
      <c r="AB30" s="22">
        <v>1</v>
      </c>
      <c r="AC30" s="21">
        <f t="shared" si="1"/>
        <v>805090</v>
      </c>
      <c r="AD30" s="111"/>
    </row>
    <row r="31" spans="1:30" x14ac:dyDescent="0.35">
      <c r="A31" s="106">
        <v>46569</v>
      </c>
      <c r="B31" s="19" t="s">
        <v>43</v>
      </c>
      <c r="C31" s="20">
        <v>38731</v>
      </c>
      <c r="D31" s="20">
        <v>36645</v>
      </c>
      <c r="E31" s="20">
        <v>35145</v>
      </c>
      <c r="F31" s="20">
        <v>33969</v>
      </c>
      <c r="G31" s="20">
        <v>33607</v>
      </c>
      <c r="H31" s="20">
        <v>33677</v>
      </c>
      <c r="I31" s="20">
        <v>35122</v>
      </c>
      <c r="J31" s="20">
        <v>21432</v>
      </c>
      <c r="K31" s="20">
        <v>25553</v>
      </c>
      <c r="L31" s="20">
        <v>28142</v>
      </c>
      <c r="M31" s="20">
        <v>30414</v>
      </c>
      <c r="N31" s="20">
        <v>30869</v>
      </c>
      <c r="O31" s="20">
        <v>27163</v>
      </c>
      <c r="P31" s="20">
        <v>30797</v>
      </c>
      <c r="Q31" s="20">
        <v>34799</v>
      </c>
      <c r="R31" s="20">
        <v>35125</v>
      </c>
      <c r="S31" s="20">
        <v>33498</v>
      </c>
      <c r="T31" s="20">
        <v>42904</v>
      </c>
      <c r="U31" s="20">
        <v>42667</v>
      </c>
      <c r="V31" s="20">
        <v>43430</v>
      </c>
      <c r="W31" s="20">
        <v>43427</v>
      </c>
      <c r="X31" s="20">
        <v>42704</v>
      </c>
      <c r="Y31" s="20">
        <v>40578</v>
      </c>
      <c r="Z31" s="20">
        <v>37688</v>
      </c>
      <c r="AA31" s="21">
        <f t="shared" si="0"/>
        <v>838086</v>
      </c>
      <c r="AB31" s="22">
        <v>20</v>
      </c>
      <c r="AC31" s="21">
        <f t="shared" si="1"/>
        <v>16761720</v>
      </c>
      <c r="AD31" s="109">
        <f>+SUM(AC31:AC34)</f>
        <v>24946557</v>
      </c>
    </row>
    <row r="32" spans="1:30" x14ac:dyDescent="0.35">
      <c r="A32" s="107"/>
      <c r="B32" s="23" t="s">
        <v>44</v>
      </c>
      <c r="C32" s="20">
        <v>38102</v>
      </c>
      <c r="D32" s="20">
        <v>36150</v>
      </c>
      <c r="E32" s="20">
        <v>34744</v>
      </c>
      <c r="F32" s="20">
        <v>33616</v>
      </c>
      <c r="G32" s="20">
        <v>33220</v>
      </c>
      <c r="H32" s="20">
        <v>32450</v>
      </c>
      <c r="I32" s="20">
        <v>33767</v>
      </c>
      <c r="J32" s="20">
        <v>19703</v>
      </c>
      <c r="K32" s="20">
        <v>23560</v>
      </c>
      <c r="L32" s="20">
        <v>26197</v>
      </c>
      <c r="M32" s="20">
        <v>27903</v>
      </c>
      <c r="N32" s="20">
        <v>28832</v>
      </c>
      <c r="O32" s="20">
        <v>26887</v>
      </c>
      <c r="P32" s="20">
        <v>27328</v>
      </c>
      <c r="Q32" s="20">
        <v>28932</v>
      </c>
      <c r="R32" s="20">
        <v>28805</v>
      </c>
      <c r="S32" s="20">
        <v>27224</v>
      </c>
      <c r="T32" s="20">
        <v>38642</v>
      </c>
      <c r="U32" s="20">
        <v>40536</v>
      </c>
      <c r="V32" s="20">
        <v>41744</v>
      </c>
      <c r="W32" s="20">
        <v>40798</v>
      </c>
      <c r="X32" s="20">
        <v>40131</v>
      </c>
      <c r="Y32" s="20">
        <v>39247</v>
      </c>
      <c r="Z32" s="20">
        <v>37691</v>
      </c>
      <c r="AA32" s="21">
        <f t="shared" si="0"/>
        <v>786209</v>
      </c>
      <c r="AB32" s="22">
        <v>5</v>
      </c>
      <c r="AC32" s="21">
        <f t="shared" si="1"/>
        <v>3931045</v>
      </c>
      <c r="AD32" s="110"/>
    </row>
    <row r="33" spans="1:30" x14ac:dyDescent="0.35">
      <c r="A33" s="107"/>
      <c r="B33" s="23" t="s">
        <v>45</v>
      </c>
      <c r="C33" s="20">
        <v>39568</v>
      </c>
      <c r="D33" s="20">
        <v>37539</v>
      </c>
      <c r="E33" s="20">
        <v>35931</v>
      </c>
      <c r="F33" s="20">
        <v>34737</v>
      </c>
      <c r="G33" s="20">
        <v>33931</v>
      </c>
      <c r="H33" s="20">
        <v>32584</v>
      </c>
      <c r="I33" s="20">
        <v>33001</v>
      </c>
      <c r="J33" s="20">
        <v>15772</v>
      </c>
      <c r="K33" s="20">
        <v>17011</v>
      </c>
      <c r="L33" s="20">
        <v>18572</v>
      </c>
      <c r="M33" s="20">
        <v>19392</v>
      </c>
      <c r="N33" s="20">
        <v>20004</v>
      </c>
      <c r="O33" s="20">
        <v>20440</v>
      </c>
      <c r="P33" s="20">
        <v>20711</v>
      </c>
      <c r="Q33" s="20">
        <v>21309</v>
      </c>
      <c r="R33" s="20">
        <v>21962</v>
      </c>
      <c r="S33" s="20">
        <v>21542</v>
      </c>
      <c r="T33" s="20">
        <v>35726</v>
      </c>
      <c r="U33" s="20">
        <v>38006</v>
      </c>
      <c r="V33" s="20">
        <v>40147</v>
      </c>
      <c r="W33" s="20">
        <v>40518</v>
      </c>
      <c r="X33" s="20">
        <v>40645</v>
      </c>
      <c r="Y33" s="20">
        <v>39359</v>
      </c>
      <c r="Z33" s="20">
        <v>37235</v>
      </c>
      <c r="AA33" s="21">
        <f t="shared" si="0"/>
        <v>715642</v>
      </c>
      <c r="AB33" s="22">
        <v>4</v>
      </c>
      <c r="AC33" s="21">
        <f t="shared" si="1"/>
        <v>2862568</v>
      </c>
      <c r="AD33" s="110"/>
    </row>
    <row r="34" spans="1:30" x14ac:dyDescent="0.35">
      <c r="A34" s="108"/>
      <c r="B34" s="24" t="s">
        <v>46</v>
      </c>
      <c r="C34" s="20">
        <v>36831</v>
      </c>
      <c r="D34" s="20">
        <v>34842</v>
      </c>
      <c r="E34" s="20">
        <v>33315</v>
      </c>
      <c r="F34" s="20">
        <v>32337</v>
      </c>
      <c r="G34" s="20">
        <v>31823</v>
      </c>
      <c r="H34" s="20">
        <v>30892</v>
      </c>
      <c r="I34" s="20">
        <v>31540</v>
      </c>
      <c r="J34" s="20">
        <v>15587</v>
      </c>
      <c r="K34" s="20">
        <v>17572</v>
      </c>
      <c r="L34" s="20">
        <v>19481</v>
      </c>
      <c r="M34" s="20">
        <v>20801</v>
      </c>
      <c r="N34" s="20">
        <v>21453</v>
      </c>
      <c r="O34" s="20">
        <v>20685</v>
      </c>
      <c r="P34" s="20">
        <v>21393</v>
      </c>
      <c r="Q34" s="20">
        <v>22215</v>
      </c>
      <c r="R34" s="20">
        <v>22518</v>
      </c>
      <c r="S34" s="20">
        <v>21614</v>
      </c>
      <c r="T34" s="20">
        <v>34312</v>
      </c>
      <c r="U34" s="20">
        <v>36890</v>
      </c>
      <c r="V34" s="20">
        <v>39455</v>
      </c>
      <c r="W34" s="20">
        <v>39479</v>
      </c>
      <c r="X34" s="20">
        <v>38947</v>
      </c>
      <c r="Y34" s="20">
        <v>37100</v>
      </c>
      <c r="Z34" s="20">
        <v>34530</v>
      </c>
      <c r="AA34" s="21">
        <f t="shared" si="0"/>
        <v>695612</v>
      </c>
      <c r="AB34" s="22">
        <v>2</v>
      </c>
      <c r="AC34" s="21">
        <f t="shared" si="1"/>
        <v>1391224</v>
      </c>
      <c r="AD34" s="111"/>
    </row>
    <row r="35" spans="1:30" x14ac:dyDescent="0.35">
      <c r="A35" s="106">
        <v>46600</v>
      </c>
      <c r="B35" s="19" t="s">
        <v>43</v>
      </c>
      <c r="C35" s="20">
        <v>40929</v>
      </c>
      <c r="D35" s="20">
        <v>38769</v>
      </c>
      <c r="E35" s="20">
        <v>37153</v>
      </c>
      <c r="F35" s="20">
        <v>35915</v>
      </c>
      <c r="G35" s="20">
        <v>35491</v>
      </c>
      <c r="H35" s="20">
        <v>35502</v>
      </c>
      <c r="I35" s="20">
        <v>36651</v>
      </c>
      <c r="J35" s="20">
        <v>23226</v>
      </c>
      <c r="K35" s="20">
        <v>27151</v>
      </c>
      <c r="L35" s="20">
        <v>30065</v>
      </c>
      <c r="M35" s="20">
        <v>32390</v>
      </c>
      <c r="N35" s="20">
        <v>33146</v>
      </c>
      <c r="O35" s="20">
        <v>29487</v>
      </c>
      <c r="P35" s="20">
        <v>33713</v>
      </c>
      <c r="Q35" s="20">
        <v>38246</v>
      </c>
      <c r="R35" s="20">
        <v>38572</v>
      </c>
      <c r="S35" s="20">
        <v>37018</v>
      </c>
      <c r="T35" s="20">
        <v>45072</v>
      </c>
      <c r="U35" s="20">
        <v>45073</v>
      </c>
      <c r="V35" s="20">
        <v>45524</v>
      </c>
      <c r="W35" s="20">
        <v>45658</v>
      </c>
      <c r="X35" s="20">
        <v>45199</v>
      </c>
      <c r="Y35" s="20">
        <v>42934</v>
      </c>
      <c r="Z35" s="20">
        <v>40071</v>
      </c>
      <c r="AA35" s="21">
        <f t="shared" si="0"/>
        <v>892955</v>
      </c>
      <c r="AB35" s="22">
        <v>21</v>
      </c>
      <c r="AC35" s="21">
        <f t="shared" si="1"/>
        <v>18752055</v>
      </c>
      <c r="AD35" s="109">
        <f>+SUM(AC35:AC38)</f>
        <v>26544363</v>
      </c>
    </row>
    <row r="36" spans="1:30" x14ac:dyDescent="0.35">
      <c r="A36" s="107"/>
      <c r="B36" s="23" t="s">
        <v>44</v>
      </c>
      <c r="C36" s="20">
        <v>43469</v>
      </c>
      <c r="D36" s="20">
        <v>41136</v>
      </c>
      <c r="E36" s="20">
        <v>39329</v>
      </c>
      <c r="F36" s="20">
        <v>37914</v>
      </c>
      <c r="G36" s="20">
        <v>37183</v>
      </c>
      <c r="H36" s="20">
        <v>36219</v>
      </c>
      <c r="I36" s="20">
        <v>37252</v>
      </c>
      <c r="J36" s="20">
        <v>23587</v>
      </c>
      <c r="K36" s="20">
        <v>27390</v>
      </c>
      <c r="L36" s="20">
        <v>30341</v>
      </c>
      <c r="M36" s="20">
        <v>31956</v>
      </c>
      <c r="N36" s="20">
        <v>33208</v>
      </c>
      <c r="O36" s="20">
        <v>30785</v>
      </c>
      <c r="P36" s="20">
        <v>31418</v>
      </c>
      <c r="Q36" s="20">
        <v>32900</v>
      </c>
      <c r="R36" s="20">
        <v>32818</v>
      </c>
      <c r="S36" s="20">
        <v>31497</v>
      </c>
      <c r="T36" s="20">
        <v>41960</v>
      </c>
      <c r="U36" s="20">
        <v>44088</v>
      </c>
      <c r="V36" s="20">
        <v>44342</v>
      </c>
      <c r="W36" s="20">
        <v>43378</v>
      </c>
      <c r="X36" s="20">
        <v>43196</v>
      </c>
      <c r="Y36" s="20">
        <v>42361</v>
      </c>
      <c r="Z36" s="20">
        <v>40667</v>
      </c>
      <c r="AA36" s="21">
        <f t="shared" si="0"/>
        <v>878394</v>
      </c>
      <c r="AB36" s="22">
        <v>3</v>
      </c>
      <c r="AC36" s="21">
        <f t="shared" si="1"/>
        <v>2635182</v>
      </c>
      <c r="AD36" s="110"/>
    </row>
    <row r="37" spans="1:30" x14ac:dyDescent="0.35">
      <c r="A37" s="107"/>
      <c r="B37" s="23" t="s">
        <v>45</v>
      </c>
      <c r="C37" s="20">
        <v>42150</v>
      </c>
      <c r="D37" s="20">
        <v>39990</v>
      </c>
      <c r="E37" s="20">
        <v>38260</v>
      </c>
      <c r="F37" s="20">
        <v>36905</v>
      </c>
      <c r="G37" s="20">
        <v>35880</v>
      </c>
      <c r="H37" s="20">
        <v>34102</v>
      </c>
      <c r="I37" s="20">
        <v>34105</v>
      </c>
      <c r="J37" s="20">
        <v>17616</v>
      </c>
      <c r="K37" s="20">
        <v>18625</v>
      </c>
      <c r="L37" s="20">
        <v>19642</v>
      </c>
      <c r="M37" s="20">
        <v>20776</v>
      </c>
      <c r="N37" s="20">
        <v>21033</v>
      </c>
      <c r="O37" s="20">
        <v>21590</v>
      </c>
      <c r="P37" s="20">
        <v>22687</v>
      </c>
      <c r="Q37" s="20">
        <v>23293</v>
      </c>
      <c r="R37" s="20">
        <v>23866</v>
      </c>
      <c r="S37" s="20">
        <v>22680</v>
      </c>
      <c r="T37" s="20">
        <v>35302</v>
      </c>
      <c r="U37" s="20">
        <v>38275</v>
      </c>
      <c r="V37" s="20">
        <v>39767</v>
      </c>
      <c r="W37" s="20">
        <v>40214</v>
      </c>
      <c r="X37" s="20">
        <v>40605</v>
      </c>
      <c r="Y37" s="20">
        <v>39389</v>
      </c>
      <c r="Z37" s="20">
        <v>37202</v>
      </c>
      <c r="AA37" s="21">
        <f t="shared" si="0"/>
        <v>743954</v>
      </c>
      <c r="AB37" s="22">
        <v>5</v>
      </c>
      <c r="AC37" s="21">
        <f t="shared" si="1"/>
        <v>3719770</v>
      </c>
      <c r="AD37" s="110"/>
    </row>
    <row r="38" spans="1:30" x14ac:dyDescent="0.35">
      <c r="A38" s="108"/>
      <c r="B38" s="24" t="s">
        <v>46</v>
      </c>
      <c r="C38" s="20">
        <v>36331</v>
      </c>
      <c r="D38" s="20">
        <v>34642</v>
      </c>
      <c r="E38" s="20">
        <v>33247</v>
      </c>
      <c r="F38" s="20">
        <v>32329</v>
      </c>
      <c r="G38" s="20">
        <v>31869</v>
      </c>
      <c r="H38" s="20">
        <v>31028</v>
      </c>
      <c r="I38" s="20">
        <v>31400</v>
      </c>
      <c r="J38" s="20">
        <v>15533</v>
      </c>
      <c r="K38" s="20">
        <v>17606</v>
      </c>
      <c r="L38" s="20">
        <v>20129</v>
      </c>
      <c r="M38" s="20">
        <v>21844</v>
      </c>
      <c r="N38" s="20">
        <v>23127</v>
      </c>
      <c r="O38" s="20">
        <v>22851</v>
      </c>
      <c r="P38" s="20">
        <v>23419</v>
      </c>
      <c r="Q38" s="20">
        <v>24327</v>
      </c>
      <c r="R38" s="20">
        <v>24822</v>
      </c>
      <c r="S38" s="20">
        <v>23776</v>
      </c>
      <c r="T38" s="20">
        <v>35122</v>
      </c>
      <c r="U38" s="20">
        <v>38273</v>
      </c>
      <c r="V38" s="20">
        <v>40248</v>
      </c>
      <c r="W38" s="20">
        <v>40381</v>
      </c>
      <c r="X38" s="20">
        <v>40865</v>
      </c>
      <c r="Y38" s="20">
        <v>39242</v>
      </c>
      <c r="Z38" s="20">
        <v>36267</v>
      </c>
      <c r="AA38" s="21">
        <f t="shared" si="0"/>
        <v>718678</v>
      </c>
      <c r="AB38" s="22">
        <v>2</v>
      </c>
      <c r="AC38" s="21">
        <f t="shared" si="1"/>
        <v>1437356</v>
      </c>
      <c r="AD38" s="111"/>
    </row>
    <row r="39" spans="1:30" x14ac:dyDescent="0.35">
      <c r="A39" s="106">
        <v>46631</v>
      </c>
      <c r="B39" s="19" t="s">
        <v>43</v>
      </c>
      <c r="C39" s="20">
        <v>42873</v>
      </c>
      <c r="D39" s="20">
        <v>40495</v>
      </c>
      <c r="E39" s="20">
        <v>38732</v>
      </c>
      <c r="F39" s="20">
        <v>37366</v>
      </c>
      <c r="G39" s="20">
        <v>36866</v>
      </c>
      <c r="H39" s="20">
        <v>36808</v>
      </c>
      <c r="I39" s="20">
        <v>38164</v>
      </c>
      <c r="J39" s="20">
        <v>25049</v>
      </c>
      <c r="K39" s="20">
        <v>29172</v>
      </c>
      <c r="L39" s="20">
        <v>32208</v>
      </c>
      <c r="M39" s="20">
        <v>34715</v>
      </c>
      <c r="N39" s="20">
        <v>35514</v>
      </c>
      <c r="O39" s="20">
        <v>32015</v>
      </c>
      <c r="P39" s="20">
        <v>36565</v>
      </c>
      <c r="Q39" s="20">
        <v>40820</v>
      </c>
      <c r="R39" s="20">
        <v>41002</v>
      </c>
      <c r="S39" s="20">
        <v>39014</v>
      </c>
      <c r="T39" s="20">
        <v>47218</v>
      </c>
      <c r="U39" s="20">
        <v>47734</v>
      </c>
      <c r="V39" s="20">
        <v>47048</v>
      </c>
      <c r="W39" s="20">
        <v>47052</v>
      </c>
      <c r="X39" s="20">
        <v>46587</v>
      </c>
      <c r="Y39" s="20">
        <v>44374</v>
      </c>
      <c r="Z39" s="20">
        <v>41094</v>
      </c>
      <c r="AA39" s="21">
        <f t="shared" si="0"/>
        <v>938485</v>
      </c>
      <c r="AB39" s="22">
        <v>22</v>
      </c>
      <c r="AC39" s="21">
        <f t="shared" si="1"/>
        <v>20646670</v>
      </c>
      <c r="AD39" s="109">
        <f>+SUM(AC39:AC42)</f>
        <v>27481854</v>
      </c>
    </row>
    <row r="40" spans="1:30" x14ac:dyDescent="0.35">
      <c r="A40" s="107"/>
      <c r="B40" s="23" t="s">
        <v>44</v>
      </c>
      <c r="C40" s="20">
        <v>43572</v>
      </c>
      <c r="D40" s="20">
        <v>41392</v>
      </c>
      <c r="E40" s="20">
        <v>39671</v>
      </c>
      <c r="F40" s="20">
        <v>38262</v>
      </c>
      <c r="G40" s="20">
        <v>37568</v>
      </c>
      <c r="H40" s="20">
        <v>36518</v>
      </c>
      <c r="I40" s="20">
        <v>37891</v>
      </c>
      <c r="J40" s="20">
        <v>24645</v>
      </c>
      <c r="K40" s="20">
        <v>29012</v>
      </c>
      <c r="L40" s="20">
        <v>31763</v>
      </c>
      <c r="M40" s="20">
        <v>34030</v>
      </c>
      <c r="N40" s="20">
        <v>35000</v>
      </c>
      <c r="O40" s="20">
        <v>32761</v>
      </c>
      <c r="P40" s="20">
        <v>33573</v>
      </c>
      <c r="Q40" s="20">
        <v>35256</v>
      </c>
      <c r="R40" s="20">
        <v>35139</v>
      </c>
      <c r="S40" s="20">
        <v>33399</v>
      </c>
      <c r="T40" s="20">
        <v>44365</v>
      </c>
      <c r="U40" s="20">
        <v>46745</v>
      </c>
      <c r="V40" s="20">
        <v>45898</v>
      </c>
      <c r="W40" s="20">
        <v>44662</v>
      </c>
      <c r="X40" s="20">
        <v>43899</v>
      </c>
      <c r="Y40" s="20">
        <v>42808</v>
      </c>
      <c r="Z40" s="20">
        <v>41109</v>
      </c>
      <c r="AA40" s="21">
        <f t="shared" si="0"/>
        <v>908938</v>
      </c>
      <c r="AB40" s="22">
        <v>4</v>
      </c>
      <c r="AC40" s="21">
        <f t="shared" si="1"/>
        <v>3635752</v>
      </c>
      <c r="AD40" s="110"/>
    </row>
    <row r="41" spans="1:30" x14ac:dyDescent="0.35">
      <c r="A41" s="107"/>
      <c r="B41" s="23" t="s">
        <v>45</v>
      </c>
      <c r="C41" s="20">
        <v>43101</v>
      </c>
      <c r="D41" s="20">
        <v>41029</v>
      </c>
      <c r="E41" s="20">
        <v>39447</v>
      </c>
      <c r="F41" s="20">
        <v>38169</v>
      </c>
      <c r="G41" s="20">
        <v>37246</v>
      </c>
      <c r="H41" s="20">
        <v>35940</v>
      </c>
      <c r="I41" s="20">
        <v>36313</v>
      </c>
      <c r="J41" s="20">
        <v>19725</v>
      </c>
      <c r="K41" s="20">
        <v>20711</v>
      </c>
      <c r="L41" s="20">
        <v>21761</v>
      </c>
      <c r="M41" s="20">
        <v>23105</v>
      </c>
      <c r="N41" s="20">
        <v>24285</v>
      </c>
      <c r="O41" s="20">
        <v>24162</v>
      </c>
      <c r="P41" s="20">
        <v>24966</v>
      </c>
      <c r="Q41" s="20">
        <v>26380</v>
      </c>
      <c r="R41" s="20">
        <v>26657</v>
      </c>
      <c r="S41" s="20">
        <v>25949</v>
      </c>
      <c r="T41" s="20">
        <v>38428</v>
      </c>
      <c r="U41" s="20">
        <v>41630</v>
      </c>
      <c r="V41" s="20">
        <v>42672</v>
      </c>
      <c r="W41" s="20">
        <v>43224</v>
      </c>
      <c r="X41" s="20">
        <v>43525</v>
      </c>
      <c r="Y41" s="20">
        <v>42009</v>
      </c>
      <c r="Z41" s="20">
        <v>39424</v>
      </c>
      <c r="AA41" s="21">
        <f t="shared" si="0"/>
        <v>799858</v>
      </c>
      <c r="AB41" s="22">
        <v>4</v>
      </c>
      <c r="AC41" s="21">
        <f t="shared" si="1"/>
        <v>3199432</v>
      </c>
      <c r="AD41" s="110"/>
    </row>
    <row r="42" spans="1:30" x14ac:dyDescent="0.35">
      <c r="A42" s="108"/>
      <c r="B42" s="24" t="s">
        <v>46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1">
        <f t="shared" si="0"/>
        <v>0</v>
      </c>
      <c r="AB42" s="22">
        <v>0</v>
      </c>
      <c r="AC42" s="21">
        <f t="shared" si="1"/>
        <v>0</v>
      </c>
      <c r="AD42" s="111"/>
    </row>
    <row r="43" spans="1:30" x14ac:dyDescent="0.35">
      <c r="A43" s="106">
        <v>46661</v>
      </c>
      <c r="B43" s="19" t="s">
        <v>43</v>
      </c>
      <c r="C43" s="20">
        <v>40742</v>
      </c>
      <c r="D43" s="20">
        <v>38578</v>
      </c>
      <c r="E43" s="20">
        <v>37024</v>
      </c>
      <c r="F43" s="20">
        <v>35935</v>
      </c>
      <c r="G43" s="20">
        <v>35629</v>
      </c>
      <c r="H43" s="20">
        <v>35608</v>
      </c>
      <c r="I43" s="20">
        <v>37073</v>
      </c>
      <c r="J43" s="20">
        <v>23924</v>
      </c>
      <c r="K43" s="20">
        <v>28520</v>
      </c>
      <c r="L43" s="20">
        <v>31622</v>
      </c>
      <c r="M43" s="20">
        <v>34280</v>
      </c>
      <c r="N43" s="20">
        <v>35380</v>
      </c>
      <c r="O43" s="20">
        <v>31952</v>
      </c>
      <c r="P43" s="20">
        <v>36066</v>
      </c>
      <c r="Q43" s="20">
        <v>40368</v>
      </c>
      <c r="R43" s="20">
        <v>40306</v>
      </c>
      <c r="S43" s="20">
        <v>38434</v>
      </c>
      <c r="T43" s="20">
        <v>47987</v>
      </c>
      <c r="U43" s="20">
        <v>47738</v>
      </c>
      <c r="V43" s="20">
        <v>46247</v>
      </c>
      <c r="W43" s="20">
        <v>45420</v>
      </c>
      <c r="X43" s="20">
        <v>44384</v>
      </c>
      <c r="Y43" s="20">
        <v>41936</v>
      </c>
      <c r="Z43" s="20">
        <v>38888</v>
      </c>
      <c r="AA43" s="21">
        <f t="shared" si="0"/>
        <v>914041</v>
      </c>
      <c r="AB43" s="22">
        <v>20</v>
      </c>
      <c r="AC43" s="21">
        <f t="shared" si="1"/>
        <v>18280820</v>
      </c>
      <c r="AD43" s="109">
        <f>+SUM(AC43:AC46)</f>
        <v>27071840</v>
      </c>
    </row>
    <row r="44" spans="1:30" x14ac:dyDescent="0.35">
      <c r="A44" s="107"/>
      <c r="B44" s="23" t="s">
        <v>44</v>
      </c>
      <c r="C44" s="20">
        <v>39781</v>
      </c>
      <c r="D44" s="20">
        <v>37613</v>
      </c>
      <c r="E44" s="20">
        <v>36085</v>
      </c>
      <c r="F44" s="20">
        <v>34869</v>
      </c>
      <c r="G44" s="20">
        <v>34380</v>
      </c>
      <c r="H44" s="20">
        <v>33704</v>
      </c>
      <c r="I44" s="20">
        <v>34974</v>
      </c>
      <c r="J44" s="20">
        <v>21201</v>
      </c>
      <c r="K44" s="20">
        <v>25824</v>
      </c>
      <c r="L44" s="20">
        <v>28916</v>
      </c>
      <c r="M44" s="20">
        <v>31142</v>
      </c>
      <c r="N44" s="20">
        <v>32237</v>
      </c>
      <c r="O44" s="20">
        <v>30496</v>
      </c>
      <c r="P44" s="20">
        <v>30580</v>
      </c>
      <c r="Q44" s="20">
        <v>31889</v>
      </c>
      <c r="R44" s="20">
        <v>31588</v>
      </c>
      <c r="S44" s="20">
        <v>30381</v>
      </c>
      <c r="T44" s="20">
        <v>42385</v>
      </c>
      <c r="U44" s="20">
        <v>44179</v>
      </c>
      <c r="V44" s="20">
        <v>42984</v>
      </c>
      <c r="W44" s="20">
        <v>41896</v>
      </c>
      <c r="X44" s="20">
        <v>40672</v>
      </c>
      <c r="Y44" s="20">
        <v>39172</v>
      </c>
      <c r="Z44" s="20">
        <v>37251</v>
      </c>
      <c r="AA44" s="21">
        <f t="shared" si="0"/>
        <v>834199</v>
      </c>
      <c r="AB44" s="22">
        <v>5</v>
      </c>
      <c r="AC44" s="21">
        <f t="shared" si="1"/>
        <v>4170995</v>
      </c>
      <c r="AD44" s="110"/>
    </row>
    <row r="45" spans="1:30" x14ac:dyDescent="0.35">
      <c r="A45" s="107"/>
      <c r="B45" s="23" t="s">
        <v>45</v>
      </c>
      <c r="C45" s="20">
        <v>40723</v>
      </c>
      <c r="D45" s="20">
        <v>38738</v>
      </c>
      <c r="E45" s="20">
        <v>37212</v>
      </c>
      <c r="F45" s="20">
        <v>35922</v>
      </c>
      <c r="G45" s="20">
        <v>35073</v>
      </c>
      <c r="H45" s="20">
        <v>33834</v>
      </c>
      <c r="I45" s="20">
        <v>34327</v>
      </c>
      <c r="J45" s="20">
        <v>17538</v>
      </c>
      <c r="K45" s="20">
        <v>18840</v>
      </c>
      <c r="L45" s="20">
        <v>20661</v>
      </c>
      <c r="M45" s="20">
        <v>21815</v>
      </c>
      <c r="N45" s="20">
        <v>23185</v>
      </c>
      <c r="O45" s="20">
        <v>23459</v>
      </c>
      <c r="P45" s="20">
        <v>23801</v>
      </c>
      <c r="Q45" s="20">
        <v>24599</v>
      </c>
      <c r="R45" s="20">
        <v>25357</v>
      </c>
      <c r="S45" s="20">
        <v>24899</v>
      </c>
      <c r="T45" s="20">
        <v>38619</v>
      </c>
      <c r="U45" s="20">
        <v>41222</v>
      </c>
      <c r="V45" s="20">
        <v>41656</v>
      </c>
      <c r="W45" s="20">
        <v>41853</v>
      </c>
      <c r="X45" s="20">
        <v>41738</v>
      </c>
      <c r="Y45" s="20">
        <v>40035</v>
      </c>
      <c r="Z45" s="20">
        <v>37653</v>
      </c>
      <c r="AA45" s="21">
        <f t="shared" si="0"/>
        <v>762759</v>
      </c>
      <c r="AB45" s="22">
        <v>5</v>
      </c>
      <c r="AC45" s="21">
        <f t="shared" si="1"/>
        <v>3813795</v>
      </c>
      <c r="AD45" s="110"/>
    </row>
    <row r="46" spans="1:30" x14ac:dyDescent="0.35">
      <c r="A46" s="108"/>
      <c r="B46" s="24" t="s">
        <v>46</v>
      </c>
      <c r="C46" s="20">
        <v>40135</v>
      </c>
      <c r="D46" s="20">
        <v>38122</v>
      </c>
      <c r="E46" s="20">
        <v>36714</v>
      </c>
      <c r="F46" s="20">
        <v>35732</v>
      </c>
      <c r="G46" s="20">
        <v>35259</v>
      </c>
      <c r="H46" s="20">
        <v>33858</v>
      </c>
      <c r="I46" s="20">
        <v>34290</v>
      </c>
      <c r="J46" s="20">
        <v>19232</v>
      </c>
      <c r="K46" s="20">
        <v>21741</v>
      </c>
      <c r="L46" s="20">
        <v>24455</v>
      </c>
      <c r="M46" s="20">
        <v>26208</v>
      </c>
      <c r="N46" s="20">
        <v>26699</v>
      </c>
      <c r="O46" s="20">
        <v>27203</v>
      </c>
      <c r="P46" s="20">
        <v>27910</v>
      </c>
      <c r="Q46" s="20">
        <v>29375</v>
      </c>
      <c r="R46" s="20">
        <v>29095</v>
      </c>
      <c r="S46" s="20">
        <v>28123</v>
      </c>
      <c r="T46" s="20">
        <v>40865</v>
      </c>
      <c r="U46" s="20">
        <v>43200</v>
      </c>
      <c r="V46" s="20">
        <v>43635</v>
      </c>
      <c r="W46" s="20">
        <v>43597</v>
      </c>
      <c r="X46" s="20">
        <v>42752</v>
      </c>
      <c r="Y46" s="20">
        <v>40432</v>
      </c>
      <c r="Z46" s="20">
        <v>37598</v>
      </c>
      <c r="AA46" s="21">
        <f t="shared" si="0"/>
        <v>806230</v>
      </c>
      <c r="AB46" s="22">
        <v>1</v>
      </c>
      <c r="AC46" s="21">
        <f t="shared" si="1"/>
        <v>806230</v>
      </c>
      <c r="AD46" s="111"/>
    </row>
    <row r="47" spans="1:30" x14ac:dyDescent="0.35">
      <c r="A47" s="106">
        <v>46692</v>
      </c>
      <c r="B47" s="19" t="s">
        <v>43</v>
      </c>
      <c r="C47" s="20">
        <v>40392</v>
      </c>
      <c r="D47" s="20">
        <v>38286</v>
      </c>
      <c r="E47" s="20">
        <v>36812</v>
      </c>
      <c r="F47" s="20">
        <v>35857</v>
      </c>
      <c r="G47" s="20">
        <v>35765</v>
      </c>
      <c r="H47" s="20">
        <v>36114</v>
      </c>
      <c r="I47" s="20">
        <v>38067</v>
      </c>
      <c r="J47" s="20">
        <v>25102</v>
      </c>
      <c r="K47" s="20">
        <v>29556</v>
      </c>
      <c r="L47" s="20">
        <v>32435</v>
      </c>
      <c r="M47" s="20">
        <v>34960</v>
      </c>
      <c r="N47" s="20">
        <v>36040</v>
      </c>
      <c r="O47" s="20">
        <v>32509</v>
      </c>
      <c r="P47" s="20">
        <v>36007</v>
      </c>
      <c r="Q47" s="20">
        <v>40020</v>
      </c>
      <c r="R47" s="20">
        <v>40508</v>
      </c>
      <c r="S47" s="20">
        <v>38879</v>
      </c>
      <c r="T47" s="20">
        <v>49265</v>
      </c>
      <c r="U47" s="20">
        <v>48949</v>
      </c>
      <c r="V47" s="20">
        <v>47111</v>
      </c>
      <c r="W47" s="20">
        <v>46090</v>
      </c>
      <c r="X47" s="20">
        <v>44516</v>
      </c>
      <c r="Y47" s="20">
        <v>41836</v>
      </c>
      <c r="Z47" s="20">
        <v>38642</v>
      </c>
      <c r="AA47" s="21">
        <f t="shared" si="0"/>
        <v>923718</v>
      </c>
      <c r="AB47" s="22">
        <v>20</v>
      </c>
      <c r="AC47" s="21">
        <f t="shared" si="1"/>
        <v>18474360</v>
      </c>
      <c r="AD47" s="109">
        <f>+SUM(AC47:AC50)</f>
        <v>26729030</v>
      </c>
    </row>
    <row r="48" spans="1:30" x14ac:dyDescent="0.35">
      <c r="A48" s="107"/>
      <c r="B48" s="23" t="s">
        <v>44</v>
      </c>
      <c r="C48" s="20">
        <v>41105</v>
      </c>
      <c r="D48" s="20">
        <v>39002</v>
      </c>
      <c r="E48" s="20">
        <v>37476</v>
      </c>
      <c r="F48" s="20">
        <v>36302</v>
      </c>
      <c r="G48" s="20">
        <v>35833</v>
      </c>
      <c r="H48" s="20">
        <v>35320</v>
      </c>
      <c r="I48" s="20">
        <v>36782</v>
      </c>
      <c r="J48" s="20">
        <v>23512</v>
      </c>
      <c r="K48" s="20">
        <v>28321</v>
      </c>
      <c r="L48" s="20">
        <v>31680</v>
      </c>
      <c r="M48" s="20">
        <v>33585</v>
      </c>
      <c r="N48" s="20">
        <v>34565</v>
      </c>
      <c r="O48" s="20">
        <v>32325</v>
      </c>
      <c r="P48" s="20">
        <v>32314</v>
      </c>
      <c r="Q48" s="20">
        <v>33377</v>
      </c>
      <c r="R48" s="20">
        <v>33031</v>
      </c>
      <c r="S48" s="20">
        <v>31714</v>
      </c>
      <c r="T48" s="20">
        <v>44165</v>
      </c>
      <c r="U48" s="20">
        <v>45431</v>
      </c>
      <c r="V48" s="20">
        <v>44063</v>
      </c>
      <c r="W48" s="20">
        <v>42686</v>
      </c>
      <c r="X48" s="20">
        <v>41087</v>
      </c>
      <c r="Y48" s="20">
        <v>39549</v>
      </c>
      <c r="Z48" s="20">
        <v>37563</v>
      </c>
      <c r="AA48" s="21">
        <f t="shared" si="0"/>
        <v>870788</v>
      </c>
      <c r="AB48" s="22">
        <v>4</v>
      </c>
      <c r="AC48" s="21">
        <f t="shared" si="1"/>
        <v>3483152</v>
      </c>
      <c r="AD48" s="110"/>
    </row>
    <row r="49" spans="1:30" x14ac:dyDescent="0.35">
      <c r="A49" s="107"/>
      <c r="B49" s="23" t="s">
        <v>45</v>
      </c>
      <c r="C49" s="20">
        <v>40308</v>
      </c>
      <c r="D49" s="20">
        <v>38382</v>
      </c>
      <c r="E49" s="20">
        <v>36975</v>
      </c>
      <c r="F49" s="20">
        <v>35783</v>
      </c>
      <c r="G49" s="20">
        <v>35045</v>
      </c>
      <c r="H49" s="20">
        <v>34099</v>
      </c>
      <c r="I49" s="20">
        <v>34759</v>
      </c>
      <c r="J49" s="20">
        <v>18745</v>
      </c>
      <c r="K49" s="20">
        <v>20743</v>
      </c>
      <c r="L49" s="20">
        <v>22669</v>
      </c>
      <c r="M49" s="20">
        <v>24335</v>
      </c>
      <c r="N49" s="20">
        <v>25380</v>
      </c>
      <c r="O49" s="20">
        <v>25759</v>
      </c>
      <c r="P49" s="20">
        <v>25843</v>
      </c>
      <c r="Q49" s="20">
        <v>26370</v>
      </c>
      <c r="R49" s="20">
        <v>26264</v>
      </c>
      <c r="S49" s="20">
        <v>25675</v>
      </c>
      <c r="T49" s="20">
        <v>40131</v>
      </c>
      <c r="U49" s="20">
        <v>42063</v>
      </c>
      <c r="V49" s="20">
        <v>42062</v>
      </c>
      <c r="W49" s="20">
        <v>41590</v>
      </c>
      <c r="X49" s="20">
        <v>40951</v>
      </c>
      <c r="Y49" s="20">
        <v>39474</v>
      </c>
      <c r="Z49" s="20">
        <v>37157</v>
      </c>
      <c r="AA49" s="21">
        <f t="shared" si="0"/>
        <v>780562</v>
      </c>
      <c r="AB49" s="22">
        <v>4</v>
      </c>
      <c r="AC49" s="21">
        <f t="shared" si="1"/>
        <v>3122248</v>
      </c>
      <c r="AD49" s="110"/>
    </row>
    <row r="50" spans="1:30" x14ac:dyDescent="0.35">
      <c r="A50" s="108"/>
      <c r="B50" s="24" t="s">
        <v>46</v>
      </c>
      <c r="C50" s="20">
        <v>39762</v>
      </c>
      <c r="D50" s="20">
        <v>37713</v>
      </c>
      <c r="E50" s="20">
        <v>36284</v>
      </c>
      <c r="F50" s="20">
        <v>35276</v>
      </c>
      <c r="G50" s="20">
        <v>34890</v>
      </c>
      <c r="H50" s="20">
        <v>34060</v>
      </c>
      <c r="I50" s="20">
        <v>34738</v>
      </c>
      <c r="J50" s="20">
        <v>19794</v>
      </c>
      <c r="K50" s="20">
        <v>22489</v>
      </c>
      <c r="L50" s="20">
        <v>25377</v>
      </c>
      <c r="M50" s="20">
        <v>27621</v>
      </c>
      <c r="N50" s="20">
        <v>29032</v>
      </c>
      <c r="O50" s="20">
        <v>28776</v>
      </c>
      <c r="P50" s="20">
        <v>29776</v>
      </c>
      <c r="Q50" s="20">
        <v>30447</v>
      </c>
      <c r="R50" s="20">
        <v>30302</v>
      </c>
      <c r="S50" s="20">
        <v>29448</v>
      </c>
      <c r="T50" s="20">
        <v>43130</v>
      </c>
      <c r="U50" s="20">
        <v>45022</v>
      </c>
      <c r="V50" s="20">
        <v>44875</v>
      </c>
      <c r="W50" s="20">
        <v>44210</v>
      </c>
      <c r="X50" s="20">
        <v>43022</v>
      </c>
      <c r="Y50" s="20">
        <v>40657</v>
      </c>
      <c r="Z50" s="20">
        <v>37934</v>
      </c>
      <c r="AA50" s="21">
        <f t="shared" si="0"/>
        <v>824635</v>
      </c>
      <c r="AB50" s="22">
        <v>2</v>
      </c>
      <c r="AC50" s="21">
        <f t="shared" si="1"/>
        <v>1649270</v>
      </c>
      <c r="AD50" s="111"/>
    </row>
    <row r="51" spans="1:30" x14ac:dyDescent="0.35">
      <c r="A51" s="106">
        <v>46722</v>
      </c>
      <c r="B51" s="19" t="s">
        <v>43</v>
      </c>
      <c r="C51" s="20">
        <v>39332</v>
      </c>
      <c r="D51" s="20">
        <v>37269</v>
      </c>
      <c r="E51" s="20">
        <v>35840</v>
      </c>
      <c r="F51" s="20">
        <v>34794</v>
      </c>
      <c r="G51" s="20">
        <v>34454</v>
      </c>
      <c r="H51" s="20">
        <v>34496</v>
      </c>
      <c r="I51" s="20">
        <v>35553</v>
      </c>
      <c r="J51" s="20">
        <v>21941</v>
      </c>
      <c r="K51" s="20">
        <v>25987</v>
      </c>
      <c r="L51" s="20">
        <v>28874</v>
      </c>
      <c r="M51" s="20">
        <v>31089</v>
      </c>
      <c r="N51" s="20">
        <v>32181</v>
      </c>
      <c r="O51" s="20">
        <v>29580</v>
      </c>
      <c r="P51" s="20">
        <v>31751</v>
      </c>
      <c r="Q51" s="20">
        <v>35327</v>
      </c>
      <c r="R51" s="20">
        <v>35848</v>
      </c>
      <c r="S51" s="20">
        <v>34755</v>
      </c>
      <c r="T51" s="20">
        <v>45314</v>
      </c>
      <c r="U51" s="20">
        <v>46428</v>
      </c>
      <c r="V51" s="20">
        <v>44862</v>
      </c>
      <c r="W51" s="20">
        <v>43438</v>
      </c>
      <c r="X51" s="20">
        <v>42212</v>
      </c>
      <c r="Y51" s="20">
        <v>40335</v>
      </c>
      <c r="Z51" s="20">
        <v>37846</v>
      </c>
      <c r="AA51" s="21">
        <f t="shared" si="0"/>
        <v>859506</v>
      </c>
      <c r="AB51" s="22">
        <v>22</v>
      </c>
      <c r="AC51" s="21">
        <f t="shared" si="1"/>
        <v>18909132</v>
      </c>
      <c r="AD51" s="109">
        <f>+SUM(AC51:AC54)</f>
        <v>25768675</v>
      </c>
    </row>
    <row r="52" spans="1:30" x14ac:dyDescent="0.35">
      <c r="A52" s="107"/>
      <c r="B52" s="23" t="s">
        <v>44</v>
      </c>
      <c r="C52" s="20">
        <v>40303</v>
      </c>
      <c r="D52" s="20">
        <v>38073</v>
      </c>
      <c r="E52" s="20">
        <v>36464</v>
      </c>
      <c r="F52" s="20">
        <v>35259</v>
      </c>
      <c r="G52" s="20">
        <v>34687</v>
      </c>
      <c r="H52" s="20">
        <v>34509</v>
      </c>
      <c r="I52" s="20">
        <v>35275</v>
      </c>
      <c r="J52" s="20">
        <v>20697</v>
      </c>
      <c r="K52" s="20">
        <v>24457</v>
      </c>
      <c r="L52" s="20">
        <v>27101</v>
      </c>
      <c r="M52" s="20">
        <v>29152</v>
      </c>
      <c r="N52" s="20">
        <v>30150</v>
      </c>
      <c r="O52" s="20">
        <v>29117</v>
      </c>
      <c r="P52" s="20">
        <v>29563</v>
      </c>
      <c r="Q52" s="20">
        <v>30920</v>
      </c>
      <c r="R52" s="20">
        <v>30973</v>
      </c>
      <c r="S52" s="20">
        <v>29872</v>
      </c>
      <c r="T52" s="20">
        <v>42745</v>
      </c>
      <c r="U52" s="20">
        <v>45420</v>
      </c>
      <c r="V52" s="20">
        <v>44609</v>
      </c>
      <c r="W52" s="20">
        <v>42739</v>
      </c>
      <c r="X52" s="20">
        <v>41016</v>
      </c>
      <c r="Y52" s="20">
        <v>39467</v>
      </c>
      <c r="Z52" s="20">
        <v>37665</v>
      </c>
      <c r="AA52" s="21">
        <f t="shared" si="0"/>
        <v>830233</v>
      </c>
      <c r="AB52" s="22">
        <v>3</v>
      </c>
      <c r="AC52" s="21">
        <f t="shared" si="1"/>
        <v>2490699</v>
      </c>
      <c r="AD52" s="110"/>
    </row>
    <row r="53" spans="1:30" x14ac:dyDescent="0.35">
      <c r="A53" s="107"/>
      <c r="B53" s="23" t="s">
        <v>45</v>
      </c>
      <c r="C53" s="20">
        <v>40919</v>
      </c>
      <c r="D53" s="20">
        <v>38838</v>
      </c>
      <c r="E53" s="20">
        <v>37245</v>
      </c>
      <c r="F53" s="20">
        <v>36027</v>
      </c>
      <c r="G53" s="20">
        <v>35270</v>
      </c>
      <c r="H53" s="20">
        <v>33882</v>
      </c>
      <c r="I53" s="20">
        <v>33980</v>
      </c>
      <c r="J53" s="20">
        <v>17583</v>
      </c>
      <c r="K53" s="20">
        <v>19265</v>
      </c>
      <c r="L53" s="20">
        <v>21204</v>
      </c>
      <c r="M53" s="20">
        <v>22570</v>
      </c>
      <c r="N53" s="20">
        <v>23650</v>
      </c>
      <c r="O53" s="20">
        <v>23691</v>
      </c>
      <c r="P53" s="20">
        <v>23953</v>
      </c>
      <c r="Q53" s="20">
        <v>24860</v>
      </c>
      <c r="R53" s="20">
        <v>25777</v>
      </c>
      <c r="S53" s="20">
        <v>25351</v>
      </c>
      <c r="T53" s="20">
        <v>39559</v>
      </c>
      <c r="U53" s="20">
        <v>42810</v>
      </c>
      <c r="V53" s="20">
        <v>42394</v>
      </c>
      <c r="W53" s="20">
        <v>41204</v>
      </c>
      <c r="X53" s="20">
        <v>39832</v>
      </c>
      <c r="Y53" s="20">
        <v>37953</v>
      </c>
      <c r="Z53" s="20">
        <v>35918</v>
      </c>
      <c r="AA53" s="21">
        <f t="shared" si="0"/>
        <v>763735</v>
      </c>
      <c r="AB53" s="22">
        <v>4</v>
      </c>
      <c r="AC53" s="21">
        <f t="shared" si="1"/>
        <v>3054940</v>
      </c>
      <c r="AD53" s="110"/>
    </row>
    <row r="54" spans="1:30" x14ac:dyDescent="0.35">
      <c r="A54" s="108"/>
      <c r="B54" s="24" t="s">
        <v>46</v>
      </c>
      <c r="C54" s="20">
        <v>34563</v>
      </c>
      <c r="D54" s="20">
        <v>33426</v>
      </c>
      <c r="E54" s="20">
        <v>32526</v>
      </c>
      <c r="F54" s="20">
        <v>31650</v>
      </c>
      <c r="G54" s="20">
        <v>31092</v>
      </c>
      <c r="H54" s="20">
        <v>30493</v>
      </c>
      <c r="I54" s="20">
        <v>30330</v>
      </c>
      <c r="J54" s="20">
        <v>13853</v>
      </c>
      <c r="K54" s="20">
        <v>15181</v>
      </c>
      <c r="L54" s="20">
        <v>16969</v>
      </c>
      <c r="M54" s="20">
        <v>18216</v>
      </c>
      <c r="N54" s="20">
        <v>19013</v>
      </c>
      <c r="O54" s="20">
        <v>19313</v>
      </c>
      <c r="P54" s="20">
        <v>19766</v>
      </c>
      <c r="Q54" s="20">
        <v>20261</v>
      </c>
      <c r="R54" s="20">
        <v>20497</v>
      </c>
      <c r="S54" s="20">
        <v>20144</v>
      </c>
      <c r="T54" s="20">
        <v>34050</v>
      </c>
      <c r="U54" s="20">
        <v>37308</v>
      </c>
      <c r="V54" s="20">
        <v>37657</v>
      </c>
      <c r="W54" s="20">
        <v>36936</v>
      </c>
      <c r="X54" s="20">
        <v>36178</v>
      </c>
      <c r="Y54" s="20">
        <v>34822</v>
      </c>
      <c r="Z54" s="20">
        <v>32708</v>
      </c>
      <c r="AA54" s="21">
        <f t="shared" si="0"/>
        <v>656952</v>
      </c>
      <c r="AB54" s="22">
        <v>2</v>
      </c>
      <c r="AC54" s="21">
        <f t="shared" si="1"/>
        <v>1313904</v>
      </c>
      <c r="AD54" s="111"/>
    </row>
    <row r="55" spans="1:30" x14ac:dyDescent="0.35">
      <c r="AD55" s="39">
        <f>SUM(AD7:AD51)</f>
        <v>321229112</v>
      </c>
    </row>
  </sheetData>
  <mergeCells count="28">
    <mergeCell ref="AD7:AD10"/>
    <mergeCell ref="A1:D1"/>
    <mergeCell ref="A2:L2"/>
    <mergeCell ref="A4:B4"/>
    <mergeCell ref="C4:D4"/>
    <mergeCell ref="A7:A10"/>
    <mergeCell ref="A11:A14"/>
    <mergeCell ref="AD11:AD14"/>
    <mergeCell ref="A15:A18"/>
    <mergeCell ref="AD15:AD18"/>
    <mergeCell ref="A19:A22"/>
    <mergeCell ref="AD19:AD22"/>
    <mergeCell ref="A23:A26"/>
    <mergeCell ref="AD23:AD26"/>
    <mergeCell ref="A27:A30"/>
    <mergeCell ref="AD27:AD30"/>
    <mergeCell ref="A31:A34"/>
    <mergeCell ref="AD31:AD34"/>
    <mergeCell ref="A47:A50"/>
    <mergeCell ref="AD47:AD50"/>
    <mergeCell ref="A51:A54"/>
    <mergeCell ref="AD51:AD54"/>
    <mergeCell ref="A35:A38"/>
    <mergeCell ref="AD35:AD38"/>
    <mergeCell ref="A39:A42"/>
    <mergeCell ref="AD39:AD42"/>
    <mergeCell ref="A43:A46"/>
    <mergeCell ref="AD43:AD46"/>
  </mergeCells>
  <conditionalFormatting sqref="C7:Z54">
    <cfRule type="cellIs" dxfId="67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258BA-D0E2-42FF-9F85-303C136E71E4}">
  <dimension ref="C1:G20"/>
  <sheetViews>
    <sheetView showGridLines="0" workbookViewId="0">
      <selection activeCell="F5" sqref="F5:G5"/>
    </sheetView>
  </sheetViews>
  <sheetFormatPr baseColWidth="10" defaultRowHeight="14.5" x14ac:dyDescent="0.35"/>
  <cols>
    <col min="2" max="2" width="2.54296875" customWidth="1"/>
    <col min="4" max="4" width="15.1796875" customWidth="1"/>
    <col min="5" max="5" width="13.90625" customWidth="1"/>
    <col min="6" max="6" width="12.54296875" customWidth="1"/>
    <col min="8" max="8" width="2" customWidth="1"/>
    <col min="9" max="9" width="14.1796875" bestFit="1" customWidth="1"/>
  </cols>
  <sheetData>
    <row r="1" spans="3:7" ht="14.5" customHeight="1" x14ac:dyDescent="0.35">
      <c r="C1" s="105" t="s">
        <v>47</v>
      </c>
      <c r="D1" s="105"/>
      <c r="E1" s="105"/>
      <c r="F1" s="105"/>
      <c r="G1" s="105"/>
    </row>
    <row r="2" spans="3:7" x14ac:dyDescent="0.35">
      <c r="C2" s="105"/>
      <c r="D2" s="105"/>
      <c r="E2" s="105"/>
      <c r="F2" s="105"/>
      <c r="G2" s="105"/>
    </row>
    <row r="3" spans="3:7" x14ac:dyDescent="0.35">
      <c r="C3" s="38"/>
      <c r="D3" s="38"/>
      <c r="E3" s="38"/>
      <c r="F3" s="38"/>
      <c r="G3" s="38"/>
    </row>
    <row r="4" spans="3:7" ht="15" thickBot="1" x14ac:dyDescent="0.4">
      <c r="C4" s="123" t="s">
        <v>10</v>
      </c>
      <c r="D4" s="123"/>
      <c r="E4" s="123"/>
      <c r="F4" s="123"/>
      <c r="G4" s="123"/>
    </row>
    <row r="5" spans="3:7" ht="32" thickBot="1" x14ac:dyDescent="0.4">
      <c r="C5" s="37" t="s">
        <v>1</v>
      </c>
      <c r="D5" s="37" t="s">
        <v>8</v>
      </c>
      <c r="E5" s="37" t="s">
        <v>3</v>
      </c>
      <c r="F5" s="93" t="s">
        <v>9</v>
      </c>
      <c r="G5" s="93" t="s">
        <v>5</v>
      </c>
    </row>
    <row r="6" spans="3:7" x14ac:dyDescent="0.35">
      <c r="C6" s="12">
        <v>46753</v>
      </c>
      <c r="D6" s="8">
        <f>+VLOOKUP(C6,'CURVA P3'!$A$4:$AD$55,30,FALSE)</f>
        <v>15559781</v>
      </c>
      <c r="E6" s="121" t="s">
        <v>3</v>
      </c>
      <c r="F6" s="2"/>
      <c r="G6" s="121" t="s">
        <v>6</v>
      </c>
    </row>
    <row r="7" spans="3:7" x14ac:dyDescent="0.35">
      <c r="C7" s="12">
        <v>46784</v>
      </c>
      <c r="D7" s="8">
        <f>+VLOOKUP(C7,'CURVA P3'!$A$4:$AD$55,30,FALSE)</f>
        <v>16225232</v>
      </c>
      <c r="E7" s="100"/>
      <c r="F7" s="2"/>
      <c r="G7" s="100"/>
    </row>
    <row r="8" spans="3:7" x14ac:dyDescent="0.35">
      <c r="C8" s="12">
        <v>46813</v>
      </c>
      <c r="D8" s="8">
        <f>+VLOOKUP(C8,'CURVA P3'!$A$4:$AD$55,30,FALSE)</f>
        <v>15474282</v>
      </c>
      <c r="E8" s="100"/>
      <c r="F8" s="2"/>
      <c r="G8" s="100"/>
    </row>
    <row r="9" spans="3:7" x14ac:dyDescent="0.35">
      <c r="C9" s="12">
        <v>46844</v>
      </c>
      <c r="D9" s="8">
        <f>+VLOOKUP(C9,'CURVA P3'!$A$4:$AD$55,30,FALSE)</f>
        <v>16558763</v>
      </c>
      <c r="E9" s="100"/>
      <c r="F9" s="2"/>
      <c r="G9" s="100"/>
    </row>
    <row r="10" spans="3:7" x14ac:dyDescent="0.35">
      <c r="C10" s="12">
        <v>46874</v>
      </c>
      <c r="D10" s="8">
        <f>+VLOOKUP(C10,'CURVA P3'!$A$4:$AD$55,30,FALSE)</f>
        <v>16869675</v>
      </c>
      <c r="E10" s="100"/>
      <c r="F10" s="2"/>
      <c r="G10" s="100"/>
    </row>
    <row r="11" spans="3:7" x14ac:dyDescent="0.35">
      <c r="C11" s="12">
        <v>46905</v>
      </c>
      <c r="D11" s="8">
        <f>+VLOOKUP(C11,'CURVA P3'!$A$4:$AD$55,30,FALSE)</f>
        <v>17034818</v>
      </c>
      <c r="E11" s="100"/>
      <c r="F11" s="2"/>
      <c r="G11" s="100"/>
    </row>
    <row r="12" spans="3:7" x14ac:dyDescent="0.35">
      <c r="C12" s="12">
        <v>46935</v>
      </c>
      <c r="D12" s="8">
        <f>+VLOOKUP(C12,'CURVA P3'!$A$4:$AD$55,30,FALSE)</f>
        <v>16155256</v>
      </c>
      <c r="E12" s="100"/>
      <c r="F12" s="2"/>
      <c r="G12" s="100"/>
    </row>
    <row r="13" spans="3:7" x14ac:dyDescent="0.35">
      <c r="C13" s="12">
        <v>46966</v>
      </c>
      <c r="D13" s="8">
        <f>+VLOOKUP(C13,'CURVA P3'!$A$4:$AD$55,30,FALSE)</f>
        <v>17338692</v>
      </c>
      <c r="E13" s="100"/>
      <c r="F13" s="2"/>
      <c r="G13" s="100"/>
    </row>
    <row r="14" spans="3:7" x14ac:dyDescent="0.35">
      <c r="C14" s="12">
        <v>46997</v>
      </c>
      <c r="D14" s="8">
        <f>+VLOOKUP(C14,'CURVA P3'!$A$4:$AD$55,30,FALSE)</f>
        <v>18398718</v>
      </c>
      <c r="E14" s="100"/>
      <c r="F14" s="2"/>
      <c r="G14" s="100"/>
    </row>
    <row r="15" spans="3:7" x14ac:dyDescent="0.35">
      <c r="C15" s="12">
        <v>47027</v>
      </c>
      <c r="D15" s="8">
        <f>+VLOOKUP(C15,'CURVA P3'!$A$4:$AD$55,30,FALSE)</f>
        <v>18051075</v>
      </c>
      <c r="E15" s="100"/>
      <c r="F15" s="2"/>
      <c r="G15" s="100"/>
    </row>
    <row r="16" spans="3:7" x14ac:dyDescent="0.35">
      <c r="C16" s="12">
        <v>47058</v>
      </c>
      <c r="D16" s="8">
        <f>+VLOOKUP(C16,'CURVA P3'!$A$4:$AD$55,30,FALSE)</f>
        <v>17882804</v>
      </c>
      <c r="E16" s="100"/>
      <c r="F16" s="2"/>
      <c r="G16" s="100"/>
    </row>
    <row r="17" spans="3:7" x14ac:dyDescent="0.35">
      <c r="C17" s="12">
        <v>47088</v>
      </c>
      <c r="D17" s="8">
        <f>+VLOOKUP(C17,'CURVA P3'!$A$4:$AD$55,30,FALSE)</f>
        <v>17036252</v>
      </c>
      <c r="E17" s="124"/>
      <c r="F17" s="13"/>
      <c r="G17" s="124"/>
    </row>
    <row r="18" spans="3:7" ht="15" thickBot="1" x14ac:dyDescent="0.4">
      <c r="D18" s="83">
        <f>SUM(D6:D17)</f>
        <v>202585348</v>
      </c>
    </row>
    <row r="19" spans="3:7" x14ac:dyDescent="0.35">
      <c r="D19" s="35"/>
    </row>
    <row r="20" spans="3:7" x14ac:dyDescent="0.35">
      <c r="D20" s="26"/>
    </row>
  </sheetData>
  <mergeCells count="4">
    <mergeCell ref="C4:G4"/>
    <mergeCell ref="E6:E17"/>
    <mergeCell ref="G6:G17"/>
    <mergeCell ref="C1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07BB0-A16F-4FF9-987E-C253866C9E22}">
  <dimension ref="A1:AD55"/>
  <sheetViews>
    <sheetView showGridLines="0" tabSelected="1" topLeftCell="A11" workbookViewId="0">
      <selection activeCell="B19" sqref="A19:XFD22"/>
    </sheetView>
  </sheetViews>
  <sheetFormatPr baseColWidth="10" defaultRowHeight="14.5" x14ac:dyDescent="0.35"/>
  <cols>
    <col min="1" max="1" width="6.81640625" bestFit="1" customWidth="1"/>
    <col min="2" max="2" width="7.6328125" bestFit="1" customWidth="1"/>
    <col min="3" max="8" width="6.7265625" bestFit="1" customWidth="1"/>
    <col min="9" max="9" width="6.08984375" bestFit="1" customWidth="1"/>
    <col min="10" max="26" width="6.7265625" bestFit="1" customWidth="1"/>
    <col min="27" max="27" width="7.6328125" bestFit="1" customWidth="1"/>
    <col min="28" max="28" width="6.36328125" bestFit="1" customWidth="1"/>
    <col min="29" max="29" width="10.26953125" bestFit="1" customWidth="1"/>
    <col min="30" max="30" width="12.1796875" bestFit="1" customWidth="1"/>
  </cols>
  <sheetData>
    <row r="1" spans="1:30" x14ac:dyDescent="0.35">
      <c r="A1" s="112" t="s">
        <v>12</v>
      </c>
      <c r="B1" s="112"/>
      <c r="C1" s="112"/>
      <c r="D1" s="112"/>
    </row>
    <row r="2" spans="1:30" x14ac:dyDescent="0.35">
      <c r="A2" s="125" t="s">
        <v>47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</row>
    <row r="4" spans="1:30" x14ac:dyDescent="0.35">
      <c r="A4" s="114" t="s">
        <v>13</v>
      </c>
      <c r="B4" s="115"/>
      <c r="C4" s="116">
        <f>+AD55</f>
        <v>202585348</v>
      </c>
      <c r="D4" s="117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</row>
    <row r="5" spans="1:30" ht="21" x14ac:dyDescent="0.35">
      <c r="A5" s="15" t="s">
        <v>1</v>
      </c>
      <c r="B5" s="16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5" t="s">
        <v>19</v>
      </c>
      <c r="H5" s="15" t="s">
        <v>20</v>
      </c>
      <c r="I5" s="15" t="s">
        <v>21</v>
      </c>
      <c r="J5" s="15" t="s">
        <v>22</v>
      </c>
      <c r="K5" s="15" t="s">
        <v>23</v>
      </c>
      <c r="L5" s="15" t="s">
        <v>24</v>
      </c>
      <c r="M5" s="15" t="s">
        <v>25</v>
      </c>
      <c r="N5" s="15" t="s">
        <v>26</v>
      </c>
      <c r="O5" s="15" t="s">
        <v>27</v>
      </c>
      <c r="P5" s="15" t="s">
        <v>28</v>
      </c>
      <c r="Q5" s="15" t="s">
        <v>29</v>
      </c>
      <c r="R5" s="15" t="s">
        <v>30</v>
      </c>
      <c r="S5" s="15" t="s">
        <v>31</v>
      </c>
      <c r="T5" s="15" t="s">
        <v>32</v>
      </c>
      <c r="U5" s="15" t="s">
        <v>33</v>
      </c>
      <c r="V5" s="15" t="s">
        <v>34</v>
      </c>
      <c r="W5" s="15" t="s">
        <v>35</v>
      </c>
      <c r="X5" s="15" t="s">
        <v>36</v>
      </c>
      <c r="Y5" s="15" t="s">
        <v>37</v>
      </c>
      <c r="Z5" s="15" t="s">
        <v>38</v>
      </c>
      <c r="AA5" s="15" t="s">
        <v>39</v>
      </c>
      <c r="AB5" s="15" t="s">
        <v>40</v>
      </c>
      <c r="AC5" s="15" t="s">
        <v>41</v>
      </c>
      <c r="AD5" s="15" t="s">
        <v>42</v>
      </c>
    </row>
    <row r="6" spans="1:30" hidden="1" x14ac:dyDescent="0.35">
      <c r="A6" s="17"/>
      <c r="B6" s="18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 spans="1:30" x14ac:dyDescent="0.35">
      <c r="A7" s="106">
        <v>46753</v>
      </c>
      <c r="B7" s="19" t="s">
        <v>43</v>
      </c>
      <c r="C7" s="20">
        <v>26645</v>
      </c>
      <c r="D7" s="20">
        <v>25397</v>
      </c>
      <c r="E7" s="20">
        <v>24296</v>
      </c>
      <c r="F7" s="20">
        <v>23446</v>
      </c>
      <c r="G7" s="20">
        <v>23132</v>
      </c>
      <c r="H7" s="20">
        <v>23454</v>
      </c>
      <c r="I7" s="20">
        <v>6225</v>
      </c>
      <c r="J7" s="20">
        <v>8666</v>
      </c>
      <c r="K7" s="20">
        <v>6924</v>
      </c>
      <c r="L7" s="20">
        <v>7564</v>
      </c>
      <c r="M7" s="20">
        <v>8787</v>
      </c>
      <c r="N7" s="20">
        <v>8883</v>
      </c>
      <c r="O7" s="20">
        <v>7903</v>
      </c>
      <c r="P7" s="20">
        <v>12026</v>
      </c>
      <c r="Q7" s="20">
        <v>18672</v>
      </c>
      <c r="R7" s="20">
        <v>23311</v>
      </c>
      <c r="S7" s="20">
        <v>42090</v>
      </c>
      <c r="T7" s="20">
        <v>35001</v>
      </c>
      <c r="U7" s="20">
        <v>36071</v>
      </c>
      <c r="V7" s="20">
        <v>35631</v>
      </c>
      <c r="W7" s="20">
        <v>35233</v>
      </c>
      <c r="X7" s="20">
        <v>34566</v>
      </c>
      <c r="Y7" s="20">
        <v>32890</v>
      </c>
      <c r="Z7" s="20">
        <v>30588</v>
      </c>
      <c r="AA7" s="21">
        <f>SUM(C7:Z7)</f>
        <v>537401</v>
      </c>
      <c r="AB7" s="22">
        <v>20</v>
      </c>
      <c r="AC7" s="21">
        <f>+AA7*AB7</f>
        <v>10748020</v>
      </c>
      <c r="AD7" s="109">
        <f>+SUM(AC7:AC10)</f>
        <v>15559781</v>
      </c>
    </row>
    <row r="8" spans="1:30" x14ac:dyDescent="0.35">
      <c r="A8" s="107"/>
      <c r="B8" s="23" t="s">
        <v>44</v>
      </c>
      <c r="C8" s="20">
        <v>26998</v>
      </c>
      <c r="D8" s="20">
        <v>25576</v>
      </c>
      <c r="E8" s="20">
        <v>24346</v>
      </c>
      <c r="F8" s="20">
        <v>23463</v>
      </c>
      <c r="G8" s="20">
        <v>23018</v>
      </c>
      <c r="H8" s="20">
        <v>23061</v>
      </c>
      <c r="I8" s="20">
        <v>5600</v>
      </c>
      <c r="J8" s="20">
        <v>7748</v>
      </c>
      <c r="K8" s="20">
        <v>6213</v>
      </c>
      <c r="L8" s="20">
        <v>6820</v>
      </c>
      <c r="M8" s="20">
        <v>7776</v>
      </c>
      <c r="N8" s="20">
        <v>7525</v>
      </c>
      <c r="O8" s="20">
        <v>7273</v>
      </c>
      <c r="P8" s="20">
        <v>9304</v>
      </c>
      <c r="Q8" s="20">
        <v>13956</v>
      </c>
      <c r="R8" s="20">
        <v>18195</v>
      </c>
      <c r="S8" s="20">
        <v>37007</v>
      </c>
      <c r="T8" s="20">
        <v>32335</v>
      </c>
      <c r="U8" s="20">
        <v>34637</v>
      </c>
      <c r="V8" s="20">
        <v>34348</v>
      </c>
      <c r="W8" s="20">
        <v>33477</v>
      </c>
      <c r="X8" s="20">
        <v>32683</v>
      </c>
      <c r="Y8" s="20">
        <v>31607</v>
      </c>
      <c r="Z8" s="20">
        <v>29950</v>
      </c>
      <c r="AA8" s="21">
        <f t="shared" ref="AA8:AA54" si="0">SUM(C8:Z8)</f>
        <v>502916</v>
      </c>
      <c r="AB8" s="22">
        <v>4</v>
      </c>
      <c r="AC8" s="21">
        <f t="shared" ref="AC8:AC54" si="1">+AA8*AB8</f>
        <v>2011664</v>
      </c>
      <c r="AD8" s="110"/>
    </row>
    <row r="9" spans="1:30" x14ac:dyDescent="0.35">
      <c r="A9" s="107"/>
      <c r="B9" s="23" t="s">
        <v>45</v>
      </c>
      <c r="C9" s="20">
        <v>26570</v>
      </c>
      <c r="D9" s="20">
        <v>25266</v>
      </c>
      <c r="E9" s="20">
        <v>24087</v>
      </c>
      <c r="F9" s="20">
        <v>23166</v>
      </c>
      <c r="G9" s="20">
        <v>22627</v>
      </c>
      <c r="H9" s="20">
        <v>22291</v>
      </c>
      <c r="I9" s="20">
        <v>4377</v>
      </c>
      <c r="J9" s="20">
        <v>4171</v>
      </c>
      <c r="K9" s="20">
        <v>348</v>
      </c>
      <c r="L9" s="20">
        <v>7</v>
      </c>
      <c r="M9" s="20">
        <v>87</v>
      </c>
      <c r="N9" s="20">
        <v>5</v>
      </c>
      <c r="O9" s="20">
        <v>1261</v>
      </c>
      <c r="P9" s="20">
        <v>3044</v>
      </c>
      <c r="Q9" s="20">
        <v>7037</v>
      </c>
      <c r="R9" s="20">
        <v>11629</v>
      </c>
      <c r="S9" s="20">
        <v>31168</v>
      </c>
      <c r="T9" s="20">
        <v>28568</v>
      </c>
      <c r="U9" s="20">
        <v>31344</v>
      </c>
      <c r="V9" s="20">
        <v>32199</v>
      </c>
      <c r="W9" s="20">
        <v>32252</v>
      </c>
      <c r="X9" s="20">
        <v>32011</v>
      </c>
      <c r="Y9" s="20">
        <v>30742</v>
      </c>
      <c r="Z9" s="20">
        <v>28726</v>
      </c>
      <c r="AA9" s="21">
        <f t="shared" si="0"/>
        <v>422983</v>
      </c>
      <c r="AB9" s="22">
        <v>5</v>
      </c>
      <c r="AC9" s="21">
        <f t="shared" si="1"/>
        <v>2114915</v>
      </c>
      <c r="AD9" s="110"/>
    </row>
    <row r="10" spans="1:30" x14ac:dyDescent="0.35">
      <c r="A10" s="108"/>
      <c r="B10" s="24" t="s">
        <v>46</v>
      </c>
      <c r="C10" s="20">
        <v>20997</v>
      </c>
      <c r="D10" s="20">
        <v>20376</v>
      </c>
      <c r="E10" s="20">
        <v>19845</v>
      </c>
      <c r="F10" s="20">
        <v>19297</v>
      </c>
      <c r="G10" s="20">
        <v>19016</v>
      </c>
      <c r="H10" s="20">
        <v>18775</v>
      </c>
      <c r="I10" s="20">
        <v>772</v>
      </c>
      <c r="J10" s="20">
        <v>5</v>
      </c>
      <c r="K10" s="20">
        <v>5</v>
      </c>
      <c r="L10" s="20">
        <v>5</v>
      </c>
      <c r="M10" s="20">
        <v>5</v>
      </c>
      <c r="N10" s="20">
        <v>5</v>
      </c>
      <c r="O10" s="20">
        <v>5</v>
      </c>
      <c r="P10" s="20">
        <v>5</v>
      </c>
      <c r="Q10" s="20">
        <v>2515</v>
      </c>
      <c r="R10" s="20">
        <v>6893</v>
      </c>
      <c r="S10" s="20">
        <v>26263</v>
      </c>
      <c r="T10" s="20">
        <v>24786</v>
      </c>
      <c r="U10" s="20">
        <v>27927</v>
      </c>
      <c r="V10" s="20">
        <v>28496</v>
      </c>
      <c r="W10" s="20">
        <v>28172</v>
      </c>
      <c r="X10" s="20">
        <v>27495</v>
      </c>
      <c r="Y10" s="20">
        <v>26257</v>
      </c>
      <c r="Z10" s="20">
        <v>24674</v>
      </c>
      <c r="AA10" s="21">
        <f t="shared" si="0"/>
        <v>342591</v>
      </c>
      <c r="AB10" s="22">
        <v>2</v>
      </c>
      <c r="AC10" s="21">
        <f t="shared" si="1"/>
        <v>685182</v>
      </c>
      <c r="AD10" s="111"/>
    </row>
    <row r="11" spans="1:30" x14ac:dyDescent="0.35">
      <c r="A11" s="106">
        <v>46784</v>
      </c>
      <c r="B11" s="19" t="s">
        <v>43</v>
      </c>
      <c r="C11" s="20">
        <v>27966</v>
      </c>
      <c r="D11" s="20">
        <v>26416</v>
      </c>
      <c r="E11" s="20">
        <v>25292</v>
      </c>
      <c r="F11" s="20">
        <v>24537</v>
      </c>
      <c r="G11" s="20">
        <v>24475</v>
      </c>
      <c r="H11" s="20">
        <v>25647</v>
      </c>
      <c r="I11" s="20">
        <v>8950</v>
      </c>
      <c r="J11" s="20">
        <v>12201</v>
      </c>
      <c r="K11" s="20">
        <v>10153</v>
      </c>
      <c r="L11" s="20">
        <v>10532</v>
      </c>
      <c r="M11" s="20">
        <v>11732</v>
      </c>
      <c r="N11" s="20">
        <v>10809</v>
      </c>
      <c r="O11" s="20">
        <v>8646</v>
      </c>
      <c r="P11" s="20">
        <v>14019</v>
      </c>
      <c r="Q11" s="20">
        <v>21527</v>
      </c>
      <c r="R11" s="20">
        <v>26485</v>
      </c>
      <c r="S11" s="20">
        <v>45282</v>
      </c>
      <c r="T11" s="20">
        <v>37018</v>
      </c>
      <c r="U11" s="20">
        <v>37428</v>
      </c>
      <c r="V11" s="20">
        <v>37316</v>
      </c>
      <c r="W11" s="20">
        <v>37087</v>
      </c>
      <c r="X11" s="20">
        <v>36132</v>
      </c>
      <c r="Y11" s="20">
        <v>33895</v>
      </c>
      <c r="Z11" s="20">
        <v>31231</v>
      </c>
      <c r="AA11" s="21">
        <f t="shared" si="0"/>
        <v>584776</v>
      </c>
      <c r="AB11" s="22">
        <v>21</v>
      </c>
      <c r="AC11" s="21">
        <f t="shared" si="1"/>
        <v>12280296</v>
      </c>
      <c r="AD11" s="109">
        <f>+SUM(AC11:AC14)</f>
        <v>16225232</v>
      </c>
    </row>
    <row r="12" spans="1:30" x14ac:dyDescent="0.35">
      <c r="A12" s="107"/>
      <c r="B12" s="23" t="s">
        <v>44</v>
      </c>
      <c r="C12" s="20">
        <v>26490</v>
      </c>
      <c r="D12" s="20">
        <v>25121</v>
      </c>
      <c r="E12" s="20">
        <v>24075</v>
      </c>
      <c r="F12" s="20">
        <v>23416</v>
      </c>
      <c r="G12" s="20">
        <v>23187</v>
      </c>
      <c r="H12" s="20">
        <v>23576</v>
      </c>
      <c r="I12" s="20">
        <v>6671</v>
      </c>
      <c r="J12" s="20">
        <v>9719</v>
      </c>
      <c r="K12" s="20">
        <v>8166</v>
      </c>
      <c r="L12" s="20">
        <v>8653</v>
      </c>
      <c r="M12" s="20">
        <v>9496</v>
      </c>
      <c r="N12" s="20">
        <v>8989</v>
      </c>
      <c r="O12" s="20">
        <v>8109</v>
      </c>
      <c r="P12" s="20">
        <v>9882</v>
      </c>
      <c r="Q12" s="20">
        <v>14719</v>
      </c>
      <c r="R12" s="20">
        <v>19215</v>
      </c>
      <c r="S12" s="20">
        <v>38109</v>
      </c>
      <c r="T12" s="20">
        <v>32958</v>
      </c>
      <c r="U12" s="20">
        <v>35028</v>
      </c>
      <c r="V12" s="20">
        <v>35200</v>
      </c>
      <c r="W12" s="20">
        <v>34423</v>
      </c>
      <c r="X12" s="20">
        <v>33595</v>
      </c>
      <c r="Y12" s="20">
        <v>32442</v>
      </c>
      <c r="Z12" s="20">
        <v>30683</v>
      </c>
      <c r="AA12" s="21">
        <f t="shared" si="0"/>
        <v>521922</v>
      </c>
      <c r="AB12" s="22">
        <v>4</v>
      </c>
      <c r="AC12" s="21">
        <f t="shared" si="1"/>
        <v>2087688</v>
      </c>
      <c r="AD12" s="110"/>
    </row>
    <row r="13" spans="1:30" x14ac:dyDescent="0.35">
      <c r="A13" s="107"/>
      <c r="B13" s="23" t="s">
        <v>45</v>
      </c>
      <c r="C13" s="20">
        <v>27397</v>
      </c>
      <c r="D13" s="20">
        <v>25863</v>
      </c>
      <c r="E13" s="20">
        <v>24756</v>
      </c>
      <c r="F13" s="20">
        <v>23839</v>
      </c>
      <c r="G13" s="20">
        <v>23358</v>
      </c>
      <c r="H13" s="20">
        <v>23125</v>
      </c>
      <c r="I13" s="20">
        <v>5391</v>
      </c>
      <c r="J13" s="20">
        <v>5692</v>
      </c>
      <c r="K13" s="20">
        <v>1645</v>
      </c>
      <c r="L13" s="20">
        <v>1514</v>
      </c>
      <c r="M13" s="20">
        <v>1780</v>
      </c>
      <c r="N13" s="20">
        <v>1710</v>
      </c>
      <c r="O13" s="20">
        <v>3190</v>
      </c>
      <c r="P13" s="20">
        <v>4840</v>
      </c>
      <c r="Q13" s="20">
        <v>9155</v>
      </c>
      <c r="R13" s="20">
        <v>14167</v>
      </c>
      <c r="S13" s="20">
        <v>33991</v>
      </c>
      <c r="T13" s="20">
        <v>30638</v>
      </c>
      <c r="U13" s="20">
        <v>33247</v>
      </c>
      <c r="V13" s="20">
        <v>34646</v>
      </c>
      <c r="W13" s="20">
        <v>35047</v>
      </c>
      <c r="X13" s="20">
        <v>34982</v>
      </c>
      <c r="Y13" s="20">
        <v>33383</v>
      </c>
      <c r="Z13" s="20">
        <v>30956</v>
      </c>
      <c r="AA13" s="21">
        <f t="shared" si="0"/>
        <v>464312</v>
      </c>
      <c r="AB13" s="22">
        <v>4</v>
      </c>
      <c r="AC13" s="21">
        <f t="shared" si="1"/>
        <v>1857248</v>
      </c>
      <c r="AD13" s="110"/>
    </row>
    <row r="14" spans="1:30" x14ac:dyDescent="0.35">
      <c r="A14" s="108"/>
      <c r="B14" s="24" t="s">
        <v>46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1"/>
      <c r="AB14" s="22">
        <v>0</v>
      </c>
      <c r="AC14" s="21">
        <f t="shared" si="1"/>
        <v>0</v>
      </c>
      <c r="AD14" s="111"/>
    </row>
    <row r="15" spans="1:30" x14ac:dyDescent="0.35">
      <c r="A15" s="106">
        <v>46813</v>
      </c>
      <c r="B15" s="19" t="s">
        <v>43</v>
      </c>
      <c r="C15" s="20">
        <v>26407</v>
      </c>
      <c r="D15" s="20">
        <v>24868</v>
      </c>
      <c r="E15" s="20">
        <v>23768</v>
      </c>
      <c r="F15" s="20">
        <v>22934</v>
      </c>
      <c r="G15" s="20">
        <v>22729</v>
      </c>
      <c r="H15" s="20">
        <v>23316</v>
      </c>
      <c r="I15" s="20">
        <v>6176</v>
      </c>
      <c r="J15" s="20">
        <v>8751</v>
      </c>
      <c r="K15" s="20">
        <v>6673</v>
      </c>
      <c r="L15" s="20">
        <v>6855</v>
      </c>
      <c r="M15" s="20">
        <v>7845</v>
      </c>
      <c r="N15" s="20">
        <v>7246</v>
      </c>
      <c r="O15" s="20">
        <v>5751</v>
      </c>
      <c r="P15" s="20">
        <v>10704</v>
      </c>
      <c r="Q15" s="20">
        <v>17558</v>
      </c>
      <c r="R15" s="20">
        <v>22109</v>
      </c>
      <c r="S15" s="20">
        <v>40970</v>
      </c>
      <c r="T15" s="20">
        <v>33718</v>
      </c>
      <c r="U15" s="20">
        <v>34358</v>
      </c>
      <c r="V15" s="20">
        <v>34376</v>
      </c>
      <c r="W15" s="20">
        <v>34392</v>
      </c>
      <c r="X15" s="20">
        <v>33931</v>
      </c>
      <c r="Y15" s="20">
        <v>32265</v>
      </c>
      <c r="Z15" s="20">
        <v>29959</v>
      </c>
      <c r="AA15" s="21">
        <f t="shared" si="0"/>
        <v>517659</v>
      </c>
      <c r="AB15" s="22">
        <v>22</v>
      </c>
      <c r="AC15" s="21">
        <f t="shared" si="1"/>
        <v>11388498</v>
      </c>
      <c r="AD15" s="109">
        <f>+SUM(AC15:AC18)</f>
        <v>15474282</v>
      </c>
    </row>
    <row r="16" spans="1:30" x14ac:dyDescent="0.35">
      <c r="A16" s="107"/>
      <c r="B16" s="23" t="s">
        <v>44</v>
      </c>
      <c r="C16" s="20">
        <v>27391</v>
      </c>
      <c r="D16" s="20">
        <v>25786</v>
      </c>
      <c r="E16" s="20">
        <v>24582</v>
      </c>
      <c r="F16" s="20">
        <v>23613</v>
      </c>
      <c r="G16" s="20">
        <v>23104</v>
      </c>
      <c r="H16" s="20">
        <v>23009</v>
      </c>
      <c r="I16" s="20">
        <v>5786</v>
      </c>
      <c r="J16" s="20">
        <v>8208</v>
      </c>
      <c r="K16" s="20">
        <v>6446</v>
      </c>
      <c r="L16" s="20">
        <v>6738</v>
      </c>
      <c r="M16" s="20">
        <v>7612</v>
      </c>
      <c r="N16" s="20">
        <v>6880</v>
      </c>
      <c r="O16" s="20">
        <v>6174</v>
      </c>
      <c r="P16" s="20">
        <v>8228</v>
      </c>
      <c r="Q16" s="20">
        <v>13000</v>
      </c>
      <c r="R16" s="20">
        <v>17270</v>
      </c>
      <c r="S16" s="20">
        <v>36151</v>
      </c>
      <c r="T16" s="20">
        <v>31765</v>
      </c>
      <c r="U16" s="20">
        <v>33629</v>
      </c>
      <c r="V16" s="20">
        <v>33732</v>
      </c>
      <c r="W16" s="20">
        <v>33213</v>
      </c>
      <c r="X16" s="20">
        <v>32851</v>
      </c>
      <c r="Y16" s="20">
        <v>32121</v>
      </c>
      <c r="Z16" s="20">
        <v>30646</v>
      </c>
      <c r="AA16" s="21">
        <f t="shared" si="0"/>
        <v>497935</v>
      </c>
      <c r="AB16" s="22">
        <v>4</v>
      </c>
      <c r="AC16" s="21">
        <f t="shared" si="1"/>
        <v>1991740</v>
      </c>
      <c r="AD16" s="110"/>
    </row>
    <row r="17" spans="1:30" x14ac:dyDescent="0.35">
      <c r="A17" s="107"/>
      <c r="B17" s="23" t="s">
        <v>45</v>
      </c>
      <c r="C17" s="20">
        <v>27547</v>
      </c>
      <c r="D17" s="20">
        <v>26070</v>
      </c>
      <c r="E17" s="20">
        <v>24945</v>
      </c>
      <c r="F17" s="20">
        <v>24051</v>
      </c>
      <c r="G17" s="20">
        <v>23473</v>
      </c>
      <c r="H17" s="20">
        <v>22945</v>
      </c>
      <c r="I17" s="20">
        <v>4931</v>
      </c>
      <c r="J17" s="20">
        <v>4475</v>
      </c>
      <c r="K17" s="20">
        <v>422</v>
      </c>
      <c r="L17" s="20">
        <v>5</v>
      </c>
      <c r="M17" s="20">
        <v>5</v>
      </c>
      <c r="N17" s="20">
        <v>5</v>
      </c>
      <c r="O17" s="20">
        <v>945</v>
      </c>
      <c r="P17" s="20">
        <v>2841</v>
      </c>
      <c r="Q17" s="20">
        <v>7198</v>
      </c>
      <c r="R17" s="20">
        <v>11836</v>
      </c>
      <c r="S17" s="20">
        <v>31411</v>
      </c>
      <c r="T17" s="20">
        <v>28919</v>
      </c>
      <c r="U17" s="20">
        <v>31189</v>
      </c>
      <c r="V17" s="20">
        <v>32656</v>
      </c>
      <c r="W17" s="20">
        <v>33389</v>
      </c>
      <c r="X17" s="20">
        <v>33697</v>
      </c>
      <c r="Y17" s="20">
        <v>32288</v>
      </c>
      <c r="Z17" s="20">
        <v>30126</v>
      </c>
      <c r="AA17" s="21">
        <f t="shared" si="0"/>
        <v>435369</v>
      </c>
      <c r="AB17" s="22">
        <v>4</v>
      </c>
      <c r="AC17" s="21">
        <f t="shared" si="1"/>
        <v>1741476</v>
      </c>
      <c r="AD17" s="110"/>
    </row>
    <row r="18" spans="1:30" x14ac:dyDescent="0.35">
      <c r="A18" s="108"/>
      <c r="B18" s="24" t="s">
        <v>46</v>
      </c>
      <c r="C18" s="20">
        <v>21167</v>
      </c>
      <c r="D18" s="20">
        <v>19781</v>
      </c>
      <c r="E18" s="20">
        <v>18891</v>
      </c>
      <c r="F18" s="20">
        <v>18286</v>
      </c>
      <c r="G18" s="20">
        <v>17991</v>
      </c>
      <c r="H18" s="20">
        <v>17917</v>
      </c>
      <c r="I18" s="20">
        <v>578</v>
      </c>
      <c r="J18" s="20">
        <v>1519</v>
      </c>
      <c r="K18" s="20">
        <v>5</v>
      </c>
      <c r="L18" s="20">
        <v>5</v>
      </c>
      <c r="M18" s="20">
        <v>5</v>
      </c>
      <c r="N18" s="20">
        <v>5</v>
      </c>
      <c r="O18" s="20">
        <v>5</v>
      </c>
      <c r="P18" s="20">
        <v>1459</v>
      </c>
      <c r="Q18" s="20">
        <v>5333</v>
      </c>
      <c r="R18" s="20">
        <v>9386</v>
      </c>
      <c r="S18" s="20">
        <v>28540</v>
      </c>
      <c r="T18" s="20">
        <v>25346</v>
      </c>
      <c r="U18" s="20">
        <v>28119</v>
      </c>
      <c r="V18" s="20">
        <v>29341</v>
      </c>
      <c r="W18" s="20">
        <v>29323</v>
      </c>
      <c r="X18" s="20">
        <v>28614</v>
      </c>
      <c r="Y18" s="20">
        <v>26570</v>
      </c>
      <c r="Z18" s="20">
        <v>24382</v>
      </c>
      <c r="AA18" s="21">
        <f t="shared" si="0"/>
        <v>352568</v>
      </c>
      <c r="AB18" s="22">
        <v>1</v>
      </c>
      <c r="AC18" s="21">
        <f t="shared" si="1"/>
        <v>352568</v>
      </c>
      <c r="AD18" s="111"/>
    </row>
    <row r="19" spans="1:30" s="27" customFormat="1" x14ac:dyDescent="0.35">
      <c r="A19" s="129">
        <v>46844</v>
      </c>
      <c r="B19" s="30" t="s">
        <v>43</v>
      </c>
      <c r="C19" s="156">
        <v>28276</v>
      </c>
      <c r="D19" s="156">
        <v>26661</v>
      </c>
      <c r="E19" s="156">
        <v>25542</v>
      </c>
      <c r="F19" s="156">
        <v>24725</v>
      </c>
      <c r="G19" s="156">
        <v>24614</v>
      </c>
      <c r="H19" s="156">
        <v>25031</v>
      </c>
      <c r="I19" s="156">
        <v>8126</v>
      </c>
      <c r="J19" s="156">
        <v>11964</v>
      </c>
      <c r="K19" s="156">
        <v>10644</v>
      </c>
      <c r="L19" s="156">
        <v>11155</v>
      </c>
      <c r="M19" s="156">
        <v>12603</v>
      </c>
      <c r="N19" s="156">
        <v>12212</v>
      </c>
      <c r="O19" s="156">
        <v>9991</v>
      </c>
      <c r="P19" s="156">
        <v>15230</v>
      </c>
      <c r="Q19" s="156">
        <v>22834</v>
      </c>
      <c r="R19" s="156">
        <v>27453</v>
      </c>
      <c r="S19" s="156">
        <v>45995</v>
      </c>
      <c r="T19" s="156">
        <v>37209</v>
      </c>
      <c r="U19" s="156">
        <v>37767</v>
      </c>
      <c r="V19" s="156">
        <v>37595</v>
      </c>
      <c r="W19" s="156">
        <v>37566</v>
      </c>
      <c r="X19" s="156">
        <v>36844</v>
      </c>
      <c r="Y19" s="156">
        <v>34820</v>
      </c>
      <c r="Z19" s="156">
        <v>32158</v>
      </c>
      <c r="AA19" s="31">
        <f t="shared" si="0"/>
        <v>597015</v>
      </c>
      <c r="AB19" s="32">
        <v>18</v>
      </c>
      <c r="AC19" s="31">
        <f t="shared" si="1"/>
        <v>10746270</v>
      </c>
      <c r="AD19" s="132">
        <f>+SUM(AC19:AC22)</f>
        <v>16558763</v>
      </c>
    </row>
    <row r="20" spans="1:30" s="27" customFormat="1" x14ac:dyDescent="0.35">
      <c r="A20" s="130"/>
      <c r="B20" s="33" t="s">
        <v>44</v>
      </c>
      <c r="C20" s="156">
        <v>28547</v>
      </c>
      <c r="D20" s="156">
        <v>26957</v>
      </c>
      <c r="E20" s="156">
        <v>25828</v>
      </c>
      <c r="F20" s="156">
        <v>24887</v>
      </c>
      <c r="G20" s="156">
        <v>24446</v>
      </c>
      <c r="H20" s="156">
        <v>23973</v>
      </c>
      <c r="I20" s="156">
        <v>7068</v>
      </c>
      <c r="J20" s="156">
        <v>10239</v>
      </c>
      <c r="K20" s="156">
        <v>9060</v>
      </c>
      <c r="L20" s="156">
        <v>9647</v>
      </c>
      <c r="M20" s="156">
        <v>10631</v>
      </c>
      <c r="N20" s="156">
        <v>10451</v>
      </c>
      <c r="O20" s="156">
        <v>9742</v>
      </c>
      <c r="P20" s="156">
        <v>11836</v>
      </c>
      <c r="Q20" s="156">
        <v>16651</v>
      </c>
      <c r="R20" s="156">
        <v>20906</v>
      </c>
      <c r="S20" s="156">
        <v>39458</v>
      </c>
      <c r="T20" s="156">
        <v>33750</v>
      </c>
      <c r="U20" s="156">
        <v>35531</v>
      </c>
      <c r="V20" s="156">
        <v>35229</v>
      </c>
      <c r="W20" s="156">
        <v>34574</v>
      </c>
      <c r="X20" s="156">
        <v>33835</v>
      </c>
      <c r="Y20" s="156">
        <v>32735</v>
      </c>
      <c r="Z20" s="156">
        <v>31121</v>
      </c>
      <c r="AA20" s="31">
        <f t="shared" si="0"/>
        <v>547102</v>
      </c>
      <c r="AB20" s="32">
        <v>5</v>
      </c>
      <c r="AC20" s="31">
        <f t="shared" si="1"/>
        <v>2735510</v>
      </c>
      <c r="AD20" s="133"/>
    </row>
    <row r="21" spans="1:30" s="27" customFormat="1" x14ac:dyDescent="0.35">
      <c r="A21" s="130"/>
      <c r="B21" s="33" t="s">
        <v>45</v>
      </c>
      <c r="C21" s="156">
        <v>28432</v>
      </c>
      <c r="D21" s="156">
        <v>26793</v>
      </c>
      <c r="E21" s="156">
        <v>25600</v>
      </c>
      <c r="F21" s="156">
        <v>24617</v>
      </c>
      <c r="G21" s="156">
        <v>24016</v>
      </c>
      <c r="H21" s="156">
        <v>23185</v>
      </c>
      <c r="I21" s="156">
        <v>5535</v>
      </c>
      <c r="J21" s="156">
        <v>6106</v>
      </c>
      <c r="K21" s="156">
        <v>2283</v>
      </c>
      <c r="L21" s="156">
        <v>1923</v>
      </c>
      <c r="M21" s="156">
        <v>2148</v>
      </c>
      <c r="N21" s="156">
        <v>2230</v>
      </c>
      <c r="O21" s="156">
        <v>3724</v>
      </c>
      <c r="P21" s="156">
        <v>5667</v>
      </c>
      <c r="Q21" s="156">
        <v>10042</v>
      </c>
      <c r="R21" s="156">
        <v>14641</v>
      </c>
      <c r="S21" s="156">
        <v>34069</v>
      </c>
      <c r="T21" s="156">
        <v>30320</v>
      </c>
      <c r="U21" s="156">
        <v>32881</v>
      </c>
      <c r="V21" s="156">
        <v>34013</v>
      </c>
      <c r="W21" s="156">
        <v>34076</v>
      </c>
      <c r="X21" s="156">
        <v>34134</v>
      </c>
      <c r="Y21" s="156">
        <v>32743</v>
      </c>
      <c r="Z21" s="156">
        <v>30389</v>
      </c>
      <c r="AA21" s="31">
        <f t="shared" si="0"/>
        <v>469567</v>
      </c>
      <c r="AB21" s="32">
        <v>5</v>
      </c>
      <c r="AC21" s="31">
        <f t="shared" si="1"/>
        <v>2347835</v>
      </c>
      <c r="AD21" s="133"/>
    </row>
    <row r="22" spans="1:30" s="27" customFormat="1" x14ac:dyDescent="0.35">
      <c r="A22" s="131"/>
      <c r="B22" s="34" t="s">
        <v>46</v>
      </c>
      <c r="C22" s="156">
        <v>24281</v>
      </c>
      <c r="D22" s="156">
        <v>22838</v>
      </c>
      <c r="E22" s="156">
        <v>21809</v>
      </c>
      <c r="F22" s="156">
        <v>21069</v>
      </c>
      <c r="G22" s="156">
        <v>20581</v>
      </c>
      <c r="H22" s="156">
        <v>19862</v>
      </c>
      <c r="I22" s="156">
        <v>2410</v>
      </c>
      <c r="J22" s="156">
        <v>2015</v>
      </c>
      <c r="K22" s="156">
        <v>5</v>
      </c>
      <c r="L22" s="156">
        <v>5</v>
      </c>
      <c r="M22" s="156">
        <v>5</v>
      </c>
      <c r="N22" s="156">
        <v>5</v>
      </c>
      <c r="O22" s="156">
        <v>5</v>
      </c>
      <c r="P22" s="156">
        <v>5</v>
      </c>
      <c r="Q22" s="156">
        <v>3176</v>
      </c>
      <c r="R22" s="156">
        <v>7486</v>
      </c>
      <c r="S22" s="156">
        <v>27217</v>
      </c>
      <c r="T22" s="156">
        <v>25036</v>
      </c>
      <c r="U22" s="156">
        <v>27868</v>
      </c>
      <c r="V22" s="156">
        <v>28739</v>
      </c>
      <c r="W22" s="156">
        <v>28566</v>
      </c>
      <c r="X22" s="156">
        <v>28277</v>
      </c>
      <c r="Y22" s="156">
        <v>27397</v>
      </c>
      <c r="Z22" s="156">
        <v>25917</v>
      </c>
      <c r="AA22" s="31">
        <f t="shared" si="0"/>
        <v>364574</v>
      </c>
      <c r="AB22" s="32">
        <v>2</v>
      </c>
      <c r="AC22" s="31">
        <f t="shared" si="1"/>
        <v>729148</v>
      </c>
      <c r="AD22" s="134"/>
    </row>
    <row r="23" spans="1:30" x14ac:dyDescent="0.35">
      <c r="A23" s="106">
        <v>46874</v>
      </c>
      <c r="B23" s="19" t="s">
        <v>43</v>
      </c>
      <c r="C23" s="20">
        <v>27992</v>
      </c>
      <c r="D23" s="20">
        <v>26506</v>
      </c>
      <c r="E23" s="20">
        <v>25371</v>
      </c>
      <c r="F23" s="20">
        <v>24586</v>
      </c>
      <c r="G23" s="20">
        <v>24347</v>
      </c>
      <c r="H23" s="20">
        <v>24146</v>
      </c>
      <c r="I23" s="20">
        <v>7378</v>
      </c>
      <c r="J23" s="20">
        <v>11059</v>
      </c>
      <c r="K23" s="20">
        <v>9958</v>
      </c>
      <c r="L23" s="20">
        <v>10620</v>
      </c>
      <c r="M23" s="20">
        <v>11876</v>
      </c>
      <c r="N23" s="20">
        <v>11409</v>
      </c>
      <c r="O23" s="20">
        <v>9412</v>
      </c>
      <c r="P23" s="20">
        <v>14388</v>
      </c>
      <c r="Q23" s="20">
        <v>21732</v>
      </c>
      <c r="R23" s="20">
        <v>25982</v>
      </c>
      <c r="S23" s="20">
        <v>44374</v>
      </c>
      <c r="T23" s="20">
        <v>35981</v>
      </c>
      <c r="U23" s="20">
        <v>36443</v>
      </c>
      <c r="V23" s="20">
        <v>36510</v>
      </c>
      <c r="W23" s="20">
        <v>36559</v>
      </c>
      <c r="X23" s="20">
        <v>35992</v>
      </c>
      <c r="Y23" s="20">
        <v>34188</v>
      </c>
      <c r="Z23" s="20">
        <v>31674</v>
      </c>
      <c r="AA23" s="21">
        <f t="shared" si="0"/>
        <v>578483</v>
      </c>
      <c r="AB23" s="22">
        <v>21</v>
      </c>
      <c r="AC23" s="21">
        <f t="shared" si="1"/>
        <v>12148143</v>
      </c>
      <c r="AD23" s="109">
        <f>+SUM(AC23:AC26)</f>
        <v>16869675</v>
      </c>
    </row>
    <row r="24" spans="1:30" x14ac:dyDescent="0.35">
      <c r="A24" s="107"/>
      <c r="B24" s="23" t="s">
        <v>44</v>
      </c>
      <c r="C24" s="20">
        <v>29086</v>
      </c>
      <c r="D24" s="20">
        <v>27312</v>
      </c>
      <c r="E24" s="20">
        <v>25958</v>
      </c>
      <c r="F24" s="20">
        <v>24981</v>
      </c>
      <c r="G24" s="20">
        <v>24533</v>
      </c>
      <c r="H24" s="20">
        <v>23767</v>
      </c>
      <c r="I24" s="20">
        <v>6937</v>
      </c>
      <c r="J24" s="20">
        <v>9948</v>
      </c>
      <c r="K24" s="20">
        <v>8987</v>
      </c>
      <c r="L24" s="20">
        <v>9866</v>
      </c>
      <c r="M24" s="20">
        <v>10809</v>
      </c>
      <c r="N24" s="20">
        <v>10097</v>
      </c>
      <c r="O24" s="20">
        <v>9150</v>
      </c>
      <c r="P24" s="20">
        <v>11022</v>
      </c>
      <c r="Q24" s="20">
        <v>15444</v>
      </c>
      <c r="R24" s="20">
        <v>19506</v>
      </c>
      <c r="S24" s="20">
        <v>38078</v>
      </c>
      <c r="T24" s="20">
        <v>32239</v>
      </c>
      <c r="U24" s="20">
        <v>34224</v>
      </c>
      <c r="V24" s="20">
        <v>34496</v>
      </c>
      <c r="W24" s="20">
        <v>33882</v>
      </c>
      <c r="X24" s="20">
        <v>33320</v>
      </c>
      <c r="Y24" s="20">
        <v>32379</v>
      </c>
      <c r="Z24" s="20">
        <v>30812</v>
      </c>
      <c r="AA24" s="21">
        <f t="shared" si="0"/>
        <v>536833</v>
      </c>
      <c r="AB24" s="22">
        <v>4</v>
      </c>
      <c r="AC24" s="21">
        <f t="shared" si="1"/>
        <v>2147332</v>
      </c>
      <c r="AD24" s="110"/>
    </row>
    <row r="25" spans="1:30" x14ac:dyDescent="0.35">
      <c r="A25" s="107"/>
      <c r="B25" s="23" t="s">
        <v>45</v>
      </c>
      <c r="C25" s="20">
        <v>27849</v>
      </c>
      <c r="D25" s="20">
        <v>26436</v>
      </c>
      <c r="E25" s="20">
        <v>25355</v>
      </c>
      <c r="F25" s="20">
        <v>24419</v>
      </c>
      <c r="G25" s="20">
        <v>23792</v>
      </c>
      <c r="H25" s="20">
        <v>22643</v>
      </c>
      <c r="I25" s="20">
        <v>5302</v>
      </c>
      <c r="J25" s="20">
        <v>5665</v>
      </c>
      <c r="K25" s="20">
        <v>1845</v>
      </c>
      <c r="L25" s="20">
        <v>1292</v>
      </c>
      <c r="M25" s="20">
        <v>1645</v>
      </c>
      <c r="N25" s="20">
        <v>1290</v>
      </c>
      <c r="O25" s="20">
        <v>2172</v>
      </c>
      <c r="P25" s="20">
        <v>3581</v>
      </c>
      <c r="Q25" s="20">
        <v>7921</v>
      </c>
      <c r="R25" s="20">
        <v>12243</v>
      </c>
      <c r="S25" s="20">
        <v>31697</v>
      </c>
      <c r="T25" s="20">
        <v>28297</v>
      </c>
      <c r="U25" s="20">
        <v>30901</v>
      </c>
      <c r="V25" s="20">
        <v>32133</v>
      </c>
      <c r="W25" s="20">
        <v>32496</v>
      </c>
      <c r="X25" s="20">
        <v>32726</v>
      </c>
      <c r="Y25" s="20">
        <v>31669</v>
      </c>
      <c r="Z25" s="20">
        <v>29681</v>
      </c>
      <c r="AA25" s="21">
        <f t="shared" si="0"/>
        <v>443050</v>
      </c>
      <c r="AB25" s="22">
        <v>4</v>
      </c>
      <c r="AC25" s="21">
        <f t="shared" si="1"/>
        <v>1772200</v>
      </c>
      <c r="AD25" s="110"/>
    </row>
    <row r="26" spans="1:30" x14ac:dyDescent="0.35">
      <c r="A26" s="108"/>
      <c r="B26" s="24" t="s">
        <v>46</v>
      </c>
      <c r="C26" s="20">
        <v>23703</v>
      </c>
      <c r="D26" s="20">
        <v>22336</v>
      </c>
      <c r="E26" s="20">
        <v>21362</v>
      </c>
      <c r="F26" s="20">
        <v>20651</v>
      </c>
      <c r="G26" s="20">
        <v>20324</v>
      </c>
      <c r="H26" s="20">
        <v>19558</v>
      </c>
      <c r="I26" s="20">
        <v>2575</v>
      </c>
      <c r="J26" s="20">
        <v>3371</v>
      </c>
      <c r="K26" s="20">
        <v>111</v>
      </c>
      <c r="L26" s="20">
        <v>208</v>
      </c>
      <c r="M26" s="20">
        <v>1005</v>
      </c>
      <c r="N26" s="20">
        <v>917</v>
      </c>
      <c r="O26" s="20">
        <v>1576</v>
      </c>
      <c r="P26" s="20">
        <v>3601</v>
      </c>
      <c r="Q26" s="20">
        <v>7858</v>
      </c>
      <c r="R26" s="20">
        <v>12133</v>
      </c>
      <c r="S26" s="20">
        <v>31202</v>
      </c>
      <c r="T26" s="20">
        <v>27333</v>
      </c>
      <c r="U26" s="20">
        <v>29930</v>
      </c>
      <c r="V26" s="20">
        <v>31398</v>
      </c>
      <c r="W26" s="20">
        <v>31580</v>
      </c>
      <c r="X26" s="20">
        <v>31216</v>
      </c>
      <c r="Y26" s="20">
        <v>29599</v>
      </c>
      <c r="Z26" s="20">
        <v>27453</v>
      </c>
      <c r="AA26" s="21">
        <f t="shared" si="0"/>
        <v>401000</v>
      </c>
      <c r="AB26" s="22">
        <v>2</v>
      </c>
      <c r="AC26" s="21">
        <f t="shared" si="1"/>
        <v>802000</v>
      </c>
      <c r="AD26" s="111"/>
    </row>
    <row r="27" spans="1:30" x14ac:dyDescent="0.35">
      <c r="A27" s="106">
        <v>46905</v>
      </c>
      <c r="B27" s="19" t="s">
        <v>43</v>
      </c>
      <c r="C27" s="20">
        <v>28794</v>
      </c>
      <c r="D27" s="20">
        <v>27205</v>
      </c>
      <c r="E27" s="20">
        <v>26003</v>
      </c>
      <c r="F27" s="20">
        <v>25192</v>
      </c>
      <c r="G27" s="20">
        <v>24930</v>
      </c>
      <c r="H27" s="20">
        <v>24607</v>
      </c>
      <c r="I27" s="20">
        <v>8177</v>
      </c>
      <c r="J27" s="20">
        <v>12391</v>
      </c>
      <c r="K27" s="20">
        <v>11368</v>
      </c>
      <c r="L27" s="20">
        <v>11857</v>
      </c>
      <c r="M27" s="20">
        <v>13030</v>
      </c>
      <c r="N27" s="20">
        <v>12704</v>
      </c>
      <c r="O27" s="20">
        <v>10282</v>
      </c>
      <c r="P27" s="20">
        <v>15117</v>
      </c>
      <c r="Q27" s="20">
        <v>22285</v>
      </c>
      <c r="R27" s="20">
        <v>26744</v>
      </c>
      <c r="S27" s="20">
        <v>45441</v>
      </c>
      <c r="T27" s="20">
        <v>36859</v>
      </c>
      <c r="U27" s="20">
        <v>37148</v>
      </c>
      <c r="V27" s="20">
        <v>37418</v>
      </c>
      <c r="W27" s="20">
        <v>37258</v>
      </c>
      <c r="X27" s="20">
        <v>36584</v>
      </c>
      <c r="Y27" s="20">
        <v>34806</v>
      </c>
      <c r="Z27" s="20">
        <v>32319</v>
      </c>
      <c r="AA27" s="21">
        <f t="shared" si="0"/>
        <v>598519</v>
      </c>
      <c r="AB27" s="22">
        <v>20</v>
      </c>
      <c r="AC27" s="21">
        <f t="shared" si="1"/>
        <v>11970380</v>
      </c>
      <c r="AD27" s="109">
        <f>+SUM(AC27:AC30)</f>
        <v>17034818</v>
      </c>
    </row>
    <row r="28" spans="1:30" x14ac:dyDescent="0.35">
      <c r="A28" s="107"/>
      <c r="B28" s="23" t="s">
        <v>44</v>
      </c>
      <c r="C28" s="20">
        <v>29375</v>
      </c>
      <c r="D28" s="20">
        <v>27860</v>
      </c>
      <c r="E28" s="20">
        <v>26637</v>
      </c>
      <c r="F28" s="20">
        <v>25750</v>
      </c>
      <c r="G28" s="20">
        <v>25414</v>
      </c>
      <c r="H28" s="20">
        <v>24648</v>
      </c>
      <c r="I28" s="20">
        <v>8212</v>
      </c>
      <c r="J28" s="20">
        <v>11699</v>
      </c>
      <c r="K28" s="20">
        <v>10471</v>
      </c>
      <c r="L28" s="20">
        <v>10910</v>
      </c>
      <c r="M28" s="20">
        <v>11897</v>
      </c>
      <c r="N28" s="20">
        <v>11287</v>
      </c>
      <c r="O28" s="20">
        <v>10168</v>
      </c>
      <c r="P28" s="20">
        <v>11564</v>
      </c>
      <c r="Q28" s="20">
        <v>16695</v>
      </c>
      <c r="R28" s="20">
        <v>21237</v>
      </c>
      <c r="S28" s="20">
        <v>39869</v>
      </c>
      <c r="T28" s="20">
        <v>34372</v>
      </c>
      <c r="U28" s="20">
        <v>35822</v>
      </c>
      <c r="V28" s="20">
        <v>36100</v>
      </c>
      <c r="W28" s="20">
        <v>35353</v>
      </c>
      <c r="X28" s="20">
        <v>34694</v>
      </c>
      <c r="Y28" s="20">
        <v>33707</v>
      </c>
      <c r="Z28" s="20">
        <v>32201</v>
      </c>
      <c r="AA28" s="21">
        <f t="shared" si="0"/>
        <v>565942</v>
      </c>
      <c r="AB28" s="22">
        <v>4</v>
      </c>
      <c r="AC28" s="21">
        <f t="shared" si="1"/>
        <v>2263768</v>
      </c>
      <c r="AD28" s="110"/>
    </row>
    <row r="29" spans="1:30" x14ac:dyDescent="0.35">
      <c r="A29" s="107"/>
      <c r="B29" s="23" t="s">
        <v>45</v>
      </c>
      <c r="C29" s="20">
        <v>29014</v>
      </c>
      <c r="D29" s="20">
        <v>27574</v>
      </c>
      <c r="E29" s="20">
        <v>26465</v>
      </c>
      <c r="F29" s="20">
        <v>25540</v>
      </c>
      <c r="G29" s="20">
        <v>25004</v>
      </c>
      <c r="H29" s="20">
        <v>23817</v>
      </c>
      <c r="I29" s="20">
        <v>6452</v>
      </c>
      <c r="J29" s="20">
        <v>7156</v>
      </c>
      <c r="K29" s="20">
        <v>2775</v>
      </c>
      <c r="L29" s="20">
        <v>2760</v>
      </c>
      <c r="M29" s="20">
        <v>2278</v>
      </c>
      <c r="N29" s="20">
        <v>1990</v>
      </c>
      <c r="O29" s="20">
        <v>3319</v>
      </c>
      <c r="P29" s="20">
        <v>5042</v>
      </c>
      <c r="Q29" s="20">
        <v>9376</v>
      </c>
      <c r="R29" s="20">
        <v>13970</v>
      </c>
      <c r="S29" s="20">
        <v>33826</v>
      </c>
      <c r="T29" s="20">
        <v>30336</v>
      </c>
      <c r="U29" s="20">
        <v>32836</v>
      </c>
      <c r="V29" s="20">
        <v>34521</v>
      </c>
      <c r="W29" s="20">
        <v>34773</v>
      </c>
      <c r="X29" s="20">
        <v>34999</v>
      </c>
      <c r="Y29" s="20">
        <v>34191</v>
      </c>
      <c r="Z29" s="20">
        <v>32475</v>
      </c>
      <c r="AA29" s="21">
        <f t="shared" si="0"/>
        <v>480489</v>
      </c>
      <c r="AB29" s="22">
        <v>4</v>
      </c>
      <c r="AC29" s="21">
        <f t="shared" si="1"/>
        <v>1921956</v>
      </c>
      <c r="AD29" s="110"/>
    </row>
    <row r="30" spans="1:30" x14ac:dyDescent="0.35">
      <c r="A30" s="108"/>
      <c r="B30" s="24" t="s">
        <v>46</v>
      </c>
      <c r="C30" s="20">
        <v>25007</v>
      </c>
      <c r="D30" s="20">
        <v>23628</v>
      </c>
      <c r="E30" s="20">
        <v>22672</v>
      </c>
      <c r="F30" s="20">
        <v>21907</v>
      </c>
      <c r="G30" s="20">
        <v>21618</v>
      </c>
      <c r="H30" s="20">
        <v>20802</v>
      </c>
      <c r="I30" s="20">
        <v>3829</v>
      </c>
      <c r="J30" s="20">
        <v>5282</v>
      </c>
      <c r="K30" s="20">
        <v>2355</v>
      </c>
      <c r="L30" s="20">
        <v>2697</v>
      </c>
      <c r="M30" s="20">
        <v>3584</v>
      </c>
      <c r="N30" s="20">
        <v>3364</v>
      </c>
      <c r="O30" s="20">
        <v>3796</v>
      </c>
      <c r="P30" s="20">
        <v>5654</v>
      </c>
      <c r="Q30" s="20">
        <v>9738</v>
      </c>
      <c r="R30" s="20">
        <v>13786</v>
      </c>
      <c r="S30" s="20">
        <v>32748</v>
      </c>
      <c r="T30" s="20">
        <v>28721</v>
      </c>
      <c r="U30" s="20">
        <v>30982</v>
      </c>
      <c r="V30" s="20">
        <v>32963</v>
      </c>
      <c r="W30" s="20">
        <v>32845</v>
      </c>
      <c r="X30" s="20">
        <v>32284</v>
      </c>
      <c r="Y30" s="20">
        <v>30654</v>
      </c>
      <c r="Z30" s="20">
        <v>28441</v>
      </c>
      <c r="AA30" s="21">
        <f t="shared" si="0"/>
        <v>439357</v>
      </c>
      <c r="AB30" s="22">
        <v>2</v>
      </c>
      <c r="AC30" s="21">
        <f t="shared" si="1"/>
        <v>878714</v>
      </c>
      <c r="AD30" s="111"/>
    </row>
    <row r="31" spans="1:30" x14ac:dyDescent="0.35">
      <c r="A31" s="106">
        <v>46935</v>
      </c>
      <c r="B31" s="19" t="s">
        <v>43</v>
      </c>
      <c r="C31" s="20">
        <v>27699</v>
      </c>
      <c r="D31" s="20">
        <v>26157</v>
      </c>
      <c r="E31" s="20">
        <v>25027</v>
      </c>
      <c r="F31" s="20">
        <v>24154</v>
      </c>
      <c r="G31" s="20">
        <v>23832</v>
      </c>
      <c r="H31" s="20">
        <v>23780</v>
      </c>
      <c r="I31" s="20">
        <v>7196</v>
      </c>
      <c r="J31" s="20">
        <v>10630</v>
      </c>
      <c r="K31" s="20">
        <v>9484</v>
      </c>
      <c r="L31" s="20">
        <v>9962</v>
      </c>
      <c r="M31" s="20">
        <v>11208</v>
      </c>
      <c r="N31" s="20">
        <v>10464</v>
      </c>
      <c r="O31" s="20">
        <v>7985</v>
      </c>
      <c r="P31" s="20">
        <v>12847</v>
      </c>
      <c r="Q31" s="20">
        <v>20053</v>
      </c>
      <c r="R31" s="20">
        <v>24443</v>
      </c>
      <c r="S31" s="20">
        <v>42699</v>
      </c>
      <c r="T31" s="20">
        <v>35067</v>
      </c>
      <c r="U31" s="20">
        <v>35085</v>
      </c>
      <c r="V31" s="20">
        <v>35897</v>
      </c>
      <c r="W31" s="20">
        <v>35932</v>
      </c>
      <c r="X31" s="20">
        <v>35437</v>
      </c>
      <c r="Y31" s="20">
        <v>33755</v>
      </c>
      <c r="Z31" s="20">
        <v>31325</v>
      </c>
      <c r="AA31" s="21">
        <f t="shared" si="0"/>
        <v>560118</v>
      </c>
      <c r="AB31" s="22">
        <v>19</v>
      </c>
      <c r="AC31" s="21">
        <f t="shared" si="1"/>
        <v>10642242</v>
      </c>
      <c r="AD31" s="109">
        <f>+SUM(AC31:AC34)</f>
        <v>16155256</v>
      </c>
    </row>
    <row r="32" spans="1:30" x14ac:dyDescent="0.35">
      <c r="A32" s="107"/>
      <c r="B32" s="23" t="s">
        <v>44</v>
      </c>
      <c r="C32" s="20">
        <v>26549</v>
      </c>
      <c r="D32" s="20">
        <v>25155</v>
      </c>
      <c r="E32" s="20">
        <v>24141</v>
      </c>
      <c r="F32" s="20">
        <v>23327</v>
      </c>
      <c r="G32" s="20">
        <v>23016</v>
      </c>
      <c r="H32" s="20">
        <v>22497</v>
      </c>
      <c r="I32" s="20">
        <v>5738</v>
      </c>
      <c r="J32" s="20">
        <v>8668</v>
      </c>
      <c r="K32" s="20">
        <v>7212</v>
      </c>
      <c r="L32" s="20">
        <v>7738</v>
      </c>
      <c r="M32" s="20">
        <v>8378</v>
      </c>
      <c r="N32" s="20">
        <v>8182</v>
      </c>
      <c r="O32" s="20">
        <v>7298</v>
      </c>
      <c r="P32" s="20">
        <v>9150</v>
      </c>
      <c r="Q32" s="20">
        <v>14083</v>
      </c>
      <c r="R32" s="20">
        <v>17891</v>
      </c>
      <c r="S32" s="20">
        <v>36303</v>
      </c>
      <c r="T32" s="20">
        <v>31228</v>
      </c>
      <c r="U32" s="20">
        <v>32942</v>
      </c>
      <c r="V32" s="20">
        <v>33926</v>
      </c>
      <c r="W32" s="20">
        <v>33225</v>
      </c>
      <c r="X32" s="20">
        <v>32641</v>
      </c>
      <c r="Y32" s="20">
        <v>31844</v>
      </c>
      <c r="Z32" s="20">
        <v>30455</v>
      </c>
      <c r="AA32" s="21">
        <f t="shared" si="0"/>
        <v>501587</v>
      </c>
      <c r="AB32" s="22">
        <v>5</v>
      </c>
      <c r="AC32" s="21">
        <f t="shared" si="1"/>
        <v>2507935</v>
      </c>
      <c r="AD32" s="110"/>
    </row>
    <row r="33" spans="1:30" x14ac:dyDescent="0.35">
      <c r="A33" s="107"/>
      <c r="B33" s="23" t="s">
        <v>45</v>
      </c>
      <c r="C33" s="20">
        <v>27420</v>
      </c>
      <c r="D33" s="20">
        <v>25983</v>
      </c>
      <c r="E33" s="20">
        <v>24874</v>
      </c>
      <c r="F33" s="20">
        <v>24020</v>
      </c>
      <c r="G33" s="20">
        <v>23440</v>
      </c>
      <c r="H33" s="20">
        <v>22530</v>
      </c>
      <c r="I33" s="20">
        <v>5199</v>
      </c>
      <c r="J33" s="20">
        <v>5108</v>
      </c>
      <c r="K33" s="20">
        <v>1237</v>
      </c>
      <c r="L33" s="20">
        <v>799</v>
      </c>
      <c r="M33" s="20">
        <v>724</v>
      </c>
      <c r="N33" s="20">
        <v>74</v>
      </c>
      <c r="O33" s="20">
        <v>1535</v>
      </c>
      <c r="P33" s="20">
        <v>3195</v>
      </c>
      <c r="Q33" s="20">
        <v>7011</v>
      </c>
      <c r="R33" s="20">
        <v>11746</v>
      </c>
      <c r="S33" s="20">
        <v>30988</v>
      </c>
      <c r="T33" s="20">
        <v>28468</v>
      </c>
      <c r="U33" s="20">
        <v>30520</v>
      </c>
      <c r="V33" s="20">
        <v>32348</v>
      </c>
      <c r="W33" s="20">
        <v>32614</v>
      </c>
      <c r="X33" s="20">
        <v>32681</v>
      </c>
      <c r="Y33" s="20">
        <v>31627</v>
      </c>
      <c r="Z33" s="20">
        <v>29946</v>
      </c>
      <c r="AA33" s="21">
        <f t="shared" si="0"/>
        <v>434087</v>
      </c>
      <c r="AB33" s="22">
        <v>5</v>
      </c>
      <c r="AC33" s="21">
        <f t="shared" si="1"/>
        <v>2170435</v>
      </c>
      <c r="AD33" s="110"/>
    </row>
    <row r="34" spans="1:30" x14ac:dyDescent="0.35">
      <c r="A34" s="108"/>
      <c r="B34" s="24" t="s">
        <v>46</v>
      </c>
      <c r="C34" s="20">
        <v>24906</v>
      </c>
      <c r="D34" s="20">
        <v>23469</v>
      </c>
      <c r="E34" s="20">
        <v>22395</v>
      </c>
      <c r="F34" s="20">
        <v>21699</v>
      </c>
      <c r="G34" s="20">
        <v>21352</v>
      </c>
      <c r="H34" s="20">
        <v>20716</v>
      </c>
      <c r="I34" s="20">
        <v>3610</v>
      </c>
      <c r="J34" s="20">
        <v>4638</v>
      </c>
      <c r="K34" s="20">
        <v>1574</v>
      </c>
      <c r="L34" s="20">
        <v>1530</v>
      </c>
      <c r="M34" s="20">
        <v>1954</v>
      </c>
      <c r="N34" s="20">
        <v>1454</v>
      </c>
      <c r="O34" s="20">
        <v>1559</v>
      </c>
      <c r="P34" s="20">
        <v>3774</v>
      </c>
      <c r="Q34" s="20">
        <v>8040</v>
      </c>
      <c r="R34" s="20">
        <v>12442</v>
      </c>
      <c r="S34" s="20">
        <v>31534</v>
      </c>
      <c r="T34" s="20">
        <v>27905</v>
      </c>
      <c r="U34" s="20">
        <v>29857</v>
      </c>
      <c r="V34" s="20">
        <v>31943</v>
      </c>
      <c r="W34" s="20">
        <v>31910</v>
      </c>
      <c r="X34" s="20">
        <v>31429</v>
      </c>
      <c r="Y34" s="20">
        <v>29908</v>
      </c>
      <c r="Z34" s="20">
        <v>27724</v>
      </c>
      <c r="AA34" s="21">
        <f t="shared" si="0"/>
        <v>417322</v>
      </c>
      <c r="AB34" s="22">
        <v>2</v>
      </c>
      <c r="AC34" s="21">
        <f t="shared" si="1"/>
        <v>834644</v>
      </c>
      <c r="AD34" s="111"/>
    </row>
    <row r="35" spans="1:30" x14ac:dyDescent="0.35">
      <c r="A35" s="106">
        <v>46966</v>
      </c>
      <c r="B35" s="19" t="s">
        <v>43</v>
      </c>
      <c r="C35" s="20">
        <v>28662</v>
      </c>
      <c r="D35" s="20">
        <v>27083</v>
      </c>
      <c r="E35" s="20">
        <v>25877</v>
      </c>
      <c r="F35" s="20">
        <v>24940</v>
      </c>
      <c r="G35" s="20">
        <v>24591</v>
      </c>
      <c r="H35" s="20">
        <v>24508</v>
      </c>
      <c r="I35" s="20">
        <v>7837</v>
      </c>
      <c r="J35" s="20">
        <v>11696</v>
      </c>
      <c r="K35" s="20">
        <v>10248</v>
      </c>
      <c r="L35" s="20">
        <v>11098</v>
      </c>
      <c r="M35" s="20">
        <v>12353</v>
      </c>
      <c r="N35" s="20">
        <v>11961</v>
      </c>
      <c r="O35" s="20">
        <v>9504</v>
      </c>
      <c r="P35" s="20">
        <v>14793</v>
      </c>
      <c r="Q35" s="20">
        <v>22274</v>
      </c>
      <c r="R35" s="20">
        <v>26583</v>
      </c>
      <c r="S35" s="20">
        <v>45028</v>
      </c>
      <c r="T35" s="20">
        <v>36010</v>
      </c>
      <c r="U35" s="20">
        <v>36276</v>
      </c>
      <c r="V35" s="20">
        <v>36672</v>
      </c>
      <c r="W35" s="20">
        <v>36838</v>
      </c>
      <c r="X35" s="20">
        <v>36453</v>
      </c>
      <c r="Y35" s="20">
        <v>34719</v>
      </c>
      <c r="Z35" s="20">
        <v>32326</v>
      </c>
      <c r="AA35" s="21">
        <f t="shared" si="0"/>
        <v>588330</v>
      </c>
      <c r="AB35" s="22">
        <v>21</v>
      </c>
      <c r="AC35" s="21">
        <f t="shared" si="1"/>
        <v>12354930</v>
      </c>
      <c r="AD35" s="109">
        <f>+SUM(AC35:AC38)</f>
        <v>17338692</v>
      </c>
    </row>
    <row r="36" spans="1:30" x14ac:dyDescent="0.35">
      <c r="A36" s="107"/>
      <c r="B36" s="23" t="s">
        <v>44</v>
      </c>
      <c r="C36" s="20">
        <v>30370</v>
      </c>
      <c r="D36" s="20">
        <v>28736</v>
      </c>
      <c r="E36" s="20">
        <v>27389</v>
      </c>
      <c r="F36" s="20">
        <v>26361</v>
      </c>
      <c r="G36" s="20">
        <v>25794</v>
      </c>
      <c r="H36" s="20">
        <v>25072</v>
      </c>
      <c r="I36" s="20">
        <v>8204</v>
      </c>
      <c r="J36" s="20">
        <v>11884</v>
      </c>
      <c r="K36" s="20">
        <v>10349</v>
      </c>
      <c r="L36" s="20">
        <v>11232</v>
      </c>
      <c r="M36" s="20">
        <v>11663</v>
      </c>
      <c r="N36" s="20">
        <v>11965</v>
      </c>
      <c r="O36" s="20">
        <v>10405</v>
      </c>
      <c r="P36" s="20">
        <v>12550</v>
      </c>
      <c r="Q36" s="20">
        <v>17280</v>
      </c>
      <c r="R36" s="20">
        <v>21364</v>
      </c>
      <c r="S36" s="20">
        <v>40249</v>
      </c>
      <c r="T36" s="20">
        <v>33595</v>
      </c>
      <c r="U36" s="20">
        <v>35501</v>
      </c>
      <c r="V36" s="20">
        <v>35772</v>
      </c>
      <c r="W36" s="20">
        <v>35123</v>
      </c>
      <c r="X36" s="20">
        <v>34848</v>
      </c>
      <c r="Y36" s="20">
        <v>34144</v>
      </c>
      <c r="Z36" s="20">
        <v>32737</v>
      </c>
      <c r="AA36" s="21">
        <f t="shared" si="0"/>
        <v>572587</v>
      </c>
      <c r="AB36" s="22">
        <v>4</v>
      </c>
      <c r="AC36" s="21">
        <f t="shared" si="1"/>
        <v>2290348</v>
      </c>
      <c r="AD36" s="110"/>
    </row>
    <row r="37" spans="1:30" x14ac:dyDescent="0.35">
      <c r="A37" s="107"/>
      <c r="B37" s="23" t="s">
        <v>45</v>
      </c>
      <c r="C37" s="20">
        <v>29618</v>
      </c>
      <c r="D37" s="20">
        <v>28069</v>
      </c>
      <c r="E37" s="20">
        <v>26836</v>
      </c>
      <c r="F37" s="20">
        <v>25837</v>
      </c>
      <c r="G37" s="20">
        <v>24990</v>
      </c>
      <c r="H37" s="20">
        <v>23697</v>
      </c>
      <c r="I37" s="20">
        <v>6139</v>
      </c>
      <c r="J37" s="20">
        <v>6704</v>
      </c>
      <c r="K37" s="20">
        <v>2507</v>
      </c>
      <c r="L37" s="20">
        <v>1463</v>
      </c>
      <c r="M37" s="20">
        <v>1800</v>
      </c>
      <c r="N37" s="20">
        <v>802</v>
      </c>
      <c r="O37" s="20">
        <v>2210</v>
      </c>
      <c r="P37" s="20">
        <v>4664</v>
      </c>
      <c r="Q37" s="20">
        <v>8440</v>
      </c>
      <c r="R37" s="20">
        <v>13217</v>
      </c>
      <c r="S37" s="20">
        <v>31987</v>
      </c>
      <c r="T37" s="20">
        <v>28266</v>
      </c>
      <c r="U37" s="20">
        <v>30904</v>
      </c>
      <c r="V37" s="20">
        <v>32390</v>
      </c>
      <c r="W37" s="20">
        <v>32751</v>
      </c>
      <c r="X37" s="20">
        <v>33143</v>
      </c>
      <c r="Y37" s="20">
        <v>32175</v>
      </c>
      <c r="Z37" s="20">
        <v>30298</v>
      </c>
      <c r="AA37" s="21">
        <f t="shared" si="0"/>
        <v>458907</v>
      </c>
      <c r="AB37" s="22">
        <v>4</v>
      </c>
      <c r="AC37" s="21">
        <f t="shared" si="1"/>
        <v>1835628</v>
      </c>
      <c r="AD37" s="110"/>
    </row>
    <row r="38" spans="1:30" x14ac:dyDescent="0.35">
      <c r="A38" s="108"/>
      <c r="B38" s="24" t="s">
        <v>46</v>
      </c>
      <c r="C38" s="20">
        <v>24573</v>
      </c>
      <c r="D38" s="20">
        <v>23323</v>
      </c>
      <c r="E38" s="20">
        <v>22322</v>
      </c>
      <c r="F38" s="20">
        <v>21645</v>
      </c>
      <c r="G38" s="20">
        <v>21319</v>
      </c>
      <c r="H38" s="20">
        <v>20695</v>
      </c>
      <c r="I38" s="20">
        <v>3348</v>
      </c>
      <c r="J38" s="20">
        <v>4412</v>
      </c>
      <c r="K38" s="20">
        <v>1370</v>
      </c>
      <c r="L38" s="20">
        <v>1845</v>
      </c>
      <c r="M38" s="20">
        <v>2636</v>
      </c>
      <c r="N38" s="20">
        <v>2691</v>
      </c>
      <c r="O38" s="20">
        <v>3293</v>
      </c>
      <c r="P38" s="20">
        <v>5274</v>
      </c>
      <c r="Q38" s="20">
        <v>9501</v>
      </c>
      <c r="R38" s="20">
        <v>14081</v>
      </c>
      <c r="S38" s="20">
        <v>33022</v>
      </c>
      <c r="T38" s="20">
        <v>28108</v>
      </c>
      <c r="U38" s="20">
        <v>30620</v>
      </c>
      <c r="V38" s="20">
        <v>31967</v>
      </c>
      <c r="W38" s="20">
        <v>31913</v>
      </c>
      <c r="X38" s="20">
        <v>31952</v>
      </c>
      <c r="Y38" s="20">
        <v>30565</v>
      </c>
      <c r="Z38" s="20">
        <v>28418</v>
      </c>
      <c r="AA38" s="21">
        <f t="shared" si="0"/>
        <v>428893</v>
      </c>
      <c r="AB38" s="22">
        <v>2</v>
      </c>
      <c r="AC38" s="21">
        <f t="shared" si="1"/>
        <v>857786</v>
      </c>
      <c r="AD38" s="111"/>
    </row>
    <row r="39" spans="1:30" x14ac:dyDescent="0.35">
      <c r="A39" s="106">
        <v>46997</v>
      </c>
      <c r="B39" s="19" t="s">
        <v>43</v>
      </c>
      <c r="C39" s="20">
        <v>30444</v>
      </c>
      <c r="D39" s="20">
        <v>28705</v>
      </c>
      <c r="E39" s="20">
        <v>27378</v>
      </c>
      <c r="F39" s="20">
        <v>26350</v>
      </c>
      <c r="G39" s="20">
        <v>25967</v>
      </c>
      <c r="H39" s="20">
        <v>25921</v>
      </c>
      <c r="I39" s="20">
        <v>9250</v>
      </c>
      <c r="J39" s="20">
        <v>13719</v>
      </c>
      <c r="K39" s="20">
        <v>12385</v>
      </c>
      <c r="L39" s="20">
        <v>13292</v>
      </c>
      <c r="M39" s="20">
        <v>14691</v>
      </c>
      <c r="N39" s="20">
        <v>14208</v>
      </c>
      <c r="O39" s="20">
        <v>11907</v>
      </c>
      <c r="P39" s="20">
        <v>17594</v>
      </c>
      <c r="Q39" s="20">
        <v>25018</v>
      </c>
      <c r="R39" s="20">
        <v>29501</v>
      </c>
      <c r="S39" s="20">
        <v>47505</v>
      </c>
      <c r="T39" s="20">
        <v>38269</v>
      </c>
      <c r="U39" s="20">
        <v>38987</v>
      </c>
      <c r="V39" s="20">
        <v>38438</v>
      </c>
      <c r="W39" s="20">
        <v>38524</v>
      </c>
      <c r="X39" s="20">
        <v>38170</v>
      </c>
      <c r="Y39" s="20">
        <v>36353</v>
      </c>
      <c r="Z39" s="20">
        <v>33712</v>
      </c>
      <c r="AA39" s="21">
        <f t="shared" si="0"/>
        <v>636288</v>
      </c>
      <c r="AB39" s="22">
        <v>21</v>
      </c>
      <c r="AC39" s="21">
        <f t="shared" si="1"/>
        <v>13362048</v>
      </c>
      <c r="AD39" s="109">
        <f>+SUM(AC39:AC42)</f>
        <v>18398718</v>
      </c>
    </row>
    <row r="40" spans="1:30" x14ac:dyDescent="0.35">
      <c r="A40" s="107"/>
      <c r="B40" s="23" t="s">
        <v>44</v>
      </c>
      <c r="C40" s="20">
        <v>30382</v>
      </c>
      <c r="D40" s="20">
        <v>28841</v>
      </c>
      <c r="E40" s="20">
        <v>27593</v>
      </c>
      <c r="F40" s="20">
        <v>26558</v>
      </c>
      <c r="G40" s="20">
        <v>26077</v>
      </c>
      <c r="H40" s="20">
        <v>25387</v>
      </c>
      <c r="I40" s="20">
        <v>8719</v>
      </c>
      <c r="J40" s="20">
        <v>13088</v>
      </c>
      <c r="K40" s="20">
        <v>11859</v>
      </c>
      <c r="L40" s="20">
        <v>12321</v>
      </c>
      <c r="M40" s="20">
        <v>13596</v>
      </c>
      <c r="N40" s="20">
        <v>13395</v>
      </c>
      <c r="O40" s="20">
        <v>12274</v>
      </c>
      <c r="P40" s="20">
        <v>14614</v>
      </c>
      <c r="Q40" s="20">
        <v>19622</v>
      </c>
      <c r="R40" s="20">
        <v>23642</v>
      </c>
      <c r="S40" s="20">
        <v>42015</v>
      </c>
      <c r="T40" s="20">
        <v>35602</v>
      </c>
      <c r="U40" s="20">
        <v>37816</v>
      </c>
      <c r="V40" s="20">
        <v>37160</v>
      </c>
      <c r="W40" s="20">
        <v>36278</v>
      </c>
      <c r="X40" s="20">
        <v>35616</v>
      </c>
      <c r="Y40" s="20">
        <v>34770</v>
      </c>
      <c r="Z40" s="20">
        <v>33305</v>
      </c>
      <c r="AA40" s="21">
        <f t="shared" si="0"/>
        <v>600530</v>
      </c>
      <c r="AB40" s="22">
        <v>5</v>
      </c>
      <c r="AC40" s="21">
        <f t="shared" si="1"/>
        <v>3002650</v>
      </c>
      <c r="AD40" s="110"/>
    </row>
    <row r="41" spans="1:30" x14ac:dyDescent="0.35">
      <c r="A41" s="107"/>
      <c r="B41" s="23" t="s">
        <v>45</v>
      </c>
      <c r="C41" s="20">
        <v>30509</v>
      </c>
      <c r="D41" s="20">
        <v>28995</v>
      </c>
      <c r="E41" s="20">
        <v>27811</v>
      </c>
      <c r="F41" s="20">
        <v>26846</v>
      </c>
      <c r="G41" s="20">
        <v>26216</v>
      </c>
      <c r="H41" s="20">
        <v>25230</v>
      </c>
      <c r="I41" s="20">
        <v>7831</v>
      </c>
      <c r="J41" s="20">
        <v>8700</v>
      </c>
      <c r="K41" s="20">
        <v>4301</v>
      </c>
      <c r="L41" s="20">
        <v>3188</v>
      </c>
      <c r="M41" s="20">
        <v>3654</v>
      </c>
      <c r="N41" s="20">
        <v>3535</v>
      </c>
      <c r="O41" s="20">
        <v>4286</v>
      </c>
      <c r="P41" s="20">
        <v>6691</v>
      </c>
      <c r="Q41" s="20">
        <v>11492</v>
      </c>
      <c r="R41" s="20">
        <v>15935</v>
      </c>
      <c r="S41" s="20">
        <v>35330</v>
      </c>
      <c r="T41" s="20">
        <v>31188</v>
      </c>
      <c r="U41" s="20">
        <v>34060</v>
      </c>
      <c r="V41" s="20">
        <v>34898</v>
      </c>
      <c r="W41" s="20">
        <v>35448</v>
      </c>
      <c r="X41" s="20">
        <v>35683</v>
      </c>
      <c r="Y41" s="20">
        <v>34437</v>
      </c>
      <c r="Z41" s="20">
        <v>32241</v>
      </c>
      <c r="AA41" s="21">
        <f t="shared" si="0"/>
        <v>508505</v>
      </c>
      <c r="AB41" s="22">
        <v>4</v>
      </c>
      <c r="AC41" s="21">
        <f t="shared" si="1"/>
        <v>2034020</v>
      </c>
      <c r="AD41" s="110"/>
    </row>
    <row r="42" spans="1:30" x14ac:dyDescent="0.35">
      <c r="A42" s="108"/>
      <c r="B42" s="24" t="s">
        <v>46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1"/>
      <c r="AB42" s="22">
        <v>0</v>
      </c>
      <c r="AC42" s="21">
        <f t="shared" si="1"/>
        <v>0</v>
      </c>
      <c r="AD42" s="111"/>
    </row>
    <row r="43" spans="1:30" x14ac:dyDescent="0.35">
      <c r="A43" s="106">
        <v>47027</v>
      </c>
      <c r="B43" s="19" t="s">
        <v>43</v>
      </c>
      <c r="C43" s="20">
        <v>29039</v>
      </c>
      <c r="D43" s="20">
        <v>27423</v>
      </c>
      <c r="E43" s="20">
        <v>26212</v>
      </c>
      <c r="F43" s="20">
        <v>25338</v>
      </c>
      <c r="G43" s="20">
        <v>25004</v>
      </c>
      <c r="H43" s="20">
        <v>24790</v>
      </c>
      <c r="I43" s="20">
        <v>8003</v>
      </c>
      <c r="J43" s="20">
        <v>12408</v>
      </c>
      <c r="K43" s="20">
        <v>11795</v>
      </c>
      <c r="L43" s="20">
        <v>12891</v>
      </c>
      <c r="M43" s="20">
        <v>14572</v>
      </c>
      <c r="N43" s="20">
        <v>14532</v>
      </c>
      <c r="O43" s="20">
        <v>12261</v>
      </c>
      <c r="P43" s="20">
        <v>17699</v>
      </c>
      <c r="Q43" s="20">
        <v>25200</v>
      </c>
      <c r="R43" s="20">
        <v>29176</v>
      </c>
      <c r="S43" s="20">
        <v>47264</v>
      </c>
      <c r="T43" s="20">
        <v>38958</v>
      </c>
      <c r="U43" s="20">
        <v>38643</v>
      </c>
      <c r="V43" s="20">
        <v>37546</v>
      </c>
      <c r="W43" s="20">
        <v>37070</v>
      </c>
      <c r="X43" s="20">
        <v>36425</v>
      </c>
      <c r="Y43" s="20">
        <v>34512</v>
      </c>
      <c r="Z43" s="20">
        <v>32037</v>
      </c>
      <c r="AA43" s="21">
        <f t="shared" si="0"/>
        <v>618798</v>
      </c>
      <c r="AB43" s="22">
        <v>21</v>
      </c>
      <c r="AC43" s="21">
        <f t="shared" si="1"/>
        <v>12994758</v>
      </c>
      <c r="AD43" s="109">
        <f>+SUM(AC43:AC46)</f>
        <v>18051075</v>
      </c>
    </row>
    <row r="44" spans="1:30" x14ac:dyDescent="0.35">
      <c r="A44" s="107"/>
      <c r="B44" s="23" t="s">
        <v>44</v>
      </c>
      <c r="C44" s="20">
        <v>27817</v>
      </c>
      <c r="D44" s="20">
        <v>26300</v>
      </c>
      <c r="E44" s="20">
        <v>25137</v>
      </c>
      <c r="F44" s="20">
        <v>24248</v>
      </c>
      <c r="G44" s="20">
        <v>23834</v>
      </c>
      <c r="H44" s="20">
        <v>23281</v>
      </c>
      <c r="I44" s="20">
        <v>6285</v>
      </c>
      <c r="J44" s="20">
        <v>9656</v>
      </c>
      <c r="K44" s="20">
        <v>9031</v>
      </c>
      <c r="L44" s="20">
        <v>10068</v>
      </c>
      <c r="M44" s="20">
        <v>11238</v>
      </c>
      <c r="N44" s="20">
        <v>11128</v>
      </c>
      <c r="O44" s="20">
        <v>10461</v>
      </c>
      <c r="P44" s="20">
        <v>11960</v>
      </c>
      <c r="Q44" s="20">
        <v>16657</v>
      </c>
      <c r="R44" s="20">
        <v>20443</v>
      </c>
      <c r="S44" s="20">
        <v>39292</v>
      </c>
      <c r="T44" s="20">
        <v>33881</v>
      </c>
      <c r="U44" s="20">
        <v>35121</v>
      </c>
      <c r="V44" s="20">
        <v>34152</v>
      </c>
      <c r="W44" s="20">
        <v>33452</v>
      </c>
      <c r="X44" s="20">
        <v>32740</v>
      </c>
      <c r="Y44" s="20">
        <v>31765</v>
      </c>
      <c r="Z44" s="20">
        <v>30272</v>
      </c>
      <c r="AA44" s="21">
        <f t="shared" si="0"/>
        <v>538219</v>
      </c>
      <c r="AB44" s="22">
        <v>4</v>
      </c>
      <c r="AC44" s="21">
        <f t="shared" si="1"/>
        <v>2152876</v>
      </c>
      <c r="AD44" s="110"/>
    </row>
    <row r="45" spans="1:30" x14ac:dyDescent="0.35">
      <c r="A45" s="107"/>
      <c r="B45" s="23" t="s">
        <v>45</v>
      </c>
      <c r="C45" s="20">
        <v>29153</v>
      </c>
      <c r="D45" s="20">
        <v>27668</v>
      </c>
      <c r="E45" s="20">
        <v>26575</v>
      </c>
      <c r="F45" s="20">
        <v>25658</v>
      </c>
      <c r="G45" s="20">
        <v>24987</v>
      </c>
      <c r="H45" s="20">
        <v>23995</v>
      </c>
      <c r="I45" s="20">
        <v>6477</v>
      </c>
      <c r="J45" s="20">
        <v>6620</v>
      </c>
      <c r="K45" s="20">
        <v>2552</v>
      </c>
      <c r="L45" s="20">
        <v>2251</v>
      </c>
      <c r="M45" s="20">
        <v>2331</v>
      </c>
      <c r="N45" s="20">
        <v>2511</v>
      </c>
      <c r="O45" s="20">
        <v>3594</v>
      </c>
      <c r="P45" s="20">
        <v>5476</v>
      </c>
      <c r="Q45" s="20">
        <v>9621</v>
      </c>
      <c r="R45" s="20">
        <v>14577</v>
      </c>
      <c r="S45" s="20">
        <v>34088</v>
      </c>
      <c r="T45" s="20">
        <v>30812</v>
      </c>
      <c r="U45" s="20">
        <v>32948</v>
      </c>
      <c r="V45" s="20">
        <v>33436</v>
      </c>
      <c r="W45" s="20">
        <v>33899</v>
      </c>
      <c r="X45" s="20">
        <v>34110</v>
      </c>
      <c r="Y45" s="20">
        <v>32840</v>
      </c>
      <c r="Z45" s="20">
        <v>30922</v>
      </c>
      <c r="AA45" s="21">
        <f t="shared" si="0"/>
        <v>477101</v>
      </c>
      <c r="AB45" s="22">
        <v>5</v>
      </c>
      <c r="AC45" s="21">
        <f t="shared" si="1"/>
        <v>2385505</v>
      </c>
      <c r="AD45" s="110"/>
    </row>
    <row r="46" spans="1:30" x14ac:dyDescent="0.35">
      <c r="A46" s="108"/>
      <c r="B46" s="24" t="s">
        <v>46</v>
      </c>
      <c r="C46" s="20">
        <v>28452</v>
      </c>
      <c r="D46" s="20">
        <v>26840</v>
      </c>
      <c r="E46" s="20">
        <v>25789</v>
      </c>
      <c r="F46" s="20">
        <v>25091</v>
      </c>
      <c r="G46" s="20">
        <v>24672</v>
      </c>
      <c r="H46" s="20">
        <v>23512</v>
      </c>
      <c r="I46" s="20">
        <v>5791</v>
      </c>
      <c r="J46" s="20">
        <v>8006</v>
      </c>
      <c r="K46" s="20">
        <v>5291</v>
      </c>
      <c r="L46" s="20">
        <v>6031</v>
      </c>
      <c r="M46" s="20">
        <v>6554</v>
      </c>
      <c r="N46" s="20">
        <v>5536</v>
      </c>
      <c r="O46" s="20">
        <v>7437</v>
      </c>
      <c r="P46" s="20">
        <v>9761</v>
      </c>
      <c r="Q46" s="20">
        <v>14731</v>
      </c>
      <c r="R46" s="20">
        <v>18275</v>
      </c>
      <c r="S46" s="20">
        <v>37132</v>
      </c>
      <c r="T46" s="20">
        <v>32622</v>
      </c>
      <c r="U46" s="20">
        <v>34692</v>
      </c>
      <c r="V46" s="20">
        <v>35237</v>
      </c>
      <c r="W46" s="20">
        <v>35632</v>
      </c>
      <c r="X46" s="20">
        <v>35526</v>
      </c>
      <c r="Y46" s="20">
        <v>33811</v>
      </c>
      <c r="Z46" s="20">
        <v>31515</v>
      </c>
      <c r="AA46" s="21">
        <f t="shared" si="0"/>
        <v>517936</v>
      </c>
      <c r="AB46" s="22">
        <v>1</v>
      </c>
      <c r="AC46" s="21">
        <f t="shared" si="1"/>
        <v>517936</v>
      </c>
      <c r="AD46" s="111"/>
    </row>
    <row r="47" spans="1:30" x14ac:dyDescent="0.35">
      <c r="A47" s="106">
        <v>47058</v>
      </c>
      <c r="B47" s="19" t="s">
        <v>43</v>
      </c>
      <c r="C47" s="20">
        <v>28912</v>
      </c>
      <c r="D47" s="20">
        <v>27354</v>
      </c>
      <c r="E47" s="20">
        <v>26262</v>
      </c>
      <c r="F47" s="20">
        <v>25493</v>
      </c>
      <c r="G47" s="20">
        <v>25353</v>
      </c>
      <c r="H47" s="20">
        <v>25385</v>
      </c>
      <c r="I47" s="20">
        <v>8858</v>
      </c>
      <c r="J47" s="20">
        <v>13486</v>
      </c>
      <c r="K47" s="20">
        <v>12567</v>
      </c>
      <c r="L47" s="20">
        <v>13329</v>
      </c>
      <c r="M47" s="20">
        <v>14822</v>
      </c>
      <c r="N47" s="20">
        <v>14641</v>
      </c>
      <c r="O47" s="20">
        <v>12414</v>
      </c>
      <c r="P47" s="20">
        <v>17361</v>
      </c>
      <c r="Q47" s="20">
        <v>24578</v>
      </c>
      <c r="R47" s="20">
        <v>29293</v>
      </c>
      <c r="S47" s="20">
        <v>47796</v>
      </c>
      <c r="T47" s="20">
        <v>40083</v>
      </c>
      <c r="U47" s="20">
        <v>39763</v>
      </c>
      <c r="V47" s="20">
        <v>38437</v>
      </c>
      <c r="W47" s="20">
        <v>37846</v>
      </c>
      <c r="X47" s="20">
        <v>36720</v>
      </c>
      <c r="Y47" s="20">
        <v>34659</v>
      </c>
      <c r="Z47" s="20">
        <v>32130</v>
      </c>
      <c r="AA47" s="21">
        <f t="shared" si="0"/>
        <v>627542</v>
      </c>
      <c r="AB47" s="22">
        <v>20</v>
      </c>
      <c r="AC47" s="21">
        <f t="shared" si="1"/>
        <v>12550840</v>
      </c>
      <c r="AD47" s="109">
        <f>+SUM(AC47:AC50)</f>
        <v>17882804</v>
      </c>
    </row>
    <row r="48" spans="1:30" x14ac:dyDescent="0.35">
      <c r="A48" s="107"/>
      <c r="B48" s="23" t="s">
        <v>44</v>
      </c>
      <c r="C48" s="20">
        <v>29323</v>
      </c>
      <c r="D48" s="20">
        <v>27743</v>
      </c>
      <c r="E48" s="20">
        <v>26605</v>
      </c>
      <c r="F48" s="20">
        <v>25778</v>
      </c>
      <c r="G48" s="20">
        <v>25415</v>
      </c>
      <c r="H48" s="20">
        <v>24966</v>
      </c>
      <c r="I48" s="20">
        <v>8019</v>
      </c>
      <c r="J48" s="20">
        <v>11972</v>
      </c>
      <c r="K48" s="20">
        <v>11245</v>
      </c>
      <c r="L48" s="20">
        <v>12400</v>
      </c>
      <c r="M48" s="20">
        <v>13047</v>
      </c>
      <c r="N48" s="20">
        <v>12811</v>
      </c>
      <c r="O48" s="20">
        <v>11699</v>
      </c>
      <c r="P48" s="20">
        <v>13366</v>
      </c>
      <c r="Q48" s="20">
        <v>18005</v>
      </c>
      <c r="R48" s="20">
        <v>21984</v>
      </c>
      <c r="S48" s="20">
        <v>40827</v>
      </c>
      <c r="T48" s="20">
        <v>35704</v>
      </c>
      <c r="U48" s="20">
        <v>36872</v>
      </c>
      <c r="V48" s="20">
        <v>35746</v>
      </c>
      <c r="W48" s="20">
        <v>34642</v>
      </c>
      <c r="X48" s="20">
        <v>33546</v>
      </c>
      <c r="Y48" s="20">
        <v>32509</v>
      </c>
      <c r="Z48" s="20">
        <v>30904</v>
      </c>
      <c r="AA48" s="21">
        <f t="shared" si="0"/>
        <v>575128</v>
      </c>
      <c r="AB48" s="22">
        <v>4</v>
      </c>
      <c r="AC48" s="21">
        <f t="shared" si="1"/>
        <v>2300512</v>
      </c>
      <c r="AD48" s="110"/>
    </row>
    <row r="49" spans="1:30" x14ac:dyDescent="0.35">
      <c r="A49" s="107"/>
      <c r="B49" s="23" t="s">
        <v>45</v>
      </c>
      <c r="C49" s="20">
        <v>28465</v>
      </c>
      <c r="D49" s="20">
        <v>27098</v>
      </c>
      <c r="E49" s="20">
        <v>26102</v>
      </c>
      <c r="F49" s="20">
        <v>25168</v>
      </c>
      <c r="G49" s="20">
        <v>24632</v>
      </c>
      <c r="H49" s="20">
        <v>23868</v>
      </c>
      <c r="I49" s="20">
        <v>6452</v>
      </c>
      <c r="J49" s="20">
        <v>7523</v>
      </c>
      <c r="K49" s="20">
        <v>3966</v>
      </c>
      <c r="L49" s="20">
        <v>3696</v>
      </c>
      <c r="M49" s="20">
        <v>4443</v>
      </c>
      <c r="N49" s="20">
        <v>4133</v>
      </c>
      <c r="O49" s="20">
        <v>5504</v>
      </c>
      <c r="P49" s="20">
        <v>7203</v>
      </c>
      <c r="Q49" s="20">
        <v>11333</v>
      </c>
      <c r="R49" s="20">
        <v>15631</v>
      </c>
      <c r="S49" s="20">
        <v>35074</v>
      </c>
      <c r="T49" s="20">
        <v>32365</v>
      </c>
      <c r="U49" s="20">
        <v>33900</v>
      </c>
      <c r="V49" s="20">
        <v>34013</v>
      </c>
      <c r="W49" s="20">
        <v>33746</v>
      </c>
      <c r="X49" s="20">
        <v>33335</v>
      </c>
      <c r="Y49" s="20">
        <v>32318</v>
      </c>
      <c r="Z49" s="20">
        <v>30489</v>
      </c>
      <c r="AA49" s="21">
        <f t="shared" si="0"/>
        <v>490457</v>
      </c>
      <c r="AB49" s="22">
        <v>4</v>
      </c>
      <c r="AC49" s="21">
        <f t="shared" si="1"/>
        <v>1961828</v>
      </c>
      <c r="AD49" s="110"/>
    </row>
    <row r="50" spans="1:30" x14ac:dyDescent="0.35">
      <c r="A50" s="108"/>
      <c r="B50" s="24" t="s">
        <v>46</v>
      </c>
      <c r="C50" s="20">
        <v>28549</v>
      </c>
      <c r="D50" s="20">
        <v>27039</v>
      </c>
      <c r="E50" s="20">
        <v>25953</v>
      </c>
      <c r="F50" s="20">
        <v>25153</v>
      </c>
      <c r="G50" s="20">
        <v>24770</v>
      </c>
      <c r="H50" s="20">
        <v>24063</v>
      </c>
      <c r="I50" s="20">
        <v>6479</v>
      </c>
      <c r="J50" s="20">
        <v>8587</v>
      </c>
      <c r="K50" s="20">
        <v>5771</v>
      </c>
      <c r="L50" s="20">
        <v>6423</v>
      </c>
      <c r="M50" s="20">
        <v>7484</v>
      </c>
      <c r="N50" s="20">
        <v>7570</v>
      </c>
      <c r="O50" s="20">
        <v>8497</v>
      </c>
      <c r="P50" s="20">
        <v>10971</v>
      </c>
      <c r="Q50" s="20">
        <v>15069</v>
      </c>
      <c r="R50" s="20">
        <v>19191</v>
      </c>
      <c r="S50" s="20">
        <v>38477</v>
      </c>
      <c r="T50" s="20">
        <v>34538</v>
      </c>
      <c r="U50" s="20">
        <v>36163</v>
      </c>
      <c r="V50" s="20">
        <v>36343</v>
      </c>
      <c r="W50" s="20">
        <v>36312</v>
      </c>
      <c r="X50" s="20">
        <v>35727</v>
      </c>
      <c r="Y50" s="20">
        <v>33982</v>
      </c>
      <c r="Z50" s="20">
        <v>31701</v>
      </c>
      <c r="AA50" s="21">
        <f t="shared" si="0"/>
        <v>534812</v>
      </c>
      <c r="AB50" s="22">
        <v>2</v>
      </c>
      <c r="AC50" s="21">
        <f t="shared" si="1"/>
        <v>1069624</v>
      </c>
      <c r="AD50" s="111"/>
    </row>
    <row r="51" spans="1:30" x14ac:dyDescent="0.35">
      <c r="A51" s="106">
        <v>47088</v>
      </c>
      <c r="B51" s="19" t="s">
        <v>43</v>
      </c>
      <c r="C51" s="20">
        <v>28415</v>
      </c>
      <c r="D51" s="20">
        <v>26933</v>
      </c>
      <c r="E51" s="20">
        <v>25857</v>
      </c>
      <c r="F51" s="20">
        <v>25037</v>
      </c>
      <c r="G51" s="20">
        <v>24725</v>
      </c>
      <c r="H51" s="20">
        <v>24597</v>
      </c>
      <c r="I51" s="20">
        <v>7498</v>
      </c>
      <c r="J51" s="20">
        <v>11127</v>
      </c>
      <c r="K51" s="20">
        <v>9834</v>
      </c>
      <c r="L51" s="20">
        <v>10674</v>
      </c>
      <c r="M51" s="20">
        <v>11839</v>
      </c>
      <c r="N51" s="20">
        <v>11612</v>
      </c>
      <c r="O51" s="20">
        <v>10174</v>
      </c>
      <c r="P51" s="20">
        <v>13883</v>
      </c>
      <c r="Q51" s="20">
        <v>20573</v>
      </c>
      <c r="R51" s="20">
        <v>25001</v>
      </c>
      <c r="S51" s="20">
        <v>43906</v>
      </c>
      <c r="T51" s="20">
        <v>36908</v>
      </c>
      <c r="U51" s="20">
        <v>37693</v>
      </c>
      <c r="V51" s="20">
        <v>36484</v>
      </c>
      <c r="W51" s="20">
        <v>35591</v>
      </c>
      <c r="X51" s="20">
        <v>34789</v>
      </c>
      <c r="Y51" s="20">
        <v>33456</v>
      </c>
      <c r="Z51" s="20">
        <v>31541</v>
      </c>
      <c r="AA51" s="21">
        <f t="shared" si="0"/>
        <v>578147</v>
      </c>
      <c r="AB51" s="22">
        <v>19</v>
      </c>
      <c r="AC51" s="21">
        <f t="shared" si="1"/>
        <v>10984793</v>
      </c>
      <c r="AD51" s="109">
        <f>+SUM(AC51:AC54)</f>
        <v>17036252</v>
      </c>
    </row>
    <row r="52" spans="1:30" x14ac:dyDescent="0.35">
      <c r="A52" s="107"/>
      <c r="B52" s="23" t="s">
        <v>44</v>
      </c>
      <c r="C52" s="20">
        <v>29317</v>
      </c>
      <c r="D52" s="20">
        <v>27785</v>
      </c>
      <c r="E52" s="20">
        <v>26507</v>
      </c>
      <c r="F52" s="20">
        <v>25548</v>
      </c>
      <c r="G52" s="20">
        <v>25067</v>
      </c>
      <c r="H52" s="20">
        <v>24926</v>
      </c>
      <c r="I52" s="20">
        <v>7491</v>
      </c>
      <c r="J52" s="20">
        <v>10179</v>
      </c>
      <c r="K52" s="20">
        <v>8780</v>
      </c>
      <c r="L52" s="20">
        <v>9406</v>
      </c>
      <c r="M52" s="20">
        <v>10324</v>
      </c>
      <c r="N52" s="20">
        <v>10037</v>
      </c>
      <c r="O52" s="20">
        <v>9995</v>
      </c>
      <c r="P52" s="20">
        <v>11996</v>
      </c>
      <c r="Q52" s="20">
        <v>16636</v>
      </c>
      <c r="R52" s="20">
        <v>20699</v>
      </c>
      <c r="S52" s="20">
        <v>39631</v>
      </c>
      <c r="T52" s="20">
        <v>35300</v>
      </c>
      <c r="U52" s="20">
        <v>37271</v>
      </c>
      <c r="V52" s="20">
        <v>36410</v>
      </c>
      <c r="W52" s="20">
        <v>35260</v>
      </c>
      <c r="X52" s="20">
        <v>34457</v>
      </c>
      <c r="Y52" s="20">
        <v>33753</v>
      </c>
      <c r="Z52" s="20">
        <v>32429</v>
      </c>
      <c r="AA52" s="21">
        <f t="shared" si="0"/>
        <v>559204</v>
      </c>
      <c r="AB52" s="22">
        <v>5</v>
      </c>
      <c r="AC52" s="21">
        <f t="shared" si="1"/>
        <v>2796020</v>
      </c>
      <c r="AD52" s="110"/>
    </row>
    <row r="53" spans="1:30" x14ac:dyDescent="0.35">
      <c r="A53" s="107"/>
      <c r="B53" s="23" t="s">
        <v>45</v>
      </c>
      <c r="C53" s="20">
        <v>30479</v>
      </c>
      <c r="D53" s="20">
        <v>28832</v>
      </c>
      <c r="E53" s="20">
        <v>27571</v>
      </c>
      <c r="F53" s="20">
        <v>26627</v>
      </c>
      <c r="G53" s="20">
        <v>25989</v>
      </c>
      <c r="H53" s="20">
        <v>24554</v>
      </c>
      <c r="I53" s="20">
        <v>6710</v>
      </c>
      <c r="J53" s="20">
        <v>7153</v>
      </c>
      <c r="K53" s="20">
        <v>3504</v>
      </c>
      <c r="L53" s="20">
        <v>3287</v>
      </c>
      <c r="M53" s="20">
        <v>3574</v>
      </c>
      <c r="N53" s="20">
        <v>3573</v>
      </c>
      <c r="O53" s="20">
        <v>4652</v>
      </c>
      <c r="P53" s="20">
        <v>6605</v>
      </c>
      <c r="Q53" s="20">
        <v>11081</v>
      </c>
      <c r="R53" s="20">
        <v>16365</v>
      </c>
      <c r="S53" s="20">
        <v>36009</v>
      </c>
      <c r="T53" s="20">
        <v>33305</v>
      </c>
      <c r="U53" s="20">
        <v>36197</v>
      </c>
      <c r="V53" s="20">
        <v>35881</v>
      </c>
      <c r="W53" s="20">
        <v>34743</v>
      </c>
      <c r="X53" s="20">
        <v>33356</v>
      </c>
      <c r="Y53" s="20">
        <v>31766</v>
      </c>
      <c r="Z53" s="20">
        <v>30196</v>
      </c>
      <c r="AA53" s="21">
        <f t="shared" si="0"/>
        <v>502009</v>
      </c>
      <c r="AB53" s="22">
        <v>5</v>
      </c>
      <c r="AC53" s="21">
        <f t="shared" si="1"/>
        <v>2510045</v>
      </c>
      <c r="AD53" s="110"/>
    </row>
    <row r="54" spans="1:30" x14ac:dyDescent="0.35">
      <c r="A54" s="108"/>
      <c r="B54" s="24" t="s">
        <v>46</v>
      </c>
      <c r="C54" s="20">
        <v>22849</v>
      </c>
      <c r="D54" s="20">
        <v>22091</v>
      </c>
      <c r="E54" s="20">
        <v>21482</v>
      </c>
      <c r="F54" s="20">
        <v>20885</v>
      </c>
      <c r="G54" s="20">
        <v>20487</v>
      </c>
      <c r="H54" s="20">
        <v>20056</v>
      </c>
      <c r="I54" s="20">
        <v>2265</v>
      </c>
      <c r="J54" s="20">
        <v>2822</v>
      </c>
      <c r="K54" s="20">
        <v>5</v>
      </c>
      <c r="L54" s="20">
        <v>5</v>
      </c>
      <c r="M54" s="20">
        <v>5</v>
      </c>
      <c r="N54" s="20">
        <v>5</v>
      </c>
      <c r="O54" s="20">
        <v>5</v>
      </c>
      <c r="P54" s="20">
        <v>1441</v>
      </c>
      <c r="Q54" s="20">
        <v>5243</v>
      </c>
      <c r="R54" s="20">
        <v>9519</v>
      </c>
      <c r="S54" s="20">
        <v>29134</v>
      </c>
      <c r="T54" s="20">
        <v>26426</v>
      </c>
      <c r="U54" s="20">
        <v>29060</v>
      </c>
      <c r="V54" s="20">
        <v>29321</v>
      </c>
      <c r="W54" s="20">
        <v>28793</v>
      </c>
      <c r="X54" s="20">
        <v>28207</v>
      </c>
      <c r="Y54" s="20">
        <v>27111</v>
      </c>
      <c r="Z54" s="20">
        <v>25480</v>
      </c>
      <c r="AA54" s="21">
        <f t="shared" si="0"/>
        <v>372697</v>
      </c>
      <c r="AB54" s="22">
        <v>2</v>
      </c>
      <c r="AC54" s="21">
        <f t="shared" si="1"/>
        <v>745394</v>
      </c>
      <c r="AD54" s="111"/>
    </row>
    <row r="55" spans="1:30" x14ac:dyDescent="0.35">
      <c r="AD55" s="39">
        <f>SUM(AD7:AD51)</f>
        <v>202585348</v>
      </c>
    </row>
  </sheetData>
  <mergeCells count="28">
    <mergeCell ref="AD7:AD10"/>
    <mergeCell ref="A1:D1"/>
    <mergeCell ref="A2:M2"/>
    <mergeCell ref="A4:B4"/>
    <mergeCell ref="C4:D4"/>
    <mergeCell ref="A7:A10"/>
    <mergeCell ref="A11:A14"/>
    <mergeCell ref="AD11:AD14"/>
    <mergeCell ref="A15:A18"/>
    <mergeCell ref="AD15:AD18"/>
    <mergeCell ref="A19:A22"/>
    <mergeCell ref="AD19:AD22"/>
    <mergeCell ref="A23:A26"/>
    <mergeCell ref="AD23:AD26"/>
    <mergeCell ref="A27:A30"/>
    <mergeCell ref="AD27:AD30"/>
    <mergeCell ref="A31:A34"/>
    <mergeCell ref="AD31:AD34"/>
    <mergeCell ref="A47:A50"/>
    <mergeCell ref="AD47:AD50"/>
    <mergeCell ref="A51:A54"/>
    <mergeCell ref="AD51:AD54"/>
    <mergeCell ref="A35:A38"/>
    <mergeCell ref="AD35:AD38"/>
    <mergeCell ref="A39:A42"/>
    <mergeCell ref="AD39:AD42"/>
    <mergeCell ref="A43:A46"/>
    <mergeCell ref="AD43:AD46"/>
  </mergeCells>
  <conditionalFormatting sqref="C7:Z54">
    <cfRule type="cellIs" dxfId="66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1D3BE-2344-4CF8-A6A2-7E222511A6FE}">
  <dimension ref="C1:I22"/>
  <sheetViews>
    <sheetView showGridLines="0" workbookViewId="0">
      <selection activeCell="F5" sqref="F5:G5"/>
    </sheetView>
  </sheetViews>
  <sheetFormatPr baseColWidth="10" defaultRowHeight="14.5" x14ac:dyDescent="0.35"/>
  <cols>
    <col min="2" max="2" width="2.54296875" customWidth="1"/>
    <col min="4" max="4" width="15.1796875" customWidth="1"/>
    <col min="5" max="5" width="15.1796875" bestFit="1" customWidth="1"/>
    <col min="6" max="6" width="12.54296875" customWidth="1"/>
    <col min="8" max="8" width="2" customWidth="1"/>
    <col min="9" max="9" width="14.1796875" bestFit="1" customWidth="1"/>
  </cols>
  <sheetData>
    <row r="1" spans="3:7" x14ac:dyDescent="0.35">
      <c r="C1" s="105" t="s">
        <v>47</v>
      </c>
      <c r="D1" s="105"/>
      <c r="E1" s="105"/>
      <c r="F1" s="105"/>
      <c r="G1" s="105"/>
    </row>
    <row r="2" spans="3:7" x14ac:dyDescent="0.35">
      <c r="C2" s="105"/>
      <c r="D2" s="105"/>
      <c r="E2" s="105"/>
      <c r="F2" s="105"/>
      <c r="G2" s="105"/>
    </row>
    <row r="3" spans="3:7" ht="15" thickBot="1" x14ac:dyDescent="0.4"/>
    <row r="4" spans="3:7" ht="15" thickBot="1" x14ac:dyDescent="0.4">
      <c r="C4" s="126" t="s">
        <v>11</v>
      </c>
      <c r="D4" s="127"/>
      <c r="E4" s="127"/>
      <c r="F4" s="127"/>
      <c r="G4" s="128"/>
    </row>
    <row r="5" spans="3:7" ht="32" thickBot="1" x14ac:dyDescent="0.4">
      <c r="C5" s="37" t="s">
        <v>1</v>
      </c>
      <c r="D5" s="37" t="s">
        <v>8</v>
      </c>
      <c r="E5" s="37" t="s">
        <v>3</v>
      </c>
      <c r="F5" s="93" t="s">
        <v>9</v>
      </c>
      <c r="G5" s="93" t="s">
        <v>5</v>
      </c>
    </row>
    <row r="6" spans="3:7" x14ac:dyDescent="0.35">
      <c r="C6" s="7">
        <v>47119</v>
      </c>
      <c r="D6" s="8">
        <f>+VLOOKUP(C6,'CURVA P4'!$A$4:$AD$55,30,FALSE)</f>
        <v>35484572</v>
      </c>
      <c r="E6" s="121" t="s">
        <v>3</v>
      </c>
      <c r="F6" s="2"/>
      <c r="G6" s="102" t="s">
        <v>6</v>
      </c>
    </row>
    <row r="7" spans="3:7" x14ac:dyDescent="0.35">
      <c r="C7" s="7">
        <v>47150</v>
      </c>
      <c r="D7" s="8">
        <f>+VLOOKUP(C7,'CURVA P4'!$A$4:$AD$55,30,FALSE)</f>
        <v>36552052</v>
      </c>
      <c r="E7" s="100"/>
      <c r="F7" s="2"/>
      <c r="G7" s="103"/>
    </row>
    <row r="8" spans="3:7" x14ac:dyDescent="0.35">
      <c r="C8" s="7">
        <v>47178</v>
      </c>
      <c r="D8" s="8">
        <f>+VLOOKUP(C8,'CURVA P4'!$A$4:$AD$55,30,FALSE)</f>
        <v>35263004</v>
      </c>
      <c r="E8" s="100"/>
      <c r="F8" s="2"/>
      <c r="G8" s="103"/>
    </row>
    <row r="9" spans="3:7" x14ac:dyDescent="0.35">
      <c r="C9" s="7">
        <v>47209</v>
      </c>
      <c r="D9" s="8">
        <f>+VLOOKUP(C9,'CURVA P4'!$A$4:$AD$55,30,FALSE)</f>
        <v>36938684</v>
      </c>
      <c r="E9" s="100"/>
      <c r="F9" s="2"/>
      <c r="G9" s="103"/>
    </row>
    <row r="10" spans="3:7" x14ac:dyDescent="0.35">
      <c r="C10" s="7">
        <v>47239</v>
      </c>
      <c r="D10" s="8">
        <f>+VLOOKUP(C10,'CURVA P4'!$A$4:$AD$55,30,FALSE)</f>
        <v>37563901</v>
      </c>
      <c r="E10" s="100"/>
      <c r="F10" s="2"/>
      <c r="G10" s="103"/>
    </row>
    <row r="11" spans="3:7" x14ac:dyDescent="0.35">
      <c r="C11" s="7">
        <v>47270</v>
      </c>
      <c r="D11" s="8">
        <f>+VLOOKUP(C11,'CURVA P4'!$A$4:$AD$55,30,FALSE)</f>
        <v>37841320</v>
      </c>
      <c r="E11" s="100"/>
      <c r="F11" s="2"/>
      <c r="G11" s="103"/>
    </row>
    <row r="12" spans="3:7" x14ac:dyDescent="0.35">
      <c r="C12" s="7">
        <v>47300</v>
      </c>
      <c r="D12" s="8">
        <f>+VLOOKUP(C12,'CURVA P4'!$A$4:$AD$55,30,FALSE)</f>
        <v>36528245</v>
      </c>
      <c r="E12" s="100"/>
      <c r="F12" s="2"/>
      <c r="G12" s="103"/>
    </row>
    <row r="13" spans="3:7" x14ac:dyDescent="0.35">
      <c r="C13" s="7">
        <v>47331</v>
      </c>
      <c r="D13" s="8">
        <f>+VLOOKUP(C13,'CURVA P4'!$A$4:$AD$55,30,FALSE)</f>
        <v>38495261</v>
      </c>
      <c r="E13" s="100"/>
      <c r="F13" s="2"/>
      <c r="G13" s="103"/>
    </row>
    <row r="14" spans="3:7" x14ac:dyDescent="0.35">
      <c r="C14" s="7">
        <v>47362</v>
      </c>
      <c r="D14" s="8">
        <f>+VLOOKUP(C14,'CURVA P4'!$A$4:$AD$55,30,FALSE)</f>
        <v>39826410</v>
      </c>
      <c r="E14" s="100"/>
      <c r="F14" s="2"/>
      <c r="G14" s="103"/>
    </row>
    <row r="15" spans="3:7" x14ac:dyDescent="0.35">
      <c r="C15" s="7">
        <v>47392</v>
      </c>
      <c r="D15" s="8">
        <f>+VLOOKUP(C15,'CURVA P4'!$A$4:$AD$55,30,FALSE)</f>
        <v>39475538</v>
      </c>
      <c r="E15" s="100"/>
      <c r="F15" s="2"/>
      <c r="G15" s="103"/>
    </row>
    <row r="16" spans="3:7" x14ac:dyDescent="0.35">
      <c r="C16" s="7">
        <v>47423</v>
      </c>
      <c r="D16" s="8">
        <f>+VLOOKUP(C16,'CURVA P4'!$A$4:$AD$55,30,FALSE)</f>
        <v>38895632</v>
      </c>
      <c r="E16" s="100"/>
      <c r="F16" s="2"/>
      <c r="G16" s="103"/>
    </row>
    <row r="17" spans="3:9" ht="15" thickBot="1" x14ac:dyDescent="0.4">
      <c r="C17" s="7">
        <v>47453</v>
      </c>
      <c r="D17" s="10">
        <f>+VLOOKUP(C17,'CURVA P4'!$A$4:$AD$55,30,FALSE)</f>
        <v>37752062</v>
      </c>
      <c r="E17" s="101"/>
      <c r="F17" s="11"/>
      <c r="G17" s="104"/>
    </row>
    <row r="18" spans="3:9" ht="15" thickBot="1" x14ac:dyDescent="0.4">
      <c r="D18" s="83">
        <f>SUM(D6:D17)</f>
        <v>450616681</v>
      </c>
    </row>
    <row r="19" spans="3:9" x14ac:dyDescent="0.35">
      <c r="D19" s="35"/>
      <c r="I19" s="36"/>
    </row>
    <row r="20" spans="3:9" x14ac:dyDescent="0.35">
      <c r="D20" s="26"/>
      <c r="I20" s="36"/>
    </row>
    <row r="21" spans="3:9" x14ac:dyDescent="0.35">
      <c r="I21" s="36"/>
    </row>
    <row r="22" spans="3:9" x14ac:dyDescent="0.35">
      <c r="I22" s="14"/>
    </row>
  </sheetData>
  <mergeCells count="4">
    <mergeCell ref="C4:G4"/>
    <mergeCell ref="E6:E17"/>
    <mergeCell ref="G6:G17"/>
    <mergeCell ref="C1:G2"/>
  </mergeCells>
  <pageMargins left="0.7" right="0.7" top="0.75" bottom="0.75" header="0.3" footer="0.3"/>
  <ignoredErrors>
    <ignoredError sqref="D6:D17" evalError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906C-A357-40EB-8F46-CB28082B8AD3}">
  <dimension ref="A1:AD58"/>
  <sheetViews>
    <sheetView showGridLines="0" topLeftCell="A8" zoomScaleNormal="100" workbookViewId="0">
      <selection activeCell="AD19" sqref="A19:AD22"/>
    </sheetView>
  </sheetViews>
  <sheetFormatPr baseColWidth="10" defaultRowHeight="14.5" x14ac:dyDescent="0.35"/>
  <cols>
    <col min="1" max="1" width="7.26953125" bestFit="1" customWidth="1"/>
    <col min="2" max="2" width="8" bestFit="1" customWidth="1"/>
    <col min="3" max="3" width="9.90625" bestFit="1" customWidth="1"/>
    <col min="4" max="19" width="9" bestFit="1" customWidth="1"/>
    <col min="20" max="26" width="9.90625" bestFit="1" customWidth="1"/>
    <col min="27" max="27" width="9" bestFit="1" customWidth="1"/>
    <col min="28" max="28" width="10.453125" bestFit="1" customWidth="1"/>
    <col min="29" max="29" width="11" bestFit="1" customWidth="1"/>
    <col min="30" max="30" width="12" bestFit="1" customWidth="1"/>
  </cols>
  <sheetData>
    <row r="1" spans="1:30" x14ac:dyDescent="0.35">
      <c r="A1" s="135" t="s">
        <v>12</v>
      </c>
      <c r="B1" s="135"/>
      <c r="C1" s="135"/>
      <c r="D1" s="135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</row>
    <row r="2" spans="1:30" x14ac:dyDescent="0.35">
      <c r="A2" s="136" t="s">
        <v>47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</row>
    <row r="3" spans="1:30" x14ac:dyDescent="0.3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</row>
    <row r="4" spans="1:30" x14ac:dyDescent="0.35">
      <c r="A4" s="122" t="s">
        <v>13</v>
      </c>
      <c r="B4" s="122"/>
      <c r="C4" s="116">
        <f>+AD55</f>
        <v>450616681</v>
      </c>
      <c r="D4" s="117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</row>
    <row r="5" spans="1:30" x14ac:dyDescent="0.35">
      <c r="A5" s="15" t="s">
        <v>1</v>
      </c>
      <c r="B5" s="16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5" t="s">
        <v>19</v>
      </c>
      <c r="H5" s="15" t="s">
        <v>20</v>
      </c>
      <c r="I5" s="15" t="s">
        <v>21</v>
      </c>
      <c r="J5" s="15" t="s">
        <v>22</v>
      </c>
      <c r="K5" s="15" t="s">
        <v>23</v>
      </c>
      <c r="L5" s="15" t="s">
        <v>24</v>
      </c>
      <c r="M5" s="15" t="s">
        <v>25</v>
      </c>
      <c r="N5" s="15" t="s">
        <v>26</v>
      </c>
      <c r="O5" s="15" t="s">
        <v>27</v>
      </c>
      <c r="P5" s="15" t="s">
        <v>28</v>
      </c>
      <c r="Q5" s="15" t="s">
        <v>29</v>
      </c>
      <c r="R5" s="15" t="s">
        <v>30</v>
      </c>
      <c r="S5" s="15" t="s">
        <v>31</v>
      </c>
      <c r="T5" s="15" t="s">
        <v>32</v>
      </c>
      <c r="U5" s="15" t="s">
        <v>33</v>
      </c>
      <c r="V5" s="15" t="s">
        <v>34</v>
      </c>
      <c r="W5" s="15" t="s">
        <v>35</v>
      </c>
      <c r="X5" s="15" t="s">
        <v>36</v>
      </c>
      <c r="Y5" s="15" t="s">
        <v>37</v>
      </c>
      <c r="Z5" s="15" t="s">
        <v>38</v>
      </c>
      <c r="AA5" s="15" t="s">
        <v>39</v>
      </c>
      <c r="AB5" s="15" t="s">
        <v>40</v>
      </c>
      <c r="AC5" s="15" t="s">
        <v>41</v>
      </c>
      <c r="AD5" s="15" t="s">
        <v>42</v>
      </c>
    </row>
    <row r="6" spans="1:30" hidden="1" x14ac:dyDescent="0.35">
      <c r="A6" s="28"/>
      <c r="B6" s="29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</row>
    <row r="7" spans="1:30" x14ac:dyDescent="0.35">
      <c r="A7" s="129">
        <v>47119</v>
      </c>
      <c r="B7" s="30" t="s">
        <v>43</v>
      </c>
      <c r="C7" s="31">
        <v>53586</v>
      </c>
      <c r="D7" s="31">
        <v>51076</v>
      </c>
      <c r="E7" s="31">
        <v>49090</v>
      </c>
      <c r="F7" s="31">
        <v>47632</v>
      </c>
      <c r="G7" s="31">
        <v>47176</v>
      </c>
      <c r="H7" s="31">
        <v>48067</v>
      </c>
      <c r="I7" s="31">
        <v>32722</v>
      </c>
      <c r="J7" s="31">
        <v>28201</v>
      </c>
      <c r="K7" s="31">
        <v>28287</v>
      </c>
      <c r="L7" s="31">
        <v>29841</v>
      </c>
      <c r="M7" s="31">
        <v>32121</v>
      </c>
      <c r="N7" s="31">
        <v>32645</v>
      </c>
      <c r="O7" s="31">
        <v>30512</v>
      </c>
      <c r="P7" s="31">
        <v>36160</v>
      </c>
      <c r="Q7" s="31">
        <v>45198</v>
      </c>
      <c r="R7" s="31">
        <v>50901</v>
      </c>
      <c r="S7" s="31">
        <v>68414</v>
      </c>
      <c r="T7" s="31">
        <v>70572</v>
      </c>
      <c r="U7" s="31">
        <v>72978</v>
      </c>
      <c r="V7" s="31">
        <v>72161</v>
      </c>
      <c r="W7" s="31">
        <v>71075</v>
      </c>
      <c r="X7" s="31">
        <v>69303</v>
      </c>
      <c r="Y7" s="31">
        <v>65697</v>
      </c>
      <c r="Z7" s="31">
        <v>60917</v>
      </c>
      <c r="AA7" s="31">
        <f>SUM(C7:Z7)</f>
        <v>1194332</v>
      </c>
      <c r="AB7" s="32">
        <v>21</v>
      </c>
      <c r="AC7" s="31">
        <f>+AA7*AB7</f>
        <v>25080972</v>
      </c>
      <c r="AD7" s="132">
        <f>+SUM(AC7:AC10)</f>
        <v>35484572</v>
      </c>
    </row>
    <row r="8" spans="1:30" x14ac:dyDescent="0.35">
      <c r="A8" s="130"/>
      <c r="B8" s="33" t="s">
        <v>44</v>
      </c>
      <c r="C8" s="31">
        <v>54879</v>
      </c>
      <c r="D8" s="31">
        <v>52115</v>
      </c>
      <c r="E8" s="31">
        <v>49908</v>
      </c>
      <c r="F8" s="31">
        <v>48277</v>
      </c>
      <c r="G8" s="31">
        <v>47621</v>
      </c>
      <c r="H8" s="31">
        <v>47917</v>
      </c>
      <c r="I8" s="31">
        <v>32003</v>
      </c>
      <c r="J8" s="31">
        <v>26819</v>
      </c>
      <c r="K8" s="31">
        <v>26884</v>
      </c>
      <c r="L8" s="31">
        <v>28345</v>
      </c>
      <c r="M8" s="31">
        <v>30127</v>
      </c>
      <c r="N8" s="31">
        <v>30233</v>
      </c>
      <c r="O8" s="31">
        <v>29471</v>
      </c>
      <c r="P8" s="31">
        <v>31956</v>
      </c>
      <c r="Q8" s="31">
        <v>37733</v>
      </c>
      <c r="R8" s="31">
        <v>42680</v>
      </c>
      <c r="S8" s="31">
        <v>60226</v>
      </c>
      <c r="T8" s="31">
        <v>65166</v>
      </c>
      <c r="U8" s="31">
        <v>70161</v>
      </c>
      <c r="V8" s="31">
        <v>69876</v>
      </c>
      <c r="W8" s="31">
        <v>68098</v>
      </c>
      <c r="X8" s="31">
        <v>66303</v>
      </c>
      <c r="Y8" s="31">
        <v>63813</v>
      </c>
      <c r="Z8" s="31">
        <v>60409</v>
      </c>
      <c r="AA8" s="31">
        <f t="shared" ref="AA8:AA54" si="0">SUM(C8:Z8)</f>
        <v>1141020</v>
      </c>
      <c r="AB8" s="32">
        <v>4</v>
      </c>
      <c r="AC8" s="31">
        <f t="shared" ref="AC8:AC54" si="1">+AA8*AB8</f>
        <v>4564080</v>
      </c>
      <c r="AD8" s="133"/>
    </row>
    <row r="9" spans="1:30" x14ac:dyDescent="0.35">
      <c r="A9" s="130"/>
      <c r="B9" s="33" t="s">
        <v>45</v>
      </c>
      <c r="C9" s="31">
        <v>54249</v>
      </c>
      <c r="D9" s="31">
        <v>51660</v>
      </c>
      <c r="E9" s="31">
        <v>49510</v>
      </c>
      <c r="F9" s="31">
        <v>47814</v>
      </c>
      <c r="G9" s="31">
        <v>46849</v>
      </c>
      <c r="H9" s="31">
        <v>46378</v>
      </c>
      <c r="I9" s="31">
        <v>29507</v>
      </c>
      <c r="J9" s="31">
        <v>21274</v>
      </c>
      <c r="K9" s="31">
        <v>17908</v>
      </c>
      <c r="L9" s="31">
        <v>18049</v>
      </c>
      <c r="M9" s="31">
        <v>18442</v>
      </c>
      <c r="N9" s="31">
        <v>18440</v>
      </c>
      <c r="O9" s="31">
        <v>20249</v>
      </c>
      <c r="P9" s="31">
        <v>22300</v>
      </c>
      <c r="Q9" s="31">
        <v>27100</v>
      </c>
      <c r="R9" s="31">
        <v>32607</v>
      </c>
      <c r="S9" s="31">
        <v>51338</v>
      </c>
      <c r="T9" s="31">
        <v>58178</v>
      </c>
      <c r="U9" s="31">
        <v>64163</v>
      </c>
      <c r="V9" s="31">
        <v>65848</v>
      </c>
      <c r="W9" s="31">
        <v>65631</v>
      </c>
      <c r="X9" s="31">
        <v>64757</v>
      </c>
      <c r="Y9" s="31">
        <v>61963</v>
      </c>
      <c r="Z9" s="31">
        <v>58025</v>
      </c>
      <c r="AA9" s="31">
        <f t="shared" si="0"/>
        <v>1012239</v>
      </c>
      <c r="AB9" s="32">
        <v>4</v>
      </c>
      <c r="AC9" s="31">
        <f t="shared" si="1"/>
        <v>4048956</v>
      </c>
      <c r="AD9" s="133"/>
    </row>
    <row r="10" spans="1:30" x14ac:dyDescent="0.35">
      <c r="A10" s="131"/>
      <c r="B10" s="34" t="s">
        <v>46</v>
      </c>
      <c r="C10" s="31">
        <v>46843</v>
      </c>
      <c r="D10" s="31">
        <v>45614</v>
      </c>
      <c r="E10" s="31">
        <v>44511</v>
      </c>
      <c r="F10" s="31">
        <v>43398</v>
      </c>
      <c r="G10" s="31">
        <v>42822</v>
      </c>
      <c r="H10" s="31">
        <v>42333</v>
      </c>
      <c r="I10" s="31">
        <v>24991</v>
      </c>
      <c r="J10" s="31">
        <v>16296</v>
      </c>
      <c r="K10" s="31">
        <v>12440</v>
      </c>
      <c r="L10" s="31">
        <v>12557</v>
      </c>
      <c r="M10" s="31">
        <v>13404</v>
      </c>
      <c r="N10" s="31">
        <v>13400</v>
      </c>
      <c r="O10" s="31">
        <v>15300</v>
      </c>
      <c r="P10" s="31">
        <v>17621</v>
      </c>
      <c r="Q10" s="31">
        <v>22220</v>
      </c>
      <c r="R10" s="31">
        <v>27465</v>
      </c>
      <c r="S10" s="31">
        <v>45811</v>
      </c>
      <c r="T10" s="31">
        <v>54103</v>
      </c>
      <c r="U10" s="31">
        <v>60573</v>
      </c>
      <c r="V10" s="31">
        <v>61767</v>
      </c>
      <c r="W10" s="31">
        <v>61088</v>
      </c>
      <c r="X10" s="31">
        <v>59676</v>
      </c>
      <c r="Y10" s="31">
        <v>57138</v>
      </c>
      <c r="Z10" s="31">
        <v>53911</v>
      </c>
      <c r="AA10" s="31">
        <f t="shared" si="0"/>
        <v>895282</v>
      </c>
      <c r="AB10" s="32">
        <v>2</v>
      </c>
      <c r="AC10" s="31">
        <f t="shared" si="1"/>
        <v>1790564</v>
      </c>
      <c r="AD10" s="134"/>
    </row>
    <row r="11" spans="1:30" x14ac:dyDescent="0.35">
      <c r="A11" s="129">
        <v>47150</v>
      </c>
      <c r="B11" s="30" t="s">
        <v>43</v>
      </c>
      <c r="C11" s="31">
        <v>58903</v>
      </c>
      <c r="D11" s="31">
        <v>55883</v>
      </c>
      <c r="E11" s="31">
        <v>53760</v>
      </c>
      <c r="F11" s="31">
        <v>52328</v>
      </c>
      <c r="G11" s="31">
        <v>52269</v>
      </c>
      <c r="H11" s="31">
        <v>54721</v>
      </c>
      <c r="I11" s="31">
        <v>40256</v>
      </c>
      <c r="J11" s="31">
        <v>36120</v>
      </c>
      <c r="K11" s="31">
        <v>35850</v>
      </c>
      <c r="L11" s="31">
        <v>37163</v>
      </c>
      <c r="M11" s="31">
        <v>39500</v>
      </c>
      <c r="N11" s="31">
        <v>38802</v>
      </c>
      <c r="O11" s="31">
        <v>34707</v>
      </c>
      <c r="P11" s="31">
        <v>42546</v>
      </c>
      <c r="Q11" s="31">
        <v>53197</v>
      </c>
      <c r="R11" s="31">
        <v>59596</v>
      </c>
      <c r="S11" s="31">
        <v>77125</v>
      </c>
      <c r="T11" s="31">
        <v>77736</v>
      </c>
      <c r="U11" s="31">
        <v>78986</v>
      </c>
      <c r="V11" s="31">
        <v>78894</v>
      </c>
      <c r="W11" s="31">
        <v>77933</v>
      </c>
      <c r="X11" s="31">
        <v>75823</v>
      </c>
      <c r="Y11" s="31">
        <v>71250</v>
      </c>
      <c r="Z11" s="31">
        <v>65607</v>
      </c>
      <c r="AA11" s="31">
        <f t="shared" si="0"/>
        <v>1348955</v>
      </c>
      <c r="AB11" s="32">
        <v>20</v>
      </c>
      <c r="AC11" s="31">
        <f t="shared" si="1"/>
        <v>26979100</v>
      </c>
      <c r="AD11" s="132">
        <f>+SUM(AC11:AC14)</f>
        <v>36552052</v>
      </c>
    </row>
    <row r="12" spans="1:30" x14ac:dyDescent="0.35">
      <c r="A12" s="130"/>
      <c r="B12" s="33" t="s">
        <v>44</v>
      </c>
      <c r="C12" s="31">
        <v>57525</v>
      </c>
      <c r="D12" s="31">
        <v>54622</v>
      </c>
      <c r="E12" s="31">
        <v>52565</v>
      </c>
      <c r="F12" s="31">
        <v>51139</v>
      </c>
      <c r="G12" s="31">
        <v>50670</v>
      </c>
      <c r="H12" s="31">
        <v>51466</v>
      </c>
      <c r="I12" s="31">
        <v>36684</v>
      </c>
      <c r="J12" s="31">
        <v>32661</v>
      </c>
      <c r="K12" s="31">
        <v>33180</v>
      </c>
      <c r="L12" s="31">
        <v>34645</v>
      </c>
      <c r="M12" s="31">
        <v>36403</v>
      </c>
      <c r="N12" s="31">
        <v>36052</v>
      </c>
      <c r="O12" s="31">
        <v>34092</v>
      </c>
      <c r="P12" s="31">
        <v>36390</v>
      </c>
      <c r="Q12" s="31">
        <v>42881</v>
      </c>
      <c r="R12" s="31">
        <v>48348</v>
      </c>
      <c r="S12" s="31">
        <v>65961</v>
      </c>
      <c r="T12" s="31">
        <v>70001</v>
      </c>
      <c r="U12" s="31">
        <v>74451</v>
      </c>
      <c r="V12" s="31">
        <v>74944</v>
      </c>
      <c r="W12" s="31">
        <v>73098</v>
      </c>
      <c r="X12" s="31">
        <v>71109</v>
      </c>
      <c r="Y12" s="31">
        <v>68522</v>
      </c>
      <c r="Z12" s="31">
        <v>64813</v>
      </c>
      <c r="AA12" s="31">
        <f t="shared" si="0"/>
        <v>1252222</v>
      </c>
      <c r="AB12" s="32">
        <v>4</v>
      </c>
      <c r="AC12" s="31">
        <f t="shared" si="1"/>
        <v>5008888</v>
      </c>
      <c r="AD12" s="133"/>
    </row>
    <row r="13" spans="1:30" x14ac:dyDescent="0.35">
      <c r="A13" s="130"/>
      <c r="B13" s="33" t="s">
        <v>45</v>
      </c>
      <c r="C13" s="31">
        <v>58651</v>
      </c>
      <c r="D13" s="31">
        <v>55566</v>
      </c>
      <c r="E13" s="31">
        <v>53424</v>
      </c>
      <c r="F13" s="31">
        <v>51713</v>
      </c>
      <c r="G13" s="31">
        <v>50751</v>
      </c>
      <c r="H13" s="31">
        <v>50461</v>
      </c>
      <c r="I13" s="31">
        <v>34031</v>
      </c>
      <c r="J13" s="31">
        <v>26203</v>
      </c>
      <c r="K13" s="31">
        <v>22494</v>
      </c>
      <c r="L13" s="31">
        <v>22775</v>
      </c>
      <c r="M13" s="31">
        <v>23378</v>
      </c>
      <c r="N13" s="31">
        <v>23503</v>
      </c>
      <c r="O13" s="31">
        <v>25396</v>
      </c>
      <c r="P13" s="31">
        <v>27460</v>
      </c>
      <c r="Q13" s="31">
        <v>32955</v>
      </c>
      <c r="R13" s="31">
        <v>39204</v>
      </c>
      <c r="S13" s="31">
        <v>58350</v>
      </c>
      <c r="T13" s="31">
        <v>64180</v>
      </c>
      <c r="U13" s="31">
        <v>69686</v>
      </c>
      <c r="V13" s="31">
        <v>72561</v>
      </c>
      <c r="W13" s="31">
        <v>72947</v>
      </c>
      <c r="X13" s="31">
        <v>72419</v>
      </c>
      <c r="Y13" s="31">
        <v>68899</v>
      </c>
      <c r="Z13" s="31">
        <v>64009</v>
      </c>
      <c r="AA13" s="31">
        <f t="shared" si="0"/>
        <v>1141016</v>
      </c>
      <c r="AB13" s="32">
        <v>4</v>
      </c>
      <c r="AC13" s="31">
        <f t="shared" si="1"/>
        <v>4564064</v>
      </c>
      <c r="AD13" s="133"/>
    </row>
    <row r="14" spans="1:30" x14ac:dyDescent="0.35">
      <c r="A14" s="131"/>
      <c r="B14" s="34" t="s">
        <v>46</v>
      </c>
      <c r="C14" s="31">
        <v>0</v>
      </c>
      <c r="D14" s="31">
        <v>0</v>
      </c>
      <c r="E14" s="31">
        <v>0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f t="shared" si="0"/>
        <v>0</v>
      </c>
      <c r="AB14" s="32">
        <v>0</v>
      </c>
      <c r="AC14" s="31">
        <f t="shared" si="1"/>
        <v>0</v>
      </c>
      <c r="AD14" s="134"/>
    </row>
    <row r="15" spans="1:30" x14ac:dyDescent="0.35">
      <c r="A15" s="129">
        <v>47178</v>
      </c>
      <c r="B15" s="30" t="s">
        <v>43</v>
      </c>
      <c r="C15" s="31">
        <v>53565</v>
      </c>
      <c r="D15" s="31">
        <v>50736</v>
      </c>
      <c r="E15" s="31">
        <v>48779</v>
      </c>
      <c r="F15" s="31">
        <v>47369</v>
      </c>
      <c r="G15" s="31">
        <v>47218</v>
      </c>
      <c r="H15" s="31">
        <v>48845</v>
      </c>
      <c r="I15" s="31">
        <v>33478</v>
      </c>
      <c r="J15" s="31">
        <v>29176</v>
      </c>
      <c r="K15" s="31">
        <v>28843</v>
      </c>
      <c r="L15" s="31">
        <v>29824</v>
      </c>
      <c r="M15" s="31">
        <v>31778</v>
      </c>
      <c r="N15" s="31">
        <v>31412</v>
      </c>
      <c r="O15" s="31">
        <v>28259</v>
      </c>
      <c r="P15" s="31">
        <v>35210</v>
      </c>
      <c r="Q15" s="31">
        <v>44751</v>
      </c>
      <c r="R15" s="31">
        <v>50427</v>
      </c>
      <c r="S15" s="31">
        <v>68121</v>
      </c>
      <c r="T15" s="31">
        <v>69903</v>
      </c>
      <c r="U15" s="31">
        <v>71550</v>
      </c>
      <c r="V15" s="31">
        <v>71461</v>
      </c>
      <c r="W15" s="31">
        <v>70692</v>
      </c>
      <c r="X15" s="31">
        <v>69009</v>
      </c>
      <c r="Y15" s="31">
        <v>65261</v>
      </c>
      <c r="Z15" s="31">
        <v>60339</v>
      </c>
      <c r="AA15" s="31">
        <f t="shared" si="0"/>
        <v>1186006</v>
      </c>
      <c r="AB15" s="32">
        <v>19</v>
      </c>
      <c r="AC15" s="31">
        <f t="shared" si="1"/>
        <v>22534114</v>
      </c>
      <c r="AD15" s="132">
        <f>+SUM(AC15:AC18)</f>
        <v>35263004</v>
      </c>
    </row>
    <row r="16" spans="1:30" x14ac:dyDescent="0.35">
      <c r="A16" s="130"/>
      <c r="B16" s="33" t="s">
        <v>44</v>
      </c>
      <c r="C16" s="31">
        <v>54938</v>
      </c>
      <c r="D16" s="31">
        <v>51968</v>
      </c>
      <c r="E16" s="31">
        <v>49872</v>
      </c>
      <c r="F16" s="31">
        <v>48197</v>
      </c>
      <c r="G16" s="31">
        <v>47467</v>
      </c>
      <c r="H16" s="31">
        <v>47627</v>
      </c>
      <c r="I16" s="31">
        <v>32200</v>
      </c>
      <c r="J16" s="31">
        <v>28118</v>
      </c>
      <c r="K16" s="31">
        <v>28105</v>
      </c>
      <c r="L16" s="31">
        <v>29179</v>
      </c>
      <c r="M16" s="31">
        <v>30864</v>
      </c>
      <c r="N16" s="31">
        <v>30258</v>
      </c>
      <c r="O16" s="31">
        <v>28570</v>
      </c>
      <c r="P16" s="31">
        <v>30866</v>
      </c>
      <c r="Q16" s="31">
        <v>36728</v>
      </c>
      <c r="R16" s="31">
        <v>41814</v>
      </c>
      <c r="S16" s="31">
        <v>59571</v>
      </c>
      <c r="T16" s="31">
        <v>64452</v>
      </c>
      <c r="U16" s="31">
        <v>68747</v>
      </c>
      <c r="V16" s="31">
        <v>69080</v>
      </c>
      <c r="W16" s="31">
        <v>67598</v>
      </c>
      <c r="X16" s="31">
        <v>66098</v>
      </c>
      <c r="Y16" s="31">
        <v>64041</v>
      </c>
      <c r="Z16" s="31">
        <v>60944</v>
      </c>
      <c r="AA16" s="31">
        <f t="shared" si="0"/>
        <v>1137302</v>
      </c>
      <c r="AB16" s="32">
        <v>5</v>
      </c>
      <c r="AC16" s="31">
        <f t="shared" si="1"/>
        <v>5686510</v>
      </c>
      <c r="AD16" s="133"/>
    </row>
    <row r="17" spans="1:30" x14ac:dyDescent="0.35">
      <c r="A17" s="130"/>
      <c r="B17" s="33" t="s">
        <v>45</v>
      </c>
      <c r="C17" s="31">
        <v>55125</v>
      </c>
      <c r="D17" s="31">
        <v>52274</v>
      </c>
      <c r="E17" s="31">
        <v>50245</v>
      </c>
      <c r="F17" s="31">
        <v>48600</v>
      </c>
      <c r="G17" s="31">
        <v>47622</v>
      </c>
      <c r="H17" s="31">
        <v>47004</v>
      </c>
      <c r="I17" s="31">
        <v>30020</v>
      </c>
      <c r="J17" s="31">
        <v>22006</v>
      </c>
      <c r="K17" s="31">
        <v>18458</v>
      </c>
      <c r="L17" s="31">
        <v>18183</v>
      </c>
      <c r="M17" s="31">
        <v>18200</v>
      </c>
      <c r="N17" s="31">
        <v>18426</v>
      </c>
      <c r="O17" s="31">
        <v>20309</v>
      </c>
      <c r="P17" s="31">
        <v>22432</v>
      </c>
      <c r="Q17" s="31">
        <v>27650</v>
      </c>
      <c r="R17" s="31">
        <v>33224</v>
      </c>
      <c r="S17" s="31">
        <v>52088</v>
      </c>
      <c r="T17" s="31">
        <v>58733</v>
      </c>
      <c r="U17" s="31">
        <v>63917</v>
      </c>
      <c r="V17" s="31">
        <v>66538</v>
      </c>
      <c r="W17" s="31">
        <v>67099</v>
      </c>
      <c r="X17" s="31">
        <v>66793</v>
      </c>
      <c r="Y17" s="31">
        <v>63746</v>
      </c>
      <c r="Z17" s="31">
        <v>59504</v>
      </c>
      <c r="AA17" s="31">
        <f t="shared" si="0"/>
        <v>1028196</v>
      </c>
      <c r="AB17" s="32">
        <v>4</v>
      </c>
      <c r="AC17" s="31">
        <f t="shared" si="1"/>
        <v>4112784</v>
      </c>
      <c r="AD17" s="133"/>
    </row>
    <row r="18" spans="1:30" x14ac:dyDescent="0.35">
      <c r="A18" s="131"/>
      <c r="B18" s="34" t="s">
        <v>46</v>
      </c>
      <c r="C18" s="31">
        <v>49028</v>
      </c>
      <c r="D18" s="31">
        <v>46155</v>
      </c>
      <c r="E18" s="31">
        <v>44303</v>
      </c>
      <c r="F18" s="31">
        <v>43044</v>
      </c>
      <c r="G18" s="31">
        <v>42407</v>
      </c>
      <c r="H18" s="31">
        <v>42275</v>
      </c>
      <c r="I18" s="31">
        <v>26287</v>
      </c>
      <c r="J18" s="31">
        <v>20072</v>
      </c>
      <c r="K18" s="31">
        <v>17822</v>
      </c>
      <c r="L18" s="31">
        <v>18733</v>
      </c>
      <c r="M18" s="31">
        <v>20271</v>
      </c>
      <c r="N18" s="31">
        <v>20490</v>
      </c>
      <c r="O18" s="31">
        <v>20684</v>
      </c>
      <c r="P18" s="31">
        <v>23433</v>
      </c>
      <c r="Q18" s="31">
        <v>28220</v>
      </c>
      <c r="R18" s="31">
        <v>32965</v>
      </c>
      <c r="S18" s="31">
        <v>50923</v>
      </c>
      <c r="T18" s="31">
        <v>57092</v>
      </c>
      <c r="U18" s="31">
        <v>62918</v>
      </c>
      <c r="V18" s="31">
        <v>65446</v>
      </c>
      <c r="W18" s="31">
        <v>65373</v>
      </c>
      <c r="X18" s="31">
        <v>63864</v>
      </c>
      <c r="Y18" s="31">
        <v>59632</v>
      </c>
      <c r="Z18" s="31">
        <v>55095</v>
      </c>
      <c r="AA18" s="31">
        <f t="shared" si="0"/>
        <v>976532</v>
      </c>
      <c r="AB18" s="32">
        <v>3</v>
      </c>
      <c r="AC18" s="31">
        <f t="shared" si="1"/>
        <v>2929596</v>
      </c>
      <c r="AD18" s="134"/>
    </row>
    <row r="19" spans="1:30" x14ac:dyDescent="0.35">
      <c r="A19" s="129">
        <v>47209</v>
      </c>
      <c r="B19" s="30" t="s">
        <v>43</v>
      </c>
      <c r="C19" s="31">
        <v>56152</v>
      </c>
      <c r="D19" s="31">
        <v>53168</v>
      </c>
      <c r="E19" s="31">
        <v>51126</v>
      </c>
      <c r="F19" s="31">
        <v>49694</v>
      </c>
      <c r="G19" s="31">
        <v>49533</v>
      </c>
      <c r="H19" s="31">
        <v>50249</v>
      </c>
      <c r="I19" s="31">
        <v>35319</v>
      </c>
      <c r="J19" s="31">
        <v>32028</v>
      </c>
      <c r="K19" s="31">
        <v>32633</v>
      </c>
      <c r="L19" s="31">
        <v>34177</v>
      </c>
      <c r="M19" s="31">
        <v>36701</v>
      </c>
      <c r="N19" s="31">
        <v>36697</v>
      </c>
      <c r="O19" s="31">
        <v>32971</v>
      </c>
      <c r="P19" s="31">
        <v>40246</v>
      </c>
      <c r="Q19" s="31">
        <v>50522</v>
      </c>
      <c r="R19" s="31">
        <v>56135</v>
      </c>
      <c r="S19" s="31">
        <v>73330</v>
      </c>
      <c r="T19" s="31">
        <v>74117</v>
      </c>
      <c r="U19" s="31">
        <v>75385</v>
      </c>
      <c r="V19" s="31">
        <v>75042</v>
      </c>
      <c r="W19" s="31">
        <v>74468</v>
      </c>
      <c r="X19" s="31">
        <v>72653</v>
      </c>
      <c r="Y19" s="31">
        <v>68646</v>
      </c>
      <c r="Z19" s="31">
        <v>63352</v>
      </c>
      <c r="AA19" s="31">
        <f t="shared" si="0"/>
        <v>1274344</v>
      </c>
      <c r="AB19" s="32">
        <v>21</v>
      </c>
      <c r="AC19" s="31">
        <f t="shared" si="1"/>
        <v>26761224</v>
      </c>
      <c r="AD19" s="132">
        <f>+SUM(AC19:AC22)</f>
        <v>36938684</v>
      </c>
    </row>
    <row r="20" spans="1:30" x14ac:dyDescent="0.35">
      <c r="A20" s="130"/>
      <c r="B20" s="33" t="s">
        <v>44</v>
      </c>
      <c r="C20" s="31">
        <v>56907</v>
      </c>
      <c r="D20" s="31">
        <v>53909</v>
      </c>
      <c r="E20" s="31">
        <v>51721</v>
      </c>
      <c r="F20" s="31">
        <v>50076</v>
      </c>
      <c r="G20" s="31">
        <v>49396</v>
      </c>
      <c r="H20" s="31">
        <v>48569</v>
      </c>
      <c r="I20" s="31">
        <v>33607</v>
      </c>
      <c r="J20" s="31">
        <v>29628</v>
      </c>
      <c r="K20" s="31">
        <v>30393</v>
      </c>
      <c r="L20" s="31">
        <v>32056</v>
      </c>
      <c r="M20" s="31">
        <v>33861</v>
      </c>
      <c r="N20" s="31">
        <v>33811</v>
      </c>
      <c r="O20" s="31">
        <v>32426</v>
      </c>
      <c r="P20" s="31">
        <v>34999</v>
      </c>
      <c r="Q20" s="31">
        <v>41125</v>
      </c>
      <c r="R20" s="31">
        <v>46077</v>
      </c>
      <c r="S20" s="31">
        <v>63321</v>
      </c>
      <c r="T20" s="31">
        <v>67457</v>
      </c>
      <c r="U20" s="31">
        <v>71392</v>
      </c>
      <c r="V20" s="31">
        <v>70946</v>
      </c>
      <c r="W20" s="31">
        <v>69399</v>
      </c>
      <c r="X20" s="31">
        <v>67712</v>
      </c>
      <c r="Y20" s="31">
        <v>65427</v>
      </c>
      <c r="Z20" s="31">
        <v>62280</v>
      </c>
      <c r="AA20" s="31">
        <f t="shared" si="0"/>
        <v>1196495</v>
      </c>
      <c r="AB20" s="32">
        <v>4</v>
      </c>
      <c r="AC20" s="31">
        <f t="shared" si="1"/>
        <v>4785980</v>
      </c>
      <c r="AD20" s="133"/>
    </row>
    <row r="21" spans="1:30" x14ac:dyDescent="0.35">
      <c r="A21" s="130"/>
      <c r="B21" s="33" t="s">
        <v>45</v>
      </c>
      <c r="C21" s="31">
        <v>57083</v>
      </c>
      <c r="D21" s="31">
        <v>53973</v>
      </c>
      <c r="E21" s="31">
        <v>51708</v>
      </c>
      <c r="F21" s="31">
        <v>49900</v>
      </c>
      <c r="G21" s="31">
        <v>48867</v>
      </c>
      <c r="H21" s="31">
        <v>47435</v>
      </c>
      <c r="I21" s="31">
        <v>31117</v>
      </c>
      <c r="J21" s="31">
        <v>23708</v>
      </c>
      <c r="K21" s="31">
        <v>20299</v>
      </c>
      <c r="L21" s="31">
        <v>20396</v>
      </c>
      <c r="M21" s="31">
        <v>21087</v>
      </c>
      <c r="N21" s="31">
        <v>21673</v>
      </c>
      <c r="O21" s="31">
        <v>23502</v>
      </c>
      <c r="P21" s="31">
        <v>25786</v>
      </c>
      <c r="Q21" s="31">
        <v>31186</v>
      </c>
      <c r="R21" s="31">
        <v>36766</v>
      </c>
      <c r="S21" s="31">
        <v>55299</v>
      </c>
      <c r="T21" s="31">
        <v>61121</v>
      </c>
      <c r="U21" s="31">
        <v>66236</v>
      </c>
      <c r="V21" s="31">
        <v>68332</v>
      </c>
      <c r="W21" s="31">
        <v>68343</v>
      </c>
      <c r="X21" s="31">
        <v>68111</v>
      </c>
      <c r="Y21" s="31">
        <v>65354</v>
      </c>
      <c r="Z21" s="31">
        <v>61014</v>
      </c>
      <c r="AA21" s="31">
        <f t="shared" si="0"/>
        <v>1078296</v>
      </c>
      <c r="AB21" s="32">
        <v>5</v>
      </c>
      <c r="AC21" s="31">
        <f t="shared" si="1"/>
        <v>5391480</v>
      </c>
      <c r="AD21" s="133"/>
    </row>
    <row r="22" spans="1:30" x14ac:dyDescent="0.35">
      <c r="A22" s="131"/>
      <c r="B22" s="34" t="s">
        <v>46</v>
      </c>
      <c r="C22" s="31">
        <v>0</v>
      </c>
      <c r="D22" s="31">
        <v>0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f t="shared" si="0"/>
        <v>0</v>
      </c>
      <c r="AB22" s="32">
        <v>0</v>
      </c>
      <c r="AC22" s="31">
        <f t="shared" si="1"/>
        <v>0</v>
      </c>
      <c r="AD22" s="134"/>
    </row>
    <row r="23" spans="1:30" x14ac:dyDescent="0.35">
      <c r="A23" s="129">
        <v>47239</v>
      </c>
      <c r="B23" s="30" t="s">
        <v>43</v>
      </c>
      <c r="C23" s="31">
        <v>56310</v>
      </c>
      <c r="D23" s="31">
        <v>53483</v>
      </c>
      <c r="E23" s="31">
        <v>51404</v>
      </c>
      <c r="F23" s="31">
        <v>49950</v>
      </c>
      <c r="G23" s="31">
        <v>49577</v>
      </c>
      <c r="H23" s="31">
        <v>49238</v>
      </c>
      <c r="I23" s="31">
        <v>34601</v>
      </c>
      <c r="J23" s="31">
        <v>31558</v>
      </c>
      <c r="K23" s="31">
        <v>32669</v>
      </c>
      <c r="L23" s="31">
        <v>34426</v>
      </c>
      <c r="M23" s="31">
        <v>36774</v>
      </c>
      <c r="N23" s="31">
        <v>36572</v>
      </c>
      <c r="O23" s="31">
        <v>32990</v>
      </c>
      <c r="P23" s="31">
        <v>40013</v>
      </c>
      <c r="Q23" s="31">
        <v>49945</v>
      </c>
      <c r="R23" s="31">
        <v>55022</v>
      </c>
      <c r="S23" s="31">
        <v>71975</v>
      </c>
      <c r="T23" s="31">
        <v>72495</v>
      </c>
      <c r="U23" s="31">
        <v>73504</v>
      </c>
      <c r="V23" s="31">
        <v>73588</v>
      </c>
      <c r="W23" s="31">
        <v>73341</v>
      </c>
      <c r="X23" s="31">
        <v>71861</v>
      </c>
      <c r="Y23" s="31">
        <v>68092</v>
      </c>
      <c r="Z23" s="31">
        <v>63111</v>
      </c>
      <c r="AA23" s="31">
        <f t="shared" si="0"/>
        <v>1262499</v>
      </c>
      <c r="AB23" s="32">
        <v>21</v>
      </c>
      <c r="AC23" s="31">
        <f t="shared" si="1"/>
        <v>26512479</v>
      </c>
      <c r="AD23" s="132">
        <f>+SUM(AC23:AC26)</f>
        <v>37563901</v>
      </c>
    </row>
    <row r="24" spans="1:30" x14ac:dyDescent="0.35">
      <c r="A24" s="130"/>
      <c r="B24" s="33" t="s">
        <v>44</v>
      </c>
      <c r="C24" s="31">
        <v>58422</v>
      </c>
      <c r="D24" s="31">
        <v>55224</v>
      </c>
      <c r="E24" s="31">
        <v>52885</v>
      </c>
      <c r="F24" s="31">
        <v>51062</v>
      </c>
      <c r="G24" s="31">
        <v>50325</v>
      </c>
      <c r="H24" s="31">
        <v>48837</v>
      </c>
      <c r="I24" s="31">
        <v>33983</v>
      </c>
      <c r="J24" s="31">
        <v>30085</v>
      </c>
      <c r="K24" s="31">
        <v>31311</v>
      </c>
      <c r="L24" s="31">
        <v>33274</v>
      </c>
      <c r="M24" s="31">
        <v>35097</v>
      </c>
      <c r="N24" s="31">
        <v>34561</v>
      </c>
      <c r="O24" s="31">
        <v>32792</v>
      </c>
      <c r="P24" s="31">
        <v>35114</v>
      </c>
      <c r="Q24" s="31">
        <v>40706</v>
      </c>
      <c r="R24" s="31">
        <v>45585</v>
      </c>
      <c r="S24" s="31">
        <v>62657</v>
      </c>
      <c r="T24" s="31">
        <v>65962</v>
      </c>
      <c r="U24" s="31">
        <v>69674</v>
      </c>
      <c r="V24" s="31">
        <v>70212</v>
      </c>
      <c r="W24" s="31">
        <v>68955</v>
      </c>
      <c r="X24" s="31">
        <v>67652</v>
      </c>
      <c r="Y24" s="31">
        <v>65574</v>
      </c>
      <c r="Z24" s="31">
        <v>62496</v>
      </c>
      <c r="AA24" s="31">
        <f t="shared" si="0"/>
        <v>1202445</v>
      </c>
      <c r="AB24" s="32">
        <v>4</v>
      </c>
      <c r="AC24" s="31">
        <f t="shared" si="1"/>
        <v>4809780</v>
      </c>
      <c r="AD24" s="133"/>
    </row>
    <row r="25" spans="1:30" x14ac:dyDescent="0.35">
      <c r="A25" s="130"/>
      <c r="B25" s="33" t="s">
        <v>45</v>
      </c>
      <c r="C25" s="31">
        <v>56733</v>
      </c>
      <c r="D25" s="31">
        <v>53973</v>
      </c>
      <c r="E25" s="31">
        <v>51883</v>
      </c>
      <c r="F25" s="31">
        <v>50149</v>
      </c>
      <c r="G25" s="31">
        <v>49044</v>
      </c>
      <c r="H25" s="31">
        <v>46787</v>
      </c>
      <c r="I25" s="31">
        <v>31074</v>
      </c>
      <c r="J25" s="31">
        <v>23428</v>
      </c>
      <c r="K25" s="31">
        <v>20118</v>
      </c>
      <c r="L25" s="31">
        <v>20196</v>
      </c>
      <c r="M25" s="31">
        <v>21019</v>
      </c>
      <c r="N25" s="31">
        <v>20965</v>
      </c>
      <c r="O25" s="31">
        <v>21945</v>
      </c>
      <c r="P25" s="31">
        <v>23773</v>
      </c>
      <c r="Q25" s="31">
        <v>29226</v>
      </c>
      <c r="R25" s="31">
        <v>34427</v>
      </c>
      <c r="S25" s="31">
        <v>52974</v>
      </c>
      <c r="T25" s="31">
        <v>58827</v>
      </c>
      <c r="U25" s="31">
        <v>63801</v>
      </c>
      <c r="V25" s="31">
        <v>66174</v>
      </c>
      <c r="W25" s="31">
        <v>66644</v>
      </c>
      <c r="X25" s="31">
        <v>66719</v>
      </c>
      <c r="Y25" s="31">
        <v>64465</v>
      </c>
      <c r="Z25" s="31">
        <v>60581</v>
      </c>
      <c r="AA25" s="31">
        <f t="shared" si="0"/>
        <v>1054925</v>
      </c>
      <c r="AB25" s="32">
        <v>4</v>
      </c>
      <c r="AC25" s="31">
        <f t="shared" si="1"/>
        <v>4219700</v>
      </c>
      <c r="AD25" s="133"/>
    </row>
    <row r="26" spans="1:30" x14ac:dyDescent="0.35">
      <c r="A26" s="131"/>
      <c r="B26" s="34" t="s">
        <v>46</v>
      </c>
      <c r="C26" s="31">
        <v>50969</v>
      </c>
      <c r="D26" s="31">
        <v>48254</v>
      </c>
      <c r="E26" s="31">
        <v>46327</v>
      </c>
      <c r="F26" s="31">
        <v>44928</v>
      </c>
      <c r="G26" s="31">
        <v>44288</v>
      </c>
      <c r="H26" s="31">
        <v>42794</v>
      </c>
      <c r="I26" s="31">
        <v>27490</v>
      </c>
      <c r="J26" s="31">
        <v>20963</v>
      </c>
      <c r="K26" s="31">
        <v>18552</v>
      </c>
      <c r="L26" s="31">
        <v>19468</v>
      </c>
      <c r="M26" s="31">
        <v>21076</v>
      </c>
      <c r="N26" s="31">
        <v>21382</v>
      </c>
      <c r="O26" s="31">
        <v>21995</v>
      </c>
      <c r="P26" s="31">
        <v>24597</v>
      </c>
      <c r="Q26" s="31">
        <v>29973</v>
      </c>
      <c r="R26" s="31">
        <v>35046</v>
      </c>
      <c r="S26" s="31">
        <v>52924</v>
      </c>
      <c r="T26" s="31">
        <v>58025</v>
      </c>
      <c r="U26" s="31">
        <v>63207</v>
      </c>
      <c r="V26" s="31">
        <v>66068</v>
      </c>
      <c r="W26" s="31">
        <v>66379</v>
      </c>
      <c r="X26" s="31">
        <v>65612</v>
      </c>
      <c r="Y26" s="31">
        <v>62430</v>
      </c>
      <c r="Z26" s="31">
        <v>58224</v>
      </c>
      <c r="AA26" s="31">
        <f t="shared" si="0"/>
        <v>1010971</v>
      </c>
      <c r="AB26" s="32">
        <v>2</v>
      </c>
      <c r="AC26" s="31">
        <f t="shared" si="1"/>
        <v>2021942</v>
      </c>
      <c r="AD26" s="134"/>
    </row>
    <row r="27" spans="1:30" x14ac:dyDescent="0.35">
      <c r="A27" s="129">
        <v>47270</v>
      </c>
      <c r="B27" s="30" t="s">
        <v>43</v>
      </c>
      <c r="C27" s="31">
        <v>58310</v>
      </c>
      <c r="D27" s="31">
        <v>55280</v>
      </c>
      <c r="E27" s="31">
        <v>53057</v>
      </c>
      <c r="F27" s="31">
        <v>51528</v>
      </c>
      <c r="G27" s="31">
        <v>51141</v>
      </c>
      <c r="H27" s="31">
        <v>50611</v>
      </c>
      <c r="I27" s="31">
        <v>36608</v>
      </c>
      <c r="J27" s="31">
        <v>34091</v>
      </c>
      <c r="K27" s="31">
        <v>35337</v>
      </c>
      <c r="L27" s="31">
        <v>36948</v>
      </c>
      <c r="M27" s="31">
        <v>39250</v>
      </c>
      <c r="N27" s="31">
        <v>39275</v>
      </c>
      <c r="O27" s="31">
        <v>35146</v>
      </c>
      <c r="P27" s="31">
        <v>42079</v>
      </c>
      <c r="Q27" s="31">
        <v>52025</v>
      </c>
      <c r="R27" s="31">
        <v>57450</v>
      </c>
      <c r="S27" s="31">
        <v>74729</v>
      </c>
      <c r="T27" s="31">
        <v>75325</v>
      </c>
      <c r="U27" s="31">
        <v>75695</v>
      </c>
      <c r="V27" s="31">
        <v>76293</v>
      </c>
      <c r="W27" s="31">
        <v>75615</v>
      </c>
      <c r="X27" s="31">
        <v>73836</v>
      </c>
      <c r="Y27" s="31">
        <v>70119</v>
      </c>
      <c r="Z27" s="31">
        <v>65131</v>
      </c>
      <c r="AA27" s="31">
        <f t="shared" si="0"/>
        <v>1314879</v>
      </c>
      <c r="AB27" s="32">
        <v>19</v>
      </c>
      <c r="AC27" s="31">
        <f t="shared" si="1"/>
        <v>24982701</v>
      </c>
      <c r="AD27" s="132">
        <f>+SUM(AC27:AC30)</f>
        <v>37841320</v>
      </c>
    </row>
    <row r="28" spans="1:30" x14ac:dyDescent="0.35">
      <c r="A28" s="130"/>
      <c r="B28" s="33" t="s">
        <v>44</v>
      </c>
      <c r="C28" s="31">
        <v>59294</v>
      </c>
      <c r="D28" s="31">
        <v>56347</v>
      </c>
      <c r="E28" s="31">
        <v>54119</v>
      </c>
      <c r="F28" s="31">
        <v>52470</v>
      </c>
      <c r="G28" s="31">
        <v>51901</v>
      </c>
      <c r="H28" s="31">
        <v>50464</v>
      </c>
      <c r="I28" s="31">
        <v>36245</v>
      </c>
      <c r="J28" s="31">
        <v>32598</v>
      </c>
      <c r="K28" s="31">
        <v>33588</v>
      </c>
      <c r="L28" s="31">
        <v>35264</v>
      </c>
      <c r="M28" s="31">
        <v>37146</v>
      </c>
      <c r="N28" s="31">
        <v>36729</v>
      </c>
      <c r="O28" s="31">
        <v>34673</v>
      </c>
      <c r="P28" s="31">
        <v>36409</v>
      </c>
      <c r="Q28" s="31">
        <v>42707</v>
      </c>
      <c r="R28" s="31">
        <v>47988</v>
      </c>
      <c r="S28" s="31">
        <v>65313</v>
      </c>
      <c r="T28" s="31">
        <v>69263</v>
      </c>
      <c r="U28" s="31">
        <v>72277</v>
      </c>
      <c r="V28" s="31">
        <v>73183</v>
      </c>
      <c r="W28" s="31">
        <v>71641</v>
      </c>
      <c r="X28" s="31">
        <v>70038</v>
      </c>
      <c r="Y28" s="31">
        <v>67852</v>
      </c>
      <c r="Z28" s="31">
        <v>64768</v>
      </c>
      <c r="AA28" s="31">
        <f t="shared" si="0"/>
        <v>1252277</v>
      </c>
      <c r="AB28" s="32">
        <v>5</v>
      </c>
      <c r="AC28" s="31">
        <f t="shared" si="1"/>
        <v>6261385</v>
      </c>
      <c r="AD28" s="133"/>
    </row>
    <row r="29" spans="1:30" x14ac:dyDescent="0.35">
      <c r="A29" s="130"/>
      <c r="B29" s="33" t="s">
        <v>45</v>
      </c>
      <c r="C29" s="31">
        <v>58901</v>
      </c>
      <c r="D29" s="31">
        <v>56064</v>
      </c>
      <c r="E29" s="31">
        <v>53964</v>
      </c>
      <c r="F29" s="31">
        <v>52274</v>
      </c>
      <c r="G29" s="31">
        <v>51265</v>
      </c>
      <c r="H29" s="31">
        <v>49071</v>
      </c>
      <c r="I29" s="31">
        <v>33290</v>
      </c>
      <c r="J29" s="31">
        <v>25888</v>
      </c>
      <c r="K29" s="31">
        <v>21963</v>
      </c>
      <c r="L29" s="31">
        <v>22463</v>
      </c>
      <c r="M29" s="31">
        <v>22365</v>
      </c>
      <c r="N29" s="31">
        <v>22185</v>
      </c>
      <c r="O29" s="31">
        <v>23673</v>
      </c>
      <c r="P29" s="31">
        <v>25559</v>
      </c>
      <c r="Q29" s="31">
        <v>30742</v>
      </c>
      <c r="R29" s="31">
        <v>36183</v>
      </c>
      <c r="S29" s="31">
        <v>55268</v>
      </c>
      <c r="T29" s="31">
        <v>61053</v>
      </c>
      <c r="U29" s="31">
        <v>65788</v>
      </c>
      <c r="V29" s="31">
        <v>69324</v>
      </c>
      <c r="W29" s="31">
        <v>69595</v>
      </c>
      <c r="X29" s="31">
        <v>69393</v>
      </c>
      <c r="Y29" s="31">
        <v>67350</v>
      </c>
      <c r="Z29" s="31">
        <v>63795</v>
      </c>
      <c r="AA29" s="31">
        <f t="shared" si="0"/>
        <v>1107416</v>
      </c>
      <c r="AB29" s="32">
        <v>4</v>
      </c>
      <c r="AC29" s="31">
        <f t="shared" si="1"/>
        <v>4429664</v>
      </c>
      <c r="AD29" s="133"/>
    </row>
    <row r="30" spans="1:30" x14ac:dyDescent="0.35">
      <c r="A30" s="131"/>
      <c r="B30" s="34" t="s">
        <v>46</v>
      </c>
      <c r="C30" s="31">
        <v>53730</v>
      </c>
      <c r="D30" s="31">
        <v>50986</v>
      </c>
      <c r="E30" s="31">
        <v>49097</v>
      </c>
      <c r="F30" s="31">
        <v>47588</v>
      </c>
      <c r="G30" s="31">
        <v>47030</v>
      </c>
      <c r="H30" s="31">
        <v>45420</v>
      </c>
      <c r="I30" s="31">
        <v>30144</v>
      </c>
      <c r="J30" s="31">
        <v>24242</v>
      </c>
      <c r="K30" s="31">
        <v>22417</v>
      </c>
      <c r="L30" s="31">
        <v>23725</v>
      </c>
      <c r="M30" s="31">
        <v>25508</v>
      </c>
      <c r="N30" s="31">
        <v>25658</v>
      </c>
      <c r="O30" s="31">
        <v>25938</v>
      </c>
      <c r="P30" s="31">
        <v>28284</v>
      </c>
      <c r="Q30" s="31">
        <v>33327</v>
      </c>
      <c r="R30" s="31">
        <v>37992</v>
      </c>
      <c r="S30" s="31">
        <v>55671</v>
      </c>
      <c r="T30" s="31">
        <v>60816</v>
      </c>
      <c r="U30" s="31">
        <v>65350</v>
      </c>
      <c r="V30" s="31">
        <v>69244</v>
      </c>
      <c r="W30" s="31">
        <v>68995</v>
      </c>
      <c r="X30" s="31">
        <v>67834</v>
      </c>
      <c r="Y30" s="31">
        <v>64585</v>
      </c>
      <c r="Z30" s="31">
        <v>60204</v>
      </c>
      <c r="AA30" s="31">
        <f t="shared" si="0"/>
        <v>1083785</v>
      </c>
      <c r="AB30" s="32">
        <v>2</v>
      </c>
      <c r="AC30" s="31">
        <f t="shared" si="1"/>
        <v>2167570</v>
      </c>
      <c r="AD30" s="134"/>
    </row>
    <row r="31" spans="1:30" x14ac:dyDescent="0.35">
      <c r="A31" s="129">
        <v>47300</v>
      </c>
      <c r="B31" s="30" t="s">
        <v>43</v>
      </c>
      <c r="C31" s="31">
        <v>55690</v>
      </c>
      <c r="D31" s="31">
        <v>52759</v>
      </c>
      <c r="E31" s="31">
        <v>50658</v>
      </c>
      <c r="F31" s="31">
        <v>49053</v>
      </c>
      <c r="G31" s="31">
        <v>48563</v>
      </c>
      <c r="H31" s="31">
        <v>48521</v>
      </c>
      <c r="I31" s="31">
        <v>34063</v>
      </c>
      <c r="J31" s="31">
        <v>30837</v>
      </c>
      <c r="K31" s="31">
        <v>31846</v>
      </c>
      <c r="L31" s="31">
        <v>33457</v>
      </c>
      <c r="M31" s="31">
        <v>35707</v>
      </c>
      <c r="N31" s="31">
        <v>35154</v>
      </c>
      <c r="O31" s="31">
        <v>30913</v>
      </c>
      <c r="P31" s="31">
        <v>37734</v>
      </c>
      <c r="Q31" s="31">
        <v>47438</v>
      </c>
      <c r="R31" s="31">
        <v>52784</v>
      </c>
      <c r="S31" s="31">
        <v>69736</v>
      </c>
      <c r="T31" s="31">
        <v>70900</v>
      </c>
      <c r="U31" s="31">
        <v>70848</v>
      </c>
      <c r="V31" s="31">
        <v>72394</v>
      </c>
      <c r="W31" s="31">
        <v>72102</v>
      </c>
      <c r="X31" s="31">
        <v>70765</v>
      </c>
      <c r="Y31" s="31">
        <v>67345</v>
      </c>
      <c r="Z31" s="31">
        <v>62643</v>
      </c>
      <c r="AA31" s="31">
        <f t="shared" si="0"/>
        <v>1231910</v>
      </c>
      <c r="AB31" s="32">
        <v>20</v>
      </c>
      <c r="AC31" s="31">
        <f t="shared" si="1"/>
        <v>24638200</v>
      </c>
      <c r="AD31" s="132">
        <f>+SUM(AC31:AC34)</f>
        <v>36528245</v>
      </c>
    </row>
    <row r="32" spans="1:30" x14ac:dyDescent="0.35">
      <c r="A32" s="130"/>
      <c r="B32" s="33" t="s">
        <v>44</v>
      </c>
      <c r="C32" s="31">
        <v>55169</v>
      </c>
      <c r="D32" s="31">
        <v>52333</v>
      </c>
      <c r="E32" s="31">
        <v>50371</v>
      </c>
      <c r="F32" s="31">
        <v>48786</v>
      </c>
      <c r="G32" s="31">
        <v>48177</v>
      </c>
      <c r="H32" s="31">
        <v>47110</v>
      </c>
      <c r="I32" s="31">
        <v>32348</v>
      </c>
      <c r="J32" s="31">
        <v>28506</v>
      </c>
      <c r="K32" s="31">
        <v>29158</v>
      </c>
      <c r="L32" s="31">
        <v>30813</v>
      </c>
      <c r="M32" s="31">
        <v>32269</v>
      </c>
      <c r="N32" s="31">
        <v>32275</v>
      </c>
      <c r="O32" s="31">
        <v>30475</v>
      </c>
      <c r="P32" s="31">
        <v>32692</v>
      </c>
      <c r="Q32" s="31">
        <v>38783</v>
      </c>
      <c r="R32" s="31">
        <v>43385</v>
      </c>
      <c r="S32" s="31">
        <v>60508</v>
      </c>
      <c r="T32" s="31">
        <v>64607</v>
      </c>
      <c r="U32" s="31">
        <v>67693</v>
      </c>
      <c r="V32" s="31">
        <v>69634</v>
      </c>
      <c r="W32" s="31">
        <v>68143</v>
      </c>
      <c r="X32" s="31">
        <v>66772</v>
      </c>
      <c r="Y32" s="31">
        <v>65042</v>
      </c>
      <c r="Z32" s="31">
        <v>62320</v>
      </c>
      <c r="AA32" s="31">
        <f t="shared" si="0"/>
        <v>1157369</v>
      </c>
      <c r="AB32" s="32">
        <v>4</v>
      </c>
      <c r="AC32" s="31">
        <f t="shared" si="1"/>
        <v>4629476</v>
      </c>
      <c r="AD32" s="133"/>
    </row>
    <row r="33" spans="1:30" x14ac:dyDescent="0.35">
      <c r="A33" s="130"/>
      <c r="B33" s="33" t="s">
        <v>45</v>
      </c>
      <c r="C33" s="31">
        <v>56500</v>
      </c>
      <c r="D33" s="31">
        <v>53568</v>
      </c>
      <c r="E33" s="31">
        <v>51407</v>
      </c>
      <c r="F33" s="31">
        <v>49797</v>
      </c>
      <c r="G33" s="31">
        <v>48725</v>
      </c>
      <c r="H33" s="31">
        <v>46886</v>
      </c>
      <c r="I33" s="31">
        <v>30841</v>
      </c>
      <c r="J33" s="31">
        <v>22627</v>
      </c>
      <c r="K33" s="31">
        <v>19176</v>
      </c>
      <c r="L33" s="31">
        <v>19094</v>
      </c>
      <c r="M33" s="31">
        <v>19357</v>
      </c>
      <c r="N33" s="31">
        <v>18903</v>
      </c>
      <c r="O33" s="31">
        <v>20666</v>
      </c>
      <c r="P33" s="31">
        <v>22634</v>
      </c>
      <c r="Q33" s="31">
        <v>27414</v>
      </c>
      <c r="R33" s="31">
        <v>33160</v>
      </c>
      <c r="S33" s="31">
        <v>51669</v>
      </c>
      <c r="T33" s="31">
        <v>58436</v>
      </c>
      <c r="U33" s="31">
        <v>62297</v>
      </c>
      <c r="V33" s="31">
        <v>66024</v>
      </c>
      <c r="W33" s="31">
        <v>66610</v>
      </c>
      <c r="X33" s="31">
        <v>66541</v>
      </c>
      <c r="Y33" s="31">
        <v>64288</v>
      </c>
      <c r="Z33" s="31">
        <v>60747</v>
      </c>
      <c r="AA33" s="31">
        <f t="shared" si="0"/>
        <v>1037367</v>
      </c>
      <c r="AB33" s="32">
        <v>5</v>
      </c>
      <c r="AC33" s="31">
        <f t="shared" si="1"/>
        <v>5186835</v>
      </c>
      <c r="AD33" s="133"/>
    </row>
    <row r="34" spans="1:30" x14ac:dyDescent="0.35">
      <c r="A34" s="131"/>
      <c r="B34" s="34" t="s">
        <v>46</v>
      </c>
      <c r="C34" s="31">
        <v>53113</v>
      </c>
      <c r="D34" s="31">
        <v>50290</v>
      </c>
      <c r="E34" s="31">
        <v>48193</v>
      </c>
      <c r="F34" s="31">
        <v>46823</v>
      </c>
      <c r="G34" s="31">
        <v>46154</v>
      </c>
      <c r="H34" s="31">
        <v>44908</v>
      </c>
      <c r="I34" s="31">
        <v>29380</v>
      </c>
      <c r="J34" s="31">
        <v>22929</v>
      </c>
      <c r="K34" s="31">
        <v>20816</v>
      </c>
      <c r="L34" s="31">
        <v>21493</v>
      </c>
      <c r="M34" s="31">
        <v>22498</v>
      </c>
      <c r="N34" s="31">
        <v>22173</v>
      </c>
      <c r="O34" s="31">
        <v>21944</v>
      </c>
      <c r="P34" s="31">
        <v>24842</v>
      </c>
      <c r="Q34" s="31">
        <v>30219</v>
      </c>
      <c r="R34" s="31">
        <v>35512</v>
      </c>
      <c r="S34" s="31">
        <v>53442</v>
      </c>
      <c r="T34" s="31">
        <v>58799</v>
      </c>
      <c r="U34" s="31">
        <v>62653</v>
      </c>
      <c r="V34" s="31">
        <v>66810</v>
      </c>
      <c r="W34" s="31">
        <v>66743</v>
      </c>
      <c r="X34" s="31">
        <v>65805</v>
      </c>
      <c r="Y34" s="31">
        <v>62826</v>
      </c>
      <c r="Z34" s="31">
        <v>58502</v>
      </c>
      <c r="AA34" s="31">
        <f t="shared" si="0"/>
        <v>1036867</v>
      </c>
      <c r="AB34" s="32">
        <v>2</v>
      </c>
      <c r="AC34" s="31">
        <f>+AA34*AB34</f>
        <v>2073734</v>
      </c>
      <c r="AD34" s="134"/>
    </row>
    <row r="35" spans="1:30" x14ac:dyDescent="0.35">
      <c r="A35" s="129">
        <v>47331</v>
      </c>
      <c r="B35" s="30" t="s">
        <v>43</v>
      </c>
      <c r="C35" s="31">
        <v>57873</v>
      </c>
      <c r="D35" s="31">
        <v>54911</v>
      </c>
      <c r="E35" s="31">
        <v>52665</v>
      </c>
      <c r="F35" s="31">
        <v>50972</v>
      </c>
      <c r="G35" s="31">
        <v>50405</v>
      </c>
      <c r="H35" s="31">
        <v>50394</v>
      </c>
      <c r="I35" s="31">
        <v>35466</v>
      </c>
      <c r="J35" s="31">
        <v>32459</v>
      </c>
      <c r="K35" s="31">
        <v>33289</v>
      </c>
      <c r="L35" s="31">
        <v>35328</v>
      </c>
      <c r="M35" s="31">
        <v>37735</v>
      </c>
      <c r="N35" s="31">
        <v>37575</v>
      </c>
      <c r="O35" s="31">
        <v>33481</v>
      </c>
      <c r="P35" s="31">
        <v>41033</v>
      </c>
      <c r="Q35" s="31">
        <v>51335</v>
      </c>
      <c r="R35" s="31">
        <v>56604</v>
      </c>
      <c r="S35" s="31">
        <v>73606</v>
      </c>
      <c r="T35" s="31">
        <v>73324</v>
      </c>
      <c r="U35" s="31">
        <v>73774</v>
      </c>
      <c r="V35" s="31">
        <v>74392</v>
      </c>
      <c r="W35" s="31">
        <v>74307</v>
      </c>
      <c r="X35" s="31">
        <v>73165</v>
      </c>
      <c r="Y35" s="31">
        <v>69560</v>
      </c>
      <c r="Z35" s="31">
        <v>64826</v>
      </c>
      <c r="AA35" s="31">
        <f t="shared" si="0"/>
        <v>1288479</v>
      </c>
      <c r="AB35" s="32">
        <v>21</v>
      </c>
      <c r="AC35" s="31">
        <f t="shared" si="1"/>
        <v>27058059</v>
      </c>
      <c r="AD35" s="132">
        <f>+SUM(AC35:AC38)</f>
        <v>38495261</v>
      </c>
    </row>
    <row r="36" spans="1:30" x14ac:dyDescent="0.35">
      <c r="A36" s="130"/>
      <c r="B36" s="33" t="s">
        <v>44</v>
      </c>
      <c r="C36" s="31">
        <v>60829</v>
      </c>
      <c r="D36" s="31">
        <v>57642</v>
      </c>
      <c r="E36" s="31">
        <v>55189</v>
      </c>
      <c r="F36" s="31">
        <v>53294</v>
      </c>
      <c r="G36" s="31">
        <v>52290</v>
      </c>
      <c r="H36" s="31">
        <v>51103</v>
      </c>
      <c r="I36" s="31">
        <v>35917</v>
      </c>
      <c r="J36" s="31">
        <v>32422</v>
      </c>
      <c r="K36" s="31">
        <v>33114</v>
      </c>
      <c r="L36" s="31">
        <v>35100</v>
      </c>
      <c r="M36" s="31">
        <v>36501</v>
      </c>
      <c r="N36" s="31">
        <v>37019</v>
      </c>
      <c r="O36" s="31">
        <v>34694</v>
      </c>
      <c r="P36" s="31">
        <v>37317</v>
      </c>
      <c r="Q36" s="31">
        <v>43294</v>
      </c>
      <c r="R36" s="31">
        <v>48069</v>
      </c>
      <c r="S36" s="31">
        <v>65377</v>
      </c>
      <c r="T36" s="31">
        <v>67901</v>
      </c>
      <c r="U36" s="31">
        <v>71544</v>
      </c>
      <c r="V36" s="31">
        <v>72057</v>
      </c>
      <c r="W36" s="31">
        <v>70492</v>
      </c>
      <c r="X36" s="31">
        <v>69680</v>
      </c>
      <c r="Y36" s="31">
        <v>68122</v>
      </c>
      <c r="Z36" s="31">
        <v>65199</v>
      </c>
      <c r="AA36" s="31">
        <f t="shared" si="0"/>
        <v>1254166</v>
      </c>
      <c r="AB36" s="32">
        <v>4</v>
      </c>
      <c r="AC36" s="31">
        <f t="shared" si="1"/>
        <v>5016664</v>
      </c>
      <c r="AD36" s="133"/>
    </row>
    <row r="37" spans="1:30" x14ac:dyDescent="0.35">
      <c r="A37" s="130"/>
      <c r="B37" s="33" t="s">
        <v>45</v>
      </c>
      <c r="C37" s="31">
        <v>59576</v>
      </c>
      <c r="D37" s="31">
        <v>56544</v>
      </c>
      <c r="E37" s="31">
        <v>54135</v>
      </c>
      <c r="F37" s="31">
        <v>52287</v>
      </c>
      <c r="G37" s="31">
        <v>50913</v>
      </c>
      <c r="H37" s="31">
        <v>48534</v>
      </c>
      <c r="I37" s="31">
        <v>31955</v>
      </c>
      <c r="J37" s="31">
        <v>24584</v>
      </c>
      <c r="K37" s="31">
        <v>20916</v>
      </c>
      <c r="L37" s="31">
        <v>20434</v>
      </c>
      <c r="M37" s="31">
        <v>21093</v>
      </c>
      <c r="N37" s="31">
        <v>20284</v>
      </c>
      <c r="O37" s="31">
        <v>22124</v>
      </c>
      <c r="P37" s="31">
        <v>25143</v>
      </c>
      <c r="Q37" s="31">
        <v>29966</v>
      </c>
      <c r="R37" s="31">
        <v>35569</v>
      </c>
      <c r="S37" s="31">
        <v>53251</v>
      </c>
      <c r="T37" s="31">
        <v>58383</v>
      </c>
      <c r="U37" s="31">
        <v>63307</v>
      </c>
      <c r="V37" s="31">
        <v>66057</v>
      </c>
      <c r="W37" s="31">
        <v>66769</v>
      </c>
      <c r="X37" s="31">
        <v>66999</v>
      </c>
      <c r="Y37" s="31">
        <v>64977</v>
      </c>
      <c r="Z37" s="31">
        <v>61283</v>
      </c>
      <c r="AA37" s="31">
        <f t="shared" si="0"/>
        <v>1075083</v>
      </c>
      <c r="AB37" s="32">
        <v>4</v>
      </c>
      <c r="AC37" s="31">
        <f t="shared" si="1"/>
        <v>4300332</v>
      </c>
      <c r="AD37" s="133"/>
    </row>
    <row r="38" spans="1:30" x14ac:dyDescent="0.35">
      <c r="A38" s="131"/>
      <c r="B38" s="34" t="s">
        <v>46</v>
      </c>
      <c r="C38" s="31">
        <v>52726</v>
      </c>
      <c r="D38" s="31">
        <v>50222</v>
      </c>
      <c r="E38" s="31">
        <v>48234</v>
      </c>
      <c r="F38" s="31">
        <v>46879</v>
      </c>
      <c r="G38" s="31">
        <v>46233</v>
      </c>
      <c r="H38" s="31">
        <v>44982</v>
      </c>
      <c r="I38" s="31">
        <v>28991</v>
      </c>
      <c r="J38" s="31">
        <v>22641</v>
      </c>
      <c r="K38" s="31">
        <v>20611</v>
      </c>
      <c r="L38" s="31">
        <v>22109</v>
      </c>
      <c r="M38" s="31">
        <v>23714</v>
      </c>
      <c r="N38" s="31">
        <v>24262</v>
      </c>
      <c r="O38" s="31">
        <v>24783</v>
      </c>
      <c r="P38" s="31">
        <v>27314</v>
      </c>
      <c r="Q38" s="31">
        <v>32641</v>
      </c>
      <c r="R38" s="31">
        <v>38216</v>
      </c>
      <c r="S38" s="31">
        <v>55885</v>
      </c>
      <c r="T38" s="31">
        <v>59640</v>
      </c>
      <c r="U38" s="31">
        <v>64593</v>
      </c>
      <c r="V38" s="31">
        <v>67175</v>
      </c>
      <c r="W38" s="31">
        <v>67014</v>
      </c>
      <c r="X38" s="31">
        <v>66977</v>
      </c>
      <c r="Y38" s="31">
        <v>64211</v>
      </c>
      <c r="Z38" s="31">
        <v>60050</v>
      </c>
      <c r="AA38" s="31">
        <f t="shared" si="0"/>
        <v>1060103</v>
      </c>
      <c r="AB38" s="32">
        <v>2</v>
      </c>
      <c r="AC38" s="31">
        <f t="shared" si="1"/>
        <v>2120206</v>
      </c>
      <c r="AD38" s="134"/>
    </row>
    <row r="39" spans="1:30" x14ac:dyDescent="0.35">
      <c r="A39" s="129">
        <v>47362</v>
      </c>
      <c r="B39" s="30" t="s">
        <v>43</v>
      </c>
      <c r="C39" s="31">
        <v>61086</v>
      </c>
      <c r="D39" s="31">
        <v>57798</v>
      </c>
      <c r="E39" s="31">
        <v>55367</v>
      </c>
      <c r="F39" s="31">
        <v>53497</v>
      </c>
      <c r="G39" s="31">
        <v>52832</v>
      </c>
      <c r="H39" s="31">
        <v>52664</v>
      </c>
      <c r="I39" s="31">
        <v>38005</v>
      </c>
      <c r="J39" s="31">
        <v>35479</v>
      </c>
      <c r="K39" s="31">
        <v>36622</v>
      </c>
      <c r="L39" s="31">
        <v>38840</v>
      </c>
      <c r="M39" s="31">
        <v>41480</v>
      </c>
      <c r="N39" s="31">
        <v>41361</v>
      </c>
      <c r="O39" s="31">
        <v>37431</v>
      </c>
      <c r="P39" s="31">
        <v>45540</v>
      </c>
      <c r="Q39" s="31">
        <v>55820</v>
      </c>
      <c r="R39" s="31">
        <v>61071</v>
      </c>
      <c r="S39" s="31">
        <v>77527</v>
      </c>
      <c r="T39" s="31">
        <v>77606</v>
      </c>
      <c r="U39" s="31">
        <v>78732</v>
      </c>
      <c r="V39" s="31">
        <v>77513</v>
      </c>
      <c r="W39" s="31">
        <v>77211</v>
      </c>
      <c r="X39" s="31">
        <v>76165</v>
      </c>
      <c r="Y39" s="31">
        <v>72556</v>
      </c>
      <c r="Z39" s="31">
        <v>67331</v>
      </c>
      <c r="AA39" s="31">
        <f t="shared" si="0"/>
        <v>1369534</v>
      </c>
      <c r="AB39" s="32">
        <v>20</v>
      </c>
      <c r="AC39" s="31">
        <f t="shared" si="1"/>
        <v>27390680</v>
      </c>
      <c r="AD39" s="132">
        <f>+SUM(AC39:AC42)</f>
        <v>39826410</v>
      </c>
    </row>
    <row r="40" spans="1:30" x14ac:dyDescent="0.35">
      <c r="A40" s="130"/>
      <c r="B40" s="33" t="s">
        <v>44</v>
      </c>
      <c r="C40" s="31">
        <v>62322</v>
      </c>
      <c r="D40" s="31">
        <v>59286</v>
      </c>
      <c r="E40" s="31">
        <v>56881</v>
      </c>
      <c r="F40" s="31">
        <v>54842</v>
      </c>
      <c r="G40" s="31">
        <v>53869</v>
      </c>
      <c r="H40" s="31">
        <v>52501</v>
      </c>
      <c r="I40" s="31">
        <v>37634</v>
      </c>
      <c r="J40" s="31">
        <v>34716</v>
      </c>
      <c r="K40" s="31">
        <v>35979</v>
      </c>
      <c r="L40" s="31">
        <v>37800</v>
      </c>
      <c r="M40" s="31">
        <v>40156</v>
      </c>
      <c r="N40" s="31">
        <v>40171</v>
      </c>
      <c r="O40" s="31">
        <v>38218</v>
      </c>
      <c r="P40" s="31">
        <v>41050</v>
      </c>
      <c r="Q40" s="31">
        <v>47365</v>
      </c>
      <c r="R40" s="31">
        <v>52048</v>
      </c>
      <c r="S40" s="31">
        <v>68795</v>
      </c>
      <c r="T40" s="31">
        <v>72141</v>
      </c>
      <c r="U40" s="31">
        <v>76395</v>
      </c>
      <c r="V40" s="31">
        <v>75294</v>
      </c>
      <c r="W40" s="31">
        <v>73315</v>
      </c>
      <c r="X40" s="31">
        <v>71843</v>
      </c>
      <c r="Y40" s="31">
        <v>70135</v>
      </c>
      <c r="Z40" s="31">
        <v>67289</v>
      </c>
      <c r="AA40" s="31">
        <f t="shared" si="0"/>
        <v>1320045</v>
      </c>
      <c r="AB40" s="32">
        <v>5</v>
      </c>
      <c r="AC40" s="31">
        <f t="shared" si="1"/>
        <v>6600225</v>
      </c>
      <c r="AD40" s="133"/>
    </row>
    <row r="41" spans="1:30" x14ac:dyDescent="0.35">
      <c r="A41" s="130"/>
      <c r="B41" s="33" t="s">
        <v>45</v>
      </c>
      <c r="C41" s="31">
        <v>61673</v>
      </c>
      <c r="D41" s="31">
        <v>58723</v>
      </c>
      <c r="E41" s="31">
        <v>56455</v>
      </c>
      <c r="F41" s="31">
        <v>54645</v>
      </c>
      <c r="G41" s="31">
        <v>53418</v>
      </c>
      <c r="H41" s="31">
        <v>51553</v>
      </c>
      <c r="I41" s="31">
        <v>35428</v>
      </c>
      <c r="J41" s="31">
        <v>27876</v>
      </c>
      <c r="K41" s="31">
        <v>24034</v>
      </c>
      <c r="L41" s="31">
        <v>23548</v>
      </c>
      <c r="M41" s="31">
        <v>24412</v>
      </c>
      <c r="N41" s="31">
        <v>24815</v>
      </c>
      <c r="O41" s="31">
        <v>25956</v>
      </c>
      <c r="P41" s="31">
        <v>28878</v>
      </c>
      <c r="Q41" s="31">
        <v>34778</v>
      </c>
      <c r="R41" s="31">
        <v>40061</v>
      </c>
      <c r="S41" s="31">
        <v>58368</v>
      </c>
      <c r="T41" s="31">
        <v>63610</v>
      </c>
      <c r="U41" s="31">
        <v>69236</v>
      </c>
      <c r="V41" s="31">
        <v>70827</v>
      </c>
      <c r="W41" s="31">
        <v>71738</v>
      </c>
      <c r="X41" s="31">
        <v>72115</v>
      </c>
      <c r="Y41" s="31">
        <v>69650</v>
      </c>
      <c r="Z41" s="31">
        <v>65304</v>
      </c>
      <c r="AA41" s="31">
        <f t="shared" si="0"/>
        <v>1167101</v>
      </c>
      <c r="AB41" s="32">
        <v>5</v>
      </c>
      <c r="AC41" s="31">
        <f t="shared" si="1"/>
        <v>5835505</v>
      </c>
      <c r="AD41" s="133"/>
    </row>
    <row r="42" spans="1:30" x14ac:dyDescent="0.35">
      <c r="A42" s="131"/>
      <c r="B42" s="34" t="s">
        <v>46</v>
      </c>
      <c r="C42" s="31">
        <v>0</v>
      </c>
      <c r="D42" s="31">
        <v>0</v>
      </c>
      <c r="E42" s="31">
        <v>0</v>
      </c>
      <c r="F42" s="31">
        <v>0</v>
      </c>
      <c r="G42" s="31">
        <v>0</v>
      </c>
      <c r="H42" s="31">
        <v>0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0</v>
      </c>
      <c r="AA42" s="31">
        <f t="shared" si="0"/>
        <v>0</v>
      </c>
      <c r="AB42" s="32">
        <v>0</v>
      </c>
      <c r="AC42" s="31">
        <f t="shared" si="1"/>
        <v>0</v>
      </c>
      <c r="AD42" s="134"/>
    </row>
    <row r="43" spans="1:30" x14ac:dyDescent="0.35">
      <c r="A43" s="129">
        <v>47392</v>
      </c>
      <c r="B43" s="30" t="s">
        <v>43</v>
      </c>
      <c r="C43" s="31">
        <v>57910</v>
      </c>
      <c r="D43" s="31">
        <v>54890</v>
      </c>
      <c r="E43" s="31">
        <v>52728</v>
      </c>
      <c r="F43" s="31">
        <v>51234</v>
      </c>
      <c r="G43" s="31">
        <v>50799</v>
      </c>
      <c r="H43" s="31">
        <v>50622</v>
      </c>
      <c r="I43" s="31">
        <v>36086</v>
      </c>
      <c r="J43" s="31">
        <v>33419</v>
      </c>
      <c r="K43" s="31">
        <v>35167</v>
      </c>
      <c r="L43" s="31">
        <v>37478</v>
      </c>
      <c r="M43" s="31">
        <v>40219</v>
      </c>
      <c r="N43" s="31">
        <v>40472</v>
      </c>
      <c r="O43" s="31">
        <v>36673</v>
      </c>
      <c r="P43" s="31">
        <v>44211</v>
      </c>
      <c r="Q43" s="31">
        <v>54251</v>
      </c>
      <c r="R43" s="31">
        <v>59015</v>
      </c>
      <c r="S43" s="31">
        <v>75637</v>
      </c>
      <c r="T43" s="31">
        <v>78110</v>
      </c>
      <c r="U43" s="31">
        <v>78135</v>
      </c>
      <c r="V43" s="31">
        <v>75771</v>
      </c>
      <c r="W43" s="31">
        <v>74439</v>
      </c>
      <c r="X43" s="31">
        <v>72653</v>
      </c>
      <c r="Y43" s="31">
        <v>68771</v>
      </c>
      <c r="Z43" s="31">
        <v>63890</v>
      </c>
      <c r="AA43" s="31">
        <f t="shared" si="0"/>
        <v>1322580</v>
      </c>
      <c r="AB43" s="32">
        <v>22</v>
      </c>
      <c r="AC43" s="31">
        <f t="shared" si="1"/>
        <v>29096760</v>
      </c>
      <c r="AD43" s="132">
        <f>+SUM(AC43:AC46)</f>
        <v>39475538</v>
      </c>
    </row>
    <row r="44" spans="1:30" x14ac:dyDescent="0.35">
      <c r="A44" s="130"/>
      <c r="B44" s="33" t="s">
        <v>44</v>
      </c>
      <c r="C44" s="31">
        <v>56750</v>
      </c>
      <c r="D44" s="31">
        <v>53755</v>
      </c>
      <c r="E44" s="31">
        <v>51660</v>
      </c>
      <c r="F44" s="31">
        <v>49985</v>
      </c>
      <c r="G44" s="31">
        <v>49301</v>
      </c>
      <c r="H44" s="31">
        <v>48304</v>
      </c>
      <c r="I44" s="31">
        <v>33421</v>
      </c>
      <c r="J44" s="31">
        <v>29800</v>
      </c>
      <c r="K44" s="31">
        <v>31500</v>
      </c>
      <c r="L44" s="31">
        <v>33755</v>
      </c>
      <c r="M44" s="31">
        <v>35997</v>
      </c>
      <c r="N44" s="31">
        <v>36208</v>
      </c>
      <c r="O44" s="31">
        <v>34731</v>
      </c>
      <c r="P44" s="31">
        <v>36650</v>
      </c>
      <c r="Q44" s="31">
        <v>42474</v>
      </c>
      <c r="R44" s="31">
        <v>46632</v>
      </c>
      <c r="S44" s="31">
        <v>63944</v>
      </c>
      <c r="T44" s="31">
        <v>69427</v>
      </c>
      <c r="U44" s="31">
        <v>72230</v>
      </c>
      <c r="V44" s="31">
        <v>70464</v>
      </c>
      <c r="W44" s="31">
        <v>68698</v>
      </c>
      <c r="X44" s="31">
        <v>66756</v>
      </c>
      <c r="Y44" s="31">
        <v>64345</v>
      </c>
      <c r="Z44" s="31">
        <v>61205</v>
      </c>
      <c r="AA44" s="31">
        <f t="shared" si="0"/>
        <v>1207992</v>
      </c>
      <c r="AB44" s="32">
        <v>4</v>
      </c>
      <c r="AC44" s="31">
        <f t="shared" si="1"/>
        <v>4831968</v>
      </c>
      <c r="AD44" s="133"/>
    </row>
    <row r="45" spans="1:30" x14ac:dyDescent="0.35">
      <c r="A45" s="130"/>
      <c r="B45" s="33" t="s">
        <v>45</v>
      </c>
      <c r="C45" s="31">
        <v>57733</v>
      </c>
      <c r="D45" s="31">
        <v>54954</v>
      </c>
      <c r="E45" s="31">
        <v>52848</v>
      </c>
      <c r="F45" s="31">
        <v>51034</v>
      </c>
      <c r="G45" s="31">
        <v>49881</v>
      </c>
      <c r="H45" s="31">
        <v>48157</v>
      </c>
      <c r="I45" s="31">
        <v>32137</v>
      </c>
      <c r="J45" s="31">
        <v>24171</v>
      </c>
      <c r="K45" s="31">
        <v>20808</v>
      </c>
      <c r="L45" s="31">
        <v>21350</v>
      </c>
      <c r="M45" s="31">
        <v>22080</v>
      </c>
      <c r="N45" s="31">
        <v>22713</v>
      </c>
      <c r="O45" s="31">
        <v>24203</v>
      </c>
      <c r="P45" s="31">
        <v>26347</v>
      </c>
      <c r="Q45" s="31">
        <v>31447</v>
      </c>
      <c r="R45" s="31">
        <v>37289</v>
      </c>
      <c r="S45" s="31">
        <v>55736</v>
      </c>
      <c r="T45" s="31">
        <v>63168</v>
      </c>
      <c r="U45" s="31">
        <v>67369</v>
      </c>
      <c r="V45" s="31">
        <v>68000</v>
      </c>
      <c r="W45" s="31">
        <v>68284</v>
      </c>
      <c r="X45" s="31">
        <v>68001</v>
      </c>
      <c r="Y45" s="31">
        <v>65395</v>
      </c>
      <c r="Z45" s="31">
        <v>61571</v>
      </c>
      <c r="AA45" s="31">
        <f t="shared" si="0"/>
        <v>1094676</v>
      </c>
      <c r="AB45" s="32">
        <v>4</v>
      </c>
      <c r="AC45" s="31">
        <f t="shared" si="1"/>
        <v>4378704</v>
      </c>
      <c r="AD45" s="133"/>
    </row>
    <row r="46" spans="1:30" x14ac:dyDescent="0.35">
      <c r="A46" s="131"/>
      <c r="B46" s="34" t="s">
        <v>46</v>
      </c>
      <c r="C46" s="31">
        <v>57051</v>
      </c>
      <c r="D46" s="31">
        <v>54202</v>
      </c>
      <c r="E46" s="31">
        <v>52156</v>
      </c>
      <c r="F46" s="31">
        <v>50630</v>
      </c>
      <c r="G46" s="31">
        <v>49920</v>
      </c>
      <c r="H46" s="31">
        <v>47871</v>
      </c>
      <c r="I46" s="31">
        <v>31997</v>
      </c>
      <c r="J46" s="31">
        <v>26543</v>
      </c>
      <c r="K46" s="31">
        <v>25098</v>
      </c>
      <c r="L46" s="31">
        <v>26894</v>
      </c>
      <c r="M46" s="31">
        <v>28494</v>
      </c>
      <c r="N46" s="31">
        <v>28013</v>
      </c>
      <c r="O46" s="31">
        <v>29718</v>
      </c>
      <c r="P46" s="31">
        <v>32612</v>
      </c>
      <c r="Q46" s="31">
        <v>38676</v>
      </c>
      <c r="R46" s="31">
        <v>43130</v>
      </c>
      <c r="S46" s="31">
        <v>60861</v>
      </c>
      <c r="T46" s="31">
        <v>67029</v>
      </c>
      <c r="U46" s="31">
        <v>71120</v>
      </c>
      <c r="V46" s="31">
        <v>72252</v>
      </c>
      <c r="W46" s="31">
        <v>72196</v>
      </c>
      <c r="X46" s="31">
        <v>71150</v>
      </c>
      <c r="Y46" s="31">
        <v>67640</v>
      </c>
      <c r="Z46" s="31">
        <v>62853</v>
      </c>
      <c r="AA46" s="31">
        <f t="shared" si="0"/>
        <v>1168106</v>
      </c>
      <c r="AB46" s="32">
        <v>1</v>
      </c>
      <c r="AC46" s="31">
        <f t="shared" si="1"/>
        <v>1168106</v>
      </c>
      <c r="AD46" s="134"/>
    </row>
    <row r="47" spans="1:30" x14ac:dyDescent="0.35">
      <c r="A47" s="106">
        <v>47423</v>
      </c>
      <c r="B47" s="19" t="s">
        <v>43</v>
      </c>
      <c r="C47" s="31">
        <v>57723</v>
      </c>
      <c r="D47" s="31">
        <v>54785</v>
      </c>
      <c r="E47" s="31">
        <v>52704</v>
      </c>
      <c r="F47" s="31">
        <v>51360</v>
      </c>
      <c r="G47" s="31">
        <v>51196</v>
      </c>
      <c r="H47" s="31">
        <v>51561</v>
      </c>
      <c r="I47" s="31">
        <v>37701</v>
      </c>
      <c r="J47" s="31">
        <v>35298</v>
      </c>
      <c r="K47" s="31">
        <v>36722</v>
      </c>
      <c r="L47" s="31">
        <v>38680</v>
      </c>
      <c r="M47" s="31">
        <v>41340</v>
      </c>
      <c r="N47" s="31">
        <v>41587</v>
      </c>
      <c r="O47" s="31">
        <v>37633</v>
      </c>
      <c r="P47" s="31">
        <v>44454</v>
      </c>
      <c r="Q47" s="31">
        <v>54312</v>
      </c>
      <c r="R47" s="31">
        <v>59874</v>
      </c>
      <c r="S47" s="31">
        <v>76866</v>
      </c>
      <c r="T47" s="31">
        <v>80504</v>
      </c>
      <c r="U47" s="31">
        <v>80335</v>
      </c>
      <c r="V47" s="31">
        <v>77544</v>
      </c>
      <c r="W47" s="31">
        <v>75810</v>
      </c>
      <c r="X47" s="31">
        <v>73220</v>
      </c>
      <c r="Y47" s="31">
        <v>68994</v>
      </c>
      <c r="Z47" s="31">
        <v>63875</v>
      </c>
      <c r="AA47" s="21">
        <f t="shared" si="0"/>
        <v>1344078</v>
      </c>
      <c r="AB47" s="22">
        <v>20</v>
      </c>
      <c r="AC47" s="21">
        <f t="shared" si="1"/>
        <v>26881560</v>
      </c>
      <c r="AD47" s="109">
        <f>+SUM(AC47:AC50)</f>
        <v>38895632</v>
      </c>
    </row>
    <row r="48" spans="1:30" x14ac:dyDescent="0.35">
      <c r="A48" s="107"/>
      <c r="B48" s="23" t="s">
        <v>44</v>
      </c>
      <c r="C48" s="31">
        <v>58822</v>
      </c>
      <c r="D48" s="31">
        <v>55844</v>
      </c>
      <c r="E48" s="31">
        <v>53718</v>
      </c>
      <c r="F48" s="31">
        <v>52024</v>
      </c>
      <c r="G48" s="31">
        <v>51390</v>
      </c>
      <c r="H48" s="31">
        <v>50616</v>
      </c>
      <c r="I48" s="31">
        <v>36009</v>
      </c>
      <c r="J48" s="31">
        <v>33116</v>
      </c>
      <c r="K48" s="31">
        <v>34993</v>
      </c>
      <c r="L48" s="31">
        <v>37671</v>
      </c>
      <c r="M48" s="31">
        <v>39464</v>
      </c>
      <c r="N48" s="31">
        <v>39510</v>
      </c>
      <c r="O48" s="31">
        <v>37444</v>
      </c>
      <c r="P48" s="31">
        <v>39406</v>
      </c>
      <c r="Q48" s="31">
        <v>45127</v>
      </c>
      <c r="R48" s="31">
        <v>49614</v>
      </c>
      <c r="S48" s="31">
        <v>66982</v>
      </c>
      <c r="T48" s="31">
        <v>73202</v>
      </c>
      <c r="U48" s="31">
        <v>75479</v>
      </c>
      <c r="V48" s="31">
        <v>73388</v>
      </c>
      <c r="W48" s="31">
        <v>71202</v>
      </c>
      <c r="X48" s="31">
        <v>68705</v>
      </c>
      <c r="Y48" s="31">
        <v>66103</v>
      </c>
      <c r="Z48" s="31">
        <v>62953</v>
      </c>
      <c r="AA48" s="21">
        <f t="shared" si="0"/>
        <v>1272782</v>
      </c>
      <c r="AB48" s="22">
        <v>4</v>
      </c>
      <c r="AC48" s="21">
        <f t="shared" si="1"/>
        <v>5091128</v>
      </c>
      <c r="AD48" s="110"/>
    </row>
    <row r="49" spans="1:30" x14ac:dyDescent="0.35">
      <c r="A49" s="107"/>
      <c r="B49" s="23" t="s">
        <v>45</v>
      </c>
      <c r="C49" s="31">
        <v>58089</v>
      </c>
      <c r="D49" s="31">
        <v>55316</v>
      </c>
      <c r="E49" s="31">
        <v>53197</v>
      </c>
      <c r="F49" s="31">
        <v>51516</v>
      </c>
      <c r="G49" s="31">
        <v>50473</v>
      </c>
      <c r="H49" s="31">
        <v>49092</v>
      </c>
      <c r="I49" s="31">
        <v>33341</v>
      </c>
      <c r="J49" s="31">
        <v>26469</v>
      </c>
      <c r="K49" s="31">
        <v>23900</v>
      </c>
      <c r="L49" s="31">
        <v>24433</v>
      </c>
      <c r="M49" s="31">
        <v>25840</v>
      </c>
      <c r="N49" s="31">
        <v>25946</v>
      </c>
      <c r="O49" s="31">
        <v>27694</v>
      </c>
      <c r="P49" s="31">
        <v>29626</v>
      </c>
      <c r="Q49" s="31">
        <v>34492</v>
      </c>
      <c r="R49" s="31">
        <v>39378</v>
      </c>
      <c r="S49" s="31">
        <v>57835</v>
      </c>
      <c r="T49" s="31">
        <v>66345</v>
      </c>
      <c r="U49" s="31">
        <v>69787</v>
      </c>
      <c r="V49" s="31">
        <v>69868</v>
      </c>
      <c r="W49" s="31">
        <v>69225</v>
      </c>
      <c r="X49" s="31">
        <v>68183</v>
      </c>
      <c r="Y49" s="31">
        <v>65712</v>
      </c>
      <c r="Z49" s="31">
        <v>61942</v>
      </c>
      <c r="AA49" s="21">
        <f t="shared" si="0"/>
        <v>1137699</v>
      </c>
      <c r="AB49" s="22">
        <v>4</v>
      </c>
      <c r="AC49" s="21">
        <f t="shared" si="1"/>
        <v>4550796</v>
      </c>
      <c r="AD49" s="110"/>
    </row>
    <row r="50" spans="1:30" x14ac:dyDescent="0.35">
      <c r="A50" s="108"/>
      <c r="B50" s="24" t="s">
        <v>46</v>
      </c>
      <c r="C50" s="31">
        <v>56478</v>
      </c>
      <c r="D50" s="31">
        <v>53556</v>
      </c>
      <c r="E50" s="31">
        <v>51644</v>
      </c>
      <c r="F50" s="31">
        <v>50263</v>
      </c>
      <c r="G50" s="31">
        <v>49711</v>
      </c>
      <c r="H50" s="31">
        <v>48571</v>
      </c>
      <c r="I50" s="31">
        <v>32923</v>
      </c>
      <c r="J50" s="31">
        <v>27595</v>
      </c>
      <c r="K50" s="31">
        <v>26127</v>
      </c>
      <c r="L50" s="31">
        <v>28055</v>
      </c>
      <c r="M50" s="31">
        <v>30269</v>
      </c>
      <c r="N50" s="31">
        <v>30893</v>
      </c>
      <c r="O50" s="31">
        <v>31444</v>
      </c>
      <c r="P50" s="31">
        <v>34649</v>
      </c>
      <c r="Q50" s="31">
        <v>39709</v>
      </c>
      <c r="R50" s="31">
        <v>44439</v>
      </c>
      <c r="S50" s="31">
        <v>62513</v>
      </c>
      <c r="T50" s="31">
        <v>70008</v>
      </c>
      <c r="U50" s="31">
        <v>73288</v>
      </c>
      <c r="V50" s="31">
        <v>73166</v>
      </c>
      <c r="W50" s="31">
        <v>72155</v>
      </c>
      <c r="X50" s="31">
        <v>70259</v>
      </c>
      <c r="Y50" s="31">
        <v>66411</v>
      </c>
      <c r="Z50" s="31">
        <v>61948</v>
      </c>
      <c r="AA50" s="21">
        <f t="shared" si="0"/>
        <v>1186074</v>
      </c>
      <c r="AB50" s="22">
        <v>2</v>
      </c>
      <c r="AC50" s="21">
        <f t="shared" si="1"/>
        <v>2372148</v>
      </c>
      <c r="AD50" s="111"/>
    </row>
    <row r="51" spans="1:30" x14ac:dyDescent="0.35">
      <c r="A51" s="106">
        <v>47453</v>
      </c>
      <c r="B51" s="19" t="s">
        <v>43</v>
      </c>
      <c r="C51" s="31">
        <v>56826</v>
      </c>
      <c r="D51" s="31">
        <v>53917</v>
      </c>
      <c r="E51" s="31">
        <v>51898</v>
      </c>
      <c r="F51" s="31">
        <v>50413</v>
      </c>
      <c r="G51" s="31">
        <v>49948</v>
      </c>
      <c r="H51" s="31">
        <v>50014</v>
      </c>
      <c r="I51" s="31">
        <v>34906</v>
      </c>
      <c r="J51" s="31">
        <v>31625</v>
      </c>
      <c r="K51" s="31">
        <v>32567</v>
      </c>
      <c r="L51" s="31">
        <v>34532</v>
      </c>
      <c r="M51" s="31">
        <v>36750</v>
      </c>
      <c r="N51" s="31">
        <v>36962</v>
      </c>
      <c r="O51" s="31">
        <v>34198</v>
      </c>
      <c r="P51" s="31">
        <v>39118</v>
      </c>
      <c r="Q51" s="31">
        <v>48146</v>
      </c>
      <c r="R51" s="31">
        <v>53642</v>
      </c>
      <c r="S51" s="31">
        <v>71339</v>
      </c>
      <c r="T51" s="31">
        <v>74869</v>
      </c>
      <c r="U51" s="31">
        <v>77005</v>
      </c>
      <c r="V51" s="31">
        <v>74516</v>
      </c>
      <c r="W51" s="31">
        <v>72208</v>
      </c>
      <c r="X51" s="31">
        <v>70092</v>
      </c>
      <c r="Y51" s="31">
        <v>66955</v>
      </c>
      <c r="Z51" s="31">
        <v>62886</v>
      </c>
      <c r="AA51" s="21">
        <f t="shared" si="0"/>
        <v>1265332</v>
      </c>
      <c r="AB51" s="22">
        <v>20</v>
      </c>
      <c r="AC51" s="21">
        <f t="shared" si="1"/>
        <v>25306640</v>
      </c>
      <c r="AD51" s="109">
        <f>+SUM(AC51:AC54)</f>
        <v>37752062</v>
      </c>
    </row>
    <row r="52" spans="1:30" x14ac:dyDescent="0.35">
      <c r="A52" s="107"/>
      <c r="B52" s="23" t="s">
        <v>44</v>
      </c>
      <c r="C52" s="31">
        <v>57911</v>
      </c>
      <c r="D52" s="31">
        <v>54836</v>
      </c>
      <c r="E52" s="31">
        <v>52559</v>
      </c>
      <c r="F52" s="31">
        <v>50895</v>
      </c>
      <c r="G52" s="31">
        <v>50135</v>
      </c>
      <c r="H52" s="31">
        <v>49889</v>
      </c>
      <c r="I52" s="31">
        <v>34367</v>
      </c>
      <c r="J52" s="31">
        <v>29985</v>
      </c>
      <c r="K52" s="31">
        <v>30556</v>
      </c>
      <c r="L52" s="31">
        <v>32261</v>
      </c>
      <c r="M52" s="31">
        <v>34233</v>
      </c>
      <c r="N52" s="31">
        <v>34319</v>
      </c>
      <c r="O52" s="31">
        <v>33681</v>
      </c>
      <c r="P52" s="31">
        <v>36011</v>
      </c>
      <c r="Q52" s="31">
        <v>41786</v>
      </c>
      <c r="R52" s="31">
        <v>46536</v>
      </c>
      <c r="S52" s="31">
        <v>64156</v>
      </c>
      <c r="T52" s="31">
        <v>70572</v>
      </c>
      <c r="U52" s="31">
        <v>74887</v>
      </c>
      <c r="V52" s="31">
        <v>73393</v>
      </c>
      <c r="W52" s="31">
        <v>70566</v>
      </c>
      <c r="X52" s="31">
        <v>68017</v>
      </c>
      <c r="Y52" s="31">
        <v>65493</v>
      </c>
      <c r="Z52" s="31">
        <v>62561</v>
      </c>
      <c r="AA52" s="21">
        <f t="shared" si="0"/>
        <v>1219605</v>
      </c>
      <c r="AB52" s="22">
        <v>4</v>
      </c>
      <c r="AC52" s="21">
        <f t="shared" si="1"/>
        <v>4878420</v>
      </c>
      <c r="AD52" s="110"/>
    </row>
    <row r="53" spans="1:30" x14ac:dyDescent="0.35">
      <c r="A53" s="107"/>
      <c r="B53" s="23" t="s">
        <v>45</v>
      </c>
      <c r="C53" s="31">
        <v>58471</v>
      </c>
      <c r="D53" s="31">
        <v>55565</v>
      </c>
      <c r="E53" s="31">
        <v>53327</v>
      </c>
      <c r="F53" s="31">
        <v>51643</v>
      </c>
      <c r="G53" s="31">
        <v>50576</v>
      </c>
      <c r="H53" s="31">
        <v>48669</v>
      </c>
      <c r="I53" s="31">
        <v>32196</v>
      </c>
      <c r="J53" s="31">
        <v>24967</v>
      </c>
      <c r="K53" s="31">
        <v>22215</v>
      </c>
      <c r="L53" s="31">
        <v>22974</v>
      </c>
      <c r="M53" s="31">
        <v>24024</v>
      </c>
      <c r="N53" s="31">
        <v>24304</v>
      </c>
      <c r="O53" s="31">
        <v>25837</v>
      </c>
      <c r="P53" s="31">
        <v>28000</v>
      </c>
      <c r="Q53" s="31">
        <v>33237</v>
      </c>
      <c r="R53" s="31">
        <v>39239</v>
      </c>
      <c r="S53" s="31">
        <v>57790</v>
      </c>
      <c r="T53" s="31">
        <v>65610</v>
      </c>
      <c r="U53" s="31">
        <v>70946</v>
      </c>
      <c r="V53" s="31">
        <v>70452</v>
      </c>
      <c r="W53" s="31">
        <v>68837</v>
      </c>
      <c r="X53" s="31">
        <v>66889</v>
      </c>
      <c r="Y53" s="31">
        <v>63989</v>
      </c>
      <c r="Z53" s="31">
        <v>60619</v>
      </c>
      <c r="AA53" s="21">
        <f t="shared" si="0"/>
        <v>1120376</v>
      </c>
      <c r="AB53" s="22">
        <v>5</v>
      </c>
      <c r="AC53" s="21">
        <f t="shared" si="1"/>
        <v>5601880</v>
      </c>
      <c r="AD53" s="110"/>
    </row>
    <row r="54" spans="1:30" x14ac:dyDescent="0.35">
      <c r="A54" s="108"/>
      <c r="B54" s="24" t="s">
        <v>46</v>
      </c>
      <c r="C54" s="31">
        <v>50883</v>
      </c>
      <c r="D54" s="31">
        <v>49363</v>
      </c>
      <c r="E54" s="31">
        <v>48135</v>
      </c>
      <c r="F54" s="31">
        <v>46931</v>
      </c>
      <c r="G54" s="31">
        <v>46117</v>
      </c>
      <c r="H54" s="31">
        <v>45231</v>
      </c>
      <c r="I54" s="31">
        <v>28320</v>
      </c>
      <c r="J54" s="31">
        <v>20875</v>
      </c>
      <c r="K54" s="31">
        <v>17412</v>
      </c>
      <c r="L54" s="31">
        <v>17688</v>
      </c>
      <c r="M54" s="31">
        <v>18449</v>
      </c>
      <c r="N54" s="31">
        <v>18215</v>
      </c>
      <c r="O54" s="31">
        <v>19638</v>
      </c>
      <c r="P54" s="31">
        <v>22025</v>
      </c>
      <c r="Q54" s="31">
        <v>26670</v>
      </c>
      <c r="R54" s="31">
        <v>31739</v>
      </c>
      <c r="S54" s="31">
        <v>50465</v>
      </c>
      <c r="T54" s="31">
        <v>57874</v>
      </c>
      <c r="U54" s="31">
        <v>63240</v>
      </c>
      <c r="V54" s="31">
        <v>63763</v>
      </c>
      <c r="W54" s="31">
        <v>62708</v>
      </c>
      <c r="X54" s="31">
        <v>61526</v>
      </c>
      <c r="Y54" s="31">
        <v>59292</v>
      </c>
      <c r="Z54" s="31">
        <v>56002</v>
      </c>
      <c r="AA54" s="21">
        <f t="shared" si="0"/>
        <v>982561</v>
      </c>
      <c r="AB54" s="22">
        <v>2</v>
      </c>
      <c r="AC54" s="21">
        <f t="shared" si="1"/>
        <v>1965122</v>
      </c>
      <c r="AD54" s="111"/>
    </row>
    <row r="55" spans="1:30" x14ac:dyDescent="0.35">
      <c r="AD55" s="39">
        <f>+SUM(AD7:AD54)</f>
        <v>450616681</v>
      </c>
    </row>
    <row r="56" spans="1:30" x14ac:dyDescent="0.35">
      <c r="AD56" s="26"/>
    </row>
    <row r="58" spans="1:30" x14ac:dyDescent="0.35"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</sheetData>
  <mergeCells count="28">
    <mergeCell ref="AD7:AD10"/>
    <mergeCell ref="A1:D1"/>
    <mergeCell ref="A2:M2"/>
    <mergeCell ref="A4:B4"/>
    <mergeCell ref="C4:D4"/>
    <mergeCell ref="A7:A10"/>
    <mergeCell ref="A11:A14"/>
    <mergeCell ref="AD11:AD14"/>
    <mergeCell ref="A15:A18"/>
    <mergeCell ref="AD15:AD18"/>
    <mergeCell ref="A19:A22"/>
    <mergeCell ref="AD19:AD22"/>
    <mergeCell ref="A23:A26"/>
    <mergeCell ref="AD23:AD26"/>
    <mergeCell ref="A27:A30"/>
    <mergeCell ref="AD27:AD30"/>
    <mergeCell ref="A31:A34"/>
    <mergeCell ref="AD31:AD34"/>
    <mergeCell ref="A47:A50"/>
    <mergeCell ref="AD47:AD50"/>
    <mergeCell ref="A51:A54"/>
    <mergeCell ref="AD51:AD54"/>
    <mergeCell ref="A35:A38"/>
    <mergeCell ref="AD35:AD38"/>
    <mergeCell ref="A39:A42"/>
    <mergeCell ref="AD39:AD42"/>
    <mergeCell ref="A43:A46"/>
    <mergeCell ref="AD43:AD4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A3576-3E23-4B43-ABFD-9329A4ACBE38}">
  <dimension ref="C1:I22"/>
  <sheetViews>
    <sheetView showGridLines="0" topLeftCell="A5" workbookViewId="0">
      <selection activeCell="F5" sqref="F5:G5"/>
    </sheetView>
  </sheetViews>
  <sheetFormatPr baseColWidth="10" defaultRowHeight="14.5" x14ac:dyDescent="0.35"/>
  <cols>
    <col min="2" max="2" width="2.54296875" customWidth="1"/>
    <col min="4" max="4" width="15.1796875" customWidth="1"/>
    <col min="5" max="5" width="15.1796875" bestFit="1" customWidth="1"/>
    <col min="6" max="6" width="12.54296875" customWidth="1"/>
    <col min="8" max="8" width="2" customWidth="1"/>
    <col min="9" max="9" width="14.1796875" bestFit="1" customWidth="1"/>
  </cols>
  <sheetData>
    <row r="1" spans="3:7" x14ac:dyDescent="0.35">
      <c r="C1" s="105" t="s">
        <v>47</v>
      </c>
      <c r="D1" s="105"/>
      <c r="E1" s="105"/>
      <c r="F1" s="105"/>
      <c r="G1" s="105"/>
    </row>
    <row r="2" spans="3:7" x14ac:dyDescent="0.35">
      <c r="C2" s="105"/>
      <c r="D2" s="105"/>
      <c r="E2" s="105"/>
      <c r="F2" s="105"/>
      <c r="G2" s="105"/>
    </row>
    <row r="3" spans="3:7" ht="15" thickBot="1" x14ac:dyDescent="0.4"/>
    <row r="4" spans="3:7" ht="15" thickBot="1" x14ac:dyDescent="0.4">
      <c r="C4" s="126" t="s">
        <v>11</v>
      </c>
      <c r="D4" s="127"/>
      <c r="E4" s="127"/>
      <c r="F4" s="127"/>
      <c r="G4" s="128"/>
    </row>
    <row r="5" spans="3:7" ht="32" thickBot="1" x14ac:dyDescent="0.4">
      <c r="C5" s="37" t="s">
        <v>1</v>
      </c>
      <c r="D5" s="37" t="s">
        <v>8</v>
      </c>
      <c r="E5" s="37" t="s">
        <v>3</v>
      </c>
      <c r="F5" s="93" t="s">
        <v>9</v>
      </c>
      <c r="G5" s="93" t="s">
        <v>5</v>
      </c>
    </row>
    <row r="6" spans="3:7" x14ac:dyDescent="0.35">
      <c r="C6" s="7">
        <v>47484</v>
      </c>
      <c r="D6" s="8">
        <f>+VLOOKUP(C6,'CURVA P5'!$A$4:$AD$55,30,FALSE)</f>
        <v>20848968</v>
      </c>
      <c r="E6" s="121" t="s">
        <v>3</v>
      </c>
      <c r="F6" s="2"/>
      <c r="G6" s="102" t="s">
        <v>6</v>
      </c>
    </row>
    <row r="7" spans="3:7" x14ac:dyDescent="0.35">
      <c r="C7" s="7">
        <v>47515</v>
      </c>
      <c r="D7" s="8">
        <f>+VLOOKUP(C7,'CURVA P5'!$A$4:$AD$55,30,FALSE)</f>
        <v>21210608</v>
      </c>
      <c r="E7" s="100"/>
      <c r="F7" s="2"/>
      <c r="G7" s="103"/>
    </row>
    <row r="8" spans="3:7" x14ac:dyDescent="0.35">
      <c r="C8" s="7">
        <v>47543</v>
      </c>
      <c r="D8" s="8">
        <f>+VLOOKUP(C8,'CURVA P5'!$A$4:$AD$55,30,FALSE)</f>
        <v>20721776</v>
      </c>
      <c r="E8" s="100"/>
      <c r="F8" s="2"/>
      <c r="G8" s="103"/>
    </row>
    <row r="9" spans="3:7" x14ac:dyDescent="0.35">
      <c r="C9" s="7">
        <v>47574</v>
      </c>
      <c r="D9" s="8">
        <f>+VLOOKUP(C9,'CURVA P5'!$A$4:$AD$55,30,FALSE)</f>
        <v>21548702</v>
      </c>
      <c r="E9" s="100"/>
      <c r="F9" s="2"/>
      <c r="G9" s="103"/>
    </row>
    <row r="10" spans="3:7" x14ac:dyDescent="0.35">
      <c r="C10" s="7">
        <v>47604</v>
      </c>
      <c r="D10" s="8">
        <f>+VLOOKUP(C10,'CURVA P5'!$A$4:$AD$55,30,FALSE)</f>
        <v>21911422</v>
      </c>
      <c r="E10" s="100"/>
      <c r="F10" s="2"/>
      <c r="G10" s="103"/>
    </row>
    <row r="11" spans="3:7" x14ac:dyDescent="0.35">
      <c r="C11" s="7">
        <v>47635</v>
      </c>
      <c r="D11" s="8">
        <f>+VLOOKUP(C11,'CURVA P5'!$A$4:$AD$55,30,FALSE)</f>
        <v>22025973</v>
      </c>
      <c r="E11" s="100"/>
      <c r="F11" s="2"/>
      <c r="G11" s="103"/>
    </row>
    <row r="12" spans="3:7" x14ac:dyDescent="0.35">
      <c r="C12" s="7">
        <v>47665</v>
      </c>
      <c r="D12" s="8">
        <f>+VLOOKUP(C12,'CURVA P5'!$A$4:$AD$55,30,FALSE)</f>
        <v>21395767</v>
      </c>
      <c r="E12" s="100"/>
      <c r="F12" s="2"/>
      <c r="G12" s="103"/>
    </row>
    <row r="13" spans="3:7" x14ac:dyDescent="0.35">
      <c r="C13" s="7">
        <v>47696</v>
      </c>
      <c r="D13" s="8">
        <f>+VLOOKUP(C13,'CURVA P5'!$A$4:$AD$55,30,FALSE)</f>
        <v>22415106</v>
      </c>
      <c r="E13" s="100"/>
      <c r="F13" s="2"/>
      <c r="G13" s="103"/>
    </row>
    <row r="14" spans="3:7" x14ac:dyDescent="0.35">
      <c r="C14" s="7">
        <v>47727</v>
      </c>
      <c r="D14" s="8">
        <f>+VLOOKUP(C14,'CURVA P5'!$A$4:$AD$55,30,FALSE)</f>
        <v>23011129</v>
      </c>
      <c r="E14" s="100"/>
      <c r="F14" s="2"/>
      <c r="G14" s="103"/>
    </row>
    <row r="15" spans="3:7" x14ac:dyDescent="0.35">
      <c r="C15" s="7">
        <v>47757</v>
      </c>
      <c r="D15" s="8">
        <f>+VLOOKUP(C15,'CURVA P5'!$A$4:$AD$55,30,FALSE)</f>
        <v>22883526</v>
      </c>
      <c r="E15" s="100"/>
      <c r="F15" s="2"/>
      <c r="G15" s="103"/>
    </row>
    <row r="16" spans="3:7" x14ac:dyDescent="0.35">
      <c r="C16" s="7">
        <v>47788</v>
      </c>
      <c r="D16" s="8">
        <f>+VLOOKUP(C16,'CURVA P5'!$A$4:$AD$55,30,FALSE)</f>
        <v>22520787</v>
      </c>
      <c r="E16" s="100"/>
      <c r="F16" s="2"/>
      <c r="G16" s="103"/>
    </row>
    <row r="17" spans="3:9" ht="15" thickBot="1" x14ac:dyDescent="0.4">
      <c r="C17" s="7">
        <v>47818</v>
      </c>
      <c r="D17" s="10">
        <f>+VLOOKUP(C17,'CURVA P5'!$A$4:$AD$55,30,FALSE)</f>
        <v>21991591</v>
      </c>
      <c r="E17" s="101"/>
      <c r="F17" s="11"/>
      <c r="G17" s="104"/>
    </row>
    <row r="18" spans="3:9" ht="15" thickBot="1" x14ac:dyDescent="0.4">
      <c r="D18" s="83">
        <f>SUM(D6:D17)</f>
        <v>262485355</v>
      </c>
    </row>
    <row r="19" spans="3:9" x14ac:dyDescent="0.35">
      <c r="D19" s="35"/>
      <c r="I19" s="36"/>
    </row>
    <row r="20" spans="3:9" x14ac:dyDescent="0.35">
      <c r="D20" s="14"/>
      <c r="I20" s="36"/>
    </row>
    <row r="21" spans="3:9" x14ac:dyDescent="0.35">
      <c r="I21" s="36"/>
    </row>
    <row r="22" spans="3:9" x14ac:dyDescent="0.35">
      <c r="I22" s="14"/>
    </row>
  </sheetData>
  <mergeCells count="4">
    <mergeCell ref="C1:G2"/>
    <mergeCell ref="C4:G4"/>
    <mergeCell ref="E6:E17"/>
    <mergeCell ref="G6:G1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B32C9-7F63-471F-B022-5919EA99270A}">
  <dimension ref="A1:AD58"/>
  <sheetViews>
    <sheetView showGridLines="0" topLeftCell="N41" zoomScaleNormal="100" workbookViewId="0">
      <selection activeCell="AB51" sqref="AB51:AB54"/>
    </sheetView>
  </sheetViews>
  <sheetFormatPr baseColWidth="10" defaultRowHeight="14.5" x14ac:dyDescent="0.35"/>
  <cols>
    <col min="1" max="1" width="7.26953125" bestFit="1" customWidth="1"/>
    <col min="2" max="2" width="8" bestFit="1" customWidth="1"/>
    <col min="3" max="3" width="9.90625" bestFit="1" customWidth="1"/>
    <col min="4" max="19" width="9" bestFit="1" customWidth="1"/>
    <col min="20" max="26" width="9.90625" bestFit="1" customWidth="1"/>
    <col min="27" max="27" width="9" bestFit="1" customWidth="1"/>
    <col min="28" max="28" width="10.453125" bestFit="1" customWidth="1"/>
    <col min="29" max="29" width="11" bestFit="1" customWidth="1"/>
    <col min="30" max="30" width="12" bestFit="1" customWidth="1"/>
  </cols>
  <sheetData>
    <row r="1" spans="1:30" x14ac:dyDescent="0.35">
      <c r="A1" s="135" t="s">
        <v>12</v>
      </c>
      <c r="B1" s="135"/>
      <c r="C1" s="135"/>
      <c r="D1" s="135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</row>
    <row r="2" spans="1:30" x14ac:dyDescent="0.35">
      <c r="A2" s="136" t="s">
        <v>47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</row>
    <row r="3" spans="1:30" x14ac:dyDescent="0.3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</row>
    <row r="4" spans="1:30" x14ac:dyDescent="0.35">
      <c r="A4" s="122" t="s">
        <v>13</v>
      </c>
      <c r="B4" s="122"/>
      <c r="C4" s="116">
        <f>+AD55</f>
        <v>262485355</v>
      </c>
      <c r="D4" s="117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</row>
    <row r="5" spans="1:30" x14ac:dyDescent="0.35">
      <c r="A5" s="15" t="s">
        <v>1</v>
      </c>
      <c r="B5" s="16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5" t="s">
        <v>19</v>
      </c>
      <c r="H5" s="15" t="s">
        <v>20</v>
      </c>
      <c r="I5" s="15" t="s">
        <v>21</v>
      </c>
      <c r="J5" s="15" t="s">
        <v>22</v>
      </c>
      <c r="K5" s="15" t="s">
        <v>23</v>
      </c>
      <c r="L5" s="15" t="s">
        <v>24</v>
      </c>
      <c r="M5" s="15" t="s">
        <v>25</v>
      </c>
      <c r="N5" s="15" t="s">
        <v>26</v>
      </c>
      <c r="O5" s="15" t="s">
        <v>27</v>
      </c>
      <c r="P5" s="15" t="s">
        <v>28</v>
      </c>
      <c r="Q5" s="15" t="s">
        <v>29</v>
      </c>
      <c r="R5" s="15" t="s">
        <v>30</v>
      </c>
      <c r="S5" s="15" t="s">
        <v>31</v>
      </c>
      <c r="T5" s="15" t="s">
        <v>32</v>
      </c>
      <c r="U5" s="15" t="s">
        <v>33</v>
      </c>
      <c r="V5" s="15" t="s">
        <v>34</v>
      </c>
      <c r="W5" s="15" t="s">
        <v>35</v>
      </c>
      <c r="X5" s="15" t="s">
        <v>36</v>
      </c>
      <c r="Y5" s="15" t="s">
        <v>37</v>
      </c>
      <c r="Z5" s="15" t="s">
        <v>38</v>
      </c>
      <c r="AA5" s="15" t="s">
        <v>39</v>
      </c>
      <c r="AB5" s="15" t="s">
        <v>40</v>
      </c>
      <c r="AC5" s="15" t="s">
        <v>41</v>
      </c>
      <c r="AD5" s="15" t="s">
        <v>42</v>
      </c>
    </row>
    <row r="6" spans="1:30" hidden="1" x14ac:dyDescent="0.35">
      <c r="A6" s="28"/>
      <c r="B6" s="29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</row>
    <row r="7" spans="1:30" x14ac:dyDescent="0.35">
      <c r="A7" s="129">
        <v>47484</v>
      </c>
      <c r="B7" s="30" t="s">
        <v>43</v>
      </c>
      <c r="C7" s="31">
        <v>30617</v>
      </c>
      <c r="D7" s="31">
        <v>29277</v>
      </c>
      <c r="E7" s="31">
        <v>28224</v>
      </c>
      <c r="F7" s="31">
        <v>27456</v>
      </c>
      <c r="G7" s="31">
        <v>27222</v>
      </c>
      <c r="H7" s="31">
        <v>27716</v>
      </c>
      <c r="I7" s="31">
        <v>20803</v>
      </c>
      <c r="J7" s="31">
        <v>18677</v>
      </c>
      <c r="K7" s="31">
        <v>18224</v>
      </c>
      <c r="L7" s="31">
        <v>19130</v>
      </c>
      <c r="M7" s="31">
        <v>20363</v>
      </c>
      <c r="N7" s="31">
        <v>20701</v>
      </c>
      <c r="O7" s="31">
        <v>19522</v>
      </c>
      <c r="P7" s="31">
        <v>22335</v>
      </c>
      <c r="Q7" s="31">
        <v>26801</v>
      </c>
      <c r="R7" s="31">
        <v>29500</v>
      </c>
      <c r="S7" s="31">
        <v>37452</v>
      </c>
      <c r="T7" s="31">
        <v>40061</v>
      </c>
      <c r="U7" s="31">
        <v>41377</v>
      </c>
      <c r="V7" s="31">
        <v>40933</v>
      </c>
      <c r="W7" s="31">
        <v>40320</v>
      </c>
      <c r="X7" s="31">
        <v>39331</v>
      </c>
      <c r="Y7" s="31">
        <v>37364</v>
      </c>
      <c r="Z7" s="31">
        <v>34766</v>
      </c>
      <c r="AA7" s="31">
        <f>SUM(C7:Z7)</f>
        <v>698172</v>
      </c>
      <c r="AB7" s="32">
        <v>21</v>
      </c>
      <c r="AC7" s="31">
        <f>+AA7*AB7</f>
        <v>14661612</v>
      </c>
      <c r="AD7" s="132">
        <f>+SUM(AC7:AC10)</f>
        <v>20848968</v>
      </c>
    </row>
    <row r="8" spans="1:30" x14ac:dyDescent="0.35">
      <c r="A8" s="130"/>
      <c r="B8" s="33" t="s">
        <v>44</v>
      </c>
      <c r="C8" s="31">
        <v>31349</v>
      </c>
      <c r="D8" s="31">
        <v>29877</v>
      </c>
      <c r="E8" s="31">
        <v>28707</v>
      </c>
      <c r="F8" s="31">
        <v>27839</v>
      </c>
      <c r="G8" s="31">
        <v>27500</v>
      </c>
      <c r="H8" s="31">
        <v>27673</v>
      </c>
      <c r="I8" s="31">
        <v>20449</v>
      </c>
      <c r="J8" s="31">
        <v>17945</v>
      </c>
      <c r="K8" s="31">
        <v>17484</v>
      </c>
      <c r="L8" s="31">
        <v>18341</v>
      </c>
      <c r="M8" s="31">
        <v>19313</v>
      </c>
      <c r="N8" s="31">
        <v>19442</v>
      </c>
      <c r="O8" s="31">
        <v>18988</v>
      </c>
      <c r="P8" s="31">
        <v>20173</v>
      </c>
      <c r="Q8" s="31">
        <v>22941</v>
      </c>
      <c r="R8" s="31">
        <v>25240</v>
      </c>
      <c r="S8" s="31">
        <v>33206</v>
      </c>
      <c r="T8" s="31">
        <v>37133</v>
      </c>
      <c r="U8" s="31">
        <v>39857</v>
      </c>
      <c r="V8" s="31">
        <v>39716</v>
      </c>
      <c r="W8" s="31">
        <v>38749</v>
      </c>
      <c r="X8" s="31">
        <v>37761</v>
      </c>
      <c r="Y8" s="31">
        <v>36391</v>
      </c>
      <c r="Z8" s="31">
        <v>34542</v>
      </c>
      <c r="AA8" s="31">
        <f t="shared" ref="AA8:AA54" si="0">SUM(C8:Z8)</f>
        <v>670616</v>
      </c>
      <c r="AB8" s="32">
        <v>4</v>
      </c>
      <c r="AC8" s="31">
        <f t="shared" ref="AC8:AC54" si="1">+AA8*AB8</f>
        <v>2682464</v>
      </c>
      <c r="AD8" s="133"/>
    </row>
    <row r="9" spans="1:30" x14ac:dyDescent="0.35">
      <c r="A9" s="130"/>
      <c r="B9" s="33" t="s">
        <v>45</v>
      </c>
      <c r="C9" s="31">
        <v>31023</v>
      </c>
      <c r="D9" s="31">
        <v>29642</v>
      </c>
      <c r="E9" s="31">
        <v>28501</v>
      </c>
      <c r="F9" s="31">
        <v>27599</v>
      </c>
      <c r="G9" s="31">
        <v>27087</v>
      </c>
      <c r="H9" s="31">
        <v>26847</v>
      </c>
      <c r="I9" s="31">
        <v>19106</v>
      </c>
      <c r="J9" s="31">
        <v>14965</v>
      </c>
      <c r="K9" s="31">
        <v>12851</v>
      </c>
      <c r="L9" s="31">
        <v>13035</v>
      </c>
      <c r="M9" s="31">
        <v>13287</v>
      </c>
      <c r="N9" s="31">
        <v>13359</v>
      </c>
      <c r="O9" s="31">
        <v>14226</v>
      </c>
      <c r="P9" s="31">
        <v>15183</v>
      </c>
      <c r="Q9" s="31">
        <v>17447</v>
      </c>
      <c r="R9" s="31">
        <v>20036</v>
      </c>
      <c r="S9" s="31">
        <v>28618</v>
      </c>
      <c r="T9" s="31">
        <v>33370</v>
      </c>
      <c r="U9" s="31">
        <v>36633</v>
      </c>
      <c r="V9" s="31">
        <v>37539</v>
      </c>
      <c r="W9" s="31">
        <v>37400</v>
      </c>
      <c r="X9" s="31">
        <v>36900</v>
      </c>
      <c r="Y9" s="31">
        <v>35373</v>
      </c>
      <c r="Z9" s="31">
        <v>33248</v>
      </c>
      <c r="AA9" s="31">
        <f t="shared" si="0"/>
        <v>603275</v>
      </c>
      <c r="AB9" s="32">
        <v>4</v>
      </c>
      <c r="AC9" s="31">
        <f t="shared" si="1"/>
        <v>2413100</v>
      </c>
      <c r="AD9" s="133"/>
    </row>
    <row r="10" spans="1:30" x14ac:dyDescent="0.35">
      <c r="A10" s="131"/>
      <c r="B10" s="34" t="s">
        <v>46</v>
      </c>
      <c r="C10" s="31">
        <v>27281</v>
      </c>
      <c r="D10" s="31">
        <v>26619</v>
      </c>
      <c r="E10" s="31">
        <v>26027</v>
      </c>
      <c r="F10" s="31">
        <v>25429</v>
      </c>
      <c r="G10" s="31">
        <v>25119</v>
      </c>
      <c r="H10" s="31">
        <v>24856</v>
      </c>
      <c r="I10" s="31">
        <v>16843</v>
      </c>
      <c r="J10" s="31">
        <v>12457</v>
      </c>
      <c r="K10" s="31">
        <v>10143</v>
      </c>
      <c r="L10" s="31">
        <v>10321</v>
      </c>
      <c r="M10" s="31">
        <v>10816</v>
      </c>
      <c r="N10" s="31">
        <v>10886</v>
      </c>
      <c r="O10" s="31">
        <v>11809</v>
      </c>
      <c r="P10" s="31">
        <v>12919</v>
      </c>
      <c r="Q10" s="31">
        <v>15091</v>
      </c>
      <c r="R10" s="31">
        <v>17550</v>
      </c>
      <c r="S10" s="31">
        <v>25924</v>
      </c>
      <c r="T10" s="31">
        <v>31399</v>
      </c>
      <c r="U10" s="31">
        <v>34907</v>
      </c>
      <c r="V10" s="31">
        <v>35554</v>
      </c>
      <c r="W10" s="31">
        <v>35185</v>
      </c>
      <c r="X10" s="31">
        <v>34421</v>
      </c>
      <c r="Y10" s="31">
        <v>33045</v>
      </c>
      <c r="Z10" s="31">
        <v>31295</v>
      </c>
      <c r="AA10" s="31">
        <f t="shared" si="0"/>
        <v>545896</v>
      </c>
      <c r="AB10" s="32">
        <v>2</v>
      </c>
      <c r="AC10" s="31">
        <f t="shared" si="1"/>
        <v>1091792</v>
      </c>
      <c r="AD10" s="134"/>
    </row>
    <row r="11" spans="1:30" x14ac:dyDescent="0.35">
      <c r="A11" s="129">
        <v>47515</v>
      </c>
      <c r="B11" s="30" t="s">
        <v>43</v>
      </c>
      <c r="C11" s="31">
        <v>33464</v>
      </c>
      <c r="D11" s="31">
        <v>31857</v>
      </c>
      <c r="E11" s="31">
        <v>30730</v>
      </c>
      <c r="F11" s="31">
        <v>29972</v>
      </c>
      <c r="G11" s="31">
        <v>29946</v>
      </c>
      <c r="H11" s="31">
        <v>31269</v>
      </c>
      <c r="I11" s="31">
        <v>24816</v>
      </c>
      <c r="J11" s="31">
        <v>22904</v>
      </c>
      <c r="K11" s="31">
        <v>22151</v>
      </c>
      <c r="L11" s="31">
        <v>22948</v>
      </c>
      <c r="M11" s="31">
        <v>24216</v>
      </c>
      <c r="N11" s="31">
        <v>23953</v>
      </c>
      <c r="O11" s="31">
        <v>21757</v>
      </c>
      <c r="P11" s="31">
        <v>25693</v>
      </c>
      <c r="Q11" s="31">
        <v>30966</v>
      </c>
      <c r="R11" s="31">
        <v>34005</v>
      </c>
      <c r="S11" s="31">
        <v>41951</v>
      </c>
      <c r="T11" s="31">
        <v>43906</v>
      </c>
      <c r="U11" s="31">
        <v>44607</v>
      </c>
      <c r="V11" s="31">
        <v>44562</v>
      </c>
      <c r="W11" s="31">
        <v>44007</v>
      </c>
      <c r="X11" s="31">
        <v>42852</v>
      </c>
      <c r="Y11" s="31">
        <v>40377</v>
      </c>
      <c r="Z11" s="31">
        <v>37316</v>
      </c>
      <c r="AA11" s="31">
        <f t="shared" si="0"/>
        <v>780225</v>
      </c>
      <c r="AB11" s="32">
        <v>20</v>
      </c>
      <c r="AC11" s="31">
        <f t="shared" si="1"/>
        <v>15604500</v>
      </c>
      <c r="AD11" s="132">
        <f>+SUM(AC11:AC14)</f>
        <v>21210608</v>
      </c>
    </row>
    <row r="12" spans="1:30" x14ac:dyDescent="0.35">
      <c r="A12" s="130"/>
      <c r="B12" s="33" t="s">
        <v>44</v>
      </c>
      <c r="C12" s="31">
        <v>32825</v>
      </c>
      <c r="D12" s="31">
        <v>31264</v>
      </c>
      <c r="E12" s="31">
        <v>30168</v>
      </c>
      <c r="F12" s="31">
        <v>29400</v>
      </c>
      <c r="G12" s="31">
        <v>29147</v>
      </c>
      <c r="H12" s="31">
        <v>29575</v>
      </c>
      <c r="I12" s="31">
        <v>22961</v>
      </c>
      <c r="J12" s="31">
        <v>21103</v>
      </c>
      <c r="K12" s="31">
        <v>20809</v>
      </c>
      <c r="L12" s="31">
        <v>21686</v>
      </c>
      <c r="M12" s="31">
        <v>22653</v>
      </c>
      <c r="N12" s="31">
        <v>22547</v>
      </c>
      <c r="O12" s="31">
        <v>21465</v>
      </c>
      <c r="P12" s="31">
        <v>22556</v>
      </c>
      <c r="Q12" s="31">
        <v>25687</v>
      </c>
      <c r="R12" s="31">
        <v>28232</v>
      </c>
      <c r="S12" s="31">
        <v>36214</v>
      </c>
      <c r="T12" s="31">
        <v>39762</v>
      </c>
      <c r="U12" s="31">
        <v>42177</v>
      </c>
      <c r="V12" s="31">
        <v>42451</v>
      </c>
      <c r="W12" s="31">
        <v>41435</v>
      </c>
      <c r="X12" s="31">
        <v>40338</v>
      </c>
      <c r="Y12" s="31">
        <v>38922</v>
      </c>
      <c r="Z12" s="31">
        <v>36911</v>
      </c>
      <c r="AA12" s="31">
        <f t="shared" si="0"/>
        <v>730288</v>
      </c>
      <c r="AB12" s="32">
        <v>4</v>
      </c>
      <c r="AC12" s="31">
        <f t="shared" si="1"/>
        <v>2921152</v>
      </c>
      <c r="AD12" s="133"/>
    </row>
    <row r="13" spans="1:30" x14ac:dyDescent="0.35">
      <c r="A13" s="130"/>
      <c r="B13" s="33" t="s">
        <v>45</v>
      </c>
      <c r="C13" s="31">
        <v>33386</v>
      </c>
      <c r="D13" s="31">
        <v>31738</v>
      </c>
      <c r="E13" s="31">
        <v>30598</v>
      </c>
      <c r="F13" s="31">
        <v>29691</v>
      </c>
      <c r="G13" s="31">
        <v>29178</v>
      </c>
      <c r="H13" s="31">
        <v>29035</v>
      </c>
      <c r="I13" s="31">
        <v>21540</v>
      </c>
      <c r="J13" s="31">
        <v>17639</v>
      </c>
      <c r="K13" s="31">
        <v>15280</v>
      </c>
      <c r="L13" s="31">
        <v>15530</v>
      </c>
      <c r="M13" s="31">
        <v>15885</v>
      </c>
      <c r="N13" s="31">
        <v>16008</v>
      </c>
      <c r="O13" s="31">
        <v>16913</v>
      </c>
      <c r="P13" s="31">
        <v>17882</v>
      </c>
      <c r="Q13" s="31">
        <v>20492</v>
      </c>
      <c r="R13" s="31">
        <v>23437</v>
      </c>
      <c r="S13" s="31">
        <v>32214</v>
      </c>
      <c r="T13" s="31">
        <v>36549</v>
      </c>
      <c r="U13" s="31">
        <v>39532</v>
      </c>
      <c r="V13" s="31">
        <v>41083</v>
      </c>
      <c r="W13" s="31">
        <v>41260</v>
      </c>
      <c r="X13" s="31">
        <v>40947</v>
      </c>
      <c r="Y13" s="31">
        <v>39029</v>
      </c>
      <c r="Z13" s="31">
        <v>36393</v>
      </c>
      <c r="AA13" s="31">
        <f t="shared" si="0"/>
        <v>671239</v>
      </c>
      <c r="AB13" s="32">
        <v>4</v>
      </c>
      <c r="AC13" s="31">
        <f t="shared" si="1"/>
        <v>2684956</v>
      </c>
      <c r="AD13" s="133"/>
    </row>
    <row r="14" spans="1:30" x14ac:dyDescent="0.35">
      <c r="A14" s="131"/>
      <c r="B14" s="34" t="s">
        <v>46</v>
      </c>
      <c r="C14" s="31">
        <v>0</v>
      </c>
      <c r="D14" s="31">
        <v>0</v>
      </c>
      <c r="E14" s="31">
        <v>0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f t="shared" si="0"/>
        <v>0</v>
      </c>
      <c r="AB14" s="32">
        <v>0</v>
      </c>
      <c r="AC14" s="31">
        <f t="shared" si="1"/>
        <v>0</v>
      </c>
      <c r="AD14" s="134"/>
    </row>
    <row r="15" spans="1:30" x14ac:dyDescent="0.35">
      <c r="A15" s="129">
        <v>47543</v>
      </c>
      <c r="B15" s="30" t="s">
        <v>43</v>
      </c>
      <c r="C15" s="31">
        <v>30422</v>
      </c>
      <c r="D15" s="31">
        <v>28929</v>
      </c>
      <c r="E15" s="31">
        <v>27901</v>
      </c>
      <c r="F15" s="31">
        <v>27165</v>
      </c>
      <c r="G15" s="31">
        <v>27101</v>
      </c>
      <c r="H15" s="31">
        <v>28002</v>
      </c>
      <c r="I15" s="31">
        <v>21055</v>
      </c>
      <c r="J15" s="31">
        <v>19029</v>
      </c>
      <c r="K15" s="31">
        <v>18329</v>
      </c>
      <c r="L15" s="31">
        <v>18939</v>
      </c>
      <c r="M15" s="31">
        <v>19997</v>
      </c>
      <c r="N15" s="31">
        <v>19883</v>
      </c>
      <c r="O15" s="31">
        <v>18174</v>
      </c>
      <c r="P15" s="31">
        <v>21650</v>
      </c>
      <c r="Q15" s="31">
        <v>26373</v>
      </c>
      <c r="R15" s="31">
        <v>29067</v>
      </c>
      <c r="S15" s="31">
        <v>37122</v>
      </c>
      <c r="T15" s="31">
        <v>39537</v>
      </c>
      <c r="U15" s="31">
        <v>40442</v>
      </c>
      <c r="V15" s="31">
        <v>40385</v>
      </c>
      <c r="W15" s="31">
        <v>39920</v>
      </c>
      <c r="X15" s="31">
        <v>38964</v>
      </c>
      <c r="Y15" s="31">
        <v>36917</v>
      </c>
      <c r="Z15" s="31">
        <v>34250</v>
      </c>
      <c r="AA15" s="31">
        <f t="shared" si="0"/>
        <v>689553</v>
      </c>
      <c r="AB15" s="32">
        <v>20</v>
      </c>
      <c r="AC15" s="31">
        <f t="shared" si="1"/>
        <v>13791060</v>
      </c>
      <c r="AD15" s="132">
        <f>+SUM(AC15:AC18)</f>
        <v>20721776</v>
      </c>
    </row>
    <row r="16" spans="1:30" x14ac:dyDescent="0.35">
      <c r="A16" s="130"/>
      <c r="B16" s="33" t="s">
        <v>44</v>
      </c>
      <c r="C16" s="31">
        <v>31118</v>
      </c>
      <c r="D16" s="31">
        <v>29550</v>
      </c>
      <c r="E16" s="31">
        <v>28451</v>
      </c>
      <c r="F16" s="31">
        <v>27574</v>
      </c>
      <c r="G16" s="31">
        <v>27201</v>
      </c>
      <c r="H16" s="31">
        <v>27307</v>
      </c>
      <c r="I16" s="31">
        <v>20338</v>
      </c>
      <c r="J16" s="31">
        <v>18443</v>
      </c>
      <c r="K16" s="31">
        <v>17924</v>
      </c>
      <c r="L16" s="31">
        <v>18579</v>
      </c>
      <c r="M16" s="31">
        <v>19493</v>
      </c>
      <c r="N16" s="31">
        <v>19256</v>
      </c>
      <c r="O16" s="31">
        <v>18318</v>
      </c>
      <c r="P16" s="31">
        <v>19388</v>
      </c>
      <c r="Q16" s="31">
        <v>22188</v>
      </c>
      <c r="R16" s="31">
        <v>24567</v>
      </c>
      <c r="S16" s="31">
        <v>32658</v>
      </c>
      <c r="T16" s="31">
        <v>36508</v>
      </c>
      <c r="U16" s="31">
        <v>38848</v>
      </c>
      <c r="V16" s="31">
        <v>39034</v>
      </c>
      <c r="W16" s="31">
        <v>38210</v>
      </c>
      <c r="X16" s="31">
        <v>37354</v>
      </c>
      <c r="Y16" s="31">
        <v>36210</v>
      </c>
      <c r="Z16" s="31">
        <v>34535</v>
      </c>
      <c r="AA16" s="31">
        <f t="shared" si="0"/>
        <v>663052</v>
      </c>
      <c r="AB16" s="32">
        <v>5</v>
      </c>
      <c r="AC16" s="31">
        <f t="shared" si="1"/>
        <v>3315260</v>
      </c>
      <c r="AD16" s="133"/>
    </row>
    <row r="17" spans="1:30" x14ac:dyDescent="0.35">
      <c r="A17" s="130"/>
      <c r="B17" s="33" t="s">
        <v>45</v>
      </c>
      <c r="C17" s="31">
        <v>31217</v>
      </c>
      <c r="D17" s="31">
        <v>29702</v>
      </c>
      <c r="E17" s="31">
        <v>28634</v>
      </c>
      <c r="F17" s="31">
        <v>27765</v>
      </c>
      <c r="G17" s="31">
        <v>27253</v>
      </c>
      <c r="H17" s="31">
        <v>26950</v>
      </c>
      <c r="I17" s="31">
        <v>19152</v>
      </c>
      <c r="J17" s="31">
        <v>15155</v>
      </c>
      <c r="K17" s="31">
        <v>12950</v>
      </c>
      <c r="L17" s="31">
        <v>12918</v>
      </c>
      <c r="M17" s="31">
        <v>12969</v>
      </c>
      <c r="N17" s="31">
        <v>13154</v>
      </c>
      <c r="O17" s="31">
        <v>14057</v>
      </c>
      <c r="P17" s="31">
        <v>15045</v>
      </c>
      <c r="Q17" s="31">
        <v>17512</v>
      </c>
      <c r="R17" s="31">
        <v>20137</v>
      </c>
      <c r="S17" s="31">
        <v>28798</v>
      </c>
      <c r="T17" s="31">
        <v>33419</v>
      </c>
      <c r="U17" s="31">
        <v>36244</v>
      </c>
      <c r="V17" s="31">
        <v>37634</v>
      </c>
      <c r="W17" s="31">
        <v>37875</v>
      </c>
      <c r="X17" s="31">
        <v>37650</v>
      </c>
      <c r="Y17" s="31">
        <v>35993</v>
      </c>
      <c r="Z17" s="31">
        <v>33717</v>
      </c>
      <c r="AA17" s="31">
        <f t="shared" si="0"/>
        <v>605900</v>
      </c>
      <c r="AB17" s="32">
        <v>5</v>
      </c>
      <c r="AC17" s="31">
        <f t="shared" si="1"/>
        <v>3029500</v>
      </c>
      <c r="AD17" s="133"/>
    </row>
    <row r="18" spans="1:30" x14ac:dyDescent="0.35">
      <c r="A18" s="131"/>
      <c r="B18" s="34" t="s">
        <v>46</v>
      </c>
      <c r="C18" s="31">
        <v>28356</v>
      </c>
      <c r="D18" s="31">
        <v>26817</v>
      </c>
      <c r="E18" s="31">
        <v>25825</v>
      </c>
      <c r="F18" s="31">
        <v>25150</v>
      </c>
      <c r="G18" s="31">
        <v>24809</v>
      </c>
      <c r="H18" s="31">
        <v>24738</v>
      </c>
      <c r="I18" s="31">
        <v>17452</v>
      </c>
      <c r="J18" s="31">
        <v>14396</v>
      </c>
      <c r="K18" s="31">
        <v>12818</v>
      </c>
      <c r="L18" s="31">
        <v>13403</v>
      </c>
      <c r="M18" s="31">
        <v>14250</v>
      </c>
      <c r="N18" s="31">
        <v>14433</v>
      </c>
      <c r="O18" s="31">
        <v>14475</v>
      </c>
      <c r="P18" s="31">
        <v>15806</v>
      </c>
      <c r="Q18" s="31">
        <v>18074</v>
      </c>
      <c r="R18" s="31">
        <v>20275</v>
      </c>
      <c r="S18" s="31">
        <v>28451</v>
      </c>
      <c r="T18" s="31">
        <v>32905</v>
      </c>
      <c r="U18" s="31">
        <v>36052</v>
      </c>
      <c r="V18" s="31">
        <v>37420</v>
      </c>
      <c r="W18" s="31">
        <v>37381</v>
      </c>
      <c r="X18" s="31">
        <v>36566</v>
      </c>
      <c r="Y18" s="31">
        <v>34278</v>
      </c>
      <c r="Z18" s="31">
        <v>31826</v>
      </c>
      <c r="AA18" s="31">
        <f t="shared" si="0"/>
        <v>585956</v>
      </c>
      <c r="AB18" s="32">
        <v>1</v>
      </c>
      <c r="AC18" s="31">
        <f t="shared" si="1"/>
        <v>585956</v>
      </c>
      <c r="AD18" s="134"/>
    </row>
    <row r="19" spans="1:30" x14ac:dyDescent="0.35">
      <c r="A19" s="129">
        <v>47574</v>
      </c>
      <c r="B19" s="30" t="s">
        <v>43</v>
      </c>
      <c r="C19" s="31">
        <v>32350</v>
      </c>
      <c r="D19" s="31">
        <v>30745</v>
      </c>
      <c r="E19" s="31">
        <v>29649</v>
      </c>
      <c r="F19" s="31">
        <v>28884</v>
      </c>
      <c r="G19" s="31">
        <v>28802</v>
      </c>
      <c r="H19" s="31">
        <v>29189</v>
      </c>
      <c r="I19" s="31">
        <v>22494</v>
      </c>
      <c r="J19" s="31">
        <v>21062</v>
      </c>
      <c r="K19" s="31">
        <v>20849</v>
      </c>
      <c r="L19" s="31">
        <v>21790</v>
      </c>
      <c r="M19" s="31">
        <v>23167</v>
      </c>
      <c r="N19" s="31">
        <v>23259</v>
      </c>
      <c r="O19" s="31">
        <v>21248</v>
      </c>
      <c r="P19" s="31">
        <v>24927</v>
      </c>
      <c r="Q19" s="31">
        <v>30045</v>
      </c>
      <c r="R19" s="31">
        <v>32688</v>
      </c>
      <c r="S19" s="31">
        <v>40459</v>
      </c>
      <c r="T19" s="31">
        <v>42418</v>
      </c>
      <c r="U19" s="31">
        <v>43122</v>
      </c>
      <c r="V19" s="31">
        <v>42930</v>
      </c>
      <c r="W19" s="31">
        <v>42579</v>
      </c>
      <c r="X19" s="31">
        <v>41559</v>
      </c>
      <c r="Y19" s="31">
        <v>39364</v>
      </c>
      <c r="Z19" s="31">
        <v>36465</v>
      </c>
      <c r="AA19" s="31">
        <f t="shared" si="0"/>
        <v>750044</v>
      </c>
      <c r="AB19" s="32">
        <v>20</v>
      </c>
      <c r="AC19" s="31">
        <f t="shared" si="1"/>
        <v>15000880</v>
      </c>
      <c r="AD19" s="132">
        <f>+SUM(AC19:AC22)</f>
        <v>21548702</v>
      </c>
    </row>
    <row r="20" spans="1:30" x14ac:dyDescent="0.35">
      <c r="A20" s="130"/>
      <c r="B20" s="33" t="s">
        <v>44</v>
      </c>
      <c r="C20" s="31">
        <v>32778</v>
      </c>
      <c r="D20" s="31">
        <v>31163</v>
      </c>
      <c r="E20" s="31">
        <v>29980</v>
      </c>
      <c r="F20" s="31">
        <v>29100</v>
      </c>
      <c r="G20" s="31">
        <v>28743</v>
      </c>
      <c r="H20" s="31">
        <v>28304</v>
      </c>
      <c r="I20" s="31">
        <v>21592</v>
      </c>
      <c r="J20" s="31">
        <v>19793</v>
      </c>
      <c r="K20" s="31">
        <v>19700</v>
      </c>
      <c r="L20" s="31">
        <v>20704</v>
      </c>
      <c r="M20" s="31">
        <v>21708</v>
      </c>
      <c r="N20" s="31">
        <v>21747</v>
      </c>
      <c r="O20" s="31">
        <v>20960</v>
      </c>
      <c r="P20" s="31">
        <v>22189</v>
      </c>
      <c r="Q20" s="31">
        <v>25147</v>
      </c>
      <c r="R20" s="31">
        <v>27439</v>
      </c>
      <c r="S20" s="31">
        <v>35238</v>
      </c>
      <c r="T20" s="31">
        <v>38790</v>
      </c>
      <c r="U20" s="31">
        <v>40967</v>
      </c>
      <c r="V20" s="31">
        <v>40727</v>
      </c>
      <c r="W20" s="31">
        <v>39861</v>
      </c>
      <c r="X20" s="31">
        <v>38921</v>
      </c>
      <c r="Y20" s="31">
        <v>37662</v>
      </c>
      <c r="Z20" s="31">
        <v>35944</v>
      </c>
      <c r="AA20" s="31">
        <f t="shared" si="0"/>
        <v>709157</v>
      </c>
      <c r="AB20" s="32">
        <v>4</v>
      </c>
      <c r="AC20" s="31">
        <f t="shared" si="1"/>
        <v>2836628</v>
      </c>
      <c r="AD20" s="133"/>
    </row>
    <row r="21" spans="1:30" x14ac:dyDescent="0.35">
      <c r="A21" s="130"/>
      <c r="B21" s="33" t="s">
        <v>45</v>
      </c>
      <c r="C21" s="31">
        <v>32898</v>
      </c>
      <c r="D21" s="31">
        <v>31219</v>
      </c>
      <c r="E21" s="31">
        <v>29995</v>
      </c>
      <c r="F21" s="31">
        <v>29024</v>
      </c>
      <c r="G21" s="31">
        <v>28473</v>
      </c>
      <c r="H21" s="31">
        <v>27711</v>
      </c>
      <c r="I21" s="31">
        <v>20268</v>
      </c>
      <c r="J21" s="31">
        <v>16622</v>
      </c>
      <c r="K21" s="31">
        <v>14452</v>
      </c>
      <c r="L21" s="31">
        <v>14629</v>
      </c>
      <c r="M21" s="31">
        <v>15051</v>
      </c>
      <c r="N21" s="31">
        <v>15441</v>
      </c>
      <c r="O21" s="31">
        <v>16320</v>
      </c>
      <c r="P21" s="31">
        <v>17395</v>
      </c>
      <c r="Q21" s="31">
        <v>19972</v>
      </c>
      <c r="R21" s="31">
        <v>22598</v>
      </c>
      <c r="S21" s="31">
        <v>31068</v>
      </c>
      <c r="T21" s="31">
        <v>35342</v>
      </c>
      <c r="U21" s="31">
        <v>38141</v>
      </c>
      <c r="V21" s="31">
        <v>39276</v>
      </c>
      <c r="W21" s="31">
        <v>39269</v>
      </c>
      <c r="X21" s="31">
        <v>39117</v>
      </c>
      <c r="Y21" s="31">
        <v>37607</v>
      </c>
      <c r="Z21" s="31">
        <v>35254</v>
      </c>
      <c r="AA21" s="31">
        <f t="shared" si="0"/>
        <v>647142</v>
      </c>
      <c r="AB21" s="32">
        <v>4</v>
      </c>
      <c r="AC21" s="31">
        <f t="shared" si="1"/>
        <v>2588568</v>
      </c>
      <c r="AD21" s="133"/>
    </row>
    <row r="22" spans="1:30" x14ac:dyDescent="0.35">
      <c r="A22" s="131"/>
      <c r="B22" s="34" t="s">
        <v>46</v>
      </c>
      <c r="C22" s="31">
        <v>30293</v>
      </c>
      <c r="D22" s="31">
        <v>28746</v>
      </c>
      <c r="E22" s="31">
        <v>27648</v>
      </c>
      <c r="F22" s="31">
        <v>26863</v>
      </c>
      <c r="G22" s="31">
        <v>26351</v>
      </c>
      <c r="H22" s="31">
        <v>25572</v>
      </c>
      <c r="I22" s="31">
        <v>18171</v>
      </c>
      <c r="J22" s="31">
        <v>13887</v>
      </c>
      <c r="K22" s="31">
        <v>11044</v>
      </c>
      <c r="L22" s="31">
        <v>10467</v>
      </c>
      <c r="M22" s="31">
        <v>10504</v>
      </c>
      <c r="N22" s="31">
        <v>10639</v>
      </c>
      <c r="O22" s="31">
        <v>11707</v>
      </c>
      <c r="P22" s="31">
        <v>12803</v>
      </c>
      <c r="Q22" s="31">
        <v>15397</v>
      </c>
      <c r="R22" s="31">
        <v>17757</v>
      </c>
      <c r="S22" s="31">
        <v>26420</v>
      </c>
      <c r="T22" s="31">
        <v>31276</v>
      </c>
      <c r="U22" s="31">
        <v>34380</v>
      </c>
      <c r="V22" s="31">
        <v>35326</v>
      </c>
      <c r="W22" s="31">
        <v>35151</v>
      </c>
      <c r="X22" s="31">
        <v>34828</v>
      </c>
      <c r="Y22" s="31">
        <v>33851</v>
      </c>
      <c r="Z22" s="31">
        <v>32232</v>
      </c>
      <c r="AA22" s="31">
        <f t="shared" si="0"/>
        <v>561313</v>
      </c>
      <c r="AB22" s="32">
        <v>2</v>
      </c>
      <c r="AC22" s="31">
        <f t="shared" si="1"/>
        <v>1122626</v>
      </c>
      <c r="AD22" s="134"/>
    </row>
    <row r="23" spans="1:30" x14ac:dyDescent="0.35">
      <c r="A23" s="129">
        <v>47604</v>
      </c>
      <c r="B23" s="30" t="s">
        <v>43</v>
      </c>
      <c r="C23" s="31">
        <v>31901</v>
      </c>
      <c r="D23" s="31">
        <v>30400</v>
      </c>
      <c r="E23" s="31">
        <v>29301</v>
      </c>
      <c r="F23" s="31">
        <v>28530</v>
      </c>
      <c r="G23" s="31">
        <v>28337</v>
      </c>
      <c r="H23" s="31">
        <v>28163</v>
      </c>
      <c r="I23" s="31">
        <v>21606</v>
      </c>
      <c r="J23" s="31">
        <v>20232</v>
      </c>
      <c r="K23" s="31">
        <v>20234</v>
      </c>
      <c r="L23" s="31">
        <v>21246</v>
      </c>
      <c r="M23" s="31">
        <v>22508</v>
      </c>
      <c r="N23" s="31">
        <v>22476</v>
      </c>
      <c r="O23" s="31">
        <v>20570</v>
      </c>
      <c r="P23" s="31">
        <v>24091</v>
      </c>
      <c r="Q23" s="31">
        <v>28991</v>
      </c>
      <c r="R23" s="31">
        <v>31366</v>
      </c>
      <c r="S23" s="31">
        <v>39037</v>
      </c>
      <c r="T23" s="31">
        <v>40879</v>
      </c>
      <c r="U23" s="31">
        <v>41416</v>
      </c>
      <c r="V23" s="31">
        <v>41456</v>
      </c>
      <c r="W23" s="31">
        <v>41302</v>
      </c>
      <c r="X23" s="31">
        <v>40484</v>
      </c>
      <c r="Y23" s="31">
        <v>38442</v>
      </c>
      <c r="Z23" s="31">
        <v>35763</v>
      </c>
      <c r="AA23" s="31">
        <f t="shared" si="0"/>
        <v>728731</v>
      </c>
      <c r="AB23" s="32">
        <v>22</v>
      </c>
      <c r="AC23" s="31">
        <f t="shared" si="1"/>
        <v>16032082</v>
      </c>
      <c r="AD23" s="132">
        <f>+SUM(AC23:AC26)</f>
        <v>21911422</v>
      </c>
    </row>
    <row r="24" spans="1:30" x14ac:dyDescent="0.35">
      <c r="A24" s="130"/>
      <c r="B24" s="33" t="s">
        <v>44</v>
      </c>
      <c r="C24" s="31">
        <v>33016</v>
      </c>
      <c r="D24" s="31">
        <v>31329</v>
      </c>
      <c r="E24" s="31">
        <v>30102</v>
      </c>
      <c r="F24" s="31">
        <v>29136</v>
      </c>
      <c r="G24" s="31">
        <v>28752</v>
      </c>
      <c r="H24" s="31">
        <v>27960</v>
      </c>
      <c r="I24" s="31">
        <v>21289</v>
      </c>
      <c r="J24" s="31">
        <v>19473</v>
      </c>
      <c r="K24" s="31">
        <v>19549</v>
      </c>
      <c r="L24" s="31">
        <v>20659</v>
      </c>
      <c r="M24" s="31">
        <v>21652</v>
      </c>
      <c r="N24" s="31">
        <v>21454</v>
      </c>
      <c r="O24" s="31">
        <v>20497</v>
      </c>
      <c r="P24" s="31">
        <v>21604</v>
      </c>
      <c r="Q24" s="31">
        <v>24286</v>
      </c>
      <c r="R24" s="31">
        <v>26561</v>
      </c>
      <c r="S24" s="31">
        <v>34281</v>
      </c>
      <c r="T24" s="31">
        <v>37415</v>
      </c>
      <c r="U24" s="31">
        <v>39388</v>
      </c>
      <c r="V24" s="31">
        <v>39677</v>
      </c>
      <c r="W24" s="31">
        <v>38996</v>
      </c>
      <c r="X24" s="31">
        <v>38282</v>
      </c>
      <c r="Y24" s="31">
        <v>37151</v>
      </c>
      <c r="Z24" s="31">
        <v>35495</v>
      </c>
      <c r="AA24" s="31">
        <f t="shared" si="0"/>
        <v>698004</v>
      </c>
      <c r="AB24" s="32">
        <v>4</v>
      </c>
      <c r="AC24" s="31">
        <f t="shared" si="1"/>
        <v>2792016</v>
      </c>
      <c r="AD24" s="133"/>
    </row>
    <row r="25" spans="1:30" x14ac:dyDescent="0.35">
      <c r="A25" s="130"/>
      <c r="B25" s="33" t="s">
        <v>45</v>
      </c>
      <c r="C25" s="31">
        <v>32162</v>
      </c>
      <c r="D25" s="31">
        <v>30693</v>
      </c>
      <c r="E25" s="31">
        <v>29581</v>
      </c>
      <c r="F25" s="31">
        <v>28663</v>
      </c>
      <c r="G25" s="31">
        <v>28082</v>
      </c>
      <c r="H25" s="31">
        <v>26879</v>
      </c>
      <c r="I25" s="31">
        <v>19755</v>
      </c>
      <c r="J25" s="31">
        <v>15917</v>
      </c>
      <c r="K25" s="31">
        <v>13789</v>
      </c>
      <c r="L25" s="31">
        <v>13953</v>
      </c>
      <c r="M25" s="31">
        <v>14421</v>
      </c>
      <c r="N25" s="31">
        <v>14465</v>
      </c>
      <c r="O25" s="31">
        <v>14909</v>
      </c>
      <c r="P25" s="31">
        <v>15779</v>
      </c>
      <c r="Q25" s="31">
        <v>18389</v>
      </c>
      <c r="R25" s="31">
        <v>20830</v>
      </c>
      <c r="S25" s="31">
        <v>29319</v>
      </c>
      <c r="T25" s="31">
        <v>33619</v>
      </c>
      <c r="U25" s="31">
        <v>36276</v>
      </c>
      <c r="V25" s="31">
        <v>37545</v>
      </c>
      <c r="W25" s="31">
        <v>37782</v>
      </c>
      <c r="X25" s="31">
        <v>37801</v>
      </c>
      <c r="Y25" s="31">
        <v>36579</v>
      </c>
      <c r="Z25" s="31">
        <v>34493</v>
      </c>
      <c r="AA25" s="31">
        <f t="shared" si="0"/>
        <v>621681</v>
      </c>
      <c r="AB25" s="32">
        <v>4</v>
      </c>
      <c r="AC25" s="31">
        <f t="shared" si="1"/>
        <v>2486724</v>
      </c>
      <c r="AD25" s="133"/>
    </row>
    <row r="26" spans="1:30" x14ac:dyDescent="0.35">
      <c r="A26" s="131"/>
      <c r="B26" s="34" t="s">
        <v>46</v>
      </c>
      <c r="C26" s="31">
        <v>29240</v>
      </c>
      <c r="D26" s="31">
        <v>27792</v>
      </c>
      <c r="E26" s="31">
        <v>26763</v>
      </c>
      <c r="F26" s="31">
        <v>26017</v>
      </c>
      <c r="G26" s="31">
        <v>25675</v>
      </c>
      <c r="H26" s="31">
        <v>24878</v>
      </c>
      <c r="I26" s="31">
        <v>17954</v>
      </c>
      <c r="J26" s="31">
        <v>14711</v>
      </c>
      <c r="K26" s="31">
        <v>13063</v>
      </c>
      <c r="L26" s="31">
        <v>13644</v>
      </c>
      <c r="M26" s="31">
        <v>14522</v>
      </c>
      <c r="N26" s="31">
        <v>14747</v>
      </c>
      <c r="O26" s="31">
        <v>15006</v>
      </c>
      <c r="P26" s="31">
        <v>16260</v>
      </c>
      <c r="Q26" s="31">
        <v>18831</v>
      </c>
      <c r="R26" s="31">
        <v>21202</v>
      </c>
      <c r="S26" s="31">
        <v>29341</v>
      </c>
      <c r="T26" s="31">
        <v>33254</v>
      </c>
      <c r="U26" s="31">
        <v>36041</v>
      </c>
      <c r="V26" s="31">
        <v>37582</v>
      </c>
      <c r="W26" s="31">
        <v>37750</v>
      </c>
      <c r="X26" s="31">
        <v>37339</v>
      </c>
      <c r="Y26" s="31">
        <v>35626</v>
      </c>
      <c r="Z26" s="31">
        <v>33362</v>
      </c>
      <c r="AA26" s="31">
        <f t="shared" si="0"/>
        <v>600600</v>
      </c>
      <c r="AB26" s="32">
        <v>1</v>
      </c>
      <c r="AC26" s="31">
        <f t="shared" si="1"/>
        <v>600600</v>
      </c>
      <c r="AD26" s="134"/>
    </row>
    <row r="27" spans="1:30" x14ac:dyDescent="0.35">
      <c r="A27" s="129">
        <v>47635</v>
      </c>
      <c r="B27" s="30" t="s">
        <v>43</v>
      </c>
      <c r="C27" s="31">
        <v>33311</v>
      </c>
      <c r="D27" s="31">
        <v>31689</v>
      </c>
      <c r="E27" s="31">
        <v>30502</v>
      </c>
      <c r="F27" s="31">
        <v>29685</v>
      </c>
      <c r="G27" s="31">
        <v>29484</v>
      </c>
      <c r="H27" s="31">
        <v>29208</v>
      </c>
      <c r="I27" s="31">
        <v>23002</v>
      </c>
      <c r="J27" s="31">
        <v>21962</v>
      </c>
      <c r="K27" s="31">
        <v>22017</v>
      </c>
      <c r="L27" s="31">
        <v>22982</v>
      </c>
      <c r="M27" s="31">
        <v>24243</v>
      </c>
      <c r="N27" s="31">
        <v>24337</v>
      </c>
      <c r="O27" s="31">
        <v>22134</v>
      </c>
      <c r="P27" s="31">
        <v>25635</v>
      </c>
      <c r="Q27" s="31">
        <v>30581</v>
      </c>
      <c r="R27" s="31">
        <v>33132</v>
      </c>
      <c r="S27" s="31">
        <v>40947</v>
      </c>
      <c r="T27" s="31">
        <v>42837</v>
      </c>
      <c r="U27" s="31">
        <v>43018</v>
      </c>
      <c r="V27" s="31">
        <v>43344</v>
      </c>
      <c r="W27" s="31">
        <v>42952</v>
      </c>
      <c r="X27" s="31">
        <v>41960</v>
      </c>
      <c r="Y27" s="31">
        <v>39930</v>
      </c>
      <c r="Z27" s="31">
        <v>37220</v>
      </c>
      <c r="AA27" s="31">
        <f t="shared" si="0"/>
        <v>766112</v>
      </c>
      <c r="AB27" s="32">
        <v>18</v>
      </c>
      <c r="AC27" s="31">
        <f t="shared" si="1"/>
        <v>13790016</v>
      </c>
      <c r="AD27" s="132">
        <f>+SUM(AC27:AC30)</f>
        <v>22025973</v>
      </c>
    </row>
    <row r="28" spans="1:30" x14ac:dyDescent="0.35">
      <c r="A28" s="130"/>
      <c r="B28" s="33" t="s">
        <v>44</v>
      </c>
      <c r="C28" s="31">
        <v>33821</v>
      </c>
      <c r="D28" s="31">
        <v>32239</v>
      </c>
      <c r="E28" s="31">
        <v>31053</v>
      </c>
      <c r="F28" s="31">
        <v>30172</v>
      </c>
      <c r="G28" s="31">
        <v>29872</v>
      </c>
      <c r="H28" s="31">
        <v>29104</v>
      </c>
      <c r="I28" s="31">
        <v>22771</v>
      </c>
      <c r="J28" s="31">
        <v>21111</v>
      </c>
      <c r="K28" s="31">
        <v>21083</v>
      </c>
      <c r="L28" s="31">
        <v>22093</v>
      </c>
      <c r="M28" s="31">
        <v>23124</v>
      </c>
      <c r="N28" s="31">
        <v>22987</v>
      </c>
      <c r="O28" s="31">
        <v>21864</v>
      </c>
      <c r="P28" s="31">
        <v>22681</v>
      </c>
      <c r="Q28" s="31">
        <v>25702</v>
      </c>
      <c r="R28" s="31">
        <v>28160</v>
      </c>
      <c r="S28" s="31">
        <v>36009</v>
      </c>
      <c r="T28" s="31">
        <v>39469</v>
      </c>
      <c r="U28" s="31">
        <v>41110</v>
      </c>
      <c r="V28" s="31">
        <v>41619</v>
      </c>
      <c r="W28" s="31">
        <v>40778</v>
      </c>
      <c r="X28" s="31">
        <v>39887</v>
      </c>
      <c r="Y28" s="31">
        <v>38686</v>
      </c>
      <c r="Z28" s="31">
        <v>37005</v>
      </c>
      <c r="AA28" s="31">
        <f t="shared" si="0"/>
        <v>732400</v>
      </c>
      <c r="AB28" s="32">
        <v>5</v>
      </c>
      <c r="AC28" s="31">
        <f t="shared" si="1"/>
        <v>3662000</v>
      </c>
      <c r="AD28" s="133"/>
    </row>
    <row r="29" spans="1:30" x14ac:dyDescent="0.35">
      <c r="A29" s="130"/>
      <c r="B29" s="33" t="s">
        <v>45</v>
      </c>
      <c r="C29" s="31">
        <v>33632</v>
      </c>
      <c r="D29" s="31">
        <v>32109</v>
      </c>
      <c r="E29" s="31">
        <v>30985</v>
      </c>
      <c r="F29" s="31">
        <v>30084</v>
      </c>
      <c r="G29" s="31">
        <v>29544</v>
      </c>
      <c r="H29" s="31">
        <v>28373</v>
      </c>
      <c r="I29" s="31">
        <v>21216</v>
      </c>
      <c r="J29" s="31">
        <v>17534</v>
      </c>
      <c r="K29" s="31">
        <v>15084</v>
      </c>
      <c r="L29" s="31">
        <v>15447</v>
      </c>
      <c r="M29" s="31">
        <v>15477</v>
      </c>
      <c r="N29" s="31">
        <v>15445</v>
      </c>
      <c r="O29" s="31">
        <v>16138</v>
      </c>
      <c r="P29" s="31">
        <v>17003</v>
      </c>
      <c r="Q29" s="31">
        <v>19453</v>
      </c>
      <c r="R29" s="31">
        <v>22000</v>
      </c>
      <c r="S29" s="31">
        <v>30751</v>
      </c>
      <c r="T29" s="31">
        <v>34990</v>
      </c>
      <c r="U29" s="31">
        <v>37539</v>
      </c>
      <c r="V29" s="31">
        <v>39470</v>
      </c>
      <c r="W29" s="31">
        <v>39603</v>
      </c>
      <c r="X29" s="31">
        <v>39456</v>
      </c>
      <c r="Y29" s="31">
        <v>38319</v>
      </c>
      <c r="Z29" s="31">
        <v>36381</v>
      </c>
      <c r="AA29" s="31">
        <f t="shared" si="0"/>
        <v>656033</v>
      </c>
      <c r="AB29" s="32">
        <v>5</v>
      </c>
      <c r="AC29" s="31">
        <f t="shared" si="1"/>
        <v>3280165</v>
      </c>
      <c r="AD29" s="133"/>
    </row>
    <row r="30" spans="1:30" x14ac:dyDescent="0.35">
      <c r="A30" s="131"/>
      <c r="B30" s="34" t="s">
        <v>46</v>
      </c>
      <c r="C30" s="31">
        <v>31024</v>
      </c>
      <c r="D30" s="31">
        <v>29549</v>
      </c>
      <c r="E30" s="31">
        <v>28533</v>
      </c>
      <c r="F30" s="31">
        <v>27721</v>
      </c>
      <c r="G30" s="31">
        <v>27421</v>
      </c>
      <c r="H30" s="31">
        <v>26554</v>
      </c>
      <c r="I30" s="31">
        <v>19652</v>
      </c>
      <c r="J30" s="31">
        <v>16787</v>
      </c>
      <c r="K30" s="31">
        <v>15406</v>
      </c>
      <c r="L30" s="31">
        <v>16210</v>
      </c>
      <c r="M30" s="31">
        <v>17192</v>
      </c>
      <c r="N30" s="31">
        <v>17346</v>
      </c>
      <c r="O30" s="31">
        <v>17427</v>
      </c>
      <c r="P30" s="31">
        <v>18547</v>
      </c>
      <c r="Q30" s="31">
        <v>20941</v>
      </c>
      <c r="R30" s="31">
        <v>23090</v>
      </c>
      <c r="S30" s="31">
        <v>31112</v>
      </c>
      <c r="T30" s="31">
        <v>35056</v>
      </c>
      <c r="U30" s="31">
        <v>37515</v>
      </c>
      <c r="V30" s="31">
        <v>39628</v>
      </c>
      <c r="W30" s="31">
        <v>39493</v>
      </c>
      <c r="X30" s="31">
        <v>38865</v>
      </c>
      <c r="Y30" s="31">
        <v>37102</v>
      </c>
      <c r="Z30" s="31">
        <v>34725</v>
      </c>
      <c r="AA30" s="31">
        <f t="shared" si="0"/>
        <v>646896</v>
      </c>
      <c r="AB30" s="32">
        <v>2</v>
      </c>
      <c r="AC30" s="31">
        <f t="shared" si="1"/>
        <v>1293792</v>
      </c>
      <c r="AD30" s="134"/>
    </row>
    <row r="31" spans="1:30" x14ac:dyDescent="0.35">
      <c r="A31" s="129">
        <v>47665</v>
      </c>
      <c r="B31" s="30" t="s">
        <v>43</v>
      </c>
      <c r="C31" s="31">
        <v>31588</v>
      </c>
      <c r="D31" s="31">
        <v>30031</v>
      </c>
      <c r="E31" s="31">
        <v>28919</v>
      </c>
      <c r="F31" s="31">
        <v>28070</v>
      </c>
      <c r="G31" s="31">
        <v>27817</v>
      </c>
      <c r="H31" s="31">
        <v>27801</v>
      </c>
      <c r="I31" s="31">
        <v>21329</v>
      </c>
      <c r="J31" s="31">
        <v>19855</v>
      </c>
      <c r="K31" s="31">
        <v>19824</v>
      </c>
      <c r="L31" s="31">
        <v>20773</v>
      </c>
      <c r="M31" s="31">
        <v>21978</v>
      </c>
      <c r="N31" s="31">
        <v>21772</v>
      </c>
      <c r="O31" s="31">
        <v>19533</v>
      </c>
      <c r="P31" s="31">
        <v>22944</v>
      </c>
      <c r="Q31" s="31">
        <v>27722</v>
      </c>
      <c r="R31" s="31">
        <v>30239</v>
      </c>
      <c r="S31" s="31">
        <v>37926</v>
      </c>
      <c r="T31" s="31">
        <v>40030</v>
      </c>
      <c r="U31" s="31">
        <v>39991</v>
      </c>
      <c r="V31" s="31">
        <v>40815</v>
      </c>
      <c r="W31" s="31">
        <v>40637</v>
      </c>
      <c r="X31" s="31">
        <v>39895</v>
      </c>
      <c r="Y31" s="31">
        <v>38048</v>
      </c>
      <c r="Z31" s="31">
        <v>35525</v>
      </c>
      <c r="AA31" s="31">
        <f t="shared" si="0"/>
        <v>713062</v>
      </c>
      <c r="AB31" s="32">
        <v>22</v>
      </c>
      <c r="AC31" s="31">
        <f t="shared" si="1"/>
        <v>15687364</v>
      </c>
      <c r="AD31" s="132">
        <f>+SUM(AC31:AC34)</f>
        <v>21395767</v>
      </c>
    </row>
    <row r="32" spans="1:30" x14ac:dyDescent="0.35">
      <c r="A32" s="130"/>
      <c r="B32" s="33" t="s">
        <v>44</v>
      </c>
      <c r="C32" s="31">
        <v>31415</v>
      </c>
      <c r="D32" s="31">
        <v>29898</v>
      </c>
      <c r="E32" s="31">
        <v>28854</v>
      </c>
      <c r="F32" s="31">
        <v>28010</v>
      </c>
      <c r="G32" s="31">
        <v>27686</v>
      </c>
      <c r="H32" s="31">
        <v>27115</v>
      </c>
      <c r="I32" s="31">
        <v>20485</v>
      </c>
      <c r="J32" s="31">
        <v>18687</v>
      </c>
      <c r="K32" s="31">
        <v>18506</v>
      </c>
      <c r="L32" s="31">
        <v>19473</v>
      </c>
      <c r="M32" s="31">
        <v>20283</v>
      </c>
      <c r="N32" s="31">
        <v>20342</v>
      </c>
      <c r="O32" s="31">
        <v>19358</v>
      </c>
      <c r="P32" s="31">
        <v>20407</v>
      </c>
      <c r="Q32" s="31">
        <v>23323</v>
      </c>
      <c r="R32" s="31">
        <v>25472</v>
      </c>
      <c r="S32" s="31">
        <v>33240</v>
      </c>
      <c r="T32" s="31">
        <v>36727</v>
      </c>
      <c r="U32" s="31">
        <v>38365</v>
      </c>
      <c r="V32" s="31">
        <v>39410</v>
      </c>
      <c r="W32" s="31">
        <v>38600</v>
      </c>
      <c r="X32" s="31">
        <v>37851</v>
      </c>
      <c r="Y32" s="31">
        <v>36913</v>
      </c>
      <c r="Z32" s="31">
        <v>35453</v>
      </c>
      <c r="AA32" s="31">
        <f t="shared" si="0"/>
        <v>675873</v>
      </c>
      <c r="AB32" s="32">
        <v>3</v>
      </c>
      <c r="AC32" s="31">
        <f t="shared" si="1"/>
        <v>2027619</v>
      </c>
      <c r="AD32" s="133"/>
    </row>
    <row r="33" spans="1:30" x14ac:dyDescent="0.35">
      <c r="A33" s="130"/>
      <c r="B33" s="33" t="s">
        <v>45</v>
      </c>
      <c r="C33" s="31">
        <v>32113</v>
      </c>
      <c r="D33" s="31">
        <v>30545</v>
      </c>
      <c r="E33" s="31">
        <v>29392</v>
      </c>
      <c r="F33" s="31">
        <v>28537</v>
      </c>
      <c r="G33" s="31">
        <v>27969</v>
      </c>
      <c r="H33" s="31">
        <v>26984</v>
      </c>
      <c r="I33" s="31">
        <v>19661</v>
      </c>
      <c r="J33" s="31">
        <v>15516</v>
      </c>
      <c r="K33" s="31">
        <v>13327</v>
      </c>
      <c r="L33" s="31">
        <v>13387</v>
      </c>
      <c r="M33" s="31">
        <v>13574</v>
      </c>
      <c r="N33" s="31">
        <v>13417</v>
      </c>
      <c r="O33" s="31">
        <v>14256</v>
      </c>
      <c r="P33" s="31">
        <v>15182</v>
      </c>
      <c r="Q33" s="31">
        <v>17455</v>
      </c>
      <c r="R33" s="31">
        <v>20167</v>
      </c>
      <c r="S33" s="31">
        <v>28660</v>
      </c>
      <c r="T33" s="31">
        <v>33376</v>
      </c>
      <c r="U33" s="31">
        <v>35437</v>
      </c>
      <c r="V33" s="31">
        <v>37447</v>
      </c>
      <c r="W33" s="31">
        <v>37766</v>
      </c>
      <c r="X33" s="31">
        <v>37718</v>
      </c>
      <c r="Y33" s="31">
        <v>36497</v>
      </c>
      <c r="Z33" s="31">
        <v>34578</v>
      </c>
      <c r="AA33" s="31">
        <f t="shared" si="0"/>
        <v>612961</v>
      </c>
      <c r="AB33" s="32">
        <v>4</v>
      </c>
      <c r="AC33" s="31">
        <f t="shared" si="1"/>
        <v>2451844</v>
      </c>
      <c r="AD33" s="133"/>
    </row>
    <row r="34" spans="1:30" x14ac:dyDescent="0.35">
      <c r="A34" s="131"/>
      <c r="B34" s="34" t="s">
        <v>46</v>
      </c>
      <c r="C34" s="31">
        <v>30402</v>
      </c>
      <c r="D34" s="31">
        <v>28897</v>
      </c>
      <c r="E34" s="31">
        <v>27780</v>
      </c>
      <c r="F34" s="31">
        <v>27049</v>
      </c>
      <c r="G34" s="31">
        <v>26692</v>
      </c>
      <c r="H34" s="31">
        <v>26028</v>
      </c>
      <c r="I34" s="31">
        <v>18984</v>
      </c>
      <c r="J34" s="31">
        <v>15787</v>
      </c>
      <c r="K34" s="31">
        <v>14252</v>
      </c>
      <c r="L34" s="31">
        <v>14709</v>
      </c>
      <c r="M34" s="31">
        <v>15275</v>
      </c>
      <c r="N34" s="31">
        <v>15175</v>
      </c>
      <c r="O34" s="31">
        <v>15001</v>
      </c>
      <c r="P34" s="31">
        <v>16407</v>
      </c>
      <c r="Q34" s="31">
        <v>18978</v>
      </c>
      <c r="R34" s="31">
        <v>21462</v>
      </c>
      <c r="S34" s="31">
        <v>29628</v>
      </c>
      <c r="T34" s="31">
        <v>33650</v>
      </c>
      <c r="U34" s="31">
        <v>35722</v>
      </c>
      <c r="V34" s="31">
        <v>37955</v>
      </c>
      <c r="W34" s="31">
        <v>37920</v>
      </c>
      <c r="X34" s="31">
        <v>37415</v>
      </c>
      <c r="Y34" s="31">
        <v>35813</v>
      </c>
      <c r="Z34" s="31">
        <v>33489</v>
      </c>
      <c r="AA34" s="31">
        <f t="shared" si="0"/>
        <v>614470</v>
      </c>
      <c r="AB34" s="32">
        <v>2</v>
      </c>
      <c r="AC34" s="31">
        <f>+AA34*AB34</f>
        <v>1228940</v>
      </c>
      <c r="AD34" s="134"/>
    </row>
    <row r="35" spans="1:30" x14ac:dyDescent="0.35">
      <c r="A35" s="129">
        <v>47696</v>
      </c>
      <c r="B35" s="30" t="s">
        <v>43</v>
      </c>
      <c r="C35" s="31">
        <v>32934</v>
      </c>
      <c r="D35" s="31">
        <v>31355</v>
      </c>
      <c r="E35" s="31">
        <v>30159</v>
      </c>
      <c r="F35" s="31">
        <v>29261</v>
      </c>
      <c r="G35" s="31">
        <v>28964</v>
      </c>
      <c r="H35" s="31">
        <v>28969</v>
      </c>
      <c r="I35" s="31">
        <v>22232</v>
      </c>
      <c r="J35" s="31">
        <v>20891</v>
      </c>
      <c r="K35" s="31">
        <v>20775</v>
      </c>
      <c r="L35" s="31">
        <v>21944</v>
      </c>
      <c r="M35" s="31">
        <v>23250</v>
      </c>
      <c r="N35" s="31">
        <v>23237</v>
      </c>
      <c r="O35" s="31">
        <v>21069</v>
      </c>
      <c r="P35" s="31">
        <v>24876</v>
      </c>
      <c r="Q35" s="31">
        <v>29993</v>
      </c>
      <c r="R35" s="31">
        <v>32474</v>
      </c>
      <c r="S35" s="31">
        <v>40162</v>
      </c>
      <c r="T35" s="31">
        <v>41598</v>
      </c>
      <c r="U35" s="31">
        <v>41830</v>
      </c>
      <c r="V35" s="31">
        <v>42154</v>
      </c>
      <c r="W35" s="31">
        <v>42083</v>
      </c>
      <c r="X35" s="31">
        <v>41444</v>
      </c>
      <c r="Y35" s="31">
        <v>39481</v>
      </c>
      <c r="Z35" s="31">
        <v>36922</v>
      </c>
      <c r="AA35" s="31">
        <f t="shared" si="0"/>
        <v>748057</v>
      </c>
      <c r="AB35" s="32">
        <v>20</v>
      </c>
      <c r="AC35" s="31">
        <f t="shared" si="1"/>
        <v>14961140</v>
      </c>
      <c r="AD35" s="132">
        <f>+SUM(AC35:AC38)</f>
        <v>22415106</v>
      </c>
    </row>
    <row r="36" spans="1:30" x14ac:dyDescent="0.35">
      <c r="A36" s="130"/>
      <c r="B36" s="33" t="s">
        <v>44</v>
      </c>
      <c r="C36" s="31">
        <v>34503</v>
      </c>
      <c r="D36" s="31">
        <v>32795</v>
      </c>
      <c r="E36" s="31">
        <v>31493</v>
      </c>
      <c r="F36" s="31">
        <v>30483</v>
      </c>
      <c r="G36" s="31">
        <v>29952</v>
      </c>
      <c r="H36" s="31">
        <v>29328</v>
      </c>
      <c r="I36" s="31">
        <v>22464</v>
      </c>
      <c r="J36" s="31">
        <v>20847</v>
      </c>
      <c r="K36" s="31">
        <v>20667</v>
      </c>
      <c r="L36" s="31">
        <v>21802</v>
      </c>
      <c r="M36" s="31">
        <v>22609</v>
      </c>
      <c r="N36" s="31">
        <v>22916</v>
      </c>
      <c r="O36" s="31">
        <v>21692</v>
      </c>
      <c r="P36" s="31">
        <v>22944</v>
      </c>
      <c r="Q36" s="31">
        <v>25821</v>
      </c>
      <c r="R36" s="31">
        <v>28034</v>
      </c>
      <c r="S36" s="31">
        <v>35851</v>
      </c>
      <c r="T36" s="31">
        <v>38625</v>
      </c>
      <c r="U36" s="31">
        <v>40584</v>
      </c>
      <c r="V36" s="31">
        <v>40858</v>
      </c>
      <c r="W36" s="31">
        <v>39992</v>
      </c>
      <c r="X36" s="31">
        <v>39541</v>
      </c>
      <c r="Y36" s="31">
        <v>38689</v>
      </c>
      <c r="Z36" s="31">
        <v>37100</v>
      </c>
      <c r="AA36" s="31">
        <f t="shared" si="0"/>
        <v>729590</v>
      </c>
      <c r="AB36" s="32">
        <v>5</v>
      </c>
      <c r="AC36" s="31">
        <f t="shared" si="1"/>
        <v>3647950</v>
      </c>
      <c r="AD36" s="133"/>
    </row>
    <row r="37" spans="1:30" x14ac:dyDescent="0.35">
      <c r="A37" s="130"/>
      <c r="B37" s="33" t="s">
        <v>45</v>
      </c>
      <c r="C37" s="31">
        <v>33835</v>
      </c>
      <c r="D37" s="31">
        <v>32212</v>
      </c>
      <c r="E37" s="31">
        <v>30921</v>
      </c>
      <c r="F37" s="31">
        <v>29937</v>
      </c>
      <c r="G37" s="31">
        <v>29219</v>
      </c>
      <c r="H37" s="31">
        <v>27953</v>
      </c>
      <c r="I37" s="31">
        <v>20339</v>
      </c>
      <c r="J37" s="31">
        <v>16651</v>
      </c>
      <c r="K37" s="31">
        <v>14356</v>
      </c>
      <c r="L37" s="31">
        <v>14252</v>
      </c>
      <c r="M37" s="31">
        <v>14629</v>
      </c>
      <c r="N37" s="31">
        <v>14303</v>
      </c>
      <c r="O37" s="31">
        <v>15198</v>
      </c>
      <c r="P37" s="31">
        <v>16654</v>
      </c>
      <c r="Q37" s="31">
        <v>18958</v>
      </c>
      <c r="R37" s="31">
        <v>21581</v>
      </c>
      <c r="S37" s="31">
        <v>29632</v>
      </c>
      <c r="T37" s="31">
        <v>33532</v>
      </c>
      <c r="U37" s="31">
        <v>36173</v>
      </c>
      <c r="V37" s="31">
        <v>37643</v>
      </c>
      <c r="W37" s="31">
        <v>38028</v>
      </c>
      <c r="X37" s="31">
        <v>38120</v>
      </c>
      <c r="Y37" s="31">
        <v>37018</v>
      </c>
      <c r="Z37" s="31">
        <v>35024</v>
      </c>
      <c r="AA37" s="31">
        <f t="shared" si="0"/>
        <v>636168</v>
      </c>
      <c r="AB37" s="32">
        <v>4</v>
      </c>
      <c r="AC37" s="31">
        <f t="shared" si="1"/>
        <v>2544672</v>
      </c>
      <c r="AD37" s="133"/>
    </row>
    <row r="38" spans="1:30" x14ac:dyDescent="0.35">
      <c r="A38" s="131"/>
      <c r="B38" s="34" t="s">
        <v>46</v>
      </c>
      <c r="C38" s="31">
        <v>30338</v>
      </c>
      <c r="D38" s="31">
        <v>28996</v>
      </c>
      <c r="E38" s="31">
        <v>27930</v>
      </c>
      <c r="F38" s="31">
        <v>27204</v>
      </c>
      <c r="G38" s="31">
        <v>26857</v>
      </c>
      <c r="H38" s="31">
        <v>26186</v>
      </c>
      <c r="I38" s="31">
        <v>18898</v>
      </c>
      <c r="J38" s="31">
        <v>15767</v>
      </c>
      <c r="K38" s="31">
        <v>14294</v>
      </c>
      <c r="L38" s="31">
        <v>15187</v>
      </c>
      <c r="M38" s="31">
        <v>16070</v>
      </c>
      <c r="N38" s="31">
        <v>16425</v>
      </c>
      <c r="O38" s="31">
        <v>16635</v>
      </c>
      <c r="P38" s="31">
        <v>17853</v>
      </c>
      <c r="Q38" s="31">
        <v>20402</v>
      </c>
      <c r="R38" s="31">
        <v>23031</v>
      </c>
      <c r="S38" s="31">
        <v>31056</v>
      </c>
      <c r="T38" s="31">
        <v>34301</v>
      </c>
      <c r="U38" s="31">
        <v>36981</v>
      </c>
      <c r="V38" s="31">
        <v>38380</v>
      </c>
      <c r="W38" s="31">
        <v>38295</v>
      </c>
      <c r="X38" s="31">
        <v>38277</v>
      </c>
      <c r="Y38" s="31">
        <v>36781</v>
      </c>
      <c r="Z38" s="31">
        <v>34528</v>
      </c>
      <c r="AA38" s="31">
        <f t="shared" si="0"/>
        <v>630672</v>
      </c>
      <c r="AB38" s="32">
        <v>2</v>
      </c>
      <c r="AC38" s="31">
        <f t="shared" si="1"/>
        <v>1261344</v>
      </c>
      <c r="AD38" s="134"/>
    </row>
    <row r="39" spans="1:30" x14ac:dyDescent="0.35">
      <c r="A39" s="129">
        <v>47727</v>
      </c>
      <c r="B39" s="30" t="s">
        <v>43</v>
      </c>
      <c r="C39" s="31">
        <v>34532</v>
      </c>
      <c r="D39" s="31">
        <v>32781</v>
      </c>
      <c r="E39" s="31">
        <v>31492</v>
      </c>
      <c r="F39" s="31">
        <v>30501</v>
      </c>
      <c r="G39" s="31">
        <v>30151</v>
      </c>
      <c r="H39" s="31">
        <v>30058</v>
      </c>
      <c r="I39" s="31">
        <v>23481</v>
      </c>
      <c r="J39" s="31">
        <v>22387</v>
      </c>
      <c r="K39" s="31">
        <v>22383</v>
      </c>
      <c r="L39" s="31">
        <v>23645</v>
      </c>
      <c r="M39" s="31">
        <v>25069</v>
      </c>
      <c r="N39" s="31">
        <v>25091</v>
      </c>
      <c r="O39" s="31">
        <v>23008</v>
      </c>
      <c r="P39" s="31">
        <v>27089</v>
      </c>
      <c r="Q39" s="31">
        <v>32185</v>
      </c>
      <c r="R39" s="31">
        <v>34631</v>
      </c>
      <c r="S39" s="31">
        <v>42049</v>
      </c>
      <c r="T39" s="31">
        <v>43776</v>
      </c>
      <c r="U39" s="31">
        <v>44359</v>
      </c>
      <c r="V39" s="31">
        <v>43694</v>
      </c>
      <c r="W39" s="31">
        <v>43502</v>
      </c>
      <c r="X39" s="31">
        <v>42917</v>
      </c>
      <c r="Y39" s="31">
        <v>40969</v>
      </c>
      <c r="Z39" s="31">
        <v>38149</v>
      </c>
      <c r="AA39" s="31">
        <f t="shared" si="0"/>
        <v>787899</v>
      </c>
      <c r="AB39" s="32">
        <v>21</v>
      </c>
      <c r="AC39" s="31">
        <f t="shared" si="1"/>
        <v>16545879</v>
      </c>
      <c r="AD39" s="132">
        <f>+SUM(AC39:AC42)</f>
        <v>23011129</v>
      </c>
    </row>
    <row r="40" spans="1:30" x14ac:dyDescent="0.35">
      <c r="A40" s="130"/>
      <c r="B40" s="33" t="s">
        <v>44</v>
      </c>
      <c r="C40" s="31">
        <v>35275</v>
      </c>
      <c r="D40" s="31">
        <v>33651</v>
      </c>
      <c r="E40" s="31">
        <v>32368</v>
      </c>
      <c r="F40" s="31">
        <v>31279</v>
      </c>
      <c r="G40" s="31">
        <v>30757</v>
      </c>
      <c r="H40" s="31">
        <v>30023</v>
      </c>
      <c r="I40" s="31">
        <v>23326</v>
      </c>
      <c r="J40" s="31">
        <v>22008</v>
      </c>
      <c r="K40" s="31">
        <v>22072</v>
      </c>
      <c r="L40" s="31">
        <v>23153</v>
      </c>
      <c r="M40" s="31">
        <v>24421</v>
      </c>
      <c r="N40" s="31">
        <v>24490</v>
      </c>
      <c r="O40" s="31">
        <v>23435</v>
      </c>
      <c r="P40" s="31">
        <v>24789</v>
      </c>
      <c r="Q40" s="31">
        <v>27828</v>
      </c>
      <c r="R40" s="31">
        <v>29995</v>
      </c>
      <c r="S40" s="31">
        <v>37542</v>
      </c>
      <c r="T40" s="31">
        <v>40826</v>
      </c>
      <c r="U40" s="31">
        <v>43107</v>
      </c>
      <c r="V40" s="31">
        <v>42523</v>
      </c>
      <c r="W40" s="31">
        <v>41439</v>
      </c>
      <c r="X40" s="31">
        <v>40636</v>
      </c>
      <c r="Y40" s="31">
        <v>39711</v>
      </c>
      <c r="Z40" s="31">
        <v>38181</v>
      </c>
      <c r="AA40" s="31">
        <f t="shared" si="0"/>
        <v>762835</v>
      </c>
      <c r="AB40" s="32">
        <v>4</v>
      </c>
      <c r="AC40" s="31">
        <f t="shared" si="1"/>
        <v>3051340</v>
      </c>
      <c r="AD40" s="133"/>
    </row>
    <row r="41" spans="1:30" x14ac:dyDescent="0.35">
      <c r="A41" s="130"/>
      <c r="B41" s="33" t="s">
        <v>45</v>
      </c>
      <c r="C41" s="31">
        <v>34870</v>
      </c>
      <c r="D41" s="31">
        <v>33295</v>
      </c>
      <c r="E41" s="31">
        <v>32087</v>
      </c>
      <c r="F41" s="31">
        <v>31126</v>
      </c>
      <c r="G41" s="31">
        <v>30470</v>
      </c>
      <c r="H41" s="31">
        <v>29478</v>
      </c>
      <c r="I41" s="31">
        <v>22117</v>
      </c>
      <c r="J41" s="31">
        <v>18341</v>
      </c>
      <c r="K41" s="31">
        <v>15898</v>
      </c>
      <c r="L41" s="31">
        <v>15798</v>
      </c>
      <c r="M41" s="31">
        <v>16282</v>
      </c>
      <c r="N41" s="31">
        <v>16570</v>
      </c>
      <c r="O41" s="31">
        <v>17124</v>
      </c>
      <c r="P41" s="31">
        <v>18521</v>
      </c>
      <c r="Q41" s="31">
        <v>21340</v>
      </c>
      <c r="R41" s="31">
        <v>23810</v>
      </c>
      <c r="S41" s="31">
        <v>32158</v>
      </c>
      <c r="T41" s="31">
        <v>36222</v>
      </c>
      <c r="U41" s="31">
        <v>39248</v>
      </c>
      <c r="V41" s="31">
        <v>40104</v>
      </c>
      <c r="W41" s="31">
        <v>40583</v>
      </c>
      <c r="X41" s="31">
        <v>40781</v>
      </c>
      <c r="Y41" s="31">
        <v>39451</v>
      </c>
      <c r="Z41" s="31">
        <v>37108</v>
      </c>
      <c r="AA41" s="31">
        <f t="shared" si="0"/>
        <v>682782</v>
      </c>
      <c r="AB41" s="32">
        <v>5</v>
      </c>
      <c r="AC41" s="31">
        <f t="shared" si="1"/>
        <v>3413910</v>
      </c>
      <c r="AD41" s="133"/>
    </row>
    <row r="42" spans="1:30" x14ac:dyDescent="0.35">
      <c r="A42" s="131"/>
      <c r="B42" s="34" t="s">
        <v>46</v>
      </c>
      <c r="C42" s="31">
        <v>0</v>
      </c>
      <c r="D42" s="31">
        <v>0</v>
      </c>
      <c r="E42" s="31">
        <v>0</v>
      </c>
      <c r="F42" s="31">
        <v>0</v>
      </c>
      <c r="G42" s="31">
        <v>0</v>
      </c>
      <c r="H42" s="31">
        <v>0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0</v>
      </c>
      <c r="AA42" s="31">
        <f t="shared" si="0"/>
        <v>0</v>
      </c>
      <c r="AB42" s="32">
        <v>0</v>
      </c>
      <c r="AC42" s="31">
        <f t="shared" si="1"/>
        <v>0</v>
      </c>
      <c r="AD42" s="134"/>
    </row>
    <row r="43" spans="1:30" x14ac:dyDescent="0.35">
      <c r="A43" s="129">
        <v>47757</v>
      </c>
      <c r="B43" s="30" t="s">
        <v>43</v>
      </c>
      <c r="C43" s="31">
        <v>32860</v>
      </c>
      <c r="D43" s="31">
        <v>31254</v>
      </c>
      <c r="E43" s="31">
        <v>30110</v>
      </c>
      <c r="F43" s="31">
        <v>29324</v>
      </c>
      <c r="G43" s="31">
        <v>29106</v>
      </c>
      <c r="H43" s="31">
        <v>29029</v>
      </c>
      <c r="I43" s="31">
        <v>22542</v>
      </c>
      <c r="J43" s="31">
        <v>21370</v>
      </c>
      <c r="K43" s="31">
        <v>21666</v>
      </c>
      <c r="L43" s="31">
        <v>22964</v>
      </c>
      <c r="M43" s="31">
        <v>24418</v>
      </c>
      <c r="N43" s="31">
        <v>24609</v>
      </c>
      <c r="O43" s="31">
        <v>22596</v>
      </c>
      <c r="P43" s="31">
        <v>26373</v>
      </c>
      <c r="Q43" s="31">
        <v>31327</v>
      </c>
      <c r="R43" s="31">
        <v>33548</v>
      </c>
      <c r="S43" s="31">
        <v>41053</v>
      </c>
      <c r="T43" s="31">
        <v>44069</v>
      </c>
      <c r="U43" s="31">
        <v>44122</v>
      </c>
      <c r="V43" s="31">
        <v>42831</v>
      </c>
      <c r="W43" s="31">
        <v>42083</v>
      </c>
      <c r="X43" s="31">
        <v>41084</v>
      </c>
      <c r="Y43" s="31">
        <v>38979</v>
      </c>
      <c r="Z43" s="31">
        <v>36341</v>
      </c>
      <c r="AA43" s="31">
        <f t="shared" si="0"/>
        <v>763658</v>
      </c>
      <c r="AB43" s="32">
        <v>22</v>
      </c>
      <c r="AC43" s="31">
        <f t="shared" si="1"/>
        <v>16800476</v>
      </c>
      <c r="AD43" s="132">
        <f>+SUM(AC43:AC46)</f>
        <v>22883526</v>
      </c>
    </row>
    <row r="44" spans="1:30" x14ac:dyDescent="0.35">
      <c r="A44" s="130"/>
      <c r="B44" s="33" t="s">
        <v>44</v>
      </c>
      <c r="C44" s="31">
        <v>32316</v>
      </c>
      <c r="D44" s="31">
        <v>30711</v>
      </c>
      <c r="E44" s="31">
        <v>29601</v>
      </c>
      <c r="F44" s="31">
        <v>28708</v>
      </c>
      <c r="G44" s="31">
        <v>28350</v>
      </c>
      <c r="H44" s="31">
        <v>27823</v>
      </c>
      <c r="I44" s="31">
        <v>21156</v>
      </c>
      <c r="J44" s="31">
        <v>19496</v>
      </c>
      <c r="K44" s="31">
        <v>19817</v>
      </c>
      <c r="L44" s="31">
        <v>21091</v>
      </c>
      <c r="M44" s="31">
        <v>22307</v>
      </c>
      <c r="N44" s="31">
        <v>22482</v>
      </c>
      <c r="O44" s="31">
        <v>21657</v>
      </c>
      <c r="P44" s="31">
        <v>22569</v>
      </c>
      <c r="Q44" s="31">
        <v>25356</v>
      </c>
      <c r="R44" s="31">
        <v>27244</v>
      </c>
      <c r="S44" s="31">
        <v>35071</v>
      </c>
      <c r="T44" s="31">
        <v>39466</v>
      </c>
      <c r="U44" s="31">
        <v>41007</v>
      </c>
      <c r="V44" s="31">
        <v>40061</v>
      </c>
      <c r="W44" s="31">
        <v>39080</v>
      </c>
      <c r="X44" s="31">
        <v>37993</v>
      </c>
      <c r="Y44" s="31">
        <v>36656</v>
      </c>
      <c r="Z44" s="31">
        <v>34947</v>
      </c>
      <c r="AA44" s="31">
        <f t="shared" si="0"/>
        <v>704965</v>
      </c>
      <c r="AB44" s="32">
        <v>4</v>
      </c>
      <c r="AC44" s="31">
        <f t="shared" si="1"/>
        <v>2819860</v>
      </c>
      <c r="AD44" s="133"/>
    </row>
    <row r="45" spans="1:30" x14ac:dyDescent="0.35">
      <c r="A45" s="130"/>
      <c r="B45" s="33" t="s">
        <v>45</v>
      </c>
      <c r="C45" s="31">
        <v>32743</v>
      </c>
      <c r="D45" s="31">
        <v>31264</v>
      </c>
      <c r="E45" s="31">
        <v>30138</v>
      </c>
      <c r="F45" s="31">
        <v>29167</v>
      </c>
      <c r="G45" s="31">
        <v>28560</v>
      </c>
      <c r="H45" s="31">
        <v>27651</v>
      </c>
      <c r="I45" s="31">
        <v>20369</v>
      </c>
      <c r="J45" s="31">
        <v>16386</v>
      </c>
      <c r="K45" s="31">
        <v>14258</v>
      </c>
      <c r="L45" s="31">
        <v>14673</v>
      </c>
      <c r="M45" s="31">
        <v>15123</v>
      </c>
      <c r="N45" s="31">
        <v>15513</v>
      </c>
      <c r="O45" s="31">
        <v>16238</v>
      </c>
      <c r="P45" s="31">
        <v>17239</v>
      </c>
      <c r="Q45" s="31">
        <v>19663</v>
      </c>
      <c r="R45" s="31">
        <v>22408</v>
      </c>
      <c r="S45" s="31">
        <v>30828</v>
      </c>
      <c r="T45" s="31">
        <v>36073</v>
      </c>
      <c r="U45" s="31">
        <v>38342</v>
      </c>
      <c r="V45" s="31">
        <v>38660</v>
      </c>
      <c r="W45" s="31">
        <v>38770</v>
      </c>
      <c r="X45" s="31">
        <v>38570</v>
      </c>
      <c r="Y45" s="31">
        <v>37153</v>
      </c>
      <c r="Z45" s="31">
        <v>35085</v>
      </c>
      <c r="AA45" s="31">
        <f t="shared" si="0"/>
        <v>644874</v>
      </c>
      <c r="AB45" s="32">
        <v>4</v>
      </c>
      <c r="AC45" s="31">
        <f t="shared" si="1"/>
        <v>2579496</v>
      </c>
      <c r="AD45" s="133"/>
    </row>
    <row r="46" spans="1:30" x14ac:dyDescent="0.35">
      <c r="A46" s="131"/>
      <c r="B46" s="34" t="s">
        <v>46</v>
      </c>
      <c r="C46" s="31">
        <v>32420</v>
      </c>
      <c r="D46" s="31">
        <v>30915</v>
      </c>
      <c r="E46" s="31">
        <v>29823</v>
      </c>
      <c r="F46" s="31">
        <v>28999</v>
      </c>
      <c r="G46" s="31">
        <v>28627</v>
      </c>
      <c r="H46" s="31">
        <v>27547</v>
      </c>
      <c r="I46" s="31">
        <v>20374</v>
      </c>
      <c r="J46" s="31">
        <v>17682</v>
      </c>
      <c r="K46" s="31">
        <v>16474</v>
      </c>
      <c r="L46" s="31">
        <v>17509</v>
      </c>
      <c r="M46" s="31">
        <v>18422</v>
      </c>
      <c r="N46" s="31">
        <v>18293</v>
      </c>
      <c r="O46" s="31">
        <v>19048</v>
      </c>
      <c r="P46" s="31">
        <v>20438</v>
      </c>
      <c r="Q46" s="31">
        <v>23335</v>
      </c>
      <c r="R46" s="31">
        <v>25425</v>
      </c>
      <c r="S46" s="31">
        <v>33497</v>
      </c>
      <c r="T46" s="31">
        <v>38176</v>
      </c>
      <c r="U46" s="31">
        <v>40382</v>
      </c>
      <c r="V46" s="31">
        <v>40992</v>
      </c>
      <c r="W46" s="31">
        <v>40904</v>
      </c>
      <c r="X46" s="31">
        <v>40277</v>
      </c>
      <c r="Y46" s="31">
        <v>38368</v>
      </c>
      <c r="Z46" s="31">
        <v>35767</v>
      </c>
      <c r="AA46" s="31">
        <f t="shared" si="0"/>
        <v>683694</v>
      </c>
      <c r="AB46" s="32">
        <v>1</v>
      </c>
      <c r="AC46" s="31">
        <f t="shared" si="1"/>
        <v>683694</v>
      </c>
      <c r="AD46" s="134"/>
    </row>
    <row r="47" spans="1:30" x14ac:dyDescent="0.35">
      <c r="A47" s="106">
        <v>47788</v>
      </c>
      <c r="B47" s="19" t="s">
        <v>43</v>
      </c>
      <c r="C47" s="31">
        <v>32802</v>
      </c>
      <c r="D47" s="31">
        <v>31234</v>
      </c>
      <c r="E47" s="31">
        <v>30123</v>
      </c>
      <c r="F47" s="31">
        <v>29414</v>
      </c>
      <c r="G47" s="31">
        <v>29334</v>
      </c>
      <c r="H47" s="31">
        <v>29551</v>
      </c>
      <c r="I47" s="31">
        <v>23440</v>
      </c>
      <c r="J47" s="31">
        <v>22432</v>
      </c>
      <c r="K47" s="31">
        <v>22546</v>
      </c>
      <c r="L47" s="31">
        <v>23679</v>
      </c>
      <c r="M47" s="31">
        <v>25108</v>
      </c>
      <c r="N47" s="31">
        <v>25313</v>
      </c>
      <c r="O47" s="31">
        <v>23200</v>
      </c>
      <c r="P47" s="31">
        <v>26609</v>
      </c>
      <c r="Q47" s="31">
        <v>31488</v>
      </c>
      <c r="R47" s="31">
        <v>34091</v>
      </c>
      <c r="S47" s="31">
        <v>41763</v>
      </c>
      <c r="T47" s="31">
        <v>45421</v>
      </c>
      <c r="U47" s="31">
        <v>45357</v>
      </c>
      <c r="V47" s="31">
        <v>43833</v>
      </c>
      <c r="W47" s="31">
        <v>42857</v>
      </c>
      <c r="X47" s="31">
        <v>41430</v>
      </c>
      <c r="Y47" s="31">
        <v>39133</v>
      </c>
      <c r="Z47" s="31">
        <v>36354</v>
      </c>
      <c r="AA47" s="21">
        <f t="shared" si="0"/>
        <v>776512</v>
      </c>
      <c r="AB47" s="22">
        <v>19</v>
      </c>
      <c r="AC47" s="21">
        <f t="shared" si="1"/>
        <v>14753728</v>
      </c>
      <c r="AD47" s="109">
        <f>+SUM(AC47:AC50)</f>
        <v>22520787</v>
      </c>
    </row>
    <row r="48" spans="1:30" x14ac:dyDescent="0.35">
      <c r="A48" s="107"/>
      <c r="B48" s="23" t="s">
        <v>44</v>
      </c>
      <c r="C48" s="31">
        <v>33407</v>
      </c>
      <c r="D48" s="31">
        <v>31820</v>
      </c>
      <c r="E48" s="31">
        <v>30688</v>
      </c>
      <c r="F48" s="31">
        <v>29776</v>
      </c>
      <c r="G48" s="31">
        <v>29441</v>
      </c>
      <c r="H48" s="31">
        <v>29034</v>
      </c>
      <c r="I48" s="31">
        <v>22528</v>
      </c>
      <c r="J48" s="31">
        <v>21277</v>
      </c>
      <c r="K48" s="31">
        <v>21677</v>
      </c>
      <c r="L48" s="31">
        <v>23190</v>
      </c>
      <c r="M48" s="31">
        <v>24206</v>
      </c>
      <c r="N48" s="31">
        <v>24299</v>
      </c>
      <c r="O48" s="31">
        <v>23173</v>
      </c>
      <c r="P48" s="31">
        <v>24086</v>
      </c>
      <c r="Q48" s="31">
        <v>26814</v>
      </c>
      <c r="R48" s="31">
        <v>28865</v>
      </c>
      <c r="S48" s="31">
        <v>36721</v>
      </c>
      <c r="T48" s="31">
        <v>41553</v>
      </c>
      <c r="U48" s="31">
        <v>42780</v>
      </c>
      <c r="V48" s="31">
        <v>41656</v>
      </c>
      <c r="W48" s="31">
        <v>40473</v>
      </c>
      <c r="X48" s="31">
        <v>39098</v>
      </c>
      <c r="Y48" s="31">
        <v>37653</v>
      </c>
      <c r="Z48" s="31">
        <v>35950</v>
      </c>
      <c r="AA48" s="21">
        <f t="shared" si="0"/>
        <v>740165</v>
      </c>
      <c r="AB48" s="22">
        <v>5</v>
      </c>
      <c r="AC48" s="21">
        <f t="shared" si="1"/>
        <v>3700825</v>
      </c>
      <c r="AD48" s="110"/>
    </row>
    <row r="49" spans="1:30" x14ac:dyDescent="0.35">
      <c r="A49" s="107"/>
      <c r="B49" s="23" t="s">
        <v>45</v>
      </c>
      <c r="C49" s="31">
        <v>33069</v>
      </c>
      <c r="D49" s="31">
        <v>31578</v>
      </c>
      <c r="E49" s="31">
        <v>30435</v>
      </c>
      <c r="F49" s="31">
        <v>29544</v>
      </c>
      <c r="G49" s="31">
        <v>28986</v>
      </c>
      <c r="H49" s="31">
        <v>28254</v>
      </c>
      <c r="I49" s="31">
        <v>21122</v>
      </c>
      <c r="J49" s="31">
        <v>17736</v>
      </c>
      <c r="K49" s="31">
        <v>15962</v>
      </c>
      <c r="L49" s="31">
        <v>16374</v>
      </c>
      <c r="M49" s="31">
        <v>17148</v>
      </c>
      <c r="N49" s="31">
        <v>17286</v>
      </c>
      <c r="O49" s="31">
        <v>18127</v>
      </c>
      <c r="P49" s="31">
        <v>19022</v>
      </c>
      <c r="Q49" s="31">
        <v>21305</v>
      </c>
      <c r="R49" s="31">
        <v>23553</v>
      </c>
      <c r="S49" s="31">
        <v>31983</v>
      </c>
      <c r="T49" s="31">
        <v>37830</v>
      </c>
      <c r="U49" s="31">
        <v>39716</v>
      </c>
      <c r="V49" s="31">
        <v>39750</v>
      </c>
      <c r="W49" s="31">
        <v>39392</v>
      </c>
      <c r="X49" s="31">
        <v>38813</v>
      </c>
      <c r="Y49" s="31">
        <v>37445</v>
      </c>
      <c r="Z49" s="31">
        <v>35395</v>
      </c>
      <c r="AA49" s="21">
        <f t="shared" si="0"/>
        <v>669825</v>
      </c>
      <c r="AB49" s="22">
        <v>4</v>
      </c>
      <c r="AC49" s="21">
        <f t="shared" si="1"/>
        <v>2679300</v>
      </c>
      <c r="AD49" s="110"/>
    </row>
    <row r="50" spans="1:30" x14ac:dyDescent="0.35">
      <c r="A50" s="108"/>
      <c r="B50" s="24" t="s">
        <v>46</v>
      </c>
      <c r="C50" s="31">
        <v>32107</v>
      </c>
      <c r="D50" s="31">
        <v>30544</v>
      </c>
      <c r="E50" s="31">
        <v>29533</v>
      </c>
      <c r="F50" s="31">
        <v>28804</v>
      </c>
      <c r="G50" s="31">
        <v>28521</v>
      </c>
      <c r="H50" s="31">
        <v>27926</v>
      </c>
      <c r="I50" s="31">
        <v>20874</v>
      </c>
      <c r="J50" s="31">
        <v>18290</v>
      </c>
      <c r="K50" s="31">
        <v>17072</v>
      </c>
      <c r="L50" s="31">
        <v>18202</v>
      </c>
      <c r="M50" s="31">
        <v>19419</v>
      </c>
      <c r="N50" s="31">
        <v>19818</v>
      </c>
      <c r="O50" s="31">
        <v>20005</v>
      </c>
      <c r="P50" s="31">
        <v>21563</v>
      </c>
      <c r="Q50" s="31">
        <v>23966</v>
      </c>
      <c r="R50" s="31">
        <v>26144</v>
      </c>
      <c r="S50" s="31">
        <v>34365</v>
      </c>
      <c r="T50" s="31">
        <v>39783</v>
      </c>
      <c r="U50" s="31">
        <v>41559</v>
      </c>
      <c r="V50" s="31">
        <v>41458</v>
      </c>
      <c r="W50" s="31">
        <v>40844</v>
      </c>
      <c r="X50" s="31">
        <v>39766</v>
      </c>
      <c r="Y50" s="31">
        <v>37657</v>
      </c>
      <c r="Z50" s="31">
        <v>35247</v>
      </c>
      <c r="AA50" s="21">
        <f t="shared" si="0"/>
        <v>693467</v>
      </c>
      <c r="AB50" s="22">
        <v>2</v>
      </c>
      <c r="AC50" s="21">
        <f t="shared" si="1"/>
        <v>1386934</v>
      </c>
      <c r="AD50" s="111"/>
    </row>
    <row r="51" spans="1:30" x14ac:dyDescent="0.35">
      <c r="A51" s="106">
        <v>47818</v>
      </c>
      <c r="B51" s="19" t="s">
        <v>43</v>
      </c>
      <c r="C51" s="31">
        <v>32116</v>
      </c>
      <c r="D51" s="31">
        <v>30567</v>
      </c>
      <c r="E51" s="31">
        <v>29498</v>
      </c>
      <c r="F51" s="31">
        <v>28715</v>
      </c>
      <c r="G51" s="31">
        <v>28477</v>
      </c>
      <c r="H51" s="31">
        <v>28532</v>
      </c>
      <c r="I51" s="31">
        <v>21738</v>
      </c>
      <c r="J51" s="31">
        <v>20238</v>
      </c>
      <c r="K51" s="31">
        <v>20158</v>
      </c>
      <c r="L51" s="31">
        <v>21272</v>
      </c>
      <c r="M51" s="31">
        <v>22467</v>
      </c>
      <c r="N51" s="31">
        <v>22652</v>
      </c>
      <c r="O51" s="31">
        <v>21166</v>
      </c>
      <c r="P51" s="31">
        <v>23587</v>
      </c>
      <c r="Q51" s="31">
        <v>28027</v>
      </c>
      <c r="R51" s="31">
        <v>30630</v>
      </c>
      <c r="S51" s="31">
        <v>38680</v>
      </c>
      <c r="T51" s="31">
        <v>42145</v>
      </c>
      <c r="U51" s="31">
        <v>43329</v>
      </c>
      <c r="V51" s="31">
        <v>41984</v>
      </c>
      <c r="W51" s="31">
        <v>40705</v>
      </c>
      <c r="X51" s="31">
        <v>39533</v>
      </c>
      <c r="Y51" s="31">
        <v>37813</v>
      </c>
      <c r="Z51" s="31">
        <v>35606</v>
      </c>
      <c r="AA51" s="21">
        <f t="shared" si="0"/>
        <v>729635</v>
      </c>
      <c r="AB51" s="22">
        <v>21</v>
      </c>
      <c r="AC51" s="21">
        <f t="shared" si="1"/>
        <v>15322335</v>
      </c>
      <c r="AD51" s="109">
        <f>+SUM(AC51:AC54)</f>
        <v>21991591</v>
      </c>
    </row>
    <row r="52" spans="1:30" x14ac:dyDescent="0.35">
      <c r="A52" s="107"/>
      <c r="B52" s="23" t="s">
        <v>44</v>
      </c>
      <c r="C52" s="31">
        <v>32656</v>
      </c>
      <c r="D52" s="31">
        <v>31013</v>
      </c>
      <c r="E52" s="31">
        <v>29815</v>
      </c>
      <c r="F52" s="31">
        <v>28942</v>
      </c>
      <c r="G52" s="31">
        <v>28548</v>
      </c>
      <c r="H52" s="31">
        <v>28419</v>
      </c>
      <c r="I52" s="31">
        <v>21420</v>
      </c>
      <c r="J52" s="31">
        <v>19341</v>
      </c>
      <c r="K52" s="31">
        <v>19092</v>
      </c>
      <c r="L52" s="31">
        <v>20077</v>
      </c>
      <c r="M52" s="31">
        <v>21156</v>
      </c>
      <c r="N52" s="31">
        <v>21274</v>
      </c>
      <c r="O52" s="31">
        <v>20879</v>
      </c>
      <c r="P52" s="31">
        <v>21976</v>
      </c>
      <c r="Q52" s="31">
        <v>24740</v>
      </c>
      <c r="R52" s="31">
        <v>26946</v>
      </c>
      <c r="S52" s="31">
        <v>34949</v>
      </c>
      <c r="T52" s="31">
        <v>39759</v>
      </c>
      <c r="U52" s="31">
        <v>42109</v>
      </c>
      <c r="V52" s="31">
        <v>41322</v>
      </c>
      <c r="W52" s="31">
        <v>39761</v>
      </c>
      <c r="X52" s="31">
        <v>38321</v>
      </c>
      <c r="Y52" s="31">
        <v>36886</v>
      </c>
      <c r="Z52" s="31">
        <v>35289</v>
      </c>
      <c r="AA52" s="21">
        <f t="shared" si="0"/>
        <v>704690</v>
      </c>
      <c r="AB52" s="22">
        <v>4</v>
      </c>
      <c r="AC52" s="21">
        <f t="shared" si="1"/>
        <v>2818760</v>
      </c>
      <c r="AD52" s="110"/>
    </row>
    <row r="53" spans="1:30" x14ac:dyDescent="0.35">
      <c r="A53" s="107"/>
      <c r="B53" s="23" t="s">
        <v>45</v>
      </c>
      <c r="C53" s="31">
        <v>32850</v>
      </c>
      <c r="D53" s="31">
        <v>31323</v>
      </c>
      <c r="E53" s="31">
        <v>30146</v>
      </c>
      <c r="F53" s="31">
        <v>29259</v>
      </c>
      <c r="G53" s="31">
        <v>28703</v>
      </c>
      <c r="H53" s="31">
        <v>27744</v>
      </c>
      <c r="I53" s="31">
        <v>20230</v>
      </c>
      <c r="J53" s="31">
        <v>16641</v>
      </c>
      <c r="K53" s="31">
        <v>14808</v>
      </c>
      <c r="L53" s="31">
        <v>15334</v>
      </c>
      <c r="M53" s="31">
        <v>15943</v>
      </c>
      <c r="N53" s="31">
        <v>16140</v>
      </c>
      <c r="O53" s="31">
        <v>16884</v>
      </c>
      <c r="P53" s="31">
        <v>17885</v>
      </c>
      <c r="Q53" s="31">
        <v>20350</v>
      </c>
      <c r="R53" s="31">
        <v>23149</v>
      </c>
      <c r="S53" s="31">
        <v>31618</v>
      </c>
      <c r="T53" s="31">
        <v>37019</v>
      </c>
      <c r="U53" s="31">
        <v>39860</v>
      </c>
      <c r="V53" s="31">
        <v>39601</v>
      </c>
      <c r="W53" s="31">
        <v>38772</v>
      </c>
      <c r="X53" s="31">
        <v>37777</v>
      </c>
      <c r="Y53" s="31">
        <v>36233</v>
      </c>
      <c r="Z53" s="31">
        <v>34404</v>
      </c>
      <c r="AA53" s="21">
        <f t="shared" si="0"/>
        <v>652673</v>
      </c>
      <c r="AB53" s="22">
        <v>5</v>
      </c>
      <c r="AC53" s="21">
        <f t="shared" si="1"/>
        <v>3263365</v>
      </c>
      <c r="AD53" s="110"/>
    </row>
    <row r="54" spans="1:30" x14ac:dyDescent="0.35">
      <c r="A54" s="108"/>
      <c r="B54" s="24" t="s">
        <v>46</v>
      </c>
      <c r="C54" s="31">
        <v>29254</v>
      </c>
      <c r="D54" s="31">
        <v>28441</v>
      </c>
      <c r="E54" s="31">
        <v>27785</v>
      </c>
      <c r="F54" s="31">
        <v>27140</v>
      </c>
      <c r="G54" s="31">
        <v>26705</v>
      </c>
      <c r="H54" s="31">
        <v>26232</v>
      </c>
      <c r="I54" s="31">
        <v>18450</v>
      </c>
      <c r="J54" s="31">
        <v>14721</v>
      </c>
      <c r="K54" s="31">
        <v>12508</v>
      </c>
      <c r="L54" s="31">
        <v>12763</v>
      </c>
      <c r="M54" s="31">
        <v>13206</v>
      </c>
      <c r="N54" s="31">
        <v>13154</v>
      </c>
      <c r="O54" s="31">
        <v>13830</v>
      </c>
      <c r="P54" s="31">
        <v>14973</v>
      </c>
      <c r="Q54" s="31">
        <v>17169</v>
      </c>
      <c r="R54" s="31">
        <v>19537</v>
      </c>
      <c r="S54" s="31">
        <v>28112</v>
      </c>
      <c r="T54" s="31">
        <v>33250</v>
      </c>
      <c r="U54" s="31">
        <v>36144</v>
      </c>
      <c r="V54" s="31">
        <v>36427</v>
      </c>
      <c r="W54" s="31">
        <v>35857</v>
      </c>
      <c r="X54" s="31">
        <v>35219</v>
      </c>
      <c r="Y54" s="31">
        <v>34015</v>
      </c>
      <c r="Z54" s="31">
        <v>32239</v>
      </c>
      <c r="AA54" s="21">
        <f t="shared" si="0"/>
        <v>587131</v>
      </c>
      <c r="AB54" s="22">
        <v>1</v>
      </c>
      <c r="AC54" s="21">
        <f t="shared" si="1"/>
        <v>587131</v>
      </c>
      <c r="AD54" s="111"/>
    </row>
    <row r="55" spans="1:30" x14ac:dyDescent="0.35">
      <c r="AD55" s="39">
        <f>+SUM(AD7:AD54)</f>
        <v>262485355</v>
      </c>
    </row>
    <row r="58" spans="1:30" x14ac:dyDescent="0.35"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</sheetData>
  <mergeCells count="28">
    <mergeCell ref="AD7:AD10"/>
    <mergeCell ref="A1:D1"/>
    <mergeCell ref="A2:M2"/>
    <mergeCell ref="A4:B4"/>
    <mergeCell ref="C4:D4"/>
    <mergeCell ref="A7:A10"/>
    <mergeCell ref="A11:A14"/>
    <mergeCell ref="AD11:AD14"/>
    <mergeCell ref="A15:A18"/>
    <mergeCell ref="AD15:AD18"/>
    <mergeCell ref="A19:A22"/>
    <mergeCell ref="AD19:AD22"/>
    <mergeCell ref="A23:A26"/>
    <mergeCell ref="AD23:AD26"/>
    <mergeCell ref="A27:A30"/>
    <mergeCell ref="AD27:AD30"/>
    <mergeCell ref="A31:A34"/>
    <mergeCell ref="AD31:AD34"/>
    <mergeCell ref="A47:A50"/>
    <mergeCell ref="AD47:AD50"/>
    <mergeCell ref="A51:A54"/>
    <mergeCell ref="AD51:AD54"/>
    <mergeCell ref="A35:A38"/>
    <mergeCell ref="AD35:AD38"/>
    <mergeCell ref="A39:A42"/>
    <mergeCell ref="AD39:AD42"/>
    <mergeCell ref="A43:A46"/>
    <mergeCell ref="AD43:AD4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48606-0036-4AF7-9C8A-F0DD9CE93DD3}">
  <dimension ref="C1:I22"/>
  <sheetViews>
    <sheetView showGridLines="0" workbookViewId="0">
      <selection activeCell="F5" sqref="F5:G5"/>
    </sheetView>
  </sheetViews>
  <sheetFormatPr baseColWidth="10" defaultRowHeight="14.5" x14ac:dyDescent="0.35"/>
  <cols>
    <col min="2" max="2" width="2.54296875" customWidth="1"/>
    <col min="4" max="4" width="15.1796875" customWidth="1"/>
    <col min="5" max="5" width="15.1796875" bestFit="1" customWidth="1"/>
    <col min="6" max="6" width="12.54296875" customWidth="1"/>
    <col min="8" max="8" width="2" customWidth="1"/>
    <col min="9" max="9" width="14.1796875" bestFit="1" customWidth="1"/>
  </cols>
  <sheetData>
    <row r="1" spans="3:7" x14ac:dyDescent="0.35">
      <c r="C1" s="105" t="s">
        <v>47</v>
      </c>
      <c r="D1" s="105"/>
      <c r="E1" s="105"/>
      <c r="F1" s="105"/>
      <c r="G1" s="105"/>
    </row>
    <row r="2" spans="3:7" x14ac:dyDescent="0.35">
      <c r="C2" s="105"/>
      <c r="D2" s="105"/>
      <c r="E2" s="105"/>
      <c r="F2" s="105"/>
      <c r="G2" s="105"/>
    </row>
    <row r="3" spans="3:7" ht="15" thickBot="1" x14ac:dyDescent="0.4"/>
    <row r="4" spans="3:7" ht="15" thickBot="1" x14ac:dyDescent="0.4">
      <c r="C4" s="126" t="s">
        <v>11</v>
      </c>
      <c r="D4" s="127"/>
      <c r="E4" s="127"/>
      <c r="F4" s="127"/>
      <c r="G4" s="128"/>
    </row>
    <row r="5" spans="3:7" ht="32" thickBot="1" x14ac:dyDescent="0.4">
      <c r="C5" s="37" t="s">
        <v>1</v>
      </c>
      <c r="D5" s="37" t="s">
        <v>8</v>
      </c>
      <c r="E5" s="37" t="s">
        <v>3</v>
      </c>
      <c r="F5" s="93" t="s">
        <v>9</v>
      </c>
      <c r="G5" s="93" t="s">
        <v>5</v>
      </c>
    </row>
    <row r="6" spans="3:7" x14ac:dyDescent="0.35">
      <c r="C6" s="73">
        <v>47849</v>
      </c>
      <c r="D6" s="74">
        <f>+VLOOKUP(C6,'CURVA P6'!$A$4:$AD$55,30,FALSE)</f>
        <v>20874265</v>
      </c>
      <c r="E6" s="137" t="s">
        <v>3</v>
      </c>
      <c r="F6" s="75"/>
      <c r="G6" s="138" t="s">
        <v>6</v>
      </c>
    </row>
    <row r="7" spans="3:7" x14ac:dyDescent="0.35">
      <c r="C7" s="7">
        <v>47880</v>
      </c>
      <c r="D7" s="8">
        <f>+VLOOKUP(C7,'CURVA P6'!$A$4:$AD$55,30,FALSE)</f>
        <v>21225368</v>
      </c>
      <c r="E7" s="100"/>
      <c r="F7" s="2"/>
      <c r="G7" s="103"/>
    </row>
    <row r="8" spans="3:7" x14ac:dyDescent="0.35">
      <c r="C8" s="7">
        <v>47908</v>
      </c>
      <c r="D8" s="8">
        <f>+VLOOKUP(C8,'CURVA P6'!$A$4:$AD$55,30,FALSE)</f>
        <v>20750635</v>
      </c>
      <c r="E8" s="100"/>
      <c r="F8" s="2"/>
      <c r="G8" s="103"/>
    </row>
    <row r="9" spans="3:7" x14ac:dyDescent="0.35">
      <c r="C9" s="7">
        <v>47939</v>
      </c>
      <c r="D9" s="8">
        <f>+VLOOKUP(C9,'CURVA P6'!$A$4:$AD$55,30,FALSE)</f>
        <v>21627346</v>
      </c>
      <c r="E9" s="100"/>
      <c r="F9" s="2"/>
      <c r="G9" s="103"/>
    </row>
    <row r="10" spans="3:7" x14ac:dyDescent="0.35">
      <c r="C10" s="7">
        <v>47969</v>
      </c>
      <c r="D10" s="8">
        <f>+VLOOKUP(C10,'CURVA P6'!$A$4:$AD$55,30,FALSE)</f>
        <v>21903219</v>
      </c>
      <c r="E10" s="100"/>
      <c r="F10" s="2"/>
      <c r="G10" s="103"/>
    </row>
    <row r="11" spans="3:7" x14ac:dyDescent="0.35">
      <c r="C11" s="7">
        <v>48000</v>
      </c>
      <c r="D11" s="8">
        <f>+VLOOKUP(C11,'CURVA P6'!$A$4:$AD$55,30,FALSE)</f>
        <v>22015728</v>
      </c>
      <c r="E11" s="100"/>
      <c r="F11" s="2"/>
      <c r="G11" s="103"/>
    </row>
    <row r="12" spans="3:7" x14ac:dyDescent="0.35">
      <c r="C12" s="7">
        <v>48030</v>
      </c>
      <c r="D12" s="8">
        <f>+VLOOKUP(C12,'CURVA P6'!$A$4:$AD$55,30,FALSE)</f>
        <v>21407290</v>
      </c>
      <c r="E12" s="100"/>
      <c r="F12" s="2"/>
      <c r="G12" s="103"/>
    </row>
    <row r="13" spans="3:7" x14ac:dyDescent="0.35">
      <c r="C13" s="7">
        <v>48061</v>
      </c>
      <c r="D13" s="8">
        <f>+VLOOKUP(C13,'CURVA P6'!$A$4:$AD$55,30,FALSE)</f>
        <v>22392326</v>
      </c>
      <c r="E13" s="100"/>
      <c r="F13" s="2"/>
      <c r="G13" s="103"/>
    </row>
    <row r="14" spans="3:7" x14ac:dyDescent="0.35">
      <c r="C14" s="7">
        <v>48092</v>
      </c>
      <c r="D14" s="8">
        <f>+VLOOKUP(C14,'CURVA P6'!$A$4:$AD$55,30,FALSE)</f>
        <v>22975064</v>
      </c>
      <c r="E14" s="100"/>
      <c r="F14" s="2"/>
      <c r="G14" s="103"/>
    </row>
    <row r="15" spans="3:7" x14ac:dyDescent="0.35">
      <c r="C15" s="7">
        <v>48122</v>
      </c>
      <c r="D15" s="8">
        <f>+VLOOKUP(C15,'CURVA P6'!$A$4:$AD$55,30,FALSE)</f>
        <v>22848708</v>
      </c>
      <c r="E15" s="100"/>
      <c r="F15" s="2"/>
      <c r="G15" s="103"/>
    </row>
    <row r="16" spans="3:7" x14ac:dyDescent="0.35">
      <c r="C16" s="7">
        <v>48153</v>
      </c>
      <c r="D16" s="8">
        <f>+VLOOKUP(C16,'CURVA P6'!$A$4:$AD$55,30,FALSE)</f>
        <v>22494721</v>
      </c>
      <c r="E16" s="100"/>
      <c r="F16" s="2"/>
      <c r="G16" s="103"/>
    </row>
    <row r="17" spans="3:9" ht="15" thickBot="1" x14ac:dyDescent="0.4">
      <c r="C17" s="9">
        <v>48183</v>
      </c>
      <c r="D17" s="10">
        <f>+VLOOKUP(C17,'CURVA P6'!$A$4:$AD$55,30,FALSE)</f>
        <v>21982327</v>
      </c>
      <c r="E17" s="101"/>
      <c r="F17" s="11"/>
      <c r="G17" s="104"/>
    </row>
    <row r="18" spans="3:9" ht="15" thickBot="1" x14ac:dyDescent="0.4">
      <c r="D18" s="83">
        <f>SUM(D6:D17)</f>
        <v>262496997</v>
      </c>
    </row>
    <row r="19" spans="3:9" x14ac:dyDescent="0.35">
      <c r="D19" s="35"/>
      <c r="I19" s="36"/>
    </row>
    <row r="20" spans="3:9" x14ac:dyDescent="0.35">
      <c r="D20" s="14"/>
      <c r="I20" s="36"/>
    </row>
    <row r="21" spans="3:9" x14ac:dyDescent="0.35">
      <c r="I21" s="36"/>
    </row>
    <row r="22" spans="3:9" x14ac:dyDescent="0.35">
      <c r="I22" s="14"/>
    </row>
  </sheetData>
  <mergeCells count="4">
    <mergeCell ref="C1:G2"/>
    <mergeCell ref="C4:G4"/>
    <mergeCell ref="E6:E17"/>
    <mergeCell ref="G6:G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51F18-CA80-42AB-95D6-3FA6B3121FFD}">
  <dimension ref="A1:AD58"/>
  <sheetViews>
    <sheetView showGridLines="0" topLeftCell="O41" zoomScaleNormal="100" workbookViewId="0">
      <selection activeCell="F54" sqref="F6:F65"/>
    </sheetView>
  </sheetViews>
  <sheetFormatPr baseColWidth="10" defaultRowHeight="14.5" x14ac:dyDescent="0.35"/>
  <cols>
    <col min="1" max="1" width="7.26953125" bestFit="1" customWidth="1"/>
    <col min="2" max="2" width="8" bestFit="1" customWidth="1"/>
    <col min="3" max="3" width="9.90625" bestFit="1" customWidth="1"/>
    <col min="4" max="19" width="9" bestFit="1" customWidth="1"/>
    <col min="20" max="26" width="9.90625" bestFit="1" customWidth="1"/>
    <col min="27" max="27" width="9" bestFit="1" customWidth="1"/>
    <col min="28" max="28" width="10.453125" bestFit="1" customWidth="1"/>
    <col min="29" max="29" width="11" bestFit="1" customWidth="1"/>
    <col min="30" max="30" width="12" bestFit="1" customWidth="1"/>
  </cols>
  <sheetData>
    <row r="1" spans="1:30" x14ac:dyDescent="0.35">
      <c r="A1" s="135" t="s">
        <v>12</v>
      </c>
      <c r="B1" s="135"/>
      <c r="C1" s="135"/>
      <c r="D1" s="135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</row>
    <row r="2" spans="1:30" x14ac:dyDescent="0.35">
      <c r="A2" s="136" t="s">
        <v>47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</row>
    <row r="3" spans="1:30" x14ac:dyDescent="0.3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</row>
    <row r="4" spans="1:30" x14ac:dyDescent="0.35">
      <c r="A4" s="122" t="s">
        <v>13</v>
      </c>
      <c r="B4" s="122"/>
      <c r="C4" s="116">
        <f>+AD55</f>
        <v>262496997</v>
      </c>
      <c r="D4" s="117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</row>
    <row r="5" spans="1:30" x14ac:dyDescent="0.35">
      <c r="A5" s="15" t="s">
        <v>1</v>
      </c>
      <c r="B5" s="16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5" t="s">
        <v>19</v>
      </c>
      <c r="H5" s="15" t="s">
        <v>20</v>
      </c>
      <c r="I5" s="15" t="s">
        <v>21</v>
      </c>
      <c r="J5" s="15" t="s">
        <v>22</v>
      </c>
      <c r="K5" s="15" t="s">
        <v>23</v>
      </c>
      <c r="L5" s="15" t="s">
        <v>24</v>
      </c>
      <c r="M5" s="15" t="s">
        <v>25</v>
      </c>
      <c r="N5" s="15" t="s">
        <v>26</v>
      </c>
      <c r="O5" s="15" t="s">
        <v>27</v>
      </c>
      <c r="P5" s="15" t="s">
        <v>28</v>
      </c>
      <c r="Q5" s="15" t="s">
        <v>29</v>
      </c>
      <c r="R5" s="15" t="s">
        <v>30</v>
      </c>
      <c r="S5" s="15" t="s">
        <v>31</v>
      </c>
      <c r="T5" s="15" t="s">
        <v>32</v>
      </c>
      <c r="U5" s="15" t="s">
        <v>33</v>
      </c>
      <c r="V5" s="15" t="s">
        <v>34</v>
      </c>
      <c r="W5" s="15" t="s">
        <v>35</v>
      </c>
      <c r="X5" s="15" t="s">
        <v>36</v>
      </c>
      <c r="Y5" s="15" t="s">
        <v>37</v>
      </c>
      <c r="Z5" s="15" t="s">
        <v>38</v>
      </c>
      <c r="AA5" s="15" t="s">
        <v>39</v>
      </c>
      <c r="AB5" s="15" t="s">
        <v>40</v>
      </c>
      <c r="AC5" s="15" t="s">
        <v>41</v>
      </c>
      <c r="AD5" s="15" t="s">
        <v>42</v>
      </c>
    </row>
    <row r="6" spans="1:30" hidden="1" x14ac:dyDescent="0.35">
      <c r="A6" s="28"/>
      <c r="B6" s="29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</row>
    <row r="7" spans="1:30" x14ac:dyDescent="0.35">
      <c r="A7" s="129">
        <v>47849</v>
      </c>
      <c r="B7" s="30" t="s">
        <v>43</v>
      </c>
      <c r="C7" s="31">
        <v>30477</v>
      </c>
      <c r="D7" s="31">
        <v>29147</v>
      </c>
      <c r="E7" s="31">
        <v>28101</v>
      </c>
      <c r="F7" s="31">
        <v>27338</v>
      </c>
      <c r="G7" s="31">
        <v>27105</v>
      </c>
      <c r="H7" s="31">
        <v>27596</v>
      </c>
      <c r="I7" s="31">
        <v>20902</v>
      </c>
      <c r="J7" s="31">
        <v>18955</v>
      </c>
      <c r="K7" s="31">
        <v>18590</v>
      </c>
      <c r="L7" s="31">
        <v>19518</v>
      </c>
      <c r="M7" s="31">
        <v>20756</v>
      </c>
      <c r="N7" s="31">
        <v>21108</v>
      </c>
      <c r="O7" s="31">
        <v>19923</v>
      </c>
      <c r="P7" s="31">
        <v>22697</v>
      </c>
      <c r="Q7" s="31">
        <v>27086</v>
      </c>
      <c r="R7" s="31">
        <v>29708</v>
      </c>
      <c r="S7" s="31">
        <v>37403</v>
      </c>
      <c r="T7" s="31">
        <v>39808</v>
      </c>
      <c r="U7" s="31">
        <v>41115</v>
      </c>
      <c r="V7" s="31">
        <v>40673</v>
      </c>
      <c r="W7" s="31">
        <v>40064</v>
      </c>
      <c r="X7" s="31">
        <v>39081</v>
      </c>
      <c r="Y7" s="31">
        <v>37128</v>
      </c>
      <c r="Z7" s="31">
        <v>34548</v>
      </c>
      <c r="AA7" s="31">
        <f>SUM(C7:Z7)</f>
        <v>698827</v>
      </c>
      <c r="AB7" s="32">
        <v>21</v>
      </c>
      <c r="AC7" s="31">
        <f>+AA7*AB7</f>
        <v>14675367</v>
      </c>
      <c r="AD7" s="132">
        <f>+SUM(AC7:AC10)</f>
        <v>20874265</v>
      </c>
    </row>
    <row r="8" spans="1:30" x14ac:dyDescent="0.35">
      <c r="A8" s="130"/>
      <c r="B8" s="33" t="s">
        <v>44</v>
      </c>
      <c r="C8" s="31">
        <v>31205</v>
      </c>
      <c r="D8" s="31">
        <v>29743</v>
      </c>
      <c r="E8" s="31">
        <v>28580</v>
      </c>
      <c r="F8" s="31">
        <v>27718</v>
      </c>
      <c r="G8" s="31">
        <v>27382</v>
      </c>
      <c r="H8" s="31">
        <v>27553</v>
      </c>
      <c r="I8" s="31">
        <v>20550</v>
      </c>
      <c r="J8" s="31">
        <v>18228</v>
      </c>
      <c r="K8" s="31">
        <v>17855</v>
      </c>
      <c r="L8" s="31">
        <v>18735</v>
      </c>
      <c r="M8" s="31">
        <v>19713</v>
      </c>
      <c r="N8" s="31">
        <v>19859</v>
      </c>
      <c r="O8" s="31">
        <v>19393</v>
      </c>
      <c r="P8" s="31">
        <v>20549</v>
      </c>
      <c r="Q8" s="31">
        <v>23251</v>
      </c>
      <c r="R8" s="31">
        <v>25475</v>
      </c>
      <c r="S8" s="31">
        <v>33183</v>
      </c>
      <c r="T8" s="31">
        <v>36900</v>
      </c>
      <c r="U8" s="31">
        <v>39605</v>
      </c>
      <c r="V8" s="31">
        <v>39464</v>
      </c>
      <c r="W8" s="31">
        <v>38504</v>
      </c>
      <c r="X8" s="31">
        <v>37523</v>
      </c>
      <c r="Y8" s="31">
        <v>36162</v>
      </c>
      <c r="Z8" s="31">
        <v>34325</v>
      </c>
      <c r="AA8" s="31">
        <f t="shared" ref="AA8:AA54" si="0">SUM(C8:Z8)</f>
        <v>671455</v>
      </c>
      <c r="AB8" s="32">
        <v>4</v>
      </c>
      <c r="AC8" s="31">
        <f t="shared" ref="AC8:AC54" si="1">+AA8*AB8</f>
        <v>2685820</v>
      </c>
      <c r="AD8" s="133"/>
    </row>
    <row r="9" spans="1:30" x14ac:dyDescent="0.35">
      <c r="A9" s="130"/>
      <c r="B9" s="33" t="s">
        <v>45</v>
      </c>
      <c r="C9" s="31">
        <v>30881</v>
      </c>
      <c r="D9" s="31">
        <v>29509</v>
      </c>
      <c r="E9" s="31">
        <v>28375</v>
      </c>
      <c r="F9" s="31">
        <v>27479</v>
      </c>
      <c r="G9" s="31">
        <v>26971</v>
      </c>
      <c r="H9" s="31">
        <v>26732</v>
      </c>
      <c r="I9" s="31">
        <v>19215</v>
      </c>
      <c r="J9" s="31">
        <v>15266</v>
      </c>
      <c r="K9" s="31">
        <v>13250</v>
      </c>
      <c r="L9" s="31">
        <v>13461</v>
      </c>
      <c r="M9" s="31">
        <v>13724</v>
      </c>
      <c r="N9" s="31">
        <v>13812</v>
      </c>
      <c r="O9" s="31">
        <v>14660</v>
      </c>
      <c r="P9" s="31">
        <v>15590</v>
      </c>
      <c r="Q9" s="31">
        <v>17791</v>
      </c>
      <c r="R9" s="31">
        <v>20303</v>
      </c>
      <c r="S9" s="31">
        <v>28623</v>
      </c>
      <c r="T9" s="31">
        <v>33161</v>
      </c>
      <c r="U9" s="31">
        <v>36401</v>
      </c>
      <c r="V9" s="31">
        <v>37301</v>
      </c>
      <c r="W9" s="31">
        <v>37163</v>
      </c>
      <c r="X9" s="31">
        <v>36667</v>
      </c>
      <c r="Y9" s="31">
        <v>35150</v>
      </c>
      <c r="Z9" s="31">
        <v>33039</v>
      </c>
      <c r="AA9" s="31">
        <f t="shared" si="0"/>
        <v>604524</v>
      </c>
      <c r="AB9" s="32">
        <v>4</v>
      </c>
      <c r="AC9" s="31">
        <f t="shared" si="1"/>
        <v>2418096</v>
      </c>
      <c r="AD9" s="133"/>
    </row>
    <row r="10" spans="1:30" x14ac:dyDescent="0.35">
      <c r="A10" s="131"/>
      <c r="B10" s="34" t="s">
        <v>46</v>
      </c>
      <c r="C10" s="31">
        <v>27161</v>
      </c>
      <c r="D10" s="31">
        <v>26504</v>
      </c>
      <c r="E10" s="31">
        <v>25916</v>
      </c>
      <c r="F10" s="31">
        <v>25322</v>
      </c>
      <c r="G10" s="31">
        <v>25014</v>
      </c>
      <c r="H10" s="31">
        <v>24753</v>
      </c>
      <c r="I10" s="31">
        <v>16966</v>
      </c>
      <c r="J10" s="31">
        <v>12773</v>
      </c>
      <c r="K10" s="31">
        <v>10558</v>
      </c>
      <c r="L10" s="31">
        <v>10764</v>
      </c>
      <c r="M10" s="31">
        <v>11267</v>
      </c>
      <c r="N10" s="31">
        <v>11355</v>
      </c>
      <c r="O10" s="31">
        <v>12257</v>
      </c>
      <c r="P10" s="31">
        <v>13339</v>
      </c>
      <c r="Q10" s="31">
        <v>15448</v>
      </c>
      <c r="R10" s="31">
        <v>17832</v>
      </c>
      <c r="S10" s="31">
        <v>25945</v>
      </c>
      <c r="T10" s="31">
        <v>31203</v>
      </c>
      <c r="U10" s="31">
        <v>34686</v>
      </c>
      <c r="V10" s="31">
        <v>35328</v>
      </c>
      <c r="W10" s="31">
        <v>34962</v>
      </c>
      <c r="X10" s="31">
        <v>34203</v>
      </c>
      <c r="Y10" s="31">
        <v>32837</v>
      </c>
      <c r="Z10" s="31">
        <v>31098</v>
      </c>
      <c r="AA10" s="31">
        <f t="shared" si="0"/>
        <v>547491</v>
      </c>
      <c r="AB10" s="32">
        <v>2</v>
      </c>
      <c r="AC10" s="31">
        <f t="shared" si="1"/>
        <v>1094982</v>
      </c>
      <c r="AD10" s="134"/>
    </row>
    <row r="11" spans="1:30" x14ac:dyDescent="0.35">
      <c r="A11" s="129">
        <v>47880</v>
      </c>
      <c r="B11" s="30" t="s">
        <v>43</v>
      </c>
      <c r="C11" s="31">
        <v>33312</v>
      </c>
      <c r="D11" s="31">
        <v>31715</v>
      </c>
      <c r="E11" s="31">
        <v>30596</v>
      </c>
      <c r="F11" s="31">
        <v>29843</v>
      </c>
      <c r="G11" s="31">
        <v>29817</v>
      </c>
      <c r="H11" s="31">
        <v>31132</v>
      </c>
      <c r="I11" s="31">
        <v>24896</v>
      </c>
      <c r="J11" s="31">
        <v>23167</v>
      </c>
      <c r="K11" s="31">
        <v>22514</v>
      </c>
      <c r="L11" s="31">
        <v>23337</v>
      </c>
      <c r="M11" s="31">
        <v>24610</v>
      </c>
      <c r="N11" s="31">
        <v>24368</v>
      </c>
      <c r="O11" s="31">
        <v>22169</v>
      </c>
      <c r="P11" s="31">
        <v>26058</v>
      </c>
      <c r="Q11" s="31">
        <v>31243</v>
      </c>
      <c r="R11" s="31">
        <v>34197</v>
      </c>
      <c r="S11" s="31">
        <v>41880</v>
      </c>
      <c r="T11" s="31">
        <v>43631</v>
      </c>
      <c r="U11" s="31">
        <v>44326</v>
      </c>
      <c r="V11" s="31">
        <v>44282</v>
      </c>
      <c r="W11" s="31">
        <v>43730</v>
      </c>
      <c r="X11" s="31">
        <v>42582</v>
      </c>
      <c r="Y11" s="31">
        <v>40123</v>
      </c>
      <c r="Z11" s="31">
        <v>37082</v>
      </c>
      <c r="AA11" s="31">
        <f t="shared" si="0"/>
        <v>780610</v>
      </c>
      <c r="AB11" s="32">
        <v>20</v>
      </c>
      <c r="AC11" s="31">
        <f t="shared" si="1"/>
        <v>15612200</v>
      </c>
      <c r="AD11" s="132">
        <f>+SUM(AC11:AC14)</f>
        <v>21225368</v>
      </c>
    </row>
    <row r="12" spans="1:30" x14ac:dyDescent="0.35">
      <c r="A12" s="130"/>
      <c r="B12" s="33" t="s">
        <v>44</v>
      </c>
      <c r="C12" s="31">
        <v>32676</v>
      </c>
      <c r="D12" s="31">
        <v>31126</v>
      </c>
      <c r="E12" s="31">
        <v>30036</v>
      </c>
      <c r="F12" s="31">
        <v>29274</v>
      </c>
      <c r="G12" s="31">
        <v>29023</v>
      </c>
      <c r="H12" s="31">
        <v>29448</v>
      </c>
      <c r="I12" s="31">
        <v>23051</v>
      </c>
      <c r="J12" s="31">
        <v>21377</v>
      </c>
      <c r="K12" s="31">
        <v>21180</v>
      </c>
      <c r="L12" s="31">
        <v>22082</v>
      </c>
      <c r="M12" s="31">
        <v>23057</v>
      </c>
      <c r="N12" s="31">
        <v>22971</v>
      </c>
      <c r="O12" s="31">
        <v>21879</v>
      </c>
      <c r="P12" s="31">
        <v>22940</v>
      </c>
      <c r="Q12" s="31">
        <v>25997</v>
      </c>
      <c r="R12" s="31">
        <v>28460</v>
      </c>
      <c r="S12" s="31">
        <v>36179</v>
      </c>
      <c r="T12" s="31">
        <v>39513</v>
      </c>
      <c r="U12" s="31">
        <v>41912</v>
      </c>
      <c r="V12" s="31">
        <v>42184</v>
      </c>
      <c r="W12" s="31">
        <v>41175</v>
      </c>
      <c r="X12" s="31">
        <v>40085</v>
      </c>
      <c r="Y12" s="31">
        <v>38678</v>
      </c>
      <c r="Z12" s="31">
        <v>36681</v>
      </c>
      <c r="AA12" s="31">
        <f t="shared" si="0"/>
        <v>730984</v>
      </c>
      <c r="AB12" s="32">
        <v>4</v>
      </c>
      <c r="AC12" s="31">
        <f t="shared" si="1"/>
        <v>2923936</v>
      </c>
      <c r="AD12" s="133"/>
    </row>
    <row r="13" spans="1:30" x14ac:dyDescent="0.35">
      <c r="A13" s="130"/>
      <c r="B13" s="33" t="s">
        <v>45</v>
      </c>
      <c r="C13" s="31">
        <v>33234</v>
      </c>
      <c r="D13" s="31">
        <v>31596</v>
      </c>
      <c r="E13" s="31">
        <v>30465</v>
      </c>
      <c r="F13" s="31">
        <v>29563</v>
      </c>
      <c r="G13" s="31">
        <v>29054</v>
      </c>
      <c r="H13" s="31">
        <v>28912</v>
      </c>
      <c r="I13" s="31">
        <v>21639</v>
      </c>
      <c r="J13" s="31">
        <v>17935</v>
      </c>
      <c r="K13" s="31">
        <v>15685</v>
      </c>
      <c r="L13" s="31">
        <v>15964</v>
      </c>
      <c r="M13" s="31">
        <v>16330</v>
      </c>
      <c r="N13" s="31">
        <v>16472</v>
      </c>
      <c r="O13" s="31">
        <v>17355</v>
      </c>
      <c r="P13" s="31">
        <v>18294</v>
      </c>
      <c r="Q13" s="31">
        <v>20834</v>
      </c>
      <c r="R13" s="31">
        <v>23694</v>
      </c>
      <c r="S13" s="31">
        <v>32204</v>
      </c>
      <c r="T13" s="31">
        <v>36323</v>
      </c>
      <c r="U13" s="31">
        <v>39285</v>
      </c>
      <c r="V13" s="31">
        <v>40826</v>
      </c>
      <c r="W13" s="31">
        <v>41001</v>
      </c>
      <c r="X13" s="31">
        <v>40690</v>
      </c>
      <c r="Y13" s="31">
        <v>38786</v>
      </c>
      <c r="Z13" s="31">
        <v>36167</v>
      </c>
      <c r="AA13" s="31">
        <f t="shared" si="0"/>
        <v>672308</v>
      </c>
      <c r="AB13" s="32">
        <v>4</v>
      </c>
      <c r="AC13" s="31">
        <f t="shared" si="1"/>
        <v>2689232</v>
      </c>
      <c r="AD13" s="133"/>
    </row>
    <row r="14" spans="1:30" x14ac:dyDescent="0.35">
      <c r="A14" s="131"/>
      <c r="B14" s="34" t="s">
        <v>46</v>
      </c>
      <c r="C14" s="31">
        <v>0</v>
      </c>
      <c r="D14" s="31">
        <v>0</v>
      </c>
      <c r="E14" s="31">
        <v>0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f t="shared" si="0"/>
        <v>0</v>
      </c>
      <c r="AB14" s="32">
        <v>0</v>
      </c>
      <c r="AC14" s="31">
        <f t="shared" si="1"/>
        <v>0</v>
      </c>
      <c r="AD14" s="134"/>
    </row>
    <row r="15" spans="1:30" x14ac:dyDescent="0.35">
      <c r="A15" s="129">
        <v>47908</v>
      </c>
      <c r="B15" s="30" t="s">
        <v>43</v>
      </c>
      <c r="C15" s="31">
        <v>30288</v>
      </c>
      <c r="D15" s="31">
        <v>28805</v>
      </c>
      <c r="E15" s="31">
        <v>27784</v>
      </c>
      <c r="F15" s="31">
        <v>27052</v>
      </c>
      <c r="G15" s="31">
        <v>26988</v>
      </c>
      <c r="H15" s="31">
        <v>27884</v>
      </c>
      <c r="I15" s="31">
        <v>21156</v>
      </c>
      <c r="J15" s="31">
        <v>19309</v>
      </c>
      <c r="K15" s="31">
        <v>18699</v>
      </c>
      <c r="L15" s="31">
        <v>19332</v>
      </c>
      <c r="M15" s="31">
        <v>20397</v>
      </c>
      <c r="N15" s="31">
        <v>20300</v>
      </c>
      <c r="O15" s="31">
        <v>18587</v>
      </c>
      <c r="P15" s="31">
        <v>22020</v>
      </c>
      <c r="Q15" s="31">
        <v>26666</v>
      </c>
      <c r="R15" s="31">
        <v>29282</v>
      </c>
      <c r="S15" s="31">
        <v>37078</v>
      </c>
      <c r="T15" s="31">
        <v>39289</v>
      </c>
      <c r="U15" s="31">
        <v>40187</v>
      </c>
      <c r="V15" s="31">
        <v>40132</v>
      </c>
      <c r="W15" s="31">
        <v>39670</v>
      </c>
      <c r="X15" s="31">
        <v>38721</v>
      </c>
      <c r="Y15" s="31">
        <v>36686</v>
      </c>
      <c r="Z15" s="31">
        <v>34038</v>
      </c>
      <c r="AA15" s="31">
        <f t="shared" si="0"/>
        <v>690350</v>
      </c>
      <c r="AB15" s="32">
        <v>20</v>
      </c>
      <c r="AC15" s="31">
        <f t="shared" si="1"/>
        <v>13807000</v>
      </c>
      <c r="AD15" s="132">
        <f>+SUM(AC15:AC18)</f>
        <v>20750635</v>
      </c>
    </row>
    <row r="16" spans="1:30" x14ac:dyDescent="0.35">
      <c r="A16" s="130"/>
      <c r="B16" s="33" t="s">
        <v>44</v>
      </c>
      <c r="C16" s="31">
        <v>30980</v>
      </c>
      <c r="D16" s="31">
        <v>29423</v>
      </c>
      <c r="E16" s="31">
        <v>28331</v>
      </c>
      <c r="F16" s="31">
        <v>27458</v>
      </c>
      <c r="G16" s="31">
        <v>27088</v>
      </c>
      <c r="H16" s="31">
        <v>27193</v>
      </c>
      <c r="I16" s="31">
        <v>20443</v>
      </c>
      <c r="J16" s="31">
        <v>18727</v>
      </c>
      <c r="K16" s="31">
        <v>18296</v>
      </c>
      <c r="L16" s="31">
        <v>18975</v>
      </c>
      <c r="M16" s="31">
        <v>19896</v>
      </c>
      <c r="N16" s="31">
        <v>19677</v>
      </c>
      <c r="O16" s="31">
        <v>18731</v>
      </c>
      <c r="P16" s="31">
        <v>19773</v>
      </c>
      <c r="Q16" s="31">
        <v>22506</v>
      </c>
      <c r="R16" s="31">
        <v>24811</v>
      </c>
      <c r="S16" s="31">
        <v>32642</v>
      </c>
      <c r="T16" s="31">
        <v>36282</v>
      </c>
      <c r="U16" s="31">
        <v>38606</v>
      </c>
      <c r="V16" s="31">
        <v>38790</v>
      </c>
      <c r="W16" s="31">
        <v>37972</v>
      </c>
      <c r="X16" s="31">
        <v>37121</v>
      </c>
      <c r="Y16" s="31">
        <v>35986</v>
      </c>
      <c r="Z16" s="31">
        <v>34321</v>
      </c>
      <c r="AA16" s="31">
        <f t="shared" si="0"/>
        <v>664028</v>
      </c>
      <c r="AB16" s="32">
        <v>5</v>
      </c>
      <c r="AC16" s="31">
        <f t="shared" si="1"/>
        <v>3320140</v>
      </c>
      <c r="AD16" s="133"/>
    </row>
    <row r="17" spans="1:30" x14ac:dyDescent="0.35">
      <c r="A17" s="130"/>
      <c r="B17" s="33" t="s">
        <v>45</v>
      </c>
      <c r="C17" s="31">
        <v>31079</v>
      </c>
      <c r="D17" s="31">
        <v>29574</v>
      </c>
      <c r="E17" s="31">
        <v>28512</v>
      </c>
      <c r="F17" s="31">
        <v>27649</v>
      </c>
      <c r="G17" s="31">
        <v>27141</v>
      </c>
      <c r="H17" s="31">
        <v>26839</v>
      </c>
      <c r="I17" s="31">
        <v>19266</v>
      </c>
      <c r="J17" s="31">
        <v>15459</v>
      </c>
      <c r="K17" s="31">
        <v>13353</v>
      </c>
      <c r="L17" s="31">
        <v>13348</v>
      </c>
      <c r="M17" s="31">
        <v>13411</v>
      </c>
      <c r="N17" s="31">
        <v>13612</v>
      </c>
      <c r="O17" s="31">
        <v>14496</v>
      </c>
      <c r="P17" s="31">
        <v>15456</v>
      </c>
      <c r="Q17" s="31">
        <v>17859</v>
      </c>
      <c r="R17" s="31">
        <v>20407</v>
      </c>
      <c r="S17" s="31">
        <v>28806</v>
      </c>
      <c r="T17" s="31">
        <v>33212</v>
      </c>
      <c r="U17" s="31">
        <v>36018</v>
      </c>
      <c r="V17" s="31">
        <v>37398</v>
      </c>
      <c r="W17" s="31">
        <v>37638</v>
      </c>
      <c r="X17" s="31">
        <v>37415</v>
      </c>
      <c r="Y17" s="31">
        <v>35768</v>
      </c>
      <c r="Z17" s="31">
        <v>33508</v>
      </c>
      <c r="AA17" s="31">
        <f t="shared" si="0"/>
        <v>607224</v>
      </c>
      <c r="AB17" s="32">
        <v>5</v>
      </c>
      <c r="AC17" s="31">
        <f t="shared" si="1"/>
        <v>3036120</v>
      </c>
      <c r="AD17" s="133"/>
    </row>
    <row r="18" spans="1:30" x14ac:dyDescent="0.35">
      <c r="A18" s="131"/>
      <c r="B18" s="34" t="s">
        <v>46</v>
      </c>
      <c r="C18" s="31">
        <v>28233</v>
      </c>
      <c r="D18" s="31">
        <v>26704</v>
      </c>
      <c r="E18" s="31">
        <v>25718</v>
      </c>
      <c r="F18" s="31">
        <v>25048</v>
      </c>
      <c r="G18" s="31">
        <v>24710</v>
      </c>
      <c r="H18" s="31">
        <v>24639</v>
      </c>
      <c r="I18" s="31">
        <v>17574</v>
      </c>
      <c r="J18" s="31">
        <v>14704</v>
      </c>
      <c r="K18" s="31">
        <v>13221</v>
      </c>
      <c r="L18" s="31">
        <v>13829</v>
      </c>
      <c r="M18" s="31">
        <v>14684</v>
      </c>
      <c r="N18" s="31">
        <v>14883</v>
      </c>
      <c r="O18" s="31">
        <v>14911</v>
      </c>
      <c r="P18" s="31">
        <v>16212</v>
      </c>
      <c r="Q18" s="31">
        <v>18417</v>
      </c>
      <c r="R18" s="31">
        <v>20543</v>
      </c>
      <c r="S18" s="31">
        <v>28460</v>
      </c>
      <c r="T18" s="31">
        <v>32700</v>
      </c>
      <c r="U18" s="31">
        <v>35826</v>
      </c>
      <c r="V18" s="31">
        <v>37184</v>
      </c>
      <c r="W18" s="31">
        <v>37146</v>
      </c>
      <c r="X18" s="31">
        <v>36337</v>
      </c>
      <c r="Y18" s="31">
        <v>34064</v>
      </c>
      <c r="Z18" s="31">
        <v>31628</v>
      </c>
      <c r="AA18" s="31">
        <f t="shared" si="0"/>
        <v>587375</v>
      </c>
      <c r="AB18" s="32">
        <v>1</v>
      </c>
      <c r="AC18" s="31">
        <f t="shared" si="1"/>
        <v>587375</v>
      </c>
      <c r="AD18" s="134"/>
    </row>
    <row r="19" spans="1:30" x14ac:dyDescent="0.35">
      <c r="A19" s="129">
        <v>47939</v>
      </c>
      <c r="B19" s="30" t="s">
        <v>43</v>
      </c>
      <c r="C19" s="31">
        <v>32183</v>
      </c>
      <c r="D19" s="31">
        <v>30590</v>
      </c>
      <c r="E19" s="31">
        <v>29501</v>
      </c>
      <c r="F19" s="31">
        <v>28742</v>
      </c>
      <c r="G19" s="31">
        <v>28660</v>
      </c>
      <c r="H19" s="31">
        <v>29045</v>
      </c>
      <c r="I19" s="31">
        <v>22567</v>
      </c>
      <c r="J19" s="31">
        <v>21310</v>
      </c>
      <c r="K19" s="31">
        <v>21184</v>
      </c>
      <c r="L19" s="31">
        <v>22147</v>
      </c>
      <c r="M19" s="31">
        <v>23528</v>
      </c>
      <c r="N19" s="31">
        <v>23635</v>
      </c>
      <c r="O19" s="31">
        <v>21624</v>
      </c>
      <c r="P19" s="31">
        <v>25257</v>
      </c>
      <c r="Q19" s="31">
        <v>30291</v>
      </c>
      <c r="R19" s="31">
        <v>32856</v>
      </c>
      <c r="S19" s="31">
        <v>40369</v>
      </c>
      <c r="T19" s="31">
        <v>42131</v>
      </c>
      <c r="U19" s="31">
        <v>42830</v>
      </c>
      <c r="V19" s="31">
        <v>42640</v>
      </c>
      <c r="W19" s="31">
        <v>42290</v>
      </c>
      <c r="X19" s="31">
        <v>41278</v>
      </c>
      <c r="Y19" s="31">
        <v>39098</v>
      </c>
      <c r="Z19" s="31">
        <v>36220</v>
      </c>
      <c r="AA19" s="31">
        <f t="shared" si="0"/>
        <v>749976</v>
      </c>
      <c r="AB19" s="32">
        <v>20</v>
      </c>
      <c r="AC19" s="31">
        <f t="shared" si="1"/>
        <v>14999520</v>
      </c>
      <c r="AD19" s="132">
        <f>+SUM(AC19:AC22)</f>
        <v>21627346</v>
      </c>
    </row>
    <row r="20" spans="1:30" x14ac:dyDescent="0.35">
      <c r="A20" s="130"/>
      <c r="B20" s="33" t="s">
        <v>44</v>
      </c>
      <c r="C20" s="31">
        <v>32609</v>
      </c>
      <c r="D20" s="31">
        <v>31005</v>
      </c>
      <c r="E20" s="31">
        <v>29831</v>
      </c>
      <c r="F20" s="31">
        <v>28956</v>
      </c>
      <c r="G20" s="31">
        <v>28603</v>
      </c>
      <c r="H20" s="31">
        <v>28166</v>
      </c>
      <c r="I20" s="31">
        <v>21672</v>
      </c>
      <c r="J20" s="31">
        <v>20050</v>
      </c>
      <c r="K20" s="31">
        <v>20043</v>
      </c>
      <c r="L20" s="31">
        <v>21069</v>
      </c>
      <c r="M20" s="31">
        <v>22078</v>
      </c>
      <c r="N20" s="31">
        <v>22134</v>
      </c>
      <c r="O20" s="31">
        <v>21338</v>
      </c>
      <c r="P20" s="31">
        <v>22537</v>
      </c>
      <c r="Q20" s="31">
        <v>25426</v>
      </c>
      <c r="R20" s="31">
        <v>27641</v>
      </c>
      <c r="S20" s="31">
        <v>35182</v>
      </c>
      <c r="T20" s="31">
        <v>38529</v>
      </c>
      <c r="U20" s="31">
        <v>40690</v>
      </c>
      <c r="V20" s="31">
        <v>40452</v>
      </c>
      <c r="W20" s="31">
        <v>39592</v>
      </c>
      <c r="X20" s="31">
        <v>38658</v>
      </c>
      <c r="Y20" s="31">
        <v>37408</v>
      </c>
      <c r="Z20" s="31">
        <v>35702</v>
      </c>
      <c r="AA20" s="31">
        <f t="shared" si="0"/>
        <v>709371</v>
      </c>
      <c r="AB20" s="32">
        <v>4</v>
      </c>
      <c r="AC20" s="31">
        <f t="shared" si="1"/>
        <v>2837484</v>
      </c>
      <c r="AD20" s="133"/>
    </row>
    <row r="21" spans="1:30" x14ac:dyDescent="0.35">
      <c r="A21" s="130"/>
      <c r="B21" s="33" t="s">
        <v>45</v>
      </c>
      <c r="C21" s="31">
        <v>32728</v>
      </c>
      <c r="D21" s="31">
        <v>31060</v>
      </c>
      <c r="E21" s="31">
        <v>29845</v>
      </c>
      <c r="F21" s="31">
        <v>28881</v>
      </c>
      <c r="G21" s="31">
        <v>28333</v>
      </c>
      <c r="H21" s="31">
        <v>27576</v>
      </c>
      <c r="I21" s="31">
        <v>20356</v>
      </c>
      <c r="J21" s="31">
        <v>16899</v>
      </c>
      <c r="K21" s="31">
        <v>14830</v>
      </c>
      <c r="L21" s="31">
        <v>15033</v>
      </c>
      <c r="M21" s="31">
        <v>15465</v>
      </c>
      <c r="N21" s="31">
        <v>15870</v>
      </c>
      <c r="O21" s="31">
        <v>16728</v>
      </c>
      <c r="P21" s="31">
        <v>17775</v>
      </c>
      <c r="Q21" s="31">
        <v>20284</v>
      </c>
      <c r="R21" s="31">
        <v>22832</v>
      </c>
      <c r="S21" s="31">
        <v>31040</v>
      </c>
      <c r="T21" s="31">
        <v>35105</v>
      </c>
      <c r="U21" s="31">
        <v>37883</v>
      </c>
      <c r="V21" s="31">
        <v>39010</v>
      </c>
      <c r="W21" s="31">
        <v>39003</v>
      </c>
      <c r="X21" s="31">
        <v>38852</v>
      </c>
      <c r="Y21" s="31">
        <v>37353</v>
      </c>
      <c r="Z21" s="31">
        <v>35016</v>
      </c>
      <c r="AA21" s="31">
        <f t="shared" si="0"/>
        <v>647757</v>
      </c>
      <c r="AB21" s="32">
        <v>4</v>
      </c>
      <c r="AC21" s="31">
        <f t="shared" si="1"/>
        <v>2591028</v>
      </c>
      <c r="AD21" s="133"/>
    </row>
    <row r="22" spans="1:30" x14ac:dyDescent="0.35">
      <c r="A22" s="131"/>
      <c r="B22" s="34" t="s">
        <v>46</v>
      </c>
      <c r="C22" s="31">
        <v>31924</v>
      </c>
      <c r="D22" s="31">
        <v>30388</v>
      </c>
      <c r="E22" s="31">
        <v>29297</v>
      </c>
      <c r="F22" s="31">
        <v>28517</v>
      </c>
      <c r="G22" s="31">
        <v>28009</v>
      </c>
      <c r="H22" s="31">
        <v>27235</v>
      </c>
      <c r="I22" s="31">
        <v>20056</v>
      </c>
      <c r="J22" s="31">
        <v>16314</v>
      </c>
      <c r="K22" s="31">
        <v>13576</v>
      </c>
      <c r="L22" s="31">
        <v>13031</v>
      </c>
      <c r="M22" s="31">
        <v>13081</v>
      </c>
      <c r="N22" s="31">
        <v>13232</v>
      </c>
      <c r="O22" s="31">
        <v>14278</v>
      </c>
      <c r="P22" s="31">
        <v>15345</v>
      </c>
      <c r="Q22" s="31">
        <v>17872</v>
      </c>
      <c r="R22" s="31">
        <v>20155</v>
      </c>
      <c r="S22" s="31">
        <v>28554</v>
      </c>
      <c r="T22" s="31">
        <v>31545</v>
      </c>
      <c r="U22" s="31">
        <v>34626</v>
      </c>
      <c r="V22" s="31">
        <v>35565</v>
      </c>
      <c r="W22" s="31">
        <v>35392</v>
      </c>
      <c r="X22" s="31">
        <v>35070</v>
      </c>
      <c r="Y22" s="31">
        <v>34101</v>
      </c>
      <c r="Z22" s="31">
        <v>32494</v>
      </c>
      <c r="AA22" s="31">
        <f t="shared" si="0"/>
        <v>599657</v>
      </c>
      <c r="AB22" s="32">
        <v>2</v>
      </c>
      <c r="AC22" s="31">
        <f t="shared" si="1"/>
        <v>1199314</v>
      </c>
      <c r="AD22" s="134"/>
    </row>
    <row r="23" spans="1:30" x14ac:dyDescent="0.35">
      <c r="A23" s="129">
        <v>47969</v>
      </c>
      <c r="B23" s="30" t="s">
        <v>43</v>
      </c>
      <c r="C23" s="31">
        <v>31912</v>
      </c>
      <c r="D23" s="31">
        <v>30413</v>
      </c>
      <c r="E23" s="31">
        <v>29316</v>
      </c>
      <c r="F23" s="31">
        <v>28547</v>
      </c>
      <c r="G23" s="31">
        <v>28354</v>
      </c>
      <c r="H23" s="31">
        <v>28181</v>
      </c>
      <c r="I23" s="31">
        <v>21845</v>
      </c>
      <c r="J23" s="31">
        <v>20667</v>
      </c>
      <c r="K23" s="31">
        <v>20771</v>
      </c>
      <c r="L23" s="31">
        <v>21814</v>
      </c>
      <c r="M23" s="31">
        <v>23090</v>
      </c>
      <c r="N23" s="31">
        <v>23078</v>
      </c>
      <c r="O23" s="31">
        <v>21157</v>
      </c>
      <c r="P23" s="31">
        <v>24647</v>
      </c>
      <c r="Q23" s="31">
        <v>29481</v>
      </c>
      <c r="R23" s="31">
        <v>31780</v>
      </c>
      <c r="S23" s="31">
        <v>39188</v>
      </c>
      <c r="T23" s="31">
        <v>40815</v>
      </c>
      <c r="U23" s="31">
        <v>41352</v>
      </c>
      <c r="V23" s="31">
        <v>41391</v>
      </c>
      <c r="W23" s="31">
        <v>41238</v>
      </c>
      <c r="X23" s="31">
        <v>40421</v>
      </c>
      <c r="Y23" s="31">
        <v>38383</v>
      </c>
      <c r="Z23" s="31">
        <v>35709</v>
      </c>
      <c r="AA23" s="31">
        <f t="shared" si="0"/>
        <v>733550</v>
      </c>
      <c r="AB23" s="32">
        <v>20</v>
      </c>
      <c r="AC23" s="31">
        <f t="shared" si="1"/>
        <v>14671000</v>
      </c>
      <c r="AD23" s="132">
        <f>+SUM(AC23:AC26)</f>
        <v>21903219</v>
      </c>
    </row>
    <row r="24" spans="1:30" x14ac:dyDescent="0.35">
      <c r="A24" s="130"/>
      <c r="B24" s="33" t="s">
        <v>44</v>
      </c>
      <c r="C24" s="31">
        <v>33024</v>
      </c>
      <c r="D24" s="31">
        <v>31340</v>
      </c>
      <c r="E24" s="31">
        <v>30115</v>
      </c>
      <c r="F24" s="31">
        <v>29152</v>
      </c>
      <c r="G24" s="31">
        <v>28768</v>
      </c>
      <c r="H24" s="31">
        <v>27977</v>
      </c>
      <c r="I24" s="31">
        <v>21529</v>
      </c>
      <c r="J24" s="31">
        <v>19909</v>
      </c>
      <c r="K24" s="31">
        <v>20087</v>
      </c>
      <c r="L24" s="31">
        <v>21228</v>
      </c>
      <c r="M24" s="31">
        <v>22235</v>
      </c>
      <c r="N24" s="31">
        <v>22057</v>
      </c>
      <c r="O24" s="31">
        <v>21085</v>
      </c>
      <c r="P24" s="31">
        <v>22165</v>
      </c>
      <c r="Q24" s="31">
        <v>24783</v>
      </c>
      <c r="R24" s="31">
        <v>26982</v>
      </c>
      <c r="S24" s="31">
        <v>34439</v>
      </c>
      <c r="T24" s="31">
        <v>37358</v>
      </c>
      <c r="U24" s="31">
        <v>39327</v>
      </c>
      <c r="V24" s="31">
        <v>39614</v>
      </c>
      <c r="W24" s="31">
        <v>38934</v>
      </c>
      <c r="X24" s="31">
        <v>38222</v>
      </c>
      <c r="Y24" s="31">
        <v>37094</v>
      </c>
      <c r="Z24" s="31">
        <v>35441</v>
      </c>
      <c r="AA24" s="31">
        <f t="shared" si="0"/>
        <v>702865</v>
      </c>
      <c r="AB24" s="32">
        <v>5</v>
      </c>
      <c r="AC24" s="31">
        <f t="shared" si="1"/>
        <v>3514325</v>
      </c>
      <c r="AD24" s="133"/>
    </row>
    <row r="25" spans="1:30" x14ac:dyDescent="0.35">
      <c r="A25" s="130"/>
      <c r="B25" s="33" t="s">
        <v>45</v>
      </c>
      <c r="C25" s="31">
        <v>32172</v>
      </c>
      <c r="D25" s="31">
        <v>30706</v>
      </c>
      <c r="E25" s="31">
        <v>29595</v>
      </c>
      <c r="F25" s="31">
        <v>28679</v>
      </c>
      <c r="G25" s="31">
        <v>28099</v>
      </c>
      <c r="H25" s="31">
        <v>26898</v>
      </c>
      <c r="I25" s="31">
        <v>19997</v>
      </c>
      <c r="J25" s="31">
        <v>16359</v>
      </c>
      <c r="K25" s="31">
        <v>14336</v>
      </c>
      <c r="L25" s="31">
        <v>14533</v>
      </c>
      <c r="M25" s="31">
        <v>15016</v>
      </c>
      <c r="N25" s="31">
        <v>15079</v>
      </c>
      <c r="O25" s="31">
        <v>15506</v>
      </c>
      <c r="P25" s="31">
        <v>16348</v>
      </c>
      <c r="Q25" s="31">
        <v>18895</v>
      </c>
      <c r="R25" s="31">
        <v>21260</v>
      </c>
      <c r="S25" s="31">
        <v>29484</v>
      </c>
      <c r="T25" s="31">
        <v>33569</v>
      </c>
      <c r="U25" s="31">
        <v>36220</v>
      </c>
      <c r="V25" s="31">
        <v>37487</v>
      </c>
      <c r="W25" s="31">
        <v>37723</v>
      </c>
      <c r="X25" s="31">
        <v>37742</v>
      </c>
      <c r="Y25" s="31">
        <v>36523</v>
      </c>
      <c r="Z25" s="31">
        <v>34441</v>
      </c>
      <c r="AA25" s="31">
        <f t="shared" si="0"/>
        <v>626667</v>
      </c>
      <c r="AB25" s="32">
        <v>4</v>
      </c>
      <c r="AC25" s="31">
        <f t="shared" si="1"/>
        <v>2506668</v>
      </c>
      <c r="AD25" s="133"/>
    </row>
    <row r="26" spans="1:30" x14ac:dyDescent="0.35">
      <c r="A26" s="131"/>
      <c r="B26" s="34" t="s">
        <v>46</v>
      </c>
      <c r="C26" s="31">
        <v>29254</v>
      </c>
      <c r="D26" s="31">
        <v>27809</v>
      </c>
      <c r="E26" s="31">
        <v>26782</v>
      </c>
      <c r="F26" s="31">
        <v>26037</v>
      </c>
      <c r="G26" s="31">
        <v>25696</v>
      </c>
      <c r="H26" s="31">
        <v>24900</v>
      </c>
      <c r="I26" s="31">
        <v>18199</v>
      </c>
      <c r="J26" s="31">
        <v>15155</v>
      </c>
      <c r="K26" s="31">
        <v>13611</v>
      </c>
      <c r="L26" s="31">
        <v>14224</v>
      </c>
      <c r="M26" s="31">
        <v>15115</v>
      </c>
      <c r="N26" s="31">
        <v>15360</v>
      </c>
      <c r="O26" s="31">
        <v>15602</v>
      </c>
      <c r="P26" s="31">
        <v>16828</v>
      </c>
      <c r="Q26" s="31">
        <v>19336</v>
      </c>
      <c r="R26" s="31">
        <v>21631</v>
      </c>
      <c r="S26" s="31">
        <v>29506</v>
      </c>
      <c r="T26" s="31">
        <v>33203</v>
      </c>
      <c r="U26" s="31">
        <v>35985</v>
      </c>
      <c r="V26" s="31">
        <v>37523</v>
      </c>
      <c r="W26" s="31">
        <v>37691</v>
      </c>
      <c r="X26" s="31">
        <v>37282</v>
      </c>
      <c r="Y26" s="31">
        <v>35572</v>
      </c>
      <c r="Z26" s="31">
        <v>33312</v>
      </c>
      <c r="AA26" s="31">
        <f t="shared" si="0"/>
        <v>605613</v>
      </c>
      <c r="AB26" s="32">
        <v>2</v>
      </c>
      <c r="AC26" s="31">
        <f t="shared" si="1"/>
        <v>1211226</v>
      </c>
      <c r="AD26" s="134"/>
    </row>
    <row r="27" spans="1:30" x14ac:dyDescent="0.35">
      <c r="A27" s="129">
        <v>48000</v>
      </c>
      <c r="B27" s="30" t="s">
        <v>43</v>
      </c>
      <c r="C27" s="31">
        <v>33233</v>
      </c>
      <c r="D27" s="31">
        <v>31618</v>
      </c>
      <c r="E27" s="31">
        <v>30437</v>
      </c>
      <c r="F27" s="31">
        <v>29623</v>
      </c>
      <c r="G27" s="31">
        <v>29423</v>
      </c>
      <c r="H27" s="31">
        <v>29149</v>
      </c>
      <c r="I27" s="31">
        <v>23160</v>
      </c>
      <c r="J27" s="31">
        <v>22304</v>
      </c>
      <c r="K27" s="31">
        <v>22455</v>
      </c>
      <c r="L27" s="31">
        <v>23447</v>
      </c>
      <c r="M27" s="31">
        <v>24716</v>
      </c>
      <c r="N27" s="31">
        <v>24829</v>
      </c>
      <c r="O27" s="31">
        <v>22619</v>
      </c>
      <c r="P27" s="31">
        <v>26081</v>
      </c>
      <c r="Q27" s="31">
        <v>30951</v>
      </c>
      <c r="R27" s="31">
        <v>33424</v>
      </c>
      <c r="S27" s="31">
        <v>40978</v>
      </c>
      <c r="T27" s="31">
        <v>42655</v>
      </c>
      <c r="U27" s="31">
        <v>42835</v>
      </c>
      <c r="V27" s="31">
        <v>43159</v>
      </c>
      <c r="W27" s="31">
        <v>42770</v>
      </c>
      <c r="X27" s="31">
        <v>41782</v>
      </c>
      <c r="Y27" s="31">
        <v>39762</v>
      </c>
      <c r="Z27" s="31">
        <v>37064</v>
      </c>
      <c r="AA27" s="31">
        <f t="shared" si="0"/>
        <v>768474</v>
      </c>
      <c r="AB27" s="32">
        <v>18</v>
      </c>
      <c r="AC27" s="31">
        <f t="shared" si="1"/>
        <v>13832532</v>
      </c>
      <c r="AD27" s="132">
        <f>+SUM(AC27:AC30)</f>
        <v>22015728</v>
      </c>
    </row>
    <row r="28" spans="1:30" x14ac:dyDescent="0.35">
      <c r="A28" s="130"/>
      <c r="B28" s="33" t="s">
        <v>44</v>
      </c>
      <c r="C28" s="31">
        <v>33740</v>
      </c>
      <c r="D28" s="31">
        <v>32165</v>
      </c>
      <c r="E28" s="31">
        <v>30984</v>
      </c>
      <c r="F28" s="31">
        <v>30107</v>
      </c>
      <c r="G28" s="31">
        <v>29809</v>
      </c>
      <c r="H28" s="31">
        <v>29044</v>
      </c>
      <c r="I28" s="31">
        <v>22929</v>
      </c>
      <c r="J28" s="31">
        <v>21457</v>
      </c>
      <c r="K28" s="31">
        <v>21524</v>
      </c>
      <c r="L28" s="31">
        <v>22561</v>
      </c>
      <c r="M28" s="31">
        <v>23602</v>
      </c>
      <c r="N28" s="31">
        <v>23485</v>
      </c>
      <c r="O28" s="31">
        <v>22350</v>
      </c>
      <c r="P28" s="31">
        <v>23139</v>
      </c>
      <c r="Q28" s="31">
        <v>26093</v>
      </c>
      <c r="R28" s="31">
        <v>28473</v>
      </c>
      <c r="S28" s="31">
        <v>36061</v>
      </c>
      <c r="T28" s="31">
        <v>39303</v>
      </c>
      <c r="U28" s="31">
        <v>40936</v>
      </c>
      <c r="V28" s="31">
        <v>41442</v>
      </c>
      <c r="W28" s="31">
        <v>40605</v>
      </c>
      <c r="X28" s="31">
        <v>39718</v>
      </c>
      <c r="Y28" s="31">
        <v>38522</v>
      </c>
      <c r="Z28" s="31">
        <v>36850</v>
      </c>
      <c r="AA28" s="31">
        <f t="shared" si="0"/>
        <v>734899</v>
      </c>
      <c r="AB28" s="32">
        <v>4</v>
      </c>
      <c r="AC28" s="31">
        <f t="shared" si="1"/>
        <v>2939596</v>
      </c>
      <c r="AD28" s="133"/>
    </row>
    <row r="29" spans="1:30" x14ac:dyDescent="0.35">
      <c r="A29" s="130"/>
      <c r="B29" s="33" t="s">
        <v>45</v>
      </c>
      <c r="C29" s="31">
        <v>33552</v>
      </c>
      <c r="D29" s="31">
        <v>32035</v>
      </c>
      <c r="E29" s="31">
        <v>30917</v>
      </c>
      <c r="F29" s="31">
        <v>30020</v>
      </c>
      <c r="G29" s="31">
        <v>29482</v>
      </c>
      <c r="H29" s="31">
        <v>28316</v>
      </c>
      <c r="I29" s="31">
        <v>21381</v>
      </c>
      <c r="J29" s="31">
        <v>17895</v>
      </c>
      <c r="K29" s="31">
        <v>15552</v>
      </c>
      <c r="L29" s="31">
        <v>15944</v>
      </c>
      <c r="M29" s="31">
        <v>15987</v>
      </c>
      <c r="N29" s="31">
        <v>15974</v>
      </c>
      <c r="O29" s="31">
        <v>16648</v>
      </c>
      <c r="P29" s="31">
        <v>17486</v>
      </c>
      <c r="Q29" s="31">
        <v>19870</v>
      </c>
      <c r="R29" s="31">
        <v>22339</v>
      </c>
      <c r="S29" s="31">
        <v>30825</v>
      </c>
      <c r="T29" s="31">
        <v>34845</v>
      </c>
      <c r="U29" s="31">
        <v>37381</v>
      </c>
      <c r="V29" s="31">
        <v>39303</v>
      </c>
      <c r="W29" s="31">
        <v>39436</v>
      </c>
      <c r="X29" s="31">
        <v>39290</v>
      </c>
      <c r="Y29" s="31">
        <v>38159</v>
      </c>
      <c r="Z29" s="31">
        <v>36230</v>
      </c>
      <c r="AA29" s="31">
        <f t="shared" si="0"/>
        <v>658867</v>
      </c>
      <c r="AB29" s="32">
        <v>5</v>
      </c>
      <c r="AC29" s="31">
        <f t="shared" si="1"/>
        <v>3294335</v>
      </c>
      <c r="AD29" s="133"/>
    </row>
    <row r="30" spans="1:30" x14ac:dyDescent="0.35">
      <c r="A30" s="131"/>
      <c r="B30" s="34" t="s">
        <v>46</v>
      </c>
      <c r="C30" s="31">
        <v>30955</v>
      </c>
      <c r="D30" s="31">
        <v>29487</v>
      </c>
      <c r="E30" s="31">
        <v>28475</v>
      </c>
      <c r="F30" s="31">
        <v>27667</v>
      </c>
      <c r="G30" s="31">
        <v>27368</v>
      </c>
      <c r="H30" s="31">
        <v>26505</v>
      </c>
      <c r="I30" s="31">
        <v>19824</v>
      </c>
      <c r="J30" s="31">
        <v>17151</v>
      </c>
      <c r="K30" s="31">
        <v>15872</v>
      </c>
      <c r="L30" s="31">
        <v>16703</v>
      </c>
      <c r="M30" s="31">
        <v>17695</v>
      </c>
      <c r="N30" s="31">
        <v>17867</v>
      </c>
      <c r="O30" s="31">
        <v>17931</v>
      </c>
      <c r="P30" s="31">
        <v>19022</v>
      </c>
      <c r="Q30" s="31">
        <v>21352</v>
      </c>
      <c r="R30" s="31">
        <v>23423</v>
      </c>
      <c r="S30" s="31">
        <v>31184</v>
      </c>
      <c r="T30" s="31">
        <v>34909</v>
      </c>
      <c r="U30" s="31">
        <v>37355</v>
      </c>
      <c r="V30" s="31">
        <v>39459</v>
      </c>
      <c r="W30" s="31">
        <v>39325</v>
      </c>
      <c r="X30" s="31">
        <v>38700</v>
      </c>
      <c r="Y30" s="31">
        <v>36946</v>
      </c>
      <c r="Z30" s="31">
        <v>34580</v>
      </c>
      <c r="AA30" s="31">
        <f t="shared" si="0"/>
        <v>649755</v>
      </c>
      <c r="AB30" s="32">
        <v>3</v>
      </c>
      <c r="AC30" s="31">
        <f t="shared" si="1"/>
        <v>1949265</v>
      </c>
      <c r="AD30" s="134"/>
    </row>
    <row r="31" spans="1:30" x14ac:dyDescent="0.35">
      <c r="A31" s="129">
        <v>48030</v>
      </c>
      <c r="B31" s="30" t="s">
        <v>43</v>
      </c>
      <c r="C31" s="31">
        <v>31239</v>
      </c>
      <c r="D31" s="31">
        <v>29703</v>
      </c>
      <c r="E31" s="31">
        <v>28604</v>
      </c>
      <c r="F31" s="31">
        <v>27766</v>
      </c>
      <c r="G31" s="31">
        <v>27516</v>
      </c>
      <c r="H31" s="31">
        <v>27501</v>
      </c>
      <c r="I31" s="31">
        <v>21237</v>
      </c>
      <c r="J31" s="31">
        <v>19910</v>
      </c>
      <c r="K31" s="31">
        <v>19943</v>
      </c>
      <c r="L31" s="31">
        <v>20900</v>
      </c>
      <c r="M31" s="31">
        <v>22100</v>
      </c>
      <c r="N31" s="31">
        <v>21908</v>
      </c>
      <c r="O31" s="31">
        <v>19686</v>
      </c>
      <c r="P31" s="31">
        <v>23040</v>
      </c>
      <c r="Q31" s="31">
        <v>27724</v>
      </c>
      <c r="R31" s="31">
        <v>30165</v>
      </c>
      <c r="S31" s="31">
        <v>37604</v>
      </c>
      <c r="T31" s="31">
        <v>39530</v>
      </c>
      <c r="U31" s="31">
        <v>39492</v>
      </c>
      <c r="V31" s="31">
        <v>40304</v>
      </c>
      <c r="W31" s="31">
        <v>40129</v>
      </c>
      <c r="X31" s="31">
        <v>39397</v>
      </c>
      <c r="Y31" s="31">
        <v>37573</v>
      </c>
      <c r="Z31" s="31">
        <v>35083</v>
      </c>
      <c r="AA31" s="31">
        <f t="shared" si="0"/>
        <v>708054</v>
      </c>
      <c r="AB31" s="32">
        <v>23</v>
      </c>
      <c r="AC31" s="31">
        <f t="shared" si="1"/>
        <v>16285242</v>
      </c>
      <c r="AD31" s="132">
        <f>+SUM(AC31:AC34)</f>
        <v>21407290</v>
      </c>
    </row>
    <row r="32" spans="1:30" x14ac:dyDescent="0.35">
      <c r="A32" s="130"/>
      <c r="B32" s="33" t="s">
        <v>44</v>
      </c>
      <c r="C32" s="31">
        <v>31068</v>
      </c>
      <c r="D32" s="31">
        <v>29570</v>
      </c>
      <c r="E32" s="31">
        <v>28539</v>
      </c>
      <c r="F32" s="31">
        <v>27706</v>
      </c>
      <c r="G32" s="31">
        <v>27387</v>
      </c>
      <c r="H32" s="31">
        <v>26822</v>
      </c>
      <c r="I32" s="31">
        <v>20403</v>
      </c>
      <c r="J32" s="31">
        <v>18756</v>
      </c>
      <c r="K32" s="31">
        <v>18639</v>
      </c>
      <c r="L32" s="31">
        <v>19616</v>
      </c>
      <c r="M32" s="31">
        <v>20424</v>
      </c>
      <c r="N32" s="31">
        <v>20496</v>
      </c>
      <c r="O32" s="31">
        <v>19513</v>
      </c>
      <c r="P32" s="31">
        <v>20534</v>
      </c>
      <c r="Q32" s="31">
        <v>23379</v>
      </c>
      <c r="R32" s="31">
        <v>25456</v>
      </c>
      <c r="S32" s="31">
        <v>32975</v>
      </c>
      <c r="T32" s="31">
        <v>36268</v>
      </c>
      <c r="U32" s="31">
        <v>37886</v>
      </c>
      <c r="V32" s="31">
        <v>38916</v>
      </c>
      <c r="W32" s="31">
        <v>38117</v>
      </c>
      <c r="X32" s="31">
        <v>37378</v>
      </c>
      <c r="Y32" s="31">
        <v>36453</v>
      </c>
      <c r="Z32" s="31">
        <v>35012</v>
      </c>
      <c r="AA32" s="31">
        <f t="shared" si="0"/>
        <v>671313</v>
      </c>
      <c r="AB32" s="32">
        <v>4</v>
      </c>
      <c r="AC32" s="31">
        <f t="shared" si="1"/>
        <v>2685252</v>
      </c>
      <c r="AD32" s="133"/>
    </row>
    <row r="33" spans="1:30" x14ac:dyDescent="0.35">
      <c r="A33" s="130"/>
      <c r="B33" s="33" t="s">
        <v>45</v>
      </c>
      <c r="C33" s="31">
        <v>31759</v>
      </c>
      <c r="D33" s="31">
        <v>30210</v>
      </c>
      <c r="E33" s="31">
        <v>29072</v>
      </c>
      <c r="F33" s="31">
        <v>28228</v>
      </c>
      <c r="G33" s="31">
        <v>27667</v>
      </c>
      <c r="H33" s="31">
        <v>26694</v>
      </c>
      <c r="I33" s="31">
        <v>19590</v>
      </c>
      <c r="J33" s="31">
        <v>15623</v>
      </c>
      <c r="K33" s="31">
        <v>13525</v>
      </c>
      <c r="L33" s="31">
        <v>13604</v>
      </c>
      <c r="M33" s="31">
        <v>13799</v>
      </c>
      <c r="N33" s="31">
        <v>13656</v>
      </c>
      <c r="O33" s="31">
        <v>14474</v>
      </c>
      <c r="P33" s="31">
        <v>15372</v>
      </c>
      <c r="Q33" s="31">
        <v>17582</v>
      </c>
      <c r="R33" s="31">
        <v>20217</v>
      </c>
      <c r="S33" s="31">
        <v>28451</v>
      </c>
      <c r="T33" s="31">
        <v>32962</v>
      </c>
      <c r="U33" s="31">
        <v>34997</v>
      </c>
      <c r="V33" s="31">
        <v>36980</v>
      </c>
      <c r="W33" s="31">
        <v>37296</v>
      </c>
      <c r="X33" s="31">
        <v>37249</v>
      </c>
      <c r="Y33" s="31">
        <v>36043</v>
      </c>
      <c r="Z33" s="31">
        <v>34149</v>
      </c>
      <c r="AA33" s="31">
        <f t="shared" si="0"/>
        <v>609199</v>
      </c>
      <c r="AB33" s="32">
        <v>4</v>
      </c>
      <c r="AC33" s="31">
        <f t="shared" si="1"/>
        <v>2436796</v>
      </c>
      <c r="AD33" s="133"/>
    </row>
    <row r="34" spans="1:30" x14ac:dyDescent="0.35">
      <c r="A34" s="131"/>
      <c r="B34" s="34" t="s">
        <v>46</v>
      </c>
      <c r="C34" s="31">
        <v>-2137</v>
      </c>
      <c r="D34" s="31">
        <v>-2137</v>
      </c>
      <c r="E34" s="31">
        <v>-2137</v>
      </c>
      <c r="F34" s="31">
        <v>-2137</v>
      </c>
      <c r="G34" s="31">
        <v>-2137</v>
      </c>
      <c r="H34" s="31">
        <v>-2137</v>
      </c>
      <c r="I34" s="31">
        <v>-2137</v>
      </c>
      <c r="J34" s="31">
        <v>-2557</v>
      </c>
      <c r="K34" s="31">
        <v>-2557</v>
      </c>
      <c r="L34" s="31">
        <v>-2557</v>
      </c>
      <c r="M34" s="31">
        <v>-2557</v>
      </c>
      <c r="N34" s="31">
        <v>-2557</v>
      </c>
      <c r="O34" s="31">
        <v>-2557</v>
      </c>
      <c r="P34" s="31">
        <v>-2557</v>
      </c>
      <c r="Q34" s="31">
        <v>-2557</v>
      </c>
      <c r="R34" s="31">
        <v>-2557</v>
      </c>
      <c r="S34" s="31">
        <v>-2557</v>
      </c>
      <c r="T34" s="31">
        <v>-573</v>
      </c>
      <c r="U34" s="31">
        <v>-573</v>
      </c>
      <c r="V34" s="31">
        <v>-573</v>
      </c>
      <c r="W34" s="31">
        <v>-573</v>
      </c>
      <c r="X34" s="31">
        <v>-573</v>
      </c>
      <c r="Y34" s="31">
        <v>-573</v>
      </c>
      <c r="Z34" s="31">
        <v>-573</v>
      </c>
      <c r="AA34" s="31">
        <f t="shared" si="0"/>
        <v>-44540</v>
      </c>
      <c r="AB34" s="32">
        <v>0</v>
      </c>
      <c r="AC34" s="31">
        <f>+AA34*AB34</f>
        <v>0</v>
      </c>
      <c r="AD34" s="134"/>
    </row>
    <row r="35" spans="1:30" x14ac:dyDescent="0.35">
      <c r="A35" s="129">
        <v>48061</v>
      </c>
      <c r="B35" s="30" t="s">
        <v>43</v>
      </c>
      <c r="C35" s="31">
        <v>32868</v>
      </c>
      <c r="D35" s="31">
        <v>31295</v>
      </c>
      <c r="E35" s="31">
        <v>30104</v>
      </c>
      <c r="F35" s="31">
        <v>29209</v>
      </c>
      <c r="G35" s="31">
        <v>28914</v>
      </c>
      <c r="H35" s="31">
        <v>28918</v>
      </c>
      <c r="I35" s="31">
        <v>22401</v>
      </c>
      <c r="J35" s="31">
        <v>21248</v>
      </c>
      <c r="K35" s="31">
        <v>21227</v>
      </c>
      <c r="L35" s="31">
        <v>22422</v>
      </c>
      <c r="M35" s="31">
        <v>23738</v>
      </c>
      <c r="N35" s="31">
        <v>23744</v>
      </c>
      <c r="O35" s="31">
        <v>21567</v>
      </c>
      <c r="P35" s="31">
        <v>25337</v>
      </c>
      <c r="Q35" s="31">
        <v>30381</v>
      </c>
      <c r="R35" s="31">
        <v>32786</v>
      </c>
      <c r="S35" s="31">
        <v>40214</v>
      </c>
      <c r="T35" s="31">
        <v>41443</v>
      </c>
      <c r="U35" s="31">
        <v>41674</v>
      </c>
      <c r="V35" s="31">
        <v>41997</v>
      </c>
      <c r="W35" s="31">
        <v>41927</v>
      </c>
      <c r="X35" s="31">
        <v>41291</v>
      </c>
      <c r="Y35" s="31">
        <v>39336</v>
      </c>
      <c r="Z35" s="31">
        <v>36787</v>
      </c>
      <c r="AA35" s="31">
        <f t="shared" si="0"/>
        <v>750828</v>
      </c>
      <c r="AB35" s="32">
        <v>19</v>
      </c>
      <c r="AC35" s="31">
        <f t="shared" si="1"/>
        <v>14265732</v>
      </c>
      <c r="AD35" s="132">
        <f>+SUM(AC35:AC38)</f>
        <v>22392326</v>
      </c>
    </row>
    <row r="36" spans="1:30" x14ac:dyDescent="0.35">
      <c r="A36" s="130"/>
      <c r="B36" s="33" t="s">
        <v>44</v>
      </c>
      <c r="C36" s="31">
        <v>34432</v>
      </c>
      <c r="D36" s="31">
        <v>32731</v>
      </c>
      <c r="E36" s="31">
        <v>31433</v>
      </c>
      <c r="F36" s="31">
        <v>30428</v>
      </c>
      <c r="G36" s="31">
        <v>29899</v>
      </c>
      <c r="H36" s="31">
        <v>29276</v>
      </c>
      <c r="I36" s="31">
        <v>22633</v>
      </c>
      <c r="J36" s="31">
        <v>21204</v>
      </c>
      <c r="K36" s="31">
        <v>21120</v>
      </c>
      <c r="L36" s="31">
        <v>22282</v>
      </c>
      <c r="M36" s="31">
        <v>23100</v>
      </c>
      <c r="N36" s="31">
        <v>23424</v>
      </c>
      <c r="O36" s="31">
        <v>22188</v>
      </c>
      <c r="P36" s="31">
        <v>23413</v>
      </c>
      <c r="Q36" s="31">
        <v>26224</v>
      </c>
      <c r="R36" s="31">
        <v>28363</v>
      </c>
      <c r="S36" s="31">
        <v>35919</v>
      </c>
      <c r="T36" s="31">
        <v>38483</v>
      </c>
      <c r="U36" s="31">
        <v>40434</v>
      </c>
      <c r="V36" s="31">
        <v>40706</v>
      </c>
      <c r="W36" s="31">
        <v>39844</v>
      </c>
      <c r="X36" s="31">
        <v>39395</v>
      </c>
      <c r="Y36" s="31">
        <v>38547</v>
      </c>
      <c r="Z36" s="31">
        <v>36965</v>
      </c>
      <c r="AA36" s="31">
        <f t="shared" si="0"/>
        <v>732443</v>
      </c>
      <c r="AB36" s="32">
        <v>5</v>
      </c>
      <c r="AC36" s="31">
        <f t="shared" si="1"/>
        <v>3662215</v>
      </c>
      <c r="AD36" s="133"/>
    </row>
    <row r="37" spans="1:30" x14ac:dyDescent="0.35">
      <c r="A37" s="130"/>
      <c r="B37" s="33" t="s">
        <v>45</v>
      </c>
      <c r="C37" s="31">
        <v>33766</v>
      </c>
      <c r="D37" s="31">
        <v>32148</v>
      </c>
      <c r="E37" s="31">
        <v>30864</v>
      </c>
      <c r="F37" s="31">
        <v>29883</v>
      </c>
      <c r="G37" s="31">
        <v>29167</v>
      </c>
      <c r="H37" s="31">
        <v>27906</v>
      </c>
      <c r="I37" s="31">
        <v>20515</v>
      </c>
      <c r="J37" s="31">
        <v>17023</v>
      </c>
      <c r="K37" s="31">
        <v>14831</v>
      </c>
      <c r="L37" s="31">
        <v>14758</v>
      </c>
      <c r="M37" s="31">
        <v>15148</v>
      </c>
      <c r="N37" s="31">
        <v>14841</v>
      </c>
      <c r="O37" s="31">
        <v>15717</v>
      </c>
      <c r="P37" s="31">
        <v>17144</v>
      </c>
      <c r="Q37" s="31">
        <v>19385</v>
      </c>
      <c r="R37" s="31">
        <v>21932</v>
      </c>
      <c r="S37" s="31">
        <v>29721</v>
      </c>
      <c r="T37" s="31">
        <v>33409</v>
      </c>
      <c r="U37" s="31">
        <v>36039</v>
      </c>
      <c r="V37" s="31">
        <v>37502</v>
      </c>
      <c r="W37" s="31">
        <v>37886</v>
      </c>
      <c r="X37" s="31">
        <v>37978</v>
      </c>
      <c r="Y37" s="31">
        <v>36882</v>
      </c>
      <c r="Z37" s="31">
        <v>34896</v>
      </c>
      <c r="AA37" s="31">
        <f t="shared" si="0"/>
        <v>639341</v>
      </c>
      <c r="AB37" s="32">
        <v>5</v>
      </c>
      <c r="AC37" s="31">
        <f t="shared" si="1"/>
        <v>3196705</v>
      </c>
      <c r="AD37" s="133"/>
    </row>
    <row r="38" spans="1:30" x14ac:dyDescent="0.35">
      <c r="A38" s="131"/>
      <c r="B38" s="34" t="s">
        <v>46</v>
      </c>
      <c r="C38" s="31">
        <v>30279</v>
      </c>
      <c r="D38" s="31">
        <v>28943</v>
      </c>
      <c r="E38" s="31">
        <v>27881</v>
      </c>
      <c r="F38" s="31">
        <v>27158</v>
      </c>
      <c r="G38" s="31">
        <v>26812</v>
      </c>
      <c r="H38" s="31">
        <v>26145</v>
      </c>
      <c r="I38" s="31">
        <v>19078</v>
      </c>
      <c r="J38" s="31">
        <v>16141</v>
      </c>
      <c r="K38" s="31">
        <v>14768</v>
      </c>
      <c r="L38" s="31">
        <v>15688</v>
      </c>
      <c r="M38" s="31">
        <v>16582</v>
      </c>
      <c r="N38" s="31">
        <v>16955</v>
      </c>
      <c r="O38" s="31">
        <v>17148</v>
      </c>
      <c r="P38" s="31">
        <v>18338</v>
      </c>
      <c r="Q38" s="31">
        <v>20823</v>
      </c>
      <c r="R38" s="31">
        <v>23375</v>
      </c>
      <c r="S38" s="31">
        <v>31139</v>
      </c>
      <c r="T38" s="31">
        <v>34173</v>
      </c>
      <c r="U38" s="31">
        <v>36843</v>
      </c>
      <c r="V38" s="31">
        <v>38236</v>
      </c>
      <c r="W38" s="31">
        <v>38152</v>
      </c>
      <c r="X38" s="31">
        <v>38135</v>
      </c>
      <c r="Y38" s="31">
        <v>36645</v>
      </c>
      <c r="Z38" s="31">
        <v>34400</v>
      </c>
      <c r="AA38" s="31">
        <f t="shared" si="0"/>
        <v>633837</v>
      </c>
      <c r="AB38" s="32">
        <v>2</v>
      </c>
      <c r="AC38" s="31">
        <f t="shared" si="1"/>
        <v>1267674</v>
      </c>
      <c r="AD38" s="134"/>
    </row>
    <row r="39" spans="1:30" x14ac:dyDescent="0.35">
      <c r="A39" s="129">
        <v>48092</v>
      </c>
      <c r="B39" s="30" t="s">
        <v>43</v>
      </c>
      <c r="C39" s="31">
        <v>34182</v>
      </c>
      <c r="D39" s="31">
        <v>32451</v>
      </c>
      <c r="E39" s="31">
        <v>31177</v>
      </c>
      <c r="F39" s="31">
        <v>30197</v>
      </c>
      <c r="G39" s="31">
        <v>29850</v>
      </c>
      <c r="H39" s="31">
        <v>29758</v>
      </c>
      <c r="I39" s="31">
        <v>23392</v>
      </c>
      <c r="J39" s="31">
        <v>22446</v>
      </c>
      <c r="K39" s="31">
        <v>22511</v>
      </c>
      <c r="L39" s="31">
        <v>23782</v>
      </c>
      <c r="M39" s="31">
        <v>25200</v>
      </c>
      <c r="N39" s="31">
        <v>25235</v>
      </c>
      <c r="O39" s="31">
        <v>23164</v>
      </c>
      <c r="P39" s="31">
        <v>27183</v>
      </c>
      <c r="Q39" s="31">
        <v>32183</v>
      </c>
      <c r="R39" s="31">
        <v>34552</v>
      </c>
      <c r="S39" s="31">
        <v>41722</v>
      </c>
      <c r="T39" s="31">
        <v>43282</v>
      </c>
      <c r="U39" s="31">
        <v>43859</v>
      </c>
      <c r="V39" s="31">
        <v>43201</v>
      </c>
      <c r="W39" s="31">
        <v>43012</v>
      </c>
      <c r="X39" s="31">
        <v>42434</v>
      </c>
      <c r="Y39" s="31">
        <v>40508</v>
      </c>
      <c r="Z39" s="31">
        <v>37721</v>
      </c>
      <c r="AA39" s="31">
        <f t="shared" si="0"/>
        <v>783002</v>
      </c>
      <c r="AB39" s="32">
        <v>22</v>
      </c>
      <c r="AC39" s="31">
        <f t="shared" si="1"/>
        <v>17226044</v>
      </c>
      <c r="AD39" s="132">
        <f>+SUM(AC39:AC42)</f>
        <v>22975064</v>
      </c>
    </row>
    <row r="40" spans="1:30" x14ac:dyDescent="0.35">
      <c r="A40" s="130"/>
      <c r="B40" s="33" t="s">
        <v>44</v>
      </c>
      <c r="C40" s="31">
        <v>34915</v>
      </c>
      <c r="D40" s="31">
        <v>33310</v>
      </c>
      <c r="E40" s="31">
        <v>32042</v>
      </c>
      <c r="F40" s="31">
        <v>30966</v>
      </c>
      <c r="G40" s="31">
        <v>30449</v>
      </c>
      <c r="H40" s="31">
        <v>29723</v>
      </c>
      <c r="I40" s="31">
        <v>23239</v>
      </c>
      <c r="J40" s="31">
        <v>22071</v>
      </c>
      <c r="K40" s="31">
        <v>22204</v>
      </c>
      <c r="L40" s="31">
        <v>23295</v>
      </c>
      <c r="M40" s="31">
        <v>24560</v>
      </c>
      <c r="N40" s="31">
        <v>24641</v>
      </c>
      <c r="O40" s="31">
        <v>23586</v>
      </c>
      <c r="P40" s="31">
        <v>24908</v>
      </c>
      <c r="Q40" s="31">
        <v>27874</v>
      </c>
      <c r="R40" s="31">
        <v>29967</v>
      </c>
      <c r="S40" s="31">
        <v>37265</v>
      </c>
      <c r="T40" s="31">
        <v>40367</v>
      </c>
      <c r="U40" s="31">
        <v>42621</v>
      </c>
      <c r="V40" s="31">
        <v>42044</v>
      </c>
      <c r="W40" s="31">
        <v>40972</v>
      </c>
      <c r="X40" s="31">
        <v>40178</v>
      </c>
      <c r="Y40" s="31">
        <v>39265</v>
      </c>
      <c r="Z40" s="31">
        <v>37752</v>
      </c>
      <c r="AA40" s="31">
        <f t="shared" si="0"/>
        <v>758214</v>
      </c>
      <c r="AB40" s="32">
        <v>4</v>
      </c>
      <c r="AC40" s="31">
        <f t="shared" si="1"/>
        <v>3032856</v>
      </c>
      <c r="AD40" s="133"/>
    </row>
    <row r="41" spans="1:30" x14ac:dyDescent="0.35">
      <c r="A41" s="130"/>
      <c r="B41" s="33" t="s">
        <v>45</v>
      </c>
      <c r="C41" s="31">
        <v>34515</v>
      </c>
      <c r="D41" s="31">
        <v>32958</v>
      </c>
      <c r="E41" s="31">
        <v>31764</v>
      </c>
      <c r="F41" s="31">
        <v>30814</v>
      </c>
      <c r="G41" s="31">
        <v>30165</v>
      </c>
      <c r="H41" s="31">
        <v>29185</v>
      </c>
      <c r="I41" s="31">
        <v>22044</v>
      </c>
      <c r="J41" s="31">
        <v>18444</v>
      </c>
      <c r="K41" s="31">
        <v>16097</v>
      </c>
      <c r="L41" s="31">
        <v>16021</v>
      </c>
      <c r="M41" s="31">
        <v>16510</v>
      </c>
      <c r="N41" s="31">
        <v>16808</v>
      </c>
      <c r="O41" s="31">
        <v>17344</v>
      </c>
      <c r="P41" s="31">
        <v>18708</v>
      </c>
      <c r="Q41" s="31">
        <v>21456</v>
      </c>
      <c r="R41" s="31">
        <v>23850</v>
      </c>
      <c r="S41" s="31">
        <v>31941</v>
      </c>
      <c r="T41" s="31">
        <v>35815</v>
      </c>
      <c r="U41" s="31">
        <v>38806</v>
      </c>
      <c r="V41" s="31">
        <v>39652</v>
      </c>
      <c r="W41" s="31">
        <v>40125</v>
      </c>
      <c r="X41" s="31">
        <v>40321</v>
      </c>
      <c r="Y41" s="31">
        <v>39007</v>
      </c>
      <c r="Z41" s="31">
        <v>36691</v>
      </c>
      <c r="AA41" s="31">
        <f t="shared" si="0"/>
        <v>679041</v>
      </c>
      <c r="AB41" s="32">
        <v>4</v>
      </c>
      <c r="AC41" s="31">
        <f t="shared" si="1"/>
        <v>2716164</v>
      </c>
      <c r="AD41" s="133"/>
    </row>
    <row r="42" spans="1:30" x14ac:dyDescent="0.35">
      <c r="A42" s="131"/>
      <c r="B42" s="34" t="s">
        <v>46</v>
      </c>
      <c r="C42" s="31">
        <v>0</v>
      </c>
      <c r="D42" s="31">
        <v>0</v>
      </c>
      <c r="E42" s="31">
        <v>0</v>
      </c>
      <c r="F42" s="31">
        <v>0</v>
      </c>
      <c r="G42" s="31">
        <v>0</v>
      </c>
      <c r="H42" s="31">
        <v>0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0</v>
      </c>
      <c r="AA42" s="31">
        <f t="shared" si="0"/>
        <v>0</v>
      </c>
      <c r="AB42" s="32">
        <v>0</v>
      </c>
      <c r="AC42" s="31">
        <f t="shared" si="1"/>
        <v>0</v>
      </c>
      <c r="AD42" s="134"/>
    </row>
    <row r="43" spans="1:30" x14ac:dyDescent="0.35">
      <c r="A43" s="129">
        <v>48122</v>
      </c>
      <c r="B43" s="30" t="s">
        <v>43</v>
      </c>
      <c r="C43" s="31">
        <v>32648</v>
      </c>
      <c r="D43" s="31">
        <v>31055</v>
      </c>
      <c r="E43" s="31">
        <v>29920</v>
      </c>
      <c r="F43" s="31">
        <v>29140</v>
      </c>
      <c r="G43" s="31">
        <v>28924</v>
      </c>
      <c r="H43" s="31">
        <v>28847</v>
      </c>
      <c r="I43" s="31">
        <v>22575</v>
      </c>
      <c r="J43" s="31">
        <v>21567</v>
      </c>
      <c r="K43" s="31">
        <v>21941</v>
      </c>
      <c r="L43" s="31">
        <v>23255</v>
      </c>
      <c r="M43" s="31">
        <v>24710</v>
      </c>
      <c r="N43" s="31">
        <v>24916</v>
      </c>
      <c r="O43" s="31">
        <v>22904</v>
      </c>
      <c r="P43" s="31">
        <v>26633</v>
      </c>
      <c r="Q43" s="31">
        <v>31503</v>
      </c>
      <c r="R43" s="31">
        <v>33651</v>
      </c>
      <c r="S43" s="31">
        <v>40902</v>
      </c>
      <c r="T43" s="31">
        <v>43724</v>
      </c>
      <c r="U43" s="31">
        <v>43776</v>
      </c>
      <c r="V43" s="31">
        <v>42496</v>
      </c>
      <c r="W43" s="31">
        <v>41754</v>
      </c>
      <c r="X43" s="31">
        <v>40763</v>
      </c>
      <c r="Y43" s="31">
        <v>38675</v>
      </c>
      <c r="Z43" s="31">
        <v>36058</v>
      </c>
      <c r="AA43" s="31">
        <f t="shared" si="0"/>
        <v>762337</v>
      </c>
      <c r="AB43" s="32">
        <v>22</v>
      </c>
      <c r="AC43" s="31">
        <f t="shared" si="1"/>
        <v>16771414</v>
      </c>
      <c r="AD43" s="132">
        <f>+SUM(AC43:AC46)</f>
        <v>22848708</v>
      </c>
    </row>
    <row r="44" spans="1:30" x14ac:dyDescent="0.35">
      <c r="A44" s="130"/>
      <c r="B44" s="33" t="s">
        <v>44</v>
      </c>
      <c r="C44" s="31">
        <v>32108</v>
      </c>
      <c r="D44" s="31">
        <v>30516</v>
      </c>
      <c r="E44" s="31">
        <v>29414</v>
      </c>
      <c r="F44" s="31">
        <v>28529</v>
      </c>
      <c r="G44" s="31">
        <v>28173</v>
      </c>
      <c r="H44" s="31">
        <v>27650</v>
      </c>
      <c r="I44" s="31">
        <v>21199</v>
      </c>
      <c r="J44" s="31">
        <v>19708</v>
      </c>
      <c r="K44" s="31">
        <v>20107</v>
      </c>
      <c r="L44" s="31">
        <v>21396</v>
      </c>
      <c r="M44" s="31">
        <v>22616</v>
      </c>
      <c r="N44" s="31">
        <v>22805</v>
      </c>
      <c r="O44" s="31">
        <v>21972</v>
      </c>
      <c r="P44" s="31">
        <v>22857</v>
      </c>
      <c r="Q44" s="31">
        <v>25577</v>
      </c>
      <c r="R44" s="31">
        <v>27394</v>
      </c>
      <c r="S44" s="31">
        <v>34966</v>
      </c>
      <c r="T44" s="31">
        <v>39158</v>
      </c>
      <c r="U44" s="31">
        <v>40686</v>
      </c>
      <c r="V44" s="31">
        <v>39747</v>
      </c>
      <c r="W44" s="31">
        <v>38775</v>
      </c>
      <c r="X44" s="31">
        <v>37697</v>
      </c>
      <c r="Y44" s="31">
        <v>36371</v>
      </c>
      <c r="Z44" s="31">
        <v>34676</v>
      </c>
      <c r="AA44" s="31">
        <f t="shared" si="0"/>
        <v>704097</v>
      </c>
      <c r="AB44" s="32">
        <v>4</v>
      </c>
      <c r="AC44" s="31">
        <f t="shared" si="1"/>
        <v>2816388</v>
      </c>
      <c r="AD44" s="133"/>
    </row>
    <row r="45" spans="1:30" x14ac:dyDescent="0.35">
      <c r="A45" s="130"/>
      <c r="B45" s="33" t="s">
        <v>45</v>
      </c>
      <c r="C45" s="31">
        <v>32533</v>
      </c>
      <c r="D45" s="31">
        <v>31065</v>
      </c>
      <c r="E45" s="31">
        <v>29949</v>
      </c>
      <c r="F45" s="31">
        <v>28985</v>
      </c>
      <c r="G45" s="31">
        <v>28383</v>
      </c>
      <c r="H45" s="31">
        <v>27481</v>
      </c>
      <c r="I45" s="31">
        <v>20420</v>
      </c>
      <c r="J45" s="31">
        <v>16621</v>
      </c>
      <c r="K45" s="31">
        <v>14590</v>
      </c>
      <c r="L45" s="31">
        <v>15028</v>
      </c>
      <c r="M45" s="31">
        <v>15486</v>
      </c>
      <c r="N45" s="31">
        <v>15889</v>
      </c>
      <c r="O45" s="31">
        <v>16595</v>
      </c>
      <c r="P45" s="31">
        <v>17568</v>
      </c>
      <c r="Q45" s="31">
        <v>19928</v>
      </c>
      <c r="R45" s="31">
        <v>22595</v>
      </c>
      <c r="S45" s="31">
        <v>30755</v>
      </c>
      <c r="T45" s="31">
        <v>35793</v>
      </c>
      <c r="U45" s="31">
        <v>38043</v>
      </c>
      <c r="V45" s="31">
        <v>38359</v>
      </c>
      <c r="W45" s="31">
        <v>38468</v>
      </c>
      <c r="X45" s="31">
        <v>38270</v>
      </c>
      <c r="Y45" s="31">
        <v>36864</v>
      </c>
      <c r="Z45" s="31">
        <v>34812</v>
      </c>
      <c r="AA45" s="31">
        <f t="shared" si="0"/>
        <v>644480</v>
      </c>
      <c r="AB45" s="32">
        <v>4</v>
      </c>
      <c r="AC45" s="31">
        <f t="shared" si="1"/>
        <v>2577920</v>
      </c>
      <c r="AD45" s="133"/>
    </row>
    <row r="46" spans="1:30" x14ac:dyDescent="0.35">
      <c r="A46" s="131"/>
      <c r="B46" s="34" t="s">
        <v>46</v>
      </c>
      <c r="C46" s="31">
        <v>32212</v>
      </c>
      <c r="D46" s="31">
        <v>30719</v>
      </c>
      <c r="E46" s="31">
        <v>29635</v>
      </c>
      <c r="F46" s="31">
        <v>28818</v>
      </c>
      <c r="G46" s="31">
        <v>28449</v>
      </c>
      <c r="H46" s="31">
        <v>27378</v>
      </c>
      <c r="I46" s="31">
        <v>20424</v>
      </c>
      <c r="J46" s="31">
        <v>17908</v>
      </c>
      <c r="K46" s="31">
        <v>16789</v>
      </c>
      <c r="L46" s="31">
        <v>17842</v>
      </c>
      <c r="M46" s="31">
        <v>18760</v>
      </c>
      <c r="N46" s="31">
        <v>18647</v>
      </c>
      <c r="O46" s="31">
        <v>19384</v>
      </c>
      <c r="P46" s="31">
        <v>20743</v>
      </c>
      <c r="Q46" s="31">
        <v>23572</v>
      </c>
      <c r="R46" s="31">
        <v>25588</v>
      </c>
      <c r="S46" s="31">
        <v>33404</v>
      </c>
      <c r="T46" s="31">
        <v>37878</v>
      </c>
      <c r="U46" s="31">
        <v>40066</v>
      </c>
      <c r="V46" s="31">
        <v>40671</v>
      </c>
      <c r="W46" s="31">
        <v>40583</v>
      </c>
      <c r="X46" s="31">
        <v>39961</v>
      </c>
      <c r="Y46" s="31">
        <v>38068</v>
      </c>
      <c r="Z46" s="31">
        <v>35487</v>
      </c>
      <c r="AA46" s="31">
        <f t="shared" si="0"/>
        <v>682986</v>
      </c>
      <c r="AB46" s="32">
        <v>1</v>
      </c>
      <c r="AC46" s="31">
        <f t="shared" si="1"/>
        <v>682986</v>
      </c>
      <c r="AD46" s="134"/>
    </row>
    <row r="47" spans="1:30" x14ac:dyDescent="0.35">
      <c r="A47" s="106">
        <v>48153</v>
      </c>
      <c r="B47" s="19" t="s">
        <v>43</v>
      </c>
      <c r="C47" s="31">
        <v>32731</v>
      </c>
      <c r="D47" s="31">
        <v>31169</v>
      </c>
      <c r="E47" s="31">
        <v>30063</v>
      </c>
      <c r="F47" s="31">
        <v>29356</v>
      </c>
      <c r="G47" s="31">
        <v>29277</v>
      </c>
      <c r="H47" s="31">
        <v>29493</v>
      </c>
      <c r="I47" s="31">
        <v>23599</v>
      </c>
      <c r="J47" s="31">
        <v>22777</v>
      </c>
      <c r="K47" s="31">
        <v>22989</v>
      </c>
      <c r="L47" s="31">
        <v>24149</v>
      </c>
      <c r="M47" s="31">
        <v>25588</v>
      </c>
      <c r="N47" s="31">
        <v>25812</v>
      </c>
      <c r="O47" s="31">
        <v>23690</v>
      </c>
      <c r="P47" s="31">
        <v>27062</v>
      </c>
      <c r="Q47" s="31">
        <v>31867</v>
      </c>
      <c r="R47" s="31">
        <v>34392</v>
      </c>
      <c r="S47" s="31">
        <v>41801</v>
      </c>
      <c r="T47" s="31">
        <v>45249</v>
      </c>
      <c r="U47" s="31">
        <v>45186</v>
      </c>
      <c r="V47" s="31">
        <v>43667</v>
      </c>
      <c r="W47" s="31">
        <v>42695</v>
      </c>
      <c r="X47" s="31">
        <v>41275</v>
      </c>
      <c r="Y47" s="31">
        <v>38986</v>
      </c>
      <c r="Z47" s="31">
        <v>36219</v>
      </c>
      <c r="AA47" s="21">
        <f t="shared" si="0"/>
        <v>779092</v>
      </c>
      <c r="AB47" s="22">
        <v>18</v>
      </c>
      <c r="AC47" s="21">
        <f t="shared" si="1"/>
        <v>14023656</v>
      </c>
      <c r="AD47" s="109">
        <f>+SUM(AC47:AC50)</f>
        <v>22494721</v>
      </c>
    </row>
    <row r="48" spans="1:30" x14ac:dyDescent="0.35">
      <c r="A48" s="107"/>
      <c r="B48" s="23" t="s">
        <v>44</v>
      </c>
      <c r="C48" s="31">
        <v>33333</v>
      </c>
      <c r="D48" s="31">
        <v>31753</v>
      </c>
      <c r="E48" s="31">
        <v>30625</v>
      </c>
      <c r="F48" s="31">
        <v>29717</v>
      </c>
      <c r="G48" s="31">
        <v>29383</v>
      </c>
      <c r="H48" s="31">
        <v>28977</v>
      </c>
      <c r="I48" s="31">
        <v>22691</v>
      </c>
      <c r="J48" s="31">
        <v>21627</v>
      </c>
      <c r="K48" s="31">
        <v>22123</v>
      </c>
      <c r="L48" s="31">
        <v>23662</v>
      </c>
      <c r="M48" s="31">
        <v>24689</v>
      </c>
      <c r="N48" s="31">
        <v>24801</v>
      </c>
      <c r="O48" s="31">
        <v>23662</v>
      </c>
      <c r="P48" s="31">
        <v>24548</v>
      </c>
      <c r="Q48" s="31">
        <v>27209</v>
      </c>
      <c r="R48" s="31">
        <v>29184</v>
      </c>
      <c r="S48" s="31">
        <v>36777</v>
      </c>
      <c r="T48" s="31">
        <v>41396</v>
      </c>
      <c r="U48" s="31">
        <v>42617</v>
      </c>
      <c r="V48" s="31">
        <v>41498</v>
      </c>
      <c r="W48" s="31">
        <v>40320</v>
      </c>
      <c r="X48" s="31">
        <v>38951</v>
      </c>
      <c r="Y48" s="31">
        <v>37512</v>
      </c>
      <c r="Z48" s="31">
        <v>35815</v>
      </c>
      <c r="AA48" s="21">
        <f t="shared" si="0"/>
        <v>742870</v>
      </c>
      <c r="AB48" s="22">
        <v>5</v>
      </c>
      <c r="AC48" s="21">
        <f t="shared" si="1"/>
        <v>3714350</v>
      </c>
      <c r="AD48" s="110"/>
    </row>
    <row r="49" spans="1:30" x14ac:dyDescent="0.35">
      <c r="A49" s="107"/>
      <c r="B49" s="23" t="s">
        <v>45</v>
      </c>
      <c r="C49" s="31">
        <v>32996</v>
      </c>
      <c r="D49" s="31">
        <v>31511</v>
      </c>
      <c r="E49" s="31">
        <v>30373</v>
      </c>
      <c r="F49" s="31">
        <v>29485</v>
      </c>
      <c r="G49" s="31">
        <v>28929</v>
      </c>
      <c r="H49" s="31">
        <v>28201</v>
      </c>
      <c r="I49" s="31">
        <v>21290</v>
      </c>
      <c r="J49" s="31">
        <v>18099</v>
      </c>
      <c r="K49" s="31">
        <v>16429</v>
      </c>
      <c r="L49" s="31">
        <v>16871</v>
      </c>
      <c r="M49" s="31">
        <v>17657</v>
      </c>
      <c r="N49" s="31">
        <v>17814</v>
      </c>
      <c r="O49" s="31">
        <v>18636</v>
      </c>
      <c r="P49" s="31">
        <v>19503</v>
      </c>
      <c r="Q49" s="31">
        <v>21720</v>
      </c>
      <c r="R49" s="31">
        <v>23892</v>
      </c>
      <c r="S49" s="31">
        <v>32057</v>
      </c>
      <c r="T49" s="31">
        <v>37688</v>
      </c>
      <c r="U49" s="31">
        <v>39567</v>
      </c>
      <c r="V49" s="31">
        <v>39600</v>
      </c>
      <c r="W49" s="31">
        <v>39244</v>
      </c>
      <c r="X49" s="31">
        <v>38667</v>
      </c>
      <c r="Y49" s="31">
        <v>37304</v>
      </c>
      <c r="Z49" s="31">
        <v>35262</v>
      </c>
      <c r="AA49" s="21">
        <f t="shared" si="0"/>
        <v>672795</v>
      </c>
      <c r="AB49" s="22">
        <v>5</v>
      </c>
      <c r="AC49" s="21">
        <f t="shared" si="1"/>
        <v>3363975</v>
      </c>
      <c r="AD49" s="110"/>
    </row>
    <row r="50" spans="1:30" x14ac:dyDescent="0.35">
      <c r="A50" s="108"/>
      <c r="B50" s="24" t="s">
        <v>46</v>
      </c>
      <c r="C50" s="31">
        <v>32039</v>
      </c>
      <c r="D50" s="31">
        <v>30483</v>
      </c>
      <c r="E50" s="31">
        <v>29475</v>
      </c>
      <c r="F50" s="31">
        <v>28749</v>
      </c>
      <c r="G50" s="31">
        <v>28467</v>
      </c>
      <c r="H50" s="31">
        <v>27874</v>
      </c>
      <c r="I50" s="31">
        <v>21044</v>
      </c>
      <c r="J50" s="31">
        <v>18651</v>
      </c>
      <c r="K50" s="31">
        <v>17536</v>
      </c>
      <c r="L50" s="31">
        <v>18692</v>
      </c>
      <c r="M50" s="31">
        <v>19920</v>
      </c>
      <c r="N50" s="31">
        <v>20337</v>
      </c>
      <c r="O50" s="31">
        <v>20507</v>
      </c>
      <c r="P50" s="31">
        <v>22035</v>
      </c>
      <c r="Q50" s="31">
        <v>24373</v>
      </c>
      <c r="R50" s="31">
        <v>26474</v>
      </c>
      <c r="S50" s="31">
        <v>34431</v>
      </c>
      <c r="T50" s="31">
        <v>39635</v>
      </c>
      <c r="U50" s="31">
        <v>41403</v>
      </c>
      <c r="V50" s="31">
        <v>41303</v>
      </c>
      <c r="W50" s="31">
        <v>40691</v>
      </c>
      <c r="X50" s="31">
        <v>39618</v>
      </c>
      <c r="Y50" s="31">
        <v>37517</v>
      </c>
      <c r="Z50" s="31">
        <v>35116</v>
      </c>
      <c r="AA50" s="21">
        <f t="shared" si="0"/>
        <v>696370</v>
      </c>
      <c r="AB50" s="22">
        <v>2</v>
      </c>
      <c r="AC50" s="21">
        <f t="shared" si="1"/>
        <v>1392740</v>
      </c>
      <c r="AD50" s="111"/>
    </row>
    <row r="51" spans="1:30" x14ac:dyDescent="0.35">
      <c r="A51" s="106">
        <v>48183</v>
      </c>
      <c r="B51" s="19" t="s">
        <v>43</v>
      </c>
      <c r="C51" s="31">
        <v>32013</v>
      </c>
      <c r="D51" s="31">
        <v>30472</v>
      </c>
      <c r="E51" s="31">
        <v>29408</v>
      </c>
      <c r="F51" s="31">
        <v>28629</v>
      </c>
      <c r="G51" s="31">
        <v>28392</v>
      </c>
      <c r="H51" s="31">
        <v>28447</v>
      </c>
      <c r="I51" s="31">
        <v>21872</v>
      </c>
      <c r="J51" s="31">
        <v>20550</v>
      </c>
      <c r="K51" s="31">
        <v>20560</v>
      </c>
      <c r="L51" s="31">
        <v>21698</v>
      </c>
      <c r="M51" s="31">
        <v>22901</v>
      </c>
      <c r="N51" s="31">
        <v>23103</v>
      </c>
      <c r="O51" s="31">
        <v>21609</v>
      </c>
      <c r="P51" s="31">
        <v>23995</v>
      </c>
      <c r="Q51" s="31">
        <v>28362</v>
      </c>
      <c r="R51" s="31">
        <v>30889</v>
      </c>
      <c r="S51" s="31">
        <v>38679</v>
      </c>
      <c r="T51" s="31">
        <v>41942</v>
      </c>
      <c r="U51" s="31">
        <v>43119</v>
      </c>
      <c r="V51" s="31">
        <v>41781</v>
      </c>
      <c r="W51" s="31">
        <v>40509</v>
      </c>
      <c r="X51" s="31">
        <v>39343</v>
      </c>
      <c r="Y51" s="31">
        <v>37632</v>
      </c>
      <c r="Z51" s="31">
        <v>35436</v>
      </c>
      <c r="AA51" s="21">
        <f t="shared" si="0"/>
        <v>731341</v>
      </c>
      <c r="AB51" s="22">
        <v>21</v>
      </c>
      <c r="AC51" s="21">
        <f t="shared" si="1"/>
        <v>15358161</v>
      </c>
      <c r="AD51" s="109">
        <f>+SUM(AC51:AC54)</f>
        <v>21982327</v>
      </c>
    </row>
    <row r="52" spans="1:30" x14ac:dyDescent="0.35">
      <c r="A52" s="107"/>
      <c r="B52" s="23" t="s">
        <v>44</v>
      </c>
      <c r="C52" s="31">
        <v>32551</v>
      </c>
      <c r="D52" s="31">
        <v>30916</v>
      </c>
      <c r="E52" s="31">
        <v>29724</v>
      </c>
      <c r="F52" s="31">
        <v>28855</v>
      </c>
      <c r="G52" s="31">
        <v>28464</v>
      </c>
      <c r="H52" s="31">
        <v>28335</v>
      </c>
      <c r="I52" s="31">
        <v>21556</v>
      </c>
      <c r="J52" s="31">
        <v>19657</v>
      </c>
      <c r="K52" s="31">
        <v>19500</v>
      </c>
      <c r="L52" s="31">
        <v>20509</v>
      </c>
      <c r="M52" s="31">
        <v>21596</v>
      </c>
      <c r="N52" s="31">
        <v>21731</v>
      </c>
      <c r="O52" s="31">
        <v>21323</v>
      </c>
      <c r="P52" s="31">
        <v>22392</v>
      </c>
      <c r="Q52" s="31">
        <v>25090</v>
      </c>
      <c r="R52" s="31">
        <v>27223</v>
      </c>
      <c r="S52" s="31">
        <v>34966</v>
      </c>
      <c r="T52" s="31">
        <v>39568</v>
      </c>
      <c r="U52" s="31">
        <v>41905</v>
      </c>
      <c r="V52" s="31">
        <v>41123</v>
      </c>
      <c r="W52" s="31">
        <v>39570</v>
      </c>
      <c r="X52" s="31">
        <v>38137</v>
      </c>
      <c r="Y52" s="31">
        <v>36710</v>
      </c>
      <c r="Z52" s="31">
        <v>35120</v>
      </c>
      <c r="AA52" s="21">
        <f t="shared" si="0"/>
        <v>706521</v>
      </c>
      <c r="AB52" s="22">
        <v>4</v>
      </c>
      <c r="AC52" s="21">
        <f t="shared" si="1"/>
        <v>2826084</v>
      </c>
      <c r="AD52" s="110"/>
    </row>
    <row r="53" spans="1:30" x14ac:dyDescent="0.35">
      <c r="A53" s="107"/>
      <c r="B53" s="23" t="s">
        <v>45</v>
      </c>
      <c r="C53" s="31">
        <v>32744</v>
      </c>
      <c r="D53" s="31">
        <v>31225</v>
      </c>
      <c r="E53" s="31">
        <v>30054</v>
      </c>
      <c r="F53" s="31">
        <v>29172</v>
      </c>
      <c r="G53" s="31">
        <v>28618</v>
      </c>
      <c r="H53" s="31">
        <v>27664</v>
      </c>
      <c r="I53" s="31">
        <v>20372</v>
      </c>
      <c r="J53" s="31">
        <v>16970</v>
      </c>
      <c r="K53" s="31">
        <v>15237</v>
      </c>
      <c r="L53" s="31">
        <v>15789</v>
      </c>
      <c r="M53" s="31">
        <v>16409</v>
      </c>
      <c r="N53" s="31">
        <v>16623</v>
      </c>
      <c r="O53" s="31">
        <v>17347</v>
      </c>
      <c r="P53" s="31">
        <v>18321</v>
      </c>
      <c r="Q53" s="31">
        <v>20722</v>
      </c>
      <c r="R53" s="31">
        <v>23444</v>
      </c>
      <c r="S53" s="31">
        <v>31650</v>
      </c>
      <c r="T53" s="31">
        <v>36842</v>
      </c>
      <c r="U53" s="31">
        <v>39668</v>
      </c>
      <c r="V53" s="31">
        <v>39410</v>
      </c>
      <c r="W53" s="31">
        <v>38586</v>
      </c>
      <c r="X53" s="31">
        <v>37595</v>
      </c>
      <c r="Y53" s="31">
        <v>36059</v>
      </c>
      <c r="Z53" s="31">
        <v>34239</v>
      </c>
      <c r="AA53" s="21">
        <f t="shared" si="0"/>
        <v>654760</v>
      </c>
      <c r="AB53" s="22">
        <v>4</v>
      </c>
      <c r="AC53" s="21">
        <f t="shared" si="1"/>
        <v>2619040</v>
      </c>
      <c r="AD53" s="110"/>
    </row>
    <row r="54" spans="1:30" x14ac:dyDescent="0.35">
      <c r="A54" s="108"/>
      <c r="B54" s="24" t="s">
        <v>46</v>
      </c>
      <c r="C54" s="31">
        <v>29164</v>
      </c>
      <c r="D54" s="31">
        <v>28356</v>
      </c>
      <c r="E54" s="31">
        <v>27702</v>
      </c>
      <c r="F54" s="31">
        <v>27061</v>
      </c>
      <c r="G54" s="31">
        <v>26628</v>
      </c>
      <c r="H54" s="31">
        <v>26157</v>
      </c>
      <c r="I54" s="31">
        <v>18600</v>
      </c>
      <c r="J54" s="31">
        <v>15059</v>
      </c>
      <c r="K54" s="31">
        <v>12948</v>
      </c>
      <c r="L54" s="31">
        <v>13230</v>
      </c>
      <c r="M54" s="31">
        <v>13684</v>
      </c>
      <c r="N54" s="31">
        <v>13651</v>
      </c>
      <c r="O54" s="31">
        <v>14308</v>
      </c>
      <c r="P54" s="31">
        <v>15423</v>
      </c>
      <c r="Q54" s="31">
        <v>17556</v>
      </c>
      <c r="R54" s="31">
        <v>19849</v>
      </c>
      <c r="S54" s="31">
        <v>28161</v>
      </c>
      <c r="T54" s="31">
        <v>33091</v>
      </c>
      <c r="U54" s="31">
        <v>35970</v>
      </c>
      <c r="V54" s="31">
        <v>36251</v>
      </c>
      <c r="W54" s="31">
        <v>35685</v>
      </c>
      <c r="X54" s="31">
        <v>35050</v>
      </c>
      <c r="Y54" s="31">
        <v>33852</v>
      </c>
      <c r="Z54" s="31">
        <v>32085</v>
      </c>
      <c r="AA54" s="21">
        <f t="shared" si="0"/>
        <v>589521</v>
      </c>
      <c r="AB54" s="22">
        <v>2</v>
      </c>
      <c r="AC54" s="21">
        <f t="shared" si="1"/>
        <v>1179042</v>
      </c>
      <c r="AD54" s="111"/>
    </row>
    <row r="55" spans="1:30" x14ac:dyDescent="0.35">
      <c r="AD55" s="39">
        <f>+SUM(AD7:AD54)</f>
        <v>262496997</v>
      </c>
    </row>
    <row r="58" spans="1:30" x14ac:dyDescent="0.35"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</sheetData>
  <mergeCells count="28">
    <mergeCell ref="AD7:AD10"/>
    <mergeCell ref="A1:D1"/>
    <mergeCell ref="A2:M2"/>
    <mergeCell ref="A4:B4"/>
    <mergeCell ref="C4:D4"/>
    <mergeCell ref="A7:A10"/>
    <mergeCell ref="A11:A14"/>
    <mergeCell ref="AD11:AD14"/>
    <mergeCell ref="A15:A18"/>
    <mergeCell ref="AD15:AD18"/>
    <mergeCell ref="A19:A22"/>
    <mergeCell ref="AD19:AD22"/>
    <mergeCell ref="A23:A26"/>
    <mergeCell ref="AD23:AD26"/>
    <mergeCell ref="A27:A30"/>
    <mergeCell ref="AD27:AD30"/>
    <mergeCell ref="A31:A34"/>
    <mergeCell ref="AD31:AD34"/>
    <mergeCell ref="A47:A50"/>
    <mergeCell ref="AD47:AD50"/>
    <mergeCell ref="A51:A54"/>
    <mergeCell ref="AD51:AD54"/>
    <mergeCell ref="A35:A38"/>
    <mergeCell ref="AD35:AD38"/>
    <mergeCell ref="A39:A42"/>
    <mergeCell ref="AD39:AD42"/>
    <mergeCell ref="A43:A46"/>
    <mergeCell ref="AD43:AD4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012A7-EE3E-4E3E-910F-92FAE58510D2}">
  <dimension ref="C1:G68"/>
  <sheetViews>
    <sheetView showGridLines="0" topLeftCell="A57" zoomScaleNormal="100" workbookViewId="0">
      <selection activeCell="F68" sqref="F68"/>
    </sheetView>
  </sheetViews>
  <sheetFormatPr baseColWidth="10" defaultRowHeight="14.5" x14ac:dyDescent="0.35"/>
  <cols>
    <col min="2" max="2" width="2.54296875" customWidth="1"/>
    <col min="4" max="4" width="15.7265625" customWidth="1"/>
    <col min="5" max="5" width="11" customWidth="1"/>
    <col min="6" max="6" width="14.54296875" bestFit="1" customWidth="1"/>
    <col min="8" max="8" width="2" customWidth="1"/>
  </cols>
  <sheetData>
    <row r="1" spans="3:7" x14ac:dyDescent="0.35">
      <c r="C1" s="105" t="s">
        <v>47</v>
      </c>
      <c r="D1" s="105"/>
      <c r="E1" s="105"/>
      <c r="F1" s="105"/>
      <c r="G1" s="105"/>
    </row>
    <row r="2" spans="3:7" x14ac:dyDescent="0.35">
      <c r="C2" s="105"/>
      <c r="D2" s="105"/>
      <c r="E2" s="105"/>
      <c r="F2" s="105"/>
      <c r="G2" s="105"/>
    </row>
    <row r="3" spans="3:7" ht="15" thickBot="1" x14ac:dyDescent="0.4"/>
    <row r="4" spans="3:7" ht="15" thickBot="1" x14ac:dyDescent="0.4">
      <c r="C4" s="126" t="s">
        <v>98</v>
      </c>
      <c r="D4" s="127"/>
      <c r="E4" s="127"/>
      <c r="F4" s="127"/>
      <c r="G4" s="128"/>
    </row>
    <row r="5" spans="3:7" ht="32" thickBot="1" x14ac:dyDescent="0.4">
      <c r="C5" s="37" t="s">
        <v>1</v>
      </c>
      <c r="D5" s="37" t="s">
        <v>8</v>
      </c>
      <c r="E5" s="37" t="s">
        <v>3</v>
      </c>
      <c r="F5" s="93" t="s">
        <v>97</v>
      </c>
      <c r="G5" s="93" t="s">
        <v>5</v>
      </c>
    </row>
    <row r="6" spans="3:7" x14ac:dyDescent="0.35">
      <c r="C6" s="73">
        <v>46388</v>
      </c>
      <c r="D6" s="77">
        <v>8725051</v>
      </c>
      <c r="E6" s="137" t="s">
        <v>3</v>
      </c>
      <c r="F6" s="139">
        <f>SUM(D6:D17)</f>
        <v>107043275</v>
      </c>
      <c r="G6" s="138" t="s">
        <v>6</v>
      </c>
    </row>
    <row r="7" spans="3:7" x14ac:dyDescent="0.35">
      <c r="C7" s="7">
        <v>46419</v>
      </c>
      <c r="D7" s="77">
        <v>9022812</v>
      </c>
      <c r="E7" s="100"/>
      <c r="F7" s="140"/>
      <c r="G7" s="103"/>
    </row>
    <row r="8" spans="3:7" x14ac:dyDescent="0.35">
      <c r="C8" s="7">
        <v>46447</v>
      </c>
      <c r="D8" s="77">
        <v>8722401</v>
      </c>
      <c r="E8" s="100"/>
      <c r="F8" s="140"/>
      <c r="G8" s="103"/>
    </row>
    <row r="9" spans="3:7" x14ac:dyDescent="0.35">
      <c r="C9" s="7">
        <v>46478</v>
      </c>
      <c r="D9" s="77">
        <v>9107066</v>
      </c>
      <c r="E9" s="100"/>
      <c r="F9" s="140"/>
      <c r="G9" s="103"/>
    </row>
    <row r="10" spans="3:7" x14ac:dyDescent="0.35">
      <c r="C10" s="7">
        <v>46508</v>
      </c>
      <c r="D10" s="77">
        <v>9224636</v>
      </c>
      <c r="E10" s="100"/>
      <c r="F10" s="140"/>
      <c r="G10" s="103"/>
    </row>
    <row r="11" spans="3:7" x14ac:dyDescent="0.35">
      <c r="C11" s="7">
        <v>46539</v>
      </c>
      <c r="D11" s="77">
        <v>9410160</v>
      </c>
      <c r="E11" s="100"/>
      <c r="F11" s="140"/>
      <c r="G11" s="103"/>
    </row>
    <row r="12" spans="3:7" x14ac:dyDescent="0.35">
      <c r="C12" s="7">
        <v>46569</v>
      </c>
      <c r="D12" s="77">
        <v>8312977</v>
      </c>
      <c r="E12" s="100"/>
      <c r="F12" s="140"/>
      <c r="G12" s="103"/>
    </row>
    <row r="13" spans="3:7" x14ac:dyDescent="0.35">
      <c r="C13" s="7">
        <v>46600</v>
      </c>
      <c r="D13" s="77">
        <v>8845409</v>
      </c>
      <c r="E13" s="100"/>
      <c r="F13" s="140"/>
      <c r="G13" s="103"/>
    </row>
    <row r="14" spans="3:7" x14ac:dyDescent="0.35">
      <c r="C14" s="7">
        <v>46631</v>
      </c>
      <c r="D14" s="77">
        <v>9157762</v>
      </c>
      <c r="E14" s="100"/>
      <c r="F14" s="140"/>
      <c r="G14" s="103"/>
    </row>
    <row r="15" spans="3:7" x14ac:dyDescent="0.35">
      <c r="C15" s="7">
        <v>46661</v>
      </c>
      <c r="D15" s="77">
        <v>9021135</v>
      </c>
      <c r="E15" s="100"/>
      <c r="F15" s="140"/>
      <c r="G15" s="103"/>
    </row>
    <row r="16" spans="3:7" x14ac:dyDescent="0.35">
      <c r="C16" s="7">
        <v>46692</v>
      </c>
      <c r="D16" s="77">
        <v>8906952</v>
      </c>
      <c r="E16" s="100"/>
      <c r="F16" s="140"/>
      <c r="G16" s="103"/>
    </row>
    <row r="17" spans="3:7" ht="15" thickBot="1" x14ac:dyDescent="0.4">
      <c r="C17" s="7">
        <v>46722</v>
      </c>
      <c r="D17" s="79">
        <v>8586914</v>
      </c>
      <c r="E17" s="101"/>
      <c r="F17" s="141"/>
      <c r="G17" s="104"/>
    </row>
    <row r="18" spans="3:7" x14ac:dyDescent="0.35">
      <c r="C18" s="73">
        <v>46753</v>
      </c>
      <c r="D18" s="78">
        <v>5189091</v>
      </c>
      <c r="E18" s="137" t="s">
        <v>3</v>
      </c>
      <c r="F18" s="139">
        <f>SUM(D18:D29)</f>
        <v>67560515</v>
      </c>
      <c r="G18" s="138" t="s">
        <v>6</v>
      </c>
    </row>
    <row r="19" spans="3:7" x14ac:dyDescent="0.35">
      <c r="C19" s="7">
        <v>46784</v>
      </c>
      <c r="D19" s="77">
        <v>5410957</v>
      </c>
      <c r="E19" s="100"/>
      <c r="F19" s="140"/>
      <c r="G19" s="103"/>
    </row>
    <row r="20" spans="3:7" x14ac:dyDescent="0.35">
      <c r="C20" s="7">
        <v>46813</v>
      </c>
      <c r="D20" s="77">
        <v>5160567</v>
      </c>
      <c r="E20" s="100"/>
      <c r="F20" s="140"/>
      <c r="G20" s="103"/>
    </row>
    <row r="21" spans="3:7" x14ac:dyDescent="0.35">
      <c r="C21" s="95">
        <v>46844</v>
      </c>
      <c r="D21" s="96">
        <v>5522251</v>
      </c>
      <c r="E21" s="100"/>
      <c r="F21" s="140"/>
      <c r="G21" s="103"/>
    </row>
    <row r="22" spans="3:7" x14ac:dyDescent="0.35">
      <c r="C22" s="7">
        <v>46874</v>
      </c>
      <c r="D22" s="77">
        <v>5625848</v>
      </c>
      <c r="E22" s="100"/>
      <c r="F22" s="140"/>
      <c r="G22" s="103"/>
    </row>
    <row r="23" spans="3:7" x14ac:dyDescent="0.35">
      <c r="C23" s="7">
        <v>46905</v>
      </c>
      <c r="D23" s="77">
        <v>5680978</v>
      </c>
      <c r="E23" s="100"/>
      <c r="F23" s="140"/>
      <c r="G23" s="103"/>
    </row>
    <row r="24" spans="3:7" x14ac:dyDescent="0.35">
      <c r="C24" s="7">
        <v>46935</v>
      </c>
      <c r="D24" s="77">
        <v>5387647</v>
      </c>
      <c r="E24" s="100"/>
      <c r="F24" s="140"/>
      <c r="G24" s="103"/>
    </row>
    <row r="25" spans="3:7" x14ac:dyDescent="0.35">
      <c r="C25" s="7">
        <v>46966</v>
      </c>
      <c r="D25" s="77">
        <v>5782330</v>
      </c>
      <c r="E25" s="100"/>
      <c r="F25" s="140"/>
      <c r="G25" s="103"/>
    </row>
    <row r="26" spans="3:7" x14ac:dyDescent="0.35">
      <c r="C26" s="7">
        <v>46997</v>
      </c>
      <c r="D26" s="77">
        <v>6135770</v>
      </c>
      <c r="E26" s="100"/>
      <c r="F26" s="140"/>
      <c r="G26" s="103"/>
    </row>
    <row r="27" spans="3:7" x14ac:dyDescent="0.35">
      <c r="C27" s="7">
        <v>47027</v>
      </c>
      <c r="D27" s="77">
        <v>6019818</v>
      </c>
      <c r="E27" s="100"/>
      <c r="F27" s="140"/>
      <c r="G27" s="103"/>
    </row>
    <row r="28" spans="3:7" x14ac:dyDescent="0.35">
      <c r="C28" s="7">
        <v>47058</v>
      </c>
      <c r="D28" s="77">
        <v>5963762</v>
      </c>
      <c r="E28" s="100"/>
      <c r="F28" s="140"/>
      <c r="G28" s="103"/>
    </row>
    <row r="29" spans="3:7" ht="15" thickBot="1" x14ac:dyDescent="0.4">
      <c r="C29" s="7">
        <v>47088</v>
      </c>
      <c r="D29" s="79">
        <v>5681496</v>
      </c>
      <c r="E29" s="101"/>
      <c r="F29" s="141"/>
      <c r="G29" s="104"/>
    </row>
    <row r="30" spans="3:7" x14ac:dyDescent="0.35">
      <c r="C30" s="73">
        <v>47119</v>
      </c>
      <c r="D30" s="78">
        <v>11826680</v>
      </c>
      <c r="E30" s="137" t="s">
        <v>3</v>
      </c>
      <c r="F30" s="139">
        <f>SUM(D30:D41)</f>
        <v>150186608</v>
      </c>
      <c r="G30" s="138" t="s">
        <v>6</v>
      </c>
    </row>
    <row r="31" spans="3:7" x14ac:dyDescent="0.35">
      <c r="C31" s="7">
        <v>47150</v>
      </c>
      <c r="D31" s="77">
        <v>12182512</v>
      </c>
      <c r="E31" s="100"/>
      <c r="F31" s="140"/>
      <c r="G31" s="103"/>
    </row>
    <row r="32" spans="3:7" x14ac:dyDescent="0.35">
      <c r="C32" s="7">
        <v>47178</v>
      </c>
      <c r="D32" s="77">
        <v>11752852</v>
      </c>
      <c r="E32" s="100"/>
      <c r="F32" s="140"/>
      <c r="G32" s="103"/>
    </row>
    <row r="33" spans="3:7" x14ac:dyDescent="0.35">
      <c r="C33" s="7">
        <v>47209</v>
      </c>
      <c r="D33" s="77">
        <v>12311398</v>
      </c>
      <c r="E33" s="100"/>
      <c r="F33" s="140"/>
      <c r="G33" s="103"/>
    </row>
    <row r="34" spans="3:7" x14ac:dyDescent="0.35">
      <c r="C34" s="7">
        <v>47239</v>
      </c>
      <c r="D34" s="77">
        <v>12519647</v>
      </c>
      <c r="E34" s="100"/>
      <c r="F34" s="140"/>
      <c r="G34" s="103"/>
    </row>
    <row r="35" spans="3:7" x14ac:dyDescent="0.35">
      <c r="C35" s="7">
        <v>47270</v>
      </c>
      <c r="D35" s="77">
        <v>12612178</v>
      </c>
      <c r="E35" s="100"/>
      <c r="F35" s="140"/>
      <c r="G35" s="103"/>
    </row>
    <row r="36" spans="3:7" x14ac:dyDescent="0.35">
      <c r="C36" s="7">
        <v>47300</v>
      </c>
      <c r="D36" s="77">
        <v>12174578</v>
      </c>
      <c r="E36" s="100"/>
      <c r="F36" s="140"/>
      <c r="G36" s="103"/>
    </row>
    <row r="37" spans="3:7" x14ac:dyDescent="0.35">
      <c r="C37" s="7">
        <v>47331</v>
      </c>
      <c r="D37" s="77">
        <v>12830120</v>
      </c>
      <c r="E37" s="100"/>
      <c r="F37" s="140"/>
      <c r="G37" s="103"/>
    </row>
    <row r="38" spans="3:7" x14ac:dyDescent="0.35">
      <c r="C38" s="7">
        <v>47362</v>
      </c>
      <c r="D38" s="77">
        <v>13273835</v>
      </c>
      <c r="E38" s="100"/>
      <c r="F38" s="140"/>
      <c r="G38" s="103"/>
    </row>
    <row r="39" spans="3:7" x14ac:dyDescent="0.35">
      <c r="C39" s="7">
        <v>47392</v>
      </c>
      <c r="D39" s="77">
        <v>13156862</v>
      </c>
      <c r="E39" s="100"/>
      <c r="F39" s="140"/>
      <c r="G39" s="103"/>
    </row>
    <row r="40" spans="3:7" x14ac:dyDescent="0.35">
      <c r="C40" s="7">
        <v>47423</v>
      </c>
      <c r="D40" s="77">
        <v>12963566</v>
      </c>
      <c r="E40" s="100"/>
      <c r="F40" s="140"/>
      <c r="G40" s="103"/>
    </row>
    <row r="41" spans="3:7" ht="15" thickBot="1" x14ac:dyDescent="0.4">
      <c r="C41" s="7">
        <v>47453</v>
      </c>
      <c r="D41" s="79">
        <v>12582380</v>
      </c>
      <c r="E41" s="101"/>
      <c r="F41" s="141"/>
      <c r="G41" s="104"/>
    </row>
    <row r="42" spans="3:7" x14ac:dyDescent="0.35">
      <c r="C42" s="73">
        <v>47484</v>
      </c>
      <c r="D42" s="78">
        <v>6951541</v>
      </c>
      <c r="E42" s="137" t="s">
        <v>3</v>
      </c>
      <c r="F42" s="139">
        <f>SUM(D42:D53)</f>
        <v>87518938</v>
      </c>
      <c r="G42" s="138" t="s">
        <v>6</v>
      </c>
    </row>
    <row r="43" spans="3:7" x14ac:dyDescent="0.35">
      <c r="C43" s="7">
        <v>47515</v>
      </c>
      <c r="D43" s="77">
        <v>7072136</v>
      </c>
      <c r="E43" s="100"/>
      <c r="F43" s="140"/>
      <c r="G43" s="103"/>
    </row>
    <row r="44" spans="3:7" x14ac:dyDescent="0.35">
      <c r="C44" s="7">
        <v>47543</v>
      </c>
      <c r="D44" s="77">
        <v>6909161</v>
      </c>
      <c r="E44" s="100"/>
      <c r="F44" s="140"/>
      <c r="G44" s="103"/>
    </row>
    <row r="45" spans="3:7" x14ac:dyDescent="0.35">
      <c r="C45" s="7">
        <v>47574</v>
      </c>
      <c r="D45" s="77">
        <v>7184884</v>
      </c>
      <c r="E45" s="100"/>
      <c r="F45" s="140"/>
      <c r="G45" s="103"/>
    </row>
    <row r="46" spans="3:7" x14ac:dyDescent="0.35">
      <c r="C46" s="7">
        <v>47604</v>
      </c>
      <c r="D46" s="77">
        <v>7305753</v>
      </c>
      <c r="E46" s="100"/>
      <c r="F46" s="140"/>
      <c r="G46" s="103"/>
    </row>
    <row r="47" spans="3:7" x14ac:dyDescent="0.35">
      <c r="C47" s="7">
        <v>47635</v>
      </c>
      <c r="D47" s="77">
        <v>7344025</v>
      </c>
      <c r="E47" s="100"/>
      <c r="F47" s="140"/>
      <c r="G47" s="103"/>
    </row>
    <row r="48" spans="3:7" x14ac:dyDescent="0.35">
      <c r="C48" s="7">
        <v>47665</v>
      </c>
      <c r="D48" s="77">
        <v>7133842</v>
      </c>
      <c r="E48" s="100"/>
      <c r="F48" s="140"/>
      <c r="G48" s="103"/>
    </row>
    <row r="49" spans="3:7" x14ac:dyDescent="0.35">
      <c r="C49" s="7">
        <v>47696</v>
      </c>
      <c r="D49" s="77">
        <v>7473780</v>
      </c>
      <c r="E49" s="100"/>
      <c r="F49" s="140"/>
      <c r="G49" s="103"/>
    </row>
    <row r="50" spans="3:7" x14ac:dyDescent="0.35">
      <c r="C50" s="7">
        <v>47727</v>
      </c>
      <c r="D50" s="77">
        <v>7672485</v>
      </c>
      <c r="E50" s="100"/>
      <c r="F50" s="140"/>
      <c r="G50" s="103"/>
    </row>
    <row r="51" spans="3:7" x14ac:dyDescent="0.35">
      <c r="C51" s="7">
        <v>47757</v>
      </c>
      <c r="D51" s="77">
        <v>7629882</v>
      </c>
      <c r="E51" s="100"/>
      <c r="F51" s="140"/>
      <c r="G51" s="103"/>
    </row>
    <row r="52" spans="3:7" x14ac:dyDescent="0.35">
      <c r="C52" s="7">
        <v>47788</v>
      </c>
      <c r="D52" s="77">
        <v>7508937</v>
      </c>
      <c r="E52" s="100"/>
      <c r="F52" s="140"/>
      <c r="G52" s="103"/>
    </row>
    <row r="53" spans="3:7" ht="15" thickBot="1" x14ac:dyDescent="0.4">
      <c r="C53" s="95">
        <v>47818</v>
      </c>
      <c r="D53" s="97">
        <v>7332512</v>
      </c>
      <c r="E53" s="101"/>
      <c r="F53" s="141"/>
      <c r="G53" s="104"/>
    </row>
    <row r="54" spans="3:7" x14ac:dyDescent="0.35">
      <c r="C54" s="73">
        <v>47849</v>
      </c>
      <c r="D54" s="80">
        <v>6958871</v>
      </c>
      <c r="E54" s="137" t="s">
        <v>3</v>
      </c>
      <c r="F54" s="139">
        <f>SUM(D54:D65)</f>
        <v>87508721</v>
      </c>
      <c r="G54" s="138" t="s">
        <v>6</v>
      </c>
    </row>
    <row r="55" spans="3:7" x14ac:dyDescent="0.35">
      <c r="C55" s="7">
        <v>47880</v>
      </c>
      <c r="D55" s="77">
        <v>7075888</v>
      </c>
      <c r="E55" s="100"/>
      <c r="F55" s="140"/>
      <c r="G55" s="103"/>
    </row>
    <row r="56" spans="3:7" x14ac:dyDescent="0.35">
      <c r="C56" s="7">
        <v>47908</v>
      </c>
      <c r="D56" s="77">
        <v>6917680</v>
      </c>
      <c r="E56" s="100"/>
      <c r="F56" s="140"/>
      <c r="G56" s="103"/>
    </row>
    <row r="57" spans="3:7" x14ac:dyDescent="0.35">
      <c r="C57" s="7">
        <v>47939</v>
      </c>
      <c r="D57" s="77">
        <v>7209944</v>
      </c>
      <c r="E57" s="100"/>
      <c r="F57" s="140"/>
      <c r="G57" s="103"/>
    </row>
    <row r="58" spans="3:7" x14ac:dyDescent="0.35">
      <c r="C58" s="7">
        <v>47969</v>
      </c>
      <c r="D58" s="77">
        <v>7301861</v>
      </c>
      <c r="E58" s="100"/>
      <c r="F58" s="140"/>
      <c r="G58" s="103"/>
    </row>
    <row r="59" spans="3:7" x14ac:dyDescent="0.35">
      <c r="C59" s="7">
        <v>48000</v>
      </c>
      <c r="D59" s="77">
        <v>7339407</v>
      </c>
      <c r="E59" s="100"/>
      <c r="F59" s="140"/>
      <c r="G59" s="103"/>
    </row>
    <row r="60" spans="3:7" x14ac:dyDescent="0.35">
      <c r="C60" s="7">
        <v>48030</v>
      </c>
      <c r="D60" s="77">
        <v>7136552</v>
      </c>
      <c r="E60" s="100"/>
      <c r="F60" s="140"/>
      <c r="G60" s="103"/>
    </row>
    <row r="61" spans="3:7" x14ac:dyDescent="0.35">
      <c r="C61" s="7">
        <v>48061</v>
      </c>
      <c r="D61" s="77">
        <v>7464920</v>
      </c>
      <c r="E61" s="100"/>
      <c r="F61" s="140"/>
      <c r="G61" s="103"/>
    </row>
    <row r="62" spans="3:7" x14ac:dyDescent="0.35">
      <c r="C62" s="7">
        <v>48092</v>
      </c>
      <c r="D62" s="77">
        <v>7659194</v>
      </c>
      <c r="E62" s="100"/>
      <c r="F62" s="140"/>
      <c r="G62" s="103"/>
    </row>
    <row r="63" spans="3:7" x14ac:dyDescent="0.35">
      <c r="C63" s="7">
        <v>48122</v>
      </c>
      <c r="D63" s="77">
        <v>7617119</v>
      </c>
      <c r="E63" s="100"/>
      <c r="F63" s="140"/>
      <c r="G63" s="103"/>
    </row>
    <row r="64" spans="3:7" x14ac:dyDescent="0.35">
      <c r="C64" s="7">
        <v>48153</v>
      </c>
      <c r="D64" s="77">
        <v>7499040</v>
      </c>
      <c r="E64" s="100"/>
      <c r="F64" s="140"/>
      <c r="G64" s="103"/>
    </row>
    <row r="65" spans="3:7" ht="15" thickBot="1" x14ac:dyDescent="0.4">
      <c r="C65" s="9">
        <v>48183</v>
      </c>
      <c r="D65" s="81">
        <v>7328245</v>
      </c>
      <c r="E65" s="101"/>
      <c r="F65" s="141"/>
      <c r="G65" s="104"/>
    </row>
    <row r="66" spans="3:7" ht="15" thickBot="1" x14ac:dyDescent="0.4">
      <c r="F66" s="83">
        <f>SUM(F6:F65)</f>
        <v>499818057</v>
      </c>
    </row>
    <row r="68" spans="3:7" x14ac:dyDescent="0.35">
      <c r="F68" s="26"/>
    </row>
  </sheetData>
  <mergeCells count="17">
    <mergeCell ref="G54:G65"/>
    <mergeCell ref="E30:E41"/>
    <mergeCell ref="E42:E53"/>
    <mergeCell ref="E54:E65"/>
    <mergeCell ref="F30:F41"/>
    <mergeCell ref="F42:F53"/>
    <mergeCell ref="F54:F65"/>
    <mergeCell ref="G30:G41"/>
    <mergeCell ref="G42:G53"/>
    <mergeCell ref="C1:G2"/>
    <mergeCell ref="C4:G4"/>
    <mergeCell ref="E6:E17"/>
    <mergeCell ref="G6:G17"/>
    <mergeCell ref="E18:E29"/>
    <mergeCell ref="G18:G29"/>
    <mergeCell ref="F6:F17"/>
    <mergeCell ref="F18:F29"/>
  </mergeCells>
  <pageMargins left="0.7" right="0.7" top="0.75" bottom="0.75" header="0.3" footer="0.3"/>
  <ignoredErrors>
    <ignoredError sqref="F6:F6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8E388-D508-4C26-9DCF-87DBD5DC6FCC}">
  <dimension ref="A1:EZ54"/>
  <sheetViews>
    <sheetView showGridLines="0" topLeftCell="CZ30" zoomScale="70" zoomScaleNormal="70" workbookViewId="0">
      <selection activeCell="CQ1" sqref="CQ1:DT54"/>
    </sheetView>
  </sheetViews>
  <sheetFormatPr baseColWidth="10" defaultRowHeight="14.5" x14ac:dyDescent="0.35"/>
  <cols>
    <col min="30" max="30" width="12.1796875" bestFit="1" customWidth="1"/>
    <col min="61" max="61" width="11.1796875" bestFit="1" customWidth="1"/>
    <col min="92" max="92" width="12.1796875" bestFit="1" customWidth="1"/>
    <col min="124" max="124" width="11.1796875" bestFit="1" customWidth="1"/>
    <col min="156" max="156" width="11.1796875" bestFit="1" customWidth="1"/>
  </cols>
  <sheetData>
    <row r="1" spans="1:156" x14ac:dyDescent="0.35">
      <c r="A1" s="135" t="s">
        <v>12</v>
      </c>
      <c r="B1" s="135"/>
      <c r="C1" s="135"/>
      <c r="D1" s="135"/>
      <c r="E1" s="27"/>
      <c r="F1" s="27"/>
      <c r="G1" s="27"/>
      <c r="H1" s="27"/>
      <c r="I1" s="27"/>
      <c r="J1" s="27"/>
      <c r="K1" s="27"/>
      <c r="L1" s="27"/>
      <c r="M1" s="27"/>
      <c r="AF1" s="135" t="s">
        <v>12</v>
      </c>
      <c r="AG1" s="135"/>
      <c r="AH1" s="135"/>
      <c r="AI1" s="135"/>
      <c r="AJ1" s="27"/>
      <c r="AK1" s="27"/>
      <c r="AL1" s="27"/>
      <c r="AM1" s="27"/>
      <c r="AN1" s="27"/>
      <c r="AO1" s="27"/>
      <c r="AP1" s="27"/>
      <c r="AQ1" s="27"/>
      <c r="AR1" s="27"/>
      <c r="BK1" s="135" t="s">
        <v>12</v>
      </c>
      <c r="BL1" s="135"/>
      <c r="BM1" s="135"/>
      <c r="BN1" s="135"/>
      <c r="BO1" s="27"/>
      <c r="BP1" s="27"/>
      <c r="BQ1" s="27"/>
      <c r="BR1" s="27"/>
      <c r="BS1" s="27"/>
      <c r="BT1" s="27"/>
      <c r="BU1" s="27"/>
      <c r="BV1" s="27"/>
      <c r="BW1" s="27"/>
      <c r="CQ1" s="135" t="s">
        <v>12</v>
      </c>
      <c r="CR1" s="135"/>
      <c r="CS1" s="135"/>
      <c r="CT1" s="135"/>
      <c r="CU1" s="27"/>
      <c r="CV1" s="27"/>
      <c r="CW1" s="27"/>
      <c r="CX1" s="27"/>
      <c r="CY1" s="27"/>
      <c r="CZ1" s="27"/>
      <c r="DA1" s="27"/>
      <c r="DB1" s="27"/>
      <c r="DC1" s="27"/>
      <c r="DW1" s="135" t="s">
        <v>12</v>
      </c>
      <c r="DX1" s="135"/>
      <c r="DY1" s="135"/>
      <c r="DZ1" s="135"/>
      <c r="EA1" s="27"/>
      <c r="EB1" s="27"/>
      <c r="EC1" s="27"/>
      <c r="ED1" s="27"/>
      <c r="EE1" s="27"/>
      <c r="EF1" s="27"/>
      <c r="EG1" s="27"/>
      <c r="EH1" s="27"/>
      <c r="EI1" s="27"/>
    </row>
    <row r="2" spans="1:156" x14ac:dyDescent="0.35">
      <c r="A2" s="142" t="s">
        <v>47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AF2" s="142" t="s">
        <v>47</v>
      </c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BK2" s="142" t="s">
        <v>47</v>
      </c>
      <c r="BL2" s="142"/>
      <c r="BM2" s="142"/>
      <c r="BN2" s="142"/>
      <c r="BO2" s="142"/>
      <c r="BP2" s="142"/>
      <c r="BQ2" s="142"/>
      <c r="BR2" s="142"/>
      <c r="BS2" s="142"/>
      <c r="BT2" s="142"/>
      <c r="BU2" s="142"/>
      <c r="BV2" s="142"/>
      <c r="BW2" s="142"/>
      <c r="CQ2" s="142" t="s">
        <v>47</v>
      </c>
      <c r="CR2" s="142"/>
      <c r="CS2" s="142"/>
      <c r="CT2" s="142"/>
      <c r="CU2" s="142"/>
      <c r="CV2" s="142"/>
      <c r="CW2" s="142"/>
      <c r="CX2" s="142"/>
      <c r="CY2" s="142"/>
      <c r="CZ2" s="142"/>
      <c r="DA2" s="142"/>
      <c r="DB2" s="142"/>
      <c r="DC2" s="142"/>
      <c r="DW2" s="142" t="s">
        <v>47</v>
      </c>
      <c r="DX2" s="142"/>
      <c r="DY2" s="142"/>
      <c r="DZ2" s="142"/>
      <c r="EA2" s="142"/>
      <c r="EB2" s="142"/>
      <c r="EC2" s="142"/>
      <c r="ED2" s="142"/>
      <c r="EE2" s="142"/>
      <c r="EF2" s="142"/>
      <c r="EG2" s="142"/>
      <c r="EH2" s="142"/>
      <c r="EI2" s="142"/>
    </row>
    <row r="3" spans="1:156" x14ac:dyDescent="0.35">
      <c r="A3" s="114" t="s">
        <v>13</v>
      </c>
      <c r="B3" s="115"/>
      <c r="C3" s="41">
        <f>+AD54</f>
        <v>107043275</v>
      </c>
      <c r="D3" s="42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47">
        <v>100000000</v>
      </c>
      <c r="AF3" s="114" t="s">
        <v>13</v>
      </c>
      <c r="AG3" s="115"/>
      <c r="AH3" s="41">
        <f>+BI54</f>
        <v>67560515</v>
      </c>
      <c r="AI3" s="42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47">
        <v>100000000</v>
      </c>
      <c r="BK3" s="114" t="s">
        <v>13</v>
      </c>
      <c r="BL3" s="115"/>
      <c r="BM3" s="41">
        <f>+CN54</f>
        <v>150186608</v>
      </c>
      <c r="BN3" s="42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47">
        <v>100000000</v>
      </c>
      <c r="CQ3" s="114" t="s">
        <v>13</v>
      </c>
      <c r="CR3" s="115"/>
      <c r="CS3" s="41">
        <f>+DT54</f>
        <v>87518938</v>
      </c>
      <c r="CT3" s="42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47">
        <v>100000000</v>
      </c>
      <c r="DW3" s="114" t="s">
        <v>13</v>
      </c>
      <c r="DX3" s="115"/>
      <c r="DY3" s="41">
        <f>+EZ54</f>
        <v>87508721</v>
      </c>
      <c r="DZ3" s="42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47">
        <v>100000000</v>
      </c>
    </row>
    <row r="4" spans="1:156" x14ac:dyDescent="0.35">
      <c r="A4" s="15" t="s">
        <v>1</v>
      </c>
      <c r="B4" s="16" t="s">
        <v>14</v>
      </c>
      <c r="C4" s="15" t="s">
        <v>15</v>
      </c>
      <c r="D4" s="15" t="s">
        <v>16</v>
      </c>
      <c r="E4" s="15" t="s">
        <v>17</v>
      </c>
      <c r="F4" s="15" t="s">
        <v>18</v>
      </c>
      <c r="G4" s="15" t="s">
        <v>19</v>
      </c>
      <c r="H4" s="15" t="s">
        <v>20</v>
      </c>
      <c r="I4" s="15" t="s">
        <v>21</v>
      </c>
      <c r="J4" s="15" t="s">
        <v>22</v>
      </c>
      <c r="K4" s="15" t="s">
        <v>23</v>
      </c>
      <c r="L4" s="15" t="s">
        <v>24</v>
      </c>
      <c r="M4" s="15" t="s">
        <v>25</v>
      </c>
      <c r="N4" s="15" t="s">
        <v>26</v>
      </c>
      <c r="O4" s="15" t="s">
        <v>27</v>
      </c>
      <c r="P4" s="15" t="s">
        <v>28</v>
      </c>
      <c r="Q4" s="15" t="s">
        <v>29</v>
      </c>
      <c r="R4" s="15" t="s">
        <v>30</v>
      </c>
      <c r="S4" s="15" t="s">
        <v>31</v>
      </c>
      <c r="T4" s="15" t="s">
        <v>32</v>
      </c>
      <c r="U4" s="15" t="s">
        <v>33</v>
      </c>
      <c r="V4" s="15" t="s">
        <v>34</v>
      </c>
      <c r="W4" s="15" t="s">
        <v>35</v>
      </c>
      <c r="X4" s="15" t="s">
        <v>36</v>
      </c>
      <c r="Y4" s="15" t="s">
        <v>37</v>
      </c>
      <c r="Z4" s="15" t="s">
        <v>38</v>
      </c>
      <c r="AA4" s="15" t="s">
        <v>39</v>
      </c>
      <c r="AB4" s="15" t="s">
        <v>40</v>
      </c>
      <c r="AC4" s="15" t="s">
        <v>41</v>
      </c>
      <c r="AD4" s="15" t="s">
        <v>42</v>
      </c>
      <c r="AF4" s="15" t="s">
        <v>1</v>
      </c>
      <c r="AG4" s="16" t="s">
        <v>14</v>
      </c>
      <c r="AH4" s="15" t="s">
        <v>15</v>
      </c>
      <c r="AI4" s="15" t="s">
        <v>16</v>
      </c>
      <c r="AJ4" s="15" t="s">
        <v>17</v>
      </c>
      <c r="AK4" s="15" t="s">
        <v>18</v>
      </c>
      <c r="AL4" s="15" t="s">
        <v>19</v>
      </c>
      <c r="AM4" s="15" t="s">
        <v>20</v>
      </c>
      <c r="AN4" s="15" t="s">
        <v>21</v>
      </c>
      <c r="AO4" s="15" t="s">
        <v>22</v>
      </c>
      <c r="AP4" s="15" t="s">
        <v>23</v>
      </c>
      <c r="AQ4" s="15" t="s">
        <v>24</v>
      </c>
      <c r="AR4" s="15" t="s">
        <v>25</v>
      </c>
      <c r="AS4" s="15" t="s">
        <v>26</v>
      </c>
      <c r="AT4" s="15" t="s">
        <v>27</v>
      </c>
      <c r="AU4" s="15" t="s">
        <v>28</v>
      </c>
      <c r="AV4" s="15" t="s">
        <v>29</v>
      </c>
      <c r="AW4" s="15" t="s">
        <v>30</v>
      </c>
      <c r="AX4" s="15" t="s">
        <v>31</v>
      </c>
      <c r="AY4" s="15" t="s">
        <v>32</v>
      </c>
      <c r="AZ4" s="15" t="s">
        <v>33</v>
      </c>
      <c r="BA4" s="15" t="s">
        <v>34</v>
      </c>
      <c r="BB4" s="15" t="s">
        <v>35</v>
      </c>
      <c r="BC4" s="15" t="s">
        <v>36</v>
      </c>
      <c r="BD4" s="15" t="s">
        <v>37</v>
      </c>
      <c r="BE4" s="15" t="s">
        <v>38</v>
      </c>
      <c r="BF4" s="15" t="s">
        <v>39</v>
      </c>
      <c r="BG4" s="15" t="s">
        <v>40</v>
      </c>
      <c r="BH4" s="15" t="s">
        <v>41</v>
      </c>
      <c r="BI4" s="15" t="s">
        <v>42</v>
      </c>
      <c r="BK4" s="15" t="s">
        <v>1</v>
      </c>
      <c r="BL4" s="16" t="s">
        <v>14</v>
      </c>
      <c r="BM4" s="15" t="s">
        <v>15</v>
      </c>
      <c r="BN4" s="15" t="s">
        <v>16</v>
      </c>
      <c r="BO4" s="15" t="s">
        <v>17</v>
      </c>
      <c r="BP4" s="15" t="s">
        <v>18</v>
      </c>
      <c r="BQ4" s="15" t="s">
        <v>19</v>
      </c>
      <c r="BR4" s="15" t="s">
        <v>20</v>
      </c>
      <c r="BS4" s="15" t="s">
        <v>21</v>
      </c>
      <c r="BT4" s="15" t="s">
        <v>22</v>
      </c>
      <c r="BU4" s="15" t="s">
        <v>23</v>
      </c>
      <c r="BV4" s="15" t="s">
        <v>24</v>
      </c>
      <c r="BW4" s="15" t="s">
        <v>25</v>
      </c>
      <c r="BX4" s="15" t="s">
        <v>26</v>
      </c>
      <c r="BY4" s="15" t="s">
        <v>27</v>
      </c>
      <c r="BZ4" s="15" t="s">
        <v>28</v>
      </c>
      <c r="CA4" s="15" t="s">
        <v>29</v>
      </c>
      <c r="CB4" s="15" t="s">
        <v>30</v>
      </c>
      <c r="CC4" s="15" t="s">
        <v>31</v>
      </c>
      <c r="CD4" s="15" t="s">
        <v>32</v>
      </c>
      <c r="CE4" s="15" t="s">
        <v>33</v>
      </c>
      <c r="CF4" s="15" t="s">
        <v>34</v>
      </c>
      <c r="CG4" s="15" t="s">
        <v>35</v>
      </c>
      <c r="CH4" s="15" t="s">
        <v>36</v>
      </c>
      <c r="CI4" s="15" t="s">
        <v>37</v>
      </c>
      <c r="CJ4" s="15" t="s">
        <v>38</v>
      </c>
      <c r="CK4" s="15" t="s">
        <v>39</v>
      </c>
      <c r="CL4" s="15" t="s">
        <v>40</v>
      </c>
      <c r="CM4" s="15" t="s">
        <v>41</v>
      </c>
      <c r="CN4" s="15" t="s">
        <v>42</v>
      </c>
      <c r="CQ4" s="15" t="s">
        <v>1</v>
      </c>
      <c r="CR4" s="16" t="s">
        <v>14</v>
      </c>
      <c r="CS4" s="15" t="s">
        <v>15</v>
      </c>
      <c r="CT4" s="15" t="s">
        <v>16</v>
      </c>
      <c r="CU4" s="15" t="s">
        <v>17</v>
      </c>
      <c r="CV4" s="15" t="s">
        <v>18</v>
      </c>
      <c r="CW4" s="15" t="s">
        <v>19</v>
      </c>
      <c r="CX4" s="15" t="s">
        <v>20</v>
      </c>
      <c r="CY4" s="15" t="s">
        <v>21</v>
      </c>
      <c r="CZ4" s="15" t="s">
        <v>22</v>
      </c>
      <c r="DA4" s="15" t="s">
        <v>23</v>
      </c>
      <c r="DB4" s="15" t="s">
        <v>24</v>
      </c>
      <c r="DC4" s="15" t="s">
        <v>25</v>
      </c>
      <c r="DD4" s="15" t="s">
        <v>26</v>
      </c>
      <c r="DE4" s="15" t="s">
        <v>27</v>
      </c>
      <c r="DF4" s="15" t="s">
        <v>28</v>
      </c>
      <c r="DG4" s="15" t="s">
        <v>29</v>
      </c>
      <c r="DH4" s="15" t="s">
        <v>30</v>
      </c>
      <c r="DI4" s="15" t="s">
        <v>31</v>
      </c>
      <c r="DJ4" s="15" t="s">
        <v>32</v>
      </c>
      <c r="DK4" s="15" t="s">
        <v>33</v>
      </c>
      <c r="DL4" s="15" t="s">
        <v>34</v>
      </c>
      <c r="DM4" s="15" t="s">
        <v>35</v>
      </c>
      <c r="DN4" s="15" t="s">
        <v>36</v>
      </c>
      <c r="DO4" s="15" t="s">
        <v>37</v>
      </c>
      <c r="DP4" s="15" t="s">
        <v>38</v>
      </c>
      <c r="DQ4" s="15" t="s">
        <v>39</v>
      </c>
      <c r="DR4" s="15" t="s">
        <v>40</v>
      </c>
      <c r="DS4" s="15" t="s">
        <v>41</v>
      </c>
      <c r="DT4" s="15" t="s">
        <v>42</v>
      </c>
      <c r="DW4" s="15" t="s">
        <v>1</v>
      </c>
      <c r="DX4" s="16" t="s">
        <v>14</v>
      </c>
      <c r="DY4" s="15" t="s">
        <v>15</v>
      </c>
      <c r="DZ4" s="15" t="s">
        <v>16</v>
      </c>
      <c r="EA4" s="15" t="s">
        <v>17</v>
      </c>
      <c r="EB4" s="15" t="s">
        <v>18</v>
      </c>
      <c r="EC4" s="15" t="s">
        <v>19</v>
      </c>
      <c r="ED4" s="15" t="s">
        <v>20</v>
      </c>
      <c r="EE4" s="15" t="s">
        <v>21</v>
      </c>
      <c r="EF4" s="15" t="s">
        <v>22</v>
      </c>
      <c r="EG4" s="15" t="s">
        <v>23</v>
      </c>
      <c r="EH4" s="15" t="s">
        <v>24</v>
      </c>
      <c r="EI4" s="15" t="s">
        <v>25</v>
      </c>
      <c r="EJ4" s="15" t="s">
        <v>26</v>
      </c>
      <c r="EK4" s="15" t="s">
        <v>27</v>
      </c>
      <c r="EL4" s="15" t="s">
        <v>28</v>
      </c>
      <c r="EM4" s="15" t="s">
        <v>29</v>
      </c>
      <c r="EN4" s="15" t="s">
        <v>30</v>
      </c>
      <c r="EO4" s="15" t="s">
        <v>31</v>
      </c>
      <c r="EP4" s="15" t="s">
        <v>32</v>
      </c>
      <c r="EQ4" s="15" t="s">
        <v>33</v>
      </c>
      <c r="ER4" s="15" t="s">
        <v>34</v>
      </c>
      <c r="ES4" s="15" t="s">
        <v>35</v>
      </c>
      <c r="ET4" s="15" t="s">
        <v>36</v>
      </c>
      <c r="EU4" s="15" t="s">
        <v>37</v>
      </c>
      <c r="EV4" s="15" t="s">
        <v>38</v>
      </c>
      <c r="EW4" s="15" t="s">
        <v>39</v>
      </c>
      <c r="EX4" s="15" t="s">
        <v>40</v>
      </c>
      <c r="EY4" s="15" t="s">
        <v>41</v>
      </c>
      <c r="EZ4" s="15" t="s">
        <v>42</v>
      </c>
    </row>
    <row r="5" spans="1:156" ht="15" thickBot="1" x14ac:dyDescent="0.4">
      <c r="A5" s="17"/>
      <c r="B5" s="18"/>
      <c r="C5" s="17"/>
      <c r="D5" s="17"/>
      <c r="E5" s="17"/>
      <c r="F5" s="17"/>
      <c r="G5" s="17"/>
      <c r="H5" s="17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F5" s="17"/>
      <c r="AG5" s="18"/>
      <c r="AH5" s="17"/>
      <c r="AI5" s="17"/>
      <c r="AJ5" s="17"/>
      <c r="AK5" s="17"/>
      <c r="AL5" s="17"/>
      <c r="AM5" s="17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K5" s="17"/>
      <c r="BL5" s="18"/>
      <c r="BM5" s="17"/>
      <c r="BN5" s="17"/>
      <c r="BO5" s="17"/>
      <c r="BP5" s="17"/>
      <c r="BQ5" s="17"/>
      <c r="BR5" s="17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Q5" s="17"/>
      <c r="CR5" s="18"/>
      <c r="CS5" s="17"/>
      <c r="CT5" s="17"/>
      <c r="CU5" s="17"/>
      <c r="CV5" s="17"/>
      <c r="CW5" s="17"/>
      <c r="CX5" s="17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W5" s="17"/>
      <c r="DX5" s="18"/>
      <c r="DY5" s="17"/>
      <c r="DZ5" s="17"/>
      <c r="EA5" s="17"/>
      <c r="EB5" s="17"/>
      <c r="EC5" s="17"/>
      <c r="ED5" s="17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</row>
    <row r="6" spans="1:156" x14ac:dyDescent="0.35">
      <c r="A6" s="106">
        <v>46388</v>
      </c>
      <c r="B6" s="19" t="s">
        <v>43</v>
      </c>
      <c r="C6" s="21">
        <v>13405</v>
      </c>
      <c r="D6" s="21">
        <v>12922</v>
      </c>
      <c r="E6" s="21">
        <v>12447</v>
      </c>
      <c r="F6" s="21">
        <v>12098</v>
      </c>
      <c r="G6" s="21">
        <v>11989</v>
      </c>
      <c r="H6" s="21">
        <v>12200</v>
      </c>
      <c r="I6" s="21">
        <v>12520</v>
      </c>
      <c r="J6" s="21">
        <v>7878</v>
      </c>
      <c r="K6" s="21">
        <v>9046</v>
      </c>
      <c r="L6" s="21">
        <v>9895</v>
      </c>
      <c r="M6" s="21">
        <v>10628</v>
      </c>
      <c r="N6" s="21">
        <v>11063</v>
      </c>
      <c r="O6" s="21">
        <v>10338</v>
      </c>
      <c r="P6" s="21">
        <v>11244</v>
      </c>
      <c r="Q6" s="21">
        <v>12444</v>
      </c>
      <c r="R6" s="21">
        <v>12655</v>
      </c>
      <c r="S6" s="21">
        <v>12277</v>
      </c>
      <c r="T6" s="21">
        <v>14662</v>
      </c>
      <c r="U6" s="21">
        <v>15072</v>
      </c>
      <c r="V6" s="21">
        <v>14804</v>
      </c>
      <c r="W6" s="21">
        <v>14512</v>
      </c>
      <c r="X6" s="21">
        <v>14157</v>
      </c>
      <c r="Y6" s="21">
        <v>13475</v>
      </c>
      <c r="Z6" s="21">
        <v>12563</v>
      </c>
      <c r="AA6" s="21">
        <f>+SUM(C6:Z6)</f>
        <v>294294</v>
      </c>
      <c r="AB6" s="22">
        <v>19</v>
      </c>
      <c r="AC6" s="21">
        <f>+AB6*AA6</f>
        <v>5591586</v>
      </c>
      <c r="AD6" s="109">
        <f>+SUM(AC6:AC9)</f>
        <v>8725051</v>
      </c>
      <c r="AF6" s="106">
        <v>46753</v>
      </c>
      <c r="AG6" s="19" t="s">
        <v>43</v>
      </c>
      <c r="AH6" s="21">
        <v>8886</v>
      </c>
      <c r="AI6" s="21">
        <v>8470</v>
      </c>
      <c r="AJ6" s="21">
        <v>8102</v>
      </c>
      <c r="AK6" s="21">
        <v>7819</v>
      </c>
      <c r="AL6" s="21">
        <v>7714</v>
      </c>
      <c r="AM6" s="21">
        <v>7822</v>
      </c>
      <c r="AN6" s="21">
        <v>2076</v>
      </c>
      <c r="AO6" s="21">
        <v>2890</v>
      </c>
      <c r="AP6" s="21">
        <v>2309</v>
      </c>
      <c r="AQ6" s="21">
        <v>2522</v>
      </c>
      <c r="AR6" s="21">
        <v>2931</v>
      </c>
      <c r="AS6" s="21">
        <v>2962</v>
      </c>
      <c r="AT6" s="21">
        <v>2636</v>
      </c>
      <c r="AU6" s="21">
        <v>4011</v>
      </c>
      <c r="AV6" s="21">
        <v>6227</v>
      </c>
      <c r="AW6" s="21">
        <v>7774</v>
      </c>
      <c r="AX6" s="21">
        <v>14037</v>
      </c>
      <c r="AY6" s="21">
        <v>11673</v>
      </c>
      <c r="AZ6" s="21">
        <v>12029</v>
      </c>
      <c r="BA6" s="21">
        <v>11882</v>
      </c>
      <c r="BB6" s="21">
        <v>11750</v>
      </c>
      <c r="BC6" s="21">
        <v>11527</v>
      </c>
      <c r="BD6" s="21">
        <v>10968</v>
      </c>
      <c r="BE6" s="21">
        <v>10201</v>
      </c>
      <c r="BF6" s="21">
        <f>+SUM(AH6:BE6)</f>
        <v>179218</v>
      </c>
      <c r="BG6" s="48">
        <v>20</v>
      </c>
      <c r="BH6" s="21">
        <f>+BG6*BF6</f>
        <v>3584360</v>
      </c>
      <c r="BI6" s="109">
        <f>+SUM(BH6:BH9)</f>
        <v>5189091</v>
      </c>
      <c r="BK6" s="106">
        <v>47119</v>
      </c>
      <c r="BL6" s="19" t="s">
        <v>43</v>
      </c>
      <c r="BM6" s="21">
        <v>17860</v>
      </c>
      <c r="BN6" s="21">
        <v>17023</v>
      </c>
      <c r="BO6" s="21">
        <v>16361</v>
      </c>
      <c r="BP6" s="21">
        <v>15875</v>
      </c>
      <c r="BQ6" s="21">
        <v>15723</v>
      </c>
      <c r="BR6" s="21">
        <v>16020</v>
      </c>
      <c r="BS6" s="21">
        <v>10906</v>
      </c>
      <c r="BT6" s="21">
        <v>9399</v>
      </c>
      <c r="BU6" s="21">
        <v>9428</v>
      </c>
      <c r="BV6" s="21">
        <v>9946</v>
      </c>
      <c r="BW6" s="21">
        <v>10706</v>
      </c>
      <c r="BX6" s="21">
        <v>10880</v>
      </c>
      <c r="BY6" s="21">
        <v>10169</v>
      </c>
      <c r="BZ6" s="21">
        <v>12052</v>
      </c>
      <c r="CA6" s="21">
        <v>15064</v>
      </c>
      <c r="CB6" s="21">
        <v>16965</v>
      </c>
      <c r="CC6" s="21">
        <v>22802</v>
      </c>
      <c r="CD6" s="21">
        <v>23521</v>
      </c>
      <c r="CE6" s="21">
        <v>24323</v>
      </c>
      <c r="CF6" s="21">
        <v>24051</v>
      </c>
      <c r="CG6" s="21">
        <v>23689</v>
      </c>
      <c r="CH6" s="21">
        <v>23098</v>
      </c>
      <c r="CI6" s="21">
        <v>21896</v>
      </c>
      <c r="CJ6" s="21">
        <v>20303</v>
      </c>
      <c r="CK6" s="21">
        <f>+SUM(BM6:CJ6)</f>
        <v>398060</v>
      </c>
      <c r="CL6" s="48">
        <v>21</v>
      </c>
      <c r="CM6" s="21">
        <f>+CL6*CK6</f>
        <v>8359260</v>
      </c>
      <c r="CN6" s="109">
        <f>+SUM(CM6:CM9)</f>
        <v>11826680</v>
      </c>
      <c r="CQ6" s="106">
        <v>47484</v>
      </c>
      <c r="CR6" s="19" t="s">
        <v>43</v>
      </c>
      <c r="CS6" s="21">
        <v>10208</v>
      </c>
      <c r="CT6" s="21">
        <v>9762</v>
      </c>
      <c r="CU6" s="21">
        <v>9411</v>
      </c>
      <c r="CV6" s="21">
        <v>9154</v>
      </c>
      <c r="CW6" s="21">
        <v>9077</v>
      </c>
      <c r="CX6" s="21">
        <v>9241</v>
      </c>
      <c r="CY6" s="21">
        <v>6936</v>
      </c>
      <c r="CZ6" s="21">
        <v>6227</v>
      </c>
      <c r="DA6" s="21">
        <v>6076</v>
      </c>
      <c r="DB6" s="21">
        <v>6378</v>
      </c>
      <c r="DC6" s="21">
        <v>6790</v>
      </c>
      <c r="DD6" s="21">
        <v>6902</v>
      </c>
      <c r="DE6" s="21">
        <v>6509</v>
      </c>
      <c r="DF6" s="21">
        <v>7447</v>
      </c>
      <c r="DG6" s="21">
        <v>8936</v>
      </c>
      <c r="DH6" s="21">
        <v>9836</v>
      </c>
      <c r="DI6" s="21">
        <v>12488</v>
      </c>
      <c r="DJ6" s="21">
        <v>13357</v>
      </c>
      <c r="DK6" s="21">
        <v>13796</v>
      </c>
      <c r="DL6" s="21">
        <v>13648</v>
      </c>
      <c r="DM6" s="21">
        <v>13444</v>
      </c>
      <c r="DN6" s="21">
        <v>13114</v>
      </c>
      <c r="DO6" s="21">
        <v>12458</v>
      </c>
      <c r="DP6" s="21">
        <v>11592</v>
      </c>
      <c r="DQ6" s="21">
        <f>+SUM(CS6:DP6)</f>
        <v>232787</v>
      </c>
      <c r="DR6" s="48">
        <v>21</v>
      </c>
      <c r="DS6" s="21">
        <f>+DR6*DQ6</f>
        <v>4888527</v>
      </c>
      <c r="DT6" s="109">
        <f>+SUM(DS6:DS9)</f>
        <v>6951541</v>
      </c>
      <c r="DW6" s="106">
        <v>47849</v>
      </c>
      <c r="DX6" s="19" t="s">
        <v>43</v>
      </c>
      <c r="DY6" s="21">
        <v>10160</v>
      </c>
      <c r="DZ6" s="21">
        <v>9717</v>
      </c>
      <c r="EA6" s="21">
        <v>9368</v>
      </c>
      <c r="EB6" s="21">
        <v>9114</v>
      </c>
      <c r="EC6" s="21">
        <v>9036</v>
      </c>
      <c r="ED6" s="21">
        <v>9200</v>
      </c>
      <c r="EE6" s="21">
        <v>6968</v>
      </c>
      <c r="EF6" s="21">
        <v>6319</v>
      </c>
      <c r="EG6" s="21">
        <v>6197</v>
      </c>
      <c r="EH6" s="21">
        <v>6507</v>
      </c>
      <c r="EI6" s="21">
        <v>6919</v>
      </c>
      <c r="EJ6" s="21">
        <v>7037</v>
      </c>
      <c r="EK6" s="21">
        <v>6642</v>
      </c>
      <c r="EL6" s="21">
        <v>7566</v>
      </c>
      <c r="EM6" s="21">
        <v>9030</v>
      </c>
      <c r="EN6" s="21">
        <v>9904</v>
      </c>
      <c r="EO6" s="21">
        <v>12469</v>
      </c>
      <c r="EP6" s="21">
        <v>13271</v>
      </c>
      <c r="EQ6" s="21">
        <v>13707</v>
      </c>
      <c r="ER6" s="21">
        <v>13559</v>
      </c>
      <c r="ES6" s="21">
        <v>13356</v>
      </c>
      <c r="ET6" s="21">
        <v>13029</v>
      </c>
      <c r="EU6" s="21">
        <v>12377</v>
      </c>
      <c r="EV6" s="21">
        <v>11517</v>
      </c>
      <c r="EW6" s="21">
        <f>+SUM(DY6:EV6)</f>
        <v>232969</v>
      </c>
      <c r="EX6" s="48">
        <v>21</v>
      </c>
      <c r="EY6" s="21">
        <f>+EX6*EW6</f>
        <v>4892349</v>
      </c>
      <c r="EZ6" s="109">
        <f>+SUM(EY6:EY9)</f>
        <v>6958871</v>
      </c>
    </row>
    <row r="7" spans="1:156" x14ac:dyDescent="0.35">
      <c r="A7" s="107"/>
      <c r="B7" s="23" t="s">
        <v>44</v>
      </c>
      <c r="C7" s="21">
        <v>13721</v>
      </c>
      <c r="D7" s="21">
        <v>13158</v>
      </c>
      <c r="E7" s="21">
        <v>12619</v>
      </c>
      <c r="F7" s="21">
        <v>12227</v>
      </c>
      <c r="G7" s="21">
        <v>12062</v>
      </c>
      <c r="H7" s="21">
        <v>12131</v>
      </c>
      <c r="I7" s="21">
        <v>12327</v>
      </c>
      <c r="J7" s="21">
        <v>7607</v>
      </c>
      <c r="K7" s="21">
        <v>8842</v>
      </c>
      <c r="L7" s="21">
        <v>9710</v>
      </c>
      <c r="M7" s="21">
        <v>10355</v>
      </c>
      <c r="N7" s="21">
        <v>10676</v>
      </c>
      <c r="O7" s="21">
        <v>10228</v>
      </c>
      <c r="P7" s="21">
        <v>10399</v>
      </c>
      <c r="Q7" s="21">
        <v>10860</v>
      </c>
      <c r="R7" s="21">
        <v>10912</v>
      </c>
      <c r="S7" s="21">
        <v>10518</v>
      </c>
      <c r="T7" s="21">
        <v>13631</v>
      </c>
      <c r="U7" s="21">
        <v>14525</v>
      </c>
      <c r="V7" s="21">
        <v>14364</v>
      </c>
      <c r="W7" s="21">
        <v>13971</v>
      </c>
      <c r="X7" s="21">
        <v>13591</v>
      </c>
      <c r="Y7" s="21">
        <v>13101</v>
      </c>
      <c r="Z7" s="21">
        <v>12426</v>
      </c>
      <c r="AA7" s="21">
        <f t="shared" ref="AA7:AA53" si="0">+SUM(C7:Z7)</f>
        <v>283961</v>
      </c>
      <c r="AB7" s="22">
        <v>5</v>
      </c>
      <c r="AC7" s="21">
        <f t="shared" ref="AC7:AC9" si="1">+AB7*AA7</f>
        <v>1419805</v>
      </c>
      <c r="AD7" s="110"/>
      <c r="AF7" s="107"/>
      <c r="AG7" s="23" t="s">
        <v>44</v>
      </c>
      <c r="AH7" s="21">
        <v>9003</v>
      </c>
      <c r="AI7" s="21">
        <v>8529</v>
      </c>
      <c r="AJ7" s="21">
        <v>8119</v>
      </c>
      <c r="AK7" s="21">
        <v>7825</v>
      </c>
      <c r="AL7" s="21">
        <v>7676</v>
      </c>
      <c r="AM7" s="21">
        <v>7690</v>
      </c>
      <c r="AN7" s="21">
        <v>1868</v>
      </c>
      <c r="AO7" s="21">
        <v>2584</v>
      </c>
      <c r="AP7" s="21">
        <v>2072</v>
      </c>
      <c r="AQ7" s="21">
        <v>2274</v>
      </c>
      <c r="AR7" s="21">
        <v>2593</v>
      </c>
      <c r="AS7" s="21">
        <v>2509</v>
      </c>
      <c r="AT7" s="21">
        <v>2425</v>
      </c>
      <c r="AU7" s="21">
        <v>3103</v>
      </c>
      <c r="AV7" s="21">
        <v>4654</v>
      </c>
      <c r="AW7" s="21">
        <v>6068</v>
      </c>
      <c r="AX7" s="21">
        <v>12342</v>
      </c>
      <c r="AY7" s="21">
        <v>10783</v>
      </c>
      <c r="AZ7" s="21">
        <v>11551</v>
      </c>
      <c r="BA7" s="21">
        <v>11455</v>
      </c>
      <c r="BB7" s="21">
        <v>11164</v>
      </c>
      <c r="BC7" s="21">
        <v>10899</v>
      </c>
      <c r="BD7" s="21">
        <v>10541</v>
      </c>
      <c r="BE7" s="21">
        <v>9988</v>
      </c>
      <c r="BF7" s="21">
        <f t="shared" ref="BF7:BF53" si="2">+SUM(AH7:BE7)</f>
        <v>167715</v>
      </c>
      <c r="BG7" s="49">
        <v>4</v>
      </c>
      <c r="BH7" s="21">
        <f t="shared" ref="BH7:BH9" si="3">+BG7*BF7</f>
        <v>670860</v>
      </c>
      <c r="BI7" s="110"/>
      <c r="BK7" s="107"/>
      <c r="BL7" s="23" t="s">
        <v>44</v>
      </c>
      <c r="BM7" s="21">
        <v>18291</v>
      </c>
      <c r="BN7" s="21">
        <v>17370</v>
      </c>
      <c r="BO7" s="21">
        <v>16634</v>
      </c>
      <c r="BP7" s="21">
        <v>16090</v>
      </c>
      <c r="BQ7" s="21">
        <v>15872</v>
      </c>
      <c r="BR7" s="21">
        <v>15970</v>
      </c>
      <c r="BS7" s="21">
        <v>10666</v>
      </c>
      <c r="BT7" s="21">
        <v>8939</v>
      </c>
      <c r="BU7" s="21">
        <v>8960</v>
      </c>
      <c r="BV7" s="21">
        <v>9447</v>
      </c>
      <c r="BW7" s="21">
        <v>10041</v>
      </c>
      <c r="BX7" s="21">
        <v>10076</v>
      </c>
      <c r="BY7" s="21">
        <v>9822</v>
      </c>
      <c r="BZ7" s="21">
        <v>10651</v>
      </c>
      <c r="CA7" s="21">
        <v>12576</v>
      </c>
      <c r="CB7" s="21">
        <v>14225</v>
      </c>
      <c r="CC7" s="21">
        <v>20073</v>
      </c>
      <c r="CD7" s="21">
        <v>21719</v>
      </c>
      <c r="CE7" s="21">
        <v>23384</v>
      </c>
      <c r="CF7" s="21">
        <v>23289</v>
      </c>
      <c r="CG7" s="21">
        <v>22697</v>
      </c>
      <c r="CH7" s="21">
        <v>22098</v>
      </c>
      <c r="CI7" s="21">
        <v>21268</v>
      </c>
      <c r="CJ7" s="21">
        <v>20134</v>
      </c>
      <c r="CK7" s="21">
        <f t="shared" ref="CK7:CK53" si="4">+SUM(BM7:CJ7)</f>
        <v>380292</v>
      </c>
      <c r="CL7" s="49">
        <v>4</v>
      </c>
      <c r="CM7" s="21">
        <f t="shared" ref="CM7:CM9" si="5">+CL7*CK7</f>
        <v>1521168</v>
      </c>
      <c r="CN7" s="110"/>
      <c r="CQ7" s="107"/>
      <c r="CR7" s="23" t="s">
        <v>44</v>
      </c>
      <c r="CS7" s="21">
        <v>10453</v>
      </c>
      <c r="CT7" s="21">
        <v>9962</v>
      </c>
      <c r="CU7" s="21">
        <v>9572</v>
      </c>
      <c r="CV7" s="21">
        <v>9282</v>
      </c>
      <c r="CW7" s="21">
        <v>9169</v>
      </c>
      <c r="CX7" s="21">
        <v>9227</v>
      </c>
      <c r="CY7" s="21">
        <v>6818</v>
      </c>
      <c r="CZ7" s="21">
        <v>5983</v>
      </c>
      <c r="DA7" s="21">
        <v>5830</v>
      </c>
      <c r="DB7" s="21">
        <v>6115</v>
      </c>
      <c r="DC7" s="21">
        <v>6440</v>
      </c>
      <c r="DD7" s="21">
        <v>6483</v>
      </c>
      <c r="DE7" s="21">
        <v>6331</v>
      </c>
      <c r="DF7" s="21">
        <v>6726</v>
      </c>
      <c r="DG7" s="21">
        <v>7649</v>
      </c>
      <c r="DH7" s="21">
        <v>8416</v>
      </c>
      <c r="DI7" s="21">
        <v>11072</v>
      </c>
      <c r="DJ7" s="21">
        <v>12381</v>
      </c>
      <c r="DK7" s="21">
        <v>13289</v>
      </c>
      <c r="DL7" s="21">
        <v>13242</v>
      </c>
      <c r="DM7" s="21">
        <v>12920</v>
      </c>
      <c r="DN7" s="21">
        <v>12591</v>
      </c>
      <c r="DO7" s="21">
        <v>12134</v>
      </c>
      <c r="DP7" s="21">
        <v>11517</v>
      </c>
      <c r="DQ7" s="21">
        <f t="shared" ref="DQ7:DQ53" si="6">+SUM(CS7:DP7)</f>
        <v>223602</v>
      </c>
      <c r="DR7" s="49">
        <v>4</v>
      </c>
      <c r="DS7" s="21">
        <f>+DR7*DQ7</f>
        <v>894408</v>
      </c>
      <c r="DT7" s="110"/>
      <c r="DW7" s="107"/>
      <c r="DX7" s="23" t="s">
        <v>44</v>
      </c>
      <c r="DY7" s="21">
        <v>10403</v>
      </c>
      <c r="DZ7" s="21">
        <v>9916</v>
      </c>
      <c r="EA7" s="21">
        <v>9528</v>
      </c>
      <c r="EB7" s="21">
        <v>9240</v>
      </c>
      <c r="EC7" s="21">
        <v>9128</v>
      </c>
      <c r="ED7" s="21">
        <v>9185</v>
      </c>
      <c r="EE7" s="21">
        <v>6851</v>
      </c>
      <c r="EF7" s="21">
        <v>6077</v>
      </c>
      <c r="EG7" s="21">
        <v>5952</v>
      </c>
      <c r="EH7" s="21">
        <v>6246</v>
      </c>
      <c r="EI7" s="21">
        <v>6572</v>
      </c>
      <c r="EJ7" s="21">
        <v>6620</v>
      </c>
      <c r="EK7" s="21">
        <v>6465</v>
      </c>
      <c r="EL7" s="21">
        <v>6850</v>
      </c>
      <c r="EM7" s="21">
        <v>7751</v>
      </c>
      <c r="EN7" s="21">
        <v>8493</v>
      </c>
      <c r="EO7" s="21">
        <v>11062</v>
      </c>
      <c r="EP7" s="21">
        <v>12301</v>
      </c>
      <c r="EQ7" s="21">
        <v>13203</v>
      </c>
      <c r="ER7" s="21">
        <v>13156</v>
      </c>
      <c r="ES7" s="21">
        <v>12836</v>
      </c>
      <c r="ET7" s="21">
        <v>12509</v>
      </c>
      <c r="EU7" s="21">
        <v>12055</v>
      </c>
      <c r="EV7" s="21">
        <v>11443</v>
      </c>
      <c r="EW7" s="21">
        <f t="shared" ref="EW7:EW53" si="7">+SUM(DY7:EV7)</f>
        <v>223842</v>
      </c>
      <c r="EX7" s="49">
        <v>4</v>
      </c>
      <c r="EY7" s="21">
        <f t="shared" ref="EY7:EY9" si="8">+EX7*EW7</f>
        <v>895368</v>
      </c>
      <c r="EZ7" s="110"/>
    </row>
    <row r="8" spans="1:156" x14ac:dyDescent="0.35">
      <c r="A8" s="107"/>
      <c r="B8" s="23" t="s">
        <v>45</v>
      </c>
      <c r="C8" s="21">
        <v>13547</v>
      </c>
      <c r="D8" s="21">
        <v>13032</v>
      </c>
      <c r="E8" s="21">
        <v>12519</v>
      </c>
      <c r="F8" s="21">
        <v>12117</v>
      </c>
      <c r="G8" s="21">
        <v>11885</v>
      </c>
      <c r="H8" s="21">
        <v>11770</v>
      </c>
      <c r="I8" s="21">
        <v>11741</v>
      </c>
      <c r="J8" s="21">
        <v>6257</v>
      </c>
      <c r="K8" s="21">
        <v>6711</v>
      </c>
      <c r="L8" s="21">
        <v>7243</v>
      </c>
      <c r="M8" s="21">
        <v>7570</v>
      </c>
      <c r="N8" s="21">
        <v>7875</v>
      </c>
      <c r="O8" s="21">
        <v>8043</v>
      </c>
      <c r="P8" s="21">
        <v>8120</v>
      </c>
      <c r="Q8" s="21">
        <v>8323</v>
      </c>
      <c r="R8" s="21">
        <v>8473</v>
      </c>
      <c r="S8" s="21">
        <v>8347</v>
      </c>
      <c r="T8" s="21">
        <v>11965</v>
      </c>
      <c r="U8" s="21">
        <v>13050</v>
      </c>
      <c r="V8" s="21">
        <v>13325</v>
      </c>
      <c r="W8" s="21">
        <v>13282</v>
      </c>
      <c r="X8" s="21">
        <v>13125</v>
      </c>
      <c r="Y8" s="21">
        <v>12605</v>
      </c>
      <c r="Z8" s="21">
        <v>11811</v>
      </c>
      <c r="AA8" s="21">
        <f t="shared" si="0"/>
        <v>252736</v>
      </c>
      <c r="AB8" s="22">
        <v>5</v>
      </c>
      <c r="AC8" s="21">
        <f t="shared" si="1"/>
        <v>1263680</v>
      </c>
      <c r="AD8" s="110"/>
      <c r="AF8" s="107"/>
      <c r="AG8" s="23" t="s">
        <v>45</v>
      </c>
      <c r="AH8" s="21">
        <v>8861</v>
      </c>
      <c r="AI8" s="21">
        <v>8426</v>
      </c>
      <c r="AJ8" s="21">
        <v>8033</v>
      </c>
      <c r="AK8" s="21">
        <v>7726</v>
      </c>
      <c r="AL8" s="21">
        <v>7546</v>
      </c>
      <c r="AM8" s="21">
        <v>7434</v>
      </c>
      <c r="AN8" s="21">
        <v>1460</v>
      </c>
      <c r="AO8" s="21">
        <v>1391</v>
      </c>
      <c r="AP8" s="21">
        <v>116</v>
      </c>
      <c r="AQ8" s="21">
        <v>2</v>
      </c>
      <c r="AR8" s="21">
        <v>29</v>
      </c>
      <c r="AS8" s="21">
        <v>5</v>
      </c>
      <c r="AT8" s="21">
        <v>421</v>
      </c>
      <c r="AU8" s="21">
        <v>1015</v>
      </c>
      <c r="AV8" s="21">
        <v>2347</v>
      </c>
      <c r="AW8" s="21">
        <v>3878</v>
      </c>
      <c r="AX8" s="21">
        <v>10394</v>
      </c>
      <c r="AY8" s="21">
        <v>9527</v>
      </c>
      <c r="AZ8" s="21">
        <v>10453</v>
      </c>
      <c r="BA8" s="21">
        <v>10738</v>
      </c>
      <c r="BB8" s="21">
        <v>10756</v>
      </c>
      <c r="BC8" s="21">
        <v>10675</v>
      </c>
      <c r="BD8" s="21">
        <v>10252</v>
      </c>
      <c r="BE8" s="21">
        <v>9580</v>
      </c>
      <c r="BF8" s="21">
        <f t="shared" si="2"/>
        <v>141065</v>
      </c>
      <c r="BG8" s="49">
        <v>5</v>
      </c>
      <c r="BH8" s="21">
        <f t="shared" si="3"/>
        <v>705325</v>
      </c>
      <c r="BI8" s="110"/>
      <c r="BK8" s="107"/>
      <c r="BL8" s="23" t="s">
        <v>45</v>
      </c>
      <c r="BM8" s="21">
        <v>18081</v>
      </c>
      <c r="BN8" s="21">
        <v>17218</v>
      </c>
      <c r="BO8" s="21">
        <v>16501</v>
      </c>
      <c r="BP8" s="21">
        <v>15936</v>
      </c>
      <c r="BQ8" s="21">
        <v>15614</v>
      </c>
      <c r="BR8" s="21">
        <v>15457</v>
      </c>
      <c r="BS8" s="21">
        <v>9834</v>
      </c>
      <c r="BT8" s="21">
        <v>7090</v>
      </c>
      <c r="BU8" s="21">
        <v>5968</v>
      </c>
      <c r="BV8" s="21">
        <v>6015</v>
      </c>
      <c r="BW8" s="21">
        <v>6147</v>
      </c>
      <c r="BX8" s="21">
        <v>6146</v>
      </c>
      <c r="BY8" s="21">
        <v>6749</v>
      </c>
      <c r="BZ8" s="21">
        <v>7432</v>
      </c>
      <c r="CA8" s="21">
        <v>9032</v>
      </c>
      <c r="CB8" s="21">
        <v>10868</v>
      </c>
      <c r="CC8" s="21">
        <v>17111</v>
      </c>
      <c r="CD8" s="21">
        <v>19390</v>
      </c>
      <c r="CE8" s="21">
        <v>21385</v>
      </c>
      <c r="CF8" s="21">
        <v>21947</v>
      </c>
      <c r="CG8" s="21">
        <v>21874</v>
      </c>
      <c r="CH8" s="21">
        <v>21583</v>
      </c>
      <c r="CI8" s="21">
        <v>20652</v>
      </c>
      <c r="CJ8" s="21">
        <v>19339</v>
      </c>
      <c r="CK8" s="21">
        <f t="shared" si="4"/>
        <v>337369</v>
      </c>
      <c r="CL8" s="49">
        <v>4</v>
      </c>
      <c r="CM8" s="21">
        <f t="shared" si="5"/>
        <v>1349476</v>
      </c>
      <c r="CN8" s="110"/>
      <c r="CQ8" s="107"/>
      <c r="CR8" s="23" t="s">
        <v>45</v>
      </c>
      <c r="CS8" s="21">
        <v>10344</v>
      </c>
      <c r="CT8" s="21">
        <v>9883</v>
      </c>
      <c r="CU8" s="21">
        <v>9503</v>
      </c>
      <c r="CV8" s="21">
        <v>9202</v>
      </c>
      <c r="CW8" s="21">
        <v>9032</v>
      </c>
      <c r="CX8" s="21">
        <v>8951</v>
      </c>
      <c r="CY8" s="21">
        <v>6370</v>
      </c>
      <c r="CZ8" s="21">
        <v>4990</v>
      </c>
      <c r="DA8" s="21">
        <v>4285</v>
      </c>
      <c r="DB8" s="21">
        <v>4346</v>
      </c>
      <c r="DC8" s="21">
        <v>4430</v>
      </c>
      <c r="DD8" s="21">
        <v>4454</v>
      </c>
      <c r="DE8" s="21">
        <v>4743</v>
      </c>
      <c r="DF8" s="21">
        <v>5063</v>
      </c>
      <c r="DG8" s="21">
        <v>5817</v>
      </c>
      <c r="DH8" s="21">
        <v>6680</v>
      </c>
      <c r="DI8" s="21">
        <v>9542</v>
      </c>
      <c r="DJ8" s="21">
        <v>11126</v>
      </c>
      <c r="DK8" s="21">
        <v>12214</v>
      </c>
      <c r="DL8" s="21">
        <v>12516</v>
      </c>
      <c r="DM8" s="21">
        <v>12470</v>
      </c>
      <c r="DN8" s="21">
        <v>12304</v>
      </c>
      <c r="DO8" s="21">
        <v>11794</v>
      </c>
      <c r="DP8" s="21">
        <v>11086</v>
      </c>
      <c r="DQ8" s="21">
        <f t="shared" si="6"/>
        <v>201145</v>
      </c>
      <c r="DR8" s="49">
        <v>4</v>
      </c>
      <c r="DS8" s="21">
        <f>+DR8*DQ8</f>
        <v>804580</v>
      </c>
      <c r="DT8" s="110"/>
      <c r="DW8" s="107"/>
      <c r="DX8" s="23" t="s">
        <v>45</v>
      </c>
      <c r="DY8" s="21">
        <v>10295</v>
      </c>
      <c r="DZ8" s="21">
        <v>9838</v>
      </c>
      <c r="EA8" s="21">
        <v>9459</v>
      </c>
      <c r="EB8" s="21">
        <v>9161</v>
      </c>
      <c r="EC8" s="21">
        <v>8991</v>
      </c>
      <c r="ED8" s="21">
        <v>8912</v>
      </c>
      <c r="EE8" s="21">
        <v>6406</v>
      </c>
      <c r="EF8" s="21">
        <v>5089</v>
      </c>
      <c r="EG8" s="21">
        <v>4417</v>
      </c>
      <c r="EH8" s="21">
        <v>4488</v>
      </c>
      <c r="EI8" s="21">
        <v>4575</v>
      </c>
      <c r="EJ8" s="21">
        <v>4604</v>
      </c>
      <c r="EK8" s="21">
        <v>4887</v>
      </c>
      <c r="EL8" s="21">
        <v>5197</v>
      </c>
      <c r="EM8" s="21">
        <v>5931</v>
      </c>
      <c r="EN8" s="21">
        <v>6768</v>
      </c>
      <c r="EO8" s="21">
        <v>9542</v>
      </c>
      <c r="EP8" s="21">
        <v>11055</v>
      </c>
      <c r="EQ8" s="21">
        <v>12135</v>
      </c>
      <c r="ER8" s="21">
        <v>12435</v>
      </c>
      <c r="ES8" s="21">
        <v>12389</v>
      </c>
      <c r="ET8" s="21">
        <v>12224</v>
      </c>
      <c r="EU8" s="21">
        <v>11718</v>
      </c>
      <c r="EV8" s="21">
        <v>11014</v>
      </c>
      <c r="EW8" s="21">
        <f t="shared" si="7"/>
        <v>201530</v>
      </c>
      <c r="EX8" s="49">
        <v>4</v>
      </c>
      <c r="EY8" s="21">
        <f t="shared" si="8"/>
        <v>806120</v>
      </c>
      <c r="EZ8" s="110"/>
    </row>
    <row r="9" spans="1:156" ht="15" thickBot="1" x14ac:dyDescent="0.4">
      <c r="A9" s="108"/>
      <c r="B9" s="24" t="s">
        <v>46</v>
      </c>
      <c r="C9" s="21">
        <v>11768</v>
      </c>
      <c r="D9" s="21">
        <v>11452</v>
      </c>
      <c r="E9" s="21">
        <v>11223</v>
      </c>
      <c r="F9" s="21">
        <v>10964</v>
      </c>
      <c r="G9" s="21">
        <v>10837</v>
      </c>
      <c r="H9" s="21">
        <v>10724</v>
      </c>
      <c r="I9" s="21">
        <v>10569</v>
      </c>
      <c r="J9" s="21">
        <v>5009</v>
      </c>
      <c r="K9" s="21">
        <v>5402</v>
      </c>
      <c r="L9" s="21">
        <v>5925</v>
      </c>
      <c r="M9" s="21">
        <v>6390</v>
      </c>
      <c r="N9" s="21">
        <v>6691</v>
      </c>
      <c r="O9" s="21">
        <v>6837</v>
      </c>
      <c r="P9" s="21">
        <v>6982</v>
      </c>
      <c r="Q9" s="21">
        <v>7161</v>
      </c>
      <c r="R9" s="21">
        <v>7265</v>
      </c>
      <c r="S9" s="21">
        <v>7050</v>
      </c>
      <c r="T9" s="21">
        <v>11074</v>
      </c>
      <c r="U9" s="21">
        <v>12239</v>
      </c>
      <c r="V9" s="21">
        <v>12424</v>
      </c>
      <c r="W9" s="21">
        <v>12317</v>
      </c>
      <c r="X9" s="21">
        <v>12084</v>
      </c>
      <c r="Y9" s="21">
        <v>11613</v>
      </c>
      <c r="Z9" s="21">
        <v>10990</v>
      </c>
      <c r="AA9" s="21">
        <f t="shared" si="0"/>
        <v>224990</v>
      </c>
      <c r="AB9" s="22">
        <v>2</v>
      </c>
      <c r="AC9" s="21">
        <f t="shared" si="1"/>
        <v>449980</v>
      </c>
      <c r="AD9" s="111"/>
      <c r="AF9" s="108"/>
      <c r="AG9" s="24" t="s">
        <v>46</v>
      </c>
      <c r="AH9" s="21">
        <v>7002</v>
      </c>
      <c r="AI9" s="21">
        <v>6795</v>
      </c>
      <c r="AJ9" s="21">
        <v>6618</v>
      </c>
      <c r="AK9" s="21">
        <v>6435</v>
      </c>
      <c r="AL9" s="21">
        <v>6342</v>
      </c>
      <c r="AM9" s="21">
        <v>6261</v>
      </c>
      <c r="AN9" s="21">
        <v>257</v>
      </c>
      <c r="AO9" s="21">
        <v>5</v>
      </c>
      <c r="AP9" s="21">
        <v>5</v>
      </c>
      <c r="AQ9" s="21">
        <v>5</v>
      </c>
      <c r="AR9" s="21">
        <v>5</v>
      </c>
      <c r="AS9" s="21">
        <v>5</v>
      </c>
      <c r="AT9" s="21">
        <v>5</v>
      </c>
      <c r="AU9" s="21">
        <v>5</v>
      </c>
      <c r="AV9" s="21">
        <v>839</v>
      </c>
      <c r="AW9" s="21">
        <v>2299</v>
      </c>
      <c r="AX9" s="21">
        <v>8758</v>
      </c>
      <c r="AY9" s="21">
        <v>8266</v>
      </c>
      <c r="AZ9" s="21">
        <v>9313</v>
      </c>
      <c r="BA9" s="21">
        <v>9503</v>
      </c>
      <c r="BB9" s="21">
        <v>9395</v>
      </c>
      <c r="BC9" s="21">
        <v>9169</v>
      </c>
      <c r="BD9" s="21">
        <v>8757</v>
      </c>
      <c r="BE9" s="21">
        <v>8229</v>
      </c>
      <c r="BF9" s="21">
        <f t="shared" si="2"/>
        <v>114273</v>
      </c>
      <c r="BG9" s="50">
        <v>2</v>
      </c>
      <c r="BH9" s="21">
        <f t="shared" si="3"/>
        <v>228546</v>
      </c>
      <c r="BI9" s="111"/>
      <c r="BK9" s="108"/>
      <c r="BL9" s="24" t="s">
        <v>46</v>
      </c>
      <c r="BM9" s="21">
        <v>15612</v>
      </c>
      <c r="BN9" s="21">
        <v>15203</v>
      </c>
      <c r="BO9" s="21">
        <v>14835</v>
      </c>
      <c r="BP9" s="21">
        <v>14464</v>
      </c>
      <c r="BQ9" s="21">
        <v>14272</v>
      </c>
      <c r="BR9" s="21">
        <v>14109</v>
      </c>
      <c r="BS9" s="21">
        <v>8329</v>
      </c>
      <c r="BT9" s="21">
        <v>5431</v>
      </c>
      <c r="BU9" s="21">
        <v>4146</v>
      </c>
      <c r="BV9" s="21">
        <v>4185</v>
      </c>
      <c r="BW9" s="21">
        <v>4467</v>
      </c>
      <c r="BX9" s="21">
        <v>4466</v>
      </c>
      <c r="BY9" s="21">
        <v>5099</v>
      </c>
      <c r="BZ9" s="21">
        <v>5873</v>
      </c>
      <c r="CA9" s="21">
        <v>7406</v>
      </c>
      <c r="CB9" s="21">
        <v>9154</v>
      </c>
      <c r="CC9" s="21">
        <v>15268</v>
      </c>
      <c r="CD9" s="21">
        <v>18032</v>
      </c>
      <c r="CE9" s="21">
        <v>20189</v>
      </c>
      <c r="CF9" s="21">
        <v>20586</v>
      </c>
      <c r="CG9" s="21">
        <v>20360</v>
      </c>
      <c r="CH9" s="21">
        <v>19890</v>
      </c>
      <c r="CI9" s="21">
        <v>19044</v>
      </c>
      <c r="CJ9" s="21">
        <v>17968</v>
      </c>
      <c r="CK9" s="21">
        <f t="shared" si="4"/>
        <v>298388</v>
      </c>
      <c r="CL9" s="50">
        <v>2</v>
      </c>
      <c r="CM9" s="21">
        <f t="shared" si="5"/>
        <v>596776</v>
      </c>
      <c r="CN9" s="111"/>
      <c r="CQ9" s="108"/>
      <c r="CR9" s="24" t="s">
        <v>46</v>
      </c>
      <c r="CS9" s="21">
        <v>9096</v>
      </c>
      <c r="CT9" s="21">
        <v>8875</v>
      </c>
      <c r="CU9" s="21">
        <v>8678</v>
      </c>
      <c r="CV9" s="21">
        <v>8479</v>
      </c>
      <c r="CW9" s="21">
        <v>8375</v>
      </c>
      <c r="CX9" s="21">
        <v>8288</v>
      </c>
      <c r="CY9" s="21">
        <v>5616</v>
      </c>
      <c r="CZ9" s="21">
        <v>4153</v>
      </c>
      <c r="DA9" s="21">
        <v>3382</v>
      </c>
      <c r="DB9" s="21">
        <v>3441</v>
      </c>
      <c r="DC9" s="21">
        <v>3606</v>
      </c>
      <c r="DD9" s="21">
        <v>3630</v>
      </c>
      <c r="DE9" s="21">
        <v>3937</v>
      </c>
      <c r="DF9" s="21">
        <v>4307</v>
      </c>
      <c r="DG9" s="21">
        <v>5032</v>
      </c>
      <c r="DH9" s="21">
        <v>5851</v>
      </c>
      <c r="DI9" s="21">
        <v>8644</v>
      </c>
      <c r="DJ9" s="21">
        <v>10469</v>
      </c>
      <c r="DK9" s="21">
        <v>11639</v>
      </c>
      <c r="DL9" s="21">
        <v>11854</v>
      </c>
      <c r="DM9" s="21">
        <v>11732</v>
      </c>
      <c r="DN9" s="21">
        <v>11477</v>
      </c>
      <c r="DO9" s="21">
        <v>11018</v>
      </c>
      <c r="DP9" s="21">
        <v>10434</v>
      </c>
      <c r="DQ9" s="21">
        <f t="shared" si="6"/>
        <v>182013</v>
      </c>
      <c r="DR9" s="50">
        <v>2</v>
      </c>
      <c r="DS9" s="21">
        <f>+DR9*DQ9</f>
        <v>364026</v>
      </c>
      <c r="DT9" s="111"/>
      <c r="DW9" s="108"/>
      <c r="DX9" s="24" t="s">
        <v>46</v>
      </c>
      <c r="DY9" s="21">
        <v>9055</v>
      </c>
      <c r="DZ9" s="21">
        <v>8836</v>
      </c>
      <c r="EA9" s="21">
        <v>8640</v>
      </c>
      <c r="EB9" s="21">
        <v>8442</v>
      </c>
      <c r="EC9" s="21">
        <v>8339</v>
      </c>
      <c r="ED9" s="21">
        <v>8252</v>
      </c>
      <c r="EE9" s="21">
        <v>5656</v>
      </c>
      <c r="EF9" s="21">
        <v>4258</v>
      </c>
      <c r="EG9" s="21">
        <v>3520</v>
      </c>
      <c r="EH9" s="21">
        <v>3588</v>
      </c>
      <c r="EI9" s="21">
        <v>3756</v>
      </c>
      <c r="EJ9" s="21">
        <v>3785</v>
      </c>
      <c r="EK9" s="21">
        <v>4086</v>
      </c>
      <c r="EL9" s="21">
        <v>4447</v>
      </c>
      <c r="EM9" s="21">
        <v>5150</v>
      </c>
      <c r="EN9" s="21">
        <v>5945</v>
      </c>
      <c r="EO9" s="21">
        <v>8649</v>
      </c>
      <c r="EP9" s="21">
        <v>10402</v>
      </c>
      <c r="EQ9" s="21">
        <v>11563</v>
      </c>
      <c r="ER9" s="21">
        <v>11777</v>
      </c>
      <c r="ES9" s="21">
        <v>11655</v>
      </c>
      <c r="ET9" s="21">
        <v>11402</v>
      </c>
      <c r="EU9" s="21">
        <v>10947</v>
      </c>
      <c r="EV9" s="21">
        <v>10367</v>
      </c>
      <c r="EW9" s="21">
        <f t="shared" si="7"/>
        <v>182517</v>
      </c>
      <c r="EX9" s="50">
        <v>2</v>
      </c>
      <c r="EY9" s="21">
        <f t="shared" si="8"/>
        <v>365034</v>
      </c>
      <c r="EZ9" s="111"/>
    </row>
    <row r="10" spans="1:156" x14ac:dyDescent="0.35">
      <c r="A10" s="106">
        <v>46419</v>
      </c>
      <c r="B10" s="19" t="s">
        <v>43</v>
      </c>
      <c r="C10" s="21">
        <v>14741</v>
      </c>
      <c r="D10" s="21">
        <v>14037</v>
      </c>
      <c r="E10" s="21">
        <v>13538</v>
      </c>
      <c r="F10" s="21">
        <v>13211</v>
      </c>
      <c r="G10" s="21">
        <v>13215</v>
      </c>
      <c r="H10" s="21">
        <v>13869</v>
      </c>
      <c r="I10" s="21">
        <v>14430</v>
      </c>
      <c r="J10" s="21">
        <v>9946</v>
      </c>
      <c r="K10" s="21">
        <v>11141</v>
      </c>
      <c r="L10" s="21">
        <v>11988</v>
      </c>
      <c r="M10" s="21">
        <v>12770</v>
      </c>
      <c r="N10" s="21">
        <v>12903</v>
      </c>
      <c r="O10" s="21">
        <v>11664</v>
      </c>
      <c r="P10" s="21">
        <v>13067</v>
      </c>
      <c r="Q10" s="21">
        <v>14527</v>
      </c>
      <c r="R10" s="21">
        <v>14778</v>
      </c>
      <c r="S10" s="21">
        <v>14320</v>
      </c>
      <c r="T10" s="21">
        <v>16106</v>
      </c>
      <c r="U10" s="21">
        <v>16303</v>
      </c>
      <c r="V10" s="21">
        <v>16217</v>
      </c>
      <c r="W10" s="21">
        <v>15990</v>
      </c>
      <c r="X10" s="21">
        <v>15494</v>
      </c>
      <c r="Y10" s="21">
        <v>14473</v>
      </c>
      <c r="Z10" s="21">
        <v>13334</v>
      </c>
      <c r="AA10" s="21">
        <f t="shared" si="0"/>
        <v>332062</v>
      </c>
      <c r="AB10" s="22">
        <v>20</v>
      </c>
      <c r="AC10" s="21">
        <f t="shared" ref="AC10:AC53" si="9">+AA10*AB10</f>
        <v>6641240</v>
      </c>
      <c r="AD10" s="109">
        <f>+SUM(AC10:AC13)</f>
        <v>9022812</v>
      </c>
      <c r="AF10" s="106">
        <v>46784</v>
      </c>
      <c r="AG10" s="19" t="s">
        <v>43</v>
      </c>
      <c r="AH10" s="21">
        <v>9326</v>
      </c>
      <c r="AI10" s="21">
        <v>8810</v>
      </c>
      <c r="AJ10" s="21">
        <v>8435</v>
      </c>
      <c r="AK10" s="21">
        <v>8183</v>
      </c>
      <c r="AL10" s="21">
        <v>8162</v>
      </c>
      <c r="AM10" s="21">
        <v>8553</v>
      </c>
      <c r="AN10" s="21">
        <v>2985</v>
      </c>
      <c r="AO10" s="21">
        <v>4069</v>
      </c>
      <c r="AP10" s="21">
        <v>3386</v>
      </c>
      <c r="AQ10" s="21">
        <v>3512</v>
      </c>
      <c r="AR10" s="21">
        <v>3912</v>
      </c>
      <c r="AS10" s="21">
        <v>3605</v>
      </c>
      <c r="AT10" s="21">
        <v>2883</v>
      </c>
      <c r="AU10" s="21">
        <v>4675</v>
      </c>
      <c r="AV10" s="21">
        <v>7179</v>
      </c>
      <c r="AW10" s="21">
        <v>8833</v>
      </c>
      <c r="AX10" s="21">
        <v>15101</v>
      </c>
      <c r="AY10" s="21">
        <v>12345</v>
      </c>
      <c r="AZ10" s="21">
        <v>12482</v>
      </c>
      <c r="BA10" s="21">
        <v>12444</v>
      </c>
      <c r="BB10" s="21">
        <v>12368</v>
      </c>
      <c r="BC10" s="21">
        <v>12050</v>
      </c>
      <c r="BD10" s="21">
        <v>11304</v>
      </c>
      <c r="BE10" s="21">
        <v>10415</v>
      </c>
      <c r="BF10" s="21">
        <f t="shared" si="2"/>
        <v>195017</v>
      </c>
      <c r="BG10" s="48">
        <v>21</v>
      </c>
      <c r="BH10" s="21">
        <f t="shared" ref="BH10:BH53" si="10">+BF10*BG10</f>
        <v>4095357</v>
      </c>
      <c r="BI10" s="109">
        <f>+SUM(BH10:BH13)</f>
        <v>5410957</v>
      </c>
      <c r="BK10" s="106">
        <v>47150</v>
      </c>
      <c r="BL10" s="19" t="s">
        <v>43</v>
      </c>
      <c r="BM10" s="21">
        <v>19632</v>
      </c>
      <c r="BN10" s="21">
        <v>18625</v>
      </c>
      <c r="BO10" s="21">
        <v>17918</v>
      </c>
      <c r="BP10" s="21">
        <v>17441</v>
      </c>
      <c r="BQ10" s="21">
        <v>17421</v>
      </c>
      <c r="BR10" s="21">
        <v>18238</v>
      </c>
      <c r="BS10" s="21">
        <v>13417</v>
      </c>
      <c r="BT10" s="21">
        <v>12039</v>
      </c>
      <c r="BU10" s="21">
        <v>11948</v>
      </c>
      <c r="BV10" s="21">
        <v>12386</v>
      </c>
      <c r="BW10" s="21">
        <v>13165</v>
      </c>
      <c r="BX10" s="21">
        <v>12932</v>
      </c>
      <c r="BY10" s="21">
        <v>11568</v>
      </c>
      <c r="BZ10" s="21">
        <v>14180</v>
      </c>
      <c r="CA10" s="21">
        <v>17730</v>
      </c>
      <c r="CB10" s="21">
        <v>19863</v>
      </c>
      <c r="CC10" s="21">
        <v>25705</v>
      </c>
      <c r="CD10" s="21">
        <v>25909</v>
      </c>
      <c r="CE10" s="21">
        <v>26326</v>
      </c>
      <c r="CF10" s="21">
        <v>26295</v>
      </c>
      <c r="CG10" s="21">
        <v>25974</v>
      </c>
      <c r="CH10" s="21">
        <v>25271</v>
      </c>
      <c r="CI10" s="21">
        <v>23747</v>
      </c>
      <c r="CJ10" s="21">
        <v>21866</v>
      </c>
      <c r="CK10" s="21">
        <f t="shared" si="4"/>
        <v>449596</v>
      </c>
      <c r="CL10" s="48">
        <v>20</v>
      </c>
      <c r="CM10" s="21">
        <f t="shared" ref="CM10:CM53" si="11">+CK10*CL10</f>
        <v>8991920</v>
      </c>
      <c r="CN10" s="109">
        <f>+SUM(CM10:CM13)</f>
        <v>12182512</v>
      </c>
      <c r="CQ10" s="106">
        <v>47515</v>
      </c>
      <c r="CR10" s="19" t="s">
        <v>43</v>
      </c>
      <c r="CS10" s="21">
        <v>11158</v>
      </c>
      <c r="CT10" s="21">
        <v>10622</v>
      </c>
      <c r="CU10" s="21">
        <v>10246</v>
      </c>
      <c r="CV10" s="21">
        <v>9993</v>
      </c>
      <c r="CW10" s="21">
        <v>9985</v>
      </c>
      <c r="CX10" s="21">
        <v>10426</v>
      </c>
      <c r="CY10" s="21">
        <v>8274</v>
      </c>
      <c r="CZ10" s="21">
        <v>7637</v>
      </c>
      <c r="DA10" s="21">
        <v>7386</v>
      </c>
      <c r="DB10" s="21">
        <v>7652</v>
      </c>
      <c r="DC10" s="21">
        <v>8074</v>
      </c>
      <c r="DD10" s="21">
        <v>7986</v>
      </c>
      <c r="DE10" s="21">
        <v>7254</v>
      </c>
      <c r="DF10" s="21">
        <v>8567</v>
      </c>
      <c r="DG10" s="21">
        <v>10325</v>
      </c>
      <c r="DH10" s="21">
        <v>11338</v>
      </c>
      <c r="DI10" s="21">
        <v>13987</v>
      </c>
      <c r="DJ10" s="21">
        <v>14639</v>
      </c>
      <c r="DK10" s="21">
        <v>14873</v>
      </c>
      <c r="DL10" s="21">
        <v>14858</v>
      </c>
      <c r="DM10" s="21">
        <v>14673</v>
      </c>
      <c r="DN10" s="21">
        <v>14288</v>
      </c>
      <c r="DO10" s="21">
        <v>13463</v>
      </c>
      <c r="DP10" s="21">
        <v>12442</v>
      </c>
      <c r="DQ10" s="21">
        <f t="shared" si="6"/>
        <v>260146</v>
      </c>
      <c r="DR10" s="48">
        <v>20</v>
      </c>
      <c r="DS10" s="21">
        <f t="shared" ref="DS10:DS53" si="12">+DQ10*DR10</f>
        <v>5202920</v>
      </c>
      <c r="DT10" s="109">
        <f>+SUM(DS10:DS13)</f>
        <v>7072136</v>
      </c>
      <c r="DW10" s="106">
        <v>47880</v>
      </c>
      <c r="DX10" s="19" t="s">
        <v>43</v>
      </c>
      <c r="DY10" s="21">
        <v>11105</v>
      </c>
      <c r="DZ10" s="21">
        <v>10573</v>
      </c>
      <c r="EA10" s="21">
        <v>10200</v>
      </c>
      <c r="EB10" s="21">
        <v>9949</v>
      </c>
      <c r="EC10" s="21">
        <v>9940</v>
      </c>
      <c r="ED10" s="21">
        <v>10378</v>
      </c>
      <c r="EE10" s="21">
        <v>8300</v>
      </c>
      <c r="EF10" s="21">
        <v>7723</v>
      </c>
      <c r="EG10" s="21">
        <v>7505</v>
      </c>
      <c r="EH10" s="21">
        <v>7780</v>
      </c>
      <c r="EI10" s="21">
        <v>8204</v>
      </c>
      <c r="EJ10" s="21">
        <v>8123</v>
      </c>
      <c r="EK10" s="21">
        <v>7390</v>
      </c>
      <c r="EL10" s="21">
        <v>8687</v>
      </c>
      <c r="EM10" s="21">
        <v>10416</v>
      </c>
      <c r="EN10" s="21">
        <v>11400</v>
      </c>
      <c r="EO10" s="21">
        <v>13962</v>
      </c>
      <c r="EP10" s="21">
        <v>14545</v>
      </c>
      <c r="EQ10" s="21">
        <v>14777</v>
      </c>
      <c r="ER10" s="21">
        <v>14762</v>
      </c>
      <c r="ES10" s="21">
        <v>14578</v>
      </c>
      <c r="ET10" s="21">
        <v>14196</v>
      </c>
      <c r="EU10" s="21">
        <v>13376</v>
      </c>
      <c r="EV10" s="21">
        <v>12362</v>
      </c>
      <c r="EW10" s="21">
        <f t="shared" si="7"/>
        <v>260231</v>
      </c>
      <c r="EX10" s="48">
        <v>20</v>
      </c>
      <c r="EY10" s="21">
        <f t="shared" ref="EY10:EY53" si="13">+EW10*EX10</f>
        <v>5204620</v>
      </c>
      <c r="EZ10" s="109">
        <f>+SUM(EY10:EY13)</f>
        <v>7075888</v>
      </c>
    </row>
    <row r="11" spans="1:156" x14ac:dyDescent="0.35">
      <c r="A11" s="107"/>
      <c r="B11" s="23" t="s">
        <v>44</v>
      </c>
      <c r="C11" s="21">
        <v>14348</v>
      </c>
      <c r="D11" s="21">
        <v>13673</v>
      </c>
      <c r="E11" s="21">
        <v>13187</v>
      </c>
      <c r="F11" s="21">
        <v>12866</v>
      </c>
      <c r="G11" s="21">
        <v>12742</v>
      </c>
      <c r="H11" s="21">
        <v>12946</v>
      </c>
      <c r="I11" s="21">
        <v>13446</v>
      </c>
      <c r="J11" s="21">
        <v>9084</v>
      </c>
      <c r="K11" s="21">
        <v>10461</v>
      </c>
      <c r="L11" s="21">
        <v>11381</v>
      </c>
      <c r="M11" s="21">
        <v>12027</v>
      </c>
      <c r="N11" s="21">
        <v>12282</v>
      </c>
      <c r="O11" s="21">
        <v>11620</v>
      </c>
      <c r="P11" s="21">
        <v>11689</v>
      </c>
      <c r="Q11" s="21">
        <v>12128</v>
      </c>
      <c r="R11" s="21">
        <v>12188</v>
      </c>
      <c r="S11" s="21">
        <v>11736</v>
      </c>
      <c r="T11" s="21">
        <v>14425</v>
      </c>
      <c r="U11" s="21">
        <v>15282</v>
      </c>
      <c r="V11" s="21">
        <v>15355</v>
      </c>
      <c r="W11" s="21">
        <v>14949</v>
      </c>
      <c r="X11" s="21">
        <v>14512</v>
      </c>
      <c r="Y11" s="21">
        <v>13942</v>
      </c>
      <c r="Z11" s="21">
        <v>13189</v>
      </c>
      <c r="AA11" s="21">
        <f t="shared" si="0"/>
        <v>309458</v>
      </c>
      <c r="AB11" s="22">
        <v>4</v>
      </c>
      <c r="AC11" s="21">
        <f t="shared" si="9"/>
        <v>1237832</v>
      </c>
      <c r="AD11" s="110"/>
      <c r="AF11" s="107"/>
      <c r="AG11" s="23" t="s">
        <v>44</v>
      </c>
      <c r="AH11" s="21">
        <v>8834</v>
      </c>
      <c r="AI11" s="21">
        <v>8378</v>
      </c>
      <c r="AJ11" s="21">
        <v>8029</v>
      </c>
      <c r="AK11" s="21">
        <v>7809</v>
      </c>
      <c r="AL11" s="21">
        <v>7733</v>
      </c>
      <c r="AM11" s="21">
        <v>7862</v>
      </c>
      <c r="AN11" s="21">
        <v>2225</v>
      </c>
      <c r="AO11" s="21">
        <v>3241</v>
      </c>
      <c r="AP11" s="21">
        <v>2723</v>
      </c>
      <c r="AQ11" s="21">
        <v>2886</v>
      </c>
      <c r="AR11" s="21">
        <v>3167</v>
      </c>
      <c r="AS11" s="21">
        <v>2998</v>
      </c>
      <c r="AT11" s="21">
        <v>2704</v>
      </c>
      <c r="AU11" s="21">
        <v>3295</v>
      </c>
      <c r="AV11" s="21">
        <v>4909</v>
      </c>
      <c r="AW11" s="21">
        <v>6408</v>
      </c>
      <c r="AX11" s="21">
        <v>12709</v>
      </c>
      <c r="AY11" s="21">
        <v>10991</v>
      </c>
      <c r="AZ11" s="21">
        <v>11681</v>
      </c>
      <c r="BA11" s="21">
        <v>11739</v>
      </c>
      <c r="BB11" s="21">
        <v>11480</v>
      </c>
      <c r="BC11" s="21">
        <v>11204</v>
      </c>
      <c r="BD11" s="21">
        <v>10819</v>
      </c>
      <c r="BE11" s="21">
        <v>10232</v>
      </c>
      <c r="BF11" s="21">
        <f t="shared" si="2"/>
        <v>174056</v>
      </c>
      <c r="BG11" s="49">
        <v>4</v>
      </c>
      <c r="BH11" s="21">
        <f t="shared" si="10"/>
        <v>696224</v>
      </c>
      <c r="BI11" s="110"/>
      <c r="BK11" s="107"/>
      <c r="BL11" s="23" t="s">
        <v>44</v>
      </c>
      <c r="BM11" s="21">
        <v>19173</v>
      </c>
      <c r="BN11" s="21">
        <v>18205</v>
      </c>
      <c r="BO11" s="21">
        <v>17519</v>
      </c>
      <c r="BP11" s="21">
        <v>17044</v>
      </c>
      <c r="BQ11" s="21">
        <v>16888</v>
      </c>
      <c r="BR11" s="21">
        <v>17153</v>
      </c>
      <c r="BS11" s="21">
        <v>12226</v>
      </c>
      <c r="BT11" s="21">
        <v>10886</v>
      </c>
      <c r="BU11" s="21">
        <v>11059</v>
      </c>
      <c r="BV11" s="21">
        <v>11547</v>
      </c>
      <c r="BW11" s="21">
        <v>12133</v>
      </c>
      <c r="BX11" s="21">
        <v>12016</v>
      </c>
      <c r="BY11" s="21">
        <v>11363</v>
      </c>
      <c r="BZ11" s="21">
        <v>12129</v>
      </c>
      <c r="CA11" s="21">
        <v>14292</v>
      </c>
      <c r="CB11" s="21">
        <v>16114</v>
      </c>
      <c r="CC11" s="21">
        <v>21984</v>
      </c>
      <c r="CD11" s="21">
        <v>23331</v>
      </c>
      <c r="CE11" s="21">
        <v>24814</v>
      </c>
      <c r="CF11" s="21">
        <v>24978</v>
      </c>
      <c r="CG11" s="21">
        <v>24363</v>
      </c>
      <c r="CH11" s="21">
        <v>23700</v>
      </c>
      <c r="CI11" s="21">
        <v>22838</v>
      </c>
      <c r="CJ11" s="21">
        <v>21602</v>
      </c>
      <c r="CK11" s="21">
        <f t="shared" si="4"/>
        <v>417357</v>
      </c>
      <c r="CL11" s="49">
        <v>4</v>
      </c>
      <c r="CM11" s="21">
        <f t="shared" si="11"/>
        <v>1669428</v>
      </c>
      <c r="CN11" s="110"/>
      <c r="CQ11" s="107"/>
      <c r="CR11" s="23" t="s">
        <v>44</v>
      </c>
      <c r="CS11" s="21">
        <v>10945</v>
      </c>
      <c r="CT11" s="21">
        <v>10424</v>
      </c>
      <c r="CU11" s="21">
        <v>10059</v>
      </c>
      <c r="CV11" s="21">
        <v>9803</v>
      </c>
      <c r="CW11" s="21">
        <v>9718</v>
      </c>
      <c r="CX11" s="21">
        <v>9861</v>
      </c>
      <c r="CY11" s="21">
        <v>7656</v>
      </c>
      <c r="CZ11" s="21">
        <v>7036</v>
      </c>
      <c r="DA11" s="21">
        <v>6938</v>
      </c>
      <c r="DB11" s="21">
        <v>7231</v>
      </c>
      <c r="DC11" s="21">
        <v>7553</v>
      </c>
      <c r="DD11" s="21">
        <v>7518</v>
      </c>
      <c r="DE11" s="21">
        <v>7157</v>
      </c>
      <c r="DF11" s="21">
        <v>7521</v>
      </c>
      <c r="DG11" s="21">
        <v>8565</v>
      </c>
      <c r="DH11" s="21">
        <v>9413</v>
      </c>
      <c r="DI11" s="21">
        <v>12075</v>
      </c>
      <c r="DJ11" s="21">
        <v>13258</v>
      </c>
      <c r="DK11" s="21">
        <v>14063</v>
      </c>
      <c r="DL11" s="21">
        <v>14154</v>
      </c>
      <c r="DM11" s="21">
        <v>13816</v>
      </c>
      <c r="DN11" s="21">
        <v>13450</v>
      </c>
      <c r="DO11" s="21">
        <v>12978</v>
      </c>
      <c r="DP11" s="21">
        <v>12307</v>
      </c>
      <c r="DQ11" s="21">
        <f t="shared" si="6"/>
        <v>243499</v>
      </c>
      <c r="DR11" s="49">
        <v>4</v>
      </c>
      <c r="DS11" s="21">
        <f t="shared" si="12"/>
        <v>973996</v>
      </c>
      <c r="DT11" s="110"/>
      <c r="DW11" s="107"/>
      <c r="DX11" s="23" t="s">
        <v>44</v>
      </c>
      <c r="DY11" s="21">
        <v>10893</v>
      </c>
      <c r="DZ11" s="21">
        <v>10377</v>
      </c>
      <c r="EA11" s="21">
        <v>10013</v>
      </c>
      <c r="EB11" s="21">
        <v>9759</v>
      </c>
      <c r="EC11" s="21">
        <v>9675</v>
      </c>
      <c r="ED11" s="21">
        <v>9817</v>
      </c>
      <c r="EE11" s="21">
        <v>7685</v>
      </c>
      <c r="EF11" s="21">
        <v>7127</v>
      </c>
      <c r="EG11" s="21">
        <v>7061</v>
      </c>
      <c r="EH11" s="21">
        <v>7361</v>
      </c>
      <c r="EI11" s="21">
        <v>7687</v>
      </c>
      <c r="EJ11" s="21">
        <v>7658</v>
      </c>
      <c r="EK11" s="21">
        <v>7294</v>
      </c>
      <c r="EL11" s="21">
        <v>7647</v>
      </c>
      <c r="EM11" s="21">
        <v>8667</v>
      </c>
      <c r="EN11" s="21">
        <v>9488</v>
      </c>
      <c r="EO11" s="21">
        <v>12061</v>
      </c>
      <c r="EP11" s="21">
        <v>13173</v>
      </c>
      <c r="EQ11" s="21">
        <v>13972</v>
      </c>
      <c r="ER11" s="21">
        <v>14063</v>
      </c>
      <c r="ES11" s="21">
        <v>13726</v>
      </c>
      <c r="ET11" s="21">
        <v>13363</v>
      </c>
      <c r="EU11" s="21">
        <v>12894</v>
      </c>
      <c r="EV11" s="21">
        <v>12228</v>
      </c>
      <c r="EW11" s="21">
        <f t="shared" si="7"/>
        <v>243689</v>
      </c>
      <c r="EX11" s="49">
        <v>4</v>
      </c>
      <c r="EY11" s="21">
        <f t="shared" si="13"/>
        <v>974756</v>
      </c>
      <c r="EZ11" s="110"/>
    </row>
    <row r="12" spans="1:156" x14ac:dyDescent="0.35">
      <c r="A12" s="107"/>
      <c r="B12" s="23" t="s">
        <v>45</v>
      </c>
      <c r="C12" s="21">
        <v>14662</v>
      </c>
      <c r="D12" s="21">
        <v>13949</v>
      </c>
      <c r="E12" s="21">
        <v>13443</v>
      </c>
      <c r="F12" s="21">
        <v>13030</v>
      </c>
      <c r="G12" s="21">
        <v>12814</v>
      </c>
      <c r="H12" s="21">
        <v>12755</v>
      </c>
      <c r="I12" s="21">
        <v>12850</v>
      </c>
      <c r="J12" s="21">
        <v>7548</v>
      </c>
      <c r="K12" s="21">
        <v>8069</v>
      </c>
      <c r="L12" s="21">
        <v>8710</v>
      </c>
      <c r="M12" s="21">
        <v>9104</v>
      </c>
      <c r="N12" s="21">
        <v>9480</v>
      </c>
      <c r="O12" s="21">
        <v>9619</v>
      </c>
      <c r="P12" s="21">
        <v>9651</v>
      </c>
      <c r="Q12" s="21">
        <v>9935</v>
      </c>
      <c r="R12" s="21">
        <v>10183</v>
      </c>
      <c r="S12" s="21">
        <v>10093</v>
      </c>
      <c r="T12" s="21">
        <v>13343</v>
      </c>
      <c r="U12" s="21">
        <v>14418</v>
      </c>
      <c r="V12" s="21">
        <v>14955</v>
      </c>
      <c r="W12" s="21">
        <v>15015</v>
      </c>
      <c r="X12" s="21">
        <v>14900</v>
      </c>
      <c r="Y12" s="21">
        <v>14205</v>
      </c>
      <c r="Z12" s="21">
        <v>13204</v>
      </c>
      <c r="AA12" s="21">
        <f t="shared" si="0"/>
        <v>285935</v>
      </c>
      <c r="AB12" s="22">
        <v>4</v>
      </c>
      <c r="AC12" s="21">
        <f t="shared" si="9"/>
        <v>1143740</v>
      </c>
      <c r="AD12" s="110"/>
      <c r="AF12" s="107"/>
      <c r="AG12" s="23" t="s">
        <v>45</v>
      </c>
      <c r="AH12" s="21">
        <v>9137</v>
      </c>
      <c r="AI12" s="21">
        <v>8625</v>
      </c>
      <c r="AJ12" s="21">
        <v>8256</v>
      </c>
      <c r="AK12" s="21">
        <v>7950</v>
      </c>
      <c r="AL12" s="21">
        <v>7790</v>
      </c>
      <c r="AM12" s="21">
        <v>7712</v>
      </c>
      <c r="AN12" s="21">
        <v>1798</v>
      </c>
      <c r="AO12" s="21">
        <v>1898</v>
      </c>
      <c r="AP12" s="21">
        <v>548</v>
      </c>
      <c r="AQ12" s="21">
        <v>505</v>
      </c>
      <c r="AR12" s="21">
        <v>594</v>
      </c>
      <c r="AS12" s="21">
        <v>570</v>
      </c>
      <c r="AT12" s="21">
        <v>1064</v>
      </c>
      <c r="AU12" s="21">
        <v>1614</v>
      </c>
      <c r="AV12" s="21">
        <v>3053</v>
      </c>
      <c r="AW12" s="21">
        <v>4725</v>
      </c>
      <c r="AX12" s="21">
        <v>11336</v>
      </c>
      <c r="AY12" s="21">
        <v>10217</v>
      </c>
      <c r="AZ12" s="21">
        <v>11088</v>
      </c>
      <c r="BA12" s="21">
        <v>11554</v>
      </c>
      <c r="BB12" s="21">
        <v>11688</v>
      </c>
      <c r="BC12" s="21">
        <v>11666</v>
      </c>
      <c r="BD12" s="21">
        <v>11133</v>
      </c>
      <c r="BE12" s="21">
        <v>10323</v>
      </c>
      <c r="BF12" s="21">
        <f t="shared" si="2"/>
        <v>154844</v>
      </c>
      <c r="BG12" s="49">
        <v>4</v>
      </c>
      <c r="BH12" s="21">
        <f t="shared" si="10"/>
        <v>619376</v>
      </c>
      <c r="BI12" s="110"/>
      <c r="BK12" s="107"/>
      <c r="BL12" s="23" t="s">
        <v>45</v>
      </c>
      <c r="BM12" s="21">
        <v>19548</v>
      </c>
      <c r="BN12" s="21">
        <v>18520</v>
      </c>
      <c r="BO12" s="21">
        <v>17806</v>
      </c>
      <c r="BP12" s="21">
        <v>17235</v>
      </c>
      <c r="BQ12" s="21">
        <v>16915</v>
      </c>
      <c r="BR12" s="21">
        <v>16818</v>
      </c>
      <c r="BS12" s="21">
        <v>11342</v>
      </c>
      <c r="BT12" s="21">
        <v>8733</v>
      </c>
      <c r="BU12" s="21">
        <v>7497</v>
      </c>
      <c r="BV12" s="21">
        <v>7591</v>
      </c>
      <c r="BW12" s="21">
        <v>7792</v>
      </c>
      <c r="BX12" s="21">
        <v>7833</v>
      </c>
      <c r="BY12" s="21">
        <v>8464</v>
      </c>
      <c r="BZ12" s="21">
        <v>9152</v>
      </c>
      <c r="CA12" s="21">
        <v>10984</v>
      </c>
      <c r="CB12" s="21">
        <v>13066</v>
      </c>
      <c r="CC12" s="21">
        <v>19448</v>
      </c>
      <c r="CD12" s="21">
        <v>21390</v>
      </c>
      <c r="CE12" s="21">
        <v>23226</v>
      </c>
      <c r="CF12" s="21">
        <v>24184</v>
      </c>
      <c r="CG12" s="21">
        <v>24313</v>
      </c>
      <c r="CH12" s="21">
        <v>24137</v>
      </c>
      <c r="CI12" s="21">
        <v>22963</v>
      </c>
      <c r="CJ12" s="21">
        <v>21334</v>
      </c>
      <c r="CK12" s="21">
        <f t="shared" si="4"/>
        <v>380291</v>
      </c>
      <c r="CL12" s="49">
        <v>4</v>
      </c>
      <c r="CM12" s="21">
        <f t="shared" si="11"/>
        <v>1521164</v>
      </c>
      <c r="CN12" s="110"/>
      <c r="CQ12" s="107"/>
      <c r="CR12" s="23" t="s">
        <v>45</v>
      </c>
      <c r="CS12" s="21">
        <v>11132</v>
      </c>
      <c r="CT12" s="21">
        <v>10582</v>
      </c>
      <c r="CU12" s="21">
        <v>10202</v>
      </c>
      <c r="CV12" s="21">
        <v>9900</v>
      </c>
      <c r="CW12" s="21">
        <v>9729</v>
      </c>
      <c r="CX12" s="21">
        <v>9681</v>
      </c>
      <c r="CY12" s="21">
        <v>7182</v>
      </c>
      <c r="CZ12" s="21">
        <v>5881</v>
      </c>
      <c r="DA12" s="21">
        <v>5095</v>
      </c>
      <c r="DB12" s="21">
        <v>5178</v>
      </c>
      <c r="DC12" s="21">
        <v>5296</v>
      </c>
      <c r="DD12" s="21">
        <v>5337</v>
      </c>
      <c r="DE12" s="21">
        <v>5639</v>
      </c>
      <c r="DF12" s="21">
        <v>5962</v>
      </c>
      <c r="DG12" s="21">
        <v>6832</v>
      </c>
      <c r="DH12" s="21">
        <v>7814</v>
      </c>
      <c r="DI12" s="21">
        <v>10741</v>
      </c>
      <c r="DJ12" s="21">
        <v>12186</v>
      </c>
      <c r="DK12" s="21">
        <v>13181</v>
      </c>
      <c r="DL12" s="21">
        <v>13698</v>
      </c>
      <c r="DM12" s="21">
        <v>13757</v>
      </c>
      <c r="DN12" s="21">
        <v>13653</v>
      </c>
      <c r="DO12" s="21">
        <v>13013</v>
      </c>
      <c r="DP12" s="21">
        <v>12134</v>
      </c>
      <c r="DQ12" s="21">
        <f t="shared" si="6"/>
        <v>223805</v>
      </c>
      <c r="DR12" s="49">
        <v>4</v>
      </c>
      <c r="DS12" s="21">
        <f t="shared" si="12"/>
        <v>895220</v>
      </c>
      <c r="DT12" s="110"/>
      <c r="DW12" s="107"/>
      <c r="DX12" s="23" t="s">
        <v>45</v>
      </c>
      <c r="DY12" s="21">
        <v>11079</v>
      </c>
      <c r="DZ12" s="21">
        <v>10533</v>
      </c>
      <c r="EA12" s="21">
        <v>10156</v>
      </c>
      <c r="EB12" s="21">
        <v>9856</v>
      </c>
      <c r="EC12" s="21">
        <v>9686</v>
      </c>
      <c r="ED12" s="21">
        <v>9638</v>
      </c>
      <c r="EE12" s="21">
        <v>7214</v>
      </c>
      <c r="EF12" s="21">
        <v>5979</v>
      </c>
      <c r="EG12" s="21">
        <v>5229</v>
      </c>
      <c r="EH12" s="21">
        <v>5322</v>
      </c>
      <c r="EI12" s="21">
        <v>5444</v>
      </c>
      <c r="EJ12" s="21">
        <v>5491</v>
      </c>
      <c r="EK12" s="21">
        <v>5786</v>
      </c>
      <c r="EL12" s="21">
        <v>6099</v>
      </c>
      <c r="EM12" s="21">
        <v>6945</v>
      </c>
      <c r="EN12" s="21">
        <v>7899</v>
      </c>
      <c r="EO12" s="21">
        <v>10736</v>
      </c>
      <c r="EP12" s="21">
        <v>12109</v>
      </c>
      <c r="EQ12" s="21">
        <v>13096</v>
      </c>
      <c r="ER12" s="21">
        <v>13610</v>
      </c>
      <c r="ES12" s="21">
        <v>13669</v>
      </c>
      <c r="ET12" s="21">
        <v>13565</v>
      </c>
      <c r="EU12" s="21">
        <v>12930</v>
      </c>
      <c r="EV12" s="21">
        <v>12057</v>
      </c>
      <c r="EW12" s="21">
        <f t="shared" si="7"/>
        <v>224128</v>
      </c>
      <c r="EX12" s="49">
        <v>4</v>
      </c>
      <c r="EY12" s="21">
        <f t="shared" si="13"/>
        <v>896512</v>
      </c>
      <c r="EZ12" s="110"/>
    </row>
    <row r="13" spans="1:156" ht="15" thickBot="1" x14ac:dyDescent="0.4">
      <c r="A13" s="108"/>
      <c r="B13" s="24" t="s">
        <v>46</v>
      </c>
      <c r="C13" s="21">
        <v>0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f t="shared" si="0"/>
        <v>0</v>
      </c>
      <c r="AB13" s="22">
        <v>0</v>
      </c>
      <c r="AC13" s="21">
        <f t="shared" si="9"/>
        <v>0</v>
      </c>
      <c r="AD13" s="111"/>
      <c r="AF13" s="108"/>
      <c r="AG13" s="24" t="s">
        <v>46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0</v>
      </c>
      <c r="AZ13" s="21">
        <v>0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f t="shared" si="2"/>
        <v>0</v>
      </c>
      <c r="BG13" s="50">
        <v>0</v>
      </c>
      <c r="BH13" s="21">
        <f t="shared" si="10"/>
        <v>0</v>
      </c>
      <c r="BI13" s="111"/>
      <c r="BK13" s="108"/>
      <c r="BL13" s="24" t="s">
        <v>46</v>
      </c>
      <c r="BM13" s="21">
        <v>0</v>
      </c>
      <c r="BN13" s="21">
        <v>0</v>
      </c>
      <c r="BO13" s="21">
        <v>0</v>
      </c>
      <c r="BP13" s="21">
        <v>0</v>
      </c>
      <c r="BQ13" s="21">
        <v>0</v>
      </c>
      <c r="BR13" s="21">
        <v>0</v>
      </c>
      <c r="BS13" s="21">
        <v>0</v>
      </c>
      <c r="BT13" s="21">
        <v>0</v>
      </c>
      <c r="BU13" s="21">
        <v>0</v>
      </c>
      <c r="BV13" s="21">
        <v>0</v>
      </c>
      <c r="BW13" s="21">
        <v>0</v>
      </c>
      <c r="BX13" s="21">
        <v>0</v>
      </c>
      <c r="BY13" s="21">
        <v>0</v>
      </c>
      <c r="BZ13" s="21">
        <v>0</v>
      </c>
      <c r="CA13" s="21">
        <v>0</v>
      </c>
      <c r="CB13" s="21">
        <v>0</v>
      </c>
      <c r="CC13" s="21">
        <v>0</v>
      </c>
      <c r="CD13" s="21">
        <v>0</v>
      </c>
      <c r="CE13" s="21">
        <v>0</v>
      </c>
      <c r="CF13" s="21">
        <v>0</v>
      </c>
      <c r="CG13" s="21">
        <v>0</v>
      </c>
      <c r="CH13" s="21">
        <v>0</v>
      </c>
      <c r="CI13" s="21">
        <v>0</v>
      </c>
      <c r="CJ13" s="21">
        <v>0</v>
      </c>
      <c r="CK13" s="21">
        <f t="shared" si="4"/>
        <v>0</v>
      </c>
      <c r="CL13" s="50">
        <v>0</v>
      </c>
      <c r="CM13" s="21">
        <f t="shared" si="11"/>
        <v>0</v>
      </c>
      <c r="CN13" s="111"/>
      <c r="CQ13" s="108"/>
      <c r="CR13" s="24" t="s">
        <v>46</v>
      </c>
      <c r="CS13" s="21">
        <v>0</v>
      </c>
      <c r="CT13" s="21">
        <v>0</v>
      </c>
      <c r="CU13" s="21">
        <v>0</v>
      </c>
      <c r="CV13" s="21">
        <v>0</v>
      </c>
      <c r="CW13" s="21">
        <v>0</v>
      </c>
      <c r="CX13" s="21">
        <v>0</v>
      </c>
      <c r="CY13" s="21">
        <v>0</v>
      </c>
      <c r="CZ13" s="21">
        <v>0</v>
      </c>
      <c r="DA13" s="21">
        <v>0</v>
      </c>
      <c r="DB13" s="21">
        <v>0</v>
      </c>
      <c r="DC13" s="21">
        <v>0</v>
      </c>
      <c r="DD13" s="21">
        <v>0</v>
      </c>
      <c r="DE13" s="21">
        <v>0</v>
      </c>
      <c r="DF13" s="21">
        <v>0</v>
      </c>
      <c r="DG13" s="21">
        <v>0</v>
      </c>
      <c r="DH13" s="21">
        <v>0</v>
      </c>
      <c r="DI13" s="21">
        <v>0</v>
      </c>
      <c r="DJ13" s="21">
        <v>0</v>
      </c>
      <c r="DK13" s="21">
        <v>0</v>
      </c>
      <c r="DL13" s="21">
        <v>0</v>
      </c>
      <c r="DM13" s="21">
        <v>0</v>
      </c>
      <c r="DN13" s="21">
        <v>0</v>
      </c>
      <c r="DO13" s="21">
        <v>0</v>
      </c>
      <c r="DP13" s="21">
        <v>0</v>
      </c>
      <c r="DQ13" s="21">
        <f t="shared" si="6"/>
        <v>0</v>
      </c>
      <c r="DR13" s="50">
        <v>0</v>
      </c>
      <c r="DS13" s="21">
        <f t="shared" si="12"/>
        <v>0</v>
      </c>
      <c r="DT13" s="111"/>
      <c r="DW13" s="108"/>
      <c r="DX13" s="24" t="s">
        <v>46</v>
      </c>
      <c r="DY13" s="21">
        <v>0</v>
      </c>
      <c r="DZ13" s="21">
        <v>0</v>
      </c>
      <c r="EA13" s="21">
        <v>0</v>
      </c>
      <c r="EB13" s="21">
        <v>0</v>
      </c>
      <c r="EC13" s="21">
        <v>0</v>
      </c>
      <c r="ED13" s="21">
        <v>0</v>
      </c>
      <c r="EE13" s="21">
        <v>0</v>
      </c>
      <c r="EF13" s="21">
        <v>0</v>
      </c>
      <c r="EG13" s="21">
        <v>0</v>
      </c>
      <c r="EH13" s="21">
        <v>0</v>
      </c>
      <c r="EI13" s="21">
        <v>0</v>
      </c>
      <c r="EJ13" s="21">
        <v>0</v>
      </c>
      <c r="EK13" s="21">
        <v>0</v>
      </c>
      <c r="EL13" s="21">
        <v>0</v>
      </c>
      <c r="EM13" s="21">
        <v>0</v>
      </c>
      <c r="EN13" s="21">
        <v>0</v>
      </c>
      <c r="EO13" s="21">
        <v>0</v>
      </c>
      <c r="EP13" s="21">
        <v>0</v>
      </c>
      <c r="EQ13" s="21">
        <v>0</v>
      </c>
      <c r="ER13" s="21">
        <v>0</v>
      </c>
      <c r="ES13" s="21">
        <v>0</v>
      </c>
      <c r="ET13" s="21">
        <v>0</v>
      </c>
      <c r="EU13" s="21">
        <v>0</v>
      </c>
      <c r="EV13" s="21">
        <v>0</v>
      </c>
      <c r="EW13" s="21">
        <f t="shared" si="7"/>
        <v>0</v>
      </c>
      <c r="EX13" s="50">
        <v>0</v>
      </c>
      <c r="EY13" s="21">
        <f t="shared" si="13"/>
        <v>0</v>
      </c>
      <c r="EZ13" s="111"/>
    </row>
    <row r="14" spans="1:156" x14ac:dyDescent="0.35">
      <c r="A14" s="106">
        <v>46447</v>
      </c>
      <c r="B14" s="19" t="s">
        <v>43</v>
      </c>
      <c r="C14" s="21">
        <v>13486</v>
      </c>
      <c r="D14" s="21">
        <v>12819</v>
      </c>
      <c r="E14" s="21">
        <v>12356</v>
      </c>
      <c r="F14" s="21">
        <v>12022</v>
      </c>
      <c r="G14" s="21">
        <v>11990</v>
      </c>
      <c r="H14" s="21">
        <v>12427</v>
      </c>
      <c r="I14" s="21">
        <v>12689</v>
      </c>
      <c r="J14" s="21">
        <v>8073</v>
      </c>
      <c r="K14" s="21">
        <v>9125</v>
      </c>
      <c r="L14" s="21">
        <v>9851</v>
      </c>
      <c r="M14" s="21">
        <v>10518</v>
      </c>
      <c r="N14" s="21">
        <v>10717</v>
      </c>
      <c r="O14" s="21">
        <v>9748</v>
      </c>
      <c r="P14" s="21">
        <v>11017</v>
      </c>
      <c r="Q14" s="21">
        <v>12347</v>
      </c>
      <c r="R14" s="21">
        <v>12548</v>
      </c>
      <c r="S14" s="21">
        <v>12182</v>
      </c>
      <c r="T14" s="21">
        <v>14370</v>
      </c>
      <c r="U14" s="21">
        <v>14622</v>
      </c>
      <c r="V14" s="21">
        <v>14597</v>
      </c>
      <c r="W14" s="21">
        <v>14492</v>
      </c>
      <c r="X14" s="21">
        <v>14177</v>
      </c>
      <c r="Y14" s="21">
        <v>13365</v>
      </c>
      <c r="Z14" s="21">
        <v>12378</v>
      </c>
      <c r="AA14" s="21">
        <f t="shared" si="0"/>
        <v>291916</v>
      </c>
      <c r="AB14" s="22">
        <v>20</v>
      </c>
      <c r="AC14" s="21">
        <f t="shared" si="9"/>
        <v>5838320</v>
      </c>
      <c r="AD14" s="109">
        <f>+SUM(AC14:AC17)</f>
        <v>8722401</v>
      </c>
      <c r="AF14" s="106">
        <v>46813</v>
      </c>
      <c r="AG14" s="19" t="s">
        <v>43</v>
      </c>
      <c r="AH14" s="21">
        <v>8806</v>
      </c>
      <c r="AI14" s="21">
        <v>8293</v>
      </c>
      <c r="AJ14" s="21">
        <v>7926</v>
      </c>
      <c r="AK14" s="21">
        <v>7648</v>
      </c>
      <c r="AL14" s="21">
        <v>7580</v>
      </c>
      <c r="AM14" s="21">
        <v>7776</v>
      </c>
      <c r="AN14" s="21">
        <v>2060</v>
      </c>
      <c r="AO14" s="21">
        <v>2918</v>
      </c>
      <c r="AP14" s="21">
        <v>2226</v>
      </c>
      <c r="AQ14" s="21">
        <v>2286</v>
      </c>
      <c r="AR14" s="21">
        <v>2616</v>
      </c>
      <c r="AS14" s="21">
        <v>2416</v>
      </c>
      <c r="AT14" s="21">
        <v>1918</v>
      </c>
      <c r="AU14" s="21">
        <v>3570</v>
      </c>
      <c r="AV14" s="21">
        <v>5855</v>
      </c>
      <c r="AW14" s="21">
        <v>7373</v>
      </c>
      <c r="AX14" s="21">
        <v>13663</v>
      </c>
      <c r="AY14" s="21">
        <v>11245</v>
      </c>
      <c r="AZ14" s="21">
        <v>11458</v>
      </c>
      <c r="BA14" s="21">
        <v>11464</v>
      </c>
      <c r="BB14" s="21">
        <v>11470</v>
      </c>
      <c r="BC14" s="21">
        <v>11316</v>
      </c>
      <c r="BD14" s="21">
        <v>10760</v>
      </c>
      <c r="BE14" s="21">
        <v>9991</v>
      </c>
      <c r="BF14" s="21">
        <f t="shared" si="2"/>
        <v>172634</v>
      </c>
      <c r="BG14" s="48">
        <v>22</v>
      </c>
      <c r="BH14" s="21">
        <f t="shared" si="10"/>
        <v>3797948</v>
      </c>
      <c r="BI14" s="109">
        <f>+SUM(BH14:BH17)</f>
        <v>5160567</v>
      </c>
      <c r="BK14" s="106">
        <v>47178</v>
      </c>
      <c r="BL14" s="19" t="s">
        <v>43</v>
      </c>
      <c r="BM14" s="21">
        <v>17853</v>
      </c>
      <c r="BN14" s="21">
        <v>16910</v>
      </c>
      <c r="BO14" s="21">
        <v>16258</v>
      </c>
      <c r="BP14" s="21">
        <v>15788</v>
      </c>
      <c r="BQ14" s="21">
        <v>15737</v>
      </c>
      <c r="BR14" s="21">
        <v>16280</v>
      </c>
      <c r="BS14" s="21">
        <v>11158</v>
      </c>
      <c r="BT14" s="21">
        <v>9724</v>
      </c>
      <c r="BU14" s="21">
        <v>9613</v>
      </c>
      <c r="BV14" s="21">
        <v>9940</v>
      </c>
      <c r="BW14" s="21">
        <v>10591</v>
      </c>
      <c r="BX14" s="21">
        <v>10469</v>
      </c>
      <c r="BY14" s="21">
        <v>9419</v>
      </c>
      <c r="BZ14" s="21">
        <v>11735</v>
      </c>
      <c r="CA14" s="21">
        <v>14915</v>
      </c>
      <c r="CB14" s="21">
        <v>16807</v>
      </c>
      <c r="CC14" s="21">
        <v>22704</v>
      </c>
      <c r="CD14" s="21">
        <v>23298</v>
      </c>
      <c r="CE14" s="21">
        <v>23847</v>
      </c>
      <c r="CF14" s="21">
        <v>23817</v>
      </c>
      <c r="CG14" s="21">
        <v>23561</v>
      </c>
      <c r="CH14" s="21">
        <v>23000</v>
      </c>
      <c r="CI14" s="21">
        <v>21751</v>
      </c>
      <c r="CJ14" s="21">
        <v>20111</v>
      </c>
      <c r="CK14" s="21">
        <f t="shared" si="4"/>
        <v>395286</v>
      </c>
      <c r="CL14" s="48">
        <v>19</v>
      </c>
      <c r="CM14" s="21">
        <f t="shared" si="11"/>
        <v>7510434</v>
      </c>
      <c r="CN14" s="109">
        <f>+SUM(CM14:CM17)</f>
        <v>11752852</v>
      </c>
      <c r="CQ14" s="106">
        <v>47543</v>
      </c>
      <c r="CR14" s="19" t="s">
        <v>43</v>
      </c>
      <c r="CS14" s="21">
        <v>10143</v>
      </c>
      <c r="CT14" s="21">
        <v>9646</v>
      </c>
      <c r="CU14" s="21">
        <v>9303</v>
      </c>
      <c r="CV14" s="21">
        <v>9057</v>
      </c>
      <c r="CW14" s="21">
        <v>9036</v>
      </c>
      <c r="CX14" s="21">
        <v>9336</v>
      </c>
      <c r="CY14" s="21">
        <v>7020</v>
      </c>
      <c r="CZ14" s="21">
        <v>6345</v>
      </c>
      <c r="DA14" s="21">
        <v>6111</v>
      </c>
      <c r="DB14" s="21">
        <v>6315</v>
      </c>
      <c r="DC14" s="21">
        <v>6668</v>
      </c>
      <c r="DD14" s="21">
        <v>6629</v>
      </c>
      <c r="DE14" s="21">
        <v>6060</v>
      </c>
      <c r="DF14" s="21">
        <v>7219</v>
      </c>
      <c r="DG14" s="21">
        <v>8794</v>
      </c>
      <c r="DH14" s="21">
        <v>9692</v>
      </c>
      <c r="DI14" s="21">
        <v>12377</v>
      </c>
      <c r="DJ14" s="21">
        <v>13183</v>
      </c>
      <c r="DK14" s="21">
        <v>13484</v>
      </c>
      <c r="DL14" s="21">
        <v>13465</v>
      </c>
      <c r="DM14" s="21">
        <v>13310</v>
      </c>
      <c r="DN14" s="21">
        <v>12992</v>
      </c>
      <c r="DO14" s="21">
        <v>12309</v>
      </c>
      <c r="DP14" s="21">
        <v>11420</v>
      </c>
      <c r="DQ14" s="21">
        <f t="shared" si="6"/>
        <v>229914</v>
      </c>
      <c r="DR14" s="48">
        <v>20</v>
      </c>
      <c r="DS14" s="21">
        <f t="shared" si="12"/>
        <v>4598280</v>
      </c>
      <c r="DT14" s="109">
        <f>+SUM(DS14:DS17)</f>
        <v>6909161</v>
      </c>
      <c r="DW14" s="106">
        <v>47908</v>
      </c>
      <c r="DX14" s="19" t="s">
        <v>43</v>
      </c>
      <c r="DY14" s="21">
        <v>10097</v>
      </c>
      <c r="DZ14" s="21">
        <v>9603</v>
      </c>
      <c r="EA14" s="21">
        <v>9262</v>
      </c>
      <c r="EB14" s="21">
        <v>9018</v>
      </c>
      <c r="EC14" s="21">
        <v>8997</v>
      </c>
      <c r="ED14" s="21">
        <v>9296</v>
      </c>
      <c r="EE14" s="21">
        <v>7053</v>
      </c>
      <c r="EF14" s="21">
        <v>6437</v>
      </c>
      <c r="EG14" s="21">
        <v>6234</v>
      </c>
      <c r="EH14" s="21">
        <v>6445</v>
      </c>
      <c r="EI14" s="21">
        <v>6800</v>
      </c>
      <c r="EJ14" s="21">
        <v>6767</v>
      </c>
      <c r="EK14" s="21">
        <v>6196</v>
      </c>
      <c r="EL14" s="21">
        <v>7341</v>
      </c>
      <c r="EM14" s="21">
        <v>8890</v>
      </c>
      <c r="EN14" s="21">
        <v>9762</v>
      </c>
      <c r="EO14" s="21">
        <v>12361</v>
      </c>
      <c r="EP14" s="21">
        <v>13098</v>
      </c>
      <c r="EQ14" s="21">
        <v>13397</v>
      </c>
      <c r="ER14" s="21">
        <v>13379</v>
      </c>
      <c r="ES14" s="21">
        <v>13225</v>
      </c>
      <c r="ET14" s="21">
        <v>12908</v>
      </c>
      <c r="EU14" s="21">
        <v>12230</v>
      </c>
      <c r="EV14" s="21">
        <v>11347</v>
      </c>
      <c r="EW14" s="21">
        <f t="shared" si="7"/>
        <v>230143</v>
      </c>
      <c r="EX14" s="48">
        <v>20</v>
      </c>
      <c r="EY14" s="21">
        <f t="shared" si="13"/>
        <v>4602860</v>
      </c>
      <c r="EZ14" s="109">
        <f>+SUM(EY14:EY17)</f>
        <v>6917680</v>
      </c>
    </row>
    <row r="15" spans="1:156" x14ac:dyDescent="0.35">
      <c r="A15" s="107"/>
      <c r="B15" s="23" t="s">
        <v>44</v>
      </c>
      <c r="C15" s="21">
        <v>13821</v>
      </c>
      <c r="D15" s="21">
        <v>13132</v>
      </c>
      <c r="E15" s="21">
        <v>12629</v>
      </c>
      <c r="F15" s="21">
        <v>12222</v>
      </c>
      <c r="G15" s="21">
        <v>12032</v>
      </c>
      <c r="H15" s="21">
        <v>12061</v>
      </c>
      <c r="I15" s="21">
        <v>12338</v>
      </c>
      <c r="J15" s="21">
        <v>7840</v>
      </c>
      <c r="K15" s="21">
        <v>9012</v>
      </c>
      <c r="L15" s="21">
        <v>9805</v>
      </c>
      <c r="M15" s="21">
        <v>10425</v>
      </c>
      <c r="N15" s="21">
        <v>10605</v>
      </c>
      <c r="O15" s="21">
        <v>9978</v>
      </c>
      <c r="P15" s="21">
        <v>10122</v>
      </c>
      <c r="Q15" s="21">
        <v>10608</v>
      </c>
      <c r="R15" s="21">
        <v>10691</v>
      </c>
      <c r="S15" s="21">
        <v>10340</v>
      </c>
      <c r="T15" s="21">
        <v>13380</v>
      </c>
      <c r="U15" s="21">
        <v>14151</v>
      </c>
      <c r="V15" s="21">
        <v>14183</v>
      </c>
      <c r="W15" s="21">
        <v>13926</v>
      </c>
      <c r="X15" s="21">
        <v>13676</v>
      </c>
      <c r="Y15" s="21">
        <v>13305</v>
      </c>
      <c r="Z15" s="21">
        <v>12683</v>
      </c>
      <c r="AA15" s="21">
        <f t="shared" si="0"/>
        <v>282965</v>
      </c>
      <c r="AB15" s="22">
        <v>4</v>
      </c>
      <c r="AC15" s="21">
        <f t="shared" si="9"/>
        <v>1131860</v>
      </c>
      <c r="AD15" s="110"/>
      <c r="AF15" s="107"/>
      <c r="AG15" s="23" t="s">
        <v>44</v>
      </c>
      <c r="AH15" s="21">
        <v>9135</v>
      </c>
      <c r="AI15" s="21">
        <v>8599</v>
      </c>
      <c r="AJ15" s="21">
        <v>8198</v>
      </c>
      <c r="AK15" s="21">
        <v>7875</v>
      </c>
      <c r="AL15" s="21">
        <v>7705</v>
      </c>
      <c r="AM15" s="21">
        <v>7673</v>
      </c>
      <c r="AN15" s="21">
        <v>1930</v>
      </c>
      <c r="AO15" s="21">
        <v>2737</v>
      </c>
      <c r="AP15" s="21">
        <v>2150</v>
      </c>
      <c r="AQ15" s="21">
        <v>2247</v>
      </c>
      <c r="AR15" s="21">
        <v>2539</v>
      </c>
      <c r="AS15" s="21">
        <v>2294</v>
      </c>
      <c r="AT15" s="21">
        <v>2059</v>
      </c>
      <c r="AU15" s="21">
        <v>2744</v>
      </c>
      <c r="AV15" s="21">
        <v>4335</v>
      </c>
      <c r="AW15" s="21">
        <v>5759</v>
      </c>
      <c r="AX15" s="21">
        <v>12056</v>
      </c>
      <c r="AY15" s="21">
        <v>10593</v>
      </c>
      <c r="AZ15" s="21">
        <v>11215</v>
      </c>
      <c r="BA15" s="21">
        <v>11249</v>
      </c>
      <c r="BB15" s="21">
        <v>11076</v>
      </c>
      <c r="BC15" s="21">
        <v>10955</v>
      </c>
      <c r="BD15" s="21">
        <v>10712</v>
      </c>
      <c r="BE15" s="21">
        <v>10220</v>
      </c>
      <c r="BF15" s="21">
        <f t="shared" si="2"/>
        <v>166055</v>
      </c>
      <c r="BG15" s="49">
        <v>4</v>
      </c>
      <c r="BH15" s="21">
        <f t="shared" si="10"/>
        <v>664220</v>
      </c>
      <c r="BI15" s="110"/>
      <c r="BK15" s="107"/>
      <c r="BL15" s="23" t="s">
        <v>44</v>
      </c>
      <c r="BM15" s="21">
        <v>18310</v>
      </c>
      <c r="BN15" s="21">
        <v>17320</v>
      </c>
      <c r="BO15" s="21">
        <v>16622</v>
      </c>
      <c r="BP15" s="21">
        <v>16064</v>
      </c>
      <c r="BQ15" s="21">
        <v>15820</v>
      </c>
      <c r="BR15" s="21">
        <v>15874</v>
      </c>
      <c r="BS15" s="21">
        <v>10732</v>
      </c>
      <c r="BT15" s="21">
        <v>9371</v>
      </c>
      <c r="BU15" s="21">
        <v>9367</v>
      </c>
      <c r="BV15" s="21">
        <v>9725</v>
      </c>
      <c r="BW15" s="21">
        <v>10287</v>
      </c>
      <c r="BX15" s="21">
        <v>10085</v>
      </c>
      <c r="BY15" s="21">
        <v>9522</v>
      </c>
      <c r="BZ15" s="21">
        <v>10287</v>
      </c>
      <c r="CA15" s="21">
        <v>12241</v>
      </c>
      <c r="CB15" s="21">
        <v>13936</v>
      </c>
      <c r="CC15" s="21">
        <v>19855</v>
      </c>
      <c r="CD15" s="21">
        <v>21481</v>
      </c>
      <c r="CE15" s="21">
        <v>22913</v>
      </c>
      <c r="CF15" s="21">
        <v>23024</v>
      </c>
      <c r="CG15" s="21">
        <v>22530</v>
      </c>
      <c r="CH15" s="21">
        <v>22030</v>
      </c>
      <c r="CI15" s="21">
        <v>21344</v>
      </c>
      <c r="CJ15" s="21">
        <v>20312</v>
      </c>
      <c r="CK15" s="21">
        <f t="shared" si="4"/>
        <v>379052</v>
      </c>
      <c r="CL15" s="49">
        <v>5</v>
      </c>
      <c r="CM15" s="21">
        <f t="shared" si="11"/>
        <v>1895260</v>
      </c>
      <c r="CN15" s="110"/>
      <c r="CQ15" s="107"/>
      <c r="CR15" s="23" t="s">
        <v>44</v>
      </c>
      <c r="CS15" s="21">
        <v>10376</v>
      </c>
      <c r="CT15" s="21">
        <v>9853</v>
      </c>
      <c r="CU15" s="21">
        <v>9486</v>
      </c>
      <c r="CV15" s="21">
        <v>9194</v>
      </c>
      <c r="CW15" s="21">
        <v>9069</v>
      </c>
      <c r="CX15" s="21">
        <v>9105</v>
      </c>
      <c r="CY15" s="21">
        <v>6781</v>
      </c>
      <c r="CZ15" s="21">
        <v>6149</v>
      </c>
      <c r="DA15" s="21">
        <v>5976</v>
      </c>
      <c r="DB15" s="21">
        <v>6195</v>
      </c>
      <c r="DC15" s="21">
        <v>6500</v>
      </c>
      <c r="DD15" s="21">
        <v>6420</v>
      </c>
      <c r="DE15" s="21">
        <v>6108</v>
      </c>
      <c r="DF15" s="21">
        <v>6464</v>
      </c>
      <c r="DG15" s="21">
        <v>7398</v>
      </c>
      <c r="DH15" s="21">
        <v>8191</v>
      </c>
      <c r="DI15" s="21">
        <v>10889</v>
      </c>
      <c r="DJ15" s="21">
        <v>12173</v>
      </c>
      <c r="DK15" s="21">
        <v>12953</v>
      </c>
      <c r="DL15" s="21">
        <v>13015</v>
      </c>
      <c r="DM15" s="21">
        <v>12740</v>
      </c>
      <c r="DN15" s="21">
        <v>12455</v>
      </c>
      <c r="DO15" s="21">
        <v>12073</v>
      </c>
      <c r="DP15" s="21">
        <v>11515</v>
      </c>
      <c r="DQ15" s="21">
        <f t="shared" si="6"/>
        <v>221078</v>
      </c>
      <c r="DR15" s="49">
        <v>5</v>
      </c>
      <c r="DS15" s="21">
        <f t="shared" si="12"/>
        <v>1105390</v>
      </c>
      <c r="DT15" s="110"/>
      <c r="DW15" s="107"/>
      <c r="DX15" s="23" t="s">
        <v>44</v>
      </c>
      <c r="DY15" s="21">
        <v>10328</v>
      </c>
      <c r="DZ15" s="21">
        <v>9809</v>
      </c>
      <c r="EA15" s="21">
        <v>9445</v>
      </c>
      <c r="EB15" s="21">
        <v>9154</v>
      </c>
      <c r="EC15" s="21">
        <v>9030</v>
      </c>
      <c r="ED15" s="21">
        <v>9065</v>
      </c>
      <c r="EE15" s="21">
        <v>6815</v>
      </c>
      <c r="EF15" s="21">
        <v>6243</v>
      </c>
      <c r="EG15" s="21">
        <v>6099</v>
      </c>
      <c r="EH15" s="21">
        <v>6326</v>
      </c>
      <c r="EI15" s="21">
        <v>6633</v>
      </c>
      <c r="EJ15" s="21">
        <v>6560</v>
      </c>
      <c r="EK15" s="21">
        <v>6244</v>
      </c>
      <c r="EL15" s="21">
        <v>6592</v>
      </c>
      <c r="EM15" s="21">
        <v>7503</v>
      </c>
      <c r="EN15" s="21">
        <v>8271</v>
      </c>
      <c r="EO15" s="21">
        <v>10882</v>
      </c>
      <c r="EP15" s="21">
        <v>12095</v>
      </c>
      <c r="EQ15" s="21">
        <v>12870</v>
      </c>
      <c r="ER15" s="21">
        <v>12931</v>
      </c>
      <c r="ES15" s="21">
        <v>12659</v>
      </c>
      <c r="ET15" s="21">
        <v>12375</v>
      </c>
      <c r="EU15" s="21">
        <v>11997</v>
      </c>
      <c r="EV15" s="21">
        <v>11442</v>
      </c>
      <c r="EW15" s="21">
        <f t="shared" si="7"/>
        <v>221368</v>
      </c>
      <c r="EX15" s="49">
        <v>5</v>
      </c>
      <c r="EY15" s="21">
        <f t="shared" si="13"/>
        <v>1106840</v>
      </c>
      <c r="EZ15" s="110"/>
    </row>
    <row r="16" spans="1:156" x14ac:dyDescent="0.35">
      <c r="A16" s="107"/>
      <c r="B16" s="23" t="s">
        <v>45</v>
      </c>
      <c r="C16" s="21">
        <v>13947</v>
      </c>
      <c r="D16" s="21">
        <v>13266</v>
      </c>
      <c r="E16" s="21">
        <v>12783</v>
      </c>
      <c r="F16" s="21">
        <v>12391</v>
      </c>
      <c r="G16" s="21">
        <v>12147</v>
      </c>
      <c r="H16" s="21">
        <v>11983</v>
      </c>
      <c r="I16" s="21">
        <v>11900</v>
      </c>
      <c r="J16" s="21">
        <v>6451</v>
      </c>
      <c r="K16" s="21">
        <v>6826</v>
      </c>
      <c r="L16" s="21">
        <v>7231</v>
      </c>
      <c r="M16" s="21">
        <v>7448</v>
      </c>
      <c r="N16" s="21">
        <v>7766</v>
      </c>
      <c r="O16" s="21">
        <v>7975</v>
      </c>
      <c r="P16" s="21">
        <v>8096</v>
      </c>
      <c r="Q16" s="21">
        <v>8401</v>
      </c>
      <c r="R16" s="21">
        <v>8611</v>
      </c>
      <c r="S16" s="21">
        <v>8529</v>
      </c>
      <c r="T16" s="21">
        <v>12041</v>
      </c>
      <c r="U16" s="21">
        <v>13016</v>
      </c>
      <c r="V16" s="21">
        <v>13565</v>
      </c>
      <c r="W16" s="21">
        <v>13710</v>
      </c>
      <c r="X16" s="21">
        <v>13683</v>
      </c>
      <c r="Y16" s="21">
        <v>13023</v>
      </c>
      <c r="Z16" s="21">
        <v>12160</v>
      </c>
      <c r="AA16" s="21">
        <f t="shared" si="0"/>
        <v>256949</v>
      </c>
      <c r="AB16" s="22">
        <v>4</v>
      </c>
      <c r="AC16" s="21">
        <f t="shared" si="9"/>
        <v>1027796</v>
      </c>
      <c r="AD16" s="110"/>
      <c r="AF16" s="107"/>
      <c r="AG16" s="23" t="s">
        <v>45</v>
      </c>
      <c r="AH16" s="21">
        <v>9187</v>
      </c>
      <c r="AI16" s="21">
        <v>8694</v>
      </c>
      <c r="AJ16" s="21">
        <v>8319</v>
      </c>
      <c r="AK16" s="21">
        <v>8021</v>
      </c>
      <c r="AL16" s="21">
        <v>7828</v>
      </c>
      <c r="AM16" s="21">
        <v>7652</v>
      </c>
      <c r="AN16" s="21">
        <v>1645</v>
      </c>
      <c r="AO16" s="21">
        <v>1492</v>
      </c>
      <c r="AP16" s="21">
        <v>141</v>
      </c>
      <c r="AQ16" s="21">
        <v>5</v>
      </c>
      <c r="AR16" s="21">
        <v>5</v>
      </c>
      <c r="AS16" s="21">
        <v>5</v>
      </c>
      <c r="AT16" s="21">
        <v>315</v>
      </c>
      <c r="AU16" s="21">
        <v>947</v>
      </c>
      <c r="AV16" s="21">
        <v>2400</v>
      </c>
      <c r="AW16" s="21">
        <v>3947</v>
      </c>
      <c r="AX16" s="21">
        <v>10475</v>
      </c>
      <c r="AY16" s="21">
        <v>9644</v>
      </c>
      <c r="AZ16" s="21">
        <v>10401</v>
      </c>
      <c r="BA16" s="21">
        <v>10890</v>
      </c>
      <c r="BB16" s="21">
        <v>11135</v>
      </c>
      <c r="BC16" s="21">
        <v>11238</v>
      </c>
      <c r="BD16" s="21">
        <v>10768</v>
      </c>
      <c r="BE16" s="21">
        <v>10047</v>
      </c>
      <c r="BF16" s="21">
        <f t="shared" si="2"/>
        <v>145201</v>
      </c>
      <c r="BG16" s="49">
        <v>4</v>
      </c>
      <c r="BH16" s="21">
        <f t="shared" si="10"/>
        <v>580804</v>
      </c>
      <c r="BI16" s="110"/>
      <c r="BK16" s="107"/>
      <c r="BL16" s="23" t="s">
        <v>45</v>
      </c>
      <c r="BM16" s="21">
        <v>18373</v>
      </c>
      <c r="BN16" s="21">
        <v>17422</v>
      </c>
      <c r="BO16" s="21">
        <v>16746</v>
      </c>
      <c r="BP16" s="21">
        <v>16198</v>
      </c>
      <c r="BQ16" s="21">
        <v>15872</v>
      </c>
      <c r="BR16" s="21">
        <v>15666</v>
      </c>
      <c r="BS16" s="21">
        <v>10005</v>
      </c>
      <c r="BT16" s="21">
        <v>7334</v>
      </c>
      <c r="BU16" s="21">
        <v>6152</v>
      </c>
      <c r="BV16" s="21">
        <v>6060</v>
      </c>
      <c r="BW16" s="21">
        <v>6066</v>
      </c>
      <c r="BX16" s="21">
        <v>6141</v>
      </c>
      <c r="BY16" s="21">
        <v>6769</v>
      </c>
      <c r="BZ16" s="21">
        <v>7476</v>
      </c>
      <c r="CA16" s="21">
        <v>9216</v>
      </c>
      <c r="CB16" s="21">
        <v>11073</v>
      </c>
      <c r="CC16" s="21">
        <v>17360</v>
      </c>
      <c r="CD16" s="21">
        <v>19575</v>
      </c>
      <c r="CE16" s="21">
        <v>21303</v>
      </c>
      <c r="CF16" s="21">
        <v>22177</v>
      </c>
      <c r="CG16" s="21">
        <v>22363</v>
      </c>
      <c r="CH16" s="21">
        <v>22262</v>
      </c>
      <c r="CI16" s="21">
        <v>21246</v>
      </c>
      <c r="CJ16" s="21">
        <v>19832</v>
      </c>
      <c r="CK16" s="21">
        <f t="shared" si="4"/>
        <v>342687</v>
      </c>
      <c r="CL16" s="49">
        <v>4</v>
      </c>
      <c r="CM16" s="21">
        <f t="shared" si="11"/>
        <v>1370748</v>
      </c>
      <c r="CN16" s="110"/>
      <c r="CQ16" s="107"/>
      <c r="CR16" s="23" t="s">
        <v>45</v>
      </c>
      <c r="CS16" s="21">
        <v>10409</v>
      </c>
      <c r="CT16" s="21">
        <v>9904</v>
      </c>
      <c r="CU16" s="21">
        <v>9547</v>
      </c>
      <c r="CV16" s="21">
        <v>9258</v>
      </c>
      <c r="CW16" s="21">
        <v>9087</v>
      </c>
      <c r="CX16" s="21">
        <v>8986</v>
      </c>
      <c r="CY16" s="21">
        <v>6386</v>
      </c>
      <c r="CZ16" s="21">
        <v>5053</v>
      </c>
      <c r="DA16" s="21">
        <v>4318</v>
      </c>
      <c r="DB16" s="21">
        <v>4307</v>
      </c>
      <c r="DC16" s="21">
        <v>4324</v>
      </c>
      <c r="DD16" s="21">
        <v>4386</v>
      </c>
      <c r="DE16" s="21">
        <v>4687</v>
      </c>
      <c r="DF16" s="21">
        <v>5016</v>
      </c>
      <c r="DG16" s="21">
        <v>5839</v>
      </c>
      <c r="DH16" s="21">
        <v>6714</v>
      </c>
      <c r="DI16" s="21">
        <v>9602</v>
      </c>
      <c r="DJ16" s="21">
        <v>11143</v>
      </c>
      <c r="DK16" s="21">
        <v>12085</v>
      </c>
      <c r="DL16" s="21">
        <v>12548</v>
      </c>
      <c r="DM16" s="21">
        <v>12629</v>
      </c>
      <c r="DN16" s="21">
        <v>12553</v>
      </c>
      <c r="DO16" s="21">
        <v>12001</v>
      </c>
      <c r="DP16" s="21">
        <v>11242</v>
      </c>
      <c r="DQ16" s="21">
        <f t="shared" si="6"/>
        <v>202024</v>
      </c>
      <c r="DR16" s="49">
        <v>5</v>
      </c>
      <c r="DS16" s="21">
        <f t="shared" si="12"/>
        <v>1010120</v>
      </c>
      <c r="DT16" s="110"/>
      <c r="DW16" s="107"/>
      <c r="DX16" s="23" t="s">
        <v>45</v>
      </c>
      <c r="DY16" s="21">
        <v>10361</v>
      </c>
      <c r="DZ16" s="21">
        <v>9859</v>
      </c>
      <c r="EA16" s="21">
        <v>9505</v>
      </c>
      <c r="EB16" s="21">
        <v>9217</v>
      </c>
      <c r="EC16" s="21">
        <v>9048</v>
      </c>
      <c r="ED16" s="21">
        <v>8947</v>
      </c>
      <c r="EE16" s="21">
        <v>6423</v>
      </c>
      <c r="EF16" s="21">
        <v>5154</v>
      </c>
      <c r="EG16" s="21">
        <v>4452</v>
      </c>
      <c r="EH16" s="21">
        <v>4450</v>
      </c>
      <c r="EI16" s="21">
        <v>4471</v>
      </c>
      <c r="EJ16" s="21">
        <v>4538</v>
      </c>
      <c r="EK16" s="21">
        <v>4832</v>
      </c>
      <c r="EL16" s="21">
        <v>5153</v>
      </c>
      <c r="EM16" s="21">
        <v>5954</v>
      </c>
      <c r="EN16" s="21">
        <v>6803</v>
      </c>
      <c r="EO16" s="21">
        <v>9603</v>
      </c>
      <c r="EP16" s="21">
        <v>11072</v>
      </c>
      <c r="EQ16" s="21">
        <v>12007</v>
      </c>
      <c r="ER16" s="21">
        <v>12468</v>
      </c>
      <c r="ES16" s="21">
        <v>12548</v>
      </c>
      <c r="ET16" s="21">
        <v>12473</v>
      </c>
      <c r="EU16" s="21">
        <v>11924</v>
      </c>
      <c r="EV16" s="21">
        <v>11171</v>
      </c>
      <c r="EW16" s="21">
        <f t="shared" si="7"/>
        <v>202433</v>
      </c>
      <c r="EX16" s="49">
        <v>5</v>
      </c>
      <c r="EY16" s="21">
        <f t="shared" si="13"/>
        <v>1012165</v>
      </c>
      <c r="EZ16" s="110"/>
    </row>
    <row r="17" spans="1:156" ht="15" thickBot="1" x14ac:dyDescent="0.4">
      <c r="A17" s="108"/>
      <c r="B17" s="24" t="s">
        <v>46</v>
      </c>
      <c r="C17" s="21">
        <v>12184</v>
      </c>
      <c r="D17" s="21">
        <v>11498</v>
      </c>
      <c r="E17" s="21">
        <v>11064</v>
      </c>
      <c r="F17" s="21">
        <v>10767</v>
      </c>
      <c r="G17" s="21">
        <v>10641</v>
      </c>
      <c r="H17" s="21">
        <v>10588</v>
      </c>
      <c r="I17" s="21">
        <v>10761</v>
      </c>
      <c r="J17" s="21">
        <v>5765</v>
      </c>
      <c r="K17" s="21">
        <v>6459</v>
      </c>
      <c r="L17" s="21">
        <v>7174</v>
      </c>
      <c r="M17" s="21">
        <v>7803</v>
      </c>
      <c r="N17" s="21">
        <v>8226</v>
      </c>
      <c r="O17" s="21">
        <v>8072</v>
      </c>
      <c r="P17" s="21">
        <v>8331</v>
      </c>
      <c r="Q17" s="21">
        <v>8502</v>
      </c>
      <c r="R17" s="21">
        <v>8452</v>
      </c>
      <c r="S17" s="21">
        <v>8164</v>
      </c>
      <c r="T17" s="21">
        <v>11577</v>
      </c>
      <c r="U17" s="21">
        <v>12696</v>
      </c>
      <c r="V17" s="21">
        <v>13232</v>
      </c>
      <c r="W17" s="21">
        <v>13262</v>
      </c>
      <c r="X17" s="21">
        <v>12995</v>
      </c>
      <c r="Y17" s="21">
        <v>12105</v>
      </c>
      <c r="Z17" s="21">
        <v>11157</v>
      </c>
      <c r="AA17" s="21">
        <f t="shared" si="0"/>
        <v>241475</v>
      </c>
      <c r="AB17" s="22">
        <v>3</v>
      </c>
      <c r="AC17" s="21">
        <f t="shared" si="9"/>
        <v>724425</v>
      </c>
      <c r="AD17" s="111"/>
      <c r="AF17" s="108"/>
      <c r="AG17" s="24" t="s">
        <v>46</v>
      </c>
      <c r="AH17" s="21">
        <v>7059</v>
      </c>
      <c r="AI17" s="21">
        <v>6597</v>
      </c>
      <c r="AJ17" s="21">
        <v>6300</v>
      </c>
      <c r="AK17" s="21">
        <v>6098</v>
      </c>
      <c r="AL17" s="21">
        <v>6000</v>
      </c>
      <c r="AM17" s="21">
        <v>5975</v>
      </c>
      <c r="AN17" s="21">
        <v>193</v>
      </c>
      <c r="AO17" s="21">
        <v>506</v>
      </c>
      <c r="AP17" s="21">
        <v>5</v>
      </c>
      <c r="AQ17" s="21">
        <v>5</v>
      </c>
      <c r="AR17" s="21">
        <v>5</v>
      </c>
      <c r="AS17" s="21">
        <v>5</v>
      </c>
      <c r="AT17" s="21">
        <v>5</v>
      </c>
      <c r="AU17" s="21">
        <v>487</v>
      </c>
      <c r="AV17" s="21">
        <v>1778</v>
      </c>
      <c r="AW17" s="21">
        <v>3130</v>
      </c>
      <c r="AX17" s="21">
        <v>9518</v>
      </c>
      <c r="AY17" s="21">
        <v>8453</v>
      </c>
      <c r="AZ17" s="21">
        <v>9377</v>
      </c>
      <c r="BA17" s="21">
        <v>9785</v>
      </c>
      <c r="BB17" s="21">
        <v>9779</v>
      </c>
      <c r="BC17" s="21">
        <v>9543</v>
      </c>
      <c r="BD17" s="21">
        <v>8861</v>
      </c>
      <c r="BE17" s="21">
        <v>8131</v>
      </c>
      <c r="BF17" s="21">
        <f t="shared" si="2"/>
        <v>117595</v>
      </c>
      <c r="BG17" s="50">
        <v>1</v>
      </c>
      <c r="BH17" s="21">
        <f t="shared" si="10"/>
        <v>117595</v>
      </c>
      <c r="BI17" s="111"/>
      <c r="BK17" s="108"/>
      <c r="BL17" s="24" t="s">
        <v>46</v>
      </c>
      <c r="BM17" s="21">
        <v>16341</v>
      </c>
      <c r="BN17" s="21">
        <v>15383</v>
      </c>
      <c r="BO17" s="21">
        <v>14766</v>
      </c>
      <c r="BP17" s="21">
        <v>14346</v>
      </c>
      <c r="BQ17" s="21">
        <v>14134</v>
      </c>
      <c r="BR17" s="21">
        <v>14090</v>
      </c>
      <c r="BS17" s="21">
        <v>8761</v>
      </c>
      <c r="BT17" s="21">
        <v>6690</v>
      </c>
      <c r="BU17" s="21">
        <v>5940</v>
      </c>
      <c r="BV17" s="21">
        <v>6244</v>
      </c>
      <c r="BW17" s="21">
        <v>6756</v>
      </c>
      <c r="BX17" s="21">
        <v>6829</v>
      </c>
      <c r="BY17" s="21">
        <v>6894</v>
      </c>
      <c r="BZ17" s="21">
        <v>7810</v>
      </c>
      <c r="CA17" s="21">
        <v>9405</v>
      </c>
      <c r="CB17" s="21">
        <v>10987</v>
      </c>
      <c r="CC17" s="21">
        <v>16972</v>
      </c>
      <c r="CD17" s="21">
        <v>19028</v>
      </c>
      <c r="CE17" s="21">
        <v>20970</v>
      </c>
      <c r="CF17" s="21">
        <v>21813</v>
      </c>
      <c r="CG17" s="21">
        <v>21788</v>
      </c>
      <c r="CH17" s="21">
        <v>21285</v>
      </c>
      <c r="CI17" s="21">
        <v>19875</v>
      </c>
      <c r="CJ17" s="21">
        <v>18363</v>
      </c>
      <c r="CK17" s="21">
        <f t="shared" si="4"/>
        <v>325470</v>
      </c>
      <c r="CL17" s="50">
        <v>3</v>
      </c>
      <c r="CM17" s="21">
        <f t="shared" si="11"/>
        <v>976410</v>
      </c>
      <c r="CN17" s="111"/>
      <c r="CQ17" s="108"/>
      <c r="CR17" s="24" t="s">
        <v>46</v>
      </c>
      <c r="CS17" s="21">
        <v>9455</v>
      </c>
      <c r="CT17" s="21">
        <v>8941</v>
      </c>
      <c r="CU17" s="21">
        <v>8611</v>
      </c>
      <c r="CV17" s="21">
        <v>8386</v>
      </c>
      <c r="CW17" s="21">
        <v>8272</v>
      </c>
      <c r="CX17" s="21">
        <v>8248</v>
      </c>
      <c r="CY17" s="21">
        <v>5819</v>
      </c>
      <c r="CZ17" s="21">
        <v>4800</v>
      </c>
      <c r="DA17" s="21">
        <v>4274</v>
      </c>
      <c r="DB17" s="21">
        <v>4469</v>
      </c>
      <c r="DC17" s="21">
        <v>4751</v>
      </c>
      <c r="DD17" s="21">
        <v>4812</v>
      </c>
      <c r="DE17" s="21">
        <v>4826</v>
      </c>
      <c r="DF17" s="21">
        <v>5270</v>
      </c>
      <c r="DG17" s="21">
        <v>6026</v>
      </c>
      <c r="DH17" s="21">
        <v>6760</v>
      </c>
      <c r="DI17" s="21">
        <v>9486</v>
      </c>
      <c r="DJ17" s="21">
        <v>10971</v>
      </c>
      <c r="DK17" s="21">
        <v>12021</v>
      </c>
      <c r="DL17" s="21">
        <v>12477</v>
      </c>
      <c r="DM17" s="21">
        <v>12464</v>
      </c>
      <c r="DN17" s="21">
        <v>12192</v>
      </c>
      <c r="DO17" s="21">
        <v>11429</v>
      </c>
      <c r="DP17" s="21">
        <v>10611</v>
      </c>
      <c r="DQ17" s="21">
        <f t="shared" si="6"/>
        <v>195371</v>
      </c>
      <c r="DR17" s="50">
        <v>1</v>
      </c>
      <c r="DS17" s="21">
        <f t="shared" si="12"/>
        <v>195371</v>
      </c>
      <c r="DT17" s="111"/>
      <c r="DW17" s="108"/>
      <c r="DX17" s="24" t="s">
        <v>46</v>
      </c>
      <c r="DY17" s="21">
        <v>9412</v>
      </c>
      <c r="DZ17" s="21">
        <v>8902</v>
      </c>
      <c r="EA17" s="21">
        <v>8574</v>
      </c>
      <c r="EB17" s="21">
        <v>8350</v>
      </c>
      <c r="EC17" s="21">
        <v>8238</v>
      </c>
      <c r="ED17" s="21">
        <v>8214</v>
      </c>
      <c r="EE17" s="21">
        <v>5859</v>
      </c>
      <c r="EF17" s="21">
        <v>4902</v>
      </c>
      <c r="EG17" s="21">
        <v>4407</v>
      </c>
      <c r="EH17" s="21">
        <v>4610</v>
      </c>
      <c r="EI17" s="21">
        <v>4895</v>
      </c>
      <c r="EJ17" s="21">
        <v>4962</v>
      </c>
      <c r="EK17" s="21">
        <v>4971</v>
      </c>
      <c r="EL17" s="21">
        <v>5405</v>
      </c>
      <c r="EM17" s="21">
        <v>6140</v>
      </c>
      <c r="EN17" s="21">
        <v>6849</v>
      </c>
      <c r="EO17" s="21">
        <v>9488</v>
      </c>
      <c r="EP17" s="21">
        <v>10901</v>
      </c>
      <c r="EQ17" s="21">
        <v>11943</v>
      </c>
      <c r="ER17" s="21">
        <v>12396</v>
      </c>
      <c r="ES17" s="21">
        <v>12383</v>
      </c>
      <c r="ET17" s="21">
        <v>12114</v>
      </c>
      <c r="EU17" s="21">
        <v>11356</v>
      </c>
      <c r="EV17" s="21">
        <v>10544</v>
      </c>
      <c r="EW17" s="21">
        <f t="shared" si="7"/>
        <v>195815</v>
      </c>
      <c r="EX17" s="50">
        <v>1</v>
      </c>
      <c r="EY17" s="21">
        <f t="shared" si="13"/>
        <v>195815</v>
      </c>
      <c r="EZ17" s="111"/>
    </row>
    <row r="18" spans="1:156" x14ac:dyDescent="0.35">
      <c r="A18" s="106">
        <v>46478</v>
      </c>
      <c r="B18" s="19" t="s">
        <v>43</v>
      </c>
      <c r="C18" s="21">
        <v>13992</v>
      </c>
      <c r="D18" s="21">
        <v>13294</v>
      </c>
      <c r="E18" s="21">
        <v>12816</v>
      </c>
      <c r="F18" s="21">
        <v>12480</v>
      </c>
      <c r="G18" s="21">
        <v>12458</v>
      </c>
      <c r="H18" s="21">
        <v>12699</v>
      </c>
      <c r="I18" s="21">
        <v>13103</v>
      </c>
      <c r="J18" s="21">
        <v>8743</v>
      </c>
      <c r="K18" s="21">
        <v>10046</v>
      </c>
      <c r="L18" s="21">
        <v>10896</v>
      </c>
      <c r="M18" s="21">
        <v>11712</v>
      </c>
      <c r="N18" s="21">
        <v>12007</v>
      </c>
      <c r="O18" s="21">
        <v>10883</v>
      </c>
      <c r="P18" s="21">
        <v>12183</v>
      </c>
      <c r="Q18" s="21">
        <v>13666</v>
      </c>
      <c r="R18" s="21">
        <v>13816</v>
      </c>
      <c r="S18" s="21">
        <v>13314</v>
      </c>
      <c r="T18" s="21">
        <v>15331</v>
      </c>
      <c r="U18" s="21">
        <v>15564</v>
      </c>
      <c r="V18" s="21">
        <v>15449</v>
      </c>
      <c r="W18" s="21">
        <v>15307</v>
      </c>
      <c r="X18" s="21">
        <v>14939</v>
      </c>
      <c r="Y18" s="21">
        <v>14092</v>
      </c>
      <c r="Z18" s="21">
        <v>13017</v>
      </c>
      <c r="AA18" s="21">
        <f t="shared" si="0"/>
        <v>311807</v>
      </c>
      <c r="AB18" s="22">
        <v>22</v>
      </c>
      <c r="AC18" s="21">
        <f t="shared" si="9"/>
        <v>6859754</v>
      </c>
      <c r="AD18" s="109">
        <f>+SUM(AC18:AC21)</f>
        <v>9107066</v>
      </c>
      <c r="AF18" s="106">
        <v>46844</v>
      </c>
      <c r="AG18" s="19" t="s">
        <v>43</v>
      </c>
      <c r="AH18" s="21">
        <v>9430</v>
      </c>
      <c r="AI18" s="21">
        <v>8891</v>
      </c>
      <c r="AJ18" s="21">
        <v>8518</v>
      </c>
      <c r="AK18" s="21">
        <v>8245</v>
      </c>
      <c r="AL18" s="21">
        <v>8209</v>
      </c>
      <c r="AM18" s="21">
        <v>8348</v>
      </c>
      <c r="AN18" s="21">
        <v>2710</v>
      </c>
      <c r="AO18" s="21">
        <v>3990</v>
      </c>
      <c r="AP18" s="21">
        <v>3550</v>
      </c>
      <c r="AQ18" s="21">
        <v>3720</v>
      </c>
      <c r="AR18" s="21">
        <v>4203</v>
      </c>
      <c r="AS18" s="21">
        <v>4073</v>
      </c>
      <c r="AT18" s="21">
        <v>3332</v>
      </c>
      <c r="AU18" s="21">
        <v>5079</v>
      </c>
      <c r="AV18" s="21">
        <v>7615</v>
      </c>
      <c r="AW18" s="21">
        <v>9155</v>
      </c>
      <c r="AX18" s="21">
        <v>15339</v>
      </c>
      <c r="AY18" s="21">
        <v>12409</v>
      </c>
      <c r="AZ18" s="21">
        <v>12595</v>
      </c>
      <c r="BA18" s="21">
        <v>12538</v>
      </c>
      <c r="BB18" s="21">
        <v>12528</v>
      </c>
      <c r="BC18" s="21">
        <v>12287</v>
      </c>
      <c r="BD18" s="21">
        <v>11612</v>
      </c>
      <c r="BE18" s="21">
        <v>10724</v>
      </c>
      <c r="BF18" s="21">
        <f t="shared" si="2"/>
        <v>199100</v>
      </c>
      <c r="BG18" s="94">
        <v>18</v>
      </c>
      <c r="BH18" s="21">
        <f t="shared" si="10"/>
        <v>3583800</v>
      </c>
      <c r="BI18" s="109">
        <f>+SUM(BH18:BH21)</f>
        <v>5522251</v>
      </c>
      <c r="BK18" s="106">
        <v>47209</v>
      </c>
      <c r="BL18" s="19" t="s">
        <v>43</v>
      </c>
      <c r="BM18" s="21">
        <v>18715</v>
      </c>
      <c r="BN18" s="21">
        <v>17721</v>
      </c>
      <c r="BO18" s="21">
        <v>17040</v>
      </c>
      <c r="BP18" s="21">
        <v>16563</v>
      </c>
      <c r="BQ18" s="21">
        <v>16509</v>
      </c>
      <c r="BR18" s="21">
        <v>16748</v>
      </c>
      <c r="BS18" s="21">
        <v>11771</v>
      </c>
      <c r="BT18" s="21">
        <v>10675</v>
      </c>
      <c r="BU18" s="21">
        <v>10876</v>
      </c>
      <c r="BV18" s="21">
        <v>11391</v>
      </c>
      <c r="BW18" s="21">
        <v>12232</v>
      </c>
      <c r="BX18" s="21">
        <v>12231</v>
      </c>
      <c r="BY18" s="21">
        <v>10989</v>
      </c>
      <c r="BZ18" s="21">
        <v>13414</v>
      </c>
      <c r="CA18" s="21">
        <v>16839</v>
      </c>
      <c r="CB18" s="21">
        <v>18709</v>
      </c>
      <c r="CC18" s="21">
        <v>24440</v>
      </c>
      <c r="CD18" s="21">
        <v>24703</v>
      </c>
      <c r="CE18" s="21">
        <v>25125</v>
      </c>
      <c r="CF18" s="21">
        <v>25011</v>
      </c>
      <c r="CG18" s="21">
        <v>24819</v>
      </c>
      <c r="CH18" s="21">
        <v>24215</v>
      </c>
      <c r="CI18" s="21">
        <v>22879</v>
      </c>
      <c r="CJ18" s="21">
        <v>21115</v>
      </c>
      <c r="CK18" s="21">
        <f t="shared" si="4"/>
        <v>424730</v>
      </c>
      <c r="CL18" s="48">
        <v>21</v>
      </c>
      <c r="CM18" s="21">
        <f t="shared" si="11"/>
        <v>8919330</v>
      </c>
      <c r="CN18" s="109">
        <f>+SUM(CM18:CM21)</f>
        <v>12311398</v>
      </c>
      <c r="CQ18" s="106">
        <v>47574</v>
      </c>
      <c r="CR18" s="19" t="s">
        <v>43</v>
      </c>
      <c r="CS18" s="21">
        <v>10786</v>
      </c>
      <c r="CT18" s="21">
        <v>10251</v>
      </c>
      <c r="CU18" s="21">
        <v>9886</v>
      </c>
      <c r="CV18" s="21">
        <v>9631</v>
      </c>
      <c r="CW18" s="21">
        <v>9603</v>
      </c>
      <c r="CX18" s="21">
        <v>9732</v>
      </c>
      <c r="CY18" s="21">
        <v>7500</v>
      </c>
      <c r="CZ18" s="21">
        <v>7023</v>
      </c>
      <c r="DA18" s="21">
        <v>6952</v>
      </c>
      <c r="DB18" s="21">
        <v>7265</v>
      </c>
      <c r="DC18" s="21">
        <v>7725</v>
      </c>
      <c r="DD18" s="21">
        <v>7755</v>
      </c>
      <c r="DE18" s="21">
        <v>7085</v>
      </c>
      <c r="DF18" s="21">
        <v>8311</v>
      </c>
      <c r="DG18" s="21">
        <v>10018</v>
      </c>
      <c r="DH18" s="21">
        <v>10899</v>
      </c>
      <c r="DI18" s="21">
        <v>13490</v>
      </c>
      <c r="DJ18" s="21">
        <v>14143</v>
      </c>
      <c r="DK18" s="21">
        <v>14378</v>
      </c>
      <c r="DL18" s="21">
        <v>14314</v>
      </c>
      <c r="DM18" s="21">
        <v>14197</v>
      </c>
      <c r="DN18" s="21">
        <v>13857</v>
      </c>
      <c r="DO18" s="21">
        <v>13125</v>
      </c>
      <c r="DP18" s="21">
        <v>12158</v>
      </c>
      <c r="DQ18" s="21">
        <f t="shared" si="6"/>
        <v>250084</v>
      </c>
      <c r="DR18" s="48">
        <v>20</v>
      </c>
      <c r="DS18" s="21">
        <f t="shared" si="12"/>
        <v>5001680</v>
      </c>
      <c r="DT18" s="109">
        <f>+SUM(DS18:DS21)</f>
        <v>7184884</v>
      </c>
      <c r="DW18" s="106">
        <v>47939</v>
      </c>
      <c r="DX18" s="19" t="s">
        <v>43</v>
      </c>
      <c r="DY18" s="21">
        <v>10729</v>
      </c>
      <c r="DZ18" s="21">
        <v>10198</v>
      </c>
      <c r="EA18" s="21">
        <v>9835</v>
      </c>
      <c r="EB18" s="21">
        <v>9582</v>
      </c>
      <c r="EC18" s="21">
        <v>9554</v>
      </c>
      <c r="ED18" s="21">
        <v>9683</v>
      </c>
      <c r="EE18" s="21">
        <v>7523</v>
      </c>
      <c r="EF18" s="21">
        <v>7104</v>
      </c>
      <c r="EG18" s="21">
        <v>7062</v>
      </c>
      <c r="EH18" s="21">
        <v>7383</v>
      </c>
      <c r="EI18" s="21">
        <v>7844</v>
      </c>
      <c r="EJ18" s="21">
        <v>7879</v>
      </c>
      <c r="EK18" s="21">
        <v>7209</v>
      </c>
      <c r="EL18" s="21">
        <v>8420</v>
      </c>
      <c r="EM18" s="21">
        <v>10098</v>
      </c>
      <c r="EN18" s="21">
        <v>10953</v>
      </c>
      <c r="EO18" s="21">
        <v>13458</v>
      </c>
      <c r="EP18" s="21">
        <v>14045</v>
      </c>
      <c r="EQ18" s="21">
        <v>14278</v>
      </c>
      <c r="ER18" s="21">
        <v>14215</v>
      </c>
      <c r="ES18" s="21">
        <v>14098</v>
      </c>
      <c r="ET18" s="21">
        <v>13761</v>
      </c>
      <c r="EU18" s="21">
        <v>13034</v>
      </c>
      <c r="EV18" s="21">
        <v>12075</v>
      </c>
      <c r="EW18" s="21">
        <f t="shared" si="7"/>
        <v>250020</v>
      </c>
      <c r="EX18" s="48">
        <v>20</v>
      </c>
      <c r="EY18" s="21">
        <f t="shared" si="13"/>
        <v>5000400</v>
      </c>
      <c r="EZ18" s="109">
        <f>+SUM(EY18:EY21)</f>
        <v>7209944</v>
      </c>
    </row>
    <row r="19" spans="1:156" x14ac:dyDescent="0.35">
      <c r="A19" s="107"/>
      <c r="B19" s="23" t="s">
        <v>44</v>
      </c>
      <c r="C19" s="21">
        <v>14232</v>
      </c>
      <c r="D19" s="21">
        <v>13545</v>
      </c>
      <c r="E19" s="21">
        <v>13037</v>
      </c>
      <c r="F19" s="21">
        <v>12629</v>
      </c>
      <c r="G19" s="21">
        <v>12472</v>
      </c>
      <c r="H19" s="21">
        <v>12301</v>
      </c>
      <c r="I19" s="21">
        <v>12721</v>
      </c>
      <c r="J19" s="21">
        <v>8232</v>
      </c>
      <c r="K19" s="21">
        <v>9606</v>
      </c>
      <c r="L19" s="21">
        <v>10480</v>
      </c>
      <c r="M19" s="21">
        <v>11171</v>
      </c>
      <c r="N19" s="21">
        <v>11473</v>
      </c>
      <c r="O19" s="21">
        <v>10888</v>
      </c>
      <c r="P19" s="21">
        <v>11036</v>
      </c>
      <c r="Q19" s="21">
        <v>11499</v>
      </c>
      <c r="R19" s="21">
        <v>11520</v>
      </c>
      <c r="S19" s="21">
        <v>11032</v>
      </c>
      <c r="T19" s="21">
        <v>14022</v>
      </c>
      <c r="U19" s="21">
        <v>14747</v>
      </c>
      <c r="V19" s="21">
        <v>14572</v>
      </c>
      <c r="W19" s="21">
        <v>14230</v>
      </c>
      <c r="X19" s="21">
        <v>13855</v>
      </c>
      <c r="Y19" s="21">
        <v>13375</v>
      </c>
      <c r="Z19" s="21">
        <v>12744</v>
      </c>
      <c r="AA19" s="21">
        <f t="shared" si="0"/>
        <v>295419</v>
      </c>
      <c r="AB19" s="22">
        <v>4</v>
      </c>
      <c r="AC19" s="21">
        <f t="shared" si="9"/>
        <v>1181676</v>
      </c>
      <c r="AD19" s="110"/>
      <c r="AF19" s="107"/>
      <c r="AG19" s="23" t="s">
        <v>44</v>
      </c>
      <c r="AH19" s="21">
        <v>9520</v>
      </c>
      <c r="AI19" s="21">
        <v>8990</v>
      </c>
      <c r="AJ19" s="21">
        <v>8614</v>
      </c>
      <c r="AK19" s="21">
        <v>8299</v>
      </c>
      <c r="AL19" s="21">
        <v>8152</v>
      </c>
      <c r="AM19" s="21">
        <v>7995</v>
      </c>
      <c r="AN19" s="21">
        <v>2357</v>
      </c>
      <c r="AO19" s="21">
        <v>3415</v>
      </c>
      <c r="AP19" s="21">
        <v>3021</v>
      </c>
      <c r="AQ19" s="21">
        <v>3217</v>
      </c>
      <c r="AR19" s="21">
        <v>3545</v>
      </c>
      <c r="AS19" s="21">
        <v>3485</v>
      </c>
      <c r="AT19" s="21">
        <v>3249</v>
      </c>
      <c r="AU19" s="21">
        <v>3947</v>
      </c>
      <c r="AV19" s="21">
        <v>5553</v>
      </c>
      <c r="AW19" s="21">
        <v>6972</v>
      </c>
      <c r="AX19" s="21">
        <v>13159</v>
      </c>
      <c r="AY19" s="21">
        <v>11255</v>
      </c>
      <c r="AZ19" s="21">
        <v>11849</v>
      </c>
      <c r="BA19" s="21">
        <v>11749</v>
      </c>
      <c r="BB19" s="21">
        <v>11530</v>
      </c>
      <c r="BC19" s="21">
        <v>11284</v>
      </c>
      <c r="BD19" s="21">
        <v>10917</v>
      </c>
      <c r="BE19" s="21">
        <v>10378</v>
      </c>
      <c r="BF19" s="21">
        <f t="shared" si="2"/>
        <v>182452</v>
      </c>
      <c r="BG19" s="94">
        <v>5</v>
      </c>
      <c r="BH19" s="21">
        <f t="shared" si="10"/>
        <v>912260</v>
      </c>
      <c r="BI19" s="110"/>
      <c r="BK19" s="107"/>
      <c r="BL19" s="23" t="s">
        <v>44</v>
      </c>
      <c r="BM19" s="21">
        <v>18967</v>
      </c>
      <c r="BN19" s="21">
        <v>17967</v>
      </c>
      <c r="BO19" s="21">
        <v>17238</v>
      </c>
      <c r="BP19" s="21">
        <v>16690</v>
      </c>
      <c r="BQ19" s="21">
        <v>16463</v>
      </c>
      <c r="BR19" s="21">
        <v>16188</v>
      </c>
      <c r="BS19" s="21">
        <v>11201</v>
      </c>
      <c r="BT19" s="21">
        <v>9875</v>
      </c>
      <c r="BU19" s="21">
        <v>10130</v>
      </c>
      <c r="BV19" s="21">
        <v>10684</v>
      </c>
      <c r="BW19" s="21">
        <v>11286</v>
      </c>
      <c r="BX19" s="21">
        <v>11269</v>
      </c>
      <c r="BY19" s="21">
        <v>10807</v>
      </c>
      <c r="BZ19" s="21">
        <v>11665</v>
      </c>
      <c r="CA19" s="21">
        <v>13707</v>
      </c>
      <c r="CB19" s="21">
        <v>15357</v>
      </c>
      <c r="CC19" s="21">
        <v>21104</v>
      </c>
      <c r="CD19" s="21">
        <v>22483</v>
      </c>
      <c r="CE19" s="21">
        <v>23794</v>
      </c>
      <c r="CF19" s="21">
        <v>23646</v>
      </c>
      <c r="CG19" s="21">
        <v>23130</v>
      </c>
      <c r="CH19" s="21">
        <v>22568</v>
      </c>
      <c r="CI19" s="21">
        <v>21806</v>
      </c>
      <c r="CJ19" s="21">
        <v>20757</v>
      </c>
      <c r="CK19" s="21">
        <f t="shared" si="4"/>
        <v>398782</v>
      </c>
      <c r="CL19" s="49">
        <v>4</v>
      </c>
      <c r="CM19" s="21">
        <f t="shared" si="11"/>
        <v>1595128</v>
      </c>
      <c r="CN19" s="110"/>
      <c r="CQ19" s="107"/>
      <c r="CR19" s="23" t="s">
        <v>44</v>
      </c>
      <c r="CS19" s="21">
        <v>10929</v>
      </c>
      <c r="CT19" s="21">
        <v>10391</v>
      </c>
      <c r="CU19" s="21">
        <v>9996</v>
      </c>
      <c r="CV19" s="21">
        <v>9703</v>
      </c>
      <c r="CW19" s="21">
        <v>9584</v>
      </c>
      <c r="CX19" s="21">
        <v>9437</v>
      </c>
      <c r="CY19" s="21">
        <v>7199</v>
      </c>
      <c r="CZ19" s="21">
        <v>6600</v>
      </c>
      <c r="DA19" s="21">
        <v>6569</v>
      </c>
      <c r="DB19" s="21">
        <v>6903</v>
      </c>
      <c r="DC19" s="21">
        <v>7238</v>
      </c>
      <c r="DD19" s="21">
        <v>7251</v>
      </c>
      <c r="DE19" s="21">
        <v>6989</v>
      </c>
      <c r="DF19" s="21">
        <v>7398</v>
      </c>
      <c r="DG19" s="21">
        <v>8385</v>
      </c>
      <c r="DH19" s="21">
        <v>9149</v>
      </c>
      <c r="DI19" s="21">
        <v>11749</v>
      </c>
      <c r="DJ19" s="21">
        <v>12933</v>
      </c>
      <c r="DK19" s="21">
        <v>13659</v>
      </c>
      <c r="DL19" s="21">
        <v>13579</v>
      </c>
      <c r="DM19" s="21">
        <v>13291</v>
      </c>
      <c r="DN19" s="21">
        <v>12977</v>
      </c>
      <c r="DO19" s="21">
        <v>12557</v>
      </c>
      <c r="DP19" s="21">
        <v>11985</v>
      </c>
      <c r="DQ19" s="21">
        <f t="shared" si="6"/>
        <v>236451</v>
      </c>
      <c r="DR19" s="49">
        <v>4</v>
      </c>
      <c r="DS19" s="21">
        <f t="shared" si="12"/>
        <v>945804</v>
      </c>
      <c r="DT19" s="110"/>
      <c r="DW19" s="107"/>
      <c r="DX19" s="23" t="s">
        <v>44</v>
      </c>
      <c r="DY19" s="21">
        <v>10871</v>
      </c>
      <c r="DZ19" s="21">
        <v>10336</v>
      </c>
      <c r="EA19" s="21">
        <v>9945</v>
      </c>
      <c r="EB19" s="21">
        <v>9653</v>
      </c>
      <c r="EC19" s="21">
        <v>9535</v>
      </c>
      <c r="ED19" s="21">
        <v>9390</v>
      </c>
      <c r="EE19" s="21">
        <v>7225</v>
      </c>
      <c r="EF19" s="21">
        <v>6684</v>
      </c>
      <c r="EG19" s="21">
        <v>6682</v>
      </c>
      <c r="EH19" s="21">
        <v>7024</v>
      </c>
      <c r="EI19" s="21">
        <v>7360</v>
      </c>
      <c r="EJ19" s="21">
        <v>7379</v>
      </c>
      <c r="EK19" s="21">
        <v>7114</v>
      </c>
      <c r="EL19" s="21">
        <v>7513</v>
      </c>
      <c r="EM19" s="21">
        <v>8476</v>
      </c>
      <c r="EN19" s="21">
        <v>9215</v>
      </c>
      <c r="EO19" s="21">
        <v>11729</v>
      </c>
      <c r="EP19" s="21">
        <v>12844</v>
      </c>
      <c r="EQ19" s="21">
        <v>13565</v>
      </c>
      <c r="ER19" s="21">
        <v>13485</v>
      </c>
      <c r="ES19" s="21">
        <v>13199</v>
      </c>
      <c r="ET19" s="21">
        <v>12888</v>
      </c>
      <c r="EU19" s="21">
        <v>12471</v>
      </c>
      <c r="EV19" s="21">
        <v>11902</v>
      </c>
      <c r="EW19" s="21">
        <f t="shared" si="7"/>
        <v>236485</v>
      </c>
      <c r="EX19" s="49">
        <v>4</v>
      </c>
      <c r="EY19" s="21">
        <f t="shared" si="13"/>
        <v>945940</v>
      </c>
      <c r="EZ19" s="110"/>
    </row>
    <row r="20" spans="1:156" x14ac:dyDescent="0.35">
      <c r="A20" s="107"/>
      <c r="B20" s="23" t="s">
        <v>45</v>
      </c>
      <c r="C20" s="21">
        <v>14252</v>
      </c>
      <c r="D20" s="21">
        <v>13510</v>
      </c>
      <c r="E20" s="21">
        <v>12970</v>
      </c>
      <c r="F20" s="21">
        <v>12545</v>
      </c>
      <c r="G20" s="21">
        <v>12292</v>
      </c>
      <c r="H20" s="21">
        <v>11967</v>
      </c>
      <c r="I20" s="21">
        <v>12034</v>
      </c>
      <c r="J20" s="21">
        <v>6749</v>
      </c>
      <c r="K20" s="21">
        <v>7233</v>
      </c>
      <c r="L20" s="21">
        <v>7732</v>
      </c>
      <c r="M20" s="21">
        <v>8107</v>
      </c>
      <c r="N20" s="21">
        <v>8577</v>
      </c>
      <c r="O20" s="21">
        <v>8732</v>
      </c>
      <c r="P20" s="21">
        <v>8845</v>
      </c>
      <c r="Q20" s="21">
        <v>9161</v>
      </c>
      <c r="R20" s="21">
        <v>9321</v>
      </c>
      <c r="S20" s="21">
        <v>9152</v>
      </c>
      <c r="T20" s="21">
        <v>12549</v>
      </c>
      <c r="U20" s="21">
        <v>13539</v>
      </c>
      <c r="V20" s="21">
        <v>13941</v>
      </c>
      <c r="W20" s="21">
        <v>13858</v>
      </c>
      <c r="X20" s="21">
        <v>13803</v>
      </c>
      <c r="Y20" s="21">
        <v>13222</v>
      </c>
      <c r="Z20" s="21">
        <v>12318</v>
      </c>
      <c r="AA20" s="21">
        <f t="shared" si="0"/>
        <v>266409</v>
      </c>
      <c r="AB20" s="22">
        <v>4</v>
      </c>
      <c r="AC20" s="21">
        <f t="shared" si="9"/>
        <v>1065636</v>
      </c>
      <c r="AD20" s="110"/>
      <c r="AF20" s="107"/>
      <c r="AG20" s="23" t="s">
        <v>45</v>
      </c>
      <c r="AH20" s="21">
        <v>9482</v>
      </c>
      <c r="AI20" s="21">
        <v>8935</v>
      </c>
      <c r="AJ20" s="21">
        <v>8537</v>
      </c>
      <c r="AK20" s="21">
        <v>8210</v>
      </c>
      <c r="AL20" s="21">
        <v>8009</v>
      </c>
      <c r="AM20" s="21">
        <v>7732</v>
      </c>
      <c r="AN20" s="21">
        <v>1846</v>
      </c>
      <c r="AO20" s="21">
        <v>2036</v>
      </c>
      <c r="AP20" s="21">
        <v>761</v>
      </c>
      <c r="AQ20" s="21">
        <v>641</v>
      </c>
      <c r="AR20" s="21">
        <v>716</v>
      </c>
      <c r="AS20" s="21">
        <v>744</v>
      </c>
      <c r="AT20" s="21">
        <v>1242</v>
      </c>
      <c r="AU20" s="21">
        <v>1890</v>
      </c>
      <c r="AV20" s="21">
        <v>3349</v>
      </c>
      <c r="AW20" s="21">
        <v>4883</v>
      </c>
      <c r="AX20" s="21">
        <v>11362</v>
      </c>
      <c r="AY20" s="21">
        <v>10112</v>
      </c>
      <c r="AZ20" s="21">
        <v>10966</v>
      </c>
      <c r="BA20" s="21">
        <v>11343</v>
      </c>
      <c r="BB20" s="21">
        <v>11364</v>
      </c>
      <c r="BC20" s="21">
        <v>11383</v>
      </c>
      <c r="BD20" s="21">
        <v>10920</v>
      </c>
      <c r="BE20" s="21">
        <v>10134</v>
      </c>
      <c r="BF20" s="21">
        <f t="shared" si="2"/>
        <v>156597</v>
      </c>
      <c r="BG20" s="94">
        <v>5</v>
      </c>
      <c r="BH20" s="21">
        <f t="shared" si="10"/>
        <v>782985</v>
      </c>
      <c r="BI20" s="110"/>
      <c r="BK20" s="107"/>
      <c r="BL20" s="23" t="s">
        <v>45</v>
      </c>
      <c r="BM20" s="21">
        <v>19025</v>
      </c>
      <c r="BN20" s="21">
        <v>17989</v>
      </c>
      <c r="BO20" s="21">
        <v>17234</v>
      </c>
      <c r="BP20" s="21">
        <v>16631</v>
      </c>
      <c r="BQ20" s="21">
        <v>16287</v>
      </c>
      <c r="BR20" s="21">
        <v>15810</v>
      </c>
      <c r="BS20" s="21">
        <v>10371</v>
      </c>
      <c r="BT20" s="21">
        <v>7902</v>
      </c>
      <c r="BU20" s="21">
        <v>6766</v>
      </c>
      <c r="BV20" s="21">
        <v>6798</v>
      </c>
      <c r="BW20" s="21">
        <v>7028</v>
      </c>
      <c r="BX20" s="21">
        <v>7223</v>
      </c>
      <c r="BY20" s="21">
        <v>7833</v>
      </c>
      <c r="BZ20" s="21">
        <v>8594</v>
      </c>
      <c r="CA20" s="21">
        <v>10394</v>
      </c>
      <c r="CB20" s="21">
        <v>12254</v>
      </c>
      <c r="CC20" s="21">
        <v>18431</v>
      </c>
      <c r="CD20" s="21">
        <v>20371</v>
      </c>
      <c r="CE20" s="21">
        <v>22076</v>
      </c>
      <c r="CF20" s="21">
        <v>22774</v>
      </c>
      <c r="CG20" s="21">
        <v>22778</v>
      </c>
      <c r="CH20" s="21">
        <v>22701</v>
      </c>
      <c r="CI20" s="21">
        <v>21782</v>
      </c>
      <c r="CJ20" s="21">
        <v>20336</v>
      </c>
      <c r="CK20" s="21">
        <f t="shared" si="4"/>
        <v>359388</v>
      </c>
      <c r="CL20" s="49">
        <v>5</v>
      </c>
      <c r="CM20" s="21">
        <f t="shared" si="11"/>
        <v>1796940</v>
      </c>
      <c r="CN20" s="110"/>
      <c r="CQ20" s="107"/>
      <c r="CR20" s="23" t="s">
        <v>45</v>
      </c>
      <c r="CS20" s="21">
        <v>10969</v>
      </c>
      <c r="CT20" s="21">
        <v>10409</v>
      </c>
      <c r="CU20" s="21">
        <v>10001</v>
      </c>
      <c r="CV20" s="21">
        <v>9677</v>
      </c>
      <c r="CW20" s="21">
        <v>9494</v>
      </c>
      <c r="CX20" s="21">
        <v>9239</v>
      </c>
      <c r="CY20" s="21">
        <v>6758</v>
      </c>
      <c r="CZ20" s="21">
        <v>5542</v>
      </c>
      <c r="DA20" s="21">
        <v>4819</v>
      </c>
      <c r="DB20" s="21">
        <v>4878</v>
      </c>
      <c r="DC20" s="21">
        <v>5018</v>
      </c>
      <c r="DD20" s="21">
        <v>5149</v>
      </c>
      <c r="DE20" s="21">
        <v>5441</v>
      </c>
      <c r="DF20" s="21">
        <v>5800</v>
      </c>
      <c r="DG20" s="21">
        <v>6659</v>
      </c>
      <c r="DH20" s="21">
        <v>7535</v>
      </c>
      <c r="DI20" s="21">
        <v>10359</v>
      </c>
      <c r="DJ20" s="21">
        <v>11784</v>
      </c>
      <c r="DK20" s="21">
        <v>12717</v>
      </c>
      <c r="DL20" s="21">
        <v>13096</v>
      </c>
      <c r="DM20" s="21">
        <v>13093</v>
      </c>
      <c r="DN20" s="21">
        <v>13043</v>
      </c>
      <c r="DO20" s="21">
        <v>12539</v>
      </c>
      <c r="DP20" s="21">
        <v>11754</v>
      </c>
      <c r="DQ20" s="21">
        <f t="shared" si="6"/>
        <v>215773</v>
      </c>
      <c r="DR20" s="49">
        <v>4</v>
      </c>
      <c r="DS20" s="21">
        <f t="shared" si="12"/>
        <v>863092</v>
      </c>
      <c r="DT20" s="110"/>
      <c r="DW20" s="107"/>
      <c r="DX20" s="23" t="s">
        <v>45</v>
      </c>
      <c r="DY20" s="21">
        <v>10911</v>
      </c>
      <c r="DZ20" s="21">
        <v>10355</v>
      </c>
      <c r="EA20" s="21">
        <v>9950</v>
      </c>
      <c r="EB20" s="21">
        <v>9628</v>
      </c>
      <c r="EC20" s="21">
        <v>9446</v>
      </c>
      <c r="ED20" s="21">
        <v>9193</v>
      </c>
      <c r="EE20" s="21">
        <v>6786</v>
      </c>
      <c r="EF20" s="21">
        <v>5634</v>
      </c>
      <c r="EG20" s="21">
        <v>4944</v>
      </c>
      <c r="EH20" s="21">
        <v>5012</v>
      </c>
      <c r="EI20" s="21">
        <v>5156</v>
      </c>
      <c r="EJ20" s="21">
        <v>5291</v>
      </c>
      <c r="EK20" s="21">
        <v>5577</v>
      </c>
      <c r="EL20" s="21">
        <v>5926</v>
      </c>
      <c r="EM20" s="21">
        <v>6762</v>
      </c>
      <c r="EN20" s="21">
        <v>7612</v>
      </c>
      <c r="EO20" s="21">
        <v>10348</v>
      </c>
      <c r="EP20" s="21">
        <v>11703</v>
      </c>
      <c r="EQ20" s="21">
        <v>12629</v>
      </c>
      <c r="ER20" s="21">
        <v>13005</v>
      </c>
      <c r="ES20" s="21">
        <v>13002</v>
      </c>
      <c r="ET20" s="21">
        <v>12952</v>
      </c>
      <c r="EU20" s="21">
        <v>12452</v>
      </c>
      <c r="EV20" s="21">
        <v>11673</v>
      </c>
      <c r="EW20" s="21">
        <f t="shared" si="7"/>
        <v>215947</v>
      </c>
      <c r="EX20" s="49">
        <v>4</v>
      </c>
      <c r="EY20" s="21">
        <f t="shared" si="13"/>
        <v>863788</v>
      </c>
      <c r="EZ20" s="110"/>
    </row>
    <row r="21" spans="1:156" ht="15" thickBot="1" x14ac:dyDescent="0.4">
      <c r="A21" s="108"/>
      <c r="B21" s="24" t="s">
        <v>46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f t="shared" si="0"/>
        <v>0</v>
      </c>
      <c r="AB21" s="22">
        <v>0</v>
      </c>
      <c r="AC21" s="21">
        <f t="shared" si="9"/>
        <v>0</v>
      </c>
      <c r="AD21" s="111"/>
      <c r="AF21" s="108"/>
      <c r="AG21" s="24" t="s">
        <v>46</v>
      </c>
      <c r="AH21" s="21">
        <v>8098</v>
      </c>
      <c r="AI21" s="21">
        <v>7616</v>
      </c>
      <c r="AJ21" s="21">
        <v>7273</v>
      </c>
      <c r="AK21" s="21">
        <v>7026</v>
      </c>
      <c r="AL21" s="21">
        <v>6864</v>
      </c>
      <c r="AM21" s="21">
        <v>6624</v>
      </c>
      <c r="AN21" s="21">
        <v>804</v>
      </c>
      <c r="AO21" s="21">
        <v>672</v>
      </c>
      <c r="AP21" s="21">
        <v>5</v>
      </c>
      <c r="AQ21" s="21">
        <v>5</v>
      </c>
      <c r="AR21" s="21">
        <v>5</v>
      </c>
      <c r="AS21" s="21">
        <v>5</v>
      </c>
      <c r="AT21" s="21">
        <v>5</v>
      </c>
      <c r="AU21" s="21">
        <v>5</v>
      </c>
      <c r="AV21" s="21">
        <v>1059</v>
      </c>
      <c r="AW21" s="21">
        <v>2496</v>
      </c>
      <c r="AX21" s="21">
        <v>9077</v>
      </c>
      <c r="AY21" s="21">
        <v>8349</v>
      </c>
      <c r="AZ21" s="21">
        <v>9294</v>
      </c>
      <c r="BA21" s="21">
        <v>9584</v>
      </c>
      <c r="BB21" s="21">
        <v>9527</v>
      </c>
      <c r="BC21" s="21">
        <v>9430</v>
      </c>
      <c r="BD21" s="21">
        <v>9137</v>
      </c>
      <c r="BE21" s="21">
        <v>8643</v>
      </c>
      <c r="BF21" s="21">
        <f t="shared" si="2"/>
        <v>121603</v>
      </c>
      <c r="BG21" s="94">
        <v>2</v>
      </c>
      <c r="BH21" s="21">
        <f t="shared" si="10"/>
        <v>243206</v>
      </c>
      <c r="BI21" s="111"/>
      <c r="BK21" s="108"/>
      <c r="BL21" s="24" t="s">
        <v>46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f t="shared" si="4"/>
        <v>0</v>
      </c>
      <c r="CL21" s="50">
        <v>0</v>
      </c>
      <c r="CM21" s="21">
        <f t="shared" si="11"/>
        <v>0</v>
      </c>
      <c r="CN21" s="111"/>
      <c r="CQ21" s="108"/>
      <c r="CR21" s="24" t="s">
        <v>46</v>
      </c>
      <c r="CS21" s="21">
        <v>10100</v>
      </c>
      <c r="CT21" s="21">
        <v>9585</v>
      </c>
      <c r="CU21" s="21">
        <v>9219</v>
      </c>
      <c r="CV21" s="21">
        <v>8957</v>
      </c>
      <c r="CW21" s="21">
        <v>8786</v>
      </c>
      <c r="CX21" s="21">
        <v>8526</v>
      </c>
      <c r="CY21" s="21">
        <v>6059</v>
      </c>
      <c r="CZ21" s="21">
        <v>4630</v>
      </c>
      <c r="DA21" s="21">
        <v>3682</v>
      </c>
      <c r="DB21" s="21">
        <v>3490</v>
      </c>
      <c r="DC21" s="21">
        <v>3502</v>
      </c>
      <c r="DD21" s="21">
        <v>3547</v>
      </c>
      <c r="DE21" s="21">
        <v>3903</v>
      </c>
      <c r="DF21" s="21">
        <v>4269</v>
      </c>
      <c r="DG21" s="21">
        <v>5134</v>
      </c>
      <c r="DH21" s="21">
        <v>5921</v>
      </c>
      <c r="DI21" s="21">
        <v>8809</v>
      </c>
      <c r="DJ21" s="21">
        <v>10428</v>
      </c>
      <c r="DK21" s="21">
        <v>11463</v>
      </c>
      <c r="DL21" s="21">
        <v>11778</v>
      </c>
      <c r="DM21" s="21">
        <v>11720</v>
      </c>
      <c r="DN21" s="21">
        <v>11612</v>
      </c>
      <c r="DO21" s="21">
        <v>11287</v>
      </c>
      <c r="DP21" s="21">
        <v>10747</v>
      </c>
      <c r="DQ21" s="21">
        <f t="shared" si="6"/>
        <v>187154</v>
      </c>
      <c r="DR21" s="50">
        <v>2</v>
      </c>
      <c r="DS21" s="21">
        <f t="shared" si="12"/>
        <v>374308</v>
      </c>
      <c r="DT21" s="111"/>
      <c r="DW21" s="108"/>
      <c r="DX21" s="24" t="s">
        <v>46</v>
      </c>
      <c r="DY21" s="21">
        <v>10642</v>
      </c>
      <c r="DZ21" s="21">
        <v>10131</v>
      </c>
      <c r="EA21" s="21">
        <v>9767</v>
      </c>
      <c r="EB21" s="21">
        <v>9507</v>
      </c>
      <c r="EC21" s="21">
        <v>9337</v>
      </c>
      <c r="ED21" s="21">
        <v>9079</v>
      </c>
      <c r="EE21" s="21">
        <v>6686</v>
      </c>
      <c r="EF21" s="21">
        <v>5439</v>
      </c>
      <c r="EG21" s="21">
        <v>4526</v>
      </c>
      <c r="EH21" s="21">
        <v>4344</v>
      </c>
      <c r="EI21" s="21">
        <v>4361</v>
      </c>
      <c r="EJ21" s="21">
        <v>4411</v>
      </c>
      <c r="EK21" s="21">
        <v>4760</v>
      </c>
      <c r="EL21" s="21">
        <v>5116</v>
      </c>
      <c r="EM21" s="21">
        <v>5958</v>
      </c>
      <c r="EN21" s="21">
        <v>6719</v>
      </c>
      <c r="EO21" s="21">
        <v>9519</v>
      </c>
      <c r="EP21" s="21">
        <v>10516</v>
      </c>
      <c r="EQ21" s="21">
        <v>11543</v>
      </c>
      <c r="ER21" s="21">
        <v>11856</v>
      </c>
      <c r="ES21" s="21">
        <v>11799</v>
      </c>
      <c r="ET21" s="21">
        <v>11691</v>
      </c>
      <c r="EU21" s="21">
        <v>11368</v>
      </c>
      <c r="EV21" s="21">
        <v>10833</v>
      </c>
      <c r="EW21" s="21">
        <f t="shared" si="7"/>
        <v>199908</v>
      </c>
      <c r="EX21" s="50">
        <v>2</v>
      </c>
      <c r="EY21" s="21">
        <f t="shared" si="13"/>
        <v>399816</v>
      </c>
      <c r="EZ21" s="111"/>
    </row>
    <row r="22" spans="1:156" x14ac:dyDescent="0.35">
      <c r="A22" s="106">
        <v>46508</v>
      </c>
      <c r="B22" s="19" t="s">
        <v>43</v>
      </c>
      <c r="C22" s="21">
        <v>14274</v>
      </c>
      <c r="D22" s="21">
        <v>13597</v>
      </c>
      <c r="E22" s="21">
        <v>13088</v>
      </c>
      <c r="F22" s="21">
        <v>12730</v>
      </c>
      <c r="G22" s="21">
        <v>12633</v>
      </c>
      <c r="H22" s="21">
        <v>12588</v>
      </c>
      <c r="I22" s="21">
        <v>13023</v>
      </c>
      <c r="J22" s="21">
        <v>8733</v>
      </c>
      <c r="K22" s="21">
        <v>10119</v>
      </c>
      <c r="L22" s="21">
        <v>11025</v>
      </c>
      <c r="M22" s="21">
        <v>11805</v>
      </c>
      <c r="N22" s="21">
        <v>12045</v>
      </c>
      <c r="O22" s="21">
        <v>10945</v>
      </c>
      <c r="P22" s="21">
        <v>12284</v>
      </c>
      <c r="Q22" s="21">
        <v>13739</v>
      </c>
      <c r="R22" s="21">
        <v>13794</v>
      </c>
      <c r="S22" s="21">
        <v>13243</v>
      </c>
      <c r="T22" s="21">
        <v>15268</v>
      </c>
      <c r="U22" s="21">
        <v>15302</v>
      </c>
      <c r="V22" s="21">
        <v>15272</v>
      </c>
      <c r="W22" s="21">
        <v>15275</v>
      </c>
      <c r="X22" s="21">
        <v>15011</v>
      </c>
      <c r="Y22" s="21">
        <v>14229</v>
      </c>
      <c r="Z22" s="21">
        <v>13209</v>
      </c>
      <c r="AA22" s="21">
        <f t="shared" si="0"/>
        <v>313231</v>
      </c>
      <c r="AB22" s="22">
        <v>19</v>
      </c>
      <c r="AC22" s="21">
        <f t="shared" si="9"/>
        <v>5951389</v>
      </c>
      <c r="AD22" s="109">
        <f>+SUM(AC22:AC25)</f>
        <v>9224636</v>
      </c>
      <c r="AF22" s="106">
        <v>46874</v>
      </c>
      <c r="AG22" s="19" t="s">
        <v>43</v>
      </c>
      <c r="AH22" s="21">
        <v>9335</v>
      </c>
      <c r="AI22" s="21">
        <v>8839</v>
      </c>
      <c r="AJ22" s="21">
        <v>8461</v>
      </c>
      <c r="AK22" s="21">
        <v>8199</v>
      </c>
      <c r="AL22" s="21">
        <v>8120</v>
      </c>
      <c r="AM22" s="21">
        <v>8052</v>
      </c>
      <c r="AN22" s="21">
        <v>2460</v>
      </c>
      <c r="AO22" s="21">
        <v>3688</v>
      </c>
      <c r="AP22" s="21">
        <v>3321</v>
      </c>
      <c r="AQ22" s="21">
        <v>3542</v>
      </c>
      <c r="AR22" s="21">
        <v>3960</v>
      </c>
      <c r="AS22" s="21">
        <v>3805</v>
      </c>
      <c r="AT22" s="21">
        <v>3139</v>
      </c>
      <c r="AU22" s="21">
        <v>4798</v>
      </c>
      <c r="AV22" s="21">
        <v>7248</v>
      </c>
      <c r="AW22" s="21">
        <v>8665</v>
      </c>
      <c r="AX22" s="21">
        <v>14798</v>
      </c>
      <c r="AY22" s="21">
        <v>11999</v>
      </c>
      <c r="AZ22" s="21">
        <v>12154</v>
      </c>
      <c r="BA22" s="21">
        <v>12176</v>
      </c>
      <c r="BB22" s="21">
        <v>12192</v>
      </c>
      <c r="BC22" s="21">
        <v>12003</v>
      </c>
      <c r="BD22" s="21">
        <v>11401</v>
      </c>
      <c r="BE22" s="21">
        <v>10563</v>
      </c>
      <c r="BF22" s="21">
        <f t="shared" si="2"/>
        <v>192918</v>
      </c>
      <c r="BG22" s="48">
        <v>21</v>
      </c>
      <c r="BH22" s="21">
        <f t="shared" si="10"/>
        <v>4051278</v>
      </c>
      <c r="BI22" s="109">
        <f>+SUM(BH22:BH25)</f>
        <v>5625848</v>
      </c>
      <c r="BK22" s="106">
        <v>47239</v>
      </c>
      <c r="BL22" s="19" t="s">
        <v>43</v>
      </c>
      <c r="BM22" s="21">
        <v>18768</v>
      </c>
      <c r="BN22" s="21">
        <v>17825</v>
      </c>
      <c r="BO22" s="21">
        <v>17133</v>
      </c>
      <c r="BP22" s="21">
        <v>16648</v>
      </c>
      <c r="BQ22" s="21">
        <v>16523</v>
      </c>
      <c r="BR22" s="21">
        <v>16410</v>
      </c>
      <c r="BS22" s="21">
        <v>11532</v>
      </c>
      <c r="BT22" s="21">
        <v>10518</v>
      </c>
      <c r="BU22" s="21">
        <v>10888</v>
      </c>
      <c r="BV22" s="21">
        <v>11474</v>
      </c>
      <c r="BW22" s="21">
        <v>12256</v>
      </c>
      <c r="BX22" s="21">
        <v>12189</v>
      </c>
      <c r="BY22" s="21">
        <v>10995</v>
      </c>
      <c r="BZ22" s="21">
        <v>13336</v>
      </c>
      <c r="CA22" s="21">
        <v>16646</v>
      </c>
      <c r="CB22" s="21">
        <v>18338</v>
      </c>
      <c r="CC22" s="21">
        <v>23989</v>
      </c>
      <c r="CD22" s="21">
        <v>24162</v>
      </c>
      <c r="CE22" s="21">
        <v>24498</v>
      </c>
      <c r="CF22" s="21">
        <v>24526</v>
      </c>
      <c r="CG22" s="21">
        <v>24444</v>
      </c>
      <c r="CH22" s="21">
        <v>23951</v>
      </c>
      <c r="CI22" s="21">
        <v>22694</v>
      </c>
      <c r="CJ22" s="21">
        <v>21034</v>
      </c>
      <c r="CK22" s="21">
        <f t="shared" si="4"/>
        <v>420777</v>
      </c>
      <c r="CL22" s="48">
        <v>21</v>
      </c>
      <c r="CM22" s="21">
        <f t="shared" si="11"/>
        <v>8836317</v>
      </c>
      <c r="CN22" s="109">
        <f>+SUM(CM22:CM25)</f>
        <v>12519647</v>
      </c>
      <c r="CQ22" s="106">
        <v>47604</v>
      </c>
      <c r="CR22" s="19" t="s">
        <v>43</v>
      </c>
      <c r="CS22" s="21">
        <v>10637</v>
      </c>
      <c r="CT22" s="21">
        <v>10136</v>
      </c>
      <c r="CU22" s="21">
        <v>9770</v>
      </c>
      <c r="CV22" s="21">
        <v>9513</v>
      </c>
      <c r="CW22" s="21">
        <v>9448</v>
      </c>
      <c r="CX22" s="21">
        <v>9390</v>
      </c>
      <c r="CY22" s="21">
        <v>7204</v>
      </c>
      <c r="CZ22" s="21">
        <v>6746</v>
      </c>
      <c r="DA22" s="21">
        <v>6746</v>
      </c>
      <c r="DB22" s="21">
        <v>7084</v>
      </c>
      <c r="DC22" s="21">
        <v>7505</v>
      </c>
      <c r="DD22" s="21">
        <v>7494</v>
      </c>
      <c r="DE22" s="21">
        <v>6858</v>
      </c>
      <c r="DF22" s="21">
        <v>8032</v>
      </c>
      <c r="DG22" s="21">
        <v>9666</v>
      </c>
      <c r="DH22" s="21">
        <v>10458</v>
      </c>
      <c r="DI22" s="21">
        <v>13016</v>
      </c>
      <c r="DJ22" s="21">
        <v>13630</v>
      </c>
      <c r="DK22" s="21">
        <v>13809</v>
      </c>
      <c r="DL22" s="21">
        <v>13823</v>
      </c>
      <c r="DM22" s="21">
        <v>13771</v>
      </c>
      <c r="DN22" s="21">
        <v>13498</v>
      </c>
      <c r="DO22" s="21">
        <v>12817</v>
      </c>
      <c r="DP22" s="21">
        <v>11924</v>
      </c>
      <c r="DQ22" s="21">
        <f t="shared" si="6"/>
        <v>242975</v>
      </c>
      <c r="DR22" s="48">
        <v>22</v>
      </c>
      <c r="DS22" s="21">
        <f t="shared" si="12"/>
        <v>5345450</v>
      </c>
      <c r="DT22" s="109">
        <f>+SUM(DS22:DS25)</f>
        <v>7305753</v>
      </c>
      <c r="DW22" s="106">
        <v>47969</v>
      </c>
      <c r="DX22" s="19" t="s">
        <v>43</v>
      </c>
      <c r="DY22" s="21">
        <v>10639</v>
      </c>
      <c r="DZ22" s="21">
        <v>10139</v>
      </c>
      <c r="EA22" s="21">
        <v>9773</v>
      </c>
      <c r="EB22" s="21">
        <v>9517</v>
      </c>
      <c r="EC22" s="21">
        <v>9452</v>
      </c>
      <c r="ED22" s="21">
        <v>9395</v>
      </c>
      <c r="EE22" s="21">
        <v>7283</v>
      </c>
      <c r="EF22" s="21">
        <v>6890</v>
      </c>
      <c r="EG22" s="21">
        <v>6924</v>
      </c>
      <c r="EH22" s="21">
        <v>7272</v>
      </c>
      <c r="EI22" s="21">
        <v>7697</v>
      </c>
      <c r="EJ22" s="21">
        <v>7693</v>
      </c>
      <c r="EK22" s="21">
        <v>7053</v>
      </c>
      <c r="EL22" s="21">
        <v>8217</v>
      </c>
      <c r="EM22" s="21">
        <v>9828</v>
      </c>
      <c r="EN22" s="21">
        <v>10595</v>
      </c>
      <c r="EO22" s="21">
        <v>13064</v>
      </c>
      <c r="EP22" s="21">
        <v>13607</v>
      </c>
      <c r="EQ22" s="21">
        <v>13785</v>
      </c>
      <c r="ER22" s="21">
        <v>13798</v>
      </c>
      <c r="ES22" s="21">
        <v>13747</v>
      </c>
      <c r="ET22" s="21">
        <v>13475</v>
      </c>
      <c r="EU22" s="21">
        <v>12796</v>
      </c>
      <c r="EV22" s="21">
        <v>11904</v>
      </c>
      <c r="EW22" s="21">
        <f t="shared" si="7"/>
        <v>244543</v>
      </c>
      <c r="EX22" s="48">
        <v>20</v>
      </c>
      <c r="EY22" s="21">
        <f t="shared" si="13"/>
        <v>4890860</v>
      </c>
      <c r="EZ22" s="109">
        <f>+SUM(EY22:EY25)</f>
        <v>7301861</v>
      </c>
    </row>
    <row r="23" spans="1:156" x14ac:dyDescent="0.35">
      <c r="A23" s="107"/>
      <c r="B23" s="23" t="s">
        <v>44</v>
      </c>
      <c r="C23" s="21">
        <v>14675</v>
      </c>
      <c r="D23" s="21">
        <v>13903</v>
      </c>
      <c r="E23" s="21">
        <v>13324</v>
      </c>
      <c r="F23" s="21">
        <v>12894</v>
      </c>
      <c r="G23" s="21">
        <v>12704</v>
      </c>
      <c r="H23" s="21">
        <v>12348</v>
      </c>
      <c r="I23" s="21">
        <v>12831</v>
      </c>
      <c r="J23" s="21">
        <v>8380</v>
      </c>
      <c r="K23" s="21">
        <v>9824</v>
      </c>
      <c r="L23" s="21">
        <v>10808</v>
      </c>
      <c r="M23" s="21">
        <v>11513</v>
      </c>
      <c r="N23" s="21">
        <v>11708</v>
      </c>
      <c r="O23" s="21">
        <v>11071</v>
      </c>
      <c r="P23" s="21">
        <v>11228</v>
      </c>
      <c r="Q23" s="21">
        <v>11633</v>
      </c>
      <c r="R23" s="21">
        <v>11563</v>
      </c>
      <c r="S23" s="21">
        <v>11040</v>
      </c>
      <c r="T23" s="21">
        <v>13774</v>
      </c>
      <c r="U23" s="21">
        <v>14409</v>
      </c>
      <c r="V23" s="21">
        <v>14493</v>
      </c>
      <c r="W23" s="21">
        <v>14204</v>
      </c>
      <c r="X23" s="21">
        <v>13947</v>
      </c>
      <c r="Y23" s="21">
        <v>13546</v>
      </c>
      <c r="Z23" s="21">
        <v>12886</v>
      </c>
      <c r="AA23" s="21">
        <f t="shared" si="0"/>
        <v>298706</v>
      </c>
      <c r="AB23" s="22">
        <v>4</v>
      </c>
      <c r="AC23" s="21">
        <f t="shared" si="9"/>
        <v>1194824</v>
      </c>
      <c r="AD23" s="110"/>
      <c r="AF23" s="107"/>
      <c r="AG23" s="23" t="s">
        <v>44</v>
      </c>
      <c r="AH23" s="21">
        <v>9700</v>
      </c>
      <c r="AI23" s="21">
        <v>9108</v>
      </c>
      <c r="AJ23" s="21">
        <v>8657</v>
      </c>
      <c r="AK23" s="21">
        <v>8331</v>
      </c>
      <c r="AL23" s="21">
        <v>8181</v>
      </c>
      <c r="AM23" s="21">
        <v>7926</v>
      </c>
      <c r="AN23" s="21">
        <v>2313</v>
      </c>
      <c r="AO23" s="21">
        <v>3318</v>
      </c>
      <c r="AP23" s="21">
        <v>2997</v>
      </c>
      <c r="AQ23" s="21">
        <v>3290</v>
      </c>
      <c r="AR23" s="21">
        <v>3605</v>
      </c>
      <c r="AS23" s="21">
        <v>3367</v>
      </c>
      <c r="AT23" s="21">
        <v>3051</v>
      </c>
      <c r="AU23" s="21">
        <v>3676</v>
      </c>
      <c r="AV23" s="21">
        <v>5151</v>
      </c>
      <c r="AW23" s="21">
        <v>6505</v>
      </c>
      <c r="AX23" s="21">
        <v>12699</v>
      </c>
      <c r="AY23" s="21">
        <v>10751</v>
      </c>
      <c r="AZ23" s="21">
        <v>11413</v>
      </c>
      <c r="BA23" s="21">
        <v>11504</v>
      </c>
      <c r="BB23" s="21">
        <v>11299</v>
      </c>
      <c r="BC23" s="21">
        <v>11112</v>
      </c>
      <c r="BD23" s="21">
        <v>10798</v>
      </c>
      <c r="BE23" s="21">
        <v>10276</v>
      </c>
      <c r="BF23" s="21">
        <f t="shared" si="2"/>
        <v>179028</v>
      </c>
      <c r="BG23" s="49">
        <v>4</v>
      </c>
      <c r="BH23" s="21">
        <f t="shared" si="10"/>
        <v>716112</v>
      </c>
      <c r="BI23" s="110"/>
      <c r="BK23" s="107"/>
      <c r="BL23" s="23" t="s">
        <v>44</v>
      </c>
      <c r="BM23" s="21">
        <v>19471</v>
      </c>
      <c r="BN23" s="21">
        <v>18406</v>
      </c>
      <c r="BO23" s="21">
        <v>17626</v>
      </c>
      <c r="BP23" s="21">
        <v>17018</v>
      </c>
      <c r="BQ23" s="21">
        <v>16773</v>
      </c>
      <c r="BR23" s="21">
        <v>16277</v>
      </c>
      <c r="BS23" s="21">
        <v>11326</v>
      </c>
      <c r="BT23" s="21">
        <v>10027</v>
      </c>
      <c r="BU23" s="21">
        <v>10436</v>
      </c>
      <c r="BV23" s="21">
        <v>11090</v>
      </c>
      <c r="BW23" s="21">
        <v>11697</v>
      </c>
      <c r="BX23" s="21">
        <v>11519</v>
      </c>
      <c r="BY23" s="21">
        <v>10929</v>
      </c>
      <c r="BZ23" s="21">
        <v>11703</v>
      </c>
      <c r="CA23" s="21">
        <v>13567</v>
      </c>
      <c r="CB23" s="21">
        <v>15193</v>
      </c>
      <c r="CC23" s="21">
        <v>20883</v>
      </c>
      <c r="CD23" s="21">
        <v>21985</v>
      </c>
      <c r="CE23" s="21">
        <v>23222</v>
      </c>
      <c r="CF23" s="21">
        <v>23401</v>
      </c>
      <c r="CG23" s="21">
        <v>22982</v>
      </c>
      <c r="CH23" s="21">
        <v>22548</v>
      </c>
      <c r="CI23" s="21">
        <v>21855</v>
      </c>
      <c r="CJ23" s="21">
        <v>20829</v>
      </c>
      <c r="CK23" s="21">
        <f t="shared" si="4"/>
        <v>400763</v>
      </c>
      <c r="CL23" s="49">
        <v>4</v>
      </c>
      <c r="CM23" s="21">
        <f t="shared" si="11"/>
        <v>1603052</v>
      </c>
      <c r="CN23" s="110"/>
      <c r="CQ23" s="107"/>
      <c r="CR23" s="23" t="s">
        <v>44</v>
      </c>
      <c r="CS23" s="21">
        <v>11008</v>
      </c>
      <c r="CT23" s="21">
        <v>10446</v>
      </c>
      <c r="CU23" s="21">
        <v>10037</v>
      </c>
      <c r="CV23" s="21">
        <v>9715</v>
      </c>
      <c r="CW23" s="21">
        <v>9587</v>
      </c>
      <c r="CX23" s="21">
        <v>9322</v>
      </c>
      <c r="CY23" s="21">
        <v>7098</v>
      </c>
      <c r="CZ23" s="21">
        <v>6493</v>
      </c>
      <c r="DA23" s="21">
        <v>6518</v>
      </c>
      <c r="DB23" s="21">
        <v>6888</v>
      </c>
      <c r="DC23" s="21">
        <v>7219</v>
      </c>
      <c r="DD23" s="21">
        <v>7153</v>
      </c>
      <c r="DE23" s="21">
        <v>6834</v>
      </c>
      <c r="DF23" s="21">
        <v>7203</v>
      </c>
      <c r="DG23" s="21">
        <v>8097</v>
      </c>
      <c r="DH23" s="21">
        <v>8856</v>
      </c>
      <c r="DI23" s="21">
        <v>11430</v>
      </c>
      <c r="DJ23" s="21">
        <v>12475</v>
      </c>
      <c r="DK23" s="21">
        <v>13133</v>
      </c>
      <c r="DL23" s="21">
        <v>13229</v>
      </c>
      <c r="DM23" s="21">
        <v>13002</v>
      </c>
      <c r="DN23" s="21">
        <v>12764</v>
      </c>
      <c r="DO23" s="21">
        <v>12387</v>
      </c>
      <c r="DP23" s="21">
        <v>11835</v>
      </c>
      <c r="DQ23" s="21">
        <f t="shared" si="6"/>
        <v>232729</v>
      </c>
      <c r="DR23" s="49">
        <v>4</v>
      </c>
      <c r="DS23" s="21">
        <f t="shared" si="12"/>
        <v>930916</v>
      </c>
      <c r="DT23" s="110"/>
      <c r="DW23" s="107"/>
      <c r="DX23" s="23" t="s">
        <v>44</v>
      </c>
      <c r="DY23" s="21">
        <v>11009</v>
      </c>
      <c r="DZ23" s="21">
        <v>10448</v>
      </c>
      <c r="EA23" s="21">
        <v>10040</v>
      </c>
      <c r="EB23" s="21">
        <v>9718</v>
      </c>
      <c r="EC23" s="21">
        <v>9590</v>
      </c>
      <c r="ED23" s="21">
        <v>9327</v>
      </c>
      <c r="EE23" s="21">
        <v>7177</v>
      </c>
      <c r="EF23" s="21">
        <v>6637</v>
      </c>
      <c r="EG23" s="21">
        <v>6696</v>
      </c>
      <c r="EH23" s="21">
        <v>7077</v>
      </c>
      <c r="EI23" s="21">
        <v>7412</v>
      </c>
      <c r="EJ23" s="21">
        <v>7353</v>
      </c>
      <c r="EK23" s="21">
        <v>7029</v>
      </c>
      <c r="EL23" s="21">
        <v>7389</v>
      </c>
      <c r="EM23" s="21">
        <v>8262</v>
      </c>
      <c r="EN23" s="21">
        <v>8995</v>
      </c>
      <c r="EO23" s="21">
        <v>11481</v>
      </c>
      <c r="EP23" s="21">
        <v>12454</v>
      </c>
      <c r="EQ23" s="21">
        <v>13110</v>
      </c>
      <c r="ER23" s="21">
        <v>13206</v>
      </c>
      <c r="ES23" s="21">
        <v>12980</v>
      </c>
      <c r="ET23" s="21">
        <v>12742</v>
      </c>
      <c r="EU23" s="21">
        <v>12366</v>
      </c>
      <c r="EV23" s="21">
        <v>11815</v>
      </c>
      <c r="EW23" s="21">
        <f t="shared" si="7"/>
        <v>234313</v>
      </c>
      <c r="EX23" s="49">
        <v>5</v>
      </c>
      <c r="EY23" s="21">
        <f t="shared" si="13"/>
        <v>1171565</v>
      </c>
      <c r="EZ23" s="110"/>
    </row>
    <row r="24" spans="1:156" x14ac:dyDescent="0.35">
      <c r="A24" s="107"/>
      <c r="B24" s="23" t="s">
        <v>45</v>
      </c>
      <c r="C24" s="21">
        <v>14263</v>
      </c>
      <c r="D24" s="21">
        <v>13615</v>
      </c>
      <c r="E24" s="21">
        <v>13107</v>
      </c>
      <c r="F24" s="21">
        <v>12691</v>
      </c>
      <c r="G24" s="21">
        <v>12419</v>
      </c>
      <c r="H24" s="21">
        <v>11878</v>
      </c>
      <c r="I24" s="21">
        <v>12099</v>
      </c>
      <c r="J24" s="21">
        <v>6800</v>
      </c>
      <c r="K24" s="21">
        <v>7250</v>
      </c>
      <c r="L24" s="21">
        <v>7749</v>
      </c>
      <c r="M24" s="21">
        <v>8172</v>
      </c>
      <c r="N24" s="21">
        <v>8464</v>
      </c>
      <c r="O24" s="21">
        <v>8410</v>
      </c>
      <c r="P24" s="21">
        <v>8422</v>
      </c>
      <c r="Q24" s="21">
        <v>8794</v>
      </c>
      <c r="R24" s="21">
        <v>8905</v>
      </c>
      <c r="S24" s="21">
        <v>8760</v>
      </c>
      <c r="T24" s="21">
        <v>12249</v>
      </c>
      <c r="U24" s="21">
        <v>13170</v>
      </c>
      <c r="V24" s="21">
        <v>13608</v>
      </c>
      <c r="W24" s="21">
        <v>13730</v>
      </c>
      <c r="X24" s="21">
        <v>13813</v>
      </c>
      <c r="Y24" s="21">
        <v>13376</v>
      </c>
      <c r="Z24" s="21">
        <v>12581</v>
      </c>
      <c r="AA24" s="21">
        <f t="shared" si="0"/>
        <v>264325</v>
      </c>
      <c r="AB24" s="22">
        <v>5</v>
      </c>
      <c r="AC24" s="21">
        <f t="shared" si="9"/>
        <v>1321625</v>
      </c>
      <c r="AD24" s="110"/>
      <c r="AF24" s="107"/>
      <c r="AG24" s="23" t="s">
        <v>45</v>
      </c>
      <c r="AH24" s="21">
        <v>9287</v>
      </c>
      <c r="AI24" s="21">
        <v>8816</v>
      </c>
      <c r="AJ24" s="21">
        <v>8456</v>
      </c>
      <c r="AK24" s="21">
        <v>8144</v>
      </c>
      <c r="AL24" s="21">
        <v>7934</v>
      </c>
      <c r="AM24" s="21">
        <v>7551</v>
      </c>
      <c r="AN24" s="21">
        <v>1768</v>
      </c>
      <c r="AO24" s="21">
        <v>1889</v>
      </c>
      <c r="AP24" s="21">
        <v>615</v>
      </c>
      <c r="AQ24" s="21">
        <v>431</v>
      </c>
      <c r="AR24" s="21">
        <v>549</v>
      </c>
      <c r="AS24" s="21">
        <v>430</v>
      </c>
      <c r="AT24" s="21">
        <v>724</v>
      </c>
      <c r="AU24" s="21">
        <v>1194</v>
      </c>
      <c r="AV24" s="21">
        <v>2641</v>
      </c>
      <c r="AW24" s="21">
        <v>4083</v>
      </c>
      <c r="AX24" s="21">
        <v>10570</v>
      </c>
      <c r="AY24" s="21">
        <v>9437</v>
      </c>
      <c r="AZ24" s="21">
        <v>10305</v>
      </c>
      <c r="BA24" s="21">
        <v>10716</v>
      </c>
      <c r="BB24" s="21">
        <v>10837</v>
      </c>
      <c r="BC24" s="21">
        <v>10914</v>
      </c>
      <c r="BD24" s="21">
        <v>10561</v>
      </c>
      <c r="BE24" s="21">
        <v>9898</v>
      </c>
      <c r="BF24" s="21">
        <f t="shared" si="2"/>
        <v>147750</v>
      </c>
      <c r="BG24" s="49">
        <v>4</v>
      </c>
      <c r="BH24" s="21">
        <f t="shared" si="10"/>
        <v>591000</v>
      </c>
      <c r="BI24" s="110"/>
      <c r="BK24" s="107"/>
      <c r="BL24" s="23" t="s">
        <v>45</v>
      </c>
      <c r="BM24" s="21">
        <v>18908</v>
      </c>
      <c r="BN24" s="21">
        <v>17989</v>
      </c>
      <c r="BO24" s="21">
        <v>17292</v>
      </c>
      <c r="BP24" s="21">
        <v>16714</v>
      </c>
      <c r="BQ24" s="21">
        <v>16346</v>
      </c>
      <c r="BR24" s="21">
        <v>15594</v>
      </c>
      <c r="BS24" s="21">
        <v>10357</v>
      </c>
      <c r="BT24" s="21">
        <v>7808</v>
      </c>
      <c r="BU24" s="21">
        <v>6705</v>
      </c>
      <c r="BV24" s="21">
        <v>6731</v>
      </c>
      <c r="BW24" s="21">
        <v>7005</v>
      </c>
      <c r="BX24" s="21">
        <v>6988</v>
      </c>
      <c r="BY24" s="21">
        <v>7314</v>
      </c>
      <c r="BZ24" s="21">
        <v>7923</v>
      </c>
      <c r="CA24" s="21">
        <v>9741</v>
      </c>
      <c r="CB24" s="21">
        <v>11474</v>
      </c>
      <c r="CC24" s="21">
        <v>17656</v>
      </c>
      <c r="CD24" s="21">
        <v>19606</v>
      </c>
      <c r="CE24" s="21">
        <v>21264</v>
      </c>
      <c r="CF24" s="21">
        <v>22055</v>
      </c>
      <c r="CG24" s="21">
        <v>22212</v>
      </c>
      <c r="CH24" s="21">
        <v>22237</v>
      </c>
      <c r="CI24" s="21">
        <v>21486</v>
      </c>
      <c r="CJ24" s="21">
        <v>20191</v>
      </c>
      <c r="CK24" s="21">
        <f t="shared" si="4"/>
        <v>351596</v>
      </c>
      <c r="CL24" s="49">
        <v>4</v>
      </c>
      <c r="CM24" s="21">
        <f t="shared" si="11"/>
        <v>1406384</v>
      </c>
      <c r="CN24" s="110"/>
      <c r="CQ24" s="107"/>
      <c r="CR24" s="23" t="s">
        <v>45</v>
      </c>
      <c r="CS24" s="21">
        <v>10724</v>
      </c>
      <c r="CT24" s="21">
        <v>10234</v>
      </c>
      <c r="CU24" s="21">
        <v>9863</v>
      </c>
      <c r="CV24" s="21">
        <v>9557</v>
      </c>
      <c r="CW24" s="21">
        <v>9363</v>
      </c>
      <c r="CX24" s="21">
        <v>8962</v>
      </c>
      <c r="CY24" s="21">
        <v>6587</v>
      </c>
      <c r="CZ24" s="21">
        <v>5307</v>
      </c>
      <c r="DA24" s="21">
        <v>4598</v>
      </c>
      <c r="DB24" s="21">
        <v>4652</v>
      </c>
      <c r="DC24" s="21">
        <v>4808</v>
      </c>
      <c r="DD24" s="21">
        <v>4823</v>
      </c>
      <c r="DE24" s="21">
        <v>4971</v>
      </c>
      <c r="DF24" s="21">
        <v>5261</v>
      </c>
      <c r="DG24" s="21">
        <v>6131</v>
      </c>
      <c r="DH24" s="21">
        <v>6945</v>
      </c>
      <c r="DI24" s="21">
        <v>9776</v>
      </c>
      <c r="DJ24" s="21">
        <v>11210</v>
      </c>
      <c r="DK24" s="21">
        <v>12095</v>
      </c>
      <c r="DL24" s="21">
        <v>12518</v>
      </c>
      <c r="DM24" s="21">
        <v>12597</v>
      </c>
      <c r="DN24" s="21">
        <v>12604</v>
      </c>
      <c r="DO24" s="21">
        <v>12196</v>
      </c>
      <c r="DP24" s="21">
        <v>11501</v>
      </c>
      <c r="DQ24" s="21">
        <f t="shared" si="6"/>
        <v>207283</v>
      </c>
      <c r="DR24" s="49">
        <v>4</v>
      </c>
      <c r="DS24" s="21">
        <f t="shared" si="12"/>
        <v>829132</v>
      </c>
      <c r="DT24" s="110"/>
      <c r="DW24" s="107"/>
      <c r="DX24" s="23" t="s">
        <v>45</v>
      </c>
      <c r="DY24" s="21">
        <v>10725</v>
      </c>
      <c r="DZ24" s="21">
        <v>10236</v>
      </c>
      <c r="EA24" s="21">
        <v>9866</v>
      </c>
      <c r="EB24" s="21">
        <v>9561</v>
      </c>
      <c r="EC24" s="21">
        <v>9367</v>
      </c>
      <c r="ED24" s="21">
        <v>8967</v>
      </c>
      <c r="EE24" s="21">
        <v>6666</v>
      </c>
      <c r="EF24" s="21">
        <v>5454</v>
      </c>
      <c r="EG24" s="21">
        <v>4779</v>
      </c>
      <c r="EH24" s="21">
        <v>4845</v>
      </c>
      <c r="EI24" s="21">
        <v>5006</v>
      </c>
      <c r="EJ24" s="21">
        <v>5027</v>
      </c>
      <c r="EK24" s="21">
        <v>5169</v>
      </c>
      <c r="EL24" s="21">
        <v>5450</v>
      </c>
      <c r="EM24" s="21">
        <v>6299</v>
      </c>
      <c r="EN24" s="21">
        <v>7087</v>
      </c>
      <c r="EO24" s="21">
        <v>9829</v>
      </c>
      <c r="EP24" s="21">
        <v>11191</v>
      </c>
      <c r="EQ24" s="21">
        <v>12075</v>
      </c>
      <c r="ER24" s="21">
        <v>12497</v>
      </c>
      <c r="ES24" s="21">
        <v>12576</v>
      </c>
      <c r="ET24" s="21">
        <v>12582</v>
      </c>
      <c r="EU24" s="21">
        <v>12176</v>
      </c>
      <c r="EV24" s="21">
        <v>11482</v>
      </c>
      <c r="EW24" s="21">
        <f t="shared" si="7"/>
        <v>208912</v>
      </c>
      <c r="EX24" s="49">
        <v>4</v>
      </c>
      <c r="EY24" s="21">
        <f t="shared" si="13"/>
        <v>835648</v>
      </c>
      <c r="EZ24" s="110"/>
    </row>
    <row r="25" spans="1:156" ht="15" thickBot="1" x14ac:dyDescent="0.4">
      <c r="A25" s="108"/>
      <c r="B25" s="24" t="s">
        <v>46</v>
      </c>
      <c r="C25" s="21">
        <v>12848</v>
      </c>
      <c r="D25" s="21">
        <v>12207</v>
      </c>
      <c r="E25" s="21">
        <v>11745</v>
      </c>
      <c r="F25" s="21">
        <v>11401</v>
      </c>
      <c r="G25" s="21">
        <v>11238</v>
      </c>
      <c r="H25" s="21">
        <v>10856</v>
      </c>
      <c r="I25" s="21">
        <v>11182</v>
      </c>
      <c r="J25" s="21">
        <v>6094</v>
      </c>
      <c r="K25" s="21">
        <v>6751</v>
      </c>
      <c r="L25" s="21">
        <v>7443</v>
      </c>
      <c r="M25" s="21">
        <v>8025</v>
      </c>
      <c r="N25" s="21">
        <v>8422</v>
      </c>
      <c r="O25" s="21">
        <v>8345</v>
      </c>
      <c r="P25" s="21">
        <v>8552</v>
      </c>
      <c r="Q25" s="21">
        <v>8863</v>
      </c>
      <c r="R25" s="21">
        <v>8941</v>
      </c>
      <c r="S25" s="21">
        <v>8628</v>
      </c>
      <c r="T25" s="21">
        <v>11904</v>
      </c>
      <c r="U25" s="21">
        <v>12925</v>
      </c>
      <c r="V25" s="21">
        <v>13590</v>
      </c>
      <c r="W25" s="21">
        <v>13726</v>
      </c>
      <c r="X25" s="21">
        <v>13635</v>
      </c>
      <c r="Y25" s="21">
        <v>12942</v>
      </c>
      <c r="Z25" s="21">
        <v>12003</v>
      </c>
      <c r="AA25" s="21">
        <f t="shared" si="0"/>
        <v>252266</v>
      </c>
      <c r="AB25" s="22">
        <v>3</v>
      </c>
      <c r="AC25" s="21">
        <f t="shared" si="9"/>
        <v>756798</v>
      </c>
      <c r="AD25" s="111"/>
      <c r="AF25" s="108"/>
      <c r="AG25" s="24" t="s">
        <v>46</v>
      </c>
      <c r="AH25" s="21">
        <v>7905</v>
      </c>
      <c r="AI25" s="21">
        <v>7449</v>
      </c>
      <c r="AJ25" s="21">
        <v>7124</v>
      </c>
      <c r="AK25" s="21">
        <v>6887</v>
      </c>
      <c r="AL25" s="21">
        <v>6778</v>
      </c>
      <c r="AM25" s="21">
        <v>6522</v>
      </c>
      <c r="AN25" s="21">
        <v>859</v>
      </c>
      <c r="AO25" s="21">
        <v>1124</v>
      </c>
      <c r="AP25" s="21">
        <v>37</v>
      </c>
      <c r="AQ25" s="21">
        <v>69</v>
      </c>
      <c r="AR25" s="21">
        <v>335</v>
      </c>
      <c r="AS25" s="21">
        <v>306</v>
      </c>
      <c r="AT25" s="21">
        <v>525</v>
      </c>
      <c r="AU25" s="21">
        <v>1201</v>
      </c>
      <c r="AV25" s="21">
        <v>2621</v>
      </c>
      <c r="AW25" s="21">
        <v>4046</v>
      </c>
      <c r="AX25" s="21">
        <v>10406</v>
      </c>
      <c r="AY25" s="21">
        <v>9115</v>
      </c>
      <c r="AZ25" s="21">
        <v>9981</v>
      </c>
      <c r="BA25" s="21">
        <v>10471</v>
      </c>
      <c r="BB25" s="21">
        <v>10532</v>
      </c>
      <c r="BC25" s="21">
        <v>10410</v>
      </c>
      <c r="BD25" s="21">
        <v>9871</v>
      </c>
      <c r="BE25" s="21">
        <v>9155</v>
      </c>
      <c r="BF25" s="21">
        <f t="shared" si="2"/>
        <v>133729</v>
      </c>
      <c r="BG25" s="50">
        <v>2</v>
      </c>
      <c r="BH25" s="21">
        <f t="shared" si="10"/>
        <v>267458</v>
      </c>
      <c r="BI25" s="111"/>
      <c r="BK25" s="108"/>
      <c r="BL25" s="24" t="s">
        <v>46</v>
      </c>
      <c r="BM25" s="21">
        <v>16987</v>
      </c>
      <c r="BN25" s="21">
        <v>16083</v>
      </c>
      <c r="BO25" s="21">
        <v>15440</v>
      </c>
      <c r="BP25" s="21">
        <v>14974</v>
      </c>
      <c r="BQ25" s="21">
        <v>14761</v>
      </c>
      <c r="BR25" s="21">
        <v>14263</v>
      </c>
      <c r="BS25" s="21">
        <v>9162</v>
      </c>
      <c r="BT25" s="21">
        <v>6987</v>
      </c>
      <c r="BU25" s="21">
        <v>6183</v>
      </c>
      <c r="BV25" s="21">
        <v>6489</v>
      </c>
      <c r="BW25" s="21">
        <v>7025</v>
      </c>
      <c r="BX25" s="21">
        <v>7126</v>
      </c>
      <c r="BY25" s="21">
        <v>7331</v>
      </c>
      <c r="BZ25" s="21">
        <v>8198</v>
      </c>
      <c r="CA25" s="21">
        <v>9990</v>
      </c>
      <c r="CB25" s="21">
        <v>11680</v>
      </c>
      <c r="CC25" s="21">
        <v>17639</v>
      </c>
      <c r="CD25" s="21">
        <v>19339</v>
      </c>
      <c r="CE25" s="21">
        <v>21066</v>
      </c>
      <c r="CF25" s="21">
        <v>22020</v>
      </c>
      <c r="CG25" s="21">
        <v>22123</v>
      </c>
      <c r="CH25" s="21">
        <v>21868</v>
      </c>
      <c r="CI25" s="21">
        <v>20807</v>
      </c>
      <c r="CJ25" s="21">
        <v>19406</v>
      </c>
      <c r="CK25" s="21">
        <f t="shared" si="4"/>
        <v>336947</v>
      </c>
      <c r="CL25" s="50">
        <v>2</v>
      </c>
      <c r="CM25" s="21">
        <f t="shared" si="11"/>
        <v>673894</v>
      </c>
      <c r="CN25" s="111"/>
      <c r="CQ25" s="108"/>
      <c r="CR25" s="24" t="s">
        <v>46</v>
      </c>
      <c r="CS25" s="21">
        <v>9749</v>
      </c>
      <c r="CT25" s="21">
        <v>9266</v>
      </c>
      <c r="CU25" s="21">
        <v>8924</v>
      </c>
      <c r="CV25" s="21">
        <v>8675</v>
      </c>
      <c r="CW25" s="21">
        <v>8561</v>
      </c>
      <c r="CX25" s="21">
        <v>8295</v>
      </c>
      <c r="CY25" s="21">
        <v>5986</v>
      </c>
      <c r="CZ25" s="21">
        <v>4905</v>
      </c>
      <c r="DA25" s="21">
        <v>4355</v>
      </c>
      <c r="DB25" s="21">
        <v>4549</v>
      </c>
      <c r="DC25" s="21">
        <v>4842</v>
      </c>
      <c r="DD25" s="21">
        <v>4917</v>
      </c>
      <c r="DE25" s="21">
        <v>5003</v>
      </c>
      <c r="DF25" s="21">
        <v>5421</v>
      </c>
      <c r="DG25" s="21">
        <v>6279</v>
      </c>
      <c r="DH25" s="21">
        <v>7069</v>
      </c>
      <c r="DI25" s="21">
        <v>9783</v>
      </c>
      <c r="DJ25" s="21">
        <v>11088</v>
      </c>
      <c r="DK25" s="21">
        <v>12017</v>
      </c>
      <c r="DL25" s="21">
        <v>12531</v>
      </c>
      <c r="DM25" s="21">
        <v>12587</v>
      </c>
      <c r="DN25" s="21">
        <v>12450</v>
      </c>
      <c r="DO25" s="21">
        <v>11879</v>
      </c>
      <c r="DP25" s="21">
        <v>11124</v>
      </c>
      <c r="DQ25" s="21">
        <f t="shared" si="6"/>
        <v>200255</v>
      </c>
      <c r="DR25" s="50">
        <v>1</v>
      </c>
      <c r="DS25" s="21">
        <f t="shared" si="12"/>
        <v>200255</v>
      </c>
      <c r="DT25" s="111"/>
      <c r="DW25" s="108"/>
      <c r="DX25" s="24" t="s">
        <v>46</v>
      </c>
      <c r="DY25" s="21">
        <v>9753</v>
      </c>
      <c r="DZ25" s="21">
        <v>9271</v>
      </c>
      <c r="EA25" s="21">
        <v>8929</v>
      </c>
      <c r="EB25" s="21">
        <v>8680</v>
      </c>
      <c r="EC25" s="21">
        <v>8566</v>
      </c>
      <c r="ED25" s="21">
        <v>8301</v>
      </c>
      <c r="EE25" s="21">
        <v>6067</v>
      </c>
      <c r="EF25" s="21">
        <v>5052</v>
      </c>
      <c r="EG25" s="21">
        <v>4537</v>
      </c>
      <c r="EH25" s="21">
        <v>4742</v>
      </c>
      <c r="EI25" s="21">
        <v>5039</v>
      </c>
      <c r="EJ25" s="21">
        <v>5121</v>
      </c>
      <c r="EK25" s="21">
        <v>5201</v>
      </c>
      <c r="EL25" s="21">
        <v>5610</v>
      </c>
      <c r="EM25" s="21">
        <v>6446</v>
      </c>
      <c r="EN25" s="21">
        <v>7211</v>
      </c>
      <c r="EO25" s="21">
        <v>9836</v>
      </c>
      <c r="EP25" s="21">
        <v>11069</v>
      </c>
      <c r="EQ25" s="21">
        <v>11996</v>
      </c>
      <c r="ER25" s="21">
        <v>12509</v>
      </c>
      <c r="ES25" s="21">
        <v>12565</v>
      </c>
      <c r="ET25" s="21">
        <v>12429</v>
      </c>
      <c r="EU25" s="21">
        <v>11859</v>
      </c>
      <c r="EV25" s="21">
        <v>11105</v>
      </c>
      <c r="EW25" s="21">
        <f t="shared" si="7"/>
        <v>201894</v>
      </c>
      <c r="EX25" s="50">
        <v>2</v>
      </c>
      <c r="EY25" s="21">
        <f t="shared" si="13"/>
        <v>403788</v>
      </c>
      <c r="EZ25" s="111"/>
    </row>
    <row r="26" spans="1:156" x14ac:dyDescent="0.35">
      <c r="A26" s="106">
        <v>46539</v>
      </c>
      <c r="B26" s="19" t="s">
        <v>43</v>
      </c>
      <c r="C26" s="21">
        <v>14742</v>
      </c>
      <c r="D26" s="21">
        <v>14029</v>
      </c>
      <c r="E26" s="21">
        <v>13491</v>
      </c>
      <c r="F26" s="21">
        <v>13127</v>
      </c>
      <c r="G26" s="21">
        <v>13026</v>
      </c>
      <c r="H26" s="21">
        <v>12929</v>
      </c>
      <c r="I26" s="21">
        <v>13541</v>
      </c>
      <c r="J26" s="21">
        <v>9379</v>
      </c>
      <c r="K26" s="21">
        <v>10800</v>
      </c>
      <c r="L26" s="21">
        <v>11665</v>
      </c>
      <c r="M26" s="21">
        <v>12431</v>
      </c>
      <c r="N26" s="21">
        <v>12748</v>
      </c>
      <c r="O26" s="21">
        <v>11528</v>
      </c>
      <c r="P26" s="21">
        <v>12778</v>
      </c>
      <c r="Q26" s="21">
        <v>14143</v>
      </c>
      <c r="R26" s="21">
        <v>14253</v>
      </c>
      <c r="S26" s="21">
        <v>13772</v>
      </c>
      <c r="T26" s="21">
        <v>15578</v>
      </c>
      <c r="U26" s="21">
        <v>15571</v>
      </c>
      <c r="V26" s="21">
        <v>15638</v>
      </c>
      <c r="W26" s="21">
        <v>15535</v>
      </c>
      <c r="X26" s="21">
        <v>15223</v>
      </c>
      <c r="Y26" s="21">
        <v>14478</v>
      </c>
      <c r="Z26" s="21">
        <v>13472</v>
      </c>
      <c r="AA26" s="21">
        <f t="shared" si="0"/>
        <v>323877</v>
      </c>
      <c r="AB26" s="22">
        <v>21</v>
      </c>
      <c r="AC26" s="21">
        <f t="shared" si="9"/>
        <v>6801417</v>
      </c>
      <c r="AD26" s="109">
        <f>+SUM(AC26:AC29)</f>
        <v>9410160</v>
      </c>
      <c r="AF26" s="106">
        <v>46905</v>
      </c>
      <c r="AG26" s="19" t="s">
        <v>43</v>
      </c>
      <c r="AH26" s="21">
        <v>9603</v>
      </c>
      <c r="AI26" s="21">
        <v>9073</v>
      </c>
      <c r="AJ26" s="21">
        <v>8672</v>
      </c>
      <c r="AK26" s="21">
        <v>8401</v>
      </c>
      <c r="AL26" s="21">
        <v>8314</v>
      </c>
      <c r="AM26" s="21">
        <v>8206</v>
      </c>
      <c r="AN26" s="21">
        <v>2727</v>
      </c>
      <c r="AO26" s="21">
        <v>4132</v>
      </c>
      <c r="AP26" s="21">
        <v>3791</v>
      </c>
      <c r="AQ26" s="21">
        <v>3954</v>
      </c>
      <c r="AR26" s="21">
        <v>4345</v>
      </c>
      <c r="AS26" s="21">
        <v>4237</v>
      </c>
      <c r="AT26" s="21">
        <v>3429</v>
      </c>
      <c r="AU26" s="21">
        <v>5041</v>
      </c>
      <c r="AV26" s="21">
        <v>7432</v>
      </c>
      <c r="AW26" s="21">
        <v>8919</v>
      </c>
      <c r="AX26" s="21">
        <v>15154</v>
      </c>
      <c r="AY26" s="21">
        <v>12292</v>
      </c>
      <c r="AZ26" s="21">
        <v>12389</v>
      </c>
      <c r="BA26" s="21">
        <v>12479</v>
      </c>
      <c r="BB26" s="21">
        <v>12425</v>
      </c>
      <c r="BC26" s="21">
        <v>12201</v>
      </c>
      <c r="BD26" s="21">
        <v>11608</v>
      </c>
      <c r="BE26" s="21">
        <v>10778</v>
      </c>
      <c r="BF26" s="21">
        <f t="shared" si="2"/>
        <v>199602</v>
      </c>
      <c r="BG26" s="48">
        <v>20</v>
      </c>
      <c r="BH26" s="21">
        <f t="shared" si="10"/>
        <v>3992040</v>
      </c>
      <c r="BI26" s="109">
        <f>+SUM(BH26:BH29)</f>
        <v>5680978</v>
      </c>
      <c r="BK26" s="106">
        <v>47270</v>
      </c>
      <c r="BL26" s="19" t="s">
        <v>43</v>
      </c>
      <c r="BM26" s="21">
        <v>19434</v>
      </c>
      <c r="BN26" s="21">
        <v>18424</v>
      </c>
      <c r="BO26" s="21">
        <v>17683</v>
      </c>
      <c r="BP26" s="21">
        <v>17174</v>
      </c>
      <c r="BQ26" s="21">
        <v>17045</v>
      </c>
      <c r="BR26" s="21">
        <v>16868</v>
      </c>
      <c r="BS26" s="21">
        <v>12201</v>
      </c>
      <c r="BT26" s="21">
        <v>11362</v>
      </c>
      <c r="BU26" s="21">
        <v>11778</v>
      </c>
      <c r="BV26" s="21">
        <v>12314</v>
      </c>
      <c r="BW26" s="21">
        <v>13082</v>
      </c>
      <c r="BX26" s="21">
        <v>13090</v>
      </c>
      <c r="BY26" s="21">
        <v>11714</v>
      </c>
      <c r="BZ26" s="21">
        <v>14024</v>
      </c>
      <c r="CA26" s="21">
        <v>17339</v>
      </c>
      <c r="CB26" s="21">
        <v>19148</v>
      </c>
      <c r="CC26" s="21">
        <v>24907</v>
      </c>
      <c r="CD26" s="21">
        <v>25105</v>
      </c>
      <c r="CE26" s="21">
        <v>25229</v>
      </c>
      <c r="CF26" s="21">
        <v>25428</v>
      </c>
      <c r="CG26" s="21">
        <v>25202</v>
      </c>
      <c r="CH26" s="21">
        <v>24609</v>
      </c>
      <c r="CI26" s="21">
        <v>23370</v>
      </c>
      <c r="CJ26" s="21">
        <v>21708</v>
      </c>
      <c r="CK26" s="21">
        <f t="shared" si="4"/>
        <v>438238</v>
      </c>
      <c r="CL26" s="48">
        <v>19</v>
      </c>
      <c r="CM26" s="21">
        <f t="shared" si="11"/>
        <v>8326522</v>
      </c>
      <c r="CN26" s="109">
        <f>+SUM(CM26:CM29)</f>
        <v>12612178</v>
      </c>
      <c r="CQ26" s="106">
        <v>47635</v>
      </c>
      <c r="CR26" s="19" t="s">
        <v>43</v>
      </c>
      <c r="CS26" s="21">
        <v>11107</v>
      </c>
      <c r="CT26" s="21">
        <v>10566</v>
      </c>
      <c r="CU26" s="21">
        <v>10170</v>
      </c>
      <c r="CV26" s="21">
        <v>9898</v>
      </c>
      <c r="CW26" s="21">
        <v>9831</v>
      </c>
      <c r="CX26" s="21">
        <v>9739</v>
      </c>
      <c r="CY26" s="21">
        <v>7670</v>
      </c>
      <c r="CZ26" s="21">
        <v>7323</v>
      </c>
      <c r="DA26" s="21">
        <v>7341</v>
      </c>
      <c r="DB26" s="21">
        <v>7663</v>
      </c>
      <c r="DC26" s="21">
        <v>8083</v>
      </c>
      <c r="DD26" s="21">
        <v>8115</v>
      </c>
      <c r="DE26" s="21">
        <v>7380</v>
      </c>
      <c r="DF26" s="21">
        <v>8547</v>
      </c>
      <c r="DG26" s="21">
        <v>10196</v>
      </c>
      <c r="DH26" s="21">
        <v>11047</v>
      </c>
      <c r="DI26" s="21">
        <v>13653</v>
      </c>
      <c r="DJ26" s="21">
        <v>14283</v>
      </c>
      <c r="DK26" s="21">
        <v>14343</v>
      </c>
      <c r="DL26" s="21">
        <v>14452</v>
      </c>
      <c r="DM26" s="21">
        <v>14321</v>
      </c>
      <c r="DN26" s="21">
        <v>13990</v>
      </c>
      <c r="DO26" s="21">
        <v>13314</v>
      </c>
      <c r="DP26" s="21">
        <v>12410</v>
      </c>
      <c r="DQ26" s="21">
        <f t="shared" si="6"/>
        <v>255442</v>
      </c>
      <c r="DR26" s="48">
        <v>18</v>
      </c>
      <c r="DS26" s="21">
        <f t="shared" si="12"/>
        <v>4597956</v>
      </c>
      <c r="DT26" s="109">
        <f>+SUM(DS26:DS29)</f>
        <v>7344025</v>
      </c>
      <c r="DW26" s="106">
        <v>48000</v>
      </c>
      <c r="DX26" s="19" t="s">
        <v>43</v>
      </c>
      <c r="DY26" s="21">
        <v>11079</v>
      </c>
      <c r="DZ26" s="21">
        <v>10541</v>
      </c>
      <c r="EA26" s="21">
        <v>10147</v>
      </c>
      <c r="EB26" s="21">
        <v>9875</v>
      </c>
      <c r="EC26" s="21">
        <v>9809</v>
      </c>
      <c r="ED26" s="21">
        <v>9717</v>
      </c>
      <c r="EE26" s="21">
        <v>7721</v>
      </c>
      <c r="EF26" s="21">
        <v>7436</v>
      </c>
      <c r="EG26" s="21">
        <v>7486</v>
      </c>
      <c r="EH26" s="21">
        <v>7816</v>
      </c>
      <c r="EI26" s="21">
        <v>8240</v>
      </c>
      <c r="EJ26" s="21">
        <v>8277</v>
      </c>
      <c r="EK26" s="21">
        <v>7540</v>
      </c>
      <c r="EL26" s="21">
        <v>8695</v>
      </c>
      <c r="EM26" s="21">
        <v>10318</v>
      </c>
      <c r="EN26" s="21">
        <v>11143</v>
      </c>
      <c r="EO26" s="21">
        <v>13661</v>
      </c>
      <c r="EP26" s="21">
        <v>14220</v>
      </c>
      <c r="EQ26" s="21">
        <v>14280</v>
      </c>
      <c r="ER26" s="21">
        <v>14388</v>
      </c>
      <c r="ES26" s="21">
        <v>14258</v>
      </c>
      <c r="ET26" s="21">
        <v>13929</v>
      </c>
      <c r="EU26" s="21">
        <v>13255</v>
      </c>
      <c r="EV26" s="21">
        <v>12356</v>
      </c>
      <c r="EW26" s="21">
        <f t="shared" si="7"/>
        <v>256187</v>
      </c>
      <c r="EX26" s="48">
        <v>18</v>
      </c>
      <c r="EY26" s="21">
        <f t="shared" si="13"/>
        <v>4611366</v>
      </c>
      <c r="EZ26" s="109">
        <f>+SUM(EY26:EY29)</f>
        <v>7339407</v>
      </c>
    </row>
    <row r="27" spans="1:156" x14ac:dyDescent="0.35">
      <c r="A27" s="107"/>
      <c r="B27" s="23" t="s">
        <v>44</v>
      </c>
      <c r="C27" s="21">
        <v>14860</v>
      </c>
      <c r="D27" s="21">
        <v>14166</v>
      </c>
      <c r="E27" s="21">
        <v>13637</v>
      </c>
      <c r="F27" s="21">
        <v>13237</v>
      </c>
      <c r="G27" s="21">
        <v>13100</v>
      </c>
      <c r="H27" s="21">
        <v>12767</v>
      </c>
      <c r="I27" s="21">
        <v>13352</v>
      </c>
      <c r="J27" s="21">
        <v>9014</v>
      </c>
      <c r="K27" s="21">
        <v>10394</v>
      </c>
      <c r="L27" s="21">
        <v>11279</v>
      </c>
      <c r="M27" s="21">
        <v>11931</v>
      </c>
      <c r="N27" s="21">
        <v>12128</v>
      </c>
      <c r="O27" s="21">
        <v>11392</v>
      </c>
      <c r="P27" s="21">
        <v>11410</v>
      </c>
      <c r="Q27" s="21">
        <v>12008</v>
      </c>
      <c r="R27" s="21">
        <v>12116</v>
      </c>
      <c r="S27" s="21">
        <v>11640</v>
      </c>
      <c r="T27" s="21">
        <v>14362</v>
      </c>
      <c r="U27" s="21">
        <v>14908</v>
      </c>
      <c r="V27" s="21">
        <v>14964</v>
      </c>
      <c r="W27" s="21">
        <v>14652</v>
      </c>
      <c r="X27" s="21">
        <v>14322</v>
      </c>
      <c r="Y27" s="21">
        <v>13885</v>
      </c>
      <c r="Z27" s="21">
        <v>13260</v>
      </c>
      <c r="AA27" s="21">
        <f t="shared" si="0"/>
        <v>308784</v>
      </c>
      <c r="AB27" s="22">
        <v>4</v>
      </c>
      <c r="AC27" s="21">
        <f t="shared" si="9"/>
        <v>1235136</v>
      </c>
      <c r="AD27" s="110"/>
      <c r="AF27" s="107"/>
      <c r="AG27" s="23" t="s">
        <v>44</v>
      </c>
      <c r="AH27" s="21">
        <v>9796</v>
      </c>
      <c r="AI27" s="21">
        <v>9291</v>
      </c>
      <c r="AJ27" s="21">
        <v>8883</v>
      </c>
      <c r="AK27" s="21">
        <v>8587</v>
      </c>
      <c r="AL27" s="21">
        <v>8475</v>
      </c>
      <c r="AM27" s="21">
        <v>8220</v>
      </c>
      <c r="AN27" s="21">
        <v>2738</v>
      </c>
      <c r="AO27" s="21">
        <v>3901</v>
      </c>
      <c r="AP27" s="21">
        <v>3492</v>
      </c>
      <c r="AQ27" s="21">
        <v>3638</v>
      </c>
      <c r="AR27" s="21">
        <v>3967</v>
      </c>
      <c r="AS27" s="21">
        <v>3764</v>
      </c>
      <c r="AT27" s="21">
        <v>3391</v>
      </c>
      <c r="AU27" s="21">
        <v>3856</v>
      </c>
      <c r="AV27" s="21">
        <v>5568</v>
      </c>
      <c r="AW27" s="21">
        <v>7082</v>
      </c>
      <c r="AX27" s="21">
        <v>13296</v>
      </c>
      <c r="AY27" s="21">
        <v>11463</v>
      </c>
      <c r="AZ27" s="21">
        <v>11946</v>
      </c>
      <c r="BA27" s="21">
        <v>12039</v>
      </c>
      <c r="BB27" s="21">
        <v>11790</v>
      </c>
      <c r="BC27" s="21">
        <v>11570</v>
      </c>
      <c r="BD27" s="21">
        <v>11241</v>
      </c>
      <c r="BE27" s="21">
        <v>10739</v>
      </c>
      <c r="BF27" s="21">
        <f t="shared" si="2"/>
        <v>188733</v>
      </c>
      <c r="BG27" s="49">
        <v>4</v>
      </c>
      <c r="BH27" s="21">
        <f t="shared" si="10"/>
        <v>754932</v>
      </c>
      <c r="BI27" s="110"/>
      <c r="BK27" s="107"/>
      <c r="BL27" s="23" t="s">
        <v>44</v>
      </c>
      <c r="BM27" s="21">
        <v>19762</v>
      </c>
      <c r="BN27" s="21">
        <v>18780</v>
      </c>
      <c r="BO27" s="21">
        <v>18037</v>
      </c>
      <c r="BP27" s="21">
        <v>17488</v>
      </c>
      <c r="BQ27" s="21">
        <v>17298</v>
      </c>
      <c r="BR27" s="21">
        <v>16819</v>
      </c>
      <c r="BS27" s="21">
        <v>12080</v>
      </c>
      <c r="BT27" s="21">
        <v>10865</v>
      </c>
      <c r="BU27" s="21">
        <v>11195</v>
      </c>
      <c r="BV27" s="21">
        <v>11753</v>
      </c>
      <c r="BW27" s="21">
        <v>12380</v>
      </c>
      <c r="BX27" s="21">
        <v>12241</v>
      </c>
      <c r="BY27" s="21">
        <v>11556</v>
      </c>
      <c r="BZ27" s="21">
        <v>12135</v>
      </c>
      <c r="CA27" s="21">
        <v>14234</v>
      </c>
      <c r="CB27" s="21">
        <v>15994</v>
      </c>
      <c r="CC27" s="21">
        <v>21768</v>
      </c>
      <c r="CD27" s="21">
        <v>23085</v>
      </c>
      <c r="CE27" s="21">
        <v>24089</v>
      </c>
      <c r="CF27" s="21">
        <v>24391</v>
      </c>
      <c r="CG27" s="21">
        <v>23877</v>
      </c>
      <c r="CH27" s="21">
        <v>23343</v>
      </c>
      <c r="CI27" s="21">
        <v>22615</v>
      </c>
      <c r="CJ27" s="21">
        <v>21587</v>
      </c>
      <c r="CK27" s="21">
        <f t="shared" si="4"/>
        <v>417372</v>
      </c>
      <c r="CL27" s="49">
        <v>5</v>
      </c>
      <c r="CM27" s="21">
        <f t="shared" si="11"/>
        <v>2086860</v>
      </c>
      <c r="CN27" s="110"/>
      <c r="CQ27" s="107"/>
      <c r="CR27" s="23" t="s">
        <v>44</v>
      </c>
      <c r="CS27" s="21">
        <v>11277</v>
      </c>
      <c r="CT27" s="21">
        <v>10749</v>
      </c>
      <c r="CU27" s="21">
        <v>10354</v>
      </c>
      <c r="CV27" s="21">
        <v>10060</v>
      </c>
      <c r="CW27" s="21">
        <v>9960</v>
      </c>
      <c r="CX27" s="21">
        <v>9704</v>
      </c>
      <c r="CY27" s="21">
        <v>7592</v>
      </c>
      <c r="CZ27" s="21">
        <v>7039</v>
      </c>
      <c r="DA27" s="21">
        <v>7029</v>
      </c>
      <c r="DB27" s="21">
        <v>7366</v>
      </c>
      <c r="DC27" s="21">
        <v>7710</v>
      </c>
      <c r="DD27" s="21">
        <v>7665</v>
      </c>
      <c r="DE27" s="21">
        <v>7290</v>
      </c>
      <c r="DF27" s="21">
        <v>7562</v>
      </c>
      <c r="DG27" s="21">
        <v>8570</v>
      </c>
      <c r="DH27" s="21">
        <v>9389</v>
      </c>
      <c r="DI27" s="21">
        <v>12006</v>
      </c>
      <c r="DJ27" s="21">
        <v>13160</v>
      </c>
      <c r="DK27" s="21">
        <v>13707</v>
      </c>
      <c r="DL27" s="21">
        <v>13877</v>
      </c>
      <c r="DM27" s="21">
        <v>13596</v>
      </c>
      <c r="DN27" s="21">
        <v>13299</v>
      </c>
      <c r="DO27" s="21">
        <v>12899</v>
      </c>
      <c r="DP27" s="21">
        <v>12338</v>
      </c>
      <c r="DQ27" s="21">
        <f t="shared" si="6"/>
        <v>244198</v>
      </c>
      <c r="DR27" s="49">
        <v>5</v>
      </c>
      <c r="DS27" s="21">
        <f t="shared" si="12"/>
        <v>1220990</v>
      </c>
      <c r="DT27" s="110"/>
      <c r="DW27" s="107"/>
      <c r="DX27" s="23" t="s">
        <v>44</v>
      </c>
      <c r="DY27" s="21">
        <v>11248</v>
      </c>
      <c r="DZ27" s="21">
        <v>10723</v>
      </c>
      <c r="EA27" s="21">
        <v>10329</v>
      </c>
      <c r="EB27" s="21">
        <v>10037</v>
      </c>
      <c r="EC27" s="21">
        <v>9937</v>
      </c>
      <c r="ED27" s="21">
        <v>9682</v>
      </c>
      <c r="EE27" s="21">
        <v>7644</v>
      </c>
      <c r="EF27" s="21">
        <v>7153</v>
      </c>
      <c r="EG27" s="21">
        <v>7175</v>
      </c>
      <c r="EH27" s="21">
        <v>7521</v>
      </c>
      <c r="EI27" s="21">
        <v>7868</v>
      </c>
      <c r="EJ27" s="21">
        <v>7829</v>
      </c>
      <c r="EK27" s="21">
        <v>7451</v>
      </c>
      <c r="EL27" s="21">
        <v>7714</v>
      </c>
      <c r="EM27" s="21">
        <v>8699</v>
      </c>
      <c r="EN27" s="21">
        <v>9492</v>
      </c>
      <c r="EO27" s="21">
        <v>12022</v>
      </c>
      <c r="EP27" s="21">
        <v>13103</v>
      </c>
      <c r="EQ27" s="21">
        <v>13647</v>
      </c>
      <c r="ER27" s="21">
        <v>13815</v>
      </c>
      <c r="ES27" s="21">
        <v>13537</v>
      </c>
      <c r="ET27" s="21">
        <v>13241</v>
      </c>
      <c r="EU27" s="21">
        <v>12842</v>
      </c>
      <c r="EV27" s="21">
        <v>12285</v>
      </c>
      <c r="EW27" s="21">
        <f t="shared" si="7"/>
        <v>244994</v>
      </c>
      <c r="EX27" s="49">
        <v>4</v>
      </c>
      <c r="EY27" s="21">
        <f t="shared" si="13"/>
        <v>979976</v>
      </c>
      <c r="EZ27" s="110"/>
    </row>
    <row r="28" spans="1:156" x14ac:dyDescent="0.35">
      <c r="A28" s="107"/>
      <c r="B28" s="23" t="s">
        <v>45</v>
      </c>
      <c r="C28" s="21">
        <v>14792</v>
      </c>
      <c r="D28" s="21">
        <v>14146</v>
      </c>
      <c r="E28" s="21">
        <v>13645</v>
      </c>
      <c r="F28" s="21">
        <v>13228</v>
      </c>
      <c r="G28" s="21">
        <v>12987</v>
      </c>
      <c r="H28" s="21">
        <v>12459</v>
      </c>
      <c r="I28" s="21">
        <v>12656</v>
      </c>
      <c r="J28" s="21">
        <v>7402</v>
      </c>
      <c r="K28" s="21">
        <v>7732</v>
      </c>
      <c r="L28" s="21">
        <v>8342</v>
      </c>
      <c r="M28" s="21">
        <v>8541</v>
      </c>
      <c r="N28" s="21">
        <v>8817</v>
      </c>
      <c r="O28" s="21">
        <v>8914</v>
      </c>
      <c r="P28" s="21">
        <v>8957</v>
      </c>
      <c r="Q28" s="21">
        <v>9243</v>
      </c>
      <c r="R28" s="21">
        <v>9388</v>
      </c>
      <c r="S28" s="21">
        <v>9328</v>
      </c>
      <c r="T28" s="21">
        <v>12538</v>
      </c>
      <c r="U28" s="21">
        <v>13435</v>
      </c>
      <c r="V28" s="21">
        <v>14121</v>
      </c>
      <c r="W28" s="21">
        <v>14219</v>
      </c>
      <c r="X28" s="21">
        <v>14293</v>
      </c>
      <c r="Y28" s="21">
        <v>13921</v>
      </c>
      <c r="Z28" s="21">
        <v>13228</v>
      </c>
      <c r="AA28" s="21">
        <f t="shared" si="0"/>
        <v>276332</v>
      </c>
      <c r="AB28" s="22">
        <v>4</v>
      </c>
      <c r="AC28" s="21">
        <f t="shared" si="9"/>
        <v>1105328</v>
      </c>
      <c r="AD28" s="110"/>
      <c r="AF28" s="107"/>
      <c r="AG28" s="23" t="s">
        <v>45</v>
      </c>
      <c r="AH28" s="21">
        <v>9676</v>
      </c>
      <c r="AI28" s="21">
        <v>9196</v>
      </c>
      <c r="AJ28" s="21">
        <v>8826</v>
      </c>
      <c r="AK28" s="21">
        <v>8517</v>
      </c>
      <c r="AL28" s="21">
        <v>8339</v>
      </c>
      <c r="AM28" s="21">
        <v>7943</v>
      </c>
      <c r="AN28" s="21">
        <v>2152</v>
      </c>
      <c r="AO28" s="21">
        <v>2387</v>
      </c>
      <c r="AP28" s="21">
        <v>925</v>
      </c>
      <c r="AQ28" s="21">
        <v>920</v>
      </c>
      <c r="AR28" s="21">
        <v>760</v>
      </c>
      <c r="AS28" s="21">
        <v>664</v>
      </c>
      <c r="AT28" s="21">
        <v>1107</v>
      </c>
      <c r="AU28" s="21">
        <v>1681</v>
      </c>
      <c r="AV28" s="21">
        <v>3127</v>
      </c>
      <c r="AW28" s="21">
        <v>4659</v>
      </c>
      <c r="AX28" s="21">
        <v>11280</v>
      </c>
      <c r="AY28" s="21">
        <v>10117</v>
      </c>
      <c r="AZ28" s="21">
        <v>10951</v>
      </c>
      <c r="BA28" s="21">
        <v>11512</v>
      </c>
      <c r="BB28" s="21">
        <v>11597</v>
      </c>
      <c r="BC28" s="21">
        <v>11672</v>
      </c>
      <c r="BD28" s="21">
        <v>11402</v>
      </c>
      <c r="BE28" s="21">
        <v>10830</v>
      </c>
      <c r="BF28" s="21">
        <f t="shared" si="2"/>
        <v>160240</v>
      </c>
      <c r="BG28" s="49">
        <v>4</v>
      </c>
      <c r="BH28" s="21">
        <f t="shared" si="10"/>
        <v>640960</v>
      </c>
      <c r="BI28" s="110"/>
      <c r="BK28" s="107"/>
      <c r="BL28" s="23" t="s">
        <v>45</v>
      </c>
      <c r="BM28" s="21">
        <v>19631</v>
      </c>
      <c r="BN28" s="21">
        <v>18686</v>
      </c>
      <c r="BO28" s="21">
        <v>17986</v>
      </c>
      <c r="BP28" s="21">
        <v>17423</v>
      </c>
      <c r="BQ28" s="21">
        <v>17086</v>
      </c>
      <c r="BR28" s="21">
        <v>16355</v>
      </c>
      <c r="BS28" s="21">
        <v>11095</v>
      </c>
      <c r="BT28" s="21">
        <v>8628</v>
      </c>
      <c r="BU28" s="21">
        <v>7320</v>
      </c>
      <c r="BV28" s="21">
        <v>7487</v>
      </c>
      <c r="BW28" s="21">
        <v>7454</v>
      </c>
      <c r="BX28" s="21">
        <v>7394</v>
      </c>
      <c r="BY28" s="21">
        <v>7890</v>
      </c>
      <c r="BZ28" s="21">
        <v>8518</v>
      </c>
      <c r="CA28" s="21">
        <v>10246</v>
      </c>
      <c r="CB28" s="21">
        <v>12059</v>
      </c>
      <c r="CC28" s="21">
        <v>18420</v>
      </c>
      <c r="CD28" s="21">
        <v>20348</v>
      </c>
      <c r="CE28" s="21">
        <v>21927</v>
      </c>
      <c r="CF28" s="21">
        <v>23105</v>
      </c>
      <c r="CG28" s="21">
        <v>23195</v>
      </c>
      <c r="CH28" s="21">
        <v>23128</v>
      </c>
      <c r="CI28" s="21">
        <v>22447</v>
      </c>
      <c r="CJ28" s="21">
        <v>21262</v>
      </c>
      <c r="CK28" s="21">
        <f t="shared" si="4"/>
        <v>369090</v>
      </c>
      <c r="CL28" s="49">
        <v>4</v>
      </c>
      <c r="CM28" s="21">
        <f t="shared" si="11"/>
        <v>1476360</v>
      </c>
      <c r="CN28" s="110"/>
      <c r="CQ28" s="107"/>
      <c r="CR28" s="23" t="s">
        <v>45</v>
      </c>
      <c r="CS28" s="21">
        <v>11214</v>
      </c>
      <c r="CT28" s="21">
        <v>10706</v>
      </c>
      <c r="CU28" s="21">
        <v>10331</v>
      </c>
      <c r="CV28" s="21">
        <v>10031</v>
      </c>
      <c r="CW28" s="21">
        <v>9851</v>
      </c>
      <c r="CX28" s="21">
        <v>9460</v>
      </c>
      <c r="CY28" s="21">
        <v>7074</v>
      </c>
      <c r="CZ28" s="21">
        <v>5846</v>
      </c>
      <c r="DA28" s="21">
        <v>5029</v>
      </c>
      <c r="DB28" s="21">
        <v>5151</v>
      </c>
      <c r="DC28" s="21">
        <v>5160</v>
      </c>
      <c r="DD28" s="21">
        <v>5150</v>
      </c>
      <c r="DE28" s="21">
        <v>5381</v>
      </c>
      <c r="DF28" s="21">
        <v>5669</v>
      </c>
      <c r="DG28" s="21">
        <v>6486</v>
      </c>
      <c r="DH28" s="21">
        <v>7335</v>
      </c>
      <c r="DI28" s="21">
        <v>10253</v>
      </c>
      <c r="DJ28" s="21">
        <v>11667</v>
      </c>
      <c r="DK28" s="21">
        <v>12517</v>
      </c>
      <c r="DL28" s="21">
        <v>13160</v>
      </c>
      <c r="DM28" s="21">
        <v>13205</v>
      </c>
      <c r="DN28" s="21">
        <v>13156</v>
      </c>
      <c r="DO28" s="21">
        <v>12777</v>
      </c>
      <c r="DP28" s="21">
        <v>12130</v>
      </c>
      <c r="DQ28" s="21">
        <f t="shared" si="6"/>
        <v>218739</v>
      </c>
      <c r="DR28" s="49">
        <v>5</v>
      </c>
      <c r="DS28" s="21">
        <f t="shared" si="12"/>
        <v>1093695</v>
      </c>
      <c r="DT28" s="110"/>
      <c r="DW28" s="107"/>
      <c r="DX28" s="23" t="s">
        <v>45</v>
      </c>
      <c r="DY28" s="21">
        <v>11185</v>
      </c>
      <c r="DZ28" s="21">
        <v>10680</v>
      </c>
      <c r="EA28" s="21">
        <v>10307</v>
      </c>
      <c r="EB28" s="21">
        <v>10008</v>
      </c>
      <c r="EC28" s="21">
        <v>9828</v>
      </c>
      <c r="ED28" s="21">
        <v>9440</v>
      </c>
      <c r="EE28" s="21">
        <v>7128</v>
      </c>
      <c r="EF28" s="21">
        <v>5966</v>
      </c>
      <c r="EG28" s="21">
        <v>5184</v>
      </c>
      <c r="EH28" s="21">
        <v>5315</v>
      </c>
      <c r="EI28" s="21">
        <v>5330</v>
      </c>
      <c r="EJ28" s="21">
        <v>5325</v>
      </c>
      <c r="EK28" s="21">
        <v>5550</v>
      </c>
      <c r="EL28" s="21">
        <v>5829</v>
      </c>
      <c r="EM28" s="21">
        <v>6624</v>
      </c>
      <c r="EN28" s="21">
        <v>7447</v>
      </c>
      <c r="EO28" s="21">
        <v>10276</v>
      </c>
      <c r="EP28" s="21">
        <v>11616</v>
      </c>
      <c r="EQ28" s="21">
        <v>12462</v>
      </c>
      <c r="ER28" s="21">
        <v>13103</v>
      </c>
      <c r="ES28" s="21">
        <v>13147</v>
      </c>
      <c r="ET28" s="21">
        <v>13098</v>
      </c>
      <c r="EU28" s="21">
        <v>12721</v>
      </c>
      <c r="EV28" s="21">
        <v>12078</v>
      </c>
      <c r="EW28" s="21">
        <f t="shared" si="7"/>
        <v>219647</v>
      </c>
      <c r="EX28" s="49">
        <v>5</v>
      </c>
      <c r="EY28" s="21">
        <f t="shared" si="13"/>
        <v>1098235</v>
      </c>
      <c r="EZ28" s="110"/>
    </row>
    <row r="29" spans="1:156" ht="15" thickBot="1" x14ac:dyDescent="0.4">
      <c r="A29" s="108"/>
      <c r="B29" s="24" t="s">
        <v>46</v>
      </c>
      <c r="C29" s="21">
        <v>13524</v>
      </c>
      <c r="D29" s="21">
        <v>12893</v>
      </c>
      <c r="E29" s="21">
        <v>12446</v>
      </c>
      <c r="F29" s="21">
        <v>12082</v>
      </c>
      <c r="G29" s="21">
        <v>11937</v>
      </c>
      <c r="H29" s="21">
        <v>11551</v>
      </c>
      <c r="I29" s="21">
        <v>11878</v>
      </c>
      <c r="J29" s="21">
        <v>6992</v>
      </c>
      <c r="K29" s="21">
        <v>7830</v>
      </c>
      <c r="L29" s="21">
        <v>8645</v>
      </c>
      <c r="M29" s="21">
        <v>9239</v>
      </c>
      <c r="N29" s="21">
        <v>9556</v>
      </c>
      <c r="O29" s="21">
        <v>9353</v>
      </c>
      <c r="P29" s="21">
        <v>9448</v>
      </c>
      <c r="Q29" s="21">
        <v>9676</v>
      </c>
      <c r="R29" s="21">
        <v>9622</v>
      </c>
      <c r="S29" s="21">
        <v>9240</v>
      </c>
      <c r="T29" s="21">
        <v>12274</v>
      </c>
      <c r="U29" s="21">
        <v>13112</v>
      </c>
      <c r="V29" s="21">
        <v>13949</v>
      </c>
      <c r="W29" s="21">
        <v>13918</v>
      </c>
      <c r="X29" s="21">
        <v>13755</v>
      </c>
      <c r="Y29" s="21">
        <v>13124</v>
      </c>
      <c r="Z29" s="21">
        <v>12235</v>
      </c>
      <c r="AA29" s="21">
        <f t="shared" si="0"/>
        <v>268279</v>
      </c>
      <c r="AB29" s="22">
        <v>1</v>
      </c>
      <c r="AC29" s="21">
        <f t="shared" si="9"/>
        <v>268279</v>
      </c>
      <c r="AD29" s="111"/>
      <c r="AF29" s="108"/>
      <c r="AG29" s="24" t="s">
        <v>46</v>
      </c>
      <c r="AH29" s="21">
        <v>8340</v>
      </c>
      <c r="AI29" s="21">
        <v>7880</v>
      </c>
      <c r="AJ29" s="21">
        <v>7561</v>
      </c>
      <c r="AK29" s="21">
        <v>7306</v>
      </c>
      <c r="AL29" s="21">
        <v>7210</v>
      </c>
      <c r="AM29" s="21">
        <v>6937</v>
      </c>
      <c r="AN29" s="21">
        <v>1277</v>
      </c>
      <c r="AO29" s="21">
        <v>1762</v>
      </c>
      <c r="AP29" s="21">
        <v>785</v>
      </c>
      <c r="AQ29" s="21">
        <v>899</v>
      </c>
      <c r="AR29" s="21">
        <v>1195</v>
      </c>
      <c r="AS29" s="21">
        <v>1122</v>
      </c>
      <c r="AT29" s="21">
        <v>1266</v>
      </c>
      <c r="AU29" s="21">
        <v>1886</v>
      </c>
      <c r="AV29" s="21">
        <v>3248</v>
      </c>
      <c r="AW29" s="21">
        <v>4598</v>
      </c>
      <c r="AX29" s="21">
        <v>10921</v>
      </c>
      <c r="AY29" s="21">
        <v>9578</v>
      </c>
      <c r="AZ29" s="21">
        <v>10332</v>
      </c>
      <c r="BA29" s="21">
        <v>10993</v>
      </c>
      <c r="BB29" s="21">
        <v>10953</v>
      </c>
      <c r="BC29" s="21">
        <v>10766</v>
      </c>
      <c r="BD29" s="21">
        <v>10223</v>
      </c>
      <c r="BE29" s="21">
        <v>9485</v>
      </c>
      <c r="BF29" s="21">
        <f t="shared" si="2"/>
        <v>146523</v>
      </c>
      <c r="BG29" s="50">
        <v>2</v>
      </c>
      <c r="BH29" s="21">
        <f t="shared" si="10"/>
        <v>293046</v>
      </c>
      <c r="BI29" s="111"/>
      <c r="BK29" s="108"/>
      <c r="BL29" s="24" t="s">
        <v>46</v>
      </c>
      <c r="BM29" s="21">
        <v>17908</v>
      </c>
      <c r="BN29" s="21">
        <v>16993</v>
      </c>
      <c r="BO29" s="21">
        <v>16364</v>
      </c>
      <c r="BP29" s="21">
        <v>15861</v>
      </c>
      <c r="BQ29" s="21">
        <v>15675</v>
      </c>
      <c r="BR29" s="21">
        <v>15138</v>
      </c>
      <c r="BS29" s="21">
        <v>10047</v>
      </c>
      <c r="BT29" s="21">
        <v>8080</v>
      </c>
      <c r="BU29" s="21">
        <v>7471</v>
      </c>
      <c r="BV29" s="21">
        <v>7907</v>
      </c>
      <c r="BW29" s="21">
        <v>8502</v>
      </c>
      <c r="BX29" s="21">
        <v>8552</v>
      </c>
      <c r="BY29" s="21">
        <v>8645</v>
      </c>
      <c r="BZ29" s="21">
        <v>9427</v>
      </c>
      <c r="CA29" s="21">
        <v>11108</v>
      </c>
      <c r="CB29" s="21">
        <v>12662</v>
      </c>
      <c r="CC29" s="21">
        <v>18555</v>
      </c>
      <c r="CD29" s="21">
        <v>20269</v>
      </c>
      <c r="CE29" s="21">
        <v>21781</v>
      </c>
      <c r="CF29" s="21">
        <v>23078</v>
      </c>
      <c r="CG29" s="21">
        <v>22995</v>
      </c>
      <c r="CH29" s="21">
        <v>22609</v>
      </c>
      <c r="CI29" s="21">
        <v>21526</v>
      </c>
      <c r="CJ29" s="21">
        <v>20065</v>
      </c>
      <c r="CK29" s="21">
        <f t="shared" si="4"/>
        <v>361218</v>
      </c>
      <c r="CL29" s="50">
        <v>2</v>
      </c>
      <c r="CM29" s="21">
        <f t="shared" si="11"/>
        <v>722436</v>
      </c>
      <c r="CN29" s="111"/>
      <c r="CQ29" s="108"/>
      <c r="CR29" s="24" t="s">
        <v>46</v>
      </c>
      <c r="CS29" s="21">
        <v>10344</v>
      </c>
      <c r="CT29" s="21">
        <v>9852</v>
      </c>
      <c r="CU29" s="21">
        <v>9514</v>
      </c>
      <c r="CV29" s="21">
        <v>9243</v>
      </c>
      <c r="CW29" s="21">
        <v>9143</v>
      </c>
      <c r="CX29" s="21">
        <v>8854</v>
      </c>
      <c r="CY29" s="21">
        <v>6553</v>
      </c>
      <c r="CZ29" s="21">
        <v>5597</v>
      </c>
      <c r="DA29" s="21">
        <v>5137</v>
      </c>
      <c r="DB29" s="21">
        <v>5405</v>
      </c>
      <c r="DC29" s="21">
        <v>5732</v>
      </c>
      <c r="DD29" s="21">
        <v>5784</v>
      </c>
      <c r="DE29" s="21">
        <v>5811</v>
      </c>
      <c r="DF29" s="21">
        <v>6184</v>
      </c>
      <c r="DG29" s="21">
        <v>6982</v>
      </c>
      <c r="DH29" s="21">
        <v>7699</v>
      </c>
      <c r="DI29" s="21">
        <v>10374</v>
      </c>
      <c r="DJ29" s="21">
        <v>11688</v>
      </c>
      <c r="DK29" s="21">
        <v>12508</v>
      </c>
      <c r="DL29" s="21">
        <v>13213</v>
      </c>
      <c r="DM29" s="21">
        <v>13168</v>
      </c>
      <c r="DN29" s="21">
        <v>12958</v>
      </c>
      <c r="DO29" s="21">
        <v>12371</v>
      </c>
      <c r="DP29" s="21">
        <v>11578</v>
      </c>
      <c r="DQ29" s="21">
        <f t="shared" si="6"/>
        <v>215692</v>
      </c>
      <c r="DR29" s="50">
        <v>2</v>
      </c>
      <c r="DS29" s="21">
        <f t="shared" si="12"/>
        <v>431384</v>
      </c>
      <c r="DT29" s="111"/>
      <c r="DW29" s="108"/>
      <c r="DX29" s="24" t="s">
        <v>46</v>
      </c>
      <c r="DY29" s="21">
        <v>10320</v>
      </c>
      <c r="DZ29" s="21">
        <v>9830</v>
      </c>
      <c r="EA29" s="21">
        <v>9493</v>
      </c>
      <c r="EB29" s="21">
        <v>9223</v>
      </c>
      <c r="EC29" s="21">
        <v>9124</v>
      </c>
      <c r="ED29" s="21">
        <v>8836</v>
      </c>
      <c r="EE29" s="21">
        <v>6609</v>
      </c>
      <c r="EF29" s="21">
        <v>5718</v>
      </c>
      <c r="EG29" s="21">
        <v>5291</v>
      </c>
      <c r="EH29" s="21">
        <v>5568</v>
      </c>
      <c r="EI29" s="21">
        <v>5899</v>
      </c>
      <c r="EJ29" s="21">
        <v>5956</v>
      </c>
      <c r="EK29" s="21">
        <v>5978</v>
      </c>
      <c r="EL29" s="21">
        <v>6341</v>
      </c>
      <c r="EM29" s="21">
        <v>7118</v>
      </c>
      <c r="EN29" s="21">
        <v>7809</v>
      </c>
      <c r="EO29" s="21">
        <v>10396</v>
      </c>
      <c r="EP29" s="21">
        <v>11638</v>
      </c>
      <c r="EQ29" s="21">
        <v>12453</v>
      </c>
      <c r="ER29" s="21">
        <v>13154</v>
      </c>
      <c r="ES29" s="21">
        <v>13110</v>
      </c>
      <c r="ET29" s="21">
        <v>12901</v>
      </c>
      <c r="EU29" s="21">
        <v>12317</v>
      </c>
      <c r="EV29" s="21">
        <v>11528</v>
      </c>
      <c r="EW29" s="21">
        <f t="shared" si="7"/>
        <v>216610</v>
      </c>
      <c r="EX29" s="50">
        <v>3</v>
      </c>
      <c r="EY29" s="21">
        <f t="shared" si="13"/>
        <v>649830</v>
      </c>
      <c r="EZ29" s="111"/>
    </row>
    <row r="30" spans="1:156" x14ac:dyDescent="0.35">
      <c r="A30" s="106">
        <v>46569</v>
      </c>
      <c r="B30" s="19" t="s">
        <v>43</v>
      </c>
      <c r="C30" s="21">
        <v>12906</v>
      </c>
      <c r="D30" s="21">
        <v>12211</v>
      </c>
      <c r="E30" s="21">
        <v>11711</v>
      </c>
      <c r="F30" s="21">
        <v>11319</v>
      </c>
      <c r="G30" s="21">
        <v>11199</v>
      </c>
      <c r="H30" s="21">
        <v>11222</v>
      </c>
      <c r="I30" s="21">
        <v>11704</v>
      </c>
      <c r="J30" s="21">
        <v>7142</v>
      </c>
      <c r="K30" s="21">
        <v>8515</v>
      </c>
      <c r="L30" s="21">
        <v>9378</v>
      </c>
      <c r="M30" s="21">
        <v>10135</v>
      </c>
      <c r="N30" s="21">
        <v>10286</v>
      </c>
      <c r="O30" s="21">
        <v>9052</v>
      </c>
      <c r="P30" s="21">
        <v>10263</v>
      </c>
      <c r="Q30" s="21">
        <v>11596</v>
      </c>
      <c r="R30" s="21">
        <v>11705</v>
      </c>
      <c r="S30" s="21">
        <v>11163</v>
      </c>
      <c r="T30" s="21">
        <v>14297</v>
      </c>
      <c r="U30" s="21">
        <v>14218</v>
      </c>
      <c r="V30" s="21">
        <v>14472</v>
      </c>
      <c r="W30" s="21">
        <v>14471</v>
      </c>
      <c r="X30" s="21">
        <v>14230</v>
      </c>
      <c r="Y30" s="21">
        <v>13522</v>
      </c>
      <c r="Z30" s="21">
        <v>12559</v>
      </c>
      <c r="AA30" s="21">
        <f t="shared" si="0"/>
        <v>279276</v>
      </c>
      <c r="AB30" s="22">
        <v>20</v>
      </c>
      <c r="AC30" s="21">
        <f t="shared" si="9"/>
        <v>5585520</v>
      </c>
      <c r="AD30" s="109">
        <f>+SUM(AC30:AC33)</f>
        <v>8312977</v>
      </c>
      <c r="AF30" s="106">
        <v>46935</v>
      </c>
      <c r="AG30" s="19" t="s">
        <v>43</v>
      </c>
      <c r="AH30" s="21">
        <v>9237</v>
      </c>
      <c r="AI30" s="21">
        <v>8723</v>
      </c>
      <c r="AJ30" s="21">
        <v>8346</v>
      </c>
      <c r="AK30" s="21">
        <v>8055</v>
      </c>
      <c r="AL30" s="21">
        <v>7948</v>
      </c>
      <c r="AM30" s="21">
        <v>7930</v>
      </c>
      <c r="AN30" s="21">
        <v>2400</v>
      </c>
      <c r="AO30" s="21">
        <v>3545</v>
      </c>
      <c r="AP30" s="21">
        <v>3163</v>
      </c>
      <c r="AQ30" s="21">
        <v>3322</v>
      </c>
      <c r="AR30" s="21">
        <v>3738</v>
      </c>
      <c r="AS30" s="21">
        <v>3490</v>
      </c>
      <c r="AT30" s="21">
        <v>2663</v>
      </c>
      <c r="AU30" s="21">
        <v>4284</v>
      </c>
      <c r="AV30" s="21">
        <v>6688</v>
      </c>
      <c r="AW30" s="21">
        <v>8151</v>
      </c>
      <c r="AX30" s="21">
        <v>14240</v>
      </c>
      <c r="AY30" s="21">
        <v>11695</v>
      </c>
      <c r="AZ30" s="21">
        <v>11701</v>
      </c>
      <c r="BA30" s="21">
        <v>11971</v>
      </c>
      <c r="BB30" s="21">
        <v>11983</v>
      </c>
      <c r="BC30" s="21">
        <v>11818</v>
      </c>
      <c r="BD30" s="21">
        <v>11257</v>
      </c>
      <c r="BE30" s="21">
        <v>10447</v>
      </c>
      <c r="BF30" s="21">
        <f t="shared" si="2"/>
        <v>186795</v>
      </c>
      <c r="BG30" s="48">
        <v>19</v>
      </c>
      <c r="BH30" s="21">
        <f t="shared" si="10"/>
        <v>3549105</v>
      </c>
      <c r="BI30" s="109">
        <f>+SUM(BH30:BH33)</f>
        <v>5387647</v>
      </c>
      <c r="BK30" s="106">
        <v>47300</v>
      </c>
      <c r="BL30" s="19" t="s">
        <v>43</v>
      </c>
      <c r="BM30" s="21">
        <v>18561</v>
      </c>
      <c r="BN30" s="21">
        <v>17584</v>
      </c>
      <c r="BO30" s="21">
        <v>16884</v>
      </c>
      <c r="BP30" s="21">
        <v>16349</v>
      </c>
      <c r="BQ30" s="21">
        <v>16186</v>
      </c>
      <c r="BR30" s="21">
        <v>16172</v>
      </c>
      <c r="BS30" s="21">
        <v>11353</v>
      </c>
      <c r="BT30" s="21">
        <v>10278</v>
      </c>
      <c r="BU30" s="21">
        <v>10614</v>
      </c>
      <c r="BV30" s="21">
        <v>11151</v>
      </c>
      <c r="BW30" s="21">
        <v>11901</v>
      </c>
      <c r="BX30" s="21">
        <v>11717</v>
      </c>
      <c r="BY30" s="21">
        <v>10303</v>
      </c>
      <c r="BZ30" s="21">
        <v>12576</v>
      </c>
      <c r="CA30" s="21">
        <v>15811</v>
      </c>
      <c r="CB30" s="21">
        <v>17592</v>
      </c>
      <c r="CC30" s="21">
        <v>23242</v>
      </c>
      <c r="CD30" s="21">
        <v>23630</v>
      </c>
      <c r="CE30" s="21">
        <v>23613</v>
      </c>
      <c r="CF30" s="21">
        <v>24128</v>
      </c>
      <c r="CG30" s="21">
        <v>24031</v>
      </c>
      <c r="CH30" s="21">
        <v>23586</v>
      </c>
      <c r="CI30" s="21">
        <v>22446</v>
      </c>
      <c r="CJ30" s="21">
        <v>20878</v>
      </c>
      <c r="CK30" s="21">
        <f t="shared" si="4"/>
        <v>410586</v>
      </c>
      <c r="CL30" s="48">
        <v>20</v>
      </c>
      <c r="CM30" s="21">
        <f t="shared" si="11"/>
        <v>8211720</v>
      </c>
      <c r="CN30" s="109">
        <f>+SUM(CM30:CM33)</f>
        <v>12174578</v>
      </c>
      <c r="CQ30" s="106">
        <v>47665</v>
      </c>
      <c r="CR30" s="19" t="s">
        <v>43</v>
      </c>
      <c r="CS30" s="21">
        <v>10532</v>
      </c>
      <c r="CT30" s="21">
        <v>10013</v>
      </c>
      <c r="CU30" s="21">
        <v>9642</v>
      </c>
      <c r="CV30" s="21">
        <v>9359</v>
      </c>
      <c r="CW30" s="21">
        <v>9275</v>
      </c>
      <c r="CX30" s="21">
        <v>9270</v>
      </c>
      <c r="CY30" s="21">
        <v>7112</v>
      </c>
      <c r="CZ30" s="21">
        <v>6620</v>
      </c>
      <c r="DA30" s="21">
        <v>6610</v>
      </c>
      <c r="DB30" s="21">
        <v>6926</v>
      </c>
      <c r="DC30" s="21">
        <v>7328</v>
      </c>
      <c r="DD30" s="21">
        <v>7259</v>
      </c>
      <c r="DE30" s="21">
        <v>6513</v>
      </c>
      <c r="DF30" s="21">
        <v>7650</v>
      </c>
      <c r="DG30" s="21">
        <v>9243</v>
      </c>
      <c r="DH30" s="21">
        <v>10082</v>
      </c>
      <c r="DI30" s="21">
        <v>12645</v>
      </c>
      <c r="DJ30" s="21">
        <v>13347</v>
      </c>
      <c r="DK30" s="21">
        <v>13334</v>
      </c>
      <c r="DL30" s="21">
        <v>13609</v>
      </c>
      <c r="DM30" s="21">
        <v>13549</v>
      </c>
      <c r="DN30" s="21">
        <v>13302</v>
      </c>
      <c r="DO30" s="21">
        <v>12686</v>
      </c>
      <c r="DP30" s="21">
        <v>11845</v>
      </c>
      <c r="DQ30" s="21">
        <f t="shared" si="6"/>
        <v>237751</v>
      </c>
      <c r="DR30" s="48">
        <v>22</v>
      </c>
      <c r="DS30" s="21">
        <f t="shared" si="12"/>
        <v>5230522</v>
      </c>
      <c r="DT30" s="109">
        <f>+SUM(DS30:DS33)</f>
        <v>7133842</v>
      </c>
      <c r="DW30" s="106">
        <v>48030</v>
      </c>
      <c r="DX30" s="19" t="s">
        <v>43</v>
      </c>
      <c r="DY30" s="21">
        <v>10414</v>
      </c>
      <c r="DZ30" s="21">
        <v>9902</v>
      </c>
      <c r="EA30" s="21">
        <v>9536</v>
      </c>
      <c r="EB30" s="21">
        <v>9256</v>
      </c>
      <c r="EC30" s="21">
        <v>9173</v>
      </c>
      <c r="ED30" s="21">
        <v>9168</v>
      </c>
      <c r="EE30" s="21">
        <v>7080</v>
      </c>
      <c r="EF30" s="21">
        <v>6638</v>
      </c>
      <c r="EG30" s="21">
        <v>6648</v>
      </c>
      <c r="EH30" s="21">
        <v>6967</v>
      </c>
      <c r="EI30" s="21">
        <v>7368</v>
      </c>
      <c r="EJ30" s="21">
        <v>7303</v>
      </c>
      <c r="EK30" s="21">
        <v>6563</v>
      </c>
      <c r="EL30" s="21">
        <v>7681</v>
      </c>
      <c r="EM30" s="21">
        <v>9242</v>
      </c>
      <c r="EN30" s="21">
        <v>10056</v>
      </c>
      <c r="EO30" s="21">
        <v>12536</v>
      </c>
      <c r="EP30" s="21">
        <v>13178</v>
      </c>
      <c r="EQ30" s="21">
        <v>13165</v>
      </c>
      <c r="ER30" s="21">
        <v>13436</v>
      </c>
      <c r="ES30" s="21">
        <v>13378</v>
      </c>
      <c r="ET30" s="21">
        <v>13134</v>
      </c>
      <c r="EU30" s="21">
        <v>12526</v>
      </c>
      <c r="EV30" s="21">
        <v>11696</v>
      </c>
      <c r="EW30" s="21">
        <f t="shared" si="7"/>
        <v>236044</v>
      </c>
      <c r="EX30" s="48">
        <v>23</v>
      </c>
      <c r="EY30" s="21">
        <f t="shared" si="13"/>
        <v>5429012</v>
      </c>
      <c r="EZ30" s="109">
        <f>+SUM(EY30:EY33)</f>
        <v>7136552</v>
      </c>
    </row>
    <row r="31" spans="1:156" x14ac:dyDescent="0.35">
      <c r="A31" s="107"/>
      <c r="B31" s="23" t="s">
        <v>44</v>
      </c>
      <c r="C31" s="21">
        <v>12697</v>
      </c>
      <c r="D31" s="21">
        <v>12046</v>
      </c>
      <c r="E31" s="21">
        <v>11578</v>
      </c>
      <c r="F31" s="21">
        <v>11202</v>
      </c>
      <c r="G31" s="21">
        <v>11070</v>
      </c>
      <c r="H31" s="21">
        <v>10813</v>
      </c>
      <c r="I31" s="21">
        <v>11252</v>
      </c>
      <c r="J31" s="21">
        <v>6566</v>
      </c>
      <c r="K31" s="21">
        <v>7851</v>
      </c>
      <c r="L31" s="21">
        <v>8730</v>
      </c>
      <c r="M31" s="21">
        <v>9298</v>
      </c>
      <c r="N31" s="21">
        <v>9608</v>
      </c>
      <c r="O31" s="21">
        <v>8960</v>
      </c>
      <c r="P31" s="21">
        <v>9107</v>
      </c>
      <c r="Q31" s="21">
        <v>9641</v>
      </c>
      <c r="R31" s="21">
        <v>9599</v>
      </c>
      <c r="S31" s="21">
        <v>9072</v>
      </c>
      <c r="T31" s="21">
        <v>12877</v>
      </c>
      <c r="U31" s="21">
        <v>13508</v>
      </c>
      <c r="V31" s="21">
        <v>13910</v>
      </c>
      <c r="W31" s="21">
        <v>13595</v>
      </c>
      <c r="X31" s="21">
        <v>13373</v>
      </c>
      <c r="Y31" s="21">
        <v>13078</v>
      </c>
      <c r="Z31" s="21">
        <v>12560</v>
      </c>
      <c r="AA31" s="21">
        <f t="shared" si="0"/>
        <v>261991</v>
      </c>
      <c r="AB31" s="22">
        <v>5</v>
      </c>
      <c r="AC31" s="21">
        <f t="shared" si="9"/>
        <v>1309955</v>
      </c>
      <c r="AD31" s="110"/>
      <c r="AF31" s="107"/>
      <c r="AG31" s="23" t="s">
        <v>44</v>
      </c>
      <c r="AH31" s="21">
        <v>8854</v>
      </c>
      <c r="AI31" s="21">
        <v>8389</v>
      </c>
      <c r="AJ31" s="21">
        <v>8051</v>
      </c>
      <c r="AK31" s="21">
        <v>7779</v>
      </c>
      <c r="AL31" s="21">
        <v>7676</v>
      </c>
      <c r="AM31" s="21">
        <v>7503</v>
      </c>
      <c r="AN31" s="21">
        <v>1913</v>
      </c>
      <c r="AO31" s="21">
        <v>2891</v>
      </c>
      <c r="AP31" s="21">
        <v>2405</v>
      </c>
      <c r="AQ31" s="21">
        <v>2580</v>
      </c>
      <c r="AR31" s="21">
        <v>2794</v>
      </c>
      <c r="AS31" s="21">
        <v>2729</v>
      </c>
      <c r="AT31" s="21">
        <v>2434</v>
      </c>
      <c r="AU31" s="21">
        <v>3051</v>
      </c>
      <c r="AV31" s="21">
        <v>4696</v>
      </c>
      <c r="AW31" s="21">
        <v>5966</v>
      </c>
      <c r="AX31" s="21">
        <v>12107</v>
      </c>
      <c r="AY31" s="21">
        <v>10414</v>
      </c>
      <c r="AZ31" s="21">
        <v>10986</v>
      </c>
      <c r="BA31" s="21">
        <v>11314</v>
      </c>
      <c r="BB31" s="21">
        <v>11080</v>
      </c>
      <c r="BC31" s="21">
        <v>10886</v>
      </c>
      <c r="BD31" s="21">
        <v>10620</v>
      </c>
      <c r="BE31" s="21">
        <v>10156</v>
      </c>
      <c r="BF31" s="21">
        <f t="shared" si="2"/>
        <v>167274</v>
      </c>
      <c r="BG31" s="49">
        <v>5</v>
      </c>
      <c r="BH31" s="21">
        <f t="shared" si="10"/>
        <v>836370</v>
      </c>
      <c r="BI31" s="110"/>
      <c r="BK31" s="107"/>
      <c r="BL31" s="23" t="s">
        <v>44</v>
      </c>
      <c r="BM31" s="21">
        <v>18387</v>
      </c>
      <c r="BN31" s="21">
        <v>17442</v>
      </c>
      <c r="BO31" s="21">
        <v>16788</v>
      </c>
      <c r="BP31" s="21">
        <v>16260</v>
      </c>
      <c r="BQ31" s="21">
        <v>16057</v>
      </c>
      <c r="BR31" s="21">
        <v>15701</v>
      </c>
      <c r="BS31" s="21">
        <v>10781</v>
      </c>
      <c r="BT31" s="21">
        <v>9501</v>
      </c>
      <c r="BU31" s="21">
        <v>9718</v>
      </c>
      <c r="BV31" s="21">
        <v>10270</v>
      </c>
      <c r="BW31" s="21">
        <v>10755</v>
      </c>
      <c r="BX31" s="21">
        <v>10757</v>
      </c>
      <c r="BY31" s="21">
        <v>10157</v>
      </c>
      <c r="BZ31" s="21">
        <v>10896</v>
      </c>
      <c r="CA31" s="21">
        <v>12926</v>
      </c>
      <c r="CB31" s="21">
        <v>14460</v>
      </c>
      <c r="CC31" s="21">
        <v>20167</v>
      </c>
      <c r="CD31" s="21">
        <v>21533</v>
      </c>
      <c r="CE31" s="21">
        <v>22562</v>
      </c>
      <c r="CF31" s="21">
        <v>23209</v>
      </c>
      <c r="CG31" s="21">
        <v>22712</v>
      </c>
      <c r="CH31" s="21">
        <v>22255</v>
      </c>
      <c r="CI31" s="21">
        <v>21678</v>
      </c>
      <c r="CJ31" s="21">
        <v>20771</v>
      </c>
      <c r="CK31" s="21">
        <f t="shared" si="4"/>
        <v>385743</v>
      </c>
      <c r="CL31" s="49">
        <v>4</v>
      </c>
      <c r="CM31" s="21">
        <f t="shared" si="11"/>
        <v>1542972</v>
      </c>
      <c r="CN31" s="110"/>
      <c r="CQ31" s="107"/>
      <c r="CR31" s="23" t="s">
        <v>44</v>
      </c>
      <c r="CS31" s="21">
        <v>10474</v>
      </c>
      <c r="CT31" s="21">
        <v>9969</v>
      </c>
      <c r="CU31" s="21">
        <v>9620</v>
      </c>
      <c r="CV31" s="21">
        <v>9339</v>
      </c>
      <c r="CW31" s="21">
        <v>9231</v>
      </c>
      <c r="CX31" s="21">
        <v>9041</v>
      </c>
      <c r="CY31" s="21">
        <v>6830</v>
      </c>
      <c r="CZ31" s="21">
        <v>6231</v>
      </c>
      <c r="DA31" s="21">
        <v>6170</v>
      </c>
      <c r="DB31" s="21">
        <v>6493</v>
      </c>
      <c r="DC31" s="21">
        <v>6763</v>
      </c>
      <c r="DD31" s="21">
        <v>6783</v>
      </c>
      <c r="DE31" s="21">
        <v>6454</v>
      </c>
      <c r="DF31" s="21">
        <v>6804</v>
      </c>
      <c r="DG31" s="21">
        <v>7777</v>
      </c>
      <c r="DH31" s="21">
        <v>8493</v>
      </c>
      <c r="DI31" s="21">
        <v>11083</v>
      </c>
      <c r="DJ31" s="21">
        <v>12246</v>
      </c>
      <c r="DK31" s="21">
        <v>12792</v>
      </c>
      <c r="DL31" s="21">
        <v>13140</v>
      </c>
      <c r="DM31" s="21">
        <v>12870</v>
      </c>
      <c r="DN31" s="21">
        <v>12620</v>
      </c>
      <c r="DO31" s="21">
        <v>12308</v>
      </c>
      <c r="DP31" s="21">
        <v>11821</v>
      </c>
      <c r="DQ31" s="21">
        <f t="shared" si="6"/>
        <v>225352</v>
      </c>
      <c r="DR31" s="49">
        <v>3</v>
      </c>
      <c r="DS31" s="21">
        <f t="shared" si="12"/>
        <v>676056</v>
      </c>
      <c r="DT31" s="110"/>
      <c r="DW31" s="107"/>
      <c r="DX31" s="23" t="s">
        <v>44</v>
      </c>
      <c r="DY31" s="21">
        <v>10357</v>
      </c>
      <c r="DZ31" s="21">
        <v>9858</v>
      </c>
      <c r="EA31" s="21">
        <v>9514</v>
      </c>
      <c r="EB31" s="21">
        <v>9236</v>
      </c>
      <c r="EC31" s="21">
        <v>9130</v>
      </c>
      <c r="ED31" s="21">
        <v>8942</v>
      </c>
      <c r="EE31" s="21">
        <v>6802</v>
      </c>
      <c r="EF31" s="21">
        <v>6253</v>
      </c>
      <c r="EG31" s="21">
        <v>6214</v>
      </c>
      <c r="EH31" s="21">
        <v>6539</v>
      </c>
      <c r="EI31" s="21">
        <v>6809</v>
      </c>
      <c r="EJ31" s="21">
        <v>6833</v>
      </c>
      <c r="EK31" s="21">
        <v>6505</v>
      </c>
      <c r="EL31" s="21">
        <v>6846</v>
      </c>
      <c r="EM31" s="21">
        <v>7794</v>
      </c>
      <c r="EN31" s="21">
        <v>8486</v>
      </c>
      <c r="EO31" s="21">
        <v>10993</v>
      </c>
      <c r="EP31" s="21">
        <v>12091</v>
      </c>
      <c r="EQ31" s="21">
        <v>12630</v>
      </c>
      <c r="ER31" s="21">
        <v>12974</v>
      </c>
      <c r="ES31" s="21">
        <v>12707</v>
      </c>
      <c r="ET31" s="21">
        <v>12461</v>
      </c>
      <c r="EU31" s="21">
        <v>12152</v>
      </c>
      <c r="EV31" s="21">
        <v>11672</v>
      </c>
      <c r="EW31" s="21">
        <f t="shared" si="7"/>
        <v>223798</v>
      </c>
      <c r="EX31" s="49">
        <v>4</v>
      </c>
      <c r="EY31" s="21">
        <f t="shared" si="13"/>
        <v>895192</v>
      </c>
      <c r="EZ31" s="110"/>
    </row>
    <row r="32" spans="1:156" x14ac:dyDescent="0.35">
      <c r="A32" s="107"/>
      <c r="B32" s="23" t="s">
        <v>45</v>
      </c>
      <c r="C32" s="21">
        <v>13185</v>
      </c>
      <c r="D32" s="21">
        <v>12509</v>
      </c>
      <c r="E32" s="21">
        <v>11973</v>
      </c>
      <c r="F32" s="21">
        <v>11575</v>
      </c>
      <c r="G32" s="21">
        <v>11307</v>
      </c>
      <c r="H32" s="21">
        <v>10858</v>
      </c>
      <c r="I32" s="21">
        <v>10997</v>
      </c>
      <c r="J32" s="21">
        <v>5256</v>
      </c>
      <c r="K32" s="21">
        <v>5669</v>
      </c>
      <c r="L32" s="21">
        <v>6189</v>
      </c>
      <c r="M32" s="21">
        <v>6462</v>
      </c>
      <c r="N32" s="21">
        <v>6666</v>
      </c>
      <c r="O32" s="21">
        <v>6811</v>
      </c>
      <c r="P32" s="21">
        <v>6901</v>
      </c>
      <c r="Q32" s="21">
        <v>7101</v>
      </c>
      <c r="R32" s="21">
        <v>7318</v>
      </c>
      <c r="S32" s="21">
        <v>7179</v>
      </c>
      <c r="T32" s="21">
        <v>11905</v>
      </c>
      <c r="U32" s="21">
        <v>12665</v>
      </c>
      <c r="V32" s="21">
        <v>13378</v>
      </c>
      <c r="W32" s="21">
        <v>13502</v>
      </c>
      <c r="X32" s="21">
        <v>13544</v>
      </c>
      <c r="Y32" s="21">
        <v>13116</v>
      </c>
      <c r="Z32" s="21">
        <v>12408</v>
      </c>
      <c r="AA32" s="21">
        <f t="shared" si="0"/>
        <v>238474</v>
      </c>
      <c r="AB32" s="22">
        <v>4</v>
      </c>
      <c r="AC32" s="21">
        <f t="shared" si="9"/>
        <v>953896</v>
      </c>
      <c r="AD32" s="110"/>
      <c r="AF32" s="107"/>
      <c r="AG32" s="23" t="s">
        <v>45</v>
      </c>
      <c r="AH32" s="21">
        <v>9144</v>
      </c>
      <c r="AI32" s="21">
        <v>8665</v>
      </c>
      <c r="AJ32" s="21">
        <v>8295</v>
      </c>
      <c r="AK32" s="21">
        <v>8010</v>
      </c>
      <c r="AL32" s="21">
        <v>7817</v>
      </c>
      <c r="AM32" s="21">
        <v>7514</v>
      </c>
      <c r="AN32" s="21">
        <v>1734</v>
      </c>
      <c r="AO32" s="21">
        <v>1703</v>
      </c>
      <c r="AP32" s="21">
        <v>412</v>
      </c>
      <c r="AQ32" s="21">
        <v>267</v>
      </c>
      <c r="AR32" s="21">
        <v>242</v>
      </c>
      <c r="AS32" s="21">
        <v>25</v>
      </c>
      <c r="AT32" s="21">
        <v>512</v>
      </c>
      <c r="AU32" s="21">
        <v>1065</v>
      </c>
      <c r="AV32" s="21">
        <v>2338</v>
      </c>
      <c r="AW32" s="21">
        <v>3917</v>
      </c>
      <c r="AX32" s="21">
        <v>10334</v>
      </c>
      <c r="AY32" s="21">
        <v>9494</v>
      </c>
      <c r="AZ32" s="21">
        <v>10178</v>
      </c>
      <c r="BA32" s="21">
        <v>10788</v>
      </c>
      <c r="BB32" s="21">
        <v>10877</v>
      </c>
      <c r="BC32" s="21">
        <v>10899</v>
      </c>
      <c r="BD32" s="21">
        <v>10547</v>
      </c>
      <c r="BE32" s="21">
        <v>9987</v>
      </c>
      <c r="BF32" s="21">
        <f t="shared" si="2"/>
        <v>144764</v>
      </c>
      <c r="BG32" s="49">
        <v>5</v>
      </c>
      <c r="BH32" s="21">
        <f t="shared" si="10"/>
        <v>723820</v>
      </c>
      <c r="BI32" s="110"/>
      <c r="BK32" s="107"/>
      <c r="BL32" s="23" t="s">
        <v>45</v>
      </c>
      <c r="BM32" s="21">
        <v>18831</v>
      </c>
      <c r="BN32" s="21">
        <v>17854</v>
      </c>
      <c r="BO32" s="21">
        <v>17133</v>
      </c>
      <c r="BP32" s="21">
        <v>16597</v>
      </c>
      <c r="BQ32" s="21">
        <v>16240</v>
      </c>
      <c r="BR32" s="21">
        <v>15627</v>
      </c>
      <c r="BS32" s="21">
        <v>10279</v>
      </c>
      <c r="BT32" s="21">
        <v>7541</v>
      </c>
      <c r="BU32" s="21">
        <v>6391</v>
      </c>
      <c r="BV32" s="21">
        <v>6364</v>
      </c>
      <c r="BW32" s="21">
        <v>6451</v>
      </c>
      <c r="BX32" s="21">
        <v>6300</v>
      </c>
      <c r="BY32" s="21">
        <v>6888</v>
      </c>
      <c r="BZ32" s="21">
        <v>7544</v>
      </c>
      <c r="CA32" s="21">
        <v>9137</v>
      </c>
      <c r="CB32" s="21">
        <v>11052</v>
      </c>
      <c r="CC32" s="21">
        <v>17221</v>
      </c>
      <c r="CD32" s="21">
        <v>19476</v>
      </c>
      <c r="CE32" s="21">
        <v>20763</v>
      </c>
      <c r="CF32" s="21">
        <v>22005</v>
      </c>
      <c r="CG32" s="21">
        <v>22201</v>
      </c>
      <c r="CH32" s="21">
        <v>22178</v>
      </c>
      <c r="CI32" s="21">
        <v>21427</v>
      </c>
      <c r="CJ32" s="21">
        <v>20246</v>
      </c>
      <c r="CK32" s="21">
        <f t="shared" si="4"/>
        <v>345746</v>
      </c>
      <c r="CL32" s="49">
        <v>5</v>
      </c>
      <c r="CM32" s="21">
        <f t="shared" si="11"/>
        <v>1728730</v>
      </c>
      <c r="CN32" s="110"/>
      <c r="CQ32" s="107"/>
      <c r="CR32" s="23" t="s">
        <v>45</v>
      </c>
      <c r="CS32" s="21">
        <v>10707</v>
      </c>
      <c r="CT32" s="21">
        <v>10184</v>
      </c>
      <c r="CU32" s="21">
        <v>9800</v>
      </c>
      <c r="CV32" s="21">
        <v>9515</v>
      </c>
      <c r="CW32" s="21">
        <v>9326</v>
      </c>
      <c r="CX32" s="21">
        <v>8997</v>
      </c>
      <c r="CY32" s="21">
        <v>6555</v>
      </c>
      <c r="CZ32" s="21">
        <v>5173</v>
      </c>
      <c r="DA32" s="21">
        <v>4444</v>
      </c>
      <c r="DB32" s="21">
        <v>4464</v>
      </c>
      <c r="DC32" s="21">
        <v>4526</v>
      </c>
      <c r="DD32" s="21">
        <v>4474</v>
      </c>
      <c r="DE32" s="21">
        <v>4753</v>
      </c>
      <c r="DF32" s="21">
        <v>5062</v>
      </c>
      <c r="DG32" s="21">
        <v>5820</v>
      </c>
      <c r="DH32" s="21">
        <v>6724</v>
      </c>
      <c r="DI32" s="21">
        <v>9556</v>
      </c>
      <c r="DJ32" s="21">
        <v>11128</v>
      </c>
      <c r="DK32" s="21">
        <v>11816</v>
      </c>
      <c r="DL32" s="21">
        <v>12486</v>
      </c>
      <c r="DM32" s="21">
        <v>12592</v>
      </c>
      <c r="DN32" s="21">
        <v>12576</v>
      </c>
      <c r="DO32" s="21">
        <v>12169</v>
      </c>
      <c r="DP32" s="21">
        <v>11529</v>
      </c>
      <c r="DQ32" s="21">
        <f t="shared" si="6"/>
        <v>204376</v>
      </c>
      <c r="DR32" s="49">
        <v>4</v>
      </c>
      <c r="DS32" s="21">
        <f t="shared" si="12"/>
        <v>817504</v>
      </c>
      <c r="DT32" s="110"/>
      <c r="DW32" s="107"/>
      <c r="DX32" s="23" t="s">
        <v>45</v>
      </c>
      <c r="DY32" s="21">
        <v>10587</v>
      </c>
      <c r="DZ32" s="21">
        <v>10071</v>
      </c>
      <c r="EA32" s="21">
        <v>9692</v>
      </c>
      <c r="EB32" s="21">
        <v>9410</v>
      </c>
      <c r="EC32" s="21">
        <v>9223</v>
      </c>
      <c r="ED32" s="21">
        <v>8899</v>
      </c>
      <c r="EE32" s="21">
        <v>6531</v>
      </c>
      <c r="EF32" s="21">
        <v>5208</v>
      </c>
      <c r="EG32" s="21">
        <v>4509</v>
      </c>
      <c r="EH32" s="21">
        <v>4535</v>
      </c>
      <c r="EI32" s="21">
        <v>4600</v>
      </c>
      <c r="EJ32" s="21">
        <v>4552</v>
      </c>
      <c r="EK32" s="21">
        <v>4825</v>
      </c>
      <c r="EL32" s="21">
        <v>5125</v>
      </c>
      <c r="EM32" s="21">
        <v>5861</v>
      </c>
      <c r="EN32" s="21">
        <v>6740</v>
      </c>
      <c r="EO32" s="21">
        <v>9485</v>
      </c>
      <c r="EP32" s="21">
        <v>10988</v>
      </c>
      <c r="EQ32" s="21">
        <v>11667</v>
      </c>
      <c r="ER32" s="21">
        <v>12328</v>
      </c>
      <c r="ES32" s="21">
        <v>12433</v>
      </c>
      <c r="ET32" s="21">
        <v>12418</v>
      </c>
      <c r="EU32" s="21">
        <v>12016</v>
      </c>
      <c r="EV32" s="21">
        <v>11384</v>
      </c>
      <c r="EW32" s="21">
        <f t="shared" si="7"/>
        <v>203087</v>
      </c>
      <c r="EX32" s="49">
        <v>4</v>
      </c>
      <c r="EY32" s="21">
        <f t="shared" si="13"/>
        <v>812348</v>
      </c>
      <c r="EZ32" s="110"/>
    </row>
    <row r="33" spans="1:156" ht="15" thickBot="1" x14ac:dyDescent="0.4">
      <c r="A33" s="108"/>
      <c r="B33" s="24" t="s">
        <v>46</v>
      </c>
      <c r="C33" s="21">
        <v>12273</v>
      </c>
      <c r="D33" s="21">
        <v>11611</v>
      </c>
      <c r="E33" s="21">
        <v>11102</v>
      </c>
      <c r="F33" s="21">
        <v>10776</v>
      </c>
      <c r="G33" s="21">
        <v>10605</v>
      </c>
      <c r="H33" s="21">
        <v>10294</v>
      </c>
      <c r="I33" s="21">
        <v>10510</v>
      </c>
      <c r="J33" s="21">
        <v>5194</v>
      </c>
      <c r="K33" s="21">
        <v>5855</v>
      </c>
      <c r="L33" s="21">
        <v>6492</v>
      </c>
      <c r="M33" s="21">
        <v>6932</v>
      </c>
      <c r="N33" s="21">
        <v>7149</v>
      </c>
      <c r="O33" s="21">
        <v>6893</v>
      </c>
      <c r="P33" s="21">
        <v>7129</v>
      </c>
      <c r="Q33" s="21">
        <v>7403</v>
      </c>
      <c r="R33" s="21">
        <v>7504</v>
      </c>
      <c r="S33" s="21">
        <v>7203</v>
      </c>
      <c r="T33" s="21">
        <v>11434</v>
      </c>
      <c r="U33" s="21">
        <v>12293</v>
      </c>
      <c r="V33" s="21">
        <v>13148</v>
      </c>
      <c r="W33" s="21">
        <v>13156</v>
      </c>
      <c r="X33" s="21">
        <v>12978</v>
      </c>
      <c r="Y33" s="21">
        <v>12363</v>
      </c>
      <c r="Z33" s="21">
        <v>11506</v>
      </c>
      <c r="AA33" s="21">
        <f t="shared" si="0"/>
        <v>231803</v>
      </c>
      <c r="AB33" s="22">
        <v>2</v>
      </c>
      <c r="AC33" s="21">
        <f t="shared" si="9"/>
        <v>463606</v>
      </c>
      <c r="AD33" s="111"/>
      <c r="AF33" s="108"/>
      <c r="AG33" s="24" t="s">
        <v>46</v>
      </c>
      <c r="AH33" s="21">
        <v>8306</v>
      </c>
      <c r="AI33" s="21">
        <v>7827</v>
      </c>
      <c r="AJ33" s="21">
        <v>7469</v>
      </c>
      <c r="AK33" s="21">
        <v>7237</v>
      </c>
      <c r="AL33" s="21">
        <v>7121</v>
      </c>
      <c r="AM33" s="21">
        <v>6909</v>
      </c>
      <c r="AN33" s="21">
        <v>1204</v>
      </c>
      <c r="AO33" s="21">
        <v>1547</v>
      </c>
      <c r="AP33" s="21">
        <v>525</v>
      </c>
      <c r="AQ33" s="21">
        <v>510</v>
      </c>
      <c r="AR33" s="21">
        <v>652</v>
      </c>
      <c r="AS33" s="21">
        <v>485</v>
      </c>
      <c r="AT33" s="21">
        <v>520</v>
      </c>
      <c r="AU33" s="21">
        <v>1259</v>
      </c>
      <c r="AV33" s="21">
        <v>2681</v>
      </c>
      <c r="AW33" s="21">
        <v>4149</v>
      </c>
      <c r="AX33" s="21">
        <v>10516</v>
      </c>
      <c r="AY33" s="21">
        <v>9306</v>
      </c>
      <c r="AZ33" s="21">
        <v>9957</v>
      </c>
      <c r="BA33" s="21">
        <v>10653</v>
      </c>
      <c r="BB33" s="21">
        <v>10642</v>
      </c>
      <c r="BC33" s="21">
        <v>10481</v>
      </c>
      <c r="BD33" s="21">
        <v>9974</v>
      </c>
      <c r="BE33" s="21">
        <v>9246</v>
      </c>
      <c r="BF33" s="21">
        <f t="shared" si="2"/>
        <v>139176</v>
      </c>
      <c r="BG33" s="50">
        <v>2</v>
      </c>
      <c r="BH33" s="21">
        <f t="shared" si="10"/>
        <v>278352</v>
      </c>
      <c r="BI33" s="111"/>
      <c r="BK33" s="108"/>
      <c r="BL33" s="24" t="s">
        <v>46</v>
      </c>
      <c r="BM33" s="21">
        <v>17702</v>
      </c>
      <c r="BN33" s="21">
        <v>16761</v>
      </c>
      <c r="BO33" s="21">
        <v>16062</v>
      </c>
      <c r="BP33" s="21">
        <v>15606</v>
      </c>
      <c r="BQ33" s="21">
        <v>15383</v>
      </c>
      <c r="BR33" s="21">
        <v>14967</v>
      </c>
      <c r="BS33" s="21">
        <v>9792</v>
      </c>
      <c r="BT33" s="21">
        <v>7642</v>
      </c>
      <c r="BU33" s="21">
        <v>6938</v>
      </c>
      <c r="BV33" s="21">
        <v>7163</v>
      </c>
      <c r="BW33" s="21">
        <v>7498</v>
      </c>
      <c r="BX33" s="21">
        <v>7390</v>
      </c>
      <c r="BY33" s="21">
        <v>7314</v>
      </c>
      <c r="BZ33" s="21">
        <v>8280</v>
      </c>
      <c r="CA33" s="21">
        <v>10072</v>
      </c>
      <c r="CB33" s="21">
        <v>11836</v>
      </c>
      <c r="CC33" s="21">
        <v>17812</v>
      </c>
      <c r="CD33" s="21">
        <v>19597</v>
      </c>
      <c r="CE33" s="21">
        <v>20882</v>
      </c>
      <c r="CF33" s="21">
        <v>22267</v>
      </c>
      <c r="CG33" s="21">
        <v>22245</v>
      </c>
      <c r="CH33" s="21">
        <v>21932</v>
      </c>
      <c r="CI33" s="21">
        <v>20939</v>
      </c>
      <c r="CJ33" s="21">
        <v>19498</v>
      </c>
      <c r="CK33" s="21">
        <f t="shared" si="4"/>
        <v>345578</v>
      </c>
      <c r="CL33" s="50">
        <v>2</v>
      </c>
      <c r="CM33" s="21">
        <f t="shared" si="11"/>
        <v>691156</v>
      </c>
      <c r="CN33" s="111"/>
      <c r="CQ33" s="108"/>
      <c r="CR33" s="24" t="s">
        <v>46</v>
      </c>
      <c r="CS33" s="21">
        <v>10137</v>
      </c>
      <c r="CT33" s="21">
        <v>9635</v>
      </c>
      <c r="CU33" s="21">
        <v>9262</v>
      </c>
      <c r="CV33" s="21">
        <v>9019</v>
      </c>
      <c r="CW33" s="21">
        <v>8900</v>
      </c>
      <c r="CX33" s="21">
        <v>8678</v>
      </c>
      <c r="CY33" s="21">
        <v>6330</v>
      </c>
      <c r="CZ33" s="21">
        <v>5264</v>
      </c>
      <c r="DA33" s="21">
        <v>4752</v>
      </c>
      <c r="DB33" s="21">
        <v>4904</v>
      </c>
      <c r="DC33" s="21">
        <v>5093</v>
      </c>
      <c r="DD33" s="21">
        <v>5060</v>
      </c>
      <c r="DE33" s="21">
        <v>5002</v>
      </c>
      <c r="DF33" s="21">
        <v>5470</v>
      </c>
      <c r="DG33" s="21">
        <v>6328</v>
      </c>
      <c r="DH33" s="21">
        <v>7156</v>
      </c>
      <c r="DI33" s="21">
        <v>9879</v>
      </c>
      <c r="DJ33" s="21">
        <v>11220</v>
      </c>
      <c r="DK33" s="21">
        <v>11911</v>
      </c>
      <c r="DL33" s="21">
        <v>12655</v>
      </c>
      <c r="DM33" s="21">
        <v>12643</v>
      </c>
      <c r="DN33" s="21">
        <v>12475</v>
      </c>
      <c r="DO33" s="21">
        <v>11941</v>
      </c>
      <c r="DP33" s="21">
        <v>11166</v>
      </c>
      <c r="DQ33" s="21">
        <f t="shared" si="6"/>
        <v>204880</v>
      </c>
      <c r="DR33" s="50">
        <v>2</v>
      </c>
      <c r="DS33" s="21">
        <f t="shared" si="12"/>
        <v>409760</v>
      </c>
      <c r="DT33" s="111"/>
      <c r="DW33" s="108"/>
      <c r="DX33" s="24" t="s">
        <v>46</v>
      </c>
      <c r="DY33" s="21">
        <v>0</v>
      </c>
      <c r="DZ33" s="21">
        <v>0</v>
      </c>
      <c r="EA33" s="21">
        <v>0</v>
      </c>
      <c r="EB33" s="21">
        <v>0</v>
      </c>
      <c r="EC33" s="21">
        <v>0</v>
      </c>
      <c r="ED33" s="21">
        <v>0</v>
      </c>
      <c r="EE33" s="21">
        <v>0</v>
      </c>
      <c r="EF33" s="21">
        <v>0</v>
      </c>
      <c r="EG33" s="21">
        <v>0</v>
      </c>
      <c r="EH33" s="21">
        <v>0</v>
      </c>
      <c r="EI33" s="21">
        <v>0</v>
      </c>
      <c r="EJ33" s="21">
        <v>0</v>
      </c>
      <c r="EK33" s="21">
        <v>0</v>
      </c>
      <c r="EL33" s="21">
        <v>0</v>
      </c>
      <c r="EM33" s="21">
        <v>0</v>
      </c>
      <c r="EN33" s="21">
        <v>0</v>
      </c>
      <c r="EO33" s="21">
        <v>0</v>
      </c>
      <c r="EP33" s="21">
        <v>0</v>
      </c>
      <c r="EQ33" s="21">
        <v>0</v>
      </c>
      <c r="ER33" s="21">
        <v>0</v>
      </c>
      <c r="ES33" s="21">
        <v>0</v>
      </c>
      <c r="ET33" s="21">
        <v>0</v>
      </c>
      <c r="EU33" s="21">
        <v>0</v>
      </c>
      <c r="EV33" s="21">
        <v>0</v>
      </c>
      <c r="EW33" s="21">
        <f t="shared" si="7"/>
        <v>0</v>
      </c>
      <c r="EX33" s="50">
        <v>0</v>
      </c>
      <c r="EY33" s="21">
        <f t="shared" si="13"/>
        <v>0</v>
      </c>
      <c r="EZ33" s="111"/>
    </row>
    <row r="34" spans="1:156" x14ac:dyDescent="0.35">
      <c r="A34" s="106">
        <v>46600</v>
      </c>
      <c r="B34" s="19" t="s">
        <v>43</v>
      </c>
      <c r="C34" s="21">
        <v>13639</v>
      </c>
      <c r="D34" s="21">
        <v>12919</v>
      </c>
      <c r="E34" s="21">
        <v>12380</v>
      </c>
      <c r="F34" s="21">
        <v>11968</v>
      </c>
      <c r="G34" s="21">
        <v>11827</v>
      </c>
      <c r="H34" s="21">
        <v>11830</v>
      </c>
      <c r="I34" s="21">
        <v>12213</v>
      </c>
      <c r="J34" s="21">
        <v>7740</v>
      </c>
      <c r="K34" s="21">
        <v>9047</v>
      </c>
      <c r="L34" s="21">
        <v>10019</v>
      </c>
      <c r="M34" s="21">
        <v>10793</v>
      </c>
      <c r="N34" s="21">
        <v>11045</v>
      </c>
      <c r="O34" s="21">
        <v>9826</v>
      </c>
      <c r="P34" s="21">
        <v>11234</v>
      </c>
      <c r="Q34" s="21">
        <v>12745</v>
      </c>
      <c r="R34" s="21">
        <v>12853</v>
      </c>
      <c r="S34" s="21">
        <v>12336</v>
      </c>
      <c r="T34" s="21">
        <v>15019</v>
      </c>
      <c r="U34" s="21">
        <v>15020</v>
      </c>
      <c r="V34" s="21">
        <v>15170</v>
      </c>
      <c r="W34" s="21">
        <v>15215</v>
      </c>
      <c r="X34" s="21">
        <v>15062</v>
      </c>
      <c r="Y34" s="21">
        <v>14307</v>
      </c>
      <c r="Z34" s="21">
        <v>13353</v>
      </c>
      <c r="AA34" s="21">
        <f t="shared" si="0"/>
        <v>297560</v>
      </c>
      <c r="AB34" s="22">
        <v>21</v>
      </c>
      <c r="AC34" s="21">
        <f t="shared" si="9"/>
        <v>6248760</v>
      </c>
      <c r="AD34" s="109">
        <f>+SUM(AC34:AC37)</f>
        <v>8845409</v>
      </c>
      <c r="AF34" s="106">
        <v>46966</v>
      </c>
      <c r="AG34" s="19" t="s">
        <v>43</v>
      </c>
      <c r="AH34" s="21">
        <v>9559</v>
      </c>
      <c r="AI34" s="21">
        <v>9032</v>
      </c>
      <c r="AJ34" s="21">
        <v>8630</v>
      </c>
      <c r="AK34" s="21">
        <v>8317</v>
      </c>
      <c r="AL34" s="21">
        <v>8201</v>
      </c>
      <c r="AM34" s="21">
        <v>8173</v>
      </c>
      <c r="AN34" s="21">
        <v>2614</v>
      </c>
      <c r="AO34" s="21">
        <v>3900</v>
      </c>
      <c r="AP34" s="21">
        <v>3418</v>
      </c>
      <c r="AQ34" s="21">
        <v>3701</v>
      </c>
      <c r="AR34" s="21">
        <v>4120</v>
      </c>
      <c r="AS34" s="21">
        <v>3989</v>
      </c>
      <c r="AT34" s="21">
        <v>3170</v>
      </c>
      <c r="AU34" s="21">
        <v>4933</v>
      </c>
      <c r="AV34" s="21">
        <v>7428</v>
      </c>
      <c r="AW34" s="21">
        <v>8865</v>
      </c>
      <c r="AX34" s="21">
        <v>15017</v>
      </c>
      <c r="AY34" s="21">
        <v>12009</v>
      </c>
      <c r="AZ34" s="21">
        <v>12098</v>
      </c>
      <c r="BA34" s="21">
        <v>12230</v>
      </c>
      <c r="BB34" s="21">
        <v>12285</v>
      </c>
      <c r="BC34" s="21">
        <v>12157</v>
      </c>
      <c r="BD34" s="21">
        <v>11578</v>
      </c>
      <c r="BE34" s="21">
        <v>10780</v>
      </c>
      <c r="BF34" s="21">
        <f t="shared" si="2"/>
        <v>196204</v>
      </c>
      <c r="BG34" s="48">
        <v>21</v>
      </c>
      <c r="BH34" s="21">
        <f t="shared" si="10"/>
        <v>4120284</v>
      </c>
      <c r="BI34" s="109">
        <f>+SUM(BH34:BH37)</f>
        <v>5782330</v>
      </c>
      <c r="BK34" s="106">
        <v>47331</v>
      </c>
      <c r="BL34" s="19" t="s">
        <v>43</v>
      </c>
      <c r="BM34" s="21">
        <v>19289</v>
      </c>
      <c r="BN34" s="21">
        <v>18301</v>
      </c>
      <c r="BO34" s="21">
        <v>17553</v>
      </c>
      <c r="BP34" s="21">
        <v>16988</v>
      </c>
      <c r="BQ34" s="21">
        <v>16800</v>
      </c>
      <c r="BR34" s="21">
        <v>16796</v>
      </c>
      <c r="BS34" s="21">
        <v>11820</v>
      </c>
      <c r="BT34" s="21">
        <v>10818</v>
      </c>
      <c r="BU34" s="21">
        <v>11095</v>
      </c>
      <c r="BV34" s="21">
        <v>11774</v>
      </c>
      <c r="BW34" s="21">
        <v>12577</v>
      </c>
      <c r="BX34" s="21">
        <v>12523</v>
      </c>
      <c r="BY34" s="21">
        <v>11159</v>
      </c>
      <c r="BZ34" s="21">
        <v>13676</v>
      </c>
      <c r="CA34" s="21">
        <v>17110</v>
      </c>
      <c r="CB34" s="21">
        <v>18866</v>
      </c>
      <c r="CC34" s="21">
        <v>24532</v>
      </c>
      <c r="CD34" s="21">
        <v>24438</v>
      </c>
      <c r="CE34" s="21">
        <v>24588</v>
      </c>
      <c r="CF34" s="21">
        <v>24794</v>
      </c>
      <c r="CG34" s="21">
        <v>24766</v>
      </c>
      <c r="CH34" s="21">
        <v>24385</v>
      </c>
      <c r="CI34" s="21">
        <v>23184</v>
      </c>
      <c r="CJ34" s="21">
        <v>21606</v>
      </c>
      <c r="CK34" s="21">
        <f t="shared" si="4"/>
        <v>429438</v>
      </c>
      <c r="CL34" s="48">
        <v>21</v>
      </c>
      <c r="CM34" s="21">
        <f t="shared" si="11"/>
        <v>9018198</v>
      </c>
      <c r="CN34" s="109">
        <f>+SUM(CM34:CM37)</f>
        <v>12830120</v>
      </c>
      <c r="CQ34" s="106">
        <v>47696</v>
      </c>
      <c r="CR34" s="19" t="s">
        <v>43</v>
      </c>
      <c r="CS34" s="21">
        <v>10981</v>
      </c>
      <c r="CT34" s="21">
        <v>10455</v>
      </c>
      <c r="CU34" s="21">
        <v>10056</v>
      </c>
      <c r="CV34" s="21">
        <v>9756</v>
      </c>
      <c r="CW34" s="21">
        <v>9657</v>
      </c>
      <c r="CX34" s="21">
        <v>9659</v>
      </c>
      <c r="CY34" s="21">
        <v>7413</v>
      </c>
      <c r="CZ34" s="21">
        <v>6966</v>
      </c>
      <c r="DA34" s="21">
        <v>6927</v>
      </c>
      <c r="DB34" s="21">
        <v>7317</v>
      </c>
      <c r="DC34" s="21">
        <v>7752</v>
      </c>
      <c r="DD34" s="21">
        <v>7748</v>
      </c>
      <c r="DE34" s="21">
        <v>7025</v>
      </c>
      <c r="DF34" s="21">
        <v>8294</v>
      </c>
      <c r="DG34" s="21">
        <v>10000</v>
      </c>
      <c r="DH34" s="21">
        <v>10828</v>
      </c>
      <c r="DI34" s="21">
        <v>13391</v>
      </c>
      <c r="DJ34" s="21">
        <v>13870</v>
      </c>
      <c r="DK34" s="21">
        <v>13947</v>
      </c>
      <c r="DL34" s="21">
        <v>14055</v>
      </c>
      <c r="DM34" s="21">
        <v>14032</v>
      </c>
      <c r="DN34" s="21">
        <v>13819</v>
      </c>
      <c r="DO34" s="21">
        <v>13164</v>
      </c>
      <c r="DP34" s="21">
        <v>12311</v>
      </c>
      <c r="DQ34" s="21">
        <f t="shared" si="6"/>
        <v>249423</v>
      </c>
      <c r="DR34" s="48">
        <v>20</v>
      </c>
      <c r="DS34" s="21">
        <f t="shared" si="12"/>
        <v>4988460</v>
      </c>
      <c r="DT34" s="109">
        <f>+SUM(DS34:DS37)</f>
        <v>7473780</v>
      </c>
      <c r="DW34" s="106">
        <v>48061</v>
      </c>
      <c r="DX34" s="19" t="s">
        <v>43</v>
      </c>
      <c r="DY34" s="21">
        <v>10957</v>
      </c>
      <c r="DZ34" s="21">
        <v>10433</v>
      </c>
      <c r="EA34" s="21">
        <v>10036</v>
      </c>
      <c r="EB34" s="21">
        <v>9737</v>
      </c>
      <c r="EC34" s="21">
        <v>9639</v>
      </c>
      <c r="ED34" s="21">
        <v>9640</v>
      </c>
      <c r="EE34" s="21">
        <v>7468</v>
      </c>
      <c r="EF34" s="21">
        <v>7084</v>
      </c>
      <c r="EG34" s="21">
        <v>7077</v>
      </c>
      <c r="EH34" s="21">
        <v>7475</v>
      </c>
      <c r="EI34" s="21">
        <v>7913</v>
      </c>
      <c r="EJ34" s="21">
        <v>7915</v>
      </c>
      <c r="EK34" s="21">
        <v>7190</v>
      </c>
      <c r="EL34" s="21">
        <v>8447</v>
      </c>
      <c r="EM34" s="21">
        <v>10128</v>
      </c>
      <c r="EN34" s="21">
        <v>10930</v>
      </c>
      <c r="EO34" s="21">
        <v>13406</v>
      </c>
      <c r="EP34" s="21">
        <v>13816</v>
      </c>
      <c r="EQ34" s="21">
        <v>13893</v>
      </c>
      <c r="ER34" s="21">
        <v>14000</v>
      </c>
      <c r="ES34" s="21">
        <v>13977</v>
      </c>
      <c r="ET34" s="21">
        <v>13765</v>
      </c>
      <c r="EU34" s="21">
        <v>13113</v>
      </c>
      <c r="EV34" s="21">
        <v>12264</v>
      </c>
      <c r="EW34" s="21">
        <f t="shared" si="7"/>
        <v>250303</v>
      </c>
      <c r="EX34" s="48">
        <v>19</v>
      </c>
      <c r="EY34" s="21">
        <f t="shared" si="13"/>
        <v>4755757</v>
      </c>
      <c r="EZ34" s="109">
        <f>+SUM(EY34:EY37)</f>
        <v>7464920</v>
      </c>
    </row>
    <row r="35" spans="1:156" x14ac:dyDescent="0.35">
      <c r="A35" s="107"/>
      <c r="B35" s="23" t="s">
        <v>44</v>
      </c>
      <c r="C35" s="21">
        <v>14485</v>
      </c>
      <c r="D35" s="21">
        <v>13708</v>
      </c>
      <c r="E35" s="21">
        <v>13106</v>
      </c>
      <c r="F35" s="21">
        <v>12634</v>
      </c>
      <c r="G35" s="21">
        <v>12390</v>
      </c>
      <c r="H35" s="21">
        <v>12069</v>
      </c>
      <c r="I35" s="21">
        <v>12413</v>
      </c>
      <c r="J35" s="21">
        <v>7860</v>
      </c>
      <c r="K35" s="21">
        <v>9127</v>
      </c>
      <c r="L35" s="21">
        <v>10111</v>
      </c>
      <c r="M35" s="21">
        <v>10649</v>
      </c>
      <c r="N35" s="21">
        <v>11066</v>
      </c>
      <c r="O35" s="21">
        <v>10258</v>
      </c>
      <c r="P35" s="21">
        <v>10470</v>
      </c>
      <c r="Q35" s="21">
        <v>10963</v>
      </c>
      <c r="R35" s="21">
        <v>10936</v>
      </c>
      <c r="S35" s="21">
        <v>10496</v>
      </c>
      <c r="T35" s="21">
        <v>13982</v>
      </c>
      <c r="U35" s="21">
        <v>14692</v>
      </c>
      <c r="V35" s="21">
        <v>14776</v>
      </c>
      <c r="W35" s="21">
        <v>14455</v>
      </c>
      <c r="X35" s="21">
        <v>14394</v>
      </c>
      <c r="Y35" s="21">
        <v>14116</v>
      </c>
      <c r="Z35" s="21">
        <v>13552</v>
      </c>
      <c r="AA35" s="21">
        <f t="shared" si="0"/>
        <v>292708</v>
      </c>
      <c r="AB35" s="22">
        <v>3</v>
      </c>
      <c r="AC35" s="21">
        <f t="shared" si="9"/>
        <v>878124</v>
      </c>
      <c r="AD35" s="110"/>
      <c r="AF35" s="107"/>
      <c r="AG35" s="23" t="s">
        <v>44</v>
      </c>
      <c r="AH35" s="21">
        <v>10128</v>
      </c>
      <c r="AI35" s="21">
        <v>9583</v>
      </c>
      <c r="AJ35" s="21">
        <v>9134</v>
      </c>
      <c r="AK35" s="21">
        <v>8791</v>
      </c>
      <c r="AL35" s="21">
        <v>8602</v>
      </c>
      <c r="AM35" s="21">
        <v>8361</v>
      </c>
      <c r="AN35" s="21">
        <v>2736</v>
      </c>
      <c r="AO35" s="21">
        <v>3963</v>
      </c>
      <c r="AP35" s="21">
        <v>3451</v>
      </c>
      <c r="AQ35" s="21">
        <v>3746</v>
      </c>
      <c r="AR35" s="21">
        <v>3890</v>
      </c>
      <c r="AS35" s="21">
        <v>3990</v>
      </c>
      <c r="AT35" s="21">
        <v>3470</v>
      </c>
      <c r="AU35" s="21">
        <v>4185</v>
      </c>
      <c r="AV35" s="21">
        <v>5763</v>
      </c>
      <c r="AW35" s="21">
        <v>7125</v>
      </c>
      <c r="AX35" s="21">
        <v>13423</v>
      </c>
      <c r="AY35" s="21">
        <v>11204</v>
      </c>
      <c r="AZ35" s="21">
        <v>11839</v>
      </c>
      <c r="BA35" s="21">
        <v>11930</v>
      </c>
      <c r="BB35" s="21">
        <v>11713</v>
      </c>
      <c r="BC35" s="21">
        <v>11622</v>
      </c>
      <c r="BD35" s="21">
        <v>11387</v>
      </c>
      <c r="BE35" s="21">
        <v>10918</v>
      </c>
      <c r="BF35" s="21">
        <f t="shared" si="2"/>
        <v>190954</v>
      </c>
      <c r="BG35" s="49">
        <v>4</v>
      </c>
      <c r="BH35" s="21">
        <f t="shared" si="10"/>
        <v>763816</v>
      </c>
      <c r="BI35" s="110"/>
      <c r="BK35" s="107"/>
      <c r="BL35" s="23" t="s">
        <v>44</v>
      </c>
      <c r="BM35" s="21">
        <v>20274</v>
      </c>
      <c r="BN35" s="21">
        <v>19211</v>
      </c>
      <c r="BO35" s="21">
        <v>18394</v>
      </c>
      <c r="BP35" s="21">
        <v>17762</v>
      </c>
      <c r="BQ35" s="21">
        <v>17428</v>
      </c>
      <c r="BR35" s="21">
        <v>17032</v>
      </c>
      <c r="BS35" s="21">
        <v>11971</v>
      </c>
      <c r="BT35" s="21">
        <v>10806</v>
      </c>
      <c r="BU35" s="21">
        <v>11037</v>
      </c>
      <c r="BV35" s="21">
        <v>11699</v>
      </c>
      <c r="BW35" s="21">
        <v>12166</v>
      </c>
      <c r="BX35" s="21">
        <v>12338</v>
      </c>
      <c r="BY35" s="21">
        <v>11563</v>
      </c>
      <c r="BZ35" s="21">
        <v>12437</v>
      </c>
      <c r="CA35" s="21">
        <v>14429</v>
      </c>
      <c r="CB35" s="21">
        <v>16021</v>
      </c>
      <c r="CC35" s="21">
        <v>21790</v>
      </c>
      <c r="CD35" s="21">
        <v>22631</v>
      </c>
      <c r="CE35" s="21">
        <v>23845</v>
      </c>
      <c r="CF35" s="21">
        <v>24016</v>
      </c>
      <c r="CG35" s="21">
        <v>23494</v>
      </c>
      <c r="CH35" s="21">
        <v>23224</v>
      </c>
      <c r="CI35" s="21">
        <v>22704</v>
      </c>
      <c r="CJ35" s="21">
        <v>21730</v>
      </c>
      <c r="CK35" s="21">
        <f t="shared" si="4"/>
        <v>418002</v>
      </c>
      <c r="CL35" s="49">
        <v>4</v>
      </c>
      <c r="CM35" s="21">
        <f t="shared" si="11"/>
        <v>1672008</v>
      </c>
      <c r="CN35" s="110"/>
      <c r="CQ35" s="107"/>
      <c r="CR35" s="23" t="s">
        <v>44</v>
      </c>
      <c r="CS35" s="21">
        <v>11504</v>
      </c>
      <c r="CT35" s="21">
        <v>10935</v>
      </c>
      <c r="CU35" s="21">
        <v>10500</v>
      </c>
      <c r="CV35" s="21">
        <v>10164</v>
      </c>
      <c r="CW35" s="21">
        <v>9987</v>
      </c>
      <c r="CX35" s="21">
        <v>9779</v>
      </c>
      <c r="CY35" s="21">
        <v>7490</v>
      </c>
      <c r="CZ35" s="21">
        <v>6951</v>
      </c>
      <c r="DA35" s="21">
        <v>6891</v>
      </c>
      <c r="DB35" s="21">
        <v>7269</v>
      </c>
      <c r="DC35" s="21">
        <v>7538</v>
      </c>
      <c r="DD35" s="21">
        <v>7641</v>
      </c>
      <c r="DE35" s="21">
        <v>7232</v>
      </c>
      <c r="DF35" s="21">
        <v>7650</v>
      </c>
      <c r="DG35" s="21">
        <v>8609</v>
      </c>
      <c r="DH35" s="21">
        <v>9347</v>
      </c>
      <c r="DI35" s="21">
        <v>11954</v>
      </c>
      <c r="DJ35" s="21">
        <v>12878</v>
      </c>
      <c r="DK35" s="21">
        <v>13532</v>
      </c>
      <c r="DL35" s="21">
        <v>13623</v>
      </c>
      <c r="DM35" s="21">
        <v>13334</v>
      </c>
      <c r="DN35" s="21">
        <v>13184</v>
      </c>
      <c r="DO35" s="21">
        <v>12900</v>
      </c>
      <c r="DP35" s="21">
        <v>12370</v>
      </c>
      <c r="DQ35" s="21">
        <f t="shared" si="6"/>
        <v>243262</v>
      </c>
      <c r="DR35" s="49">
        <v>5</v>
      </c>
      <c r="DS35" s="21">
        <f t="shared" si="12"/>
        <v>1216310</v>
      </c>
      <c r="DT35" s="110"/>
      <c r="DW35" s="107"/>
      <c r="DX35" s="23" t="s">
        <v>44</v>
      </c>
      <c r="DY35" s="21">
        <v>11479</v>
      </c>
      <c r="DZ35" s="21">
        <v>10912</v>
      </c>
      <c r="EA35" s="21">
        <v>10479</v>
      </c>
      <c r="EB35" s="21">
        <v>10144</v>
      </c>
      <c r="EC35" s="21">
        <v>9967</v>
      </c>
      <c r="ED35" s="21">
        <v>9760</v>
      </c>
      <c r="EE35" s="21">
        <v>7545</v>
      </c>
      <c r="EF35" s="21">
        <v>7069</v>
      </c>
      <c r="EG35" s="21">
        <v>7041</v>
      </c>
      <c r="EH35" s="21">
        <v>7428</v>
      </c>
      <c r="EI35" s="21">
        <v>7701</v>
      </c>
      <c r="EJ35" s="21">
        <v>7809</v>
      </c>
      <c r="EK35" s="21">
        <v>7397</v>
      </c>
      <c r="EL35" s="21">
        <v>7805</v>
      </c>
      <c r="EM35" s="21">
        <v>8742</v>
      </c>
      <c r="EN35" s="21">
        <v>9455</v>
      </c>
      <c r="EO35" s="21">
        <v>11974</v>
      </c>
      <c r="EP35" s="21">
        <v>12829</v>
      </c>
      <c r="EQ35" s="21">
        <v>13479</v>
      </c>
      <c r="ER35" s="21">
        <v>13570</v>
      </c>
      <c r="ES35" s="21">
        <v>13283</v>
      </c>
      <c r="ET35" s="21">
        <v>13133</v>
      </c>
      <c r="EU35" s="21">
        <v>12851</v>
      </c>
      <c r="EV35" s="21">
        <v>12323</v>
      </c>
      <c r="EW35" s="21">
        <f t="shared" si="7"/>
        <v>244175</v>
      </c>
      <c r="EX35" s="49">
        <v>5</v>
      </c>
      <c r="EY35" s="21">
        <f t="shared" si="13"/>
        <v>1220875</v>
      </c>
      <c r="EZ35" s="110"/>
    </row>
    <row r="36" spans="1:156" x14ac:dyDescent="0.35">
      <c r="A36" s="107"/>
      <c r="B36" s="23" t="s">
        <v>45</v>
      </c>
      <c r="C36" s="21">
        <v>14046</v>
      </c>
      <c r="D36" s="21">
        <v>13326</v>
      </c>
      <c r="E36" s="21">
        <v>12750</v>
      </c>
      <c r="F36" s="21">
        <v>12298</v>
      </c>
      <c r="G36" s="21">
        <v>11956</v>
      </c>
      <c r="H36" s="21">
        <v>11364</v>
      </c>
      <c r="I36" s="21">
        <v>11365</v>
      </c>
      <c r="J36" s="21">
        <v>5870</v>
      </c>
      <c r="K36" s="21">
        <v>6206</v>
      </c>
      <c r="L36" s="21">
        <v>6545</v>
      </c>
      <c r="M36" s="21">
        <v>6923</v>
      </c>
      <c r="N36" s="21">
        <v>7009</v>
      </c>
      <c r="O36" s="21">
        <v>7194</v>
      </c>
      <c r="P36" s="21">
        <v>7560</v>
      </c>
      <c r="Q36" s="21">
        <v>7762</v>
      </c>
      <c r="R36" s="21">
        <v>7953</v>
      </c>
      <c r="S36" s="21">
        <v>7558</v>
      </c>
      <c r="T36" s="21">
        <v>11764</v>
      </c>
      <c r="U36" s="21">
        <v>12754</v>
      </c>
      <c r="V36" s="21">
        <v>13252</v>
      </c>
      <c r="W36" s="21">
        <v>13400</v>
      </c>
      <c r="X36" s="21">
        <v>13531</v>
      </c>
      <c r="Y36" s="21">
        <v>13126</v>
      </c>
      <c r="Z36" s="21">
        <v>12397</v>
      </c>
      <c r="AA36" s="21">
        <f t="shared" si="0"/>
        <v>247909</v>
      </c>
      <c r="AB36" s="22">
        <v>5</v>
      </c>
      <c r="AC36" s="21">
        <f t="shared" si="9"/>
        <v>1239545</v>
      </c>
      <c r="AD36" s="110"/>
      <c r="AF36" s="107"/>
      <c r="AG36" s="23" t="s">
        <v>45</v>
      </c>
      <c r="AH36" s="21">
        <v>9877</v>
      </c>
      <c r="AI36" s="21">
        <v>9361</v>
      </c>
      <c r="AJ36" s="21">
        <v>8950</v>
      </c>
      <c r="AK36" s="21">
        <v>8617</v>
      </c>
      <c r="AL36" s="21">
        <v>8334</v>
      </c>
      <c r="AM36" s="21">
        <v>7903</v>
      </c>
      <c r="AN36" s="21">
        <v>2047</v>
      </c>
      <c r="AO36" s="21">
        <v>2236</v>
      </c>
      <c r="AP36" s="21">
        <v>836</v>
      </c>
      <c r="AQ36" s="21">
        <v>488</v>
      </c>
      <c r="AR36" s="21">
        <v>600</v>
      </c>
      <c r="AS36" s="21">
        <v>267</v>
      </c>
      <c r="AT36" s="21">
        <v>737</v>
      </c>
      <c r="AU36" s="21">
        <v>1555</v>
      </c>
      <c r="AV36" s="21">
        <v>2815</v>
      </c>
      <c r="AW36" s="21">
        <v>4408</v>
      </c>
      <c r="AX36" s="21">
        <v>10667</v>
      </c>
      <c r="AY36" s="21">
        <v>9426</v>
      </c>
      <c r="AZ36" s="21">
        <v>10306</v>
      </c>
      <c r="BA36" s="21">
        <v>10802</v>
      </c>
      <c r="BB36" s="21">
        <v>10922</v>
      </c>
      <c r="BC36" s="21">
        <v>11053</v>
      </c>
      <c r="BD36" s="21">
        <v>10730</v>
      </c>
      <c r="BE36" s="21">
        <v>10104</v>
      </c>
      <c r="BF36" s="21">
        <f t="shared" si="2"/>
        <v>153041</v>
      </c>
      <c r="BG36" s="49">
        <v>4</v>
      </c>
      <c r="BH36" s="21">
        <f t="shared" si="10"/>
        <v>612164</v>
      </c>
      <c r="BI36" s="110"/>
      <c r="BK36" s="107"/>
      <c r="BL36" s="23" t="s">
        <v>45</v>
      </c>
      <c r="BM36" s="21">
        <v>19856</v>
      </c>
      <c r="BN36" s="21">
        <v>18846</v>
      </c>
      <c r="BO36" s="21">
        <v>18043</v>
      </c>
      <c r="BP36" s="21">
        <v>17427</v>
      </c>
      <c r="BQ36" s="21">
        <v>16969</v>
      </c>
      <c r="BR36" s="21">
        <v>16176</v>
      </c>
      <c r="BS36" s="21">
        <v>10650</v>
      </c>
      <c r="BT36" s="21">
        <v>8194</v>
      </c>
      <c r="BU36" s="21">
        <v>6971</v>
      </c>
      <c r="BV36" s="21">
        <v>6811</v>
      </c>
      <c r="BW36" s="21">
        <v>7030</v>
      </c>
      <c r="BX36" s="21">
        <v>6760</v>
      </c>
      <c r="BY36" s="21">
        <v>7374</v>
      </c>
      <c r="BZ36" s="21">
        <v>8380</v>
      </c>
      <c r="CA36" s="21">
        <v>9987</v>
      </c>
      <c r="CB36" s="21">
        <v>11855</v>
      </c>
      <c r="CC36" s="21">
        <v>17748</v>
      </c>
      <c r="CD36" s="21">
        <v>19459</v>
      </c>
      <c r="CE36" s="21">
        <v>21100</v>
      </c>
      <c r="CF36" s="21">
        <v>22016</v>
      </c>
      <c r="CG36" s="21">
        <v>22254</v>
      </c>
      <c r="CH36" s="21">
        <v>22330</v>
      </c>
      <c r="CI36" s="21">
        <v>21656</v>
      </c>
      <c r="CJ36" s="21">
        <v>20425</v>
      </c>
      <c r="CK36" s="21">
        <f t="shared" si="4"/>
        <v>358317</v>
      </c>
      <c r="CL36" s="49">
        <v>4</v>
      </c>
      <c r="CM36" s="21">
        <f t="shared" si="11"/>
        <v>1433268</v>
      </c>
      <c r="CN36" s="110"/>
      <c r="CQ36" s="107"/>
      <c r="CR36" s="23" t="s">
        <v>45</v>
      </c>
      <c r="CS36" s="21">
        <v>11281</v>
      </c>
      <c r="CT36" s="21">
        <v>10740</v>
      </c>
      <c r="CU36" s="21">
        <v>10310</v>
      </c>
      <c r="CV36" s="21">
        <v>9982</v>
      </c>
      <c r="CW36" s="21">
        <v>9742</v>
      </c>
      <c r="CX36" s="21">
        <v>9320</v>
      </c>
      <c r="CY36" s="21">
        <v>6781</v>
      </c>
      <c r="CZ36" s="21">
        <v>5552</v>
      </c>
      <c r="DA36" s="21">
        <v>4786</v>
      </c>
      <c r="DB36" s="21">
        <v>4752</v>
      </c>
      <c r="DC36" s="21">
        <v>4878</v>
      </c>
      <c r="DD36" s="21">
        <v>4769</v>
      </c>
      <c r="DE36" s="21">
        <v>5067</v>
      </c>
      <c r="DF36" s="21">
        <v>5553</v>
      </c>
      <c r="DG36" s="21">
        <v>6321</v>
      </c>
      <c r="DH36" s="21">
        <v>7196</v>
      </c>
      <c r="DI36" s="21">
        <v>9880</v>
      </c>
      <c r="DJ36" s="21">
        <v>11180</v>
      </c>
      <c r="DK36" s="21">
        <v>12061</v>
      </c>
      <c r="DL36" s="21">
        <v>12551</v>
      </c>
      <c r="DM36" s="21">
        <v>12680</v>
      </c>
      <c r="DN36" s="21">
        <v>12710</v>
      </c>
      <c r="DO36" s="21">
        <v>12343</v>
      </c>
      <c r="DP36" s="21">
        <v>11678</v>
      </c>
      <c r="DQ36" s="21">
        <f t="shared" si="6"/>
        <v>212113</v>
      </c>
      <c r="DR36" s="49">
        <v>4</v>
      </c>
      <c r="DS36" s="21">
        <f t="shared" si="12"/>
        <v>848452</v>
      </c>
      <c r="DT36" s="110"/>
      <c r="DW36" s="107"/>
      <c r="DX36" s="23" t="s">
        <v>45</v>
      </c>
      <c r="DY36" s="21">
        <v>11256</v>
      </c>
      <c r="DZ36" s="21">
        <v>10717</v>
      </c>
      <c r="EA36" s="21">
        <v>10289</v>
      </c>
      <c r="EB36" s="21">
        <v>9962</v>
      </c>
      <c r="EC36" s="21">
        <v>9724</v>
      </c>
      <c r="ED36" s="21">
        <v>9303</v>
      </c>
      <c r="EE36" s="21">
        <v>6839</v>
      </c>
      <c r="EF36" s="21">
        <v>5675</v>
      </c>
      <c r="EG36" s="21">
        <v>4944</v>
      </c>
      <c r="EH36" s="21">
        <v>4920</v>
      </c>
      <c r="EI36" s="21">
        <v>5050</v>
      </c>
      <c r="EJ36" s="21">
        <v>4948</v>
      </c>
      <c r="EK36" s="21">
        <v>5240</v>
      </c>
      <c r="EL36" s="21">
        <v>5715</v>
      </c>
      <c r="EM36" s="21">
        <v>6462</v>
      </c>
      <c r="EN36" s="21">
        <v>7311</v>
      </c>
      <c r="EO36" s="21">
        <v>9908</v>
      </c>
      <c r="EP36" s="21">
        <v>11138</v>
      </c>
      <c r="EQ36" s="21">
        <v>12014</v>
      </c>
      <c r="ER36" s="21">
        <v>12502</v>
      </c>
      <c r="ES36" s="21">
        <v>12630</v>
      </c>
      <c r="ET36" s="21">
        <v>12661</v>
      </c>
      <c r="EU36" s="21">
        <v>12295</v>
      </c>
      <c r="EV36" s="21">
        <v>11633</v>
      </c>
      <c r="EW36" s="21">
        <f t="shared" si="7"/>
        <v>213136</v>
      </c>
      <c r="EX36" s="49">
        <v>5</v>
      </c>
      <c r="EY36" s="21">
        <f t="shared" si="13"/>
        <v>1065680</v>
      </c>
      <c r="EZ36" s="110"/>
    </row>
    <row r="37" spans="1:156" ht="15" thickBot="1" x14ac:dyDescent="0.4">
      <c r="A37" s="108"/>
      <c r="B37" s="24" t="s">
        <v>46</v>
      </c>
      <c r="C37" s="21">
        <v>12107</v>
      </c>
      <c r="D37" s="21">
        <v>11544</v>
      </c>
      <c r="E37" s="21">
        <v>11079</v>
      </c>
      <c r="F37" s="21">
        <v>10773</v>
      </c>
      <c r="G37" s="21">
        <v>10620</v>
      </c>
      <c r="H37" s="21">
        <v>10340</v>
      </c>
      <c r="I37" s="21">
        <v>10464</v>
      </c>
      <c r="J37" s="21">
        <v>5176</v>
      </c>
      <c r="K37" s="21">
        <v>5867</v>
      </c>
      <c r="L37" s="21">
        <v>6708</v>
      </c>
      <c r="M37" s="21">
        <v>7279</v>
      </c>
      <c r="N37" s="21">
        <v>7707</v>
      </c>
      <c r="O37" s="21">
        <v>7615</v>
      </c>
      <c r="P37" s="21">
        <v>7804</v>
      </c>
      <c r="Q37" s="21">
        <v>8106</v>
      </c>
      <c r="R37" s="21">
        <v>8272</v>
      </c>
      <c r="S37" s="21">
        <v>7923</v>
      </c>
      <c r="T37" s="21">
        <v>11704</v>
      </c>
      <c r="U37" s="21">
        <v>12754</v>
      </c>
      <c r="V37" s="21">
        <v>13412</v>
      </c>
      <c r="W37" s="21">
        <v>13456</v>
      </c>
      <c r="X37" s="21">
        <v>13618</v>
      </c>
      <c r="Y37" s="21">
        <v>13077</v>
      </c>
      <c r="Z37" s="21">
        <v>12085</v>
      </c>
      <c r="AA37" s="21">
        <f t="shared" si="0"/>
        <v>239490</v>
      </c>
      <c r="AB37" s="22">
        <v>2</v>
      </c>
      <c r="AC37" s="21">
        <f t="shared" si="9"/>
        <v>478980</v>
      </c>
      <c r="AD37" s="111"/>
      <c r="AF37" s="108"/>
      <c r="AG37" s="24" t="s">
        <v>46</v>
      </c>
      <c r="AH37" s="21">
        <v>8195</v>
      </c>
      <c r="AI37" s="21">
        <v>7778</v>
      </c>
      <c r="AJ37" s="21">
        <v>7444</v>
      </c>
      <c r="AK37" s="21">
        <v>7219</v>
      </c>
      <c r="AL37" s="21">
        <v>7110</v>
      </c>
      <c r="AM37" s="21">
        <v>6902</v>
      </c>
      <c r="AN37" s="21">
        <v>1117</v>
      </c>
      <c r="AO37" s="21">
        <v>1471</v>
      </c>
      <c r="AP37" s="21">
        <v>457</v>
      </c>
      <c r="AQ37" s="21">
        <v>615</v>
      </c>
      <c r="AR37" s="21">
        <v>879</v>
      </c>
      <c r="AS37" s="21">
        <v>897</v>
      </c>
      <c r="AT37" s="21">
        <v>1098</v>
      </c>
      <c r="AU37" s="21">
        <v>1759</v>
      </c>
      <c r="AV37" s="21">
        <v>3168</v>
      </c>
      <c r="AW37" s="21">
        <v>4696</v>
      </c>
      <c r="AX37" s="21">
        <v>11013</v>
      </c>
      <c r="AY37" s="21">
        <v>9374</v>
      </c>
      <c r="AZ37" s="21">
        <v>10211</v>
      </c>
      <c r="BA37" s="21">
        <v>10661</v>
      </c>
      <c r="BB37" s="21">
        <v>10643</v>
      </c>
      <c r="BC37" s="21">
        <v>10656</v>
      </c>
      <c r="BD37" s="21">
        <v>10193</v>
      </c>
      <c r="BE37" s="21">
        <v>9477</v>
      </c>
      <c r="BF37" s="21">
        <f t="shared" si="2"/>
        <v>143033</v>
      </c>
      <c r="BG37" s="50">
        <v>2</v>
      </c>
      <c r="BH37" s="21">
        <f t="shared" si="10"/>
        <v>286066</v>
      </c>
      <c r="BI37" s="111"/>
      <c r="BK37" s="108"/>
      <c r="BL37" s="24" t="s">
        <v>46</v>
      </c>
      <c r="BM37" s="21">
        <v>17573</v>
      </c>
      <c r="BN37" s="21">
        <v>16739</v>
      </c>
      <c r="BO37" s="21">
        <v>16076</v>
      </c>
      <c r="BP37" s="21">
        <v>15625</v>
      </c>
      <c r="BQ37" s="21">
        <v>15409</v>
      </c>
      <c r="BR37" s="21">
        <v>14992</v>
      </c>
      <c r="BS37" s="21">
        <v>9663</v>
      </c>
      <c r="BT37" s="21">
        <v>7546</v>
      </c>
      <c r="BU37" s="21">
        <v>6869</v>
      </c>
      <c r="BV37" s="21">
        <v>7369</v>
      </c>
      <c r="BW37" s="21">
        <v>7904</v>
      </c>
      <c r="BX37" s="21">
        <v>8086</v>
      </c>
      <c r="BY37" s="21">
        <v>8260</v>
      </c>
      <c r="BZ37" s="21">
        <v>9103</v>
      </c>
      <c r="CA37" s="21">
        <v>10879</v>
      </c>
      <c r="CB37" s="21">
        <v>12737</v>
      </c>
      <c r="CC37" s="21">
        <v>18626</v>
      </c>
      <c r="CD37" s="21">
        <v>19877</v>
      </c>
      <c r="CE37" s="21">
        <v>21528</v>
      </c>
      <c r="CF37" s="21">
        <v>22389</v>
      </c>
      <c r="CG37" s="21">
        <v>22335</v>
      </c>
      <c r="CH37" s="21">
        <v>22323</v>
      </c>
      <c r="CI37" s="21">
        <v>21401</v>
      </c>
      <c r="CJ37" s="21">
        <v>20014</v>
      </c>
      <c r="CK37" s="21">
        <f t="shared" si="4"/>
        <v>353323</v>
      </c>
      <c r="CL37" s="50">
        <v>2</v>
      </c>
      <c r="CM37" s="21">
        <f t="shared" si="11"/>
        <v>706646</v>
      </c>
      <c r="CN37" s="111"/>
      <c r="CQ37" s="108"/>
      <c r="CR37" s="24" t="s">
        <v>46</v>
      </c>
      <c r="CS37" s="21">
        <v>10115</v>
      </c>
      <c r="CT37" s="21">
        <v>9668</v>
      </c>
      <c r="CU37" s="21">
        <v>9312</v>
      </c>
      <c r="CV37" s="21">
        <v>9070</v>
      </c>
      <c r="CW37" s="21">
        <v>8955</v>
      </c>
      <c r="CX37" s="21">
        <v>8731</v>
      </c>
      <c r="CY37" s="21">
        <v>6301</v>
      </c>
      <c r="CZ37" s="21">
        <v>5257</v>
      </c>
      <c r="DA37" s="21">
        <v>4766</v>
      </c>
      <c r="DB37" s="21">
        <v>5064</v>
      </c>
      <c r="DC37" s="21">
        <v>5358</v>
      </c>
      <c r="DD37" s="21">
        <v>5477</v>
      </c>
      <c r="DE37" s="21">
        <v>5546</v>
      </c>
      <c r="DF37" s="21">
        <v>5953</v>
      </c>
      <c r="DG37" s="21">
        <v>6802</v>
      </c>
      <c r="DH37" s="21">
        <v>7679</v>
      </c>
      <c r="DI37" s="21">
        <v>10355</v>
      </c>
      <c r="DJ37" s="21">
        <v>11437</v>
      </c>
      <c r="DK37" s="21">
        <v>12330</v>
      </c>
      <c r="DL37" s="21">
        <v>12797</v>
      </c>
      <c r="DM37" s="21">
        <v>12768</v>
      </c>
      <c r="DN37" s="21">
        <v>12762</v>
      </c>
      <c r="DO37" s="21">
        <v>12264</v>
      </c>
      <c r="DP37" s="21">
        <v>11512</v>
      </c>
      <c r="DQ37" s="21">
        <f t="shared" si="6"/>
        <v>210279</v>
      </c>
      <c r="DR37" s="50">
        <v>2</v>
      </c>
      <c r="DS37" s="21">
        <f t="shared" si="12"/>
        <v>420558</v>
      </c>
      <c r="DT37" s="111"/>
      <c r="DW37" s="108"/>
      <c r="DX37" s="24" t="s">
        <v>46</v>
      </c>
      <c r="DY37" s="21">
        <v>10094</v>
      </c>
      <c r="DZ37" s="21">
        <v>9649</v>
      </c>
      <c r="EA37" s="21">
        <v>9295</v>
      </c>
      <c r="EB37" s="21">
        <v>9054</v>
      </c>
      <c r="EC37" s="21">
        <v>8939</v>
      </c>
      <c r="ED37" s="21">
        <v>8716</v>
      </c>
      <c r="EE37" s="21">
        <v>6360</v>
      </c>
      <c r="EF37" s="21">
        <v>5381</v>
      </c>
      <c r="EG37" s="21">
        <v>4923</v>
      </c>
      <c r="EH37" s="21">
        <v>5230</v>
      </c>
      <c r="EI37" s="21">
        <v>5528</v>
      </c>
      <c r="EJ37" s="21">
        <v>5652</v>
      </c>
      <c r="EK37" s="21">
        <v>5717</v>
      </c>
      <c r="EL37" s="21">
        <v>6113</v>
      </c>
      <c r="EM37" s="21">
        <v>6942</v>
      </c>
      <c r="EN37" s="21">
        <v>7793</v>
      </c>
      <c r="EO37" s="21">
        <v>10381</v>
      </c>
      <c r="EP37" s="21">
        <v>11392</v>
      </c>
      <c r="EQ37" s="21">
        <v>12282</v>
      </c>
      <c r="ER37" s="21">
        <v>12747</v>
      </c>
      <c r="ES37" s="21">
        <v>12719</v>
      </c>
      <c r="ET37" s="21">
        <v>12713</v>
      </c>
      <c r="EU37" s="21">
        <v>12216</v>
      </c>
      <c r="EV37" s="21">
        <v>11468</v>
      </c>
      <c r="EW37" s="21">
        <f t="shared" si="7"/>
        <v>211304</v>
      </c>
      <c r="EX37" s="50">
        <v>2</v>
      </c>
      <c r="EY37" s="21">
        <f t="shared" si="13"/>
        <v>422608</v>
      </c>
      <c r="EZ37" s="111"/>
    </row>
    <row r="38" spans="1:156" x14ac:dyDescent="0.35">
      <c r="A38" s="106">
        <v>46631</v>
      </c>
      <c r="B38" s="19" t="s">
        <v>43</v>
      </c>
      <c r="C38" s="21">
        <v>14286</v>
      </c>
      <c r="D38" s="21">
        <v>13494</v>
      </c>
      <c r="E38" s="21">
        <v>12907</v>
      </c>
      <c r="F38" s="21">
        <v>12452</v>
      </c>
      <c r="G38" s="21">
        <v>12285</v>
      </c>
      <c r="H38" s="21">
        <v>12265</v>
      </c>
      <c r="I38" s="21">
        <v>12717</v>
      </c>
      <c r="J38" s="21">
        <v>8347</v>
      </c>
      <c r="K38" s="21">
        <v>9721</v>
      </c>
      <c r="L38" s="21">
        <v>10733</v>
      </c>
      <c r="M38" s="21">
        <v>11568</v>
      </c>
      <c r="N38" s="21">
        <v>11834</v>
      </c>
      <c r="O38" s="21">
        <v>10668</v>
      </c>
      <c r="P38" s="21">
        <v>12185</v>
      </c>
      <c r="Q38" s="21">
        <v>13603</v>
      </c>
      <c r="R38" s="21">
        <v>13663</v>
      </c>
      <c r="S38" s="21">
        <v>13001</v>
      </c>
      <c r="T38" s="21">
        <v>15734</v>
      </c>
      <c r="U38" s="21">
        <v>15906</v>
      </c>
      <c r="V38" s="21">
        <v>15678</v>
      </c>
      <c r="W38" s="21">
        <v>15679</v>
      </c>
      <c r="X38" s="21">
        <v>15524</v>
      </c>
      <c r="Y38" s="21">
        <v>14787</v>
      </c>
      <c r="Z38" s="21">
        <v>13694</v>
      </c>
      <c r="AA38" s="21">
        <f t="shared" si="0"/>
        <v>312731</v>
      </c>
      <c r="AB38" s="22">
        <v>22</v>
      </c>
      <c r="AC38" s="21">
        <f t="shared" si="9"/>
        <v>6880082</v>
      </c>
      <c r="AD38" s="109">
        <f>+SUM(AC38:AC41)</f>
        <v>9157762</v>
      </c>
      <c r="AF38" s="106">
        <v>46997</v>
      </c>
      <c r="AG38" s="19" t="s">
        <v>43</v>
      </c>
      <c r="AH38" s="21">
        <v>10153</v>
      </c>
      <c r="AI38" s="21">
        <v>9573</v>
      </c>
      <c r="AJ38" s="21">
        <v>9130</v>
      </c>
      <c r="AK38" s="21">
        <v>8788</v>
      </c>
      <c r="AL38" s="21">
        <v>8660</v>
      </c>
      <c r="AM38" s="21">
        <v>8644</v>
      </c>
      <c r="AN38" s="21">
        <v>3085</v>
      </c>
      <c r="AO38" s="21">
        <v>4575</v>
      </c>
      <c r="AP38" s="21">
        <v>4130</v>
      </c>
      <c r="AQ38" s="21">
        <v>4433</v>
      </c>
      <c r="AR38" s="21">
        <v>4899</v>
      </c>
      <c r="AS38" s="21">
        <v>4738</v>
      </c>
      <c r="AT38" s="21">
        <v>3971</v>
      </c>
      <c r="AU38" s="21">
        <v>5868</v>
      </c>
      <c r="AV38" s="21">
        <v>8343</v>
      </c>
      <c r="AW38" s="21">
        <v>9838</v>
      </c>
      <c r="AX38" s="21">
        <v>15842</v>
      </c>
      <c r="AY38" s="21">
        <v>12762</v>
      </c>
      <c r="AZ38" s="21">
        <v>13002</v>
      </c>
      <c r="BA38" s="21">
        <v>12819</v>
      </c>
      <c r="BB38" s="21">
        <v>12847</v>
      </c>
      <c r="BC38" s="21">
        <v>12729</v>
      </c>
      <c r="BD38" s="21">
        <v>12123</v>
      </c>
      <c r="BE38" s="21">
        <v>11243</v>
      </c>
      <c r="BF38" s="21">
        <f t="shared" si="2"/>
        <v>212195</v>
      </c>
      <c r="BG38" s="48">
        <v>21</v>
      </c>
      <c r="BH38" s="21">
        <f t="shared" si="10"/>
        <v>4456095</v>
      </c>
      <c r="BI38" s="109">
        <f>+SUM(BH38:BH41)</f>
        <v>6135770</v>
      </c>
      <c r="BK38" s="106">
        <v>47362</v>
      </c>
      <c r="BL38" s="19" t="s">
        <v>43</v>
      </c>
      <c r="BM38" s="21">
        <v>20360</v>
      </c>
      <c r="BN38" s="21">
        <v>19264</v>
      </c>
      <c r="BO38" s="21">
        <v>18453</v>
      </c>
      <c r="BP38" s="21">
        <v>17830</v>
      </c>
      <c r="BQ38" s="21">
        <v>17608</v>
      </c>
      <c r="BR38" s="21">
        <v>17553</v>
      </c>
      <c r="BS38" s="21">
        <v>12667</v>
      </c>
      <c r="BT38" s="21">
        <v>11825</v>
      </c>
      <c r="BU38" s="21">
        <v>12206</v>
      </c>
      <c r="BV38" s="21">
        <v>12945</v>
      </c>
      <c r="BW38" s="21">
        <v>13825</v>
      </c>
      <c r="BX38" s="21">
        <v>13785</v>
      </c>
      <c r="BY38" s="21">
        <v>12476</v>
      </c>
      <c r="BZ38" s="21">
        <v>15178</v>
      </c>
      <c r="CA38" s="21">
        <v>18604</v>
      </c>
      <c r="CB38" s="21">
        <v>20355</v>
      </c>
      <c r="CC38" s="21">
        <v>25839</v>
      </c>
      <c r="CD38" s="21">
        <v>25865</v>
      </c>
      <c r="CE38" s="21">
        <v>26241</v>
      </c>
      <c r="CF38" s="21">
        <v>25834</v>
      </c>
      <c r="CG38" s="21">
        <v>25734</v>
      </c>
      <c r="CH38" s="21">
        <v>25385</v>
      </c>
      <c r="CI38" s="21">
        <v>24182</v>
      </c>
      <c r="CJ38" s="21">
        <v>22441</v>
      </c>
      <c r="CK38" s="21">
        <f t="shared" si="4"/>
        <v>456455</v>
      </c>
      <c r="CL38" s="48">
        <v>20</v>
      </c>
      <c r="CM38" s="21">
        <f t="shared" si="11"/>
        <v>9129100</v>
      </c>
      <c r="CN38" s="109">
        <f>+SUM(CM38:CM41)</f>
        <v>13273835</v>
      </c>
      <c r="CQ38" s="106">
        <v>47727</v>
      </c>
      <c r="CR38" s="19" t="s">
        <v>43</v>
      </c>
      <c r="CS38" s="21">
        <v>11514</v>
      </c>
      <c r="CT38" s="21">
        <v>10930</v>
      </c>
      <c r="CU38" s="21">
        <v>10500</v>
      </c>
      <c r="CV38" s="21">
        <v>10170</v>
      </c>
      <c r="CW38" s="21">
        <v>10053</v>
      </c>
      <c r="CX38" s="21">
        <v>10022</v>
      </c>
      <c r="CY38" s="21">
        <v>7829</v>
      </c>
      <c r="CZ38" s="21">
        <v>7464</v>
      </c>
      <c r="DA38" s="21">
        <v>7463</v>
      </c>
      <c r="DB38" s="21">
        <v>7884</v>
      </c>
      <c r="DC38" s="21">
        <v>8359</v>
      </c>
      <c r="DD38" s="21">
        <v>8366</v>
      </c>
      <c r="DE38" s="21">
        <v>7671</v>
      </c>
      <c r="DF38" s="21">
        <v>9032</v>
      </c>
      <c r="DG38" s="21">
        <v>10731</v>
      </c>
      <c r="DH38" s="21">
        <v>11547</v>
      </c>
      <c r="DI38" s="21">
        <v>14020</v>
      </c>
      <c r="DJ38" s="21">
        <v>14596</v>
      </c>
      <c r="DK38" s="21">
        <v>14791</v>
      </c>
      <c r="DL38" s="21">
        <v>14569</v>
      </c>
      <c r="DM38" s="21">
        <v>14505</v>
      </c>
      <c r="DN38" s="21">
        <v>14310</v>
      </c>
      <c r="DO38" s="21">
        <v>13660</v>
      </c>
      <c r="DP38" s="21">
        <v>12720</v>
      </c>
      <c r="DQ38" s="21">
        <f t="shared" si="6"/>
        <v>262706</v>
      </c>
      <c r="DR38" s="48">
        <v>21</v>
      </c>
      <c r="DS38" s="21">
        <f t="shared" si="12"/>
        <v>5516826</v>
      </c>
      <c r="DT38" s="109">
        <f>+SUM(DS38:DS41)</f>
        <v>7672485</v>
      </c>
      <c r="DW38" s="106">
        <v>48092</v>
      </c>
      <c r="DX38" s="19" t="s">
        <v>43</v>
      </c>
      <c r="DY38" s="21">
        <v>11395</v>
      </c>
      <c r="DZ38" s="21">
        <v>10818</v>
      </c>
      <c r="EA38" s="21">
        <v>10393</v>
      </c>
      <c r="EB38" s="21">
        <v>10067</v>
      </c>
      <c r="EC38" s="21">
        <v>9951</v>
      </c>
      <c r="ED38" s="21">
        <v>9921</v>
      </c>
      <c r="EE38" s="21">
        <v>7798</v>
      </c>
      <c r="EF38" s="21">
        <v>7483</v>
      </c>
      <c r="EG38" s="21">
        <v>7505</v>
      </c>
      <c r="EH38" s="21">
        <v>7928</v>
      </c>
      <c r="EI38" s="21">
        <v>8401</v>
      </c>
      <c r="EJ38" s="21">
        <v>8413</v>
      </c>
      <c r="EK38" s="21">
        <v>7722</v>
      </c>
      <c r="EL38" s="21">
        <v>9062</v>
      </c>
      <c r="EM38" s="21">
        <v>10729</v>
      </c>
      <c r="EN38" s="21">
        <v>11518</v>
      </c>
      <c r="EO38" s="21">
        <v>13909</v>
      </c>
      <c r="EP38" s="21">
        <v>14429</v>
      </c>
      <c r="EQ38" s="21">
        <v>14621</v>
      </c>
      <c r="ER38" s="21">
        <v>14402</v>
      </c>
      <c r="ES38" s="21">
        <v>14339</v>
      </c>
      <c r="ET38" s="21">
        <v>14146</v>
      </c>
      <c r="EU38" s="21">
        <v>13504</v>
      </c>
      <c r="EV38" s="21">
        <v>12575</v>
      </c>
      <c r="EW38" s="21">
        <f t="shared" si="7"/>
        <v>261029</v>
      </c>
      <c r="EX38" s="48">
        <v>22</v>
      </c>
      <c r="EY38" s="21">
        <f t="shared" si="13"/>
        <v>5742638</v>
      </c>
      <c r="EZ38" s="109">
        <f>+SUM(EY38:EY41)</f>
        <v>7659194</v>
      </c>
    </row>
    <row r="39" spans="1:156" x14ac:dyDescent="0.35">
      <c r="A39" s="107"/>
      <c r="B39" s="23" t="s">
        <v>44</v>
      </c>
      <c r="C39" s="21">
        <v>14519</v>
      </c>
      <c r="D39" s="21">
        <v>13793</v>
      </c>
      <c r="E39" s="21">
        <v>13220</v>
      </c>
      <c r="F39" s="21">
        <v>12750</v>
      </c>
      <c r="G39" s="21">
        <v>12519</v>
      </c>
      <c r="H39" s="21">
        <v>12169</v>
      </c>
      <c r="I39" s="21">
        <v>12626</v>
      </c>
      <c r="J39" s="21">
        <v>8212</v>
      </c>
      <c r="K39" s="21">
        <v>9668</v>
      </c>
      <c r="L39" s="21">
        <v>10584</v>
      </c>
      <c r="M39" s="21">
        <v>11340</v>
      </c>
      <c r="N39" s="21">
        <v>11663</v>
      </c>
      <c r="O39" s="21">
        <v>10917</v>
      </c>
      <c r="P39" s="21">
        <v>11188</v>
      </c>
      <c r="Q39" s="21">
        <v>11748</v>
      </c>
      <c r="R39" s="21">
        <v>11709</v>
      </c>
      <c r="S39" s="21">
        <v>11129</v>
      </c>
      <c r="T39" s="21">
        <v>14784</v>
      </c>
      <c r="U39" s="21">
        <v>15577</v>
      </c>
      <c r="V39" s="21">
        <v>15295</v>
      </c>
      <c r="W39" s="21">
        <v>14883</v>
      </c>
      <c r="X39" s="21">
        <v>14628</v>
      </c>
      <c r="Y39" s="21">
        <v>14265</v>
      </c>
      <c r="Z39" s="21">
        <v>13699</v>
      </c>
      <c r="AA39" s="21">
        <f t="shared" si="0"/>
        <v>302885</v>
      </c>
      <c r="AB39" s="22">
        <v>4</v>
      </c>
      <c r="AC39" s="21">
        <f t="shared" si="9"/>
        <v>1211540</v>
      </c>
      <c r="AD39" s="110"/>
      <c r="AF39" s="107"/>
      <c r="AG39" s="23" t="s">
        <v>44</v>
      </c>
      <c r="AH39" s="21">
        <v>10132</v>
      </c>
      <c r="AI39" s="21">
        <v>9618</v>
      </c>
      <c r="AJ39" s="21">
        <v>9202</v>
      </c>
      <c r="AK39" s="21">
        <v>8857</v>
      </c>
      <c r="AL39" s="21">
        <v>8696</v>
      </c>
      <c r="AM39" s="21">
        <v>8466</v>
      </c>
      <c r="AN39" s="21">
        <v>2908</v>
      </c>
      <c r="AO39" s="21">
        <v>4365</v>
      </c>
      <c r="AP39" s="21">
        <v>3955</v>
      </c>
      <c r="AQ39" s="21">
        <v>4109</v>
      </c>
      <c r="AR39" s="21">
        <v>4534</v>
      </c>
      <c r="AS39" s="21">
        <v>4467</v>
      </c>
      <c r="AT39" s="21">
        <v>4093</v>
      </c>
      <c r="AU39" s="21">
        <v>4874</v>
      </c>
      <c r="AV39" s="21">
        <v>6544</v>
      </c>
      <c r="AW39" s="21">
        <v>7884</v>
      </c>
      <c r="AX39" s="21">
        <v>14012</v>
      </c>
      <c r="AY39" s="21">
        <v>11873</v>
      </c>
      <c r="AZ39" s="21">
        <v>12611</v>
      </c>
      <c r="BA39" s="21">
        <v>12393</v>
      </c>
      <c r="BB39" s="21">
        <v>12098</v>
      </c>
      <c r="BC39" s="21">
        <v>11877</v>
      </c>
      <c r="BD39" s="21">
        <v>11596</v>
      </c>
      <c r="BE39" s="21">
        <v>11107</v>
      </c>
      <c r="BF39" s="21">
        <f t="shared" si="2"/>
        <v>200271</v>
      </c>
      <c r="BG39" s="49">
        <v>5</v>
      </c>
      <c r="BH39" s="21">
        <f t="shared" si="10"/>
        <v>1001355</v>
      </c>
      <c r="BI39" s="110"/>
      <c r="BK39" s="107"/>
      <c r="BL39" s="23" t="s">
        <v>44</v>
      </c>
      <c r="BM39" s="21">
        <v>20771</v>
      </c>
      <c r="BN39" s="21">
        <v>19759</v>
      </c>
      <c r="BO39" s="21">
        <v>18958</v>
      </c>
      <c r="BP39" s="21">
        <v>18278</v>
      </c>
      <c r="BQ39" s="21">
        <v>17954</v>
      </c>
      <c r="BR39" s="21">
        <v>17498</v>
      </c>
      <c r="BS39" s="21">
        <v>12543</v>
      </c>
      <c r="BT39" s="21">
        <v>11571</v>
      </c>
      <c r="BU39" s="21">
        <v>11992</v>
      </c>
      <c r="BV39" s="21">
        <v>12599</v>
      </c>
      <c r="BW39" s="21">
        <v>13384</v>
      </c>
      <c r="BX39" s="21">
        <v>13389</v>
      </c>
      <c r="BY39" s="21">
        <v>12738</v>
      </c>
      <c r="BZ39" s="21">
        <v>13682</v>
      </c>
      <c r="CA39" s="21">
        <v>15786</v>
      </c>
      <c r="CB39" s="21">
        <v>17347</v>
      </c>
      <c r="CC39" s="21">
        <v>22929</v>
      </c>
      <c r="CD39" s="21">
        <v>24044</v>
      </c>
      <c r="CE39" s="21">
        <v>25462</v>
      </c>
      <c r="CF39" s="21">
        <v>25095</v>
      </c>
      <c r="CG39" s="21">
        <v>24435</v>
      </c>
      <c r="CH39" s="21">
        <v>23945</v>
      </c>
      <c r="CI39" s="21">
        <v>23375</v>
      </c>
      <c r="CJ39" s="21">
        <v>22427</v>
      </c>
      <c r="CK39" s="21">
        <f t="shared" si="4"/>
        <v>439961</v>
      </c>
      <c r="CL39" s="49">
        <v>5</v>
      </c>
      <c r="CM39" s="21">
        <f t="shared" si="11"/>
        <v>2199805</v>
      </c>
      <c r="CN39" s="110"/>
      <c r="CQ39" s="107"/>
      <c r="CR39" s="23" t="s">
        <v>44</v>
      </c>
      <c r="CS39" s="21">
        <v>11761</v>
      </c>
      <c r="CT39" s="21">
        <v>11220</v>
      </c>
      <c r="CU39" s="21">
        <v>10792</v>
      </c>
      <c r="CV39" s="21">
        <v>10429</v>
      </c>
      <c r="CW39" s="21">
        <v>10255</v>
      </c>
      <c r="CX39" s="21">
        <v>10010</v>
      </c>
      <c r="CY39" s="21">
        <v>7777</v>
      </c>
      <c r="CZ39" s="21">
        <v>7338</v>
      </c>
      <c r="DA39" s="21">
        <v>7359</v>
      </c>
      <c r="DB39" s="21">
        <v>7720</v>
      </c>
      <c r="DC39" s="21">
        <v>8143</v>
      </c>
      <c r="DD39" s="21">
        <v>8166</v>
      </c>
      <c r="DE39" s="21">
        <v>7814</v>
      </c>
      <c r="DF39" s="21">
        <v>8265</v>
      </c>
      <c r="DG39" s="21">
        <v>9279</v>
      </c>
      <c r="DH39" s="21">
        <v>10001</v>
      </c>
      <c r="DI39" s="21">
        <v>12517</v>
      </c>
      <c r="DJ39" s="21">
        <v>13612</v>
      </c>
      <c r="DK39" s="21">
        <v>14373</v>
      </c>
      <c r="DL39" s="21">
        <v>14178</v>
      </c>
      <c r="DM39" s="21">
        <v>13817</v>
      </c>
      <c r="DN39" s="21">
        <v>13549</v>
      </c>
      <c r="DO39" s="21">
        <v>13241</v>
      </c>
      <c r="DP39" s="21">
        <v>12730</v>
      </c>
      <c r="DQ39" s="21">
        <f t="shared" si="6"/>
        <v>254346</v>
      </c>
      <c r="DR39" s="49">
        <v>4</v>
      </c>
      <c r="DS39" s="21">
        <f t="shared" si="12"/>
        <v>1017384</v>
      </c>
      <c r="DT39" s="110"/>
      <c r="DW39" s="107"/>
      <c r="DX39" s="23" t="s">
        <v>44</v>
      </c>
      <c r="DY39" s="21">
        <v>11640</v>
      </c>
      <c r="DZ39" s="21">
        <v>11105</v>
      </c>
      <c r="EA39" s="21">
        <v>10682</v>
      </c>
      <c r="EB39" s="21">
        <v>10323</v>
      </c>
      <c r="EC39" s="21">
        <v>10151</v>
      </c>
      <c r="ED39" s="21">
        <v>9909</v>
      </c>
      <c r="EE39" s="21">
        <v>7747</v>
      </c>
      <c r="EF39" s="21">
        <v>7358</v>
      </c>
      <c r="EG39" s="21">
        <v>7402</v>
      </c>
      <c r="EH39" s="21">
        <v>7766</v>
      </c>
      <c r="EI39" s="21">
        <v>8188</v>
      </c>
      <c r="EJ39" s="21">
        <v>8215</v>
      </c>
      <c r="EK39" s="21">
        <v>7863</v>
      </c>
      <c r="EL39" s="21">
        <v>8303</v>
      </c>
      <c r="EM39" s="21">
        <v>9292</v>
      </c>
      <c r="EN39" s="21">
        <v>9990</v>
      </c>
      <c r="EO39" s="21">
        <v>12423</v>
      </c>
      <c r="EP39" s="21">
        <v>13457</v>
      </c>
      <c r="EQ39" s="21">
        <v>14209</v>
      </c>
      <c r="ER39" s="21">
        <v>14016</v>
      </c>
      <c r="ES39" s="21">
        <v>13659</v>
      </c>
      <c r="ET39" s="21">
        <v>13394</v>
      </c>
      <c r="EU39" s="21">
        <v>13090</v>
      </c>
      <c r="EV39" s="21">
        <v>12585</v>
      </c>
      <c r="EW39" s="21">
        <f t="shared" si="7"/>
        <v>252767</v>
      </c>
      <c r="EX39" s="49">
        <v>4</v>
      </c>
      <c r="EY39" s="21">
        <f t="shared" si="13"/>
        <v>1011068</v>
      </c>
      <c r="EZ39" s="110"/>
    </row>
    <row r="40" spans="1:156" x14ac:dyDescent="0.35">
      <c r="A40" s="107"/>
      <c r="B40" s="23" t="s">
        <v>45</v>
      </c>
      <c r="C40" s="21">
        <v>14363</v>
      </c>
      <c r="D40" s="21">
        <v>13672</v>
      </c>
      <c r="E40" s="21">
        <v>13145</v>
      </c>
      <c r="F40" s="21">
        <v>12719</v>
      </c>
      <c r="G40" s="21">
        <v>12412</v>
      </c>
      <c r="H40" s="21">
        <v>11976</v>
      </c>
      <c r="I40" s="21">
        <v>12100</v>
      </c>
      <c r="J40" s="21">
        <v>6573</v>
      </c>
      <c r="K40" s="21">
        <v>6901</v>
      </c>
      <c r="L40" s="21">
        <v>7251</v>
      </c>
      <c r="M40" s="21">
        <v>7699</v>
      </c>
      <c r="N40" s="21">
        <v>8092</v>
      </c>
      <c r="O40" s="21">
        <v>8051</v>
      </c>
      <c r="P40" s="21">
        <v>8319</v>
      </c>
      <c r="Q40" s="21">
        <v>8791</v>
      </c>
      <c r="R40" s="21">
        <v>8883</v>
      </c>
      <c r="S40" s="21">
        <v>8647</v>
      </c>
      <c r="T40" s="21">
        <v>12805</v>
      </c>
      <c r="U40" s="21">
        <v>13872</v>
      </c>
      <c r="V40" s="21">
        <v>14220</v>
      </c>
      <c r="W40" s="21">
        <v>14404</v>
      </c>
      <c r="X40" s="21">
        <v>14504</v>
      </c>
      <c r="Y40" s="21">
        <v>13999</v>
      </c>
      <c r="Z40" s="21">
        <v>13137</v>
      </c>
      <c r="AA40" s="21">
        <f t="shared" si="0"/>
        <v>266535</v>
      </c>
      <c r="AB40" s="22">
        <v>4</v>
      </c>
      <c r="AC40" s="21">
        <f t="shared" si="9"/>
        <v>1066140</v>
      </c>
      <c r="AD40" s="110"/>
      <c r="AF40" s="107"/>
      <c r="AG40" s="23" t="s">
        <v>45</v>
      </c>
      <c r="AH40" s="21">
        <v>10174</v>
      </c>
      <c r="AI40" s="21">
        <v>9670</v>
      </c>
      <c r="AJ40" s="21">
        <v>9275</v>
      </c>
      <c r="AK40" s="21">
        <v>8953</v>
      </c>
      <c r="AL40" s="21">
        <v>8743</v>
      </c>
      <c r="AM40" s="21">
        <v>8414</v>
      </c>
      <c r="AN40" s="21">
        <v>2612</v>
      </c>
      <c r="AO40" s="21">
        <v>2901</v>
      </c>
      <c r="AP40" s="21">
        <v>1434</v>
      </c>
      <c r="AQ40" s="21">
        <v>1063</v>
      </c>
      <c r="AR40" s="21">
        <v>1218</v>
      </c>
      <c r="AS40" s="21">
        <v>1179</v>
      </c>
      <c r="AT40" s="21">
        <v>1429</v>
      </c>
      <c r="AU40" s="21">
        <v>2231</v>
      </c>
      <c r="AV40" s="21">
        <v>3833</v>
      </c>
      <c r="AW40" s="21">
        <v>5314</v>
      </c>
      <c r="AX40" s="21">
        <v>11782</v>
      </c>
      <c r="AY40" s="21">
        <v>10401</v>
      </c>
      <c r="AZ40" s="21">
        <v>11359</v>
      </c>
      <c r="BA40" s="21">
        <v>11638</v>
      </c>
      <c r="BB40" s="21">
        <v>11821</v>
      </c>
      <c r="BC40" s="21">
        <v>11900</v>
      </c>
      <c r="BD40" s="21">
        <v>11484</v>
      </c>
      <c r="BE40" s="21">
        <v>10752</v>
      </c>
      <c r="BF40" s="21">
        <f t="shared" si="2"/>
        <v>169580</v>
      </c>
      <c r="BG40" s="49">
        <v>4</v>
      </c>
      <c r="BH40" s="21">
        <f t="shared" si="10"/>
        <v>678320</v>
      </c>
      <c r="BI40" s="110"/>
      <c r="BK40" s="107"/>
      <c r="BL40" s="23" t="s">
        <v>45</v>
      </c>
      <c r="BM40" s="21">
        <v>20555</v>
      </c>
      <c r="BN40" s="21">
        <v>19572</v>
      </c>
      <c r="BO40" s="21">
        <v>18816</v>
      </c>
      <c r="BP40" s="21">
        <v>18213</v>
      </c>
      <c r="BQ40" s="21">
        <v>17804</v>
      </c>
      <c r="BR40" s="21">
        <v>17182</v>
      </c>
      <c r="BS40" s="21">
        <v>11808</v>
      </c>
      <c r="BT40" s="21">
        <v>9291</v>
      </c>
      <c r="BU40" s="21">
        <v>8010</v>
      </c>
      <c r="BV40" s="21">
        <v>7848</v>
      </c>
      <c r="BW40" s="21">
        <v>8136</v>
      </c>
      <c r="BX40" s="21">
        <v>8271</v>
      </c>
      <c r="BY40" s="21">
        <v>8651</v>
      </c>
      <c r="BZ40" s="21">
        <v>9625</v>
      </c>
      <c r="CA40" s="21">
        <v>11591</v>
      </c>
      <c r="CB40" s="21">
        <v>13352</v>
      </c>
      <c r="CC40" s="21">
        <v>19454</v>
      </c>
      <c r="CD40" s="21">
        <v>21201</v>
      </c>
      <c r="CE40" s="21">
        <v>23076</v>
      </c>
      <c r="CF40" s="21">
        <v>23606</v>
      </c>
      <c r="CG40" s="21">
        <v>23910</v>
      </c>
      <c r="CH40" s="21">
        <v>24035</v>
      </c>
      <c r="CI40" s="21">
        <v>23214</v>
      </c>
      <c r="CJ40" s="21">
        <v>21765</v>
      </c>
      <c r="CK40" s="21">
        <f t="shared" si="4"/>
        <v>388986</v>
      </c>
      <c r="CL40" s="49">
        <v>5</v>
      </c>
      <c r="CM40" s="21">
        <f t="shared" si="11"/>
        <v>1944930</v>
      </c>
      <c r="CN40" s="110"/>
      <c r="CQ40" s="107"/>
      <c r="CR40" s="23" t="s">
        <v>45</v>
      </c>
      <c r="CS40" s="21">
        <v>11626</v>
      </c>
      <c r="CT40" s="21">
        <v>11101</v>
      </c>
      <c r="CU40" s="21">
        <v>10699</v>
      </c>
      <c r="CV40" s="21">
        <v>10378</v>
      </c>
      <c r="CW40" s="21">
        <v>10159</v>
      </c>
      <c r="CX40" s="21">
        <v>9829</v>
      </c>
      <c r="CY40" s="21">
        <v>7374</v>
      </c>
      <c r="CZ40" s="21">
        <v>6115</v>
      </c>
      <c r="DA40" s="21">
        <v>5301</v>
      </c>
      <c r="DB40" s="21">
        <v>5268</v>
      </c>
      <c r="DC40" s="21">
        <v>5429</v>
      </c>
      <c r="DD40" s="21">
        <v>5525</v>
      </c>
      <c r="DE40" s="21">
        <v>5709</v>
      </c>
      <c r="DF40" s="21">
        <v>6175</v>
      </c>
      <c r="DG40" s="21">
        <v>7115</v>
      </c>
      <c r="DH40" s="21">
        <v>7939</v>
      </c>
      <c r="DI40" s="21">
        <v>10722</v>
      </c>
      <c r="DJ40" s="21">
        <v>12077</v>
      </c>
      <c r="DK40" s="21">
        <v>13086</v>
      </c>
      <c r="DL40" s="21">
        <v>13372</v>
      </c>
      <c r="DM40" s="21">
        <v>13531</v>
      </c>
      <c r="DN40" s="21">
        <v>13598</v>
      </c>
      <c r="DO40" s="21">
        <v>13154</v>
      </c>
      <c r="DP40" s="21">
        <v>12373</v>
      </c>
      <c r="DQ40" s="21">
        <f t="shared" si="6"/>
        <v>227655</v>
      </c>
      <c r="DR40" s="49">
        <v>5</v>
      </c>
      <c r="DS40" s="21">
        <f t="shared" si="12"/>
        <v>1138275</v>
      </c>
      <c r="DT40" s="110"/>
      <c r="DW40" s="107"/>
      <c r="DX40" s="23" t="s">
        <v>45</v>
      </c>
      <c r="DY40" s="21">
        <v>11506</v>
      </c>
      <c r="DZ40" s="21">
        <v>10987</v>
      </c>
      <c r="EA40" s="21">
        <v>10589</v>
      </c>
      <c r="EB40" s="21">
        <v>10272</v>
      </c>
      <c r="EC40" s="21">
        <v>10056</v>
      </c>
      <c r="ED40" s="21">
        <v>9729</v>
      </c>
      <c r="EE40" s="21">
        <v>7349</v>
      </c>
      <c r="EF40" s="21">
        <v>6149</v>
      </c>
      <c r="EG40" s="21">
        <v>5366</v>
      </c>
      <c r="EH40" s="21">
        <v>5341</v>
      </c>
      <c r="EI40" s="21">
        <v>5504</v>
      </c>
      <c r="EJ40" s="21">
        <v>5603</v>
      </c>
      <c r="EK40" s="21">
        <v>5782</v>
      </c>
      <c r="EL40" s="21">
        <v>6237</v>
      </c>
      <c r="EM40" s="21">
        <v>7153</v>
      </c>
      <c r="EN40" s="21">
        <v>7951</v>
      </c>
      <c r="EO40" s="21">
        <v>10648</v>
      </c>
      <c r="EP40" s="21">
        <v>11940</v>
      </c>
      <c r="EQ40" s="21">
        <v>12937</v>
      </c>
      <c r="ER40" s="21">
        <v>13219</v>
      </c>
      <c r="ES40" s="21">
        <v>13376</v>
      </c>
      <c r="ET40" s="21">
        <v>13442</v>
      </c>
      <c r="EU40" s="21">
        <v>13004</v>
      </c>
      <c r="EV40" s="21">
        <v>12232</v>
      </c>
      <c r="EW40" s="21">
        <f t="shared" si="7"/>
        <v>226372</v>
      </c>
      <c r="EX40" s="49">
        <v>4</v>
      </c>
      <c r="EY40" s="21">
        <f t="shared" si="13"/>
        <v>905488</v>
      </c>
      <c r="EZ40" s="110"/>
    </row>
    <row r="41" spans="1:156" ht="15" thickBot="1" x14ac:dyDescent="0.4">
      <c r="A41" s="108"/>
      <c r="B41" s="24" t="s">
        <v>46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f t="shared" si="0"/>
        <v>0</v>
      </c>
      <c r="AB41" s="22">
        <v>0</v>
      </c>
      <c r="AC41" s="21">
        <f t="shared" si="9"/>
        <v>0</v>
      </c>
      <c r="AD41" s="111"/>
      <c r="AF41" s="108"/>
      <c r="AG41" s="24" t="s">
        <v>46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f t="shared" si="2"/>
        <v>0</v>
      </c>
      <c r="BG41" s="50">
        <v>0</v>
      </c>
      <c r="BH41" s="21">
        <f t="shared" si="10"/>
        <v>0</v>
      </c>
      <c r="BI41" s="111"/>
      <c r="BK41" s="108"/>
      <c r="BL41" s="24" t="s">
        <v>46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f t="shared" si="4"/>
        <v>0</v>
      </c>
      <c r="CL41" s="50">
        <v>0</v>
      </c>
      <c r="CM41" s="21">
        <f t="shared" si="11"/>
        <v>0</v>
      </c>
      <c r="CN41" s="111"/>
      <c r="CQ41" s="108"/>
      <c r="CR41" s="24" t="s">
        <v>46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21">
        <v>0</v>
      </c>
      <c r="DI41" s="21">
        <v>0</v>
      </c>
      <c r="DJ41" s="21">
        <v>0</v>
      </c>
      <c r="DK41" s="21">
        <v>0</v>
      </c>
      <c r="DL41" s="21">
        <v>0</v>
      </c>
      <c r="DM41" s="21">
        <v>0</v>
      </c>
      <c r="DN41" s="21">
        <v>0</v>
      </c>
      <c r="DO41" s="21">
        <v>0</v>
      </c>
      <c r="DP41" s="21">
        <v>0</v>
      </c>
      <c r="DQ41" s="21">
        <f t="shared" si="6"/>
        <v>0</v>
      </c>
      <c r="DR41" s="50">
        <v>0</v>
      </c>
      <c r="DS41" s="21">
        <f t="shared" si="12"/>
        <v>0</v>
      </c>
      <c r="DT41" s="111"/>
      <c r="DW41" s="108"/>
      <c r="DX41" s="24" t="s">
        <v>46</v>
      </c>
      <c r="DY41" s="21">
        <v>0</v>
      </c>
      <c r="DZ41" s="21">
        <v>0</v>
      </c>
      <c r="EA41" s="21">
        <v>0</v>
      </c>
      <c r="EB41" s="21">
        <v>0</v>
      </c>
      <c r="EC41" s="21">
        <v>0</v>
      </c>
      <c r="ED41" s="21">
        <v>0</v>
      </c>
      <c r="EE41" s="21">
        <v>0</v>
      </c>
      <c r="EF41" s="21">
        <v>0</v>
      </c>
      <c r="EG41" s="21">
        <v>0</v>
      </c>
      <c r="EH41" s="21">
        <v>0</v>
      </c>
      <c r="EI41" s="21">
        <v>0</v>
      </c>
      <c r="EJ41" s="21">
        <v>0</v>
      </c>
      <c r="EK41" s="21">
        <v>0</v>
      </c>
      <c r="EL41" s="21">
        <v>0</v>
      </c>
      <c r="EM41" s="21">
        <v>0</v>
      </c>
      <c r="EN41" s="21">
        <v>0</v>
      </c>
      <c r="EO41" s="21">
        <v>0</v>
      </c>
      <c r="EP41" s="21">
        <v>0</v>
      </c>
      <c r="EQ41" s="21">
        <v>0</v>
      </c>
      <c r="ER41" s="21">
        <v>0</v>
      </c>
      <c r="ES41" s="21">
        <v>0</v>
      </c>
      <c r="ET41" s="21">
        <v>0</v>
      </c>
      <c r="EU41" s="21">
        <v>0</v>
      </c>
      <c r="EV41" s="21">
        <v>0</v>
      </c>
      <c r="EW41" s="21">
        <f t="shared" si="7"/>
        <v>0</v>
      </c>
      <c r="EX41" s="50">
        <v>0</v>
      </c>
      <c r="EY41" s="21">
        <f t="shared" si="13"/>
        <v>0</v>
      </c>
      <c r="EZ41" s="111"/>
    </row>
    <row r="42" spans="1:156" x14ac:dyDescent="0.35">
      <c r="A42" s="106">
        <v>46661</v>
      </c>
      <c r="B42" s="19" t="s">
        <v>43</v>
      </c>
      <c r="C42" s="21">
        <v>13576</v>
      </c>
      <c r="D42" s="21">
        <v>12855</v>
      </c>
      <c r="E42" s="21">
        <v>12337</v>
      </c>
      <c r="F42" s="21">
        <v>11975</v>
      </c>
      <c r="G42" s="21">
        <v>11873</v>
      </c>
      <c r="H42" s="21">
        <v>11866</v>
      </c>
      <c r="I42" s="21">
        <v>12354</v>
      </c>
      <c r="J42" s="21">
        <v>7972</v>
      </c>
      <c r="K42" s="21">
        <v>9504</v>
      </c>
      <c r="L42" s="21">
        <v>10537</v>
      </c>
      <c r="M42" s="21">
        <v>11423</v>
      </c>
      <c r="N42" s="21">
        <v>11790</v>
      </c>
      <c r="O42" s="21">
        <v>10648</v>
      </c>
      <c r="P42" s="21">
        <v>12018</v>
      </c>
      <c r="Q42" s="21">
        <v>13452</v>
      </c>
      <c r="R42" s="21">
        <v>13431</v>
      </c>
      <c r="S42" s="21">
        <v>12807</v>
      </c>
      <c r="T42" s="21">
        <v>15991</v>
      </c>
      <c r="U42" s="21">
        <v>15908</v>
      </c>
      <c r="V42" s="21">
        <v>15411</v>
      </c>
      <c r="W42" s="21">
        <v>15135</v>
      </c>
      <c r="X42" s="21">
        <v>14790</v>
      </c>
      <c r="Y42" s="21">
        <v>13974</v>
      </c>
      <c r="Z42" s="21">
        <v>12959</v>
      </c>
      <c r="AA42" s="21">
        <f t="shared" si="0"/>
        <v>304586</v>
      </c>
      <c r="AB42" s="22">
        <v>20</v>
      </c>
      <c r="AC42" s="21">
        <f t="shared" si="9"/>
        <v>6091720</v>
      </c>
      <c r="AD42" s="109">
        <f>+SUM(AC42:AC45)</f>
        <v>9021135</v>
      </c>
      <c r="AF42" s="106">
        <v>47027</v>
      </c>
      <c r="AG42" s="19" t="s">
        <v>43</v>
      </c>
      <c r="AH42" s="21">
        <v>9684</v>
      </c>
      <c r="AI42" s="21">
        <v>9145</v>
      </c>
      <c r="AJ42" s="21">
        <v>8741</v>
      </c>
      <c r="AK42" s="21">
        <v>8450</v>
      </c>
      <c r="AL42" s="21">
        <v>8338</v>
      </c>
      <c r="AM42" s="21">
        <v>8267</v>
      </c>
      <c r="AN42" s="21">
        <v>2669</v>
      </c>
      <c r="AO42" s="21">
        <v>4138</v>
      </c>
      <c r="AP42" s="21">
        <v>3934</v>
      </c>
      <c r="AQ42" s="21">
        <v>4299</v>
      </c>
      <c r="AR42" s="21">
        <v>4860</v>
      </c>
      <c r="AS42" s="21">
        <v>4846</v>
      </c>
      <c r="AT42" s="21">
        <v>4089</v>
      </c>
      <c r="AU42" s="21">
        <v>5902</v>
      </c>
      <c r="AV42" s="21">
        <v>8404</v>
      </c>
      <c r="AW42" s="21">
        <v>9730</v>
      </c>
      <c r="AX42" s="21">
        <v>15762</v>
      </c>
      <c r="AY42" s="21">
        <v>12992</v>
      </c>
      <c r="AZ42" s="21">
        <v>12887</v>
      </c>
      <c r="BA42" s="21">
        <v>12521</v>
      </c>
      <c r="BB42" s="21">
        <v>12363</v>
      </c>
      <c r="BC42" s="21">
        <v>12147</v>
      </c>
      <c r="BD42" s="21">
        <v>11509</v>
      </c>
      <c r="BE42" s="21">
        <v>10684</v>
      </c>
      <c r="BF42" s="21">
        <f t="shared" si="2"/>
        <v>206361</v>
      </c>
      <c r="BG42" s="48">
        <v>21</v>
      </c>
      <c r="BH42" s="21">
        <f t="shared" si="10"/>
        <v>4333581</v>
      </c>
      <c r="BI42" s="109">
        <f>+SUM(BH42:BH45)</f>
        <v>6019818</v>
      </c>
      <c r="BK42" s="106">
        <v>47392</v>
      </c>
      <c r="BL42" s="19" t="s">
        <v>43</v>
      </c>
      <c r="BM42" s="21">
        <v>19301</v>
      </c>
      <c r="BN42" s="21">
        <v>18294</v>
      </c>
      <c r="BO42" s="21">
        <v>17574</v>
      </c>
      <c r="BP42" s="21">
        <v>17076</v>
      </c>
      <c r="BQ42" s="21">
        <v>16931</v>
      </c>
      <c r="BR42" s="21">
        <v>16872</v>
      </c>
      <c r="BS42" s="21">
        <v>12027</v>
      </c>
      <c r="BT42" s="21">
        <v>11138</v>
      </c>
      <c r="BU42" s="21">
        <v>11721</v>
      </c>
      <c r="BV42" s="21">
        <v>12491</v>
      </c>
      <c r="BW42" s="21">
        <v>13405</v>
      </c>
      <c r="BX42" s="21">
        <v>13489</v>
      </c>
      <c r="BY42" s="21">
        <v>12223</v>
      </c>
      <c r="BZ42" s="21">
        <v>14735</v>
      </c>
      <c r="CA42" s="21">
        <v>18081</v>
      </c>
      <c r="CB42" s="21">
        <v>19669</v>
      </c>
      <c r="CC42" s="21">
        <v>25209</v>
      </c>
      <c r="CD42" s="21">
        <v>26033</v>
      </c>
      <c r="CE42" s="21">
        <v>26042</v>
      </c>
      <c r="CF42" s="21">
        <v>25254</v>
      </c>
      <c r="CG42" s="21">
        <v>24810</v>
      </c>
      <c r="CH42" s="21">
        <v>24215</v>
      </c>
      <c r="CI42" s="21">
        <v>22921</v>
      </c>
      <c r="CJ42" s="21">
        <v>21294</v>
      </c>
      <c r="CK42" s="21">
        <f t="shared" si="4"/>
        <v>440805</v>
      </c>
      <c r="CL42" s="48">
        <v>22</v>
      </c>
      <c r="CM42" s="21">
        <f t="shared" si="11"/>
        <v>9697710</v>
      </c>
      <c r="CN42" s="109">
        <f>+SUM(CM42:CM45)</f>
        <v>13156862</v>
      </c>
      <c r="CQ42" s="106">
        <v>47757</v>
      </c>
      <c r="CR42" s="19" t="s">
        <v>43</v>
      </c>
      <c r="CS42" s="21">
        <v>10956</v>
      </c>
      <c r="CT42" s="21">
        <v>10421</v>
      </c>
      <c r="CU42" s="21">
        <v>10039</v>
      </c>
      <c r="CV42" s="21">
        <v>9777</v>
      </c>
      <c r="CW42" s="21">
        <v>9705</v>
      </c>
      <c r="CX42" s="21">
        <v>9679</v>
      </c>
      <c r="CY42" s="21">
        <v>7516</v>
      </c>
      <c r="CZ42" s="21">
        <v>7125</v>
      </c>
      <c r="DA42" s="21">
        <v>7224</v>
      </c>
      <c r="DB42" s="21">
        <v>7657</v>
      </c>
      <c r="DC42" s="21">
        <v>8141</v>
      </c>
      <c r="DD42" s="21">
        <v>8205</v>
      </c>
      <c r="DE42" s="21">
        <v>7534</v>
      </c>
      <c r="DF42" s="21">
        <v>8793</v>
      </c>
      <c r="DG42" s="21">
        <v>10445</v>
      </c>
      <c r="DH42" s="21">
        <v>11186</v>
      </c>
      <c r="DI42" s="21">
        <v>13688</v>
      </c>
      <c r="DJ42" s="21">
        <v>14694</v>
      </c>
      <c r="DK42" s="21">
        <v>14711</v>
      </c>
      <c r="DL42" s="21">
        <v>14281</v>
      </c>
      <c r="DM42" s="21">
        <v>14032</v>
      </c>
      <c r="DN42" s="21">
        <v>13698</v>
      </c>
      <c r="DO42" s="21">
        <v>12996</v>
      </c>
      <c r="DP42" s="21">
        <v>12117</v>
      </c>
      <c r="DQ42" s="21">
        <f t="shared" si="6"/>
        <v>254620</v>
      </c>
      <c r="DR42" s="48">
        <v>22</v>
      </c>
      <c r="DS42" s="21">
        <f t="shared" si="12"/>
        <v>5601640</v>
      </c>
      <c r="DT42" s="109">
        <f>+SUM(DS42:DS45)</f>
        <v>7629882</v>
      </c>
      <c r="DW42" s="106">
        <v>48122</v>
      </c>
      <c r="DX42" s="19" t="s">
        <v>43</v>
      </c>
      <c r="DY42" s="21">
        <v>10884</v>
      </c>
      <c r="DZ42" s="21">
        <v>10353</v>
      </c>
      <c r="EA42" s="21">
        <v>9974</v>
      </c>
      <c r="EB42" s="21">
        <v>9714</v>
      </c>
      <c r="EC42" s="21">
        <v>9642</v>
      </c>
      <c r="ED42" s="21">
        <v>9617</v>
      </c>
      <c r="EE42" s="21">
        <v>7526</v>
      </c>
      <c r="EF42" s="21">
        <v>7190</v>
      </c>
      <c r="EG42" s="21">
        <v>7314</v>
      </c>
      <c r="EH42" s="21">
        <v>7753</v>
      </c>
      <c r="EI42" s="21">
        <v>8238</v>
      </c>
      <c r="EJ42" s="21">
        <v>8306</v>
      </c>
      <c r="EK42" s="21">
        <v>7636</v>
      </c>
      <c r="EL42" s="21">
        <v>8879</v>
      </c>
      <c r="EM42" s="21">
        <v>10502</v>
      </c>
      <c r="EN42" s="21">
        <v>11218</v>
      </c>
      <c r="EO42" s="21">
        <v>13636</v>
      </c>
      <c r="EP42" s="21">
        <v>14576</v>
      </c>
      <c r="EQ42" s="21">
        <v>14594</v>
      </c>
      <c r="ER42" s="21">
        <v>14167</v>
      </c>
      <c r="ES42" s="21">
        <v>13920</v>
      </c>
      <c r="ET42" s="21">
        <v>13589</v>
      </c>
      <c r="EU42" s="21">
        <v>12893</v>
      </c>
      <c r="EV42" s="21">
        <v>12021</v>
      </c>
      <c r="EW42" s="21">
        <f t="shared" si="7"/>
        <v>254142</v>
      </c>
      <c r="EX42" s="48">
        <v>22</v>
      </c>
      <c r="EY42" s="21">
        <f t="shared" si="13"/>
        <v>5591124</v>
      </c>
      <c r="EZ42" s="109">
        <f>+SUM(EY42:EY45)</f>
        <v>7617119</v>
      </c>
    </row>
    <row r="43" spans="1:156" x14ac:dyDescent="0.35">
      <c r="A43" s="107"/>
      <c r="B43" s="23" t="s">
        <v>44</v>
      </c>
      <c r="C43" s="21">
        <v>13256</v>
      </c>
      <c r="D43" s="21">
        <v>12534</v>
      </c>
      <c r="E43" s="21">
        <v>12025</v>
      </c>
      <c r="F43" s="21">
        <v>11620</v>
      </c>
      <c r="G43" s="21">
        <v>11456</v>
      </c>
      <c r="H43" s="21">
        <v>11231</v>
      </c>
      <c r="I43" s="21">
        <v>11654</v>
      </c>
      <c r="J43" s="21">
        <v>7065</v>
      </c>
      <c r="K43" s="21">
        <v>8605</v>
      </c>
      <c r="L43" s="21">
        <v>9636</v>
      </c>
      <c r="M43" s="21">
        <v>10377</v>
      </c>
      <c r="N43" s="21">
        <v>10742</v>
      </c>
      <c r="O43" s="21">
        <v>10162</v>
      </c>
      <c r="P43" s="21">
        <v>10190</v>
      </c>
      <c r="Q43" s="21">
        <v>10626</v>
      </c>
      <c r="R43" s="21">
        <v>10526</v>
      </c>
      <c r="S43" s="21">
        <v>10124</v>
      </c>
      <c r="T43" s="21">
        <v>14124</v>
      </c>
      <c r="U43" s="21">
        <v>14722</v>
      </c>
      <c r="V43" s="21">
        <v>14324</v>
      </c>
      <c r="W43" s="21">
        <v>13961</v>
      </c>
      <c r="X43" s="21">
        <v>13553</v>
      </c>
      <c r="Y43" s="21">
        <v>13053</v>
      </c>
      <c r="Z43" s="21">
        <v>12413</v>
      </c>
      <c r="AA43" s="21">
        <f t="shared" si="0"/>
        <v>277979</v>
      </c>
      <c r="AB43" s="22">
        <v>5</v>
      </c>
      <c r="AC43" s="21">
        <f t="shared" si="9"/>
        <v>1389895</v>
      </c>
      <c r="AD43" s="110"/>
      <c r="AF43" s="107"/>
      <c r="AG43" s="23" t="s">
        <v>44</v>
      </c>
      <c r="AH43" s="21">
        <v>9277</v>
      </c>
      <c r="AI43" s="21">
        <v>8771</v>
      </c>
      <c r="AJ43" s="21">
        <v>8383</v>
      </c>
      <c r="AK43" s="21">
        <v>8087</v>
      </c>
      <c r="AL43" s="21">
        <v>7949</v>
      </c>
      <c r="AM43" s="21">
        <v>7764</v>
      </c>
      <c r="AN43" s="21">
        <v>2096</v>
      </c>
      <c r="AO43" s="21">
        <v>3220</v>
      </c>
      <c r="AP43" s="21">
        <v>3012</v>
      </c>
      <c r="AQ43" s="21">
        <v>3358</v>
      </c>
      <c r="AR43" s="21">
        <v>3748</v>
      </c>
      <c r="AS43" s="21">
        <v>3711</v>
      </c>
      <c r="AT43" s="21">
        <v>3489</v>
      </c>
      <c r="AU43" s="21">
        <v>3988</v>
      </c>
      <c r="AV43" s="21">
        <v>5555</v>
      </c>
      <c r="AW43" s="21">
        <v>6818</v>
      </c>
      <c r="AX43" s="21">
        <v>13104</v>
      </c>
      <c r="AY43" s="21">
        <v>11299</v>
      </c>
      <c r="AZ43" s="21">
        <v>11712</v>
      </c>
      <c r="BA43" s="21">
        <v>11389</v>
      </c>
      <c r="BB43" s="21">
        <v>11156</v>
      </c>
      <c r="BC43" s="21">
        <v>10918</v>
      </c>
      <c r="BD43" s="21">
        <v>10593</v>
      </c>
      <c r="BE43" s="21">
        <v>10095</v>
      </c>
      <c r="BF43" s="21">
        <f t="shared" si="2"/>
        <v>179492</v>
      </c>
      <c r="BG43" s="49">
        <v>4</v>
      </c>
      <c r="BH43" s="21">
        <f t="shared" si="10"/>
        <v>717968</v>
      </c>
      <c r="BI43" s="110"/>
      <c r="BK43" s="107"/>
      <c r="BL43" s="23" t="s">
        <v>44</v>
      </c>
      <c r="BM43" s="21">
        <v>18914</v>
      </c>
      <c r="BN43" s="21">
        <v>17916</v>
      </c>
      <c r="BO43" s="21">
        <v>17218</v>
      </c>
      <c r="BP43" s="21">
        <v>16660</v>
      </c>
      <c r="BQ43" s="21">
        <v>16432</v>
      </c>
      <c r="BR43" s="21">
        <v>16099</v>
      </c>
      <c r="BS43" s="21">
        <v>11139</v>
      </c>
      <c r="BT43" s="21">
        <v>9932</v>
      </c>
      <c r="BU43" s="21">
        <v>10499</v>
      </c>
      <c r="BV43" s="21">
        <v>11250</v>
      </c>
      <c r="BW43" s="21">
        <v>11997</v>
      </c>
      <c r="BX43" s="21">
        <v>12068</v>
      </c>
      <c r="BY43" s="21">
        <v>11575</v>
      </c>
      <c r="BZ43" s="21">
        <v>12215</v>
      </c>
      <c r="CA43" s="21">
        <v>14156</v>
      </c>
      <c r="CB43" s="21">
        <v>15542</v>
      </c>
      <c r="CC43" s="21">
        <v>21312</v>
      </c>
      <c r="CD43" s="21">
        <v>23139</v>
      </c>
      <c r="CE43" s="21">
        <v>24074</v>
      </c>
      <c r="CF43" s="21">
        <v>23485</v>
      </c>
      <c r="CG43" s="21">
        <v>22896</v>
      </c>
      <c r="CH43" s="21">
        <v>22249</v>
      </c>
      <c r="CI43" s="21">
        <v>21446</v>
      </c>
      <c r="CJ43" s="21">
        <v>20399</v>
      </c>
      <c r="CK43" s="21">
        <f t="shared" si="4"/>
        <v>402612</v>
      </c>
      <c r="CL43" s="49">
        <v>4</v>
      </c>
      <c r="CM43" s="21">
        <f t="shared" si="11"/>
        <v>1610448</v>
      </c>
      <c r="CN43" s="110"/>
      <c r="CQ43" s="107"/>
      <c r="CR43" s="23" t="s">
        <v>44</v>
      </c>
      <c r="CS43" s="21">
        <v>10775</v>
      </c>
      <c r="CT43" s="21">
        <v>10240</v>
      </c>
      <c r="CU43" s="21">
        <v>9870</v>
      </c>
      <c r="CV43" s="21">
        <v>9572</v>
      </c>
      <c r="CW43" s="21">
        <v>9453</v>
      </c>
      <c r="CX43" s="21">
        <v>9277</v>
      </c>
      <c r="CY43" s="21">
        <v>7054</v>
      </c>
      <c r="CZ43" s="21">
        <v>6500</v>
      </c>
      <c r="DA43" s="21">
        <v>6608</v>
      </c>
      <c r="DB43" s="21">
        <v>7032</v>
      </c>
      <c r="DC43" s="21">
        <v>7438</v>
      </c>
      <c r="DD43" s="21">
        <v>7496</v>
      </c>
      <c r="DE43" s="21">
        <v>7221</v>
      </c>
      <c r="DF43" s="21">
        <v>7525</v>
      </c>
      <c r="DG43" s="21">
        <v>8454</v>
      </c>
      <c r="DH43" s="21">
        <v>9084</v>
      </c>
      <c r="DI43" s="21">
        <v>11694</v>
      </c>
      <c r="DJ43" s="21">
        <v>13159</v>
      </c>
      <c r="DK43" s="21">
        <v>13673</v>
      </c>
      <c r="DL43" s="21">
        <v>13357</v>
      </c>
      <c r="DM43" s="21">
        <v>13030</v>
      </c>
      <c r="DN43" s="21">
        <v>12668</v>
      </c>
      <c r="DO43" s="21">
        <v>12222</v>
      </c>
      <c r="DP43" s="21">
        <v>11652</v>
      </c>
      <c r="DQ43" s="21">
        <f t="shared" si="6"/>
        <v>235054</v>
      </c>
      <c r="DR43" s="49">
        <v>4</v>
      </c>
      <c r="DS43" s="21">
        <f t="shared" si="12"/>
        <v>940216</v>
      </c>
      <c r="DT43" s="110"/>
      <c r="DW43" s="107"/>
      <c r="DX43" s="23" t="s">
        <v>44</v>
      </c>
      <c r="DY43" s="21">
        <v>10704</v>
      </c>
      <c r="DZ43" s="21">
        <v>10173</v>
      </c>
      <c r="EA43" s="21">
        <v>9806</v>
      </c>
      <c r="EB43" s="21">
        <v>9511</v>
      </c>
      <c r="EC43" s="21">
        <v>9392</v>
      </c>
      <c r="ED43" s="21">
        <v>9218</v>
      </c>
      <c r="EE43" s="21">
        <v>7067</v>
      </c>
      <c r="EF43" s="21">
        <v>6570</v>
      </c>
      <c r="EG43" s="21">
        <v>6703</v>
      </c>
      <c r="EH43" s="21">
        <v>7133</v>
      </c>
      <c r="EI43" s="21">
        <v>7539</v>
      </c>
      <c r="EJ43" s="21">
        <v>7603</v>
      </c>
      <c r="EK43" s="21">
        <v>7325</v>
      </c>
      <c r="EL43" s="21">
        <v>7620</v>
      </c>
      <c r="EM43" s="21">
        <v>8527</v>
      </c>
      <c r="EN43" s="21">
        <v>9132</v>
      </c>
      <c r="EO43" s="21">
        <v>11657</v>
      </c>
      <c r="EP43" s="21">
        <v>13054</v>
      </c>
      <c r="EQ43" s="21">
        <v>13564</v>
      </c>
      <c r="ER43" s="21">
        <v>13251</v>
      </c>
      <c r="ES43" s="21">
        <v>12926</v>
      </c>
      <c r="ET43" s="21">
        <v>12567</v>
      </c>
      <c r="EU43" s="21">
        <v>12125</v>
      </c>
      <c r="EV43" s="21">
        <v>11560</v>
      </c>
      <c r="EW43" s="21">
        <f t="shared" si="7"/>
        <v>234727</v>
      </c>
      <c r="EX43" s="49">
        <v>4</v>
      </c>
      <c r="EY43" s="21">
        <f t="shared" si="13"/>
        <v>938908</v>
      </c>
      <c r="EZ43" s="110"/>
    </row>
    <row r="44" spans="1:156" x14ac:dyDescent="0.35">
      <c r="A44" s="107"/>
      <c r="B44" s="23" t="s">
        <v>45</v>
      </c>
      <c r="C44" s="21">
        <v>13570</v>
      </c>
      <c r="D44" s="21">
        <v>12909</v>
      </c>
      <c r="E44" s="21">
        <v>12400</v>
      </c>
      <c r="F44" s="21">
        <v>11970</v>
      </c>
      <c r="G44" s="21">
        <v>11687</v>
      </c>
      <c r="H44" s="21">
        <v>11274</v>
      </c>
      <c r="I44" s="21">
        <v>11439</v>
      </c>
      <c r="J44" s="21">
        <v>5844</v>
      </c>
      <c r="K44" s="21">
        <v>6278</v>
      </c>
      <c r="L44" s="21">
        <v>6885</v>
      </c>
      <c r="M44" s="21">
        <v>7269</v>
      </c>
      <c r="N44" s="21">
        <v>7726</v>
      </c>
      <c r="O44" s="21">
        <v>7817</v>
      </c>
      <c r="P44" s="21">
        <v>7931</v>
      </c>
      <c r="Q44" s="21">
        <v>8197</v>
      </c>
      <c r="R44" s="21">
        <v>8450</v>
      </c>
      <c r="S44" s="21">
        <v>8297</v>
      </c>
      <c r="T44" s="21">
        <v>12869</v>
      </c>
      <c r="U44" s="21">
        <v>13736</v>
      </c>
      <c r="V44" s="21">
        <v>13881</v>
      </c>
      <c r="W44" s="21">
        <v>13947</v>
      </c>
      <c r="X44" s="21">
        <v>13908</v>
      </c>
      <c r="Y44" s="21">
        <v>13341</v>
      </c>
      <c r="Z44" s="21">
        <v>12547</v>
      </c>
      <c r="AA44" s="21">
        <f t="shared" si="0"/>
        <v>254172</v>
      </c>
      <c r="AB44" s="22">
        <v>5</v>
      </c>
      <c r="AC44" s="21">
        <f t="shared" si="9"/>
        <v>1270860</v>
      </c>
      <c r="AD44" s="110"/>
      <c r="AF44" s="107"/>
      <c r="AG44" s="23" t="s">
        <v>45</v>
      </c>
      <c r="AH44" s="21">
        <v>9722</v>
      </c>
      <c r="AI44" s="21">
        <v>9227</v>
      </c>
      <c r="AJ44" s="21">
        <v>8863</v>
      </c>
      <c r="AK44" s="21">
        <v>8557</v>
      </c>
      <c r="AL44" s="21">
        <v>8333</v>
      </c>
      <c r="AM44" s="21">
        <v>8002</v>
      </c>
      <c r="AN44" s="21">
        <v>2160</v>
      </c>
      <c r="AO44" s="21">
        <v>2208</v>
      </c>
      <c r="AP44" s="21">
        <v>851</v>
      </c>
      <c r="AQ44" s="21">
        <v>751</v>
      </c>
      <c r="AR44" s="21">
        <v>777</v>
      </c>
      <c r="AS44" s="21">
        <v>838</v>
      </c>
      <c r="AT44" s="21">
        <v>1198</v>
      </c>
      <c r="AU44" s="21">
        <v>1826</v>
      </c>
      <c r="AV44" s="21">
        <v>3208</v>
      </c>
      <c r="AW44" s="21">
        <v>4861</v>
      </c>
      <c r="AX44" s="21">
        <v>11368</v>
      </c>
      <c r="AY44" s="21">
        <v>10275</v>
      </c>
      <c r="AZ44" s="21">
        <v>10988</v>
      </c>
      <c r="BA44" s="21">
        <v>11151</v>
      </c>
      <c r="BB44" s="21">
        <v>11305</v>
      </c>
      <c r="BC44" s="21">
        <v>11375</v>
      </c>
      <c r="BD44" s="21">
        <v>10952</v>
      </c>
      <c r="BE44" s="21">
        <v>10312</v>
      </c>
      <c r="BF44" s="21">
        <f t="shared" si="2"/>
        <v>159108</v>
      </c>
      <c r="BG44" s="49">
        <v>5</v>
      </c>
      <c r="BH44" s="21">
        <f t="shared" si="10"/>
        <v>795540</v>
      </c>
      <c r="BI44" s="110"/>
      <c r="BK44" s="107"/>
      <c r="BL44" s="23" t="s">
        <v>45</v>
      </c>
      <c r="BM44" s="21">
        <v>19242</v>
      </c>
      <c r="BN44" s="21">
        <v>18316</v>
      </c>
      <c r="BO44" s="21">
        <v>17614</v>
      </c>
      <c r="BP44" s="21">
        <v>17009</v>
      </c>
      <c r="BQ44" s="21">
        <v>16625</v>
      </c>
      <c r="BR44" s="21">
        <v>16050</v>
      </c>
      <c r="BS44" s="21">
        <v>10711</v>
      </c>
      <c r="BT44" s="21">
        <v>8056</v>
      </c>
      <c r="BU44" s="21">
        <v>6935</v>
      </c>
      <c r="BV44" s="21">
        <v>7116</v>
      </c>
      <c r="BW44" s="21">
        <v>7359</v>
      </c>
      <c r="BX44" s="21">
        <v>7570</v>
      </c>
      <c r="BY44" s="21">
        <v>8067</v>
      </c>
      <c r="BZ44" s="21">
        <v>8781</v>
      </c>
      <c r="CA44" s="21">
        <v>10481</v>
      </c>
      <c r="CB44" s="21">
        <v>12428</v>
      </c>
      <c r="CC44" s="21">
        <v>18576</v>
      </c>
      <c r="CD44" s="21">
        <v>21053</v>
      </c>
      <c r="CE44" s="21">
        <v>22454</v>
      </c>
      <c r="CF44" s="21">
        <v>22664</v>
      </c>
      <c r="CG44" s="21">
        <v>22758</v>
      </c>
      <c r="CH44" s="21">
        <v>22664</v>
      </c>
      <c r="CI44" s="21">
        <v>21796</v>
      </c>
      <c r="CJ44" s="21">
        <v>20521</v>
      </c>
      <c r="CK44" s="21">
        <f t="shared" si="4"/>
        <v>364846</v>
      </c>
      <c r="CL44" s="49">
        <v>4</v>
      </c>
      <c r="CM44" s="21">
        <f t="shared" si="11"/>
        <v>1459384</v>
      </c>
      <c r="CN44" s="110"/>
      <c r="CQ44" s="107"/>
      <c r="CR44" s="23" t="s">
        <v>45</v>
      </c>
      <c r="CS44" s="21">
        <v>10917</v>
      </c>
      <c r="CT44" s="21">
        <v>10424</v>
      </c>
      <c r="CU44" s="21">
        <v>10049</v>
      </c>
      <c r="CV44" s="21">
        <v>9725</v>
      </c>
      <c r="CW44" s="21">
        <v>9523</v>
      </c>
      <c r="CX44" s="21">
        <v>9219</v>
      </c>
      <c r="CY44" s="21">
        <v>6792</v>
      </c>
      <c r="CZ44" s="21">
        <v>5463</v>
      </c>
      <c r="DA44" s="21">
        <v>4754</v>
      </c>
      <c r="DB44" s="21">
        <v>4892</v>
      </c>
      <c r="DC44" s="21">
        <v>5042</v>
      </c>
      <c r="DD44" s="21">
        <v>5173</v>
      </c>
      <c r="DE44" s="21">
        <v>5414</v>
      </c>
      <c r="DF44" s="21">
        <v>5748</v>
      </c>
      <c r="DG44" s="21">
        <v>6556</v>
      </c>
      <c r="DH44" s="21">
        <v>7471</v>
      </c>
      <c r="DI44" s="21">
        <v>10279</v>
      </c>
      <c r="DJ44" s="21">
        <v>12028</v>
      </c>
      <c r="DK44" s="21">
        <v>12784</v>
      </c>
      <c r="DL44" s="21">
        <v>12890</v>
      </c>
      <c r="DM44" s="21">
        <v>12927</v>
      </c>
      <c r="DN44" s="21">
        <v>12860</v>
      </c>
      <c r="DO44" s="21">
        <v>12388</v>
      </c>
      <c r="DP44" s="21">
        <v>11698</v>
      </c>
      <c r="DQ44" s="21">
        <f t="shared" si="6"/>
        <v>215016</v>
      </c>
      <c r="DR44" s="49">
        <v>4</v>
      </c>
      <c r="DS44" s="21">
        <f t="shared" si="12"/>
        <v>860064</v>
      </c>
      <c r="DT44" s="110"/>
      <c r="DW44" s="107"/>
      <c r="DX44" s="23" t="s">
        <v>45</v>
      </c>
      <c r="DY44" s="21">
        <v>10846</v>
      </c>
      <c r="DZ44" s="21">
        <v>10356</v>
      </c>
      <c r="EA44" s="21">
        <v>9984</v>
      </c>
      <c r="EB44" s="21">
        <v>9663</v>
      </c>
      <c r="EC44" s="21">
        <v>9462</v>
      </c>
      <c r="ED44" s="21">
        <v>9161</v>
      </c>
      <c r="EE44" s="21">
        <v>6807</v>
      </c>
      <c r="EF44" s="21">
        <v>5541</v>
      </c>
      <c r="EG44" s="21">
        <v>4864</v>
      </c>
      <c r="EH44" s="21">
        <v>5010</v>
      </c>
      <c r="EI44" s="21">
        <v>5163</v>
      </c>
      <c r="EJ44" s="21">
        <v>5297</v>
      </c>
      <c r="EK44" s="21">
        <v>5532</v>
      </c>
      <c r="EL44" s="21">
        <v>5857</v>
      </c>
      <c r="EM44" s="21">
        <v>6643</v>
      </c>
      <c r="EN44" s="21">
        <v>7533</v>
      </c>
      <c r="EO44" s="21">
        <v>10253</v>
      </c>
      <c r="EP44" s="21">
        <v>11932</v>
      </c>
      <c r="EQ44" s="21">
        <v>12682</v>
      </c>
      <c r="ER44" s="21">
        <v>12788</v>
      </c>
      <c r="ES44" s="21">
        <v>12824</v>
      </c>
      <c r="ET44" s="21">
        <v>12758</v>
      </c>
      <c r="EU44" s="21">
        <v>12289</v>
      </c>
      <c r="EV44" s="21">
        <v>11605</v>
      </c>
      <c r="EW44" s="21">
        <f t="shared" si="7"/>
        <v>214850</v>
      </c>
      <c r="EX44" s="49">
        <v>4</v>
      </c>
      <c r="EY44" s="21">
        <f t="shared" si="13"/>
        <v>859400</v>
      </c>
      <c r="EZ44" s="110"/>
    </row>
    <row r="45" spans="1:156" ht="15" thickBot="1" x14ac:dyDescent="0.4">
      <c r="A45" s="108"/>
      <c r="B45" s="24" t="s">
        <v>46</v>
      </c>
      <c r="C45" s="21">
        <v>13374</v>
      </c>
      <c r="D45" s="21">
        <v>12704</v>
      </c>
      <c r="E45" s="21">
        <v>12234</v>
      </c>
      <c r="F45" s="21">
        <v>11907</v>
      </c>
      <c r="G45" s="21">
        <v>11749</v>
      </c>
      <c r="H45" s="21">
        <v>11283</v>
      </c>
      <c r="I45" s="21">
        <v>11426</v>
      </c>
      <c r="J45" s="21">
        <v>6409</v>
      </c>
      <c r="K45" s="21">
        <v>7245</v>
      </c>
      <c r="L45" s="21">
        <v>8149</v>
      </c>
      <c r="M45" s="21">
        <v>8733</v>
      </c>
      <c r="N45" s="21">
        <v>8897</v>
      </c>
      <c r="O45" s="21">
        <v>9065</v>
      </c>
      <c r="P45" s="21">
        <v>9301</v>
      </c>
      <c r="Q45" s="21">
        <v>9789</v>
      </c>
      <c r="R45" s="21">
        <v>9695</v>
      </c>
      <c r="S45" s="21">
        <v>9371</v>
      </c>
      <c r="T45" s="21">
        <v>13617</v>
      </c>
      <c r="U45" s="21">
        <v>14396</v>
      </c>
      <c r="V45" s="21">
        <v>14540</v>
      </c>
      <c r="W45" s="21">
        <v>14528</v>
      </c>
      <c r="X45" s="21">
        <v>14246</v>
      </c>
      <c r="Y45" s="21">
        <v>13473</v>
      </c>
      <c r="Z45" s="21">
        <v>12529</v>
      </c>
      <c r="AA45" s="21">
        <f t="shared" si="0"/>
        <v>268660</v>
      </c>
      <c r="AB45" s="22">
        <v>1</v>
      </c>
      <c r="AC45" s="21">
        <f t="shared" si="9"/>
        <v>268660</v>
      </c>
      <c r="AD45" s="111"/>
      <c r="AF45" s="108"/>
      <c r="AG45" s="24" t="s">
        <v>46</v>
      </c>
      <c r="AH45" s="21">
        <v>9489</v>
      </c>
      <c r="AI45" s="21">
        <v>8951</v>
      </c>
      <c r="AJ45" s="21">
        <v>8601</v>
      </c>
      <c r="AK45" s="21">
        <v>8368</v>
      </c>
      <c r="AL45" s="21">
        <v>8228</v>
      </c>
      <c r="AM45" s="21">
        <v>7841</v>
      </c>
      <c r="AN45" s="21">
        <v>1931</v>
      </c>
      <c r="AO45" s="21">
        <v>2670</v>
      </c>
      <c r="AP45" s="21">
        <v>1765</v>
      </c>
      <c r="AQ45" s="21">
        <v>2011</v>
      </c>
      <c r="AR45" s="21">
        <v>2186</v>
      </c>
      <c r="AS45" s="21">
        <v>1846</v>
      </c>
      <c r="AT45" s="21">
        <v>2480</v>
      </c>
      <c r="AU45" s="21">
        <v>3255</v>
      </c>
      <c r="AV45" s="21">
        <v>4913</v>
      </c>
      <c r="AW45" s="21">
        <v>6094</v>
      </c>
      <c r="AX45" s="21">
        <v>12383</v>
      </c>
      <c r="AY45" s="21">
        <v>10879</v>
      </c>
      <c r="AZ45" s="21">
        <v>11570</v>
      </c>
      <c r="BA45" s="21">
        <v>11751</v>
      </c>
      <c r="BB45" s="21">
        <v>11883</v>
      </c>
      <c r="BC45" s="21">
        <v>11848</v>
      </c>
      <c r="BD45" s="21">
        <v>11276</v>
      </c>
      <c r="BE45" s="21">
        <v>10510</v>
      </c>
      <c r="BF45" s="21">
        <f t="shared" si="2"/>
        <v>172729</v>
      </c>
      <c r="BG45" s="50">
        <v>1</v>
      </c>
      <c r="BH45" s="21">
        <f t="shared" si="10"/>
        <v>172729</v>
      </c>
      <c r="BI45" s="111"/>
      <c r="BK45" s="108"/>
      <c r="BL45" s="24" t="s">
        <v>46</v>
      </c>
      <c r="BM45" s="21">
        <v>19015</v>
      </c>
      <c r="BN45" s="21">
        <v>18065</v>
      </c>
      <c r="BO45" s="21">
        <v>17383</v>
      </c>
      <c r="BP45" s="21">
        <v>16875</v>
      </c>
      <c r="BQ45" s="21">
        <v>16638</v>
      </c>
      <c r="BR45" s="21">
        <v>15955</v>
      </c>
      <c r="BS45" s="21">
        <v>10664</v>
      </c>
      <c r="BT45" s="21">
        <v>8847</v>
      </c>
      <c r="BU45" s="21">
        <v>8365</v>
      </c>
      <c r="BV45" s="21">
        <v>8964</v>
      </c>
      <c r="BW45" s="21">
        <v>9497</v>
      </c>
      <c r="BX45" s="21">
        <v>9336</v>
      </c>
      <c r="BY45" s="21">
        <v>9905</v>
      </c>
      <c r="BZ45" s="21">
        <v>10869</v>
      </c>
      <c r="CA45" s="21">
        <v>12890</v>
      </c>
      <c r="CB45" s="21">
        <v>14375</v>
      </c>
      <c r="CC45" s="21">
        <v>20284</v>
      </c>
      <c r="CD45" s="21">
        <v>22340</v>
      </c>
      <c r="CE45" s="21">
        <v>23704</v>
      </c>
      <c r="CF45" s="21">
        <v>24081</v>
      </c>
      <c r="CG45" s="21">
        <v>24062</v>
      </c>
      <c r="CH45" s="21">
        <v>23714</v>
      </c>
      <c r="CI45" s="21">
        <v>22544</v>
      </c>
      <c r="CJ45" s="21">
        <v>20948</v>
      </c>
      <c r="CK45" s="21">
        <f t="shared" si="4"/>
        <v>389320</v>
      </c>
      <c r="CL45" s="50">
        <v>1</v>
      </c>
      <c r="CM45" s="21">
        <f t="shared" si="11"/>
        <v>389320</v>
      </c>
      <c r="CN45" s="111"/>
      <c r="CQ45" s="108"/>
      <c r="CR45" s="24" t="s">
        <v>46</v>
      </c>
      <c r="CS45" s="21">
        <v>10810</v>
      </c>
      <c r="CT45" s="21">
        <v>10308</v>
      </c>
      <c r="CU45" s="21">
        <v>9944</v>
      </c>
      <c r="CV45" s="21">
        <v>9669</v>
      </c>
      <c r="CW45" s="21">
        <v>9545</v>
      </c>
      <c r="CX45" s="21">
        <v>9185</v>
      </c>
      <c r="CY45" s="21">
        <v>6793</v>
      </c>
      <c r="CZ45" s="21">
        <v>5896</v>
      </c>
      <c r="DA45" s="21">
        <v>5493</v>
      </c>
      <c r="DB45" s="21">
        <v>5838</v>
      </c>
      <c r="DC45" s="21">
        <v>6142</v>
      </c>
      <c r="DD45" s="21">
        <v>6099</v>
      </c>
      <c r="DE45" s="21">
        <v>6351</v>
      </c>
      <c r="DF45" s="21">
        <v>6815</v>
      </c>
      <c r="DG45" s="21">
        <v>7781</v>
      </c>
      <c r="DH45" s="21">
        <v>8477</v>
      </c>
      <c r="DI45" s="21">
        <v>11169</v>
      </c>
      <c r="DJ45" s="21">
        <v>12729</v>
      </c>
      <c r="DK45" s="21">
        <v>13464</v>
      </c>
      <c r="DL45" s="21">
        <v>13668</v>
      </c>
      <c r="DM45" s="21">
        <v>13638</v>
      </c>
      <c r="DN45" s="21">
        <v>13429</v>
      </c>
      <c r="DO45" s="21">
        <v>12793</v>
      </c>
      <c r="DP45" s="21">
        <v>11926</v>
      </c>
      <c r="DQ45" s="21">
        <f t="shared" si="6"/>
        <v>227962</v>
      </c>
      <c r="DR45" s="50">
        <v>1</v>
      </c>
      <c r="DS45" s="21">
        <f t="shared" si="12"/>
        <v>227962</v>
      </c>
      <c r="DT45" s="111"/>
      <c r="DW45" s="108"/>
      <c r="DX45" s="24" t="s">
        <v>46</v>
      </c>
      <c r="DY45" s="21">
        <v>10738</v>
      </c>
      <c r="DZ45" s="21">
        <v>10241</v>
      </c>
      <c r="EA45" s="21">
        <v>9880</v>
      </c>
      <c r="EB45" s="21">
        <v>9607</v>
      </c>
      <c r="EC45" s="21">
        <v>9484</v>
      </c>
      <c r="ED45" s="21">
        <v>9127</v>
      </c>
      <c r="EE45" s="21">
        <v>6809</v>
      </c>
      <c r="EF45" s="21">
        <v>5970</v>
      </c>
      <c r="EG45" s="21">
        <v>5597</v>
      </c>
      <c r="EH45" s="21">
        <v>5948</v>
      </c>
      <c r="EI45" s="21">
        <v>6254</v>
      </c>
      <c r="EJ45" s="21">
        <v>6216</v>
      </c>
      <c r="EK45" s="21">
        <v>6462</v>
      </c>
      <c r="EL45" s="21">
        <v>6915</v>
      </c>
      <c r="EM45" s="21">
        <v>7858</v>
      </c>
      <c r="EN45" s="21">
        <v>8530</v>
      </c>
      <c r="EO45" s="21">
        <v>11136</v>
      </c>
      <c r="EP45" s="21">
        <v>12628</v>
      </c>
      <c r="EQ45" s="21">
        <v>13357</v>
      </c>
      <c r="ER45" s="21">
        <v>13558</v>
      </c>
      <c r="ES45" s="21">
        <v>13529</v>
      </c>
      <c r="ET45" s="21">
        <v>13322</v>
      </c>
      <c r="EU45" s="21">
        <v>12691</v>
      </c>
      <c r="EV45" s="21">
        <v>11830</v>
      </c>
      <c r="EW45" s="21">
        <f t="shared" si="7"/>
        <v>227687</v>
      </c>
      <c r="EX45" s="50">
        <v>1</v>
      </c>
      <c r="EY45" s="21">
        <f t="shared" si="13"/>
        <v>227687</v>
      </c>
      <c r="EZ45" s="111"/>
    </row>
    <row r="46" spans="1:156" x14ac:dyDescent="0.35">
      <c r="A46" s="106">
        <v>46692</v>
      </c>
      <c r="B46" s="19" t="s">
        <v>43</v>
      </c>
      <c r="C46" s="21">
        <v>13460</v>
      </c>
      <c r="D46" s="21">
        <v>12758</v>
      </c>
      <c r="E46" s="21">
        <v>12267</v>
      </c>
      <c r="F46" s="21">
        <v>11949</v>
      </c>
      <c r="G46" s="21">
        <v>11918</v>
      </c>
      <c r="H46" s="21">
        <v>12034</v>
      </c>
      <c r="I46" s="21">
        <v>12685</v>
      </c>
      <c r="J46" s="21">
        <v>8365</v>
      </c>
      <c r="K46" s="21">
        <v>9849</v>
      </c>
      <c r="L46" s="21">
        <v>10808</v>
      </c>
      <c r="M46" s="21">
        <v>11650</v>
      </c>
      <c r="N46" s="21">
        <v>12010</v>
      </c>
      <c r="O46" s="21">
        <v>10833</v>
      </c>
      <c r="P46" s="21">
        <v>11999</v>
      </c>
      <c r="Q46" s="21">
        <v>13336</v>
      </c>
      <c r="R46" s="21">
        <v>13498</v>
      </c>
      <c r="S46" s="21">
        <v>12956</v>
      </c>
      <c r="T46" s="21">
        <v>16416</v>
      </c>
      <c r="U46" s="21">
        <v>16311</v>
      </c>
      <c r="V46" s="21">
        <v>15699</v>
      </c>
      <c r="W46" s="21">
        <v>15359</v>
      </c>
      <c r="X46" s="21">
        <v>14834</v>
      </c>
      <c r="Y46" s="21">
        <v>13941</v>
      </c>
      <c r="Z46" s="21">
        <v>12877</v>
      </c>
      <c r="AA46" s="21">
        <f t="shared" si="0"/>
        <v>307812</v>
      </c>
      <c r="AB46" s="22">
        <v>20</v>
      </c>
      <c r="AC46" s="21">
        <f t="shared" si="9"/>
        <v>6156240</v>
      </c>
      <c r="AD46" s="109">
        <f>+SUM(AC46:AC49)</f>
        <v>8906952</v>
      </c>
      <c r="AF46" s="106">
        <v>47058</v>
      </c>
      <c r="AG46" s="19" t="s">
        <v>43</v>
      </c>
      <c r="AH46" s="21">
        <v>9642</v>
      </c>
      <c r="AI46" s="21">
        <v>9122</v>
      </c>
      <c r="AJ46" s="21">
        <v>8758</v>
      </c>
      <c r="AK46" s="21">
        <v>8502</v>
      </c>
      <c r="AL46" s="21">
        <v>8455</v>
      </c>
      <c r="AM46" s="21">
        <v>8466</v>
      </c>
      <c r="AN46" s="21">
        <v>2954</v>
      </c>
      <c r="AO46" s="21">
        <v>4497</v>
      </c>
      <c r="AP46" s="21">
        <v>4191</v>
      </c>
      <c r="AQ46" s="21">
        <v>4445</v>
      </c>
      <c r="AR46" s="21">
        <v>4943</v>
      </c>
      <c r="AS46" s="21">
        <v>4883</v>
      </c>
      <c r="AT46" s="21">
        <v>4140</v>
      </c>
      <c r="AU46" s="21">
        <v>5790</v>
      </c>
      <c r="AV46" s="21">
        <v>8196</v>
      </c>
      <c r="AW46" s="21">
        <v>9769</v>
      </c>
      <c r="AX46" s="21">
        <v>15940</v>
      </c>
      <c r="AY46" s="21">
        <v>13367</v>
      </c>
      <c r="AZ46" s="21">
        <v>13261</v>
      </c>
      <c r="BA46" s="21">
        <v>12818</v>
      </c>
      <c r="BB46" s="21">
        <v>12621</v>
      </c>
      <c r="BC46" s="21">
        <v>12246</v>
      </c>
      <c r="BD46" s="21">
        <v>11559</v>
      </c>
      <c r="BE46" s="21">
        <v>10715</v>
      </c>
      <c r="BF46" s="21">
        <f t="shared" si="2"/>
        <v>209280</v>
      </c>
      <c r="BG46" s="48">
        <v>20</v>
      </c>
      <c r="BH46" s="21">
        <f t="shared" si="10"/>
        <v>4185600</v>
      </c>
      <c r="BI46" s="109">
        <f>+SUM(BH46:BH49)</f>
        <v>5963762</v>
      </c>
      <c r="BK46" s="106">
        <v>47423</v>
      </c>
      <c r="BL46" s="19" t="s">
        <v>43</v>
      </c>
      <c r="BM46" s="21">
        <v>19239</v>
      </c>
      <c r="BN46" s="21">
        <v>18259</v>
      </c>
      <c r="BO46" s="21">
        <v>17566</v>
      </c>
      <c r="BP46" s="21">
        <v>17118</v>
      </c>
      <c r="BQ46" s="21">
        <v>17063</v>
      </c>
      <c r="BR46" s="21">
        <v>17185</v>
      </c>
      <c r="BS46" s="21">
        <v>12565</v>
      </c>
      <c r="BT46" s="21">
        <v>11765</v>
      </c>
      <c r="BU46" s="21">
        <v>12239</v>
      </c>
      <c r="BV46" s="21">
        <v>12892</v>
      </c>
      <c r="BW46" s="21">
        <v>13778</v>
      </c>
      <c r="BX46" s="21">
        <v>13860</v>
      </c>
      <c r="BY46" s="21">
        <v>12543</v>
      </c>
      <c r="BZ46" s="21">
        <v>14816</v>
      </c>
      <c r="CA46" s="21">
        <v>18102</v>
      </c>
      <c r="CB46" s="21">
        <v>19956</v>
      </c>
      <c r="CC46" s="21">
        <v>25619</v>
      </c>
      <c r="CD46" s="21">
        <v>26831</v>
      </c>
      <c r="CE46" s="21">
        <v>26775</v>
      </c>
      <c r="CF46" s="21">
        <v>25845</v>
      </c>
      <c r="CG46" s="21">
        <v>25267</v>
      </c>
      <c r="CH46" s="21">
        <v>24403</v>
      </c>
      <c r="CI46" s="21">
        <v>22995</v>
      </c>
      <c r="CJ46" s="21">
        <v>21289</v>
      </c>
      <c r="CK46" s="21">
        <f t="shared" si="4"/>
        <v>447970</v>
      </c>
      <c r="CL46" s="48">
        <v>20</v>
      </c>
      <c r="CM46" s="21">
        <f t="shared" si="11"/>
        <v>8959400</v>
      </c>
      <c r="CN46" s="109">
        <f>+SUM(CM46:CM49)</f>
        <v>12963566</v>
      </c>
      <c r="CQ46" s="106">
        <v>47788</v>
      </c>
      <c r="CR46" s="19" t="s">
        <v>43</v>
      </c>
      <c r="CS46" s="21">
        <v>10937</v>
      </c>
      <c r="CT46" s="21">
        <v>10414</v>
      </c>
      <c r="CU46" s="21">
        <v>10044</v>
      </c>
      <c r="CV46" s="21">
        <v>9807</v>
      </c>
      <c r="CW46" s="21">
        <v>9781</v>
      </c>
      <c r="CX46" s="21">
        <v>9853</v>
      </c>
      <c r="CY46" s="21">
        <v>7815</v>
      </c>
      <c r="CZ46" s="21">
        <v>7479</v>
      </c>
      <c r="DA46" s="21">
        <v>7517</v>
      </c>
      <c r="DB46" s="21">
        <v>7895</v>
      </c>
      <c r="DC46" s="21">
        <v>8371</v>
      </c>
      <c r="DD46" s="21">
        <v>8440</v>
      </c>
      <c r="DE46" s="21">
        <v>7735</v>
      </c>
      <c r="DF46" s="21">
        <v>8872</v>
      </c>
      <c r="DG46" s="21">
        <v>10499</v>
      </c>
      <c r="DH46" s="21">
        <v>11367</v>
      </c>
      <c r="DI46" s="21">
        <v>13925</v>
      </c>
      <c r="DJ46" s="21">
        <v>15144</v>
      </c>
      <c r="DK46" s="21">
        <v>15123</v>
      </c>
      <c r="DL46" s="21">
        <v>14615</v>
      </c>
      <c r="DM46" s="21">
        <v>14290</v>
      </c>
      <c r="DN46" s="21">
        <v>13814</v>
      </c>
      <c r="DO46" s="21">
        <v>13048</v>
      </c>
      <c r="DP46" s="21">
        <v>12121</v>
      </c>
      <c r="DQ46" s="21">
        <f t="shared" si="6"/>
        <v>258906</v>
      </c>
      <c r="DR46" s="48">
        <v>19</v>
      </c>
      <c r="DS46" s="21">
        <f t="shared" si="12"/>
        <v>4919214</v>
      </c>
      <c r="DT46" s="109">
        <f>+SUM(DS46:DS49)</f>
        <v>7508937</v>
      </c>
      <c r="DW46" s="106">
        <v>48153</v>
      </c>
      <c r="DX46" s="19" t="s">
        <v>43</v>
      </c>
      <c r="DY46" s="21">
        <v>10911</v>
      </c>
      <c r="DZ46" s="21">
        <v>10391</v>
      </c>
      <c r="EA46" s="21">
        <v>10022</v>
      </c>
      <c r="EB46" s="21">
        <v>9786</v>
      </c>
      <c r="EC46" s="21">
        <v>9760</v>
      </c>
      <c r="ED46" s="21">
        <v>9832</v>
      </c>
      <c r="EE46" s="21">
        <v>7867</v>
      </c>
      <c r="EF46" s="21">
        <v>7593</v>
      </c>
      <c r="EG46" s="21">
        <v>7664</v>
      </c>
      <c r="EH46" s="21">
        <v>8051</v>
      </c>
      <c r="EI46" s="21">
        <v>8530</v>
      </c>
      <c r="EJ46" s="21">
        <v>8605</v>
      </c>
      <c r="EK46" s="21">
        <v>7897</v>
      </c>
      <c r="EL46" s="21">
        <v>9022</v>
      </c>
      <c r="EM46" s="21">
        <v>10624</v>
      </c>
      <c r="EN46" s="21">
        <v>11465</v>
      </c>
      <c r="EO46" s="21">
        <v>13935</v>
      </c>
      <c r="EP46" s="21">
        <v>15085</v>
      </c>
      <c r="EQ46" s="21">
        <v>15064</v>
      </c>
      <c r="ER46" s="21">
        <v>14557</v>
      </c>
      <c r="ES46" s="21">
        <v>14233</v>
      </c>
      <c r="ET46" s="21">
        <v>13760</v>
      </c>
      <c r="EU46" s="21">
        <v>12997</v>
      </c>
      <c r="EV46" s="21">
        <v>12074</v>
      </c>
      <c r="EW46" s="21">
        <f t="shared" si="7"/>
        <v>259725</v>
      </c>
      <c r="EX46" s="48">
        <v>18</v>
      </c>
      <c r="EY46" s="21">
        <f t="shared" si="13"/>
        <v>4675050</v>
      </c>
      <c r="EZ46" s="109">
        <f>+SUM(EY46:EY49)</f>
        <v>7499040</v>
      </c>
    </row>
    <row r="47" spans="1:156" x14ac:dyDescent="0.35">
      <c r="A47" s="107"/>
      <c r="B47" s="23" t="s">
        <v>44</v>
      </c>
      <c r="C47" s="21">
        <v>13698</v>
      </c>
      <c r="D47" s="21">
        <v>12997</v>
      </c>
      <c r="E47" s="21">
        <v>12488</v>
      </c>
      <c r="F47" s="21">
        <v>12097</v>
      </c>
      <c r="G47" s="21">
        <v>11941</v>
      </c>
      <c r="H47" s="21">
        <v>11770</v>
      </c>
      <c r="I47" s="21">
        <v>12257</v>
      </c>
      <c r="J47" s="21">
        <v>7835</v>
      </c>
      <c r="K47" s="21">
        <v>9437</v>
      </c>
      <c r="L47" s="21">
        <v>10557</v>
      </c>
      <c r="M47" s="21">
        <v>11191</v>
      </c>
      <c r="N47" s="21">
        <v>11518</v>
      </c>
      <c r="O47" s="21">
        <v>10772</v>
      </c>
      <c r="P47" s="21">
        <v>10768</v>
      </c>
      <c r="Q47" s="21">
        <v>11122</v>
      </c>
      <c r="R47" s="21">
        <v>11007</v>
      </c>
      <c r="S47" s="21">
        <v>10568</v>
      </c>
      <c r="T47" s="21">
        <v>14717</v>
      </c>
      <c r="U47" s="21">
        <v>15139</v>
      </c>
      <c r="V47" s="21">
        <v>14683</v>
      </c>
      <c r="W47" s="21">
        <v>14224</v>
      </c>
      <c r="X47" s="21">
        <v>13691</v>
      </c>
      <c r="Y47" s="21">
        <v>13179</v>
      </c>
      <c r="Z47" s="21">
        <v>12517</v>
      </c>
      <c r="AA47" s="21">
        <f t="shared" si="0"/>
        <v>290173</v>
      </c>
      <c r="AB47" s="22">
        <v>4</v>
      </c>
      <c r="AC47" s="21">
        <f t="shared" si="9"/>
        <v>1160692</v>
      </c>
      <c r="AD47" s="110"/>
      <c r="AF47" s="107"/>
      <c r="AG47" s="23" t="s">
        <v>44</v>
      </c>
      <c r="AH47" s="21">
        <v>9779</v>
      </c>
      <c r="AI47" s="21">
        <v>9252</v>
      </c>
      <c r="AJ47" s="21">
        <v>8872</v>
      </c>
      <c r="AK47" s="21">
        <v>8597</v>
      </c>
      <c r="AL47" s="21">
        <v>8476</v>
      </c>
      <c r="AM47" s="21">
        <v>8326</v>
      </c>
      <c r="AN47" s="21">
        <v>2674</v>
      </c>
      <c r="AO47" s="21">
        <v>3992</v>
      </c>
      <c r="AP47" s="21">
        <v>3750</v>
      </c>
      <c r="AQ47" s="21">
        <v>4135</v>
      </c>
      <c r="AR47" s="21">
        <v>4351</v>
      </c>
      <c r="AS47" s="21">
        <v>4272</v>
      </c>
      <c r="AT47" s="21">
        <v>3902</v>
      </c>
      <c r="AU47" s="21">
        <v>4457</v>
      </c>
      <c r="AV47" s="21">
        <v>6005</v>
      </c>
      <c r="AW47" s="21">
        <v>7332</v>
      </c>
      <c r="AX47" s="21">
        <v>13615</v>
      </c>
      <c r="AY47" s="21">
        <v>11907</v>
      </c>
      <c r="AZ47" s="21">
        <v>12297</v>
      </c>
      <c r="BA47" s="21">
        <v>11921</v>
      </c>
      <c r="BB47" s="21">
        <v>11553</v>
      </c>
      <c r="BC47" s="21">
        <v>11187</v>
      </c>
      <c r="BD47" s="21">
        <v>10841</v>
      </c>
      <c r="BE47" s="21">
        <v>10306</v>
      </c>
      <c r="BF47" s="21">
        <f t="shared" si="2"/>
        <v>191799</v>
      </c>
      <c r="BG47" s="49">
        <v>4</v>
      </c>
      <c r="BH47" s="21">
        <f t="shared" si="10"/>
        <v>767196</v>
      </c>
      <c r="BI47" s="110"/>
      <c r="BK47" s="107"/>
      <c r="BL47" s="23" t="s">
        <v>44</v>
      </c>
      <c r="BM47" s="21">
        <v>19605</v>
      </c>
      <c r="BN47" s="21">
        <v>18612</v>
      </c>
      <c r="BO47" s="21">
        <v>17904</v>
      </c>
      <c r="BP47" s="21">
        <v>17339</v>
      </c>
      <c r="BQ47" s="21">
        <v>17128</v>
      </c>
      <c r="BR47" s="21">
        <v>16870</v>
      </c>
      <c r="BS47" s="21">
        <v>12001</v>
      </c>
      <c r="BT47" s="21">
        <v>11037</v>
      </c>
      <c r="BU47" s="21">
        <v>11663</v>
      </c>
      <c r="BV47" s="21">
        <v>12555</v>
      </c>
      <c r="BW47" s="21">
        <v>13153</v>
      </c>
      <c r="BX47" s="21">
        <v>13168</v>
      </c>
      <c r="BY47" s="21">
        <v>12480</v>
      </c>
      <c r="BZ47" s="21">
        <v>13134</v>
      </c>
      <c r="CA47" s="21">
        <v>15040</v>
      </c>
      <c r="CB47" s="21">
        <v>16536</v>
      </c>
      <c r="CC47" s="21">
        <v>22324</v>
      </c>
      <c r="CD47" s="21">
        <v>24398</v>
      </c>
      <c r="CE47" s="21">
        <v>25156</v>
      </c>
      <c r="CF47" s="21">
        <v>24459</v>
      </c>
      <c r="CG47" s="21">
        <v>23731</v>
      </c>
      <c r="CH47" s="21">
        <v>22899</v>
      </c>
      <c r="CI47" s="21">
        <v>22031</v>
      </c>
      <c r="CJ47" s="21">
        <v>20982</v>
      </c>
      <c r="CK47" s="21">
        <f t="shared" si="4"/>
        <v>424205</v>
      </c>
      <c r="CL47" s="49">
        <v>4</v>
      </c>
      <c r="CM47" s="21">
        <f t="shared" si="11"/>
        <v>1696820</v>
      </c>
      <c r="CN47" s="110"/>
      <c r="CQ47" s="107"/>
      <c r="CR47" s="23" t="s">
        <v>44</v>
      </c>
      <c r="CS47" s="21">
        <v>11139</v>
      </c>
      <c r="CT47" s="21">
        <v>10610</v>
      </c>
      <c r="CU47" s="21">
        <v>10232</v>
      </c>
      <c r="CV47" s="21">
        <v>9928</v>
      </c>
      <c r="CW47" s="21">
        <v>9816</v>
      </c>
      <c r="CX47" s="21">
        <v>9681</v>
      </c>
      <c r="CY47" s="21">
        <v>7511</v>
      </c>
      <c r="CZ47" s="21">
        <v>7094</v>
      </c>
      <c r="DA47" s="21">
        <v>7228</v>
      </c>
      <c r="DB47" s="21">
        <v>7732</v>
      </c>
      <c r="DC47" s="21">
        <v>8071</v>
      </c>
      <c r="DD47" s="21">
        <v>8102</v>
      </c>
      <c r="DE47" s="21">
        <v>7726</v>
      </c>
      <c r="DF47" s="21">
        <v>8031</v>
      </c>
      <c r="DG47" s="21">
        <v>8940</v>
      </c>
      <c r="DH47" s="21">
        <v>9624</v>
      </c>
      <c r="DI47" s="21">
        <v>12244</v>
      </c>
      <c r="DJ47" s="21">
        <v>13855</v>
      </c>
      <c r="DK47" s="21">
        <v>14264</v>
      </c>
      <c r="DL47" s="21">
        <v>13889</v>
      </c>
      <c r="DM47" s="21">
        <v>13495</v>
      </c>
      <c r="DN47" s="21">
        <v>13036</v>
      </c>
      <c r="DO47" s="21">
        <v>12554</v>
      </c>
      <c r="DP47" s="21">
        <v>11987</v>
      </c>
      <c r="DQ47" s="21">
        <f t="shared" si="6"/>
        <v>246789</v>
      </c>
      <c r="DR47" s="49">
        <v>5</v>
      </c>
      <c r="DS47" s="21">
        <f t="shared" si="12"/>
        <v>1233945</v>
      </c>
      <c r="DT47" s="110"/>
      <c r="DW47" s="107"/>
      <c r="DX47" s="23" t="s">
        <v>44</v>
      </c>
      <c r="DY47" s="21">
        <v>11112</v>
      </c>
      <c r="DZ47" s="21">
        <v>10586</v>
      </c>
      <c r="EA47" s="21">
        <v>10209</v>
      </c>
      <c r="EB47" s="21">
        <v>9907</v>
      </c>
      <c r="EC47" s="21">
        <v>9795</v>
      </c>
      <c r="ED47" s="21">
        <v>9660</v>
      </c>
      <c r="EE47" s="21">
        <v>7564</v>
      </c>
      <c r="EF47" s="21">
        <v>7210</v>
      </c>
      <c r="EG47" s="21">
        <v>7375</v>
      </c>
      <c r="EH47" s="21">
        <v>7888</v>
      </c>
      <c r="EI47" s="21">
        <v>8231</v>
      </c>
      <c r="EJ47" s="21">
        <v>8268</v>
      </c>
      <c r="EK47" s="21">
        <v>7888</v>
      </c>
      <c r="EL47" s="21">
        <v>8184</v>
      </c>
      <c r="EM47" s="21">
        <v>9071</v>
      </c>
      <c r="EN47" s="21">
        <v>9729</v>
      </c>
      <c r="EO47" s="21">
        <v>12260</v>
      </c>
      <c r="EP47" s="21">
        <v>13800</v>
      </c>
      <c r="EQ47" s="21">
        <v>14207</v>
      </c>
      <c r="ER47" s="21">
        <v>13834</v>
      </c>
      <c r="ES47" s="21">
        <v>13441</v>
      </c>
      <c r="ET47" s="21">
        <v>12985</v>
      </c>
      <c r="EU47" s="21">
        <v>12505</v>
      </c>
      <c r="EV47" s="21">
        <v>11940</v>
      </c>
      <c r="EW47" s="21">
        <f t="shared" si="7"/>
        <v>247649</v>
      </c>
      <c r="EX47" s="49">
        <v>5</v>
      </c>
      <c r="EY47" s="21">
        <f t="shared" si="13"/>
        <v>1238245</v>
      </c>
      <c r="EZ47" s="110"/>
    </row>
    <row r="48" spans="1:156" x14ac:dyDescent="0.35">
      <c r="A48" s="107"/>
      <c r="B48" s="23" t="s">
        <v>45</v>
      </c>
      <c r="C48" s="21">
        <v>13432</v>
      </c>
      <c r="D48" s="21">
        <v>12790</v>
      </c>
      <c r="E48" s="21">
        <v>12321</v>
      </c>
      <c r="F48" s="21">
        <v>11924</v>
      </c>
      <c r="G48" s="21">
        <v>11678</v>
      </c>
      <c r="H48" s="21">
        <v>11363</v>
      </c>
      <c r="I48" s="21">
        <v>11583</v>
      </c>
      <c r="J48" s="21">
        <v>6247</v>
      </c>
      <c r="K48" s="21">
        <v>6912</v>
      </c>
      <c r="L48" s="21">
        <v>7554</v>
      </c>
      <c r="M48" s="21">
        <v>8109</v>
      </c>
      <c r="N48" s="21">
        <v>8458</v>
      </c>
      <c r="O48" s="21">
        <v>8584</v>
      </c>
      <c r="P48" s="21">
        <v>8612</v>
      </c>
      <c r="Q48" s="21">
        <v>8787</v>
      </c>
      <c r="R48" s="21">
        <v>8752</v>
      </c>
      <c r="S48" s="21">
        <v>8556</v>
      </c>
      <c r="T48" s="21">
        <v>13373</v>
      </c>
      <c r="U48" s="21">
        <v>14017</v>
      </c>
      <c r="V48" s="21">
        <v>14016</v>
      </c>
      <c r="W48" s="21">
        <v>13859</v>
      </c>
      <c r="X48" s="21">
        <v>13646</v>
      </c>
      <c r="Y48" s="21">
        <v>13154</v>
      </c>
      <c r="Z48" s="21">
        <v>12382</v>
      </c>
      <c r="AA48" s="21">
        <f t="shared" si="0"/>
        <v>260109</v>
      </c>
      <c r="AB48" s="22">
        <v>4</v>
      </c>
      <c r="AC48" s="21">
        <f t="shared" si="9"/>
        <v>1040436</v>
      </c>
      <c r="AD48" s="110"/>
      <c r="AF48" s="107"/>
      <c r="AG48" s="23" t="s">
        <v>45</v>
      </c>
      <c r="AH48" s="21">
        <v>9493</v>
      </c>
      <c r="AI48" s="21">
        <v>9037</v>
      </c>
      <c r="AJ48" s="21">
        <v>8705</v>
      </c>
      <c r="AK48" s="21">
        <v>8393</v>
      </c>
      <c r="AL48" s="21">
        <v>8214</v>
      </c>
      <c r="AM48" s="21">
        <v>7960</v>
      </c>
      <c r="AN48" s="21">
        <v>2152</v>
      </c>
      <c r="AO48" s="21">
        <v>2509</v>
      </c>
      <c r="AP48" s="21">
        <v>1323</v>
      </c>
      <c r="AQ48" s="21">
        <v>1232</v>
      </c>
      <c r="AR48" s="21">
        <v>1482</v>
      </c>
      <c r="AS48" s="21">
        <v>1378</v>
      </c>
      <c r="AT48" s="21">
        <v>1836</v>
      </c>
      <c r="AU48" s="21">
        <v>2402</v>
      </c>
      <c r="AV48" s="21">
        <v>3779</v>
      </c>
      <c r="AW48" s="21">
        <v>5213</v>
      </c>
      <c r="AX48" s="21">
        <v>11697</v>
      </c>
      <c r="AY48" s="21">
        <v>10793</v>
      </c>
      <c r="AZ48" s="21">
        <v>11305</v>
      </c>
      <c r="BA48" s="21">
        <v>11343</v>
      </c>
      <c r="BB48" s="21">
        <v>11254</v>
      </c>
      <c r="BC48" s="21">
        <v>11117</v>
      </c>
      <c r="BD48" s="21">
        <v>10778</v>
      </c>
      <c r="BE48" s="21">
        <v>10168</v>
      </c>
      <c r="BF48" s="21">
        <f t="shared" si="2"/>
        <v>163563</v>
      </c>
      <c r="BG48" s="49">
        <v>4</v>
      </c>
      <c r="BH48" s="21">
        <f t="shared" si="10"/>
        <v>654252</v>
      </c>
      <c r="BI48" s="110"/>
      <c r="BK48" s="107"/>
      <c r="BL48" s="23" t="s">
        <v>45</v>
      </c>
      <c r="BM48" s="21">
        <v>19360</v>
      </c>
      <c r="BN48" s="21">
        <v>18436</v>
      </c>
      <c r="BO48" s="21">
        <v>17730</v>
      </c>
      <c r="BP48" s="21">
        <v>17170</v>
      </c>
      <c r="BQ48" s="21">
        <v>16822</v>
      </c>
      <c r="BR48" s="21">
        <v>16362</v>
      </c>
      <c r="BS48" s="21">
        <v>11112</v>
      </c>
      <c r="BT48" s="21">
        <v>8822</v>
      </c>
      <c r="BU48" s="21">
        <v>7966</v>
      </c>
      <c r="BV48" s="21">
        <v>8143</v>
      </c>
      <c r="BW48" s="21">
        <v>8612</v>
      </c>
      <c r="BX48" s="21">
        <v>8648</v>
      </c>
      <c r="BY48" s="21">
        <v>9230</v>
      </c>
      <c r="BZ48" s="21">
        <v>9874</v>
      </c>
      <c r="CA48" s="21">
        <v>11496</v>
      </c>
      <c r="CB48" s="21">
        <v>13124</v>
      </c>
      <c r="CC48" s="21">
        <v>19276</v>
      </c>
      <c r="CD48" s="21">
        <v>22112</v>
      </c>
      <c r="CE48" s="21">
        <v>23259</v>
      </c>
      <c r="CF48" s="21">
        <v>23286</v>
      </c>
      <c r="CG48" s="21">
        <v>23072</v>
      </c>
      <c r="CH48" s="21">
        <v>22725</v>
      </c>
      <c r="CI48" s="21">
        <v>21901</v>
      </c>
      <c r="CJ48" s="21">
        <v>20645</v>
      </c>
      <c r="CK48" s="21">
        <f t="shared" si="4"/>
        <v>379183</v>
      </c>
      <c r="CL48" s="49">
        <v>4</v>
      </c>
      <c r="CM48" s="21">
        <f t="shared" si="11"/>
        <v>1516732</v>
      </c>
      <c r="CN48" s="110"/>
      <c r="CQ48" s="107"/>
      <c r="CR48" s="23" t="s">
        <v>45</v>
      </c>
      <c r="CS48" s="21">
        <v>11026</v>
      </c>
      <c r="CT48" s="21">
        <v>10529</v>
      </c>
      <c r="CU48" s="21">
        <v>10148</v>
      </c>
      <c r="CV48" s="21">
        <v>9851</v>
      </c>
      <c r="CW48" s="21">
        <v>9665</v>
      </c>
      <c r="CX48" s="21">
        <v>9421</v>
      </c>
      <c r="CY48" s="21">
        <v>7042</v>
      </c>
      <c r="CZ48" s="21">
        <v>5914</v>
      </c>
      <c r="DA48" s="21">
        <v>5322</v>
      </c>
      <c r="DB48" s="21">
        <v>5459</v>
      </c>
      <c r="DC48" s="21">
        <v>5718</v>
      </c>
      <c r="DD48" s="21">
        <v>5764</v>
      </c>
      <c r="DE48" s="21">
        <v>6044</v>
      </c>
      <c r="DF48" s="21">
        <v>6342</v>
      </c>
      <c r="DG48" s="21">
        <v>7104</v>
      </c>
      <c r="DH48" s="21">
        <v>7853</v>
      </c>
      <c r="DI48" s="21">
        <v>10664</v>
      </c>
      <c r="DJ48" s="21">
        <v>12613</v>
      </c>
      <c r="DK48" s="21">
        <v>13242</v>
      </c>
      <c r="DL48" s="21">
        <v>13253</v>
      </c>
      <c r="DM48" s="21">
        <v>13134</v>
      </c>
      <c r="DN48" s="21">
        <v>12941</v>
      </c>
      <c r="DO48" s="21">
        <v>12485</v>
      </c>
      <c r="DP48" s="21">
        <v>11801</v>
      </c>
      <c r="DQ48" s="21">
        <f t="shared" si="6"/>
        <v>223335</v>
      </c>
      <c r="DR48" s="49">
        <v>4</v>
      </c>
      <c r="DS48" s="21">
        <f t="shared" si="12"/>
        <v>893340</v>
      </c>
      <c r="DT48" s="110"/>
      <c r="DW48" s="107"/>
      <c r="DX48" s="23" t="s">
        <v>45</v>
      </c>
      <c r="DY48" s="21">
        <v>11000</v>
      </c>
      <c r="DZ48" s="21">
        <v>10505</v>
      </c>
      <c r="EA48" s="21">
        <v>10125</v>
      </c>
      <c r="EB48" s="21">
        <v>9830</v>
      </c>
      <c r="EC48" s="21">
        <v>9644</v>
      </c>
      <c r="ED48" s="21">
        <v>9401</v>
      </c>
      <c r="EE48" s="21">
        <v>7097</v>
      </c>
      <c r="EF48" s="21">
        <v>6034</v>
      </c>
      <c r="EG48" s="21">
        <v>5477</v>
      </c>
      <c r="EH48" s="21">
        <v>5624</v>
      </c>
      <c r="EI48" s="21">
        <v>5886</v>
      </c>
      <c r="EJ48" s="21">
        <v>5939</v>
      </c>
      <c r="EK48" s="21">
        <v>6213</v>
      </c>
      <c r="EL48" s="21">
        <v>6502</v>
      </c>
      <c r="EM48" s="21">
        <v>7241</v>
      </c>
      <c r="EN48" s="21">
        <v>7965</v>
      </c>
      <c r="EO48" s="21">
        <v>10687</v>
      </c>
      <c r="EP48" s="21">
        <v>12564</v>
      </c>
      <c r="EQ48" s="21">
        <v>13190</v>
      </c>
      <c r="ER48" s="21">
        <v>13201</v>
      </c>
      <c r="ES48" s="21">
        <v>13083</v>
      </c>
      <c r="ET48" s="21">
        <v>12890</v>
      </c>
      <c r="EU48" s="21">
        <v>12436</v>
      </c>
      <c r="EV48" s="21">
        <v>11755</v>
      </c>
      <c r="EW48" s="21">
        <f t="shared" si="7"/>
        <v>224289</v>
      </c>
      <c r="EX48" s="49">
        <v>5</v>
      </c>
      <c r="EY48" s="21">
        <f t="shared" si="13"/>
        <v>1121445</v>
      </c>
      <c r="EZ48" s="110"/>
    </row>
    <row r="49" spans="1:156" ht="15" thickBot="1" x14ac:dyDescent="0.4">
      <c r="A49" s="108"/>
      <c r="B49" s="24" t="s">
        <v>46</v>
      </c>
      <c r="C49" s="21">
        <v>13250</v>
      </c>
      <c r="D49" s="21">
        <v>12567</v>
      </c>
      <c r="E49" s="21">
        <v>12091</v>
      </c>
      <c r="F49" s="21">
        <v>11755</v>
      </c>
      <c r="G49" s="21">
        <v>11626</v>
      </c>
      <c r="H49" s="21">
        <v>11350</v>
      </c>
      <c r="I49" s="21">
        <v>11576</v>
      </c>
      <c r="J49" s="21">
        <v>6596</v>
      </c>
      <c r="K49" s="21">
        <v>7494</v>
      </c>
      <c r="L49" s="21">
        <v>8456</v>
      </c>
      <c r="M49" s="21">
        <v>9204</v>
      </c>
      <c r="N49" s="21">
        <v>9674</v>
      </c>
      <c r="O49" s="21">
        <v>9589</v>
      </c>
      <c r="P49" s="21">
        <v>9922</v>
      </c>
      <c r="Q49" s="21">
        <v>10146</v>
      </c>
      <c r="R49" s="21">
        <v>10097</v>
      </c>
      <c r="S49" s="21">
        <v>9813</v>
      </c>
      <c r="T49" s="21">
        <v>14372</v>
      </c>
      <c r="U49" s="21">
        <v>15003</v>
      </c>
      <c r="V49" s="21">
        <v>14954</v>
      </c>
      <c r="W49" s="21">
        <v>14732</v>
      </c>
      <c r="X49" s="21">
        <v>14336</v>
      </c>
      <c r="Y49" s="21">
        <v>13548</v>
      </c>
      <c r="Z49" s="21">
        <v>12641</v>
      </c>
      <c r="AA49" s="21">
        <f t="shared" si="0"/>
        <v>274792</v>
      </c>
      <c r="AB49" s="22">
        <v>2</v>
      </c>
      <c r="AC49" s="21">
        <f t="shared" si="9"/>
        <v>549584</v>
      </c>
      <c r="AD49" s="111"/>
      <c r="AF49" s="108"/>
      <c r="AG49" s="24" t="s">
        <v>46</v>
      </c>
      <c r="AH49" s="21">
        <v>9521</v>
      </c>
      <c r="AI49" s="21">
        <v>9017</v>
      </c>
      <c r="AJ49" s="21">
        <v>8655</v>
      </c>
      <c r="AK49" s="21">
        <v>8388</v>
      </c>
      <c r="AL49" s="21">
        <v>8261</v>
      </c>
      <c r="AM49" s="21">
        <v>8025</v>
      </c>
      <c r="AN49" s="21">
        <v>2161</v>
      </c>
      <c r="AO49" s="21">
        <v>2864</v>
      </c>
      <c r="AP49" s="21">
        <v>1925</v>
      </c>
      <c r="AQ49" s="21">
        <v>2142</v>
      </c>
      <c r="AR49" s="21">
        <v>2496</v>
      </c>
      <c r="AS49" s="21">
        <v>2524</v>
      </c>
      <c r="AT49" s="21">
        <v>2834</v>
      </c>
      <c r="AU49" s="21">
        <v>3659</v>
      </c>
      <c r="AV49" s="21">
        <v>5025</v>
      </c>
      <c r="AW49" s="21">
        <v>6400</v>
      </c>
      <c r="AX49" s="21">
        <v>12832</v>
      </c>
      <c r="AY49" s="21">
        <v>11518</v>
      </c>
      <c r="AZ49" s="21">
        <v>12060</v>
      </c>
      <c r="BA49" s="21">
        <v>12120</v>
      </c>
      <c r="BB49" s="21">
        <v>12110</v>
      </c>
      <c r="BC49" s="21">
        <v>11915</v>
      </c>
      <c r="BD49" s="21">
        <v>11333</v>
      </c>
      <c r="BE49" s="21">
        <v>10572</v>
      </c>
      <c r="BF49" s="21">
        <f t="shared" si="2"/>
        <v>178357</v>
      </c>
      <c r="BG49" s="50">
        <v>2</v>
      </c>
      <c r="BH49" s="21">
        <f t="shared" si="10"/>
        <v>356714</v>
      </c>
      <c r="BI49" s="111"/>
      <c r="BK49" s="108"/>
      <c r="BL49" s="24" t="s">
        <v>46</v>
      </c>
      <c r="BM49" s="21">
        <v>18824</v>
      </c>
      <c r="BN49" s="21">
        <v>17850</v>
      </c>
      <c r="BO49" s="21">
        <v>17213</v>
      </c>
      <c r="BP49" s="21">
        <v>16752</v>
      </c>
      <c r="BQ49" s="21">
        <v>16568</v>
      </c>
      <c r="BR49" s="21">
        <v>16188</v>
      </c>
      <c r="BS49" s="21">
        <v>10973</v>
      </c>
      <c r="BT49" s="21">
        <v>9197</v>
      </c>
      <c r="BU49" s="21">
        <v>8708</v>
      </c>
      <c r="BV49" s="21">
        <v>9350</v>
      </c>
      <c r="BW49" s="21">
        <v>10088</v>
      </c>
      <c r="BX49" s="21">
        <v>10296</v>
      </c>
      <c r="BY49" s="21">
        <v>10480</v>
      </c>
      <c r="BZ49" s="21">
        <v>11548</v>
      </c>
      <c r="CA49" s="21">
        <v>13235</v>
      </c>
      <c r="CB49" s="21">
        <v>14811</v>
      </c>
      <c r="CC49" s="21">
        <v>20835</v>
      </c>
      <c r="CD49" s="21">
        <v>23333</v>
      </c>
      <c r="CE49" s="21">
        <v>24426</v>
      </c>
      <c r="CF49" s="21">
        <v>24386</v>
      </c>
      <c r="CG49" s="21">
        <v>24048</v>
      </c>
      <c r="CH49" s="21">
        <v>23417</v>
      </c>
      <c r="CI49" s="21">
        <v>22134</v>
      </c>
      <c r="CJ49" s="21">
        <v>20647</v>
      </c>
      <c r="CK49" s="21">
        <f t="shared" si="4"/>
        <v>395307</v>
      </c>
      <c r="CL49" s="50">
        <v>2</v>
      </c>
      <c r="CM49" s="21">
        <f t="shared" si="11"/>
        <v>790614</v>
      </c>
      <c r="CN49" s="111"/>
      <c r="CQ49" s="108"/>
      <c r="CR49" s="24" t="s">
        <v>46</v>
      </c>
      <c r="CS49" s="21">
        <v>10705</v>
      </c>
      <c r="CT49" s="21">
        <v>10184</v>
      </c>
      <c r="CU49" s="21">
        <v>9847</v>
      </c>
      <c r="CV49" s="21">
        <v>9604</v>
      </c>
      <c r="CW49" s="21">
        <v>9510</v>
      </c>
      <c r="CX49" s="21">
        <v>9311</v>
      </c>
      <c r="CY49" s="21">
        <v>6960</v>
      </c>
      <c r="CZ49" s="21">
        <v>6098</v>
      </c>
      <c r="DA49" s="21">
        <v>5692</v>
      </c>
      <c r="DB49" s="21">
        <v>6069</v>
      </c>
      <c r="DC49" s="21">
        <v>6475</v>
      </c>
      <c r="DD49" s="21">
        <v>6608</v>
      </c>
      <c r="DE49" s="21">
        <v>6670</v>
      </c>
      <c r="DF49" s="21">
        <v>7190</v>
      </c>
      <c r="DG49" s="21">
        <v>7991</v>
      </c>
      <c r="DH49" s="21">
        <v>8717</v>
      </c>
      <c r="DI49" s="21">
        <v>11458</v>
      </c>
      <c r="DJ49" s="21">
        <v>13265</v>
      </c>
      <c r="DK49" s="21">
        <v>13857</v>
      </c>
      <c r="DL49" s="21">
        <v>13823</v>
      </c>
      <c r="DM49" s="21">
        <v>13618</v>
      </c>
      <c r="DN49" s="21">
        <v>13259</v>
      </c>
      <c r="DO49" s="21">
        <v>12556</v>
      </c>
      <c r="DP49" s="21">
        <v>11752</v>
      </c>
      <c r="DQ49" s="21">
        <f t="shared" si="6"/>
        <v>231219</v>
      </c>
      <c r="DR49" s="50">
        <v>2</v>
      </c>
      <c r="DS49" s="21">
        <f t="shared" si="12"/>
        <v>462438</v>
      </c>
      <c r="DT49" s="111"/>
      <c r="DW49" s="108"/>
      <c r="DX49" s="24" t="s">
        <v>46</v>
      </c>
      <c r="DY49" s="21">
        <v>10681</v>
      </c>
      <c r="DZ49" s="21">
        <v>10162</v>
      </c>
      <c r="EA49" s="21">
        <v>9826</v>
      </c>
      <c r="EB49" s="21">
        <v>9584</v>
      </c>
      <c r="EC49" s="21">
        <v>9490</v>
      </c>
      <c r="ED49" s="21">
        <v>9292</v>
      </c>
      <c r="EE49" s="21">
        <v>7015</v>
      </c>
      <c r="EF49" s="21">
        <v>6218</v>
      </c>
      <c r="EG49" s="21">
        <v>5846</v>
      </c>
      <c r="EH49" s="21">
        <v>6232</v>
      </c>
      <c r="EI49" s="21">
        <v>6641</v>
      </c>
      <c r="EJ49" s="21">
        <v>6780</v>
      </c>
      <c r="EK49" s="21">
        <v>6837</v>
      </c>
      <c r="EL49" s="21">
        <v>7346</v>
      </c>
      <c r="EM49" s="21">
        <v>8125</v>
      </c>
      <c r="EN49" s="21">
        <v>8826</v>
      </c>
      <c r="EO49" s="21">
        <v>11478</v>
      </c>
      <c r="EP49" s="21">
        <v>13213</v>
      </c>
      <c r="EQ49" s="21">
        <v>13803</v>
      </c>
      <c r="ER49" s="21">
        <v>13769</v>
      </c>
      <c r="ES49" s="21">
        <v>13565</v>
      </c>
      <c r="ET49" s="21">
        <v>13207</v>
      </c>
      <c r="EU49" s="21">
        <v>12507</v>
      </c>
      <c r="EV49" s="21">
        <v>11707</v>
      </c>
      <c r="EW49" s="21">
        <f t="shared" si="7"/>
        <v>232150</v>
      </c>
      <c r="EX49" s="50">
        <v>2</v>
      </c>
      <c r="EY49" s="21">
        <f t="shared" si="13"/>
        <v>464300</v>
      </c>
      <c r="EZ49" s="111"/>
    </row>
    <row r="50" spans="1:156" x14ac:dyDescent="0.35">
      <c r="A50" s="106">
        <v>46722</v>
      </c>
      <c r="B50" s="19" t="s">
        <v>43</v>
      </c>
      <c r="C50" s="21">
        <v>13106</v>
      </c>
      <c r="D50" s="21">
        <v>12419</v>
      </c>
      <c r="E50" s="21">
        <v>11943</v>
      </c>
      <c r="F50" s="21">
        <v>11595</v>
      </c>
      <c r="G50" s="21">
        <v>11481</v>
      </c>
      <c r="H50" s="21">
        <v>11495</v>
      </c>
      <c r="I50" s="21">
        <v>11847</v>
      </c>
      <c r="J50" s="21">
        <v>7311</v>
      </c>
      <c r="K50" s="21">
        <v>8660</v>
      </c>
      <c r="L50" s="21">
        <v>9622</v>
      </c>
      <c r="M50" s="21">
        <v>10360</v>
      </c>
      <c r="N50" s="21">
        <v>10724</v>
      </c>
      <c r="O50" s="21">
        <v>9857</v>
      </c>
      <c r="P50" s="21">
        <v>10581</v>
      </c>
      <c r="Q50" s="21">
        <v>11772</v>
      </c>
      <c r="R50" s="21">
        <v>11946</v>
      </c>
      <c r="S50" s="21">
        <v>11582</v>
      </c>
      <c r="T50" s="21">
        <v>15100</v>
      </c>
      <c r="U50" s="21">
        <v>15471</v>
      </c>
      <c r="V50" s="21">
        <v>14949</v>
      </c>
      <c r="W50" s="21">
        <v>14475</v>
      </c>
      <c r="X50" s="21">
        <v>14066</v>
      </c>
      <c r="Y50" s="21">
        <v>13441</v>
      </c>
      <c r="Z50" s="21">
        <v>12611</v>
      </c>
      <c r="AA50" s="21">
        <f t="shared" si="0"/>
        <v>286414</v>
      </c>
      <c r="AB50" s="22">
        <v>22</v>
      </c>
      <c r="AC50" s="21">
        <f t="shared" si="9"/>
        <v>6301108</v>
      </c>
      <c r="AD50" s="109">
        <f>+SUM(AC50:AC53)</f>
        <v>8586914</v>
      </c>
      <c r="AF50" s="106">
        <v>47088</v>
      </c>
      <c r="AG50" s="19" t="s">
        <v>43</v>
      </c>
      <c r="AH50" s="21">
        <v>9476</v>
      </c>
      <c r="AI50" s="21">
        <v>8982</v>
      </c>
      <c r="AJ50" s="21">
        <v>8623</v>
      </c>
      <c r="AK50" s="21">
        <v>8350</v>
      </c>
      <c r="AL50" s="21">
        <v>8246</v>
      </c>
      <c r="AM50" s="21">
        <v>8203</v>
      </c>
      <c r="AN50" s="21">
        <v>2500</v>
      </c>
      <c r="AO50" s="21">
        <v>3711</v>
      </c>
      <c r="AP50" s="21">
        <v>3280</v>
      </c>
      <c r="AQ50" s="21">
        <v>3560</v>
      </c>
      <c r="AR50" s="21">
        <v>3948</v>
      </c>
      <c r="AS50" s="21">
        <v>3873</v>
      </c>
      <c r="AT50" s="21">
        <v>3393</v>
      </c>
      <c r="AU50" s="21">
        <v>4630</v>
      </c>
      <c r="AV50" s="21">
        <v>6861</v>
      </c>
      <c r="AW50" s="21">
        <v>8338</v>
      </c>
      <c r="AX50" s="21">
        <v>14642</v>
      </c>
      <c r="AY50" s="21">
        <v>12308</v>
      </c>
      <c r="AZ50" s="21">
        <v>12570</v>
      </c>
      <c r="BA50" s="21">
        <v>12167</v>
      </c>
      <c r="BB50" s="21">
        <v>11869</v>
      </c>
      <c r="BC50" s="21">
        <v>11602</v>
      </c>
      <c r="BD50" s="21">
        <v>11157</v>
      </c>
      <c r="BE50" s="21">
        <v>10519</v>
      </c>
      <c r="BF50" s="21">
        <f t="shared" si="2"/>
        <v>192808</v>
      </c>
      <c r="BG50" s="48">
        <v>19</v>
      </c>
      <c r="BH50" s="21">
        <f t="shared" si="10"/>
        <v>3663352</v>
      </c>
      <c r="BI50" s="109">
        <f>+SUM(BH50:BH53)</f>
        <v>5681496</v>
      </c>
      <c r="BK50" s="106">
        <v>47453</v>
      </c>
      <c r="BL50" s="19" t="s">
        <v>43</v>
      </c>
      <c r="BM50" s="21">
        <v>18940</v>
      </c>
      <c r="BN50" s="21">
        <v>17970</v>
      </c>
      <c r="BO50" s="21">
        <v>17297</v>
      </c>
      <c r="BP50" s="21">
        <v>16802</v>
      </c>
      <c r="BQ50" s="21">
        <v>16647</v>
      </c>
      <c r="BR50" s="21">
        <v>16669</v>
      </c>
      <c r="BS50" s="21">
        <v>11634</v>
      </c>
      <c r="BT50" s="21">
        <v>10540</v>
      </c>
      <c r="BU50" s="21">
        <v>10854</v>
      </c>
      <c r="BV50" s="21">
        <v>11509</v>
      </c>
      <c r="BW50" s="21">
        <v>12248</v>
      </c>
      <c r="BX50" s="21">
        <v>12319</v>
      </c>
      <c r="BY50" s="21">
        <v>11398</v>
      </c>
      <c r="BZ50" s="21">
        <v>13038</v>
      </c>
      <c r="CA50" s="21">
        <v>16047</v>
      </c>
      <c r="CB50" s="21">
        <v>17879</v>
      </c>
      <c r="CC50" s="21">
        <v>23777</v>
      </c>
      <c r="CD50" s="21">
        <v>24953</v>
      </c>
      <c r="CE50" s="21">
        <v>25665</v>
      </c>
      <c r="CF50" s="21">
        <v>24835</v>
      </c>
      <c r="CG50" s="21">
        <v>24066</v>
      </c>
      <c r="CH50" s="21">
        <v>23361</v>
      </c>
      <c r="CI50" s="21">
        <v>22315</v>
      </c>
      <c r="CJ50" s="21">
        <v>20959</v>
      </c>
      <c r="CK50" s="21">
        <f t="shared" si="4"/>
        <v>421722</v>
      </c>
      <c r="CL50" s="48">
        <v>20</v>
      </c>
      <c r="CM50" s="21">
        <f t="shared" si="11"/>
        <v>8434440</v>
      </c>
      <c r="CN50" s="109">
        <f>+SUM(CM50:CM53)</f>
        <v>12582380</v>
      </c>
      <c r="CQ50" s="106">
        <v>47818</v>
      </c>
      <c r="CR50" s="19" t="s">
        <v>43</v>
      </c>
      <c r="CS50" s="21">
        <v>10708</v>
      </c>
      <c r="CT50" s="21">
        <v>10192</v>
      </c>
      <c r="CU50" s="21">
        <v>9835</v>
      </c>
      <c r="CV50" s="21">
        <v>9574</v>
      </c>
      <c r="CW50" s="21">
        <v>9495</v>
      </c>
      <c r="CX50" s="21">
        <v>9513</v>
      </c>
      <c r="CY50" s="21">
        <v>7248</v>
      </c>
      <c r="CZ50" s="21">
        <v>6748</v>
      </c>
      <c r="DA50" s="21">
        <v>6721</v>
      </c>
      <c r="DB50" s="21">
        <v>7093</v>
      </c>
      <c r="DC50" s="21">
        <v>7491</v>
      </c>
      <c r="DD50" s="21">
        <v>7553</v>
      </c>
      <c r="DE50" s="21">
        <v>7057</v>
      </c>
      <c r="DF50" s="21">
        <v>7864</v>
      </c>
      <c r="DG50" s="21">
        <v>9345</v>
      </c>
      <c r="DH50" s="21">
        <v>10213</v>
      </c>
      <c r="DI50" s="21">
        <v>12897</v>
      </c>
      <c r="DJ50" s="21">
        <v>14052</v>
      </c>
      <c r="DK50" s="21">
        <v>14447</v>
      </c>
      <c r="DL50" s="21">
        <v>13998</v>
      </c>
      <c r="DM50" s="21">
        <v>13572</v>
      </c>
      <c r="DN50" s="21">
        <v>13181</v>
      </c>
      <c r="DO50" s="21">
        <v>12608</v>
      </c>
      <c r="DP50" s="21">
        <v>11872</v>
      </c>
      <c r="DQ50" s="21">
        <f t="shared" si="6"/>
        <v>243277</v>
      </c>
      <c r="DR50" s="94">
        <v>21</v>
      </c>
      <c r="DS50" s="21">
        <f t="shared" si="12"/>
        <v>5108817</v>
      </c>
      <c r="DT50" s="109">
        <f>+SUM(DS50:DS53)</f>
        <v>7332512</v>
      </c>
      <c r="DW50" s="106">
        <v>48183</v>
      </c>
      <c r="DX50" s="19" t="s">
        <v>43</v>
      </c>
      <c r="DY50" s="21">
        <v>10672</v>
      </c>
      <c r="DZ50" s="21">
        <v>10159</v>
      </c>
      <c r="EA50" s="21">
        <v>9804</v>
      </c>
      <c r="EB50" s="21">
        <v>9544</v>
      </c>
      <c r="EC50" s="21">
        <v>9465</v>
      </c>
      <c r="ED50" s="21">
        <v>9483</v>
      </c>
      <c r="EE50" s="21">
        <v>7292</v>
      </c>
      <c r="EF50" s="21">
        <v>6851</v>
      </c>
      <c r="EG50" s="21">
        <v>6854</v>
      </c>
      <c r="EH50" s="21">
        <v>7233</v>
      </c>
      <c r="EI50" s="21">
        <v>7634</v>
      </c>
      <c r="EJ50" s="21">
        <v>7702</v>
      </c>
      <c r="EK50" s="21">
        <v>7204</v>
      </c>
      <c r="EL50" s="21">
        <v>7999</v>
      </c>
      <c r="EM50" s="21">
        <v>9455</v>
      </c>
      <c r="EN50" s="21">
        <v>10297</v>
      </c>
      <c r="EO50" s="21">
        <v>12894</v>
      </c>
      <c r="EP50" s="21">
        <v>13982</v>
      </c>
      <c r="EQ50" s="21">
        <v>14375</v>
      </c>
      <c r="ER50" s="21">
        <v>13929</v>
      </c>
      <c r="ES50" s="21">
        <v>13505</v>
      </c>
      <c r="ET50" s="21">
        <v>13116</v>
      </c>
      <c r="EU50" s="21">
        <v>12545</v>
      </c>
      <c r="EV50" s="21">
        <v>11813</v>
      </c>
      <c r="EW50" s="21">
        <f t="shared" si="7"/>
        <v>243807</v>
      </c>
      <c r="EX50" s="48">
        <v>21</v>
      </c>
      <c r="EY50" s="21">
        <f t="shared" si="13"/>
        <v>5119947</v>
      </c>
      <c r="EZ50" s="109">
        <f>+SUM(EY50:EY53)</f>
        <v>7328245</v>
      </c>
    </row>
    <row r="51" spans="1:156" x14ac:dyDescent="0.35">
      <c r="A51" s="107"/>
      <c r="B51" s="23" t="s">
        <v>44</v>
      </c>
      <c r="C51" s="21">
        <v>13430</v>
      </c>
      <c r="D51" s="21">
        <v>12687</v>
      </c>
      <c r="E51" s="21">
        <v>12151</v>
      </c>
      <c r="F51" s="21">
        <v>11749</v>
      </c>
      <c r="G51" s="21">
        <v>11559</v>
      </c>
      <c r="H51" s="21">
        <v>11499</v>
      </c>
      <c r="I51" s="21">
        <v>11755</v>
      </c>
      <c r="J51" s="21">
        <v>6897</v>
      </c>
      <c r="K51" s="21">
        <v>8150</v>
      </c>
      <c r="L51" s="21">
        <v>9031</v>
      </c>
      <c r="M51" s="21">
        <v>9714</v>
      </c>
      <c r="N51" s="21">
        <v>10047</v>
      </c>
      <c r="O51" s="21">
        <v>9703</v>
      </c>
      <c r="P51" s="21">
        <v>9851</v>
      </c>
      <c r="Q51" s="21">
        <v>10303</v>
      </c>
      <c r="R51" s="21">
        <v>10321</v>
      </c>
      <c r="S51" s="21">
        <v>9954</v>
      </c>
      <c r="T51" s="21">
        <v>14244</v>
      </c>
      <c r="U51" s="21">
        <v>15135</v>
      </c>
      <c r="V51" s="21">
        <v>14865</v>
      </c>
      <c r="W51" s="21">
        <v>14242</v>
      </c>
      <c r="X51" s="21">
        <v>13668</v>
      </c>
      <c r="Y51" s="21">
        <v>13152</v>
      </c>
      <c r="Z51" s="21">
        <v>12551</v>
      </c>
      <c r="AA51" s="21">
        <f t="shared" si="0"/>
        <v>276658</v>
      </c>
      <c r="AB51" s="22">
        <v>3</v>
      </c>
      <c r="AC51" s="21">
        <f t="shared" si="9"/>
        <v>829974</v>
      </c>
      <c r="AD51" s="110"/>
      <c r="AF51" s="107"/>
      <c r="AG51" s="23" t="s">
        <v>44</v>
      </c>
      <c r="AH51" s="21">
        <v>9777</v>
      </c>
      <c r="AI51" s="21">
        <v>9266</v>
      </c>
      <c r="AJ51" s="21">
        <v>8840</v>
      </c>
      <c r="AK51" s="21">
        <v>8520</v>
      </c>
      <c r="AL51" s="21">
        <v>8359</v>
      </c>
      <c r="AM51" s="21">
        <v>8313</v>
      </c>
      <c r="AN51" s="21">
        <v>2498</v>
      </c>
      <c r="AO51" s="21">
        <v>3395</v>
      </c>
      <c r="AP51" s="21">
        <v>2928</v>
      </c>
      <c r="AQ51" s="21">
        <v>3137</v>
      </c>
      <c r="AR51" s="21">
        <v>3443</v>
      </c>
      <c r="AS51" s="21">
        <v>3347</v>
      </c>
      <c r="AT51" s="21">
        <v>3333</v>
      </c>
      <c r="AU51" s="21">
        <v>4001</v>
      </c>
      <c r="AV51" s="21">
        <v>5548</v>
      </c>
      <c r="AW51" s="21">
        <v>6903</v>
      </c>
      <c r="AX51" s="21">
        <v>13217</v>
      </c>
      <c r="AY51" s="21">
        <v>11772</v>
      </c>
      <c r="AZ51" s="21">
        <v>12429</v>
      </c>
      <c r="BA51" s="21">
        <v>12143</v>
      </c>
      <c r="BB51" s="21">
        <v>11759</v>
      </c>
      <c r="BC51" s="21">
        <v>11491</v>
      </c>
      <c r="BD51" s="21">
        <v>11256</v>
      </c>
      <c r="BE51" s="21">
        <v>10815</v>
      </c>
      <c r="BF51" s="21">
        <f t="shared" si="2"/>
        <v>186490</v>
      </c>
      <c r="BG51" s="49">
        <v>5</v>
      </c>
      <c r="BH51" s="21">
        <f t="shared" si="10"/>
        <v>932450</v>
      </c>
      <c r="BI51" s="110"/>
      <c r="BK51" s="107"/>
      <c r="BL51" s="23" t="s">
        <v>44</v>
      </c>
      <c r="BM51" s="21">
        <v>19301</v>
      </c>
      <c r="BN51" s="21">
        <v>18276</v>
      </c>
      <c r="BO51" s="21">
        <v>17517</v>
      </c>
      <c r="BP51" s="21">
        <v>16963</v>
      </c>
      <c r="BQ51" s="21">
        <v>16710</v>
      </c>
      <c r="BR51" s="21">
        <v>16628</v>
      </c>
      <c r="BS51" s="21">
        <v>11454</v>
      </c>
      <c r="BT51" s="21">
        <v>9994</v>
      </c>
      <c r="BU51" s="21">
        <v>10184</v>
      </c>
      <c r="BV51" s="21">
        <v>10752</v>
      </c>
      <c r="BW51" s="21">
        <v>11410</v>
      </c>
      <c r="BX51" s="21">
        <v>11438</v>
      </c>
      <c r="BY51" s="21">
        <v>11226</v>
      </c>
      <c r="BZ51" s="21">
        <v>12002</v>
      </c>
      <c r="CA51" s="21">
        <v>13927</v>
      </c>
      <c r="CB51" s="21">
        <v>15510</v>
      </c>
      <c r="CC51" s="21">
        <v>21383</v>
      </c>
      <c r="CD51" s="21">
        <v>23521</v>
      </c>
      <c r="CE51" s="21">
        <v>24959</v>
      </c>
      <c r="CF51" s="21">
        <v>24461</v>
      </c>
      <c r="CG51" s="21">
        <v>23519</v>
      </c>
      <c r="CH51" s="21">
        <v>22669</v>
      </c>
      <c r="CI51" s="21">
        <v>21828</v>
      </c>
      <c r="CJ51" s="21">
        <v>20851</v>
      </c>
      <c r="CK51" s="21">
        <f t="shared" si="4"/>
        <v>406483</v>
      </c>
      <c r="CL51" s="49">
        <v>4</v>
      </c>
      <c r="CM51" s="21">
        <f t="shared" si="11"/>
        <v>1625932</v>
      </c>
      <c r="CN51" s="110"/>
      <c r="CQ51" s="107"/>
      <c r="CR51" s="23" t="s">
        <v>44</v>
      </c>
      <c r="CS51" s="21">
        <v>10888</v>
      </c>
      <c r="CT51" s="21">
        <v>10340</v>
      </c>
      <c r="CU51" s="21">
        <v>9941</v>
      </c>
      <c r="CV51" s="21">
        <v>9650</v>
      </c>
      <c r="CW51" s="21">
        <v>9519</v>
      </c>
      <c r="CX51" s="21">
        <v>9476</v>
      </c>
      <c r="CY51" s="21">
        <v>7142</v>
      </c>
      <c r="CZ51" s="21">
        <v>6449</v>
      </c>
      <c r="DA51" s="21">
        <v>6366</v>
      </c>
      <c r="DB51" s="21">
        <v>6694</v>
      </c>
      <c r="DC51" s="21">
        <v>7054</v>
      </c>
      <c r="DD51" s="21">
        <v>7093</v>
      </c>
      <c r="DE51" s="21">
        <v>6962</v>
      </c>
      <c r="DF51" s="21">
        <v>7327</v>
      </c>
      <c r="DG51" s="21">
        <v>8249</v>
      </c>
      <c r="DH51" s="21">
        <v>8984</v>
      </c>
      <c r="DI51" s="21">
        <v>11653</v>
      </c>
      <c r="DJ51" s="21">
        <v>13257</v>
      </c>
      <c r="DK51" s="21">
        <v>14040</v>
      </c>
      <c r="DL51" s="21">
        <v>13778</v>
      </c>
      <c r="DM51" s="21">
        <v>13257</v>
      </c>
      <c r="DN51" s="21">
        <v>12777</v>
      </c>
      <c r="DO51" s="21">
        <v>12299</v>
      </c>
      <c r="DP51" s="21">
        <v>11766</v>
      </c>
      <c r="DQ51" s="21">
        <f t="shared" si="6"/>
        <v>234961</v>
      </c>
      <c r="DR51" s="94">
        <v>4</v>
      </c>
      <c r="DS51" s="21">
        <f t="shared" si="12"/>
        <v>939844</v>
      </c>
      <c r="DT51" s="110"/>
      <c r="DW51" s="107"/>
      <c r="DX51" s="23" t="s">
        <v>44</v>
      </c>
      <c r="DY51" s="21">
        <v>10851</v>
      </c>
      <c r="DZ51" s="21">
        <v>10306</v>
      </c>
      <c r="EA51" s="21">
        <v>9909</v>
      </c>
      <c r="EB51" s="21">
        <v>9620</v>
      </c>
      <c r="EC51" s="21">
        <v>9489</v>
      </c>
      <c r="ED51" s="21">
        <v>9446</v>
      </c>
      <c r="EE51" s="21">
        <v>7186</v>
      </c>
      <c r="EF51" s="21">
        <v>6553</v>
      </c>
      <c r="EG51" s="21">
        <v>6501</v>
      </c>
      <c r="EH51" s="21">
        <v>6837</v>
      </c>
      <c r="EI51" s="21">
        <v>7200</v>
      </c>
      <c r="EJ51" s="21">
        <v>7244</v>
      </c>
      <c r="EK51" s="21">
        <v>7109</v>
      </c>
      <c r="EL51" s="21">
        <v>7465</v>
      </c>
      <c r="EM51" s="21">
        <v>8364</v>
      </c>
      <c r="EN51" s="21">
        <v>9075</v>
      </c>
      <c r="EO51" s="21">
        <v>11657</v>
      </c>
      <c r="EP51" s="21">
        <v>13191</v>
      </c>
      <c r="EQ51" s="21">
        <v>13970</v>
      </c>
      <c r="ER51" s="21">
        <v>13709</v>
      </c>
      <c r="ES51" s="21">
        <v>13191</v>
      </c>
      <c r="ET51" s="21">
        <v>12714</v>
      </c>
      <c r="EU51" s="21">
        <v>12238</v>
      </c>
      <c r="EV51" s="21">
        <v>11708</v>
      </c>
      <c r="EW51" s="21">
        <f t="shared" si="7"/>
        <v>235533</v>
      </c>
      <c r="EX51" s="49">
        <v>4</v>
      </c>
      <c r="EY51" s="21">
        <f t="shared" si="13"/>
        <v>942132</v>
      </c>
      <c r="EZ51" s="110"/>
    </row>
    <row r="52" spans="1:156" x14ac:dyDescent="0.35">
      <c r="A52" s="107"/>
      <c r="B52" s="23" t="s">
        <v>45</v>
      </c>
      <c r="C52" s="21">
        <v>13636</v>
      </c>
      <c r="D52" s="21">
        <v>12942</v>
      </c>
      <c r="E52" s="21">
        <v>12411</v>
      </c>
      <c r="F52" s="21">
        <v>12005</v>
      </c>
      <c r="G52" s="21">
        <v>11753</v>
      </c>
      <c r="H52" s="21">
        <v>11290</v>
      </c>
      <c r="I52" s="21">
        <v>11323</v>
      </c>
      <c r="J52" s="21">
        <v>5859</v>
      </c>
      <c r="K52" s="21">
        <v>6420</v>
      </c>
      <c r="L52" s="21">
        <v>7066</v>
      </c>
      <c r="M52" s="21">
        <v>7521</v>
      </c>
      <c r="N52" s="21">
        <v>7881</v>
      </c>
      <c r="O52" s="21">
        <v>7895</v>
      </c>
      <c r="P52" s="21">
        <v>7982</v>
      </c>
      <c r="Q52" s="21">
        <v>8284</v>
      </c>
      <c r="R52" s="21">
        <v>8590</v>
      </c>
      <c r="S52" s="21">
        <v>8448</v>
      </c>
      <c r="T52" s="21">
        <v>13182</v>
      </c>
      <c r="U52" s="21">
        <v>14265</v>
      </c>
      <c r="V52" s="21">
        <v>14127</v>
      </c>
      <c r="W52" s="21">
        <v>13730</v>
      </c>
      <c r="X52" s="21">
        <v>13273</v>
      </c>
      <c r="Y52" s="21">
        <v>12647</v>
      </c>
      <c r="Z52" s="21">
        <v>11969</v>
      </c>
      <c r="AA52" s="21">
        <f t="shared" si="0"/>
        <v>254499</v>
      </c>
      <c r="AB52" s="22">
        <v>4</v>
      </c>
      <c r="AC52" s="21">
        <f t="shared" si="9"/>
        <v>1017996</v>
      </c>
      <c r="AD52" s="110"/>
      <c r="AF52" s="107"/>
      <c r="AG52" s="23" t="s">
        <v>45</v>
      </c>
      <c r="AH52" s="21">
        <v>10164</v>
      </c>
      <c r="AI52" s="21">
        <v>9615</v>
      </c>
      <c r="AJ52" s="21">
        <v>9195</v>
      </c>
      <c r="AK52" s="21">
        <v>8880</v>
      </c>
      <c r="AL52" s="21">
        <v>8667</v>
      </c>
      <c r="AM52" s="21">
        <v>8188</v>
      </c>
      <c r="AN52" s="21">
        <v>2238</v>
      </c>
      <c r="AO52" s="21">
        <v>2385</v>
      </c>
      <c r="AP52" s="21">
        <v>1169</v>
      </c>
      <c r="AQ52" s="21">
        <v>1096</v>
      </c>
      <c r="AR52" s="21">
        <v>1192</v>
      </c>
      <c r="AS52" s="21">
        <v>1192</v>
      </c>
      <c r="AT52" s="21">
        <v>1551</v>
      </c>
      <c r="AU52" s="21">
        <v>2203</v>
      </c>
      <c r="AV52" s="21">
        <v>3695</v>
      </c>
      <c r="AW52" s="21">
        <v>5458</v>
      </c>
      <c r="AX52" s="21">
        <v>12009</v>
      </c>
      <c r="AY52" s="21">
        <v>11107</v>
      </c>
      <c r="AZ52" s="21">
        <v>12072</v>
      </c>
      <c r="BA52" s="21">
        <v>11966</v>
      </c>
      <c r="BB52" s="21">
        <v>11586</v>
      </c>
      <c r="BC52" s="21">
        <v>11124</v>
      </c>
      <c r="BD52" s="21">
        <v>10594</v>
      </c>
      <c r="BE52" s="21">
        <v>10070</v>
      </c>
      <c r="BF52" s="21">
        <f t="shared" si="2"/>
        <v>167416</v>
      </c>
      <c r="BG52" s="49">
        <v>5</v>
      </c>
      <c r="BH52" s="21">
        <f t="shared" si="10"/>
        <v>837080</v>
      </c>
      <c r="BI52" s="110"/>
      <c r="BK52" s="107"/>
      <c r="BL52" s="23" t="s">
        <v>45</v>
      </c>
      <c r="BM52" s="21">
        <v>19488</v>
      </c>
      <c r="BN52" s="21">
        <v>18519</v>
      </c>
      <c r="BO52" s="21">
        <v>17773</v>
      </c>
      <c r="BP52" s="21">
        <v>17212</v>
      </c>
      <c r="BQ52" s="21">
        <v>16857</v>
      </c>
      <c r="BR52" s="21">
        <v>16221</v>
      </c>
      <c r="BS52" s="21">
        <v>10730</v>
      </c>
      <c r="BT52" s="21">
        <v>8321</v>
      </c>
      <c r="BU52" s="21">
        <v>7404</v>
      </c>
      <c r="BV52" s="21">
        <v>7657</v>
      </c>
      <c r="BW52" s="21">
        <v>8007</v>
      </c>
      <c r="BX52" s="21">
        <v>8100</v>
      </c>
      <c r="BY52" s="21">
        <v>8611</v>
      </c>
      <c r="BZ52" s="21">
        <v>9332</v>
      </c>
      <c r="CA52" s="21">
        <v>11078</v>
      </c>
      <c r="CB52" s="21">
        <v>13078</v>
      </c>
      <c r="CC52" s="21">
        <v>19261</v>
      </c>
      <c r="CD52" s="21">
        <v>21867</v>
      </c>
      <c r="CE52" s="21">
        <v>23646</v>
      </c>
      <c r="CF52" s="21">
        <v>23481</v>
      </c>
      <c r="CG52" s="21">
        <v>22943</v>
      </c>
      <c r="CH52" s="21">
        <v>22293</v>
      </c>
      <c r="CI52" s="21">
        <v>21327</v>
      </c>
      <c r="CJ52" s="21">
        <v>20204</v>
      </c>
      <c r="CK52" s="21">
        <f t="shared" si="4"/>
        <v>373410</v>
      </c>
      <c r="CL52" s="49">
        <v>5</v>
      </c>
      <c r="CM52" s="21">
        <f t="shared" si="11"/>
        <v>1867050</v>
      </c>
      <c r="CN52" s="110"/>
      <c r="CQ52" s="107"/>
      <c r="CR52" s="23" t="s">
        <v>45</v>
      </c>
      <c r="CS52" s="21">
        <v>10953</v>
      </c>
      <c r="CT52" s="21">
        <v>10444</v>
      </c>
      <c r="CU52" s="21">
        <v>10051</v>
      </c>
      <c r="CV52" s="21">
        <v>9756</v>
      </c>
      <c r="CW52" s="21">
        <v>9570</v>
      </c>
      <c r="CX52" s="21">
        <v>9251</v>
      </c>
      <c r="CY52" s="21">
        <v>6745</v>
      </c>
      <c r="CZ52" s="21">
        <v>5548</v>
      </c>
      <c r="DA52" s="21">
        <v>4937</v>
      </c>
      <c r="DB52" s="21">
        <v>5113</v>
      </c>
      <c r="DC52" s="21">
        <v>5316</v>
      </c>
      <c r="DD52" s="21">
        <v>5382</v>
      </c>
      <c r="DE52" s="21">
        <v>5630</v>
      </c>
      <c r="DF52" s="21">
        <v>5963</v>
      </c>
      <c r="DG52" s="21">
        <v>6785</v>
      </c>
      <c r="DH52" s="21">
        <v>7719</v>
      </c>
      <c r="DI52" s="21">
        <v>10542</v>
      </c>
      <c r="DJ52" s="21">
        <v>12343</v>
      </c>
      <c r="DK52" s="21">
        <v>13290</v>
      </c>
      <c r="DL52" s="21">
        <v>13204</v>
      </c>
      <c r="DM52" s="21">
        <v>12928</v>
      </c>
      <c r="DN52" s="21">
        <v>12596</v>
      </c>
      <c r="DO52" s="21">
        <v>12081</v>
      </c>
      <c r="DP52" s="21">
        <v>11471</v>
      </c>
      <c r="DQ52" s="21">
        <f t="shared" si="6"/>
        <v>217618</v>
      </c>
      <c r="DR52" s="94">
        <v>5</v>
      </c>
      <c r="DS52" s="21">
        <f t="shared" si="12"/>
        <v>1088090</v>
      </c>
      <c r="DT52" s="110"/>
      <c r="DW52" s="107"/>
      <c r="DX52" s="23" t="s">
        <v>45</v>
      </c>
      <c r="DY52" s="21">
        <v>10916</v>
      </c>
      <c r="DZ52" s="21">
        <v>10409</v>
      </c>
      <c r="EA52" s="21">
        <v>10019</v>
      </c>
      <c r="EB52" s="21">
        <v>9725</v>
      </c>
      <c r="EC52" s="21">
        <v>9540</v>
      </c>
      <c r="ED52" s="21">
        <v>9222</v>
      </c>
      <c r="EE52" s="21">
        <v>6792</v>
      </c>
      <c r="EF52" s="21">
        <v>5657</v>
      </c>
      <c r="EG52" s="21">
        <v>5080</v>
      </c>
      <c r="EH52" s="21">
        <v>5264</v>
      </c>
      <c r="EI52" s="21">
        <v>5470</v>
      </c>
      <c r="EJ52" s="21">
        <v>5542</v>
      </c>
      <c r="EK52" s="21">
        <v>5783</v>
      </c>
      <c r="EL52" s="21">
        <v>6108</v>
      </c>
      <c r="EM52" s="21">
        <v>6908</v>
      </c>
      <c r="EN52" s="21">
        <v>7816</v>
      </c>
      <c r="EO52" s="21">
        <v>10551</v>
      </c>
      <c r="EP52" s="21">
        <v>12282</v>
      </c>
      <c r="EQ52" s="21">
        <v>13224</v>
      </c>
      <c r="ER52" s="21">
        <v>13138</v>
      </c>
      <c r="ES52" s="21">
        <v>12863</v>
      </c>
      <c r="ET52" s="21">
        <v>12533</v>
      </c>
      <c r="EU52" s="21">
        <v>12021</v>
      </c>
      <c r="EV52" s="21">
        <v>11414</v>
      </c>
      <c r="EW52" s="21">
        <f t="shared" si="7"/>
        <v>218277</v>
      </c>
      <c r="EX52" s="49">
        <v>4</v>
      </c>
      <c r="EY52" s="21">
        <f t="shared" si="13"/>
        <v>873108</v>
      </c>
      <c r="EZ52" s="110"/>
    </row>
    <row r="53" spans="1:156" ht="15" thickBot="1" x14ac:dyDescent="0.4">
      <c r="A53" s="108"/>
      <c r="B53" s="24" t="s">
        <v>46</v>
      </c>
      <c r="C53" s="21">
        <v>11517</v>
      </c>
      <c r="D53" s="21">
        <v>11139</v>
      </c>
      <c r="E53" s="21">
        <v>10839</v>
      </c>
      <c r="F53" s="21">
        <v>10547</v>
      </c>
      <c r="G53" s="21">
        <v>10361</v>
      </c>
      <c r="H53" s="21">
        <v>10161</v>
      </c>
      <c r="I53" s="21">
        <v>10107</v>
      </c>
      <c r="J53" s="21">
        <v>4616</v>
      </c>
      <c r="K53" s="21">
        <v>5059</v>
      </c>
      <c r="L53" s="21">
        <v>5654</v>
      </c>
      <c r="M53" s="21">
        <v>6070</v>
      </c>
      <c r="N53" s="21">
        <v>6336</v>
      </c>
      <c r="O53" s="21">
        <v>6436</v>
      </c>
      <c r="P53" s="21">
        <v>6587</v>
      </c>
      <c r="Q53" s="21">
        <v>6752</v>
      </c>
      <c r="R53" s="21">
        <v>6830</v>
      </c>
      <c r="S53" s="21">
        <v>6713</v>
      </c>
      <c r="T53" s="21">
        <v>11346</v>
      </c>
      <c r="U53" s="21">
        <v>12432</v>
      </c>
      <c r="V53" s="21">
        <v>12549</v>
      </c>
      <c r="W53" s="21">
        <v>12308</v>
      </c>
      <c r="X53" s="21">
        <v>12056</v>
      </c>
      <c r="Y53" s="21">
        <v>11604</v>
      </c>
      <c r="Z53" s="21">
        <v>10899</v>
      </c>
      <c r="AA53" s="21">
        <f t="shared" si="0"/>
        <v>218918</v>
      </c>
      <c r="AB53" s="22">
        <v>2</v>
      </c>
      <c r="AC53" s="21">
        <f t="shared" si="9"/>
        <v>437836</v>
      </c>
      <c r="AD53" s="111"/>
      <c r="AF53" s="108"/>
      <c r="AG53" s="24" t="s">
        <v>46</v>
      </c>
      <c r="AH53" s="21">
        <v>7620</v>
      </c>
      <c r="AI53" s="21">
        <v>7367</v>
      </c>
      <c r="AJ53" s="21">
        <v>7164</v>
      </c>
      <c r="AK53" s="21">
        <v>6965</v>
      </c>
      <c r="AL53" s="21">
        <v>6832</v>
      </c>
      <c r="AM53" s="21">
        <v>6688</v>
      </c>
      <c r="AN53" s="21">
        <v>755</v>
      </c>
      <c r="AO53" s="21">
        <v>941</v>
      </c>
      <c r="AP53" s="21">
        <v>5</v>
      </c>
      <c r="AQ53" s="21">
        <v>5</v>
      </c>
      <c r="AR53" s="21">
        <v>5</v>
      </c>
      <c r="AS53" s="21">
        <v>5</v>
      </c>
      <c r="AT53" s="21">
        <v>5</v>
      </c>
      <c r="AU53" s="21">
        <v>481</v>
      </c>
      <c r="AV53" s="21">
        <v>1749</v>
      </c>
      <c r="AW53" s="21">
        <v>3174</v>
      </c>
      <c r="AX53" s="21">
        <v>9716</v>
      </c>
      <c r="AY53" s="21">
        <v>8813</v>
      </c>
      <c r="AZ53" s="21">
        <v>9691</v>
      </c>
      <c r="BA53" s="21">
        <v>9778</v>
      </c>
      <c r="BB53" s="21">
        <v>9602</v>
      </c>
      <c r="BC53" s="21">
        <v>9407</v>
      </c>
      <c r="BD53" s="21">
        <v>9041</v>
      </c>
      <c r="BE53" s="21">
        <v>8498</v>
      </c>
      <c r="BF53" s="21">
        <f t="shared" si="2"/>
        <v>124307</v>
      </c>
      <c r="BG53" s="50">
        <v>2</v>
      </c>
      <c r="BH53" s="21">
        <f t="shared" si="10"/>
        <v>248614</v>
      </c>
      <c r="BI53" s="111"/>
      <c r="BK53" s="108"/>
      <c r="BL53" s="24" t="s">
        <v>46</v>
      </c>
      <c r="BM53" s="21">
        <v>16959</v>
      </c>
      <c r="BN53" s="21">
        <v>16452</v>
      </c>
      <c r="BO53" s="21">
        <v>16043</v>
      </c>
      <c r="BP53" s="21">
        <v>15642</v>
      </c>
      <c r="BQ53" s="21">
        <v>15370</v>
      </c>
      <c r="BR53" s="21">
        <v>15075</v>
      </c>
      <c r="BS53" s="21">
        <v>9439</v>
      </c>
      <c r="BT53" s="21">
        <v>6957</v>
      </c>
      <c r="BU53" s="21">
        <v>5803</v>
      </c>
      <c r="BV53" s="21">
        <v>5895</v>
      </c>
      <c r="BW53" s="21">
        <v>6149</v>
      </c>
      <c r="BX53" s="21">
        <v>6071</v>
      </c>
      <c r="BY53" s="21">
        <v>6545</v>
      </c>
      <c r="BZ53" s="21">
        <v>7341</v>
      </c>
      <c r="CA53" s="21">
        <v>8889</v>
      </c>
      <c r="CB53" s="21">
        <v>10578</v>
      </c>
      <c r="CC53" s="21">
        <v>16820</v>
      </c>
      <c r="CD53" s="21">
        <v>19289</v>
      </c>
      <c r="CE53" s="21">
        <v>21077</v>
      </c>
      <c r="CF53" s="21">
        <v>21252</v>
      </c>
      <c r="CG53" s="21">
        <v>20900</v>
      </c>
      <c r="CH53" s="21">
        <v>20506</v>
      </c>
      <c r="CI53" s="21">
        <v>19762</v>
      </c>
      <c r="CJ53" s="21">
        <v>18665</v>
      </c>
      <c r="CK53" s="21">
        <f t="shared" si="4"/>
        <v>327479</v>
      </c>
      <c r="CL53" s="50">
        <v>2</v>
      </c>
      <c r="CM53" s="21">
        <f t="shared" si="11"/>
        <v>654958</v>
      </c>
      <c r="CN53" s="111"/>
      <c r="CQ53" s="108"/>
      <c r="CR53" s="24" t="s">
        <v>46</v>
      </c>
      <c r="CS53" s="21">
        <v>9754</v>
      </c>
      <c r="CT53" s="21">
        <v>9483</v>
      </c>
      <c r="CU53" s="21">
        <v>9264</v>
      </c>
      <c r="CV53" s="21">
        <v>9049</v>
      </c>
      <c r="CW53" s="21">
        <v>8904</v>
      </c>
      <c r="CX53" s="21">
        <v>8746</v>
      </c>
      <c r="CY53" s="21">
        <v>6152</v>
      </c>
      <c r="CZ53" s="21">
        <v>4908</v>
      </c>
      <c r="DA53" s="21">
        <v>4171</v>
      </c>
      <c r="DB53" s="21">
        <v>4255</v>
      </c>
      <c r="DC53" s="21">
        <v>4403</v>
      </c>
      <c r="DD53" s="21">
        <v>4386</v>
      </c>
      <c r="DE53" s="21">
        <v>4611</v>
      </c>
      <c r="DF53" s="21">
        <v>4992</v>
      </c>
      <c r="DG53" s="21">
        <v>5724</v>
      </c>
      <c r="DH53" s="21">
        <v>6514</v>
      </c>
      <c r="DI53" s="21">
        <v>9373</v>
      </c>
      <c r="DJ53" s="21">
        <v>11086</v>
      </c>
      <c r="DK53" s="21">
        <v>12051</v>
      </c>
      <c r="DL53" s="21">
        <v>12146</v>
      </c>
      <c r="DM53" s="21">
        <v>11956</v>
      </c>
      <c r="DN53" s="21">
        <v>11743</v>
      </c>
      <c r="DO53" s="21">
        <v>11341</v>
      </c>
      <c r="DP53" s="21">
        <v>10749</v>
      </c>
      <c r="DQ53" s="21">
        <f t="shared" si="6"/>
        <v>195761</v>
      </c>
      <c r="DR53" s="94">
        <v>1</v>
      </c>
      <c r="DS53" s="21">
        <f t="shared" si="12"/>
        <v>195761</v>
      </c>
      <c r="DT53" s="111"/>
      <c r="DW53" s="108"/>
      <c r="DX53" s="24" t="s">
        <v>46</v>
      </c>
      <c r="DY53" s="21">
        <v>9722</v>
      </c>
      <c r="DZ53" s="21">
        <v>9453</v>
      </c>
      <c r="EA53" s="21">
        <v>9235</v>
      </c>
      <c r="EB53" s="21">
        <v>9021</v>
      </c>
      <c r="EC53" s="21">
        <v>8877</v>
      </c>
      <c r="ED53" s="21">
        <v>8720</v>
      </c>
      <c r="EE53" s="21">
        <v>6201</v>
      </c>
      <c r="EF53" s="21">
        <v>5020</v>
      </c>
      <c r="EG53" s="21">
        <v>4316</v>
      </c>
      <c r="EH53" s="21">
        <v>4411</v>
      </c>
      <c r="EI53" s="21">
        <v>4562</v>
      </c>
      <c r="EJ53" s="21">
        <v>4551</v>
      </c>
      <c r="EK53" s="21">
        <v>4770</v>
      </c>
      <c r="EL53" s="21">
        <v>5142</v>
      </c>
      <c r="EM53" s="21">
        <v>5853</v>
      </c>
      <c r="EN53" s="21">
        <v>6617</v>
      </c>
      <c r="EO53" s="21">
        <v>9388</v>
      </c>
      <c r="EP53" s="21">
        <v>11032</v>
      </c>
      <c r="EQ53" s="21">
        <v>11991</v>
      </c>
      <c r="ER53" s="21">
        <v>12085</v>
      </c>
      <c r="ES53" s="21">
        <v>11896</v>
      </c>
      <c r="ET53" s="21">
        <v>11685</v>
      </c>
      <c r="EU53" s="21">
        <v>11285</v>
      </c>
      <c r="EV53" s="21">
        <v>10696</v>
      </c>
      <c r="EW53" s="21">
        <f t="shared" si="7"/>
        <v>196529</v>
      </c>
      <c r="EX53" s="50">
        <v>2</v>
      </c>
      <c r="EY53" s="21">
        <f t="shared" si="13"/>
        <v>393058</v>
      </c>
      <c r="EZ53" s="111"/>
    </row>
    <row r="54" spans="1:156" x14ac:dyDescent="0.35">
      <c r="I54" s="26"/>
      <c r="AA54" s="43"/>
      <c r="AB54" s="76">
        <f>SUM(AB6:AB53)</f>
        <v>365</v>
      </c>
      <c r="AD54" s="54">
        <f>SUM(AD6:AD53)</f>
        <v>107043275</v>
      </c>
      <c r="AN54" s="26"/>
      <c r="BF54" s="43"/>
      <c r="BG54" s="55">
        <f>SUM(BG6:BG53)</f>
        <v>366</v>
      </c>
      <c r="BI54" s="54">
        <f>SUM(BI6:BI53)</f>
        <v>67560515</v>
      </c>
      <c r="BS54" s="26"/>
      <c r="CK54" s="43"/>
      <c r="CL54" s="55">
        <f>SUM(CL6:CL53)</f>
        <v>365</v>
      </c>
      <c r="CN54" s="54">
        <f>SUM(CN6:CN53)</f>
        <v>150186608</v>
      </c>
      <c r="CY54" s="26"/>
      <c r="DQ54" s="43"/>
      <c r="DR54" s="55">
        <f>SUM(DR6:DR53)</f>
        <v>365</v>
      </c>
      <c r="DT54" s="54">
        <f>SUM(DT6:DT53)</f>
        <v>87518938</v>
      </c>
      <c r="EE54" s="26"/>
      <c r="EW54" s="43"/>
      <c r="EX54" s="55">
        <f>SUM(EX6:EX53)</f>
        <v>365</v>
      </c>
      <c r="EZ54" s="54">
        <f>SUM(EZ6:EZ53)</f>
        <v>87508721</v>
      </c>
    </row>
  </sheetData>
  <mergeCells count="135">
    <mergeCell ref="BK3:BL3"/>
    <mergeCell ref="CQ3:CR3"/>
    <mergeCell ref="DW3:DX3"/>
    <mergeCell ref="A6:A9"/>
    <mergeCell ref="AD6:AD9"/>
    <mergeCell ref="AF6:AF9"/>
    <mergeCell ref="BI6:BI9"/>
    <mergeCell ref="BK6:BK9"/>
    <mergeCell ref="CN6:CN9"/>
    <mergeCell ref="CQ6:CQ9"/>
    <mergeCell ref="A3:B3"/>
    <mergeCell ref="AF3:AG3"/>
    <mergeCell ref="DT6:DT9"/>
    <mergeCell ref="DW6:DW9"/>
    <mergeCell ref="EZ6:EZ9"/>
    <mergeCell ref="A10:A13"/>
    <mergeCell ref="AD10:AD13"/>
    <mergeCell ref="AF10:AF13"/>
    <mergeCell ref="BI10:BI13"/>
    <mergeCell ref="BK10:BK13"/>
    <mergeCell ref="CN10:CN13"/>
    <mergeCell ref="CQ10:CQ13"/>
    <mergeCell ref="DT10:DT13"/>
    <mergeCell ref="DW10:DW13"/>
    <mergeCell ref="EZ10:EZ13"/>
    <mergeCell ref="EZ14:EZ17"/>
    <mergeCell ref="A18:A21"/>
    <mergeCell ref="AD18:AD21"/>
    <mergeCell ref="AF18:AF21"/>
    <mergeCell ref="BI18:BI21"/>
    <mergeCell ref="BK18:BK21"/>
    <mergeCell ref="CN18:CN21"/>
    <mergeCell ref="CQ18:CQ21"/>
    <mergeCell ref="DT18:DT21"/>
    <mergeCell ref="DW18:DW21"/>
    <mergeCell ref="EZ18:EZ21"/>
    <mergeCell ref="A14:A17"/>
    <mergeCell ref="AD14:AD17"/>
    <mergeCell ref="AF14:AF17"/>
    <mergeCell ref="BI14:BI17"/>
    <mergeCell ref="BK14:BK17"/>
    <mergeCell ref="CN14:CN17"/>
    <mergeCell ref="CQ14:CQ17"/>
    <mergeCell ref="DT14:DT17"/>
    <mergeCell ref="DW14:DW17"/>
    <mergeCell ref="EZ22:EZ25"/>
    <mergeCell ref="A26:A29"/>
    <mergeCell ref="AD26:AD29"/>
    <mergeCell ref="AF26:AF29"/>
    <mergeCell ref="BI26:BI29"/>
    <mergeCell ref="BK26:BK29"/>
    <mergeCell ref="CN26:CN29"/>
    <mergeCell ref="CQ26:CQ29"/>
    <mergeCell ref="DT26:DT29"/>
    <mergeCell ref="DW26:DW29"/>
    <mergeCell ref="EZ26:EZ29"/>
    <mergeCell ref="A22:A25"/>
    <mergeCell ref="AD22:AD25"/>
    <mergeCell ref="AF22:AF25"/>
    <mergeCell ref="BI22:BI25"/>
    <mergeCell ref="BK22:BK25"/>
    <mergeCell ref="CN22:CN25"/>
    <mergeCell ref="CQ22:CQ25"/>
    <mergeCell ref="DT22:DT25"/>
    <mergeCell ref="DW22:DW25"/>
    <mergeCell ref="DT38:DT41"/>
    <mergeCell ref="DW38:DW41"/>
    <mergeCell ref="EZ30:EZ33"/>
    <mergeCell ref="A34:A37"/>
    <mergeCell ref="AD34:AD37"/>
    <mergeCell ref="AF34:AF37"/>
    <mergeCell ref="BI34:BI37"/>
    <mergeCell ref="BK34:BK37"/>
    <mergeCell ref="CN34:CN37"/>
    <mergeCell ref="CQ34:CQ37"/>
    <mergeCell ref="DT34:DT37"/>
    <mergeCell ref="DW34:DW37"/>
    <mergeCell ref="EZ34:EZ37"/>
    <mergeCell ref="A30:A33"/>
    <mergeCell ref="AD30:AD33"/>
    <mergeCell ref="AF30:AF33"/>
    <mergeCell ref="BI30:BI33"/>
    <mergeCell ref="BK30:BK33"/>
    <mergeCell ref="CN30:CN33"/>
    <mergeCell ref="CQ30:CQ33"/>
    <mergeCell ref="DT30:DT33"/>
    <mergeCell ref="DW30:DW33"/>
    <mergeCell ref="BI46:BI49"/>
    <mergeCell ref="BK46:BK49"/>
    <mergeCell ref="CN46:CN49"/>
    <mergeCell ref="CQ46:CQ49"/>
    <mergeCell ref="CQ2:DC2"/>
    <mergeCell ref="DW1:DZ1"/>
    <mergeCell ref="DW2:EI2"/>
    <mergeCell ref="EZ38:EZ41"/>
    <mergeCell ref="A42:A45"/>
    <mergeCell ref="AD42:AD45"/>
    <mergeCell ref="AF42:AF45"/>
    <mergeCell ref="BI42:BI45"/>
    <mergeCell ref="BK42:BK45"/>
    <mergeCell ref="CN42:CN45"/>
    <mergeCell ref="CQ42:CQ45"/>
    <mergeCell ref="DW42:DW45"/>
    <mergeCell ref="EZ42:EZ45"/>
    <mergeCell ref="A38:A41"/>
    <mergeCell ref="AD38:AD41"/>
    <mergeCell ref="AF38:AF41"/>
    <mergeCell ref="BI38:BI41"/>
    <mergeCell ref="BK38:BK41"/>
    <mergeCell ref="CN38:CN41"/>
    <mergeCell ref="CQ38:CQ41"/>
    <mergeCell ref="DT50:DT53"/>
    <mergeCell ref="DW50:DW53"/>
    <mergeCell ref="EZ50:EZ53"/>
    <mergeCell ref="A1:D1"/>
    <mergeCell ref="A2:M2"/>
    <mergeCell ref="AF1:AI1"/>
    <mergeCell ref="AF2:AR2"/>
    <mergeCell ref="BK1:BN1"/>
    <mergeCell ref="BK2:BW2"/>
    <mergeCell ref="CQ1:CT1"/>
    <mergeCell ref="DT46:DT49"/>
    <mergeCell ref="DW46:DW49"/>
    <mergeCell ref="EZ46:EZ49"/>
    <mergeCell ref="A50:A53"/>
    <mergeCell ref="AD50:AD53"/>
    <mergeCell ref="AF50:AF53"/>
    <mergeCell ref="BI50:BI53"/>
    <mergeCell ref="BK50:BK53"/>
    <mergeCell ref="CN50:CN53"/>
    <mergeCell ref="CQ50:CQ53"/>
    <mergeCell ref="DT42:DT45"/>
    <mergeCell ref="A46:A49"/>
    <mergeCell ref="AD46:AD49"/>
    <mergeCell ref="AF46:AF49"/>
  </mergeCells>
  <conditionalFormatting sqref="I5:S5 C41:Z41">
    <cfRule type="cellIs" dxfId="65" priority="17" operator="greaterThan">
      <formula>0</formula>
    </cfRule>
    <cfRule type="cellIs" dxfId="64" priority="18" operator="lessThan">
      <formula>0</formula>
    </cfRule>
  </conditionalFormatting>
  <conditionalFormatting sqref="AN5:AX5">
    <cfRule type="cellIs" dxfId="63" priority="13" operator="greaterThan">
      <formula>0</formula>
    </cfRule>
    <cfRule type="cellIs" dxfId="62" priority="14" operator="lessThan">
      <formula>0</formula>
    </cfRule>
  </conditionalFormatting>
  <conditionalFormatting sqref="BS5:CC5">
    <cfRule type="cellIs" dxfId="61" priority="9" operator="greaterThan">
      <formula>0</formula>
    </cfRule>
    <cfRule type="cellIs" dxfId="60" priority="10" operator="lessThan">
      <formula>0</formula>
    </cfRule>
  </conditionalFormatting>
  <conditionalFormatting sqref="CY5:DI5">
    <cfRule type="cellIs" dxfId="59" priority="5" operator="greaterThan">
      <formula>0</formula>
    </cfRule>
    <cfRule type="cellIs" dxfId="58" priority="6" operator="lessThan">
      <formula>0</formula>
    </cfRule>
  </conditionalFormatting>
  <conditionalFormatting sqref="EE5:EO5">
    <cfRule type="cellIs" dxfId="57" priority="1" operator="greaterThan">
      <formula>0</formula>
    </cfRule>
    <cfRule type="cellIs" dxfId="56" priority="2" operator="lessThan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B0B0B-6992-4992-A0A9-779FD48F7189}">
  <dimension ref="A1:F19"/>
  <sheetViews>
    <sheetView topLeftCell="A2" workbookViewId="0">
      <selection activeCell="D19" sqref="D19"/>
    </sheetView>
  </sheetViews>
  <sheetFormatPr baseColWidth="10" defaultRowHeight="14.5" x14ac:dyDescent="0.35"/>
  <cols>
    <col min="2" max="2" width="19.26953125" bestFit="1" customWidth="1"/>
    <col min="3" max="3" width="13.453125" bestFit="1" customWidth="1"/>
    <col min="4" max="4" width="12.54296875" customWidth="1"/>
    <col min="6" max="6" width="10.90625" style="85"/>
  </cols>
  <sheetData>
    <row r="1" spans="1:6" ht="15" thickBot="1" x14ac:dyDescent="0.4">
      <c r="A1" s="146" t="s">
        <v>94</v>
      </c>
      <c r="B1" s="147"/>
      <c r="C1" s="147"/>
      <c r="D1" s="148"/>
    </row>
    <row r="2" spans="1:6" ht="32" thickBot="1" x14ac:dyDescent="0.4">
      <c r="A2" s="61" t="s">
        <v>48</v>
      </c>
      <c r="B2" s="61" t="s">
        <v>49</v>
      </c>
      <c r="C2" s="93" t="s">
        <v>50</v>
      </c>
      <c r="D2" s="93" t="s">
        <v>51</v>
      </c>
    </row>
    <row r="3" spans="1:6" x14ac:dyDescent="0.35">
      <c r="A3" s="66">
        <v>2027</v>
      </c>
      <c r="B3" s="67">
        <v>365</v>
      </c>
      <c r="C3" s="68">
        <f>'CURVA P8'!AF55</f>
        <v>150000400</v>
      </c>
      <c r="D3" s="143" t="s">
        <v>6</v>
      </c>
      <c r="F3" s="86"/>
    </row>
    <row r="4" spans="1:6" x14ac:dyDescent="0.35">
      <c r="A4" s="69">
        <v>2028</v>
      </c>
      <c r="B4" s="44">
        <v>366</v>
      </c>
      <c r="C4" s="45">
        <f>'CURVA P8'!BK55</f>
        <v>150411360</v>
      </c>
      <c r="D4" s="144"/>
      <c r="F4" s="86">
        <f t="shared" ref="F4:F16" si="0">C4/1000000</f>
        <v>150.41136</v>
      </c>
    </row>
    <row r="5" spans="1:6" x14ac:dyDescent="0.35">
      <c r="A5" s="69">
        <v>2029</v>
      </c>
      <c r="B5" s="44">
        <v>365</v>
      </c>
      <c r="C5" s="45">
        <f>'CURVA P8'!CP55</f>
        <v>150000400</v>
      </c>
      <c r="D5" s="144"/>
      <c r="F5" s="86">
        <f t="shared" si="0"/>
        <v>150.00040000000001</v>
      </c>
    </row>
    <row r="6" spans="1:6" x14ac:dyDescent="0.35">
      <c r="A6" s="69">
        <v>2030</v>
      </c>
      <c r="B6" s="44">
        <v>365</v>
      </c>
      <c r="C6" s="45">
        <f>'CURVA P8'!DV55</f>
        <v>150000400</v>
      </c>
      <c r="D6" s="144"/>
      <c r="F6" s="86">
        <f t="shared" si="0"/>
        <v>150.00040000000001</v>
      </c>
    </row>
    <row r="7" spans="1:6" x14ac:dyDescent="0.35">
      <c r="A7" s="69">
        <v>2031</v>
      </c>
      <c r="B7" s="44">
        <v>365</v>
      </c>
      <c r="C7" s="45">
        <f>'CURVA P8'!FB55</f>
        <v>150000400</v>
      </c>
      <c r="D7" s="144"/>
      <c r="F7" s="86">
        <f t="shared" si="0"/>
        <v>150.00040000000001</v>
      </c>
    </row>
    <row r="8" spans="1:6" x14ac:dyDescent="0.35">
      <c r="A8" s="69">
        <v>2032</v>
      </c>
      <c r="B8" s="44">
        <v>366</v>
      </c>
      <c r="C8" s="45">
        <f>'CURVA P8'!GG55</f>
        <v>150411360</v>
      </c>
      <c r="D8" s="144"/>
      <c r="F8" s="86">
        <f t="shared" si="0"/>
        <v>150.41136</v>
      </c>
    </row>
    <row r="9" spans="1:6" x14ac:dyDescent="0.35">
      <c r="A9" s="69">
        <v>2033</v>
      </c>
      <c r="B9" s="44">
        <v>365</v>
      </c>
      <c r="C9" s="45">
        <f>'CURVA P8'!HL55</f>
        <v>150000400</v>
      </c>
      <c r="D9" s="144"/>
      <c r="F9" s="86">
        <f t="shared" si="0"/>
        <v>150.00040000000001</v>
      </c>
    </row>
    <row r="10" spans="1:6" x14ac:dyDescent="0.35">
      <c r="A10" s="69">
        <v>2034</v>
      </c>
      <c r="B10" s="44">
        <v>365</v>
      </c>
      <c r="C10" s="45">
        <f>'CURVA P8'!IQ55</f>
        <v>150000400</v>
      </c>
      <c r="D10" s="144"/>
      <c r="F10" s="86">
        <f t="shared" si="0"/>
        <v>150.00040000000001</v>
      </c>
    </row>
    <row r="11" spans="1:6" x14ac:dyDescent="0.35">
      <c r="A11" s="69">
        <v>2035</v>
      </c>
      <c r="B11" s="44">
        <v>365</v>
      </c>
      <c r="C11" s="45">
        <f>'CURVA P8'!JV55</f>
        <v>150000400</v>
      </c>
      <c r="D11" s="144"/>
      <c r="F11" s="86">
        <f t="shared" si="0"/>
        <v>150.00040000000001</v>
      </c>
    </row>
    <row r="12" spans="1:6" x14ac:dyDescent="0.35">
      <c r="A12" s="69">
        <v>2036</v>
      </c>
      <c r="B12" s="44">
        <v>366</v>
      </c>
      <c r="C12" s="45">
        <f>'CURVA P8'!LA55</f>
        <v>150411360</v>
      </c>
      <c r="D12" s="144"/>
      <c r="F12" s="86">
        <f t="shared" si="0"/>
        <v>150.41136</v>
      </c>
    </row>
    <row r="13" spans="1:6" x14ac:dyDescent="0.35">
      <c r="A13" s="69">
        <v>2037</v>
      </c>
      <c r="B13" s="44">
        <v>365</v>
      </c>
      <c r="C13" s="45">
        <f>'CURVA P8'!MF55</f>
        <v>150000400</v>
      </c>
      <c r="D13" s="144"/>
      <c r="F13" s="86">
        <f t="shared" si="0"/>
        <v>150.00040000000001</v>
      </c>
    </row>
    <row r="14" spans="1:6" x14ac:dyDescent="0.35">
      <c r="A14" s="69">
        <v>2038</v>
      </c>
      <c r="B14" s="44">
        <v>365</v>
      </c>
      <c r="C14" s="45">
        <f>'CURVA P8'!NK55</f>
        <v>150000400</v>
      </c>
      <c r="D14" s="144"/>
      <c r="F14" s="86">
        <f t="shared" si="0"/>
        <v>150.00040000000001</v>
      </c>
    </row>
    <row r="15" spans="1:6" x14ac:dyDescent="0.35">
      <c r="A15" s="69">
        <v>2039</v>
      </c>
      <c r="B15" s="44">
        <v>365</v>
      </c>
      <c r="C15" s="45">
        <f>'CURVA P8'!OP55</f>
        <v>150000400</v>
      </c>
      <c r="D15" s="144"/>
      <c r="F15" s="86">
        <f t="shared" si="0"/>
        <v>150.00040000000001</v>
      </c>
    </row>
    <row r="16" spans="1:6" ht="15" thickBot="1" x14ac:dyDescent="0.4">
      <c r="A16" s="70">
        <v>2040</v>
      </c>
      <c r="B16" s="71">
        <v>365</v>
      </c>
      <c r="C16" s="72">
        <f>'CURVA P8'!PU55</f>
        <v>150411360</v>
      </c>
      <c r="D16" s="145"/>
      <c r="F16" s="86">
        <f t="shared" si="0"/>
        <v>150.41136</v>
      </c>
    </row>
    <row r="17" spans="3:4" x14ac:dyDescent="0.35">
      <c r="C17" s="14">
        <f>SUM(C3:C16)</f>
        <v>2101649440</v>
      </c>
    </row>
    <row r="19" spans="3:4" x14ac:dyDescent="0.35">
      <c r="D19" s="14">
        <f>C17/1000</f>
        <v>2101649.44</v>
      </c>
    </row>
  </sheetData>
  <mergeCells count="2">
    <mergeCell ref="D3:D16"/>
    <mergeCell ref="A1:D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3E62-B392-48B2-BED3-93C0F955B9EF}">
  <dimension ref="C1:PU55"/>
  <sheetViews>
    <sheetView showGridLines="0" topLeftCell="AS18" zoomScale="70" zoomScaleNormal="70" workbookViewId="0">
      <selection activeCell="BI19" sqref="BI19:BI22"/>
    </sheetView>
  </sheetViews>
  <sheetFormatPr baseColWidth="10" defaultRowHeight="14.5" x14ac:dyDescent="0.35"/>
  <cols>
    <col min="1" max="1" width="5.81640625" customWidth="1"/>
    <col min="2" max="2" width="10.90625" customWidth="1"/>
    <col min="6" max="6" width="10.90625" style="85"/>
    <col min="32" max="32" width="12.1796875" bestFit="1" customWidth="1"/>
    <col min="63" max="63" width="12.1796875" bestFit="1" customWidth="1"/>
    <col min="94" max="94" width="16.90625" bestFit="1" customWidth="1"/>
    <col min="126" max="126" width="16.90625" bestFit="1" customWidth="1"/>
    <col min="158" max="158" width="16.90625" bestFit="1" customWidth="1"/>
    <col min="189" max="189" width="12.1796875" bestFit="1" customWidth="1"/>
    <col min="220" max="220" width="12.1796875" bestFit="1" customWidth="1"/>
    <col min="251" max="251" width="16.90625" bestFit="1" customWidth="1"/>
    <col min="282" max="282" width="16.90625" bestFit="1" customWidth="1"/>
    <col min="313" max="313" width="16.453125" bestFit="1" customWidth="1"/>
    <col min="344" max="344" width="12.453125" bestFit="1" customWidth="1"/>
    <col min="375" max="375" width="16.90625" bestFit="1" customWidth="1"/>
    <col min="406" max="406" width="16.90625" bestFit="1" customWidth="1"/>
    <col min="437" max="437" width="12.1796875" bestFit="1" customWidth="1"/>
  </cols>
  <sheetData>
    <row r="1" spans="3:437" x14ac:dyDescent="0.35">
      <c r="C1" s="135" t="s">
        <v>12</v>
      </c>
      <c r="D1" s="135"/>
      <c r="E1" s="135"/>
      <c r="F1" s="135"/>
      <c r="G1" s="27"/>
      <c r="H1" s="27"/>
      <c r="I1" s="27"/>
      <c r="J1" s="27"/>
      <c r="K1" s="27"/>
      <c r="L1" s="27"/>
      <c r="M1" s="27"/>
      <c r="N1" s="27"/>
      <c r="O1" s="27"/>
      <c r="AH1" s="135" t="s">
        <v>12</v>
      </c>
      <c r="AI1" s="135"/>
      <c r="AJ1" s="135"/>
      <c r="AK1" s="135"/>
      <c r="AL1" s="27"/>
      <c r="AM1" s="27"/>
      <c r="AN1" s="27"/>
      <c r="AO1" s="27"/>
      <c r="AP1" s="27"/>
      <c r="AQ1" s="27"/>
      <c r="AR1" s="27"/>
      <c r="AS1" s="27"/>
      <c r="AT1" s="27"/>
      <c r="BM1" s="135" t="s">
        <v>12</v>
      </c>
      <c r="BN1" s="135"/>
      <c r="BO1" s="135"/>
      <c r="BP1" s="135"/>
      <c r="BQ1" s="27"/>
      <c r="BR1" s="27"/>
      <c r="BS1" s="27"/>
      <c r="BT1" s="27"/>
      <c r="BU1" s="27"/>
      <c r="BV1" s="27"/>
      <c r="BW1" s="27"/>
      <c r="BX1" s="27"/>
      <c r="BY1" s="27"/>
      <c r="CS1" s="135" t="s">
        <v>12</v>
      </c>
      <c r="CT1" s="135"/>
      <c r="CU1" s="135"/>
      <c r="CV1" s="135"/>
      <c r="CW1" s="27"/>
      <c r="CX1" s="27"/>
      <c r="CY1" s="27"/>
      <c r="CZ1" s="27"/>
      <c r="DA1" s="27"/>
      <c r="DB1" s="27"/>
      <c r="DC1" s="27"/>
      <c r="DD1" s="27"/>
      <c r="DE1" s="27"/>
      <c r="DY1" s="135" t="s">
        <v>12</v>
      </c>
      <c r="DZ1" s="135"/>
      <c r="EA1" s="135"/>
      <c r="EB1" s="135"/>
      <c r="EC1" s="27"/>
      <c r="ED1" s="27"/>
      <c r="EE1" s="27"/>
      <c r="EF1" s="27"/>
      <c r="EG1" s="27"/>
      <c r="EH1" s="27"/>
      <c r="EI1" s="27"/>
      <c r="EJ1" s="27"/>
      <c r="EK1" s="27"/>
      <c r="FD1" s="135" t="s">
        <v>12</v>
      </c>
      <c r="FE1" s="135"/>
      <c r="FF1" s="135"/>
      <c r="FG1" s="135"/>
      <c r="FH1" s="27"/>
      <c r="FI1" s="27"/>
      <c r="FJ1" s="27"/>
      <c r="FK1" s="27"/>
      <c r="FL1" s="27"/>
      <c r="FM1" s="27"/>
      <c r="FN1" s="27"/>
      <c r="FO1" s="27"/>
      <c r="FP1" s="27"/>
      <c r="GI1" s="135" t="s">
        <v>12</v>
      </c>
      <c r="GJ1" s="135"/>
      <c r="GK1" s="135"/>
      <c r="GL1" s="135"/>
      <c r="GM1" s="27"/>
      <c r="GN1" s="27"/>
      <c r="GO1" s="27"/>
      <c r="GP1" s="27"/>
      <c r="GQ1" s="27"/>
      <c r="GR1" s="27"/>
      <c r="GS1" s="27"/>
      <c r="GT1" s="27"/>
      <c r="GU1" s="27"/>
      <c r="HN1" s="135" t="s">
        <v>12</v>
      </c>
      <c r="HO1" s="135"/>
      <c r="HP1" s="135"/>
      <c r="HQ1" s="135"/>
      <c r="HR1" s="27"/>
      <c r="HS1" s="27"/>
      <c r="HT1" s="27"/>
      <c r="HU1" s="27"/>
      <c r="HV1" s="27"/>
      <c r="HW1" s="27"/>
      <c r="HX1" s="27"/>
      <c r="HY1" s="27"/>
      <c r="HZ1" s="27"/>
      <c r="IS1" s="135" t="s">
        <v>12</v>
      </c>
      <c r="IT1" s="135"/>
      <c r="IU1" s="135"/>
      <c r="IV1" s="135"/>
      <c r="IW1" s="27"/>
      <c r="IX1" s="27"/>
      <c r="IY1" s="27"/>
      <c r="IZ1" s="27"/>
      <c r="JA1" s="27"/>
      <c r="JB1" s="27"/>
      <c r="JC1" s="27"/>
      <c r="JD1" s="27"/>
      <c r="JE1" s="27"/>
      <c r="JX1" s="135" t="s">
        <v>12</v>
      </c>
      <c r="JY1" s="135"/>
      <c r="JZ1" s="135"/>
      <c r="KA1" s="135"/>
      <c r="KB1" s="27"/>
      <c r="KC1" s="27"/>
      <c r="KD1" s="27"/>
      <c r="KE1" s="27"/>
      <c r="KF1" s="27"/>
      <c r="KG1" s="27"/>
      <c r="KH1" s="27"/>
      <c r="KI1" s="27"/>
      <c r="KJ1" s="27"/>
      <c r="LC1" s="135" t="s">
        <v>12</v>
      </c>
      <c r="LD1" s="135"/>
      <c r="LE1" s="135"/>
      <c r="LF1" s="135"/>
      <c r="LG1" s="27"/>
      <c r="LH1" s="27"/>
      <c r="LI1" s="27"/>
      <c r="LJ1" s="27"/>
      <c r="LK1" s="27"/>
      <c r="LL1" s="27"/>
      <c r="LM1" s="27"/>
      <c r="LN1" s="27"/>
      <c r="LO1" s="27"/>
      <c r="MH1" s="135" t="s">
        <v>12</v>
      </c>
      <c r="MI1" s="135"/>
      <c r="MJ1" s="135"/>
      <c r="MK1" s="135"/>
      <c r="ML1" s="27"/>
      <c r="MM1" s="27"/>
      <c r="MN1" s="27"/>
      <c r="MO1" s="27"/>
      <c r="MP1" s="27"/>
      <c r="MQ1" s="27"/>
      <c r="MR1" s="27"/>
      <c r="MS1" s="27"/>
      <c r="MT1" s="27"/>
      <c r="NM1" s="135" t="s">
        <v>12</v>
      </c>
      <c r="NN1" s="135"/>
      <c r="NO1" s="135"/>
      <c r="NP1" s="135"/>
      <c r="NQ1" s="27"/>
      <c r="NR1" s="27"/>
      <c r="NS1" s="27"/>
      <c r="NT1" s="27"/>
      <c r="NU1" s="27"/>
      <c r="NV1" s="27"/>
      <c r="NW1" s="27"/>
      <c r="NX1" s="27"/>
      <c r="NY1" s="27"/>
      <c r="OR1" s="135" t="s">
        <v>12</v>
      </c>
      <c r="OS1" s="135"/>
      <c r="OT1" s="135"/>
      <c r="OU1" s="135"/>
      <c r="OV1" s="27"/>
      <c r="OW1" s="27"/>
      <c r="OX1" s="27"/>
      <c r="OY1" s="27"/>
      <c r="OZ1" s="27"/>
      <c r="PA1" s="27"/>
      <c r="PB1" s="27"/>
      <c r="PC1" s="27"/>
      <c r="PD1" s="27"/>
    </row>
    <row r="2" spans="3:437" s="5" customFormat="1" x14ac:dyDescent="0.35">
      <c r="C2" s="149" t="s">
        <v>47</v>
      </c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AH2" s="149" t="s">
        <v>47</v>
      </c>
      <c r="AI2" s="149"/>
      <c r="AJ2" s="149"/>
      <c r="AK2" s="149"/>
      <c r="AL2" s="149"/>
      <c r="AM2" s="149"/>
      <c r="AN2" s="149"/>
      <c r="AO2" s="149"/>
      <c r="AP2" s="149"/>
      <c r="AQ2" s="149"/>
      <c r="AR2" s="149"/>
      <c r="AS2" s="149"/>
      <c r="AT2" s="149"/>
      <c r="BM2" s="149" t="s">
        <v>47</v>
      </c>
      <c r="BN2" s="149"/>
      <c r="BO2" s="149"/>
      <c r="BP2" s="149"/>
      <c r="BQ2" s="149"/>
      <c r="BR2" s="149"/>
      <c r="BS2" s="149"/>
      <c r="BT2" s="149"/>
      <c r="BU2" s="149"/>
      <c r="BV2" s="149"/>
      <c r="BW2" s="149"/>
      <c r="BX2" s="149"/>
      <c r="BY2" s="149"/>
      <c r="CS2" s="149" t="s">
        <v>47</v>
      </c>
      <c r="CT2" s="149"/>
      <c r="CU2" s="149"/>
      <c r="CV2" s="149"/>
      <c r="CW2" s="149"/>
      <c r="CX2" s="149"/>
      <c r="CY2" s="149"/>
      <c r="CZ2" s="149"/>
      <c r="DA2" s="149"/>
      <c r="DB2" s="149"/>
      <c r="DC2" s="149"/>
      <c r="DD2" s="149"/>
      <c r="DE2" s="149"/>
      <c r="DY2" s="149" t="s">
        <v>47</v>
      </c>
      <c r="DZ2" s="149"/>
      <c r="EA2" s="149"/>
      <c r="EB2" s="149"/>
      <c r="EC2" s="149"/>
      <c r="ED2" s="149"/>
      <c r="EE2" s="149"/>
      <c r="EF2" s="149"/>
      <c r="EG2" s="149"/>
      <c r="EH2" s="149"/>
      <c r="EI2" s="149"/>
      <c r="EJ2" s="149"/>
      <c r="EK2" s="149"/>
      <c r="FD2" s="149" t="s">
        <v>47</v>
      </c>
      <c r="FE2" s="149"/>
      <c r="FF2" s="149"/>
      <c r="FG2" s="149"/>
      <c r="FH2" s="149"/>
      <c r="FI2" s="149"/>
      <c r="FJ2" s="149"/>
      <c r="FK2" s="149"/>
      <c r="FL2" s="149"/>
      <c r="FM2" s="149"/>
      <c r="FN2" s="149"/>
      <c r="FO2" s="149"/>
      <c r="FP2" s="149"/>
      <c r="GI2" s="149" t="s">
        <v>47</v>
      </c>
      <c r="GJ2" s="149"/>
      <c r="GK2" s="149"/>
      <c r="GL2" s="149"/>
      <c r="GM2" s="149"/>
      <c r="GN2" s="149"/>
      <c r="GO2" s="149"/>
      <c r="GP2" s="149"/>
      <c r="GQ2" s="149"/>
      <c r="GR2" s="149"/>
      <c r="GS2" s="149"/>
      <c r="GT2" s="149"/>
      <c r="GU2" s="149"/>
      <c r="HN2" s="149" t="s">
        <v>47</v>
      </c>
      <c r="HO2" s="149"/>
      <c r="HP2" s="149"/>
      <c r="HQ2" s="149"/>
      <c r="HR2" s="149"/>
      <c r="HS2" s="149"/>
      <c r="HT2" s="149"/>
      <c r="HU2" s="149"/>
      <c r="HV2" s="149"/>
      <c r="HW2" s="149"/>
      <c r="HX2" s="149"/>
      <c r="HY2" s="149"/>
      <c r="HZ2" s="149"/>
      <c r="IS2" s="149" t="s">
        <v>47</v>
      </c>
      <c r="IT2" s="149"/>
      <c r="IU2" s="149"/>
      <c r="IV2" s="149"/>
      <c r="IW2" s="149"/>
      <c r="IX2" s="149"/>
      <c r="IY2" s="149"/>
      <c r="IZ2" s="149"/>
      <c r="JA2" s="149"/>
      <c r="JB2" s="149"/>
      <c r="JC2" s="149"/>
      <c r="JD2" s="149"/>
      <c r="JE2" s="149"/>
      <c r="JX2" s="149" t="s">
        <v>47</v>
      </c>
      <c r="JY2" s="149"/>
      <c r="JZ2" s="149"/>
      <c r="KA2" s="149"/>
      <c r="KB2" s="149"/>
      <c r="KC2" s="149"/>
      <c r="KD2" s="149"/>
      <c r="KE2" s="149"/>
      <c r="KF2" s="149"/>
      <c r="KG2" s="149"/>
      <c r="KH2" s="149"/>
      <c r="KI2" s="149"/>
      <c r="KJ2" s="149"/>
      <c r="LC2" s="149" t="s">
        <v>47</v>
      </c>
      <c r="LD2" s="149"/>
      <c r="LE2" s="149"/>
      <c r="LF2" s="149"/>
      <c r="LG2" s="149"/>
      <c r="LH2" s="149"/>
      <c r="LI2" s="149"/>
      <c r="LJ2" s="149"/>
      <c r="LK2" s="149"/>
      <c r="LL2" s="149"/>
      <c r="LM2" s="149"/>
      <c r="LN2" s="149"/>
      <c r="LO2" s="149"/>
      <c r="MH2" s="149" t="s">
        <v>47</v>
      </c>
      <c r="MI2" s="149"/>
      <c r="MJ2" s="149"/>
      <c r="MK2" s="149"/>
      <c r="ML2" s="149"/>
      <c r="MM2" s="149"/>
      <c r="MN2" s="149"/>
      <c r="MO2" s="149"/>
      <c r="MP2" s="149"/>
      <c r="MQ2" s="149"/>
      <c r="MR2" s="149"/>
      <c r="MS2" s="149"/>
      <c r="MT2" s="149"/>
      <c r="NM2" s="149" t="s">
        <v>47</v>
      </c>
      <c r="NN2" s="149"/>
      <c r="NO2" s="149"/>
      <c r="NP2" s="149"/>
      <c r="NQ2" s="149"/>
      <c r="NR2" s="149"/>
      <c r="NS2" s="149"/>
      <c r="NT2" s="149"/>
      <c r="NU2" s="149"/>
      <c r="NV2" s="149"/>
      <c r="NW2" s="149"/>
      <c r="NX2" s="149"/>
      <c r="NY2" s="149"/>
      <c r="OR2" s="149" t="s">
        <v>47</v>
      </c>
      <c r="OS2" s="149"/>
      <c r="OT2" s="149"/>
      <c r="OU2" s="149"/>
      <c r="OV2" s="149"/>
      <c r="OW2" s="149"/>
      <c r="OX2" s="149"/>
      <c r="OY2" s="149"/>
      <c r="OZ2" s="149"/>
      <c r="PA2" s="149"/>
      <c r="PB2" s="149"/>
      <c r="PC2" s="149"/>
      <c r="PD2" s="149"/>
    </row>
    <row r="4" spans="3:437" x14ac:dyDescent="0.35">
      <c r="C4" s="114" t="s">
        <v>13</v>
      </c>
      <c r="D4" s="115"/>
      <c r="E4" s="41">
        <f>+AF55</f>
        <v>150000400</v>
      </c>
      <c r="F4" s="89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47">
        <v>100000000</v>
      </c>
      <c r="AH4" s="114" t="s">
        <v>13</v>
      </c>
      <c r="AI4" s="115"/>
      <c r="AJ4" s="41">
        <f>+BK55</f>
        <v>150411360</v>
      </c>
      <c r="AK4" s="42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47">
        <v>100000000</v>
      </c>
      <c r="BM4" s="114" t="s">
        <v>13</v>
      </c>
      <c r="BN4" s="115"/>
      <c r="BO4" s="41">
        <f>+CP55</f>
        <v>150000400</v>
      </c>
      <c r="BP4" s="42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47">
        <v>100000000</v>
      </c>
      <c r="CS4" s="114" t="s">
        <v>13</v>
      </c>
      <c r="CT4" s="115"/>
      <c r="CU4" s="41">
        <f>+DV55</f>
        <v>150000400</v>
      </c>
      <c r="CV4" s="42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47">
        <v>100000000</v>
      </c>
      <c r="DY4" s="114" t="s">
        <v>13</v>
      </c>
      <c r="DZ4" s="115"/>
      <c r="EA4" s="41">
        <f>+FB55</f>
        <v>150000400</v>
      </c>
      <c r="EB4" s="42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47">
        <v>100000000</v>
      </c>
      <c r="FD4" s="114" t="s">
        <v>13</v>
      </c>
      <c r="FE4" s="115"/>
      <c r="FF4" s="41">
        <f>+GG55</f>
        <v>150411360</v>
      </c>
      <c r="FG4" s="42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47">
        <v>100000000</v>
      </c>
      <c r="GI4" s="114" t="s">
        <v>13</v>
      </c>
      <c r="GJ4" s="115"/>
      <c r="GK4" s="41">
        <f>+HL55</f>
        <v>150000400</v>
      </c>
      <c r="GL4" s="42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47">
        <v>100000000</v>
      </c>
      <c r="HN4" s="114" t="s">
        <v>13</v>
      </c>
      <c r="HO4" s="115"/>
      <c r="HP4" s="41">
        <f>+IQ55</f>
        <v>150000400</v>
      </c>
      <c r="HQ4" s="42"/>
      <c r="HR4" s="15"/>
      <c r="HS4" s="15"/>
      <c r="HT4" s="15"/>
      <c r="HU4" s="15"/>
      <c r="HV4" s="15"/>
      <c r="HW4" s="15"/>
      <c r="HX4" s="15"/>
      <c r="HY4" s="15"/>
      <c r="HZ4" s="15"/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47">
        <v>100000000</v>
      </c>
      <c r="IS4" s="114" t="s">
        <v>13</v>
      </c>
      <c r="IT4" s="115"/>
      <c r="IU4" s="41">
        <f>+JV55</f>
        <v>150000400</v>
      </c>
      <c r="IV4" s="42"/>
      <c r="IW4" s="15"/>
      <c r="IX4" s="15"/>
      <c r="IY4" s="15"/>
      <c r="IZ4" s="15"/>
      <c r="JA4" s="15"/>
      <c r="JB4" s="15"/>
      <c r="JC4" s="15"/>
      <c r="JD4" s="15"/>
      <c r="JE4" s="15"/>
      <c r="JF4" s="15"/>
      <c r="JG4" s="15"/>
      <c r="JH4" s="15"/>
      <c r="JI4" s="15"/>
      <c r="JJ4" s="15"/>
      <c r="JK4" s="15"/>
      <c r="JL4" s="15"/>
      <c r="JM4" s="15"/>
      <c r="JN4" s="15"/>
      <c r="JO4" s="15"/>
      <c r="JP4" s="15"/>
      <c r="JQ4" s="15"/>
      <c r="JR4" s="15"/>
      <c r="JS4" s="15"/>
      <c r="JT4" s="15"/>
      <c r="JU4" s="15"/>
      <c r="JV4" s="47">
        <v>100000000</v>
      </c>
      <c r="JX4" s="114" t="s">
        <v>13</v>
      </c>
      <c r="JY4" s="115"/>
      <c r="JZ4" s="41">
        <f>+LA55</f>
        <v>150411360</v>
      </c>
      <c r="KA4" s="42"/>
      <c r="KB4" s="15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5"/>
      <c r="KT4" s="15"/>
      <c r="KU4" s="15"/>
      <c r="KV4" s="15"/>
      <c r="KW4" s="15"/>
      <c r="KX4" s="15"/>
      <c r="KY4" s="15"/>
      <c r="KZ4" s="15"/>
      <c r="LA4" s="47">
        <v>100000000</v>
      </c>
      <c r="LC4" s="114" t="s">
        <v>13</v>
      </c>
      <c r="LD4" s="115"/>
      <c r="LE4" s="41">
        <f>+MF55</f>
        <v>150000400</v>
      </c>
      <c r="LF4" s="42"/>
      <c r="LG4" s="15"/>
      <c r="LH4" s="15"/>
      <c r="LI4" s="15"/>
      <c r="LJ4" s="15"/>
      <c r="LK4" s="15"/>
      <c r="LL4" s="15"/>
      <c r="LM4" s="15"/>
      <c r="LN4" s="15"/>
      <c r="LO4" s="15"/>
      <c r="LP4" s="15"/>
      <c r="LQ4" s="15"/>
      <c r="LR4" s="15"/>
      <c r="LS4" s="15"/>
      <c r="LT4" s="15"/>
      <c r="LU4" s="15"/>
      <c r="LV4" s="15"/>
      <c r="LW4" s="15"/>
      <c r="LX4" s="15"/>
      <c r="LY4" s="15"/>
      <c r="LZ4" s="15"/>
      <c r="MA4" s="15"/>
      <c r="MB4" s="15"/>
      <c r="MC4" s="15"/>
      <c r="MD4" s="15"/>
      <c r="ME4" s="15"/>
      <c r="MF4" s="47"/>
      <c r="MH4" s="114" t="s">
        <v>13</v>
      </c>
      <c r="MI4" s="115"/>
      <c r="MJ4" s="41">
        <f>+NK55</f>
        <v>150000400</v>
      </c>
      <c r="MK4" s="42"/>
      <c r="ML4" s="15"/>
      <c r="MM4" s="15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5"/>
      <c r="NE4" s="15"/>
      <c r="NF4" s="15"/>
      <c r="NG4" s="15"/>
      <c r="NH4" s="15"/>
      <c r="NI4" s="15"/>
      <c r="NJ4" s="15"/>
      <c r="NK4" s="47"/>
      <c r="NM4" s="114" t="s">
        <v>13</v>
      </c>
      <c r="NN4" s="115"/>
      <c r="NO4" s="41">
        <f>+OP55</f>
        <v>150000400</v>
      </c>
      <c r="NP4" s="42"/>
      <c r="NQ4" s="15"/>
      <c r="NR4" s="15"/>
      <c r="NS4" s="15"/>
      <c r="NT4" s="15"/>
      <c r="NU4" s="15"/>
      <c r="NV4" s="15"/>
      <c r="NW4" s="15"/>
      <c r="NX4" s="15"/>
      <c r="NY4" s="15"/>
      <c r="NZ4" s="15"/>
      <c r="OA4" s="15"/>
      <c r="OB4" s="15"/>
      <c r="OC4" s="15"/>
      <c r="OD4" s="15"/>
      <c r="OE4" s="15"/>
      <c r="OF4" s="15"/>
      <c r="OG4" s="15"/>
      <c r="OH4" s="15"/>
      <c r="OI4" s="15"/>
      <c r="OJ4" s="15"/>
      <c r="OK4" s="15"/>
      <c r="OL4" s="15"/>
      <c r="OM4" s="15"/>
      <c r="ON4" s="15"/>
      <c r="OO4" s="15"/>
      <c r="OP4" s="47">
        <v>100000000</v>
      </c>
      <c r="OR4" s="114" t="s">
        <v>13</v>
      </c>
      <c r="OS4" s="115"/>
      <c r="OT4" s="41">
        <f>+PU55</f>
        <v>150411360</v>
      </c>
      <c r="OU4" s="42"/>
      <c r="OV4" s="15"/>
      <c r="OW4" s="15"/>
      <c r="OX4" s="15"/>
      <c r="OY4" s="15"/>
      <c r="OZ4" s="15"/>
      <c r="PA4" s="15"/>
      <c r="PB4" s="15"/>
      <c r="PC4" s="15"/>
      <c r="PD4" s="15"/>
      <c r="PE4" s="15"/>
      <c r="PF4" s="15"/>
      <c r="PG4" s="15"/>
      <c r="PH4" s="15"/>
      <c r="PI4" s="15"/>
      <c r="PJ4" s="15"/>
      <c r="PK4" s="15"/>
      <c r="PL4" s="15"/>
      <c r="PM4" s="15"/>
      <c r="PN4" s="15"/>
      <c r="PO4" s="15"/>
      <c r="PP4" s="15"/>
      <c r="PQ4" s="15"/>
      <c r="PR4" s="15"/>
      <c r="PS4" s="15"/>
      <c r="PT4" s="15"/>
      <c r="PU4" s="47">
        <v>100000000</v>
      </c>
    </row>
    <row r="5" spans="3:437" x14ac:dyDescent="0.35">
      <c r="C5" s="15" t="s">
        <v>1</v>
      </c>
      <c r="D5" s="16" t="s">
        <v>14</v>
      </c>
      <c r="E5" s="15" t="s">
        <v>15</v>
      </c>
      <c r="F5" s="90" t="s">
        <v>16</v>
      </c>
      <c r="G5" s="15" t="s">
        <v>17</v>
      </c>
      <c r="H5" s="15" t="s">
        <v>18</v>
      </c>
      <c r="I5" s="15" t="s">
        <v>19</v>
      </c>
      <c r="J5" s="15" t="s">
        <v>20</v>
      </c>
      <c r="K5" s="15" t="s">
        <v>21</v>
      </c>
      <c r="L5" s="15" t="s">
        <v>22</v>
      </c>
      <c r="M5" s="15" t="s">
        <v>23</v>
      </c>
      <c r="N5" s="15" t="s">
        <v>24</v>
      </c>
      <c r="O5" s="15" t="s">
        <v>25</v>
      </c>
      <c r="P5" s="15" t="s">
        <v>26</v>
      </c>
      <c r="Q5" s="15" t="s">
        <v>27</v>
      </c>
      <c r="R5" s="15" t="s">
        <v>28</v>
      </c>
      <c r="S5" s="15" t="s">
        <v>29</v>
      </c>
      <c r="T5" s="15" t="s">
        <v>30</v>
      </c>
      <c r="U5" s="15" t="s">
        <v>31</v>
      </c>
      <c r="V5" s="15" t="s">
        <v>32</v>
      </c>
      <c r="W5" s="15" t="s">
        <v>33</v>
      </c>
      <c r="X5" s="15" t="s">
        <v>34</v>
      </c>
      <c r="Y5" s="15" t="s">
        <v>35</v>
      </c>
      <c r="Z5" s="15" t="s">
        <v>36</v>
      </c>
      <c r="AA5" s="15" t="s">
        <v>37</v>
      </c>
      <c r="AB5" s="15" t="s">
        <v>38</v>
      </c>
      <c r="AC5" s="15" t="s">
        <v>39</v>
      </c>
      <c r="AD5" s="15" t="s">
        <v>40</v>
      </c>
      <c r="AE5" s="15" t="s">
        <v>41</v>
      </c>
      <c r="AF5" s="15" t="s">
        <v>42</v>
      </c>
      <c r="AH5" s="15" t="s">
        <v>1</v>
      </c>
      <c r="AI5" s="16" t="s">
        <v>14</v>
      </c>
      <c r="AJ5" s="15" t="s">
        <v>15</v>
      </c>
      <c r="AK5" s="15" t="s">
        <v>16</v>
      </c>
      <c r="AL5" s="15" t="s">
        <v>17</v>
      </c>
      <c r="AM5" s="15" t="s">
        <v>18</v>
      </c>
      <c r="AN5" s="15" t="s">
        <v>19</v>
      </c>
      <c r="AO5" s="15" t="s">
        <v>20</v>
      </c>
      <c r="AP5" s="15" t="s">
        <v>21</v>
      </c>
      <c r="AQ5" s="15" t="s">
        <v>22</v>
      </c>
      <c r="AR5" s="15" t="s">
        <v>23</v>
      </c>
      <c r="AS5" s="15" t="s">
        <v>24</v>
      </c>
      <c r="AT5" s="15" t="s">
        <v>25</v>
      </c>
      <c r="AU5" s="15" t="s">
        <v>26</v>
      </c>
      <c r="AV5" s="15" t="s">
        <v>27</v>
      </c>
      <c r="AW5" s="15" t="s">
        <v>28</v>
      </c>
      <c r="AX5" s="15" t="s">
        <v>29</v>
      </c>
      <c r="AY5" s="15" t="s">
        <v>30</v>
      </c>
      <c r="AZ5" s="15" t="s">
        <v>31</v>
      </c>
      <c r="BA5" s="15" t="s">
        <v>32</v>
      </c>
      <c r="BB5" s="15" t="s">
        <v>33</v>
      </c>
      <c r="BC5" s="15" t="s">
        <v>34</v>
      </c>
      <c r="BD5" s="15" t="s">
        <v>35</v>
      </c>
      <c r="BE5" s="15" t="s">
        <v>36</v>
      </c>
      <c r="BF5" s="15" t="s">
        <v>37</v>
      </c>
      <c r="BG5" s="15" t="s">
        <v>38</v>
      </c>
      <c r="BH5" s="15" t="s">
        <v>39</v>
      </c>
      <c r="BI5" s="15" t="s">
        <v>40</v>
      </c>
      <c r="BJ5" s="15" t="s">
        <v>41</v>
      </c>
      <c r="BK5" s="15" t="s">
        <v>42</v>
      </c>
      <c r="BM5" s="15" t="s">
        <v>1</v>
      </c>
      <c r="BN5" s="16" t="s">
        <v>14</v>
      </c>
      <c r="BO5" s="15" t="s">
        <v>15</v>
      </c>
      <c r="BP5" s="15" t="s">
        <v>16</v>
      </c>
      <c r="BQ5" s="15" t="s">
        <v>17</v>
      </c>
      <c r="BR5" s="15" t="s">
        <v>18</v>
      </c>
      <c r="BS5" s="15" t="s">
        <v>19</v>
      </c>
      <c r="BT5" s="15" t="s">
        <v>20</v>
      </c>
      <c r="BU5" s="15" t="s">
        <v>21</v>
      </c>
      <c r="BV5" s="15" t="s">
        <v>22</v>
      </c>
      <c r="BW5" s="15" t="s">
        <v>23</v>
      </c>
      <c r="BX5" s="15" t="s">
        <v>24</v>
      </c>
      <c r="BY5" s="15" t="s">
        <v>25</v>
      </c>
      <c r="BZ5" s="15" t="s">
        <v>26</v>
      </c>
      <c r="CA5" s="15" t="s">
        <v>27</v>
      </c>
      <c r="CB5" s="15" t="s">
        <v>28</v>
      </c>
      <c r="CC5" s="15" t="s">
        <v>29</v>
      </c>
      <c r="CD5" s="15" t="s">
        <v>30</v>
      </c>
      <c r="CE5" s="15" t="s">
        <v>31</v>
      </c>
      <c r="CF5" s="15" t="s">
        <v>32</v>
      </c>
      <c r="CG5" s="15" t="s">
        <v>33</v>
      </c>
      <c r="CH5" s="15" t="s">
        <v>34</v>
      </c>
      <c r="CI5" s="15" t="s">
        <v>35</v>
      </c>
      <c r="CJ5" s="15" t="s">
        <v>36</v>
      </c>
      <c r="CK5" s="15" t="s">
        <v>37</v>
      </c>
      <c r="CL5" s="15" t="s">
        <v>38</v>
      </c>
      <c r="CM5" s="15" t="s">
        <v>39</v>
      </c>
      <c r="CN5" s="15" t="s">
        <v>40</v>
      </c>
      <c r="CO5" s="15" t="s">
        <v>41</v>
      </c>
      <c r="CP5" s="15" t="s">
        <v>42</v>
      </c>
      <c r="CS5" s="15" t="s">
        <v>1</v>
      </c>
      <c r="CT5" s="16" t="s">
        <v>14</v>
      </c>
      <c r="CU5" s="15" t="s">
        <v>15</v>
      </c>
      <c r="CV5" s="15" t="s">
        <v>16</v>
      </c>
      <c r="CW5" s="15" t="s">
        <v>17</v>
      </c>
      <c r="CX5" s="15" t="s">
        <v>18</v>
      </c>
      <c r="CY5" s="15" t="s">
        <v>19</v>
      </c>
      <c r="CZ5" s="15" t="s">
        <v>20</v>
      </c>
      <c r="DA5" s="15" t="s">
        <v>21</v>
      </c>
      <c r="DB5" s="15" t="s">
        <v>22</v>
      </c>
      <c r="DC5" s="15" t="s">
        <v>23</v>
      </c>
      <c r="DD5" s="15" t="s">
        <v>24</v>
      </c>
      <c r="DE5" s="15" t="s">
        <v>25</v>
      </c>
      <c r="DF5" s="15" t="s">
        <v>26</v>
      </c>
      <c r="DG5" s="15" t="s">
        <v>27</v>
      </c>
      <c r="DH5" s="15" t="s">
        <v>28</v>
      </c>
      <c r="DI5" s="15" t="s">
        <v>29</v>
      </c>
      <c r="DJ5" s="15" t="s">
        <v>30</v>
      </c>
      <c r="DK5" s="15" t="s">
        <v>31</v>
      </c>
      <c r="DL5" s="15" t="s">
        <v>32</v>
      </c>
      <c r="DM5" s="15" t="s">
        <v>33</v>
      </c>
      <c r="DN5" s="15" t="s">
        <v>34</v>
      </c>
      <c r="DO5" s="15" t="s">
        <v>35</v>
      </c>
      <c r="DP5" s="15" t="s">
        <v>36</v>
      </c>
      <c r="DQ5" s="15" t="s">
        <v>37</v>
      </c>
      <c r="DR5" s="15" t="s">
        <v>38</v>
      </c>
      <c r="DS5" s="15" t="s">
        <v>39</v>
      </c>
      <c r="DT5" s="15" t="s">
        <v>40</v>
      </c>
      <c r="DU5" s="15" t="s">
        <v>41</v>
      </c>
      <c r="DV5" s="15" t="s">
        <v>42</v>
      </c>
      <c r="DY5" s="15" t="s">
        <v>1</v>
      </c>
      <c r="DZ5" s="16" t="s">
        <v>14</v>
      </c>
      <c r="EA5" s="15" t="s">
        <v>15</v>
      </c>
      <c r="EB5" s="15" t="s">
        <v>16</v>
      </c>
      <c r="EC5" s="15" t="s">
        <v>17</v>
      </c>
      <c r="ED5" s="15" t="s">
        <v>18</v>
      </c>
      <c r="EE5" s="15" t="s">
        <v>19</v>
      </c>
      <c r="EF5" s="15" t="s">
        <v>20</v>
      </c>
      <c r="EG5" s="15" t="s">
        <v>21</v>
      </c>
      <c r="EH5" s="15" t="s">
        <v>22</v>
      </c>
      <c r="EI5" s="15" t="s">
        <v>23</v>
      </c>
      <c r="EJ5" s="15" t="s">
        <v>24</v>
      </c>
      <c r="EK5" s="15" t="s">
        <v>25</v>
      </c>
      <c r="EL5" s="15" t="s">
        <v>26</v>
      </c>
      <c r="EM5" s="15" t="s">
        <v>27</v>
      </c>
      <c r="EN5" s="15" t="s">
        <v>28</v>
      </c>
      <c r="EO5" s="15" t="s">
        <v>29</v>
      </c>
      <c r="EP5" s="15" t="s">
        <v>30</v>
      </c>
      <c r="EQ5" s="15" t="s">
        <v>31</v>
      </c>
      <c r="ER5" s="15" t="s">
        <v>32</v>
      </c>
      <c r="ES5" s="15" t="s">
        <v>33</v>
      </c>
      <c r="ET5" s="15" t="s">
        <v>34</v>
      </c>
      <c r="EU5" s="15" t="s">
        <v>35</v>
      </c>
      <c r="EV5" s="15" t="s">
        <v>36</v>
      </c>
      <c r="EW5" s="15" t="s">
        <v>37</v>
      </c>
      <c r="EX5" s="15" t="s">
        <v>38</v>
      </c>
      <c r="EY5" s="15" t="s">
        <v>39</v>
      </c>
      <c r="EZ5" s="15" t="s">
        <v>40</v>
      </c>
      <c r="FA5" s="15" t="s">
        <v>41</v>
      </c>
      <c r="FB5" s="15" t="s">
        <v>42</v>
      </c>
      <c r="FD5" s="15" t="s">
        <v>1</v>
      </c>
      <c r="FE5" s="16" t="s">
        <v>14</v>
      </c>
      <c r="FF5" s="15" t="s">
        <v>15</v>
      </c>
      <c r="FG5" s="15" t="s">
        <v>16</v>
      </c>
      <c r="FH5" s="15" t="s">
        <v>17</v>
      </c>
      <c r="FI5" s="15" t="s">
        <v>18</v>
      </c>
      <c r="FJ5" s="15" t="s">
        <v>19</v>
      </c>
      <c r="FK5" s="15" t="s">
        <v>20</v>
      </c>
      <c r="FL5" s="15" t="s">
        <v>21</v>
      </c>
      <c r="FM5" s="15" t="s">
        <v>22</v>
      </c>
      <c r="FN5" s="15" t="s">
        <v>23</v>
      </c>
      <c r="FO5" s="15" t="s">
        <v>24</v>
      </c>
      <c r="FP5" s="15" t="s">
        <v>25</v>
      </c>
      <c r="FQ5" s="15" t="s">
        <v>26</v>
      </c>
      <c r="FR5" s="15" t="s">
        <v>27</v>
      </c>
      <c r="FS5" s="15" t="s">
        <v>28</v>
      </c>
      <c r="FT5" s="15" t="s">
        <v>29</v>
      </c>
      <c r="FU5" s="15" t="s">
        <v>30</v>
      </c>
      <c r="FV5" s="15" t="s">
        <v>31</v>
      </c>
      <c r="FW5" s="15" t="s">
        <v>32</v>
      </c>
      <c r="FX5" s="15" t="s">
        <v>33</v>
      </c>
      <c r="FY5" s="15" t="s">
        <v>34</v>
      </c>
      <c r="FZ5" s="15" t="s">
        <v>35</v>
      </c>
      <c r="GA5" s="15" t="s">
        <v>36</v>
      </c>
      <c r="GB5" s="15" t="s">
        <v>37</v>
      </c>
      <c r="GC5" s="15" t="s">
        <v>38</v>
      </c>
      <c r="GD5" s="15" t="s">
        <v>39</v>
      </c>
      <c r="GE5" s="15" t="s">
        <v>40</v>
      </c>
      <c r="GF5" s="15" t="s">
        <v>41</v>
      </c>
      <c r="GG5" s="15" t="s">
        <v>42</v>
      </c>
      <c r="GI5" s="15" t="s">
        <v>1</v>
      </c>
      <c r="GJ5" s="16" t="s">
        <v>14</v>
      </c>
      <c r="GK5" s="15" t="s">
        <v>15</v>
      </c>
      <c r="GL5" s="15" t="s">
        <v>16</v>
      </c>
      <c r="GM5" s="15" t="s">
        <v>17</v>
      </c>
      <c r="GN5" s="15" t="s">
        <v>18</v>
      </c>
      <c r="GO5" s="15" t="s">
        <v>19</v>
      </c>
      <c r="GP5" s="15" t="s">
        <v>20</v>
      </c>
      <c r="GQ5" s="15" t="s">
        <v>21</v>
      </c>
      <c r="GR5" s="15" t="s">
        <v>22</v>
      </c>
      <c r="GS5" s="15" t="s">
        <v>23</v>
      </c>
      <c r="GT5" s="15" t="s">
        <v>24</v>
      </c>
      <c r="GU5" s="15" t="s">
        <v>25</v>
      </c>
      <c r="GV5" s="15" t="s">
        <v>26</v>
      </c>
      <c r="GW5" s="15" t="s">
        <v>27</v>
      </c>
      <c r="GX5" s="15" t="s">
        <v>28</v>
      </c>
      <c r="GY5" s="15" t="s">
        <v>29</v>
      </c>
      <c r="GZ5" s="15" t="s">
        <v>30</v>
      </c>
      <c r="HA5" s="15" t="s">
        <v>31</v>
      </c>
      <c r="HB5" s="15" t="s">
        <v>32</v>
      </c>
      <c r="HC5" s="15" t="s">
        <v>33</v>
      </c>
      <c r="HD5" s="15" t="s">
        <v>34</v>
      </c>
      <c r="HE5" s="15" t="s">
        <v>35</v>
      </c>
      <c r="HF5" s="15" t="s">
        <v>36</v>
      </c>
      <c r="HG5" s="15" t="s">
        <v>37</v>
      </c>
      <c r="HH5" s="15" t="s">
        <v>38</v>
      </c>
      <c r="HI5" s="15" t="s">
        <v>39</v>
      </c>
      <c r="HJ5" s="15" t="s">
        <v>40</v>
      </c>
      <c r="HK5" s="15" t="s">
        <v>41</v>
      </c>
      <c r="HL5" s="15" t="s">
        <v>42</v>
      </c>
      <c r="HN5" s="15" t="s">
        <v>1</v>
      </c>
      <c r="HO5" s="16" t="s">
        <v>14</v>
      </c>
      <c r="HP5" s="15" t="s">
        <v>15</v>
      </c>
      <c r="HQ5" s="15" t="s">
        <v>16</v>
      </c>
      <c r="HR5" s="15" t="s">
        <v>17</v>
      </c>
      <c r="HS5" s="15" t="s">
        <v>18</v>
      </c>
      <c r="HT5" s="15" t="s">
        <v>19</v>
      </c>
      <c r="HU5" s="15" t="s">
        <v>20</v>
      </c>
      <c r="HV5" s="15" t="s">
        <v>21</v>
      </c>
      <c r="HW5" s="15" t="s">
        <v>22</v>
      </c>
      <c r="HX5" s="15" t="s">
        <v>23</v>
      </c>
      <c r="HY5" s="15" t="s">
        <v>24</v>
      </c>
      <c r="HZ5" s="15" t="s">
        <v>25</v>
      </c>
      <c r="IA5" s="15" t="s">
        <v>26</v>
      </c>
      <c r="IB5" s="15" t="s">
        <v>27</v>
      </c>
      <c r="IC5" s="15" t="s">
        <v>28</v>
      </c>
      <c r="ID5" s="15" t="s">
        <v>29</v>
      </c>
      <c r="IE5" s="15" t="s">
        <v>30</v>
      </c>
      <c r="IF5" s="15" t="s">
        <v>31</v>
      </c>
      <c r="IG5" s="15" t="s">
        <v>32</v>
      </c>
      <c r="IH5" s="15" t="s">
        <v>33</v>
      </c>
      <c r="II5" s="15" t="s">
        <v>34</v>
      </c>
      <c r="IJ5" s="15" t="s">
        <v>35</v>
      </c>
      <c r="IK5" s="15" t="s">
        <v>36</v>
      </c>
      <c r="IL5" s="15" t="s">
        <v>37</v>
      </c>
      <c r="IM5" s="15" t="s">
        <v>38</v>
      </c>
      <c r="IN5" s="15" t="s">
        <v>39</v>
      </c>
      <c r="IO5" s="15" t="s">
        <v>40</v>
      </c>
      <c r="IP5" s="15" t="s">
        <v>41</v>
      </c>
      <c r="IQ5" s="15" t="s">
        <v>42</v>
      </c>
      <c r="IS5" s="15" t="s">
        <v>1</v>
      </c>
      <c r="IT5" s="16" t="s">
        <v>14</v>
      </c>
      <c r="IU5" s="15" t="s">
        <v>15</v>
      </c>
      <c r="IV5" s="15" t="s">
        <v>16</v>
      </c>
      <c r="IW5" s="15" t="s">
        <v>17</v>
      </c>
      <c r="IX5" s="15" t="s">
        <v>18</v>
      </c>
      <c r="IY5" s="15" t="s">
        <v>19</v>
      </c>
      <c r="IZ5" s="15" t="s">
        <v>20</v>
      </c>
      <c r="JA5" s="15" t="s">
        <v>21</v>
      </c>
      <c r="JB5" s="15" t="s">
        <v>22</v>
      </c>
      <c r="JC5" s="15" t="s">
        <v>23</v>
      </c>
      <c r="JD5" s="15" t="s">
        <v>24</v>
      </c>
      <c r="JE5" s="15" t="s">
        <v>25</v>
      </c>
      <c r="JF5" s="15" t="s">
        <v>26</v>
      </c>
      <c r="JG5" s="15" t="s">
        <v>27</v>
      </c>
      <c r="JH5" s="15" t="s">
        <v>28</v>
      </c>
      <c r="JI5" s="15" t="s">
        <v>29</v>
      </c>
      <c r="JJ5" s="15" t="s">
        <v>30</v>
      </c>
      <c r="JK5" s="15" t="s">
        <v>31</v>
      </c>
      <c r="JL5" s="15" t="s">
        <v>32</v>
      </c>
      <c r="JM5" s="15" t="s">
        <v>33</v>
      </c>
      <c r="JN5" s="15" t="s">
        <v>34</v>
      </c>
      <c r="JO5" s="15" t="s">
        <v>35</v>
      </c>
      <c r="JP5" s="15" t="s">
        <v>36</v>
      </c>
      <c r="JQ5" s="15" t="s">
        <v>37</v>
      </c>
      <c r="JR5" s="15" t="s">
        <v>38</v>
      </c>
      <c r="JS5" s="15" t="s">
        <v>39</v>
      </c>
      <c r="JT5" s="15" t="s">
        <v>40</v>
      </c>
      <c r="JU5" s="15" t="s">
        <v>41</v>
      </c>
      <c r="JV5" s="15" t="s">
        <v>42</v>
      </c>
      <c r="JX5" s="15" t="s">
        <v>1</v>
      </c>
      <c r="JY5" s="16" t="s">
        <v>14</v>
      </c>
      <c r="JZ5" s="15" t="s">
        <v>15</v>
      </c>
      <c r="KA5" s="15" t="s">
        <v>16</v>
      </c>
      <c r="KB5" s="15" t="s">
        <v>17</v>
      </c>
      <c r="KC5" s="15" t="s">
        <v>18</v>
      </c>
      <c r="KD5" s="15" t="s">
        <v>19</v>
      </c>
      <c r="KE5" s="15" t="s">
        <v>20</v>
      </c>
      <c r="KF5" s="15" t="s">
        <v>21</v>
      </c>
      <c r="KG5" s="15" t="s">
        <v>22</v>
      </c>
      <c r="KH5" s="15" t="s">
        <v>23</v>
      </c>
      <c r="KI5" s="15" t="s">
        <v>24</v>
      </c>
      <c r="KJ5" s="15" t="s">
        <v>25</v>
      </c>
      <c r="KK5" s="15" t="s">
        <v>26</v>
      </c>
      <c r="KL5" s="15" t="s">
        <v>27</v>
      </c>
      <c r="KM5" s="15" t="s">
        <v>28</v>
      </c>
      <c r="KN5" s="15" t="s">
        <v>29</v>
      </c>
      <c r="KO5" s="15" t="s">
        <v>30</v>
      </c>
      <c r="KP5" s="15" t="s">
        <v>31</v>
      </c>
      <c r="KQ5" s="15" t="s">
        <v>32</v>
      </c>
      <c r="KR5" s="15" t="s">
        <v>33</v>
      </c>
      <c r="KS5" s="15" t="s">
        <v>34</v>
      </c>
      <c r="KT5" s="15" t="s">
        <v>35</v>
      </c>
      <c r="KU5" s="15" t="s">
        <v>36</v>
      </c>
      <c r="KV5" s="15" t="s">
        <v>37</v>
      </c>
      <c r="KW5" s="15" t="s">
        <v>38</v>
      </c>
      <c r="KX5" s="15" t="s">
        <v>39</v>
      </c>
      <c r="KY5" s="15" t="s">
        <v>40</v>
      </c>
      <c r="KZ5" s="15" t="s">
        <v>41</v>
      </c>
      <c r="LA5" s="15" t="s">
        <v>42</v>
      </c>
      <c r="LC5" s="15" t="s">
        <v>1</v>
      </c>
      <c r="LD5" s="16" t="s">
        <v>14</v>
      </c>
      <c r="LE5" s="15" t="s">
        <v>15</v>
      </c>
      <c r="LF5" s="15" t="s">
        <v>16</v>
      </c>
      <c r="LG5" s="15" t="s">
        <v>17</v>
      </c>
      <c r="LH5" s="15" t="s">
        <v>18</v>
      </c>
      <c r="LI5" s="15" t="s">
        <v>19</v>
      </c>
      <c r="LJ5" s="15" t="s">
        <v>20</v>
      </c>
      <c r="LK5" s="15" t="s">
        <v>21</v>
      </c>
      <c r="LL5" s="15" t="s">
        <v>22</v>
      </c>
      <c r="LM5" s="15" t="s">
        <v>23</v>
      </c>
      <c r="LN5" s="15" t="s">
        <v>24</v>
      </c>
      <c r="LO5" s="15" t="s">
        <v>25</v>
      </c>
      <c r="LP5" s="15" t="s">
        <v>26</v>
      </c>
      <c r="LQ5" s="15" t="s">
        <v>27</v>
      </c>
      <c r="LR5" s="15" t="s">
        <v>28</v>
      </c>
      <c r="LS5" s="15" t="s">
        <v>29</v>
      </c>
      <c r="LT5" s="15" t="s">
        <v>30</v>
      </c>
      <c r="LU5" s="15" t="s">
        <v>31</v>
      </c>
      <c r="LV5" s="15" t="s">
        <v>32</v>
      </c>
      <c r="LW5" s="15" t="s">
        <v>33</v>
      </c>
      <c r="LX5" s="15" t="s">
        <v>34</v>
      </c>
      <c r="LY5" s="15" t="s">
        <v>35</v>
      </c>
      <c r="LZ5" s="15" t="s">
        <v>36</v>
      </c>
      <c r="MA5" s="15" t="s">
        <v>37</v>
      </c>
      <c r="MB5" s="15" t="s">
        <v>38</v>
      </c>
      <c r="MC5" s="15" t="s">
        <v>39</v>
      </c>
      <c r="MD5" s="15" t="s">
        <v>40</v>
      </c>
      <c r="ME5" s="15" t="s">
        <v>41</v>
      </c>
      <c r="MF5" s="15" t="s">
        <v>42</v>
      </c>
      <c r="MH5" s="15" t="s">
        <v>1</v>
      </c>
      <c r="MI5" s="16" t="s">
        <v>14</v>
      </c>
      <c r="MJ5" s="15" t="s">
        <v>15</v>
      </c>
      <c r="MK5" s="15" t="s">
        <v>16</v>
      </c>
      <c r="ML5" s="15" t="s">
        <v>17</v>
      </c>
      <c r="MM5" s="15" t="s">
        <v>18</v>
      </c>
      <c r="MN5" s="15" t="s">
        <v>19</v>
      </c>
      <c r="MO5" s="15" t="s">
        <v>20</v>
      </c>
      <c r="MP5" s="15" t="s">
        <v>21</v>
      </c>
      <c r="MQ5" s="15" t="s">
        <v>22</v>
      </c>
      <c r="MR5" s="15" t="s">
        <v>23</v>
      </c>
      <c r="MS5" s="15" t="s">
        <v>24</v>
      </c>
      <c r="MT5" s="15" t="s">
        <v>25</v>
      </c>
      <c r="MU5" s="15" t="s">
        <v>26</v>
      </c>
      <c r="MV5" s="15" t="s">
        <v>27</v>
      </c>
      <c r="MW5" s="15" t="s">
        <v>28</v>
      </c>
      <c r="MX5" s="15" t="s">
        <v>29</v>
      </c>
      <c r="MY5" s="15" t="s">
        <v>30</v>
      </c>
      <c r="MZ5" s="15" t="s">
        <v>31</v>
      </c>
      <c r="NA5" s="15" t="s">
        <v>32</v>
      </c>
      <c r="NB5" s="15" t="s">
        <v>33</v>
      </c>
      <c r="NC5" s="15" t="s">
        <v>34</v>
      </c>
      <c r="ND5" s="15" t="s">
        <v>35</v>
      </c>
      <c r="NE5" s="15" t="s">
        <v>36</v>
      </c>
      <c r="NF5" s="15" t="s">
        <v>37</v>
      </c>
      <c r="NG5" s="15" t="s">
        <v>38</v>
      </c>
      <c r="NH5" s="15" t="s">
        <v>39</v>
      </c>
      <c r="NI5" s="15" t="s">
        <v>40</v>
      </c>
      <c r="NJ5" s="15" t="s">
        <v>41</v>
      </c>
      <c r="NK5" s="15" t="s">
        <v>42</v>
      </c>
      <c r="NM5" s="15" t="s">
        <v>1</v>
      </c>
      <c r="NN5" s="16" t="s">
        <v>14</v>
      </c>
      <c r="NO5" s="15" t="s">
        <v>15</v>
      </c>
      <c r="NP5" s="15" t="s">
        <v>16</v>
      </c>
      <c r="NQ5" s="15" t="s">
        <v>17</v>
      </c>
      <c r="NR5" s="15" t="s">
        <v>18</v>
      </c>
      <c r="NS5" s="15" t="s">
        <v>19</v>
      </c>
      <c r="NT5" s="15" t="s">
        <v>20</v>
      </c>
      <c r="NU5" s="15" t="s">
        <v>21</v>
      </c>
      <c r="NV5" s="15" t="s">
        <v>22</v>
      </c>
      <c r="NW5" s="15" t="s">
        <v>23</v>
      </c>
      <c r="NX5" s="15" t="s">
        <v>24</v>
      </c>
      <c r="NY5" s="15" t="s">
        <v>25</v>
      </c>
      <c r="NZ5" s="15" t="s">
        <v>26</v>
      </c>
      <c r="OA5" s="15" t="s">
        <v>27</v>
      </c>
      <c r="OB5" s="15" t="s">
        <v>28</v>
      </c>
      <c r="OC5" s="15" t="s">
        <v>29</v>
      </c>
      <c r="OD5" s="15" t="s">
        <v>30</v>
      </c>
      <c r="OE5" s="15" t="s">
        <v>31</v>
      </c>
      <c r="OF5" s="15" t="s">
        <v>32</v>
      </c>
      <c r="OG5" s="15" t="s">
        <v>33</v>
      </c>
      <c r="OH5" s="15" t="s">
        <v>34</v>
      </c>
      <c r="OI5" s="15" t="s">
        <v>35</v>
      </c>
      <c r="OJ5" s="15" t="s">
        <v>36</v>
      </c>
      <c r="OK5" s="15" t="s">
        <v>37</v>
      </c>
      <c r="OL5" s="15" t="s">
        <v>38</v>
      </c>
      <c r="OM5" s="15" t="s">
        <v>39</v>
      </c>
      <c r="ON5" s="15" t="s">
        <v>40</v>
      </c>
      <c r="OO5" s="15" t="s">
        <v>41</v>
      </c>
      <c r="OP5" s="15" t="s">
        <v>42</v>
      </c>
      <c r="OR5" s="15" t="s">
        <v>1</v>
      </c>
      <c r="OS5" s="16" t="s">
        <v>14</v>
      </c>
      <c r="OT5" s="15" t="s">
        <v>15</v>
      </c>
      <c r="OU5" s="15" t="s">
        <v>16</v>
      </c>
      <c r="OV5" s="15" t="s">
        <v>17</v>
      </c>
      <c r="OW5" s="15" t="s">
        <v>18</v>
      </c>
      <c r="OX5" s="15" t="s">
        <v>19</v>
      </c>
      <c r="OY5" s="15" t="s">
        <v>20</v>
      </c>
      <c r="OZ5" s="15" t="s">
        <v>21</v>
      </c>
      <c r="PA5" s="15" t="s">
        <v>22</v>
      </c>
      <c r="PB5" s="15" t="s">
        <v>23</v>
      </c>
      <c r="PC5" s="15" t="s">
        <v>24</v>
      </c>
      <c r="PD5" s="15" t="s">
        <v>25</v>
      </c>
      <c r="PE5" s="15" t="s">
        <v>26</v>
      </c>
      <c r="PF5" s="15" t="s">
        <v>27</v>
      </c>
      <c r="PG5" s="15" t="s">
        <v>28</v>
      </c>
      <c r="PH5" s="15" t="s">
        <v>29</v>
      </c>
      <c r="PI5" s="15" t="s">
        <v>30</v>
      </c>
      <c r="PJ5" s="15" t="s">
        <v>31</v>
      </c>
      <c r="PK5" s="15" t="s">
        <v>32</v>
      </c>
      <c r="PL5" s="15" t="s">
        <v>33</v>
      </c>
      <c r="PM5" s="15" t="s">
        <v>34</v>
      </c>
      <c r="PN5" s="15" t="s">
        <v>35</v>
      </c>
      <c r="PO5" s="15" t="s">
        <v>36</v>
      </c>
      <c r="PP5" s="15" t="s">
        <v>37</v>
      </c>
      <c r="PQ5" s="15" t="s">
        <v>38</v>
      </c>
      <c r="PR5" s="15" t="s">
        <v>39</v>
      </c>
      <c r="PS5" s="15" t="s">
        <v>40</v>
      </c>
      <c r="PT5" s="15" t="s">
        <v>41</v>
      </c>
      <c r="PU5" s="15" t="s">
        <v>42</v>
      </c>
    </row>
    <row r="6" spans="3:437" ht="14.5" customHeight="1" thickBot="1" x14ac:dyDescent="0.4">
      <c r="C6" s="17"/>
      <c r="D6" s="18"/>
      <c r="E6" s="17"/>
      <c r="F6" s="91"/>
      <c r="G6" s="17"/>
      <c r="H6" s="17"/>
      <c r="I6" s="17"/>
      <c r="J6" s="17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H6" s="17"/>
      <c r="AI6" s="18"/>
      <c r="AJ6" s="17"/>
      <c r="AK6" s="17"/>
      <c r="AL6" s="17"/>
      <c r="AM6" s="17"/>
      <c r="AN6" s="17"/>
      <c r="AO6" s="17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M6" s="17"/>
      <c r="BN6" s="18"/>
      <c r="BO6" s="17"/>
      <c r="BP6" s="17"/>
      <c r="BQ6" s="17"/>
      <c r="BR6" s="17"/>
      <c r="BS6" s="17"/>
      <c r="BT6" s="17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S6" s="17"/>
      <c r="CT6" s="18"/>
      <c r="CU6" s="17"/>
      <c r="CV6" s="17"/>
      <c r="CW6" s="17"/>
      <c r="CX6" s="17"/>
      <c r="CY6" s="17"/>
      <c r="CZ6" s="17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Y6" s="17"/>
      <c r="DZ6" s="18"/>
      <c r="EA6" s="17"/>
      <c r="EB6" s="17"/>
      <c r="EC6" s="17"/>
      <c r="ED6" s="17"/>
      <c r="EE6" s="17"/>
      <c r="EF6" s="17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D6" s="17"/>
      <c r="FE6" s="18"/>
      <c r="FF6" s="17"/>
      <c r="FG6" s="17"/>
      <c r="FH6" s="17"/>
      <c r="FI6" s="17"/>
      <c r="FJ6" s="17"/>
      <c r="FK6" s="17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I6" s="17"/>
      <c r="GJ6" s="18"/>
      <c r="GK6" s="17"/>
      <c r="GL6" s="17"/>
      <c r="GM6" s="17"/>
      <c r="GN6" s="17"/>
      <c r="GO6" s="17"/>
      <c r="GP6" s="17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17"/>
      <c r="HC6" s="17"/>
      <c r="HD6" s="17"/>
      <c r="HE6" s="17"/>
      <c r="HF6" s="17"/>
      <c r="HG6" s="17"/>
      <c r="HH6" s="17"/>
      <c r="HI6" s="17"/>
      <c r="HJ6" s="17"/>
      <c r="HK6" s="17"/>
      <c r="HL6" s="17"/>
      <c r="HN6" s="17"/>
      <c r="HO6" s="18"/>
      <c r="HP6" s="17"/>
      <c r="HQ6" s="17"/>
      <c r="HR6" s="17"/>
      <c r="HS6" s="17"/>
      <c r="HT6" s="17"/>
      <c r="HU6" s="17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17"/>
      <c r="IH6" s="17"/>
      <c r="II6" s="17"/>
      <c r="IJ6" s="17"/>
      <c r="IK6" s="17"/>
      <c r="IL6" s="17"/>
      <c r="IM6" s="17"/>
      <c r="IN6" s="17"/>
      <c r="IO6" s="17"/>
      <c r="IP6" s="17"/>
      <c r="IQ6" s="17"/>
      <c r="IS6" s="17"/>
      <c r="IT6" s="18"/>
      <c r="IU6" s="17"/>
      <c r="IV6" s="17"/>
      <c r="IW6" s="17"/>
      <c r="IX6" s="17"/>
      <c r="IY6" s="17"/>
      <c r="IZ6" s="17"/>
      <c r="JA6" s="20"/>
      <c r="JB6" s="20"/>
      <c r="JC6" s="20"/>
      <c r="JD6" s="20"/>
      <c r="JE6" s="20"/>
      <c r="JF6" s="20"/>
      <c r="JG6" s="20"/>
      <c r="JH6" s="20"/>
      <c r="JI6" s="20"/>
      <c r="JJ6" s="20"/>
      <c r="JK6" s="20"/>
      <c r="JL6" s="17"/>
      <c r="JM6" s="17"/>
      <c r="JN6" s="17"/>
      <c r="JO6" s="17"/>
      <c r="JP6" s="17"/>
      <c r="JQ6" s="17"/>
      <c r="JR6" s="17"/>
      <c r="JS6" s="17"/>
      <c r="JT6" s="17"/>
      <c r="JU6" s="17"/>
      <c r="JV6" s="17"/>
      <c r="JX6" s="17"/>
      <c r="JY6" s="18"/>
      <c r="JZ6" s="17"/>
      <c r="KA6" s="17"/>
      <c r="KB6" s="17"/>
      <c r="KC6" s="17"/>
      <c r="KD6" s="17"/>
      <c r="KE6" s="17"/>
      <c r="KF6" s="20"/>
      <c r="KG6" s="20"/>
      <c r="KH6" s="20"/>
      <c r="KI6" s="20"/>
      <c r="KJ6" s="20"/>
      <c r="KK6" s="20"/>
      <c r="KL6" s="20"/>
      <c r="KM6" s="20"/>
      <c r="KN6" s="20"/>
      <c r="KO6" s="20"/>
      <c r="KP6" s="20"/>
      <c r="KQ6" s="17"/>
      <c r="KR6" s="17"/>
      <c r="KS6" s="17"/>
      <c r="KT6" s="17"/>
      <c r="KU6" s="17"/>
      <c r="KV6" s="17"/>
      <c r="KW6" s="17"/>
      <c r="KX6" s="17"/>
      <c r="KY6" s="17"/>
      <c r="KZ6" s="17"/>
      <c r="LA6" s="17"/>
      <c r="LC6" s="17"/>
      <c r="LD6" s="18"/>
      <c r="LE6" s="17"/>
      <c r="LF6" s="17"/>
      <c r="LG6" s="17"/>
      <c r="LH6" s="17"/>
      <c r="LI6" s="17"/>
      <c r="LJ6" s="17"/>
      <c r="LK6" s="20"/>
      <c r="LL6" s="20"/>
      <c r="LM6" s="20"/>
      <c r="LN6" s="20"/>
      <c r="LO6" s="20"/>
      <c r="LP6" s="20"/>
      <c r="LQ6" s="20"/>
      <c r="LR6" s="20"/>
      <c r="LS6" s="20"/>
      <c r="LT6" s="20"/>
      <c r="LU6" s="20"/>
      <c r="LV6" s="17"/>
      <c r="LW6" s="17"/>
      <c r="LX6" s="17"/>
      <c r="LY6" s="17"/>
      <c r="LZ6" s="17"/>
      <c r="MA6" s="17"/>
      <c r="MB6" s="17"/>
      <c r="MC6" s="17"/>
      <c r="MD6" s="17"/>
      <c r="ME6" s="17"/>
      <c r="MF6" s="17"/>
      <c r="MH6" s="17"/>
      <c r="MI6" s="18"/>
      <c r="MJ6" s="17"/>
      <c r="MK6" s="17"/>
      <c r="ML6" s="17"/>
      <c r="MM6" s="17"/>
      <c r="MN6" s="17"/>
      <c r="MO6" s="17"/>
      <c r="MP6" s="20"/>
      <c r="MQ6" s="20"/>
      <c r="MR6" s="20"/>
      <c r="MS6" s="20"/>
      <c r="MT6" s="20"/>
      <c r="MU6" s="20"/>
      <c r="MV6" s="20"/>
      <c r="MW6" s="20"/>
      <c r="MX6" s="20"/>
      <c r="MY6" s="20"/>
      <c r="MZ6" s="20"/>
      <c r="NA6" s="17"/>
      <c r="NB6" s="17"/>
      <c r="NC6" s="17"/>
      <c r="ND6" s="17"/>
      <c r="NE6" s="17"/>
      <c r="NF6" s="17"/>
      <c r="NG6" s="17"/>
      <c r="NH6" s="17"/>
      <c r="NI6" s="17"/>
      <c r="NJ6" s="17"/>
      <c r="NK6" s="17"/>
      <c r="NM6" s="17"/>
      <c r="NN6" s="18"/>
      <c r="NO6" s="17"/>
      <c r="NP6" s="17"/>
      <c r="NQ6" s="17"/>
      <c r="NR6" s="17"/>
      <c r="NS6" s="17"/>
      <c r="NT6" s="17"/>
      <c r="NU6" s="20"/>
      <c r="NV6" s="20"/>
      <c r="NW6" s="20"/>
      <c r="NX6" s="20"/>
      <c r="NY6" s="20"/>
      <c r="NZ6" s="20"/>
      <c r="OA6" s="20"/>
      <c r="OB6" s="20"/>
      <c r="OC6" s="20"/>
      <c r="OD6" s="20"/>
      <c r="OE6" s="20"/>
      <c r="OF6" s="17"/>
      <c r="OG6" s="17"/>
      <c r="OH6" s="17"/>
      <c r="OI6" s="17"/>
      <c r="OJ6" s="17"/>
      <c r="OK6" s="17"/>
      <c r="OL6" s="17"/>
      <c r="OM6" s="17"/>
      <c r="ON6" s="17"/>
      <c r="OO6" s="17"/>
      <c r="OP6" s="17"/>
      <c r="OR6" s="17"/>
      <c r="OS6" s="18"/>
      <c r="OT6" s="17"/>
      <c r="OU6" s="17"/>
      <c r="OV6" s="17"/>
      <c r="OW6" s="17"/>
      <c r="OX6" s="17"/>
      <c r="OY6" s="17"/>
      <c r="OZ6" s="20"/>
      <c r="PA6" s="20"/>
      <c r="PB6" s="20"/>
      <c r="PC6" s="20"/>
      <c r="PD6" s="20"/>
      <c r="PE6" s="20"/>
      <c r="PF6" s="20"/>
      <c r="PG6" s="20"/>
      <c r="PH6" s="20"/>
      <c r="PI6" s="20"/>
      <c r="PJ6" s="20"/>
      <c r="PK6" s="17"/>
      <c r="PL6" s="17"/>
      <c r="PM6" s="17"/>
      <c r="PN6" s="17"/>
      <c r="PO6" s="17"/>
      <c r="PP6" s="17"/>
      <c r="PQ6" s="17"/>
      <c r="PR6" s="17"/>
      <c r="PS6" s="17"/>
      <c r="PT6" s="17"/>
      <c r="PU6" s="17"/>
    </row>
    <row r="7" spans="3:437" x14ac:dyDescent="0.35">
      <c r="C7" s="106">
        <v>46388</v>
      </c>
      <c r="D7" s="19" t="s">
        <v>43</v>
      </c>
      <c r="E7" s="20"/>
      <c r="F7" s="92"/>
      <c r="G7" s="20"/>
      <c r="H7" s="20"/>
      <c r="I7" s="20"/>
      <c r="J7" s="20"/>
      <c r="K7" s="20"/>
      <c r="L7" s="20">
        <v>41096</v>
      </c>
      <c r="M7" s="20">
        <v>41096</v>
      </c>
      <c r="N7" s="20">
        <v>41096</v>
      </c>
      <c r="O7" s="20">
        <v>41096</v>
      </c>
      <c r="P7" s="20">
        <v>41096</v>
      </c>
      <c r="Q7" s="20">
        <v>41096</v>
      </c>
      <c r="R7" s="20">
        <v>41096</v>
      </c>
      <c r="S7" s="20">
        <v>41096</v>
      </c>
      <c r="T7" s="20">
        <v>41096</v>
      </c>
      <c r="U7" s="20">
        <v>41096</v>
      </c>
      <c r="V7" s="20"/>
      <c r="W7" s="20"/>
      <c r="X7" s="20"/>
      <c r="Y7" s="20"/>
      <c r="Z7" s="20"/>
      <c r="AA7" s="20"/>
      <c r="AB7" s="20"/>
      <c r="AC7" s="21">
        <f>+SUM(E7:AB7)</f>
        <v>410960</v>
      </c>
      <c r="AD7" s="22">
        <v>19</v>
      </c>
      <c r="AE7" s="21">
        <f>+AD7*AC7</f>
        <v>7808240</v>
      </c>
      <c r="AF7" s="109">
        <f>+SUM(AE7:AE10)</f>
        <v>12739760</v>
      </c>
      <c r="AH7" s="106">
        <v>46753</v>
      </c>
      <c r="AI7" s="19" t="s">
        <v>43</v>
      </c>
      <c r="AJ7" s="20"/>
      <c r="AK7" s="20"/>
      <c r="AL7" s="20"/>
      <c r="AM7" s="20"/>
      <c r="AN7" s="20"/>
      <c r="AO7" s="20"/>
      <c r="AP7" s="20"/>
      <c r="AQ7" s="20">
        <v>41096</v>
      </c>
      <c r="AR7" s="20">
        <v>41096</v>
      </c>
      <c r="AS7" s="20">
        <v>41096</v>
      </c>
      <c r="AT7" s="20">
        <v>41096</v>
      </c>
      <c r="AU7" s="20">
        <v>41096</v>
      </c>
      <c r="AV7" s="20">
        <v>41096</v>
      </c>
      <c r="AW7" s="20">
        <v>41096</v>
      </c>
      <c r="AX7" s="20">
        <v>41096</v>
      </c>
      <c r="AY7" s="20">
        <v>41096</v>
      </c>
      <c r="AZ7" s="20">
        <v>41096</v>
      </c>
      <c r="BA7" s="20"/>
      <c r="BB7" s="20"/>
      <c r="BC7" s="20"/>
      <c r="BD7" s="20"/>
      <c r="BE7" s="20"/>
      <c r="BF7" s="20"/>
      <c r="BG7" s="20"/>
      <c r="BH7" s="21">
        <f>+SUM(AJ7:BG7)</f>
        <v>410960</v>
      </c>
      <c r="BI7" s="48">
        <v>20</v>
      </c>
      <c r="BJ7" s="21">
        <f>+BI7*BH7</f>
        <v>8219200</v>
      </c>
      <c r="BK7" s="109">
        <f>+SUM(BJ7:BJ10)</f>
        <v>12739760</v>
      </c>
      <c r="BM7" s="106">
        <v>47119</v>
      </c>
      <c r="BN7" s="19" t="s">
        <v>43</v>
      </c>
      <c r="BO7" s="20"/>
      <c r="BP7" s="20"/>
      <c r="BQ7" s="20"/>
      <c r="BR7" s="20"/>
      <c r="BS7" s="20"/>
      <c r="BT7" s="20"/>
      <c r="BU7" s="20"/>
      <c r="BV7" s="20">
        <v>41096</v>
      </c>
      <c r="BW7" s="20">
        <v>41096</v>
      </c>
      <c r="BX7" s="20">
        <v>41096</v>
      </c>
      <c r="BY7" s="20">
        <v>41096</v>
      </c>
      <c r="BZ7" s="20">
        <v>41096</v>
      </c>
      <c r="CA7" s="20">
        <v>41096</v>
      </c>
      <c r="CB7" s="20">
        <v>41096</v>
      </c>
      <c r="CC7" s="20">
        <v>41096</v>
      </c>
      <c r="CD7" s="20">
        <v>41096</v>
      </c>
      <c r="CE7" s="20">
        <v>41096</v>
      </c>
      <c r="CF7" s="20"/>
      <c r="CG7" s="20"/>
      <c r="CH7" s="20"/>
      <c r="CI7" s="20"/>
      <c r="CJ7" s="20"/>
      <c r="CK7" s="20"/>
      <c r="CL7" s="20"/>
      <c r="CM7" s="21">
        <f>+SUM(BO7:CL7)</f>
        <v>410960</v>
      </c>
      <c r="CN7" s="48">
        <v>21</v>
      </c>
      <c r="CO7" s="21">
        <f>+CN7*CM7</f>
        <v>8630160</v>
      </c>
      <c r="CP7" s="109">
        <f>+SUM(CO7:CO10)</f>
        <v>12739760</v>
      </c>
      <c r="CS7" s="106">
        <v>47484</v>
      </c>
      <c r="CT7" s="19" t="s">
        <v>43</v>
      </c>
      <c r="CU7" s="20"/>
      <c r="CV7" s="20"/>
      <c r="CW7" s="20"/>
      <c r="CX7" s="20"/>
      <c r="CY7" s="20"/>
      <c r="CZ7" s="20"/>
      <c r="DA7" s="20"/>
      <c r="DB7" s="20">
        <v>41096</v>
      </c>
      <c r="DC7" s="20">
        <v>41096</v>
      </c>
      <c r="DD7" s="20">
        <v>41096</v>
      </c>
      <c r="DE7" s="20">
        <v>41096</v>
      </c>
      <c r="DF7" s="20">
        <v>41096</v>
      </c>
      <c r="DG7" s="20">
        <v>41096</v>
      </c>
      <c r="DH7" s="20">
        <v>41096</v>
      </c>
      <c r="DI7" s="20">
        <v>41096</v>
      </c>
      <c r="DJ7" s="20">
        <v>41096</v>
      </c>
      <c r="DK7" s="20">
        <v>41096</v>
      </c>
      <c r="DL7" s="20"/>
      <c r="DM7" s="20"/>
      <c r="DN7" s="20"/>
      <c r="DO7" s="20"/>
      <c r="DP7" s="20"/>
      <c r="DQ7" s="20"/>
      <c r="DR7" s="20"/>
      <c r="DS7" s="21">
        <f>+SUM(CU7:DR7)</f>
        <v>410960</v>
      </c>
      <c r="DT7" s="48">
        <v>21</v>
      </c>
      <c r="DU7" s="21">
        <f>+DT7*DS7</f>
        <v>8630160</v>
      </c>
      <c r="DV7" s="109">
        <f>+SUM(DU7:DU10)</f>
        <v>12739760</v>
      </c>
      <c r="DY7" s="106">
        <v>47849</v>
      </c>
      <c r="DZ7" s="19" t="s">
        <v>43</v>
      </c>
      <c r="EA7" s="20"/>
      <c r="EB7" s="20"/>
      <c r="EC7" s="20"/>
      <c r="ED7" s="20"/>
      <c r="EE7" s="20"/>
      <c r="EF7" s="20"/>
      <c r="EG7" s="20"/>
      <c r="EH7" s="20">
        <v>41096</v>
      </c>
      <c r="EI7" s="20">
        <v>41096</v>
      </c>
      <c r="EJ7" s="20">
        <v>41096</v>
      </c>
      <c r="EK7" s="20">
        <v>41096</v>
      </c>
      <c r="EL7" s="20">
        <v>41096</v>
      </c>
      <c r="EM7" s="20">
        <v>41096</v>
      </c>
      <c r="EN7" s="20">
        <v>41096</v>
      </c>
      <c r="EO7" s="20">
        <v>41096</v>
      </c>
      <c r="EP7" s="20">
        <v>41096</v>
      </c>
      <c r="EQ7" s="20">
        <v>41096</v>
      </c>
      <c r="ER7" s="20"/>
      <c r="ES7" s="20"/>
      <c r="ET7" s="20"/>
      <c r="EU7" s="20"/>
      <c r="EV7" s="20"/>
      <c r="EW7" s="20"/>
      <c r="EX7" s="20"/>
      <c r="EY7" s="21">
        <f>+SUM(EA7:EX7)</f>
        <v>410960</v>
      </c>
      <c r="EZ7" s="48">
        <v>21</v>
      </c>
      <c r="FA7" s="21">
        <f>+EZ7*EY7</f>
        <v>8630160</v>
      </c>
      <c r="FB7" s="109">
        <f>+SUM(FA7:FA10)</f>
        <v>12739760</v>
      </c>
      <c r="FD7" s="106">
        <v>48214</v>
      </c>
      <c r="FE7" s="19" t="s">
        <v>43</v>
      </c>
      <c r="FF7" s="20"/>
      <c r="FG7" s="20"/>
      <c r="FH7" s="20"/>
      <c r="FI7" s="20"/>
      <c r="FJ7" s="20"/>
      <c r="FK7" s="20"/>
      <c r="FL7" s="20"/>
      <c r="FM7" s="20">
        <v>41096</v>
      </c>
      <c r="FN7" s="20">
        <v>41096</v>
      </c>
      <c r="FO7" s="20">
        <v>41096</v>
      </c>
      <c r="FP7" s="20">
        <v>41096</v>
      </c>
      <c r="FQ7" s="20">
        <v>41096</v>
      </c>
      <c r="FR7" s="20">
        <v>41096</v>
      </c>
      <c r="FS7" s="20">
        <v>41096</v>
      </c>
      <c r="FT7" s="20">
        <v>41096</v>
      </c>
      <c r="FU7" s="20">
        <v>41096</v>
      </c>
      <c r="FV7" s="20">
        <v>41096</v>
      </c>
      <c r="FW7" s="20"/>
      <c r="FX7" s="20"/>
      <c r="FY7" s="20"/>
      <c r="FZ7" s="20"/>
      <c r="GA7" s="20"/>
      <c r="GB7" s="20"/>
      <c r="GC7" s="20"/>
      <c r="GD7" s="21">
        <f>+SUM(FF7:GC7)</f>
        <v>410960</v>
      </c>
      <c r="GE7" s="48">
        <v>20</v>
      </c>
      <c r="GF7" s="21">
        <f>+GE7*GD7</f>
        <v>8219200</v>
      </c>
      <c r="GG7" s="109">
        <f>+SUM(GF7:GF10)</f>
        <v>12739760</v>
      </c>
      <c r="GI7" s="106">
        <v>48580</v>
      </c>
      <c r="GJ7" s="19" t="s">
        <v>43</v>
      </c>
      <c r="GK7" s="20"/>
      <c r="GL7" s="20"/>
      <c r="GM7" s="20"/>
      <c r="GN7" s="20"/>
      <c r="GO7" s="20"/>
      <c r="GP7" s="20"/>
      <c r="GQ7" s="20"/>
      <c r="GR7" s="20">
        <v>41096</v>
      </c>
      <c r="GS7" s="20">
        <v>41096</v>
      </c>
      <c r="GT7" s="20">
        <v>41096</v>
      </c>
      <c r="GU7" s="20">
        <v>41096</v>
      </c>
      <c r="GV7" s="20">
        <v>41096</v>
      </c>
      <c r="GW7" s="20">
        <v>41096</v>
      </c>
      <c r="GX7" s="20">
        <v>41096</v>
      </c>
      <c r="GY7" s="20">
        <v>41096</v>
      </c>
      <c r="GZ7" s="20">
        <v>41096</v>
      </c>
      <c r="HA7" s="20">
        <v>41096</v>
      </c>
      <c r="HB7" s="20"/>
      <c r="HC7" s="20"/>
      <c r="HD7" s="20"/>
      <c r="HE7" s="20"/>
      <c r="HF7" s="20"/>
      <c r="HG7" s="20"/>
      <c r="HH7" s="20"/>
      <c r="HI7" s="21">
        <f>+SUM(GK7:HH7)</f>
        <v>410960</v>
      </c>
      <c r="HJ7" s="48">
        <v>20</v>
      </c>
      <c r="HK7" s="21">
        <f>+HJ7*HI7</f>
        <v>8219200</v>
      </c>
      <c r="HL7" s="109">
        <f>+SUM(HK7:HK10)</f>
        <v>12739760</v>
      </c>
      <c r="HN7" s="106">
        <v>48945</v>
      </c>
      <c r="HO7" s="19" t="s">
        <v>43</v>
      </c>
      <c r="HP7" s="20"/>
      <c r="HQ7" s="20"/>
      <c r="HR7" s="20"/>
      <c r="HS7" s="20"/>
      <c r="HT7" s="20"/>
      <c r="HU7" s="20"/>
      <c r="HV7" s="20"/>
      <c r="HW7" s="20">
        <v>41096</v>
      </c>
      <c r="HX7" s="20">
        <v>41096</v>
      </c>
      <c r="HY7" s="20">
        <v>41096</v>
      </c>
      <c r="HZ7" s="20">
        <v>41096</v>
      </c>
      <c r="IA7" s="20">
        <v>41096</v>
      </c>
      <c r="IB7" s="20">
        <v>41096</v>
      </c>
      <c r="IC7" s="20">
        <v>41096</v>
      </c>
      <c r="ID7" s="20">
        <v>41096</v>
      </c>
      <c r="IE7" s="20">
        <v>41096</v>
      </c>
      <c r="IF7" s="20">
        <v>41096</v>
      </c>
      <c r="IG7" s="20"/>
      <c r="IH7" s="20"/>
      <c r="II7" s="20"/>
      <c r="IJ7" s="20"/>
      <c r="IK7" s="20"/>
      <c r="IL7" s="20"/>
      <c r="IM7" s="20"/>
      <c r="IN7" s="21">
        <f>+SUM(HP7:IM7)</f>
        <v>410960</v>
      </c>
      <c r="IO7" s="48">
        <v>21</v>
      </c>
      <c r="IP7" s="21">
        <f>+IO7*IN7</f>
        <v>8630160</v>
      </c>
      <c r="IQ7" s="109">
        <f>+SUM(IP7:IP10)</f>
        <v>12739760</v>
      </c>
      <c r="IS7" s="106">
        <v>49310</v>
      </c>
      <c r="IT7" s="19" t="s">
        <v>43</v>
      </c>
      <c r="IU7" s="20"/>
      <c r="IV7" s="20"/>
      <c r="IW7" s="20"/>
      <c r="IX7" s="20"/>
      <c r="IY7" s="20"/>
      <c r="IZ7" s="20"/>
      <c r="JA7" s="20"/>
      <c r="JB7" s="20">
        <v>41096</v>
      </c>
      <c r="JC7" s="20">
        <v>41096</v>
      </c>
      <c r="JD7" s="20">
        <v>41096</v>
      </c>
      <c r="JE7" s="20">
        <v>41096</v>
      </c>
      <c r="JF7" s="20">
        <v>41096</v>
      </c>
      <c r="JG7" s="20">
        <v>41096</v>
      </c>
      <c r="JH7" s="20">
        <v>41096</v>
      </c>
      <c r="JI7" s="20">
        <v>41096</v>
      </c>
      <c r="JJ7" s="20">
        <v>41096</v>
      </c>
      <c r="JK7" s="20">
        <v>41096</v>
      </c>
      <c r="JL7" s="20"/>
      <c r="JM7" s="20"/>
      <c r="JN7" s="20"/>
      <c r="JO7" s="20"/>
      <c r="JP7" s="20"/>
      <c r="JQ7" s="20"/>
      <c r="JR7" s="20"/>
      <c r="JS7" s="21">
        <f>+SUM(IU7:JR7)</f>
        <v>410960</v>
      </c>
      <c r="JT7" s="48">
        <v>21</v>
      </c>
      <c r="JU7" s="21">
        <f>+JT7*JS7</f>
        <v>8630160</v>
      </c>
      <c r="JV7" s="109">
        <f>+SUM(JU7:JU10)</f>
        <v>12739760</v>
      </c>
      <c r="JX7" s="106">
        <v>49675</v>
      </c>
      <c r="JY7" s="19" t="s">
        <v>43</v>
      </c>
      <c r="JZ7" s="20"/>
      <c r="KA7" s="20"/>
      <c r="KB7" s="20"/>
      <c r="KC7" s="20"/>
      <c r="KD7" s="20"/>
      <c r="KE7" s="20"/>
      <c r="KF7" s="20"/>
      <c r="KG7" s="20">
        <v>41096</v>
      </c>
      <c r="KH7" s="20">
        <v>41096</v>
      </c>
      <c r="KI7" s="20">
        <v>41096</v>
      </c>
      <c r="KJ7" s="20">
        <v>41096</v>
      </c>
      <c r="KK7" s="20">
        <v>41096</v>
      </c>
      <c r="KL7" s="20">
        <v>41096</v>
      </c>
      <c r="KM7" s="20">
        <v>41096</v>
      </c>
      <c r="KN7" s="20">
        <v>41096</v>
      </c>
      <c r="KO7" s="20">
        <v>41096</v>
      </c>
      <c r="KP7" s="20">
        <v>41096</v>
      </c>
      <c r="KQ7" s="20"/>
      <c r="KR7" s="20"/>
      <c r="KS7" s="20"/>
      <c r="KT7" s="20"/>
      <c r="KU7" s="20"/>
      <c r="KV7" s="20"/>
      <c r="KW7" s="20"/>
      <c r="KX7" s="21">
        <f>+SUM(JZ7:KW7)</f>
        <v>410960</v>
      </c>
      <c r="KY7" s="48">
        <v>21</v>
      </c>
      <c r="KZ7" s="21">
        <f>+KY7*KX7</f>
        <v>8630160</v>
      </c>
      <c r="LA7" s="109">
        <f>+SUM(KZ7:KZ10)</f>
        <v>12739760</v>
      </c>
      <c r="LC7" s="106">
        <v>50041</v>
      </c>
      <c r="LD7" s="19" t="s">
        <v>43</v>
      </c>
      <c r="LE7" s="20"/>
      <c r="LF7" s="20"/>
      <c r="LG7" s="20"/>
      <c r="LH7" s="20"/>
      <c r="LI7" s="20"/>
      <c r="LJ7" s="20"/>
      <c r="LK7" s="20"/>
      <c r="LL7" s="20">
        <v>41096</v>
      </c>
      <c r="LM7" s="20">
        <v>41096</v>
      </c>
      <c r="LN7" s="20">
        <v>41096</v>
      </c>
      <c r="LO7" s="20">
        <v>41096</v>
      </c>
      <c r="LP7" s="20">
        <v>41096</v>
      </c>
      <c r="LQ7" s="20">
        <v>41096</v>
      </c>
      <c r="LR7" s="20">
        <v>41096</v>
      </c>
      <c r="LS7" s="20">
        <v>41096</v>
      </c>
      <c r="LT7" s="20">
        <v>41096</v>
      </c>
      <c r="LU7" s="20">
        <v>41096</v>
      </c>
      <c r="LV7" s="20"/>
      <c r="LW7" s="20"/>
      <c r="LX7" s="20"/>
      <c r="LY7" s="20"/>
      <c r="LZ7" s="20"/>
      <c r="MA7" s="20"/>
      <c r="MB7" s="20"/>
      <c r="MC7" s="21">
        <f>+SUM(LE7:MB7)</f>
        <v>410960</v>
      </c>
      <c r="MD7" s="48">
        <v>20</v>
      </c>
      <c r="ME7" s="21">
        <f>+MD7*MC7</f>
        <v>8219200</v>
      </c>
      <c r="MF7" s="109">
        <f>+SUM(ME7:ME10)</f>
        <v>12739760</v>
      </c>
      <c r="MH7" s="106">
        <v>50406</v>
      </c>
      <c r="MI7" s="19" t="s">
        <v>43</v>
      </c>
      <c r="MJ7" s="20"/>
      <c r="MK7" s="20"/>
      <c r="ML7" s="20"/>
      <c r="MM7" s="20"/>
      <c r="MN7" s="20"/>
      <c r="MO7" s="20"/>
      <c r="MP7" s="20"/>
      <c r="MQ7" s="20">
        <v>41096</v>
      </c>
      <c r="MR7" s="20">
        <v>41096</v>
      </c>
      <c r="MS7" s="20">
        <v>41096</v>
      </c>
      <c r="MT7" s="20">
        <v>41096</v>
      </c>
      <c r="MU7" s="20">
        <v>41096</v>
      </c>
      <c r="MV7" s="20">
        <v>41096</v>
      </c>
      <c r="MW7" s="20">
        <v>41096</v>
      </c>
      <c r="MX7" s="20">
        <v>41096</v>
      </c>
      <c r="MY7" s="20">
        <v>41096</v>
      </c>
      <c r="MZ7" s="20">
        <v>41096</v>
      </c>
      <c r="NA7" s="20"/>
      <c r="NB7" s="20"/>
      <c r="NC7" s="20"/>
      <c r="ND7" s="20"/>
      <c r="NE7" s="20"/>
      <c r="NF7" s="20"/>
      <c r="NG7" s="20"/>
      <c r="NH7" s="21">
        <f>+SUM(MJ7:NG7)</f>
        <v>410960</v>
      </c>
      <c r="NI7" s="48">
        <v>19</v>
      </c>
      <c r="NJ7" s="21">
        <f>+NI7*NH7</f>
        <v>7808240</v>
      </c>
      <c r="NK7" s="109">
        <f>+SUM(NJ7:NJ10)</f>
        <v>12739760</v>
      </c>
      <c r="NM7" s="106">
        <v>50771</v>
      </c>
      <c r="NN7" s="19" t="s">
        <v>43</v>
      </c>
      <c r="NO7" s="20"/>
      <c r="NP7" s="20"/>
      <c r="NQ7" s="20"/>
      <c r="NR7" s="20"/>
      <c r="NS7" s="20"/>
      <c r="NT7" s="20"/>
      <c r="NU7" s="20"/>
      <c r="NV7" s="20">
        <v>41096</v>
      </c>
      <c r="NW7" s="20">
        <v>41096</v>
      </c>
      <c r="NX7" s="20">
        <v>41096</v>
      </c>
      <c r="NY7" s="20">
        <v>41096</v>
      </c>
      <c r="NZ7" s="20">
        <v>41096</v>
      </c>
      <c r="OA7" s="20">
        <v>41096</v>
      </c>
      <c r="OB7" s="20">
        <v>41096</v>
      </c>
      <c r="OC7" s="20">
        <v>41096</v>
      </c>
      <c r="OD7" s="20">
        <v>41096</v>
      </c>
      <c r="OE7" s="20">
        <v>41096</v>
      </c>
      <c r="OF7" s="20"/>
      <c r="OG7" s="20"/>
      <c r="OH7" s="20"/>
      <c r="OI7" s="20"/>
      <c r="OJ7" s="20"/>
      <c r="OK7" s="20"/>
      <c r="OL7" s="20"/>
      <c r="OM7" s="21">
        <f>+SUM(NO7:OL7)</f>
        <v>410960</v>
      </c>
      <c r="ON7" s="48">
        <v>20</v>
      </c>
      <c r="OO7" s="21">
        <f>+ON7*OM7</f>
        <v>8219200</v>
      </c>
      <c r="OP7" s="109">
        <f>+SUM(OO7:OO10)</f>
        <v>12739760</v>
      </c>
      <c r="OR7" s="106">
        <v>51136</v>
      </c>
      <c r="OS7" s="19" t="s">
        <v>43</v>
      </c>
      <c r="OT7" s="20"/>
      <c r="OU7" s="20"/>
      <c r="OV7" s="20"/>
      <c r="OW7" s="20"/>
      <c r="OX7" s="20"/>
      <c r="OY7" s="20"/>
      <c r="OZ7" s="20"/>
      <c r="PA7" s="20">
        <v>41096</v>
      </c>
      <c r="PB7" s="20">
        <v>41096</v>
      </c>
      <c r="PC7" s="20">
        <v>41096</v>
      </c>
      <c r="PD7" s="20">
        <v>41096</v>
      </c>
      <c r="PE7" s="20">
        <v>41096</v>
      </c>
      <c r="PF7" s="20">
        <v>41096</v>
      </c>
      <c r="PG7" s="20">
        <v>41096</v>
      </c>
      <c r="PH7" s="20">
        <v>41096</v>
      </c>
      <c r="PI7" s="20">
        <v>41096</v>
      </c>
      <c r="PJ7" s="20">
        <v>41096</v>
      </c>
      <c r="PK7" s="20"/>
      <c r="PL7" s="20"/>
      <c r="PM7" s="20"/>
      <c r="PN7" s="20"/>
      <c r="PO7" s="20"/>
      <c r="PP7" s="20"/>
      <c r="PQ7" s="20"/>
      <c r="PR7" s="21">
        <f>+SUM(OT7:PQ7)</f>
        <v>410960</v>
      </c>
      <c r="PS7" s="65">
        <v>21</v>
      </c>
      <c r="PT7" s="21">
        <f>+PS7*PR7</f>
        <v>8630160</v>
      </c>
      <c r="PU7" s="109">
        <f>+SUM(PT7:PT10)</f>
        <v>12739760</v>
      </c>
    </row>
    <row r="8" spans="3:437" x14ac:dyDescent="0.35">
      <c r="C8" s="107"/>
      <c r="D8" s="23" t="s">
        <v>44</v>
      </c>
      <c r="E8" s="20"/>
      <c r="F8" s="92"/>
      <c r="G8" s="20"/>
      <c r="H8" s="20"/>
      <c r="I8" s="20"/>
      <c r="J8" s="20"/>
      <c r="K8" s="20"/>
      <c r="L8" s="20">
        <v>41096</v>
      </c>
      <c r="M8" s="20">
        <v>41096</v>
      </c>
      <c r="N8" s="20">
        <v>41096</v>
      </c>
      <c r="O8" s="20">
        <v>41096</v>
      </c>
      <c r="P8" s="20">
        <v>41096</v>
      </c>
      <c r="Q8" s="20">
        <v>41096</v>
      </c>
      <c r="R8" s="20">
        <v>41096</v>
      </c>
      <c r="S8" s="20">
        <v>41096</v>
      </c>
      <c r="T8" s="20">
        <v>41096</v>
      </c>
      <c r="U8" s="20">
        <v>41096</v>
      </c>
      <c r="V8" s="20"/>
      <c r="W8" s="20"/>
      <c r="X8" s="20"/>
      <c r="Y8" s="20"/>
      <c r="Z8" s="20"/>
      <c r="AA8" s="20"/>
      <c r="AB8" s="20"/>
      <c r="AC8" s="21">
        <f t="shared" ref="AC8:AC54" si="0">+SUM(E8:AB8)</f>
        <v>410960</v>
      </c>
      <c r="AD8" s="22">
        <v>5</v>
      </c>
      <c r="AE8" s="21">
        <f t="shared" ref="AE8:AE10" si="1">+AD8*AC8</f>
        <v>2054800</v>
      </c>
      <c r="AF8" s="110"/>
      <c r="AH8" s="107"/>
      <c r="AI8" s="23" t="s">
        <v>44</v>
      </c>
      <c r="AJ8" s="20"/>
      <c r="AK8" s="20"/>
      <c r="AL8" s="20"/>
      <c r="AM8" s="20"/>
      <c r="AN8" s="20"/>
      <c r="AO8" s="20"/>
      <c r="AP8" s="20"/>
      <c r="AQ8" s="20">
        <v>41096</v>
      </c>
      <c r="AR8" s="20">
        <v>41096</v>
      </c>
      <c r="AS8" s="20">
        <v>41096</v>
      </c>
      <c r="AT8" s="20">
        <v>41096</v>
      </c>
      <c r="AU8" s="20">
        <v>41096</v>
      </c>
      <c r="AV8" s="20">
        <v>41096</v>
      </c>
      <c r="AW8" s="20">
        <v>41096</v>
      </c>
      <c r="AX8" s="20">
        <v>41096</v>
      </c>
      <c r="AY8" s="20">
        <v>41096</v>
      </c>
      <c r="AZ8" s="20">
        <v>41096</v>
      </c>
      <c r="BA8" s="20"/>
      <c r="BB8" s="20"/>
      <c r="BC8" s="20"/>
      <c r="BD8" s="20"/>
      <c r="BE8" s="20"/>
      <c r="BF8" s="20"/>
      <c r="BG8" s="20"/>
      <c r="BH8" s="21">
        <f t="shared" ref="BH8:BH54" si="2">+SUM(AJ8:BG8)</f>
        <v>410960</v>
      </c>
      <c r="BI8" s="49">
        <v>4</v>
      </c>
      <c r="BJ8" s="21">
        <f t="shared" ref="BJ8:BJ10" si="3">+BI8*BH8</f>
        <v>1643840</v>
      </c>
      <c r="BK8" s="110"/>
      <c r="BM8" s="107"/>
      <c r="BN8" s="23" t="s">
        <v>44</v>
      </c>
      <c r="BO8" s="20"/>
      <c r="BP8" s="20"/>
      <c r="BQ8" s="20"/>
      <c r="BR8" s="20"/>
      <c r="BS8" s="20"/>
      <c r="BT8" s="20"/>
      <c r="BU8" s="20"/>
      <c r="BV8" s="20">
        <v>41096</v>
      </c>
      <c r="BW8" s="20">
        <v>41096</v>
      </c>
      <c r="BX8" s="20">
        <v>41096</v>
      </c>
      <c r="BY8" s="20">
        <v>41096</v>
      </c>
      <c r="BZ8" s="20">
        <v>41096</v>
      </c>
      <c r="CA8" s="20">
        <v>41096</v>
      </c>
      <c r="CB8" s="20">
        <v>41096</v>
      </c>
      <c r="CC8" s="20">
        <v>41096</v>
      </c>
      <c r="CD8" s="20">
        <v>41096</v>
      </c>
      <c r="CE8" s="20">
        <v>41096</v>
      </c>
      <c r="CF8" s="20"/>
      <c r="CG8" s="20"/>
      <c r="CH8" s="20"/>
      <c r="CI8" s="20"/>
      <c r="CJ8" s="20"/>
      <c r="CK8" s="20"/>
      <c r="CL8" s="20"/>
      <c r="CM8" s="21">
        <f t="shared" ref="CM8:CM54" si="4">+SUM(BO8:CL8)</f>
        <v>410960</v>
      </c>
      <c r="CN8" s="49">
        <v>4</v>
      </c>
      <c r="CO8" s="21">
        <f t="shared" ref="CO8:CO10" si="5">+CN8*CM8</f>
        <v>1643840</v>
      </c>
      <c r="CP8" s="110"/>
      <c r="CS8" s="107"/>
      <c r="CT8" s="23" t="s">
        <v>44</v>
      </c>
      <c r="CU8" s="20"/>
      <c r="CV8" s="20"/>
      <c r="CW8" s="20"/>
      <c r="CX8" s="20"/>
      <c r="CY8" s="20"/>
      <c r="CZ8" s="20"/>
      <c r="DA8" s="20"/>
      <c r="DB8" s="20">
        <v>41096</v>
      </c>
      <c r="DC8" s="20">
        <v>41096</v>
      </c>
      <c r="DD8" s="20">
        <v>41096</v>
      </c>
      <c r="DE8" s="20">
        <v>41096</v>
      </c>
      <c r="DF8" s="20">
        <v>41096</v>
      </c>
      <c r="DG8" s="20">
        <v>41096</v>
      </c>
      <c r="DH8" s="20">
        <v>41096</v>
      </c>
      <c r="DI8" s="20">
        <v>41096</v>
      </c>
      <c r="DJ8" s="20">
        <v>41096</v>
      </c>
      <c r="DK8" s="20">
        <v>41096</v>
      </c>
      <c r="DL8" s="20"/>
      <c r="DM8" s="20"/>
      <c r="DN8" s="20"/>
      <c r="DO8" s="20"/>
      <c r="DP8" s="20"/>
      <c r="DQ8" s="20"/>
      <c r="DR8" s="20"/>
      <c r="DS8" s="21">
        <f t="shared" ref="DS8:DS54" si="6">+SUM(CU8:DR8)</f>
        <v>410960</v>
      </c>
      <c r="DT8" s="49">
        <v>4</v>
      </c>
      <c r="DU8" s="21">
        <f>+DT8*DS8</f>
        <v>1643840</v>
      </c>
      <c r="DV8" s="110"/>
      <c r="DY8" s="107"/>
      <c r="DZ8" s="23" t="s">
        <v>44</v>
      </c>
      <c r="EA8" s="20"/>
      <c r="EB8" s="20"/>
      <c r="EC8" s="20"/>
      <c r="ED8" s="20"/>
      <c r="EE8" s="20"/>
      <c r="EF8" s="20"/>
      <c r="EG8" s="20"/>
      <c r="EH8" s="20">
        <v>41096</v>
      </c>
      <c r="EI8" s="20">
        <v>41096</v>
      </c>
      <c r="EJ8" s="20">
        <v>41096</v>
      </c>
      <c r="EK8" s="20">
        <v>41096</v>
      </c>
      <c r="EL8" s="20">
        <v>41096</v>
      </c>
      <c r="EM8" s="20">
        <v>41096</v>
      </c>
      <c r="EN8" s="20">
        <v>41096</v>
      </c>
      <c r="EO8" s="20">
        <v>41096</v>
      </c>
      <c r="EP8" s="20">
        <v>41096</v>
      </c>
      <c r="EQ8" s="20">
        <v>41096</v>
      </c>
      <c r="ER8" s="20"/>
      <c r="ES8" s="20"/>
      <c r="ET8" s="20"/>
      <c r="EU8" s="20"/>
      <c r="EV8" s="20"/>
      <c r="EW8" s="20"/>
      <c r="EX8" s="20"/>
      <c r="EY8" s="21">
        <f t="shared" ref="EY8:EY54" si="7">+SUM(EA8:EX8)</f>
        <v>410960</v>
      </c>
      <c r="EZ8" s="49">
        <v>4</v>
      </c>
      <c r="FA8" s="21">
        <f t="shared" ref="FA8:FA10" si="8">+EZ8*EY8</f>
        <v>1643840</v>
      </c>
      <c r="FB8" s="110"/>
      <c r="FD8" s="107"/>
      <c r="FE8" s="23" t="s">
        <v>44</v>
      </c>
      <c r="FF8" s="20"/>
      <c r="FG8" s="20"/>
      <c r="FH8" s="20"/>
      <c r="FI8" s="20"/>
      <c r="FJ8" s="20"/>
      <c r="FK8" s="20"/>
      <c r="FL8" s="20"/>
      <c r="FM8" s="20">
        <v>41096</v>
      </c>
      <c r="FN8" s="20">
        <v>41096</v>
      </c>
      <c r="FO8" s="20">
        <v>41096</v>
      </c>
      <c r="FP8" s="20">
        <v>41096</v>
      </c>
      <c r="FQ8" s="20">
        <v>41096</v>
      </c>
      <c r="FR8" s="20">
        <v>41096</v>
      </c>
      <c r="FS8" s="20">
        <v>41096</v>
      </c>
      <c r="FT8" s="20">
        <v>41096</v>
      </c>
      <c r="FU8" s="20">
        <v>41096</v>
      </c>
      <c r="FV8" s="20">
        <v>41096</v>
      </c>
      <c r="FW8" s="20"/>
      <c r="FX8" s="20"/>
      <c r="FY8" s="20"/>
      <c r="FZ8" s="20"/>
      <c r="GA8" s="20"/>
      <c r="GB8" s="20"/>
      <c r="GC8" s="20"/>
      <c r="GD8" s="21">
        <f t="shared" ref="GD8:GD54" si="9">+SUM(FF8:GC8)</f>
        <v>410960</v>
      </c>
      <c r="GE8" s="49">
        <v>5</v>
      </c>
      <c r="GF8" s="21">
        <f t="shared" ref="GF8:GF10" si="10">+GE8*GD8</f>
        <v>2054800</v>
      </c>
      <c r="GG8" s="110"/>
      <c r="GI8" s="107"/>
      <c r="GJ8" s="23" t="s">
        <v>44</v>
      </c>
      <c r="GK8" s="20"/>
      <c r="GL8" s="20"/>
      <c r="GM8" s="20"/>
      <c r="GN8" s="20"/>
      <c r="GO8" s="20"/>
      <c r="GP8" s="20"/>
      <c r="GQ8" s="20"/>
      <c r="GR8" s="20">
        <v>41096</v>
      </c>
      <c r="GS8" s="20">
        <v>41096</v>
      </c>
      <c r="GT8" s="20">
        <v>41096</v>
      </c>
      <c r="GU8" s="20">
        <v>41096</v>
      </c>
      <c r="GV8" s="20">
        <v>41096</v>
      </c>
      <c r="GW8" s="20">
        <v>41096</v>
      </c>
      <c r="GX8" s="20">
        <v>41096</v>
      </c>
      <c r="GY8" s="20">
        <v>41096</v>
      </c>
      <c r="GZ8" s="20">
        <v>41096</v>
      </c>
      <c r="HA8" s="20">
        <v>41096</v>
      </c>
      <c r="HB8" s="20"/>
      <c r="HC8" s="20"/>
      <c r="HD8" s="20"/>
      <c r="HE8" s="20"/>
      <c r="HF8" s="20"/>
      <c r="HG8" s="20"/>
      <c r="HH8" s="20"/>
      <c r="HI8" s="21">
        <f t="shared" ref="HI8:HI54" si="11">+SUM(GK8:HH8)</f>
        <v>410960</v>
      </c>
      <c r="HJ8" s="49">
        <v>4</v>
      </c>
      <c r="HK8" s="21">
        <f t="shared" ref="HK8:HK10" si="12">+HJ8*HI8</f>
        <v>1643840</v>
      </c>
      <c r="HL8" s="110"/>
      <c r="HN8" s="107"/>
      <c r="HO8" s="23" t="s">
        <v>44</v>
      </c>
      <c r="HP8" s="20"/>
      <c r="HQ8" s="20"/>
      <c r="HR8" s="20"/>
      <c r="HS8" s="20"/>
      <c r="HT8" s="20"/>
      <c r="HU8" s="20"/>
      <c r="HV8" s="20"/>
      <c r="HW8" s="20">
        <v>41096</v>
      </c>
      <c r="HX8" s="20">
        <v>41096</v>
      </c>
      <c r="HY8" s="20">
        <v>41096</v>
      </c>
      <c r="HZ8" s="20">
        <v>41096</v>
      </c>
      <c r="IA8" s="20">
        <v>41096</v>
      </c>
      <c r="IB8" s="20">
        <v>41096</v>
      </c>
      <c r="IC8" s="20">
        <v>41096</v>
      </c>
      <c r="ID8" s="20">
        <v>41096</v>
      </c>
      <c r="IE8" s="20">
        <v>41096</v>
      </c>
      <c r="IF8" s="20">
        <v>41096</v>
      </c>
      <c r="IG8" s="20"/>
      <c r="IH8" s="20"/>
      <c r="II8" s="20"/>
      <c r="IJ8" s="20"/>
      <c r="IK8" s="20"/>
      <c r="IL8" s="20"/>
      <c r="IM8" s="20"/>
      <c r="IN8" s="21">
        <f t="shared" ref="IN8:IN54" si="13">+SUM(HP8:IM8)</f>
        <v>410960</v>
      </c>
      <c r="IO8" s="49">
        <v>4</v>
      </c>
      <c r="IP8" s="21">
        <f t="shared" ref="IP8:IP10" si="14">+IO8*IN8</f>
        <v>1643840</v>
      </c>
      <c r="IQ8" s="110"/>
      <c r="IS8" s="107"/>
      <c r="IT8" s="23" t="s">
        <v>44</v>
      </c>
      <c r="IU8" s="20"/>
      <c r="IV8" s="20"/>
      <c r="IW8" s="20"/>
      <c r="IX8" s="20"/>
      <c r="IY8" s="20"/>
      <c r="IZ8" s="20"/>
      <c r="JA8" s="20"/>
      <c r="JB8" s="20">
        <v>41096</v>
      </c>
      <c r="JC8" s="20">
        <v>41096</v>
      </c>
      <c r="JD8" s="20">
        <v>41096</v>
      </c>
      <c r="JE8" s="20">
        <v>41096</v>
      </c>
      <c r="JF8" s="20">
        <v>41096</v>
      </c>
      <c r="JG8" s="20">
        <v>41096</v>
      </c>
      <c r="JH8" s="20">
        <v>41096</v>
      </c>
      <c r="JI8" s="20">
        <v>41096</v>
      </c>
      <c r="JJ8" s="20">
        <v>41096</v>
      </c>
      <c r="JK8" s="20">
        <v>41096</v>
      </c>
      <c r="JL8" s="20"/>
      <c r="JM8" s="20"/>
      <c r="JN8" s="20"/>
      <c r="JO8" s="20"/>
      <c r="JP8" s="20"/>
      <c r="JQ8" s="20"/>
      <c r="JR8" s="20"/>
      <c r="JS8" s="21">
        <f t="shared" ref="JS8:JS54" si="15">+SUM(IU8:JR8)</f>
        <v>410960</v>
      </c>
      <c r="JT8" s="49">
        <v>4</v>
      </c>
      <c r="JU8" s="21">
        <f t="shared" ref="JU8:JU10" si="16">+JT8*JS8</f>
        <v>1643840</v>
      </c>
      <c r="JV8" s="110"/>
      <c r="JX8" s="107"/>
      <c r="JY8" s="23" t="s">
        <v>44</v>
      </c>
      <c r="JZ8" s="20"/>
      <c r="KA8" s="20"/>
      <c r="KB8" s="20"/>
      <c r="KC8" s="20"/>
      <c r="KD8" s="20"/>
      <c r="KE8" s="20"/>
      <c r="KF8" s="20"/>
      <c r="KG8" s="20">
        <v>41096</v>
      </c>
      <c r="KH8" s="20">
        <v>41096</v>
      </c>
      <c r="KI8" s="20">
        <v>41096</v>
      </c>
      <c r="KJ8" s="20">
        <v>41096</v>
      </c>
      <c r="KK8" s="20">
        <v>41096</v>
      </c>
      <c r="KL8" s="20">
        <v>41096</v>
      </c>
      <c r="KM8" s="20">
        <v>41096</v>
      </c>
      <c r="KN8" s="20">
        <v>41096</v>
      </c>
      <c r="KO8" s="20">
        <v>41096</v>
      </c>
      <c r="KP8" s="20">
        <v>41096</v>
      </c>
      <c r="KQ8" s="20"/>
      <c r="KR8" s="20"/>
      <c r="KS8" s="20"/>
      <c r="KT8" s="20"/>
      <c r="KU8" s="20"/>
      <c r="KV8" s="20"/>
      <c r="KW8" s="20"/>
      <c r="KX8" s="21">
        <f t="shared" ref="KX8:KX54" si="17">+SUM(JZ8:KW8)</f>
        <v>410960</v>
      </c>
      <c r="KY8" s="49">
        <v>4</v>
      </c>
      <c r="KZ8" s="21">
        <f t="shared" ref="KZ8:KZ10" si="18">+KY8*KX8</f>
        <v>1643840</v>
      </c>
      <c r="LA8" s="110"/>
      <c r="LC8" s="107"/>
      <c r="LD8" s="23" t="s">
        <v>44</v>
      </c>
      <c r="LE8" s="20"/>
      <c r="LF8" s="20"/>
      <c r="LG8" s="20"/>
      <c r="LH8" s="20"/>
      <c r="LI8" s="20"/>
      <c r="LJ8" s="20"/>
      <c r="LK8" s="20"/>
      <c r="LL8" s="20">
        <v>41096</v>
      </c>
      <c r="LM8" s="20">
        <v>41096</v>
      </c>
      <c r="LN8" s="20">
        <v>41096</v>
      </c>
      <c r="LO8" s="20">
        <v>41096</v>
      </c>
      <c r="LP8" s="20">
        <v>41096</v>
      </c>
      <c r="LQ8" s="20">
        <v>41096</v>
      </c>
      <c r="LR8" s="20">
        <v>41096</v>
      </c>
      <c r="LS8" s="20">
        <v>41096</v>
      </c>
      <c r="LT8" s="20">
        <v>41096</v>
      </c>
      <c r="LU8" s="20">
        <v>41096</v>
      </c>
      <c r="LV8" s="20"/>
      <c r="LW8" s="20"/>
      <c r="LX8" s="20"/>
      <c r="LY8" s="20"/>
      <c r="LZ8" s="20"/>
      <c r="MA8" s="20"/>
      <c r="MB8" s="20"/>
      <c r="MC8" s="21">
        <f t="shared" ref="MC8:MC54" si="19">+SUM(LE8:MB8)</f>
        <v>410960</v>
      </c>
      <c r="MD8" s="49">
        <v>5</v>
      </c>
      <c r="ME8" s="21">
        <f t="shared" ref="ME8:ME10" si="20">+MD8*MC8</f>
        <v>2054800</v>
      </c>
      <c r="MF8" s="110"/>
      <c r="MH8" s="107"/>
      <c r="MI8" s="23" t="s">
        <v>44</v>
      </c>
      <c r="MJ8" s="20"/>
      <c r="MK8" s="20"/>
      <c r="ML8" s="20"/>
      <c r="MM8" s="20"/>
      <c r="MN8" s="20"/>
      <c r="MO8" s="20"/>
      <c r="MP8" s="20"/>
      <c r="MQ8" s="20">
        <v>41096</v>
      </c>
      <c r="MR8" s="20">
        <v>41096</v>
      </c>
      <c r="MS8" s="20">
        <v>41096</v>
      </c>
      <c r="MT8" s="20">
        <v>41096</v>
      </c>
      <c r="MU8" s="20">
        <v>41096</v>
      </c>
      <c r="MV8" s="20">
        <v>41096</v>
      </c>
      <c r="MW8" s="20">
        <v>41096</v>
      </c>
      <c r="MX8" s="20">
        <v>41096</v>
      </c>
      <c r="MY8" s="20">
        <v>41096</v>
      </c>
      <c r="MZ8" s="20">
        <v>41096</v>
      </c>
      <c r="NA8" s="20"/>
      <c r="NB8" s="20"/>
      <c r="NC8" s="20"/>
      <c r="ND8" s="20"/>
      <c r="NE8" s="20"/>
      <c r="NF8" s="20"/>
      <c r="NG8" s="20"/>
      <c r="NH8" s="21">
        <f t="shared" ref="NH8:NH54" si="21">+SUM(MJ8:NG8)</f>
        <v>410960</v>
      </c>
      <c r="NI8" s="49">
        <v>5</v>
      </c>
      <c r="NJ8" s="21">
        <f t="shared" ref="NJ8:NJ10" si="22">+NI8*NH8</f>
        <v>2054800</v>
      </c>
      <c r="NK8" s="110"/>
      <c r="NM8" s="107"/>
      <c r="NN8" s="23" t="s">
        <v>44</v>
      </c>
      <c r="NO8" s="20"/>
      <c r="NP8" s="20"/>
      <c r="NQ8" s="20"/>
      <c r="NR8" s="20"/>
      <c r="NS8" s="20"/>
      <c r="NT8" s="20"/>
      <c r="NU8" s="20"/>
      <c r="NV8" s="20">
        <v>41096</v>
      </c>
      <c r="NW8" s="20">
        <v>41096</v>
      </c>
      <c r="NX8" s="20">
        <v>41096</v>
      </c>
      <c r="NY8" s="20">
        <v>41096</v>
      </c>
      <c r="NZ8" s="20">
        <v>41096</v>
      </c>
      <c r="OA8" s="20">
        <v>41096</v>
      </c>
      <c r="OB8" s="20">
        <v>41096</v>
      </c>
      <c r="OC8" s="20">
        <v>41096</v>
      </c>
      <c r="OD8" s="20">
        <v>41096</v>
      </c>
      <c r="OE8" s="20">
        <v>41096</v>
      </c>
      <c r="OF8" s="20"/>
      <c r="OG8" s="20"/>
      <c r="OH8" s="20"/>
      <c r="OI8" s="20"/>
      <c r="OJ8" s="20"/>
      <c r="OK8" s="20"/>
      <c r="OL8" s="20"/>
      <c r="OM8" s="21">
        <f t="shared" ref="OM8:OM54" si="23">+SUM(NO8:OL8)</f>
        <v>410960</v>
      </c>
      <c r="ON8" s="49">
        <v>4</v>
      </c>
      <c r="OO8" s="21">
        <f t="shared" ref="OO8:OO10" si="24">+ON8*OM8</f>
        <v>1643840</v>
      </c>
      <c r="OP8" s="110"/>
      <c r="OR8" s="107"/>
      <c r="OS8" s="23" t="s">
        <v>44</v>
      </c>
      <c r="OT8" s="20"/>
      <c r="OU8" s="20"/>
      <c r="OV8" s="20"/>
      <c r="OW8" s="20"/>
      <c r="OX8" s="20"/>
      <c r="OY8" s="20"/>
      <c r="OZ8" s="20"/>
      <c r="PA8" s="20">
        <v>41096</v>
      </c>
      <c r="PB8" s="20">
        <v>41096</v>
      </c>
      <c r="PC8" s="20">
        <v>41096</v>
      </c>
      <c r="PD8" s="20">
        <v>41096</v>
      </c>
      <c r="PE8" s="20">
        <v>41096</v>
      </c>
      <c r="PF8" s="20">
        <v>41096</v>
      </c>
      <c r="PG8" s="20">
        <v>41096</v>
      </c>
      <c r="PH8" s="20">
        <v>41096</v>
      </c>
      <c r="PI8" s="20">
        <v>41096</v>
      </c>
      <c r="PJ8" s="20">
        <v>41096</v>
      </c>
      <c r="PK8" s="20"/>
      <c r="PL8" s="20"/>
      <c r="PM8" s="20"/>
      <c r="PN8" s="20"/>
      <c r="PO8" s="20"/>
      <c r="PP8" s="20"/>
      <c r="PQ8" s="20"/>
      <c r="PR8" s="21">
        <f t="shared" ref="PR8:PR54" si="25">+SUM(OT8:PQ8)</f>
        <v>410960</v>
      </c>
      <c r="PS8" s="62">
        <v>4</v>
      </c>
      <c r="PT8" s="21">
        <f t="shared" ref="PT8:PT10" si="26">+PS8*PR8</f>
        <v>1643840</v>
      </c>
      <c r="PU8" s="110"/>
    </row>
    <row r="9" spans="3:437" x14ac:dyDescent="0.35">
      <c r="C9" s="107"/>
      <c r="D9" s="23" t="s">
        <v>45</v>
      </c>
      <c r="E9" s="20"/>
      <c r="F9" s="92"/>
      <c r="G9" s="20"/>
      <c r="H9" s="20"/>
      <c r="I9" s="20"/>
      <c r="J9" s="20"/>
      <c r="K9" s="20"/>
      <c r="L9" s="20">
        <v>41096</v>
      </c>
      <c r="M9" s="20">
        <v>41096</v>
      </c>
      <c r="N9" s="20">
        <v>41096</v>
      </c>
      <c r="O9" s="20">
        <v>41096</v>
      </c>
      <c r="P9" s="20">
        <v>41096</v>
      </c>
      <c r="Q9" s="20">
        <v>41096</v>
      </c>
      <c r="R9" s="20">
        <v>41096</v>
      </c>
      <c r="S9" s="20">
        <v>41096</v>
      </c>
      <c r="T9" s="20">
        <v>41096</v>
      </c>
      <c r="U9" s="20">
        <v>41096</v>
      </c>
      <c r="V9" s="20"/>
      <c r="W9" s="20"/>
      <c r="X9" s="20"/>
      <c r="Y9" s="20"/>
      <c r="Z9" s="20"/>
      <c r="AA9" s="20"/>
      <c r="AB9" s="20"/>
      <c r="AC9" s="21">
        <f t="shared" si="0"/>
        <v>410960</v>
      </c>
      <c r="AD9" s="22">
        <v>5</v>
      </c>
      <c r="AE9" s="21">
        <f t="shared" si="1"/>
        <v>2054800</v>
      </c>
      <c r="AF9" s="110"/>
      <c r="AH9" s="107"/>
      <c r="AI9" s="23" t="s">
        <v>45</v>
      </c>
      <c r="AJ9" s="20"/>
      <c r="AK9" s="20"/>
      <c r="AL9" s="20"/>
      <c r="AM9" s="20"/>
      <c r="AN9" s="20"/>
      <c r="AO9" s="20"/>
      <c r="AP9" s="20"/>
      <c r="AQ9" s="20">
        <v>41096</v>
      </c>
      <c r="AR9" s="20">
        <v>41096</v>
      </c>
      <c r="AS9" s="20">
        <v>41096</v>
      </c>
      <c r="AT9" s="20">
        <v>41096</v>
      </c>
      <c r="AU9" s="20">
        <v>41096</v>
      </c>
      <c r="AV9" s="20">
        <v>41096</v>
      </c>
      <c r="AW9" s="20">
        <v>41096</v>
      </c>
      <c r="AX9" s="20">
        <v>41096</v>
      </c>
      <c r="AY9" s="20">
        <v>41096</v>
      </c>
      <c r="AZ9" s="20">
        <v>41096</v>
      </c>
      <c r="BA9" s="20"/>
      <c r="BB9" s="20"/>
      <c r="BC9" s="20"/>
      <c r="BD9" s="20"/>
      <c r="BE9" s="20"/>
      <c r="BF9" s="20"/>
      <c r="BG9" s="20"/>
      <c r="BH9" s="21">
        <f t="shared" si="2"/>
        <v>410960</v>
      </c>
      <c r="BI9" s="49">
        <v>5</v>
      </c>
      <c r="BJ9" s="21">
        <f t="shared" si="3"/>
        <v>2054800</v>
      </c>
      <c r="BK9" s="110"/>
      <c r="BM9" s="107"/>
      <c r="BN9" s="23" t="s">
        <v>45</v>
      </c>
      <c r="BO9" s="20"/>
      <c r="BP9" s="20"/>
      <c r="BQ9" s="20"/>
      <c r="BR9" s="20"/>
      <c r="BS9" s="20"/>
      <c r="BT9" s="20"/>
      <c r="BU9" s="20"/>
      <c r="BV9" s="20">
        <v>41096</v>
      </c>
      <c r="BW9" s="20">
        <v>41096</v>
      </c>
      <c r="BX9" s="20">
        <v>41096</v>
      </c>
      <c r="BY9" s="20">
        <v>41096</v>
      </c>
      <c r="BZ9" s="20">
        <v>41096</v>
      </c>
      <c r="CA9" s="20">
        <v>41096</v>
      </c>
      <c r="CB9" s="20">
        <v>41096</v>
      </c>
      <c r="CC9" s="20">
        <v>41096</v>
      </c>
      <c r="CD9" s="20">
        <v>41096</v>
      </c>
      <c r="CE9" s="20">
        <v>41096</v>
      </c>
      <c r="CF9" s="20"/>
      <c r="CG9" s="20"/>
      <c r="CH9" s="20"/>
      <c r="CI9" s="20"/>
      <c r="CJ9" s="20"/>
      <c r="CK9" s="20"/>
      <c r="CL9" s="20"/>
      <c r="CM9" s="21">
        <f t="shared" si="4"/>
        <v>410960</v>
      </c>
      <c r="CN9" s="49">
        <v>4</v>
      </c>
      <c r="CO9" s="21">
        <f t="shared" si="5"/>
        <v>1643840</v>
      </c>
      <c r="CP9" s="110"/>
      <c r="CS9" s="107"/>
      <c r="CT9" s="23" t="s">
        <v>45</v>
      </c>
      <c r="CU9" s="20"/>
      <c r="CV9" s="20"/>
      <c r="CW9" s="20"/>
      <c r="CX9" s="20"/>
      <c r="CY9" s="20"/>
      <c r="CZ9" s="20"/>
      <c r="DA9" s="20"/>
      <c r="DB9" s="20">
        <v>41096</v>
      </c>
      <c r="DC9" s="20">
        <v>41096</v>
      </c>
      <c r="DD9" s="20">
        <v>41096</v>
      </c>
      <c r="DE9" s="20">
        <v>41096</v>
      </c>
      <c r="DF9" s="20">
        <v>41096</v>
      </c>
      <c r="DG9" s="20">
        <v>41096</v>
      </c>
      <c r="DH9" s="20">
        <v>41096</v>
      </c>
      <c r="DI9" s="20">
        <v>41096</v>
      </c>
      <c r="DJ9" s="20">
        <v>41096</v>
      </c>
      <c r="DK9" s="20">
        <v>41096</v>
      </c>
      <c r="DL9" s="20"/>
      <c r="DM9" s="20"/>
      <c r="DN9" s="20"/>
      <c r="DO9" s="20"/>
      <c r="DP9" s="20"/>
      <c r="DQ9" s="20"/>
      <c r="DR9" s="20"/>
      <c r="DS9" s="21">
        <f t="shared" si="6"/>
        <v>410960</v>
      </c>
      <c r="DT9" s="49">
        <v>4</v>
      </c>
      <c r="DU9" s="21">
        <f>+DT9*DS9</f>
        <v>1643840</v>
      </c>
      <c r="DV9" s="110"/>
      <c r="DY9" s="107"/>
      <c r="DZ9" s="23" t="s">
        <v>45</v>
      </c>
      <c r="EA9" s="20"/>
      <c r="EB9" s="20"/>
      <c r="EC9" s="20"/>
      <c r="ED9" s="20"/>
      <c r="EE9" s="20"/>
      <c r="EF9" s="20"/>
      <c r="EG9" s="20"/>
      <c r="EH9" s="20">
        <v>41096</v>
      </c>
      <c r="EI9" s="20">
        <v>41096</v>
      </c>
      <c r="EJ9" s="20">
        <v>41096</v>
      </c>
      <c r="EK9" s="20">
        <v>41096</v>
      </c>
      <c r="EL9" s="20">
        <v>41096</v>
      </c>
      <c r="EM9" s="20">
        <v>41096</v>
      </c>
      <c r="EN9" s="20">
        <v>41096</v>
      </c>
      <c r="EO9" s="20">
        <v>41096</v>
      </c>
      <c r="EP9" s="20">
        <v>41096</v>
      </c>
      <c r="EQ9" s="20">
        <v>41096</v>
      </c>
      <c r="ER9" s="20"/>
      <c r="ES9" s="20"/>
      <c r="ET9" s="20"/>
      <c r="EU9" s="20"/>
      <c r="EV9" s="20"/>
      <c r="EW9" s="20"/>
      <c r="EX9" s="20"/>
      <c r="EY9" s="21">
        <f t="shared" si="7"/>
        <v>410960</v>
      </c>
      <c r="EZ9" s="49">
        <v>4</v>
      </c>
      <c r="FA9" s="21">
        <f t="shared" si="8"/>
        <v>1643840</v>
      </c>
      <c r="FB9" s="110"/>
      <c r="FD9" s="107"/>
      <c r="FE9" s="23" t="s">
        <v>45</v>
      </c>
      <c r="FF9" s="20"/>
      <c r="FG9" s="20"/>
      <c r="FH9" s="20"/>
      <c r="FI9" s="20"/>
      <c r="FJ9" s="20"/>
      <c r="FK9" s="20"/>
      <c r="FL9" s="20"/>
      <c r="FM9" s="20">
        <v>41096</v>
      </c>
      <c r="FN9" s="20">
        <v>41096</v>
      </c>
      <c r="FO9" s="20">
        <v>41096</v>
      </c>
      <c r="FP9" s="20">
        <v>41096</v>
      </c>
      <c r="FQ9" s="20">
        <v>41096</v>
      </c>
      <c r="FR9" s="20">
        <v>41096</v>
      </c>
      <c r="FS9" s="20">
        <v>41096</v>
      </c>
      <c r="FT9" s="20">
        <v>41096</v>
      </c>
      <c r="FU9" s="20">
        <v>41096</v>
      </c>
      <c r="FV9" s="20">
        <v>41096</v>
      </c>
      <c r="FW9" s="20"/>
      <c r="FX9" s="20"/>
      <c r="FY9" s="20"/>
      <c r="FZ9" s="20"/>
      <c r="GA9" s="20"/>
      <c r="GB9" s="20"/>
      <c r="GC9" s="20"/>
      <c r="GD9" s="21">
        <f t="shared" si="9"/>
        <v>410960</v>
      </c>
      <c r="GE9" s="49">
        <v>4</v>
      </c>
      <c r="GF9" s="21">
        <f t="shared" si="10"/>
        <v>1643840</v>
      </c>
      <c r="GG9" s="110"/>
      <c r="GI9" s="107"/>
      <c r="GJ9" s="23" t="s">
        <v>45</v>
      </c>
      <c r="GK9" s="20"/>
      <c r="GL9" s="20"/>
      <c r="GM9" s="20"/>
      <c r="GN9" s="20"/>
      <c r="GO9" s="20"/>
      <c r="GP9" s="20"/>
      <c r="GQ9" s="20"/>
      <c r="GR9" s="20">
        <v>41096</v>
      </c>
      <c r="GS9" s="20">
        <v>41096</v>
      </c>
      <c r="GT9" s="20">
        <v>41096</v>
      </c>
      <c r="GU9" s="20">
        <v>41096</v>
      </c>
      <c r="GV9" s="20">
        <v>41096</v>
      </c>
      <c r="GW9" s="20">
        <v>41096</v>
      </c>
      <c r="GX9" s="20">
        <v>41096</v>
      </c>
      <c r="GY9" s="20">
        <v>41096</v>
      </c>
      <c r="GZ9" s="20">
        <v>41096</v>
      </c>
      <c r="HA9" s="20">
        <v>41096</v>
      </c>
      <c r="HB9" s="20"/>
      <c r="HC9" s="20"/>
      <c r="HD9" s="20"/>
      <c r="HE9" s="20"/>
      <c r="HF9" s="20"/>
      <c r="HG9" s="20"/>
      <c r="HH9" s="20"/>
      <c r="HI9" s="21">
        <f t="shared" si="11"/>
        <v>410960</v>
      </c>
      <c r="HJ9" s="49">
        <v>5</v>
      </c>
      <c r="HK9" s="21">
        <f t="shared" si="12"/>
        <v>2054800</v>
      </c>
      <c r="HL9" s="110"/>
      <c r="HN9" s="107"/>
      <c r="HO9" s="23" t="s">
        <v>45</v>
      </c>
      <c r="HP9" s="20"/>
      <c r="HQ9" s="20"/>
      <c r="HR9" s="20"/>
      <c r="HS9" s="20"/>
      <c r="HT9" s="20"/>
      <c r="HU9" s="20"/>
      <c r="HV9" s="20"/>
      <c r="HW9" s="20">
        <v>41096</v>
      </c>
      <c r="HX9" s="20">
        <v>41096</v>
      </c>
      <c r="HY9" s="20">
        <v>41096</v>
      </c>
      <c r="HZ9" s="20">
        <v>41096</v>
      </c>
      <c r="IA9" s="20">
        <v>41096</v>
      </c>
      <c r="IB9" s="20">
        <v>41096</v>
      </c>
      <c r="IC9" s="20">
        <v>41096</v>
      </c>
      <c r="ID9" s="20">
        <v>41096</v>
      </c>
      <c r="IE9" s="20">
        <v>41096</v>
      </c>
      <c r="IF9" s="20">
        <v>41096</v>
      </c>
      <c r="IG9" s="20"/>
      <c r="IH9" s="20"/>
      <c r="II9" s="20"/>
      <c r="IJ9" s="20"/>
      <c r="IK9" s="20"/>
      <c r="IL9" s="20"/>
      <c r="IM9" s="20"/>
      <c r="IN9" s="21">
        <f t="shared" si="13"/>
        <v>410960</v>
      </c>
      <c r="IO9" s="49">
        <v>4</v>
      </c>
      <c r="IP9" s="21">
        <f t="shared" si="14"/>
        <v>1643840</v>
      </c>
      <c r="IQ9" s="110"/>
      <c r="IS9" s="107"/>
      <c r="IT9" s="23" t="s">
        <v>45</v>
      </c>
      <c r="IU9" s="20"/>
      <c r="IV9" s="20"/>
      <c r="IW9" s="20"/>
      <c r="IX9" s="20"/>
      <c r="IY9" s="20"/>
      <c r="IZ9" s="20"/>
      <c r="JA9" s="20"/>
      <c r="JB9" s="20">
        <v>41096</v>
      </c>
      <c r="JC9" s="20">
        <v>41096</v>
      </c>
      <c r="JD9" s="20">
        <v>41096</v>
      </c>
      <c r="JE9" s="20">
        <v>41096</v>
      </c>
      <c r="JF9" s="20">
        <v>41096</v>
      </c>
      <c r="JG9" s="20">
        <v>41096</v>
      </c>
      <c r="JH9" s="20">
        <v>41096</v>
      </c>
      <c r="JI9" s="20">
        <v>41096</v>
      </c>
      <c r="JJ9" s="20">
        <v>41096</v>
      </c>
      <c r="JK9" s="20">
        <v>41096</v>
      </c>
      <c r="JL9" s="20"/>
      <c r="JM9" s="20"/>
      <c r="JN9" s="20"/>
      <c r="JO9" s="20"/>
      <c r="JP9" s="20"/>
      <c r="JQ9" s="20"/>
      <c r="JR9" s="20"/>
      <c r="JS9" s="21">
        <f t="shared" si="15"/>
        <v>410960</v>
      </c>
      <c r="JT9" s="49">
        <v>4</v>
      </c>
      <c r="JU9" s="21">
        <f t="shared" si="16"/>
        <v>1643840</v>
      </c>
      <c r="JV9" s="110"/>
      <c r="JX9" s="107"/>
      <c r="JY9" s="23" t="s">
        <v>45</v>
      </c>
      <c r="JZ9" s="20"/>
      <c r="KA9" s="20"/>
      <c r="KB9" s="20"/>
      <c r="KC9" s="20"/>
      <c r="KD9" s="20"/>
      <c r="KE9" s="20"/>
      <c r="KF9" s="20"/>
      <c r="KG9" s="20">
        <v>41096</v>
      </c>
      <c r="KH9" s="20">
        <v>41096</v>
      </c>
      <c r="KI9" s="20">
        <v>41096</v>
      </c>
      <c r="KJ9" s="20">
        <v>41096</v>
      </c>
      <c r="KK9" s="20">
        <v>41096</v>
      </c>
      <c r="KL9" s="20">
        <v>41096</v>
      </c>
      <c r="KM9" s="20">
        <v>41096</v>
      </c>
      <c r="KN9" s="20">
        <v>41096</v>
      </c>
      <c r="KO9" s="20">
        <v>41096</v>
      </c>
      <c r="KP9" s="20">
        <v>41096</v>
      </c>
      <c r="KQ9" s="20"/>
      <c r="KR9" s="20"/>
      <c r="KS9" s="20"/>
      <c r="KT9" s="20"/>
      <c r="KU9" s="20"/>
      <c r="KV9" s="20"/>
      <c r="KW9" s="20"/>
      <c r="KX9" s="21">
        <f t="shared" si="17"/>
        <v>410960</v>
      </c>
      <c r="KY9" s="49">
        <v>4</v>
      </c>
      <c r="KZ9" s="21">
        <f t="shared" si="18"/>
        <v>1643840</v>
      </c>
      <c r="LA9" s="110"/>
      <c r="LC9" s="107"/>
      <c r="LD9" s="23" t="s">
        <v>45</v>
      </c>
      <c r="LE9" s="20"/>
      <c r="LF9" s="20"/>
      <c r="LG9" s="20"/>
      <c r="LH9" s="20"/>
      <c r="LI9" s="20"/>
      <c r="LJ9" s="20"/>
      <c r="LK9" s="20"/>
      <c r="LL9" s="20">
        <v>41096</v>
      </c>
      <c r="LM9" s="20">
        <v>41096</v>
      </c>
      <c r="LN9" s="20">
        <v>41096</v>
      </c>
      <c r="LO9" s="20">
        <v>41096</v>
      </c>
      <c r="LP9" s="20">
        <v>41096</v>
      </c>
      <c r="LQ9" s="20">
        <v>41096</v>
      </c>
      <c r="LR9" s="20">
        <v>41096</v>
      </c>
      <c r="LS9" s="20">
        <v>41096</v>
      </c>
      <c r="LT9" s="20">
        <v>41096</v>
      </c>
      <c r="LU9" s="20">
        <v>41096</v>
      </c>
      <c r="LV9" s="20"/>
      <c r="LW9" s="20"/>
      <c r="LX9" s="20"/>
      <c r="LY9" s="20"/>
      <c r="LZ9" s="20"/>
      <c r="MA9" s="20"/>
      <c r="MB9" s="20"/>
      <c r="MC9" s="21">
        <f t="shared" si="19"/>
        <v>410960</v>
      </c>
      <c r="MD9" s="49">
        <v>4</v>
      </c>
      <c r="ME9" s="21">
        <f t="shared" si="20"/>
        <v>1643840</v>
      </c>
      <c r="MF9" s="110"/>
      <c r="MH9" s="107"/>
      <c r="MI9" s="23" t="s">
        <v>45</v>
      </c>
      <c r="MJ9" s="20"/>
      <c r="MK9" s="20"/>
      <c r="ML9" s="20"/>
      <c r="MM9" s="20"/>
      <c r="MN9" s="20"/>
      <c r="MO9" s="20"/>
      <c r="MP9" s="20"/>
      <c r="MQ9" s="20">
        <v>41096</v>
      </c>
      <c r="MR9" s="20">
        <v>41096</v>
      </c>
      <c r="MS9" s="20">
        <v>41096</v>
      </c>
      <c r="MT9" s="20">
        <v>41096</v>
      </c>
      <c r="MU9" s="20">
        <v>41096</v>
      </c>
      <c r="MV9" s="20">
        <v>41096</v>
      </c>
      <c r="MW9" s="20">
        <v>41096</v>
      </c>
      <c r="MX9" s="20">
        <v>41096</v>
      </c>
      <c r="MY9" s="20">
        <v>41096</v>
      </c>
      <c r="MZ9" s="20">
        <v>41096</v>
      </c>
      <c r="NA9" s="20"/>
      <c r="NB9" s="20"/>
      <c r="NC9" s="20"/>
      <c r="ND9" s="20"/>
      <c r="NE9" s="20"/>
      <c r="NF9" s="20"/>
      <c r="NG9" s="20"/>
      <c r="NH9" s="21">
        <f t="shared" si="21"/>
        <v>410960</v>
      </c>
      <c r="NI9" s="49">
        <v>5</v>
      </c>
      <c r="NJ9" s="21">
        <f t="shared" si="22"/>
        <v>2054800</v>
      </c>
      <c r="NK9" s="110"/>
      <c r="NM9" s="107"/>
      <c r="NN9" s="23" t="s">
        <v>45</v>
      </c>
      <c r="NO9" s="20"/>
      <c r="NP9" s="20"/>
      <c r="NQ9" s="20"/>
      <c r="NR9" s="20"/>
      <c r="NS9" s="20"/>
      <c r="NT9" s="20"/>
      <c r="NU9" s="20"/>
      <c r="NV9" s="20">
        <v>41096</v>
      </c>
      <c r="NW9" s="20">
        <v>41096</v>
      </c>
      <c r="NX9" s="20">
        <v>41096</v>
      </c>
      <c r="NY9" s="20">
        <v>41096</v>
      </c>
      <c r="NZ9" s="20">
        <v>41096</v>
      </c>
      <c r="OA9" s="20">
        <v>41096</v>
      </c>
      <c r="OB9" s="20">
        <v>41096</v>
      </c>
      <c r="OC9" s="20">
        <v>41096</v>
      </c>
      <c r="OD9" s="20">
        <v>41096</v>
      </c>
      <c r="OE9" s="20">
        <v>41096</v>
      </c>
      <c r="OF9" s="20"/>
      <c r="OG9" s="20"/>
      <c r="OH9" s="20"/>
      <c r="OI9" s="20"/>
      <c r="OJ9" s="20"/>
      <c r="OK9" s="20"/>
      <c r="OL9" s="20"/>
      <c r="OM9" s="21">
        <f t="shared" si="23"/>
        <v>410960</v>
      </c>
      <c r="ON9" s="49">
        <v>5</v>
      </c>
      <c r="OO9" s="21">
        <f t="shared" si="24"/>
        <v>2054800</v>
      </c>
      <c r="OP9" s="110"/>
      <c r="OR9" s="107"/>
      <c r="OS9" s="23" t="s">
        <v>45</v>
      </c>
      <c r="OT9" s="20"/>
      <c r="OU9" s="20"/>
      <c r="OV9" s="20"/>
      <c r="OW9" s="20"/>
      <c r="OX9" s="20"/>
      <c r="OY9" s="20"/>
      <c r="OZ9" s="20"/>
      <c r="PA9" s="20">
        <v>41096</v>
      </c>
      <c r="PB9" s="20">
        <v>41096</v>
      </c>
      <c r="PC9" s="20">
        <v>41096</v>
      </c>
      <c r="PD9" s="20">
        <v>41096</v>
      </c>
      <c r="PE9" s="20">
        <v>41096</v>
      </c>
      <c r="PF9" s="20">
        <v>41096</v>
      </c>
      <c r="PG9" s="20">
        <v>41096</v>
      </c>
      <c r="PH9" s="20">
        <v>41096</v>
      </c>
      <c r="PI9" s="20">
        <v>41096</v>
      </c>
      <c r="PJ9" s="20">
        <v>41096</v>
      </c>
      <c r="PK9" s="20"/>
      <c r="PL9" s="20"/>
      <c r="PM9" s="20"/>
      <c r="PN9" s="20"/>
      <c r="PO9" s="20"/>
      <c r="PP9" s="20"/>
      <c r="PQ9" s="20"/>
      <c r="PR9" s="21">
        <f t="shared" si="25"/>
        <v>410960</v>
      </c>
      <c r="PS9" s="62">
        <v>4</v>
      </c>
      <c r="PT9" s="21">
        <f t="shared" si="26"/>
        <v>1643840</v>
      </c>
      <c r="PU9" s="110"/>
    </row>
    <row r="10" spans="3:437" ht="15" thickBot="1" x14ac:dyDescent="0.4">
      <c r="C10" s="108"/>
      <c r="D10" s="24" t="s">
        <v>46</v>
      </c>
      <c r="E10" s="20"/>
      <c r="F10" s="92"/>
      <c r="G10" s="20"/>
      <c r="H10" s="20"/>
      <c r="I10" s="20"/>
      <c r="J10" s="20"/>
      <c r="K10" s="20"/>
      <c r="L10" s="20">
        <v>41096</v>
      </c>
      <c r="M10" s="20">
        <v>41096</v>
      </c>
      <c r="N10" s="20">
        <v>41096</v>
      </c>
      <c r="O10" s="20">
        <v>41096</v>
      </c>
      <c r="P10" s="20">
        <v>41096</v>
      </c>
      <c r="Q10" s="20">
        <v>41096</v>
      </c>
      <c r="R10" s="20">
        <v>41096</v>
      </c>
      <c r="S10" s="20">
        <v>41096</v>
      </c>
      <c r="T10" s="20">
        <v>41096</v>
      </c>
      <c r="U10" s="20">
        <v>41096</v>
      </c>
      <c r="V10" s="20"/>
      <c r="W10" s="20"/>
      <c r="X10" s="20"/>
      <c r="Y10" s="20"/>
      <c r="Z10" s="20"/>
      <c r="AA10" s="20"/>
      <c r="AB10" s="20"/>
      <c r="AC10" s="21">
        <f t="shared" si="0"/>
        <v>410960</v>
      </c>
      <c r="AD10" s="22">
        <v>2</v>
      </c>
      <c r="AE10" s="21">
        <f t="shared" si="1"/>
        <v>821920</v>
      </c>
      <c r="AF10" s="111"/>
      <c r="AH10" s="108"/>
      <c r="AI10" s="24" t="s">
        <v>46</v>
      </c>
      <c r="AJ10" s="20"/>
      <c r="AK10" s="20"/>
      <c r="AL10" s="20"/>
      <c r="AM10" s="20"/>
      <c r="AN10" s="20"/>
      <c r="AO10" s="20"/>
      <c r="AP10" s="20"/>
      <c r="AQ10" s="20">
        <v>41096</v>
      </c>
      <c r="AR10" s="20">
        <v>41096</v>
      </c>
      <c r="AS10" s="20">
        <v>41096</v>
      </c>
      <c r="AT10" s="20">
        <v>41096</v>
      </c>
      <c r="AU10" s="20">
        <v>41096</v>
      </c>
      <c r="AV10" s="20">
        <v>41096</v>
      </c>
      <c r="AW10" s="20">
        <v>41096</v>
      </c>
      <c r="AX10" s="20">
        <v>41096</v>
      </c>
      <c r="AY10" s="20">
        <v>41096</v>
      </c>
      <c r="AZ10" s="20">
        <v>41096</v>
      </c>
      <c r="BA10" s="20"/>
      <c r="BB10" s="20"/>
      <c r="BC10" s="20"/>
      <c r="BD10" s="20"/>
      <c r="BE10" s="20"/>
      <c r="BF10" s="20"/>
      <c r="BG10" s="20"/>
      <c r="BH10" s="21">
        <f t="shared" si="2"/>
        <v>410960</v>
      </c>
      <c r="BI10" s="50">
        <v>2</v>
      </c>
      <c r="BJ10" s="21">
        <f t="shared" si="3"/>
        <v>821920</v>
      </c>
      <c r="BK10" s="111"/>
      <c r="BM10" s="108"/>
      <c r="BN10" s="24" t="s">
        <v>46</v>
      </c>
      <c r="BO10" s="20"/>
      <c r="BP10" s="20"/>
      <c r="BQ10" s="20"/>
      <c r="BR10" s="20"/>
      <c r="BS10" s="20"/>
      <c r="BT10" s="20"/>
      <c r="BU10" s="20"/>
      <c r="BV10" s="20">
        <v>41096</v>
      </c>
      <c r="BW10" s="20">
        <v>41096</v>
      </c>
      <c r="BX10" s="20">
        <v>41096</v>
      </c>
      <c r="BY10" s="20">
        <v>41096</v>
      </c>
      <c r="BZ10" s="20">
        <v>41096</v>
      </c>
      <c r="CA10" s="20">
        <v>41096</v>
      </c>
      <c r="CB10" s="20">
        <v>41096</v>
      </c>
      <c r="CC10" s="20">
        <v>41096</v>
      </c>
      <c r="CD10" s="20">
        <v>41096</v>
      </c>
      <c r="CE10" s="20">
        <v>41096</v>
      </c>
      <c r="CF10" s="20"/>
      <c r="CG10" s="20"/>
      <c r="CH10" s="20"/>
      <c r="CI10" s="20"/>
      <c r="CJ10" s="20"/>
      <c r="CK10" s="20"/>
      <c r="CL10" s="20"/>
      <c r="CM10" s="21">
        <f t="shared" si="4"/>
        <v>410960</v>
      </c>
      <c r="CN10" s="50">
        <v>2</v>
      </c>
      <c r="CO10" s="21">
        <f t="shared" si="5"/>
        <v>821920</v>
      </c>
      <c r="CP10" s="111"/>
      <c r="CS10" s="108"/>
      <c r="CT10" s="24" t="s">
        <v>46</v>
      </c>
      <c r="CU10" s="20"/>
      <c r="CV10" s="20"/>
      <c r="CW10" s="20"/>
      <c r="CX10" s="20"/>
      <c r="CY10" s="20"/>
      <c r="CZ10" s="20"/>
      <c r="DA10" s="20"/>
      <c r="DB10" s="20">
        <v>41096</v>
      </c>
      <c r="DC10" s="20">
        <v>41096</v>
      </c>
      <c r="DD10" s="20">
        <v>41096</v>
      </c>
      <c r="DE10" s="20">
        <v>41096</v>
      </c>
      <c r="DF10" s="20">
        <v>41096</v>
      </c>
      <c r="DG10" s="20">
        <v>41096</v>
      </c>
      <c r="DH10" s="20">
        <v>41096</v>
      </c>
      <c r="DI10" s="20">
        <v>41096</v>
      </c>
      <c r="DJ10" s="20">
        <v>41096</v>
      </c>
      <c r="DK10" s="20">
        <v>41096</v>
      </c>
      <c r="DL10" s="20"/>
      <c r="DM10" s="20"/>
      <c r="DN10" s="20"/>
      <c r="DO10" s="20"/>
      <c r="DP10" s="20"/>
      <c r="DQ10" s="20"/>
      <c r="DR10" s="20"/>
      <c r="DS10" s="21">
        <f t="shared" si="6"/>
        <v>410960</v>
      </c>
      <c r="DT10" s="50">
        <v>2</v>
      </c>
      <c r="DU10" s="21">
        <f>+DT10*DS10</f>
        <v>821920</v>
      </c>
      <c r="DV10" s="111"/>
      <c r="DY10" s="108"/>
      <c r="DZ10" s="24" t="s">
        <v>46</v>
      </c>
      <c r="EA10" s="20"/>
      <c r="EB10" s="20"/>
      <c r="EC10" s="20"/>
      <c r="ED10" s="20"/>
      <c r="EE10" s="20"/>
      <c r="EF10" s="20"/>
      <c r="EG10" s="20"/>
      <c r="EH10" s="20">
        <v>41096</v>
      </c>
      <c r="EI10" s="20">
        <v>41096</v>
      </c>
      <c r="EJ10" s="20">
        <v>41096</v>
      </c>
      <c r="EK10" s="20">
        <v>41096</v>
      </c>
      <c r="EL10" s="20">
        <v>41096</v>
      </c>
      <c r="EM10" s="20">
        <v>41096</v>
      </c>
      <c r="EN10" s="20">
        <v>41096</v>
      </c>
      <c r="EO10" s="20">
        <v>41096</v>
      </c>
      <c r="EP10" s="20">
        <v>41096</v>
      </c>
      <c r="EQ10" s="20">
        <v>41096</v>
      </c>
      <c r="ER10" s="20"/>
      <c r="ES10" s="20"/>
      <c r="ET10" s="20"/>
      <c r="EU10" s="20"/>
      <c r="EV10" s="20"/>
      <c r="EW10" s="20"/>
      <c r="EX10" s="20"/>
      <c r="EY10" s="21">
        <f t="shared" si="7"/>
        <v>410960</v>
      </c>
      <c r="EZ10" s="50">
        <v>2</v>
      </c>
      <c r="FA10" s="21">
        <f t="shared" si="8"/>
        <v>821920</v>
      </c>
      <c r="FB10" s="111"/>
      <c r="FD10" s="108"/>
      <c r="FE10" s="24" t="s">
        <v>46</v>
      </c>
      <c r="FF10" s="20"/>
      <c r="FG10" s="20"/>
      <c r="FH10" s="20"/>
      <c r="FI10" s="20"/>
      <c r="FJ10" s="20"/>
      <c r="FK10" s="20"/>
      <c r="FL10" s="20"/>
      <c r="FM10" s="20">
        <v>41096</v>
      </c>
      <c r="FN10" s="20">
        <v>41096</v>
      </c>
      <c r="FO10" s="20">
        <v>41096</v>
      </c>
      <c r="FP10" s="20">
        <v>41096</v>
      </c>
      <c r="FQ10" s="20">
        <v>41096</v>
      </c>
      <c r="FR10" s="20">
        <v>41096</v>
      </c>
      <c r="FS10" s="20">
        <v>41096</v>
      </c>
      <c r="FT10" s="20">
        <v>41096</v>
      </c>
      <c r="FU10" s="20">
        <v>41096</v>
      </c>
      <c r="FV10" s="20">
        <v>41096</v>
      </c>
      <c r="FW10" s="20"/>
      <c r="FX10" s="20"/>
      <c r="FY10" s="20"/>
      <c r="FZ10" s="20"/>
      <c r="GA10" s="20"/>
      <c r="GB10" s="20"/>
      <c r="GC10" s="20"/>
      <c r="GD10" s="21">
        <f t="shared" si="9"/>
        <v>410960</v>
      </c>
      <c r="GE10" s="50">
        <v>2</v>
      </c>
      <c r="GF10" s="21">
        <f t="shared" si="10"/>
        <v>821920</v>
      </c>
      <c r="GG10" s="111"/>
      <c r="GI10" s="108"/>
      <c r="GJ10" s="24" t="s">
        <v>46</v>
      </c>
      <c r="GK10" s="20"/>
      <c r="GL10" s="20"/>
      <c r="GM10" s="20"/>
      <c r="GN10" s="20"/>
      <c r="GO10" s="20"/>
      <c r="GP10" s="20"/>
      <c r="GQ10" s="20"/>
      <c r="GR10" s="20">
        <v>41096</v>
      </c>
      <c r="GS10" s="20">
        <v>41096</v>
      </c>
      <c r="GT10" s="20">
        <v>41096</v>
      </c>
      <c r="GU10" s="20">
        <v>41096</v>
      </c>
      <c r="GV10" s="20">
        <v>41096</v>
      </c>
      <c r="GW10" s="20">
        <v>41096</v>
      </c>
      <c r="GX10" s="20">
        <v>41096</v>
      </c>
      <c r="GY10" s="20">
        <v>41096</v>
      </c>
      <c r="GZ10" s="20">
        <v>41096</v>
      </c>
      <c r="HA10" s="20">
        <v>41096</v>
      </c>
      <c r="HB10" s="20"/>
      <c r="HC10" s="20"/>
      <c r="HD10" s="20"/>
      <c r="HE10" s="20"/>
      <c r="HF10" s="20"/>
      <c r="HG10" s="20"/>
      <c r="HH10" s="20"/>
      <c r="HI10" s="21">
        <f t="shared" si="11"/>
        <v>410960</v>
      </c>
      <c r="HJ10" s="50">
        <v>2</v>
      </c>
      <c r="HK10" s="21">
        <f t="shared" si="12"/>
        <v>821920</v>
      </c>
      <c r="HL10" s="111"/>
      <c r="HN10" s="108"/>
      <c r="HO10" s="24" t="s">
        <v>46</v>
      </c>
      <c r="HP10" s="20"/>
      <c r="HQ10" s="20"/>
      <c r="HR10" s="20"/>
      <c r="HS10" s="20"/>
      <c r="HT10" s="20"/>
      <c r="HU10" s="20"/>
      <c r="HV10" s="20"/>
      <c r="HW10" s="20">
        <v>41096</v>
      </c>
      <c r="HX10" s="20">
        <v>41096</v>
      </c>
      <c r="HY10" s="20">
        <v>41096</v>
      </c>
      <c r="HZ10" s="20">
        <v>41096</v>
      </c>
      <c r="IA10" s="20">
        <v>41096</v>
      </c>
      <c r="IB10" s="20">
        <v>41096</v>
      </c>
      <c r="IC10" s="20">
        <v>41096</v>
      </c>
      <c r="ID10" s="20">
        <v>41096</v>
      </c>
      <c r="IE10" s="20">
        <v>41096</v>
      </c>
      <c r="IF10" s="20">
        <v>41096</v>
      </c>
      <c r="IG10" s="20"/>
      <c r="IH10" s="20"/>
      <c r="II10" s="20"/>
      <c r="IJ10" s="20"/>
      <c r="IK10" s="20"/>
      <c r="IL10" s="20"/>
      <c r="IM10" s="20"/>
      <c r="IN10" s="21">
        <f t="shared" si="13"/>
        <v>410960</v>
      </c>
      <c r="IO10" s="50">
        <v>2</v>
      </c>
      <c r="IP10" s="21">
        <f t="shared" si="14"/>
        <v>821920</v>
      </c>
      <c r="IQ10" s="111"/>
      <c r="IS10" s="108"/>
      <c r="IT10" s="24" t="s">
        <v>46</v>
      </c>
      <c r="IU10" s="20"/>
      <c r="IV10" s="20"/>
      <c r="IW10" s="20"/>
      <c r="IX10" s="20"/>
      <c r="IY10" s="20"/>
      <c r="IZ10" s="20"/>
      <c r="JA10" s="20"/>
      <c r="JB10" s="20">
        <v>41096</v>
      </c>
      <c r="JC10" s="20">
        <v>41096</v>
      </c>
      <c r="JD10" s="20">
        <v>41096</v>
      </c>
      <c r="JE10" s="20">
        <v>41096</v>
      </c>
      <c r="JF10" s="20">
        <v>41096</v>
      </c>
      <c r="JG10" s="20">
        <v>41096</v>
      </c>
      <c r="JH10" s="20">
        <v>41096</v>
      </c>
      <c r="JI10" s="20">
        <v>41096</v>
      </c>
      <c r="JJ10" s="20">
        <v>41096</v>
      </c>
      <c r="JK10" s="20">
        <v>41096</v>
      </c>
      <c r="JL10" s="20"/>
      <c r="JM10" s="20"/>
      <c r="JN10" s="20"/>
      <c r="JO10" s="20"/>
      <c r="JP10" s="20"/>
      <c r="JQ10" s="20"/>
      <c r="JR10" s="20"/>
      <c r="JS10" s="21">
        <f t="shared" si="15"/>
        <v>410960</v>
      </c>
      <c r="JT10" s="50">
        <v>2</v>
      </c>
      <c r="JU10" s="21">
        <f t="shared" si="16"/>
        <v>821920</v>
      </c>
      <c r="JV10" s="111"/>
      <c r="JX10" s="108"/>
      <c r="JY10" s="24" t="s">
        <v>46</v>
      </c>
      <c r="JZ10" s="20"/>
      <c r="KA10" s="20"/>
      <c r="KB10" s="20"/>
      <c r="KC10" s="20"/>
      <c r="KD10" s="20"/>
      <c r="KE10" s="20"/>
      <c r="KF10" s="20"/>
      <c r="KG10" s="20">
        <v>41096</v>
      </c>
      <c r="KH10" s="20">
        <v>41096</v>
      </c>
      <c r="KI10" s="20">
        <v>41096</v>
      </c>
      <c r="KJ10" s="20">
        <v>41096</v>
      </c>
      <c r="KK10" s="20">
        <v>41096</v>
      </c>
      <c r="KL10" s="20">
        <v>41096</v>
      </c>
      <c r="KM10" s="20">
        <v>41096</v>
      </c>
      <c r="KN10" s="20">
        <v>41096</v>
      </c>
      <c r="KO10" s="20">
        <v>41096</v>
      </c>
      <c r="KP10" s="20">
        <v>41096</v>
      </c>
      <c r="KQ10" s="20"/>
      <c r="KR10" s="20"/>
      <c r="KS10" s="20"/>
      <c r="KT10" s="20"/>
      <c r="KU10" s="20"/>
      <c r="KV10" s="20"/>
      <c r="KW10" s="20"/>
      <c r="KX10" s="21">
        <f t="shared" si="17"/>
        <v>410960</v>
      </c>
      <c r="KY10" s="50">
        <v>2</v>
      </c>
      <c r="KZ10" s="21">
        <f t="shared" si="18"/>
        <v>821920</v>
      </c>
      <c r="LA10" s="111"/>
      <c r="LC10" s="108"/>
      <c r="LD10" s="24" t="s">
        <v>46</v>
      </c>
      <c r="LE10" s="20"/>
      <c r="LF10" s="20"/>
      <c r="LG10" s="20"/>
      <c r="LH10" s="20"/>
      <c r="LI10" s="20"/>
      <c r="LJ10" s="20"/>
      <c r="LK10" s="20"/>
      <c r="LL10" s="20">
        <v>41096</v>
      </c>
      <c r="LM10" s="20">
        <v>41096</v>
      </c>
      <c r="LN10" s="20">
        <v>41096</v>
      </c>
      <c r="LO10" s="20">
        <v>41096</v>
      </c>
      <c r="LP10" s="20">
        <v>41096</v>
      </c>
      <c r="LQ10" s="20">
        <v>41096</v>
      </c>
      <c r="LR10" s="20">
        <v>41096</v>
      </c>
      <c r="LS10" s="20">
        <v>41096</v>
      </c>
      <c r="LT10" s="20">
        <v>41096</v>
      </c>
      <c r="LU10" s="20">
        <v>41096</v>
      </c>
      <c r="LV10" s="20"/>
      <c r="LW10" s="20"/>
      <c r="LX10" s="20"/>
      <c r="LY10" s="20"/>
      <c r="LZ10" s="20"/>
      <c r="MA10" s="20"/>
      <c r="MB10" s="20"/>
      <c r="MC10" s="21">
        <f t="shared" si="19"/>
        <v>410960</v>
      </c>
      <c r="MD10" s="50">
        <v>2</v>
      </c>
      <c r="ME10" s="21">
        <f t="shared" si="20"/>
        <v>821920</v>
      </c>
      <c r="MF10" s="111"/>
      <c r="MH10" s="108"/>
      <c r="MI10" s="24" t="s">
        <v>46</v>
      </c>
      <c r="MJ10" s="20"/>
      <c r="MK10" s="20"/>
      <c r="ML10" s="20"/>
      <c r="MM10" s="20"/>
      <c r="MN10" s="20"/>
      <c r="MO10" s="20"/>
      <c r="MP10" s="20"/>
      <c r="MQ10" s="20">
        <v>41096</v>
      </c>
      <c r="MR10" s="20">
        <v>41096</v>
      </c>
      <c r="MS10" s="20">
        <v>41096</v>
      </c>
      <c r="MT10" s="20">
        <v>41096</v>
      </c>
      <c r="MU10" s="20">
        <v>41096</v>
      </c>
      <c r="MV10" s="20">
        <v>41096</v>
      </c>
      <c r="MW10" s="20">
        <v>41096</v>
      </c>
      <c r="MX10" s="20">
        <v>41096</v>
      </c>
      <c r="MY10" s="20">
        <v>41096</v>
      </c>
      <c r="MZ10" s="20">
        <v>41096</v>
      </c>
      <c r="NA10" s="20"/>
      <c r="NB10" s="20"/>
      <c r="NC10" s="20"/>
      <c r="ND10" s="20"/>
      <c r="NE10" s="20"/>
      <c r="NF10" s="20"/>
      <c r="NG10" s="20"/>
      <c r="NH10" s="21">
        <f t="shared" si="21"/>
        <v>410960</v>
      </c>
      <c r="NI10" s="50">
        <v>2</v>
      </c>
      <c r="NJ10" s="21">
        <f t="shared" si="22"/>
        <v>821920</v>
      </c>
      <c r="NK10" s="111"/>
      <c r="NM10" s="108"/>
      <c r="NN10" s="24" t="s">
        <v>46</v>
      </c>
      <c r="NO10" s="20"/>
      <c r="NP10" s="20"/>
      <c r="NQ10" s="20"/>
      <c r="NR10" s="20"/>
      <c r="NS10" s="20"/>
      <c r="NT10" s="20"/>
      <c r="NU10" s="20"/>
      <c r="NV10" s="20">
        <v>41096</v>
      </c>
      <c r="NW10" s="20">
        <v>41096</v>
      </c>
      <c r="NX10" s="20">
        <v>41096</v>
      </c>
      <c r="NY10" s="20">
        <v>41096</v>
      </c>
      <c r="NZ10" s="20">
        <v>41096</v>
      </c>
      <c r="OA10" s="20">
        <v>41096</v>
      </c>
      <c r="OB10" s="20">
        <v>41096</v>
      </c>
      <c r="OC10" s="20">
        <v>41096</v>
      </c>
      <c r="OD10" s="20">
        <v>41096</v>
      </c>
      <c r="OE10" s="20">
        <v>41096</v>
      </c>
      <c r="OF10" s="20"/>
      <c r="OG10" s="20"/>
      <c r="OH10" s="20"/>
      <c r="OI10" s="20"/>
      <c r="OJ10" s="20"/>
      <c r="OK10" s="20"/>
      <c r="OL10" s="20"/>
      <c r="OM10" s="21">
        <f t="shared" si="23"/>
        <v>410960</v>
      </c>
      <c r="ON10" s="50">
        <v>2</v>
      </c>
      <c r="OO10" s="21">
        <f t="shared" si="24"/>
        <v>821920</v>
      </c>
      <c r="OP10" s="111"/>
      <c r="OR10" s="108"/>
      <c r="OS10" s="24" t="s">
        <v>46</v>
      </c>
      <c r="OT10" s="20"/>
      <c r="OU10" s="20"/>
      <c r="OV10" s="20"/>
      <c r="OW10" s="20"/>
      <c r="OX10" s="20"/>
      <c r="OY10" s="20"/>
      <c r="OZ10" s="20"/>
      <c r="PA10" s="20">
        <v>41096</v>
      </c>
      <c r="PB10" s="20">
        <v>41096</v>
      </c>
      <c r="PC10" s="20">
        <v>41096</v>
      </c>
      <c r="PD10" s="20">
        <v>41096</v>
      </c>
      <c r="PE10" s="20">
        <v>41096</v>
      </c>
      <c r="PF10" s="20">
        <v>41096</v>
      </c>
      <c r="PG10" s="20">
        <v>41096</v>
      </c>
      <c r="PH10" s="20">
        <v>41096</v>
      </c>
      <c r="PI10" s="20">
        <v>41096</v>
      </c>
      <c r="PJ10" s="20">
        <v>41096</v>
      </c>
      <c r="PK10" s="20"/>
      <c r="PL10" s="20"/>
      <c r="PM10" s="20"/>
      <c r="PN10" s="20"/>
      <c r="PO10" s="20"/>
      <c r="PP10" s="20"/>
      <c r="PQ10" s="20"/>
      <c r="PR10" s="21">
        <f t="shared" si="25"/>
        <v>410960</v>
      </c>
      <c r="PS10" s="64">
        <v>2</v>
      </c>
      <c r="PT10" s="21">
        <f t="shared" si="26"/>
        <v>821920</v>
      </c>
      <c r="PU10" s="111"/>
    </row>
    <row r="11" spans="3:437" x14ac:dyDescent="0.35">
      <c r="C11" s="106">
        <v>46419</v>
      </c>
      <c r="D11" s="19" t="s">
        <v>43</v>
      </c>
      <c r="E11" s="20"/>
      <c r="F11" s="92"/>
      <c r="G11" s="20"/>
      <c r="H11" s="20"/>
      <c r="I11" s="20"/>
      <c r="J11" s="20"/>
      <c r="K11" s="20"/>
      <c r="L11" s="20">
        <v>41096</v>
      </c>
      <c r="M11" s="20">
        <v>41096</v>
      </c>
      <c r="N11" s="20">
        <v>41096</v>
      </c>
      <c r="O11" s="20">
        <v>41096</v>
      </c>
      <c r="P11" s="20">
        <v>41096</v>
      </c>
      <c r="Q11" s="20">
        <v>41096</v>
      </c>
      <c r="R11" s="20">
        <v>41096</v>
      </c>
      <c r="S11" s="20">
        <v>41096</v>
      </c>
      <c r="T11" s="20">
        <v>41096</v>
      </c>
      <c r="U11" s="20">
        <v>41096</v>
      </c>
      <c r="V11" s="20"/>
      <c r="W11" s="20"/>
      <c r="X11" s="20"/>
      <c r="Y11" s="20"/>
      <c r="Z11" s="20"/>
      <c r="AA11" s="20"/>
      <c r="AB11" s="20"/>
      <c r="AC11" s="21">
        <f t="shared" si="0"/>
        <v>410960</v>
      </c>
      <c r="AD11" s="22">
        <v>20</v>
      </c>
      <c r="AE11" s="21">
        <f t="shared" ref="AE11:AE54" si="27">+AC11*AD11</f>
        <v>8219200</v>
      </c>
      <c r="AF11" s="109">
        <f>+SUM(AE11:AE14)</f>
        <v>11506880</v>
      </c>
      <c r="AH11" s="106">
        <v>46784</v>
      </c>
      <c r="AI11" s="19" t="s">
        <v>43</v>
      </c>
      <c r="AJ11" s="20"/>
      <c r="AK11" s="20"/>
      <c r="AL11" s="20"/>
      <c r="AM11" s="20"/>
      <c r="AN11" s="20"/>
      <c r="AO11" s="20"/>
      <c r="AP11" s="20"/>
      <c r="AQ11" s="20">
        <v>41096</v>
      </c>
      <c r="AR11" s="20">
        <v>41096</v>
      </c>
      <c r="AS11" s="20">
        <v>41096</v>
      </c>
      <c r="AT11" s="20">
        <v>41096</v>
      </c>
      <c r="AU11" s="20">
        <v>41096</v>
      </c>
      <c r="AV11" s="20">
        <v>41096</v>
      </c>
      <c r="AW11" s="20">
        <v>41096</v>
      </c>
      <c r="AX11" s="20">
        <v>41096</v>
      </c>
      <c r="AY11" s="20">
        <v>41096</v>
      </c>
      <c r="AZ11" s="20">
        <v>41096</v>
      </c>
      <c r="BA11" s="20"/>
      <c r="BB11" s="20"/>
      <c r="BC11" s="20"/>
      <c r="BD11" s="20"/>
      <c r="BE11" s="20"/>
      <c r="BF11" s="20"/>
      <c r="BG11" s="20"/>
      <c r="BH11" s="21">
        <f t="shared" si="2"/>
        <v>410960</v>
      </c>
      <c r="BI11" s="48">
        <v>21</v>
      </c>
      <c r="BJ11" s="21">
        <f t="shared" ref="BJ11:BJ54" si="28">+BH11*BI11</f>
        <v>8630160</v>
      </c>
      <c r="BK11" s="109">
        <f>+SUM(BJ11:BJ14)</f>
        <v>11917840</v>
      </c>
      <c r="BM11" s="106">
        <v>47150</v>
      </c>
      <c r="BN11" s="19" t="s">
        <v>43</v>
      </c>
      <c r="BO11" s="20"/>
      <c r="BP11" s="20"/>
      <c r="BQ11" s="20"/>
      <c r="BR11" s="20"/>
      <c r="BS11" s="20"/>
      <c r="BT11" s="20"/>
      <c r="BU11" s="20"/>
      <c r="BV11" s="20">
        <v>41096</v>
      </c>
      <c r="BW11" s="20">
        <v>41096</v>
      </c>
      <c r="BX11" s="20">
        <v>41096</v>
      </c>
      <c r="BY11" s="20">
        <v>41096</v>
      </c>
      <c r="BZ11" s="20">
        <v>41096</v>
      </c>
      <c r="CA11" s="20">
        <v>41096</v>
      </c>
      <c r="CB11" s="20">
        <v>41096</v>
      </c>
      <c r="CC11" s="20">
        <v>41096</v>
      </c>
      <c r="CD11" s="20">
        <v>41096</v>
      </c>
      <c r="CE11" s="20">
        <v>41096</v>
      </c>
      <c r="CF11" s="20"/>
      <c r="CG11" s="20"/>
      <c r="CH11" s="20"/>
      <c r="CI11" s="20"/>
      <c r="CJ11" s="20"/>
      <c r="CK11" s="20"/>
      <c r="CL11" s="20"/>
      <c r="CM11" s="21">
        <f t="shared" si="4"/>
        <v>410960</v>
      </c>
      <c r="CN11" s="48">
        <v>20</v>
      </c>
      <c r="CO11" s="21">
        <f t="shared" ref="CO11:CO54" si="29">+CM11*CN11</f>
        <v>8219200</v>
      </c>
      <c r="CP11" s="109">
        <f>+SUM(CO11:CO14)</f>
        <v>11506880</v>
      </c>
      <c r="CS11" s="106">
        <v>47515</v>
      </c>
      <c r="CT11" s="19" t="s">
        <v>43</v>
      </c>
      <c r="CU11" s="20"/>
      <c r="CV11" s="20"/>
      <c r="CW11" s="20"/>
      <c r="CX11" s="20"/>
      <c r="CY11" s="20"/>
      <c r="CZ11" s="20"/>
      <c r="DA11" s="20"/>
      <c r="DB11" s="20">
        <v>41096</v>
      </c>
      <c r="DC11" s="20">
        <v>41096</v>
      </c>
      <c r="DD11" s="20">
        <v>41096</v>
      </c>
      <c r="DE11" s="20">
        <v>41096</v>
      </c>
      <c r="DF11" s="20">
        <v>41096</v>
      </c>
      <c r="DG11" s="20">
        <v>41096</v>
      </c>
      <c r="DH11" s="20">
        <v>41096</v>
      </c>
      <c r="DI11" s="20">
        <v>41096</v>
      </c>
      <c r="DJ11" s="20">
        <v>41096</v>
      </c>
      <c r="DK11" s="20">
        <v>41096</v>
      </c>
      <c r="DL11" s="20"/>
      <c r="DM11" s="20"/>
      <c r="DN11" s="20"/>
      <c r="DO11" s="20"/>
      <c r="DP11" s="20"/>
      <c r="DQ11" s="20"/>
      <c r="DR11" s="20"/>
      <c r="DS11" s="21">
        <f t="shared" si="6"/>
        <v>410960</v>
      </c>
      <c r="DT11" s="48">
        <v>20</v>
      </c>
      <c r="DU11" s="21">
        <f t="shared" ref="DU11:DU54" si="30">+DS11*DT11</f>
        <v>8219200</v>
      </c>
      <c r="DV11" s="109">
        <f>+SUM(DU11:DU14)</f>
        <v>11506880</v>
      </c>
      <c r="DY11" s="106">
        <v>47880</v>
      </c>
      <c r="DZ11" s="19" t="s">
        <v>43</v>
      </c>
      <c r="EA11" s="20"/>
      <c r="EB11" s="20"/>
      <c r="EC11" s="20"/>
      <c r="ED11" s="20"/>
      <c r="EE11" s="20"/>
      <c r="EF11" s="20"/>
      <c r="EG11" s="20"/>
      <c r="EH11" s="20">
        <v>41096</v>
      </c>
      <c r="EI11" s="20">
        <v>41096</v>
      </c>
      <c r="EJ11" s="20">
        <v>41096</v>
      </c>
      <c r="EK11" s="20">
        <v>41096</v>
      </c>
      <c r="EL11" s="20">
        <v>41096</v>
      </c>
      <c r="EM11" s="20">
        <v>41096</v>
      </c>
      <c r="EN11" s="20">
        <v>41096</v>
      </c>
      <c r="EO11" s="20">
        <v>41096</v>
      </c>
      <c r="EP11" s="20">
        <v>41096</v>
      </c>
      <c r="EQ11" s="20">
        <v>41096</v>
      </c>
      <c r="ER11" s="20"/>
      <c r="ES11" s="20"/>
      <c r="ET11" s="20"/>
      <c r="EU11" s="20"/>
      <c r="EV11" s="20"/>
      <c r="EW11" s="20"/>
      <c r="EX11" s="20"/>
      <c r="EY11" s="21">
        <f t="shared" si="7"/>
        <v>410960</v>
      </c>
      <c r="EZ11" s="48">
        <v>20</v>
      </c>
      <c r="FA11" s="21">
        <f t="shared" ref="FA11:FA54" si="31">+EY11*EZ11</f>
        <v>8219200</v>
      </c>
      <c r="FB11" s="109">
        <f>+SUM(FA11:FA14)</f>
        <v>11506880</v>
      </c>
      <c r="FD11" s="106">
        <v>48245</v>
      </c>
      <c r="FE11" s="19" t="s">
        <v>43</v>
      </c>
      <c r="FF11" s="20"/>
      <c r="FG11" s="20"/>
      <c r="FH11" s="20"/>
      <c r="FI11" s="20"/>
      <c r="FJ11" s="20"/>
      <c r="FK11" s="20"/>
      <c r="FL11" s="20"/>
      <c r="FM11" s="20">
        <v>41096</v>
      </c>
      <c r="FN11" s="20">
        <v>41096</v>
      </c>
      <c r="FO11" s="20">
        <v>41096</v>
      </c>
      <c r="FP11" s="20">
        <v>41096</v>
      </c>
      <c r="FQ11" s="20">
        <v>41096</v>
      </c>
      <c r="FR11" s="20">
        <v>41096</v>
      </c>
      <c r="FS11" s="20">
        <v>41096</v>
      </c>
      <c r="FT11" s="20">
        <v>41096</v>
      </c>
      <c r="FU11" s="20">
        <v>41096</v>
      </c>
      <c r="FV11" s="20">
        <v>41096</v>
      </c>
      <c r="FW11" s="20"/>
      <c r="FX11" s="20"/>
      <c r="FY11" s="20"/>
      <c r="FZ11" s="20"/>
      <c r="GA11" s="20"/>
      <c r="GB11" s="20"/>
      <c r="GC11" s="20"/>
      <c r="GD11" s="21">
        <f t="shared" si="9"/>
        <v>410960</v>
      </c>
      <c r="GE11" s="48">
        <v>20</v>
      </c>
      <c r="GF11" s="21">
        <f t="shared" ref="GF11:GF54" si="32">+GD11*GE11</f>
        <v>8219200</v>
      </c>
      <c r="GG11" s="109">
        <f>+SUM(GF11:GF14)</f>
        <v>11917840</v>
      </c>
      <c r="GI11" s="106">
        <v>48611</v>
      </c>
      <c r="GJ11" s="19" t="s">
        <v>43</v>
      </c>
      <c r="GK11" s="20"/>
      <c r="GL11" s="20"/>
      <c r="GM11" s="20"/>
      <c r="GN11" s="20"/>
      <c r="GO11" s="20"/>
      <c r="GP11" s="20"/>
      <c r="GQ11" s="20"/>
      <c r="GR11" s="20">
        <v>41096</v>
      </c>
      <c r="GS11" s="20">
        <v>41096</v>
      </c>
      <c r="GT11" s="20">
        <v>41096</v>
      </c>
      <c r="GU11" s="20">
        <v>41096</v>
      </c>
      <c r="GV11" s="20">
        <v>41096</v>
      </c>
      <c r="GW11" s="20">
        <v>41096</v>
      </c>
      <c r="GX11" s="20">
        <v>41096</v>
      </c>
      <c r="GY11" s="20">
        <v>41096</v>
      </c>
      <c r="GZ11" s="20">
        <v>41096</v>
      </c>
      <c r="HA11" s="20">
        <v>41096</v>
      </c>
      <c r="HB11" s="20"/>
      <c r="HC11" s="20"/>
      <c r="HD11" s="20"/>
      <c r="HE11" s="20"/>
      <c r="HF11" s="20"/>
      <c r="HG11" s="20"/>
      <c r="HH11" s="20"/>
      <c r="HI11" s="21">
        <f t="shared" si="11"/>
        <v>410960</v>
      </c>
      <c r="HJ11" s="48">
        <v>20</v>
      </c>
      <c r="HK11" s="21">
        <f t="shared" ref="HK11:HK54" si="33">+HI11*HJ11</f>
        <v>8219200</v>
      </c>
      <c r="HL11" s="109">
        <f>+SUM(HK11:HK14)</f>
        <v>11506880</v>
      </c>
      <c r="HN11" s="106">
        <v>48976</v>
      </c>
      <c r="HO11" s="19" t="s">
        <v>43</v>
      </c>
      <c r="HP11" s="20"/>
      <c r="HQ11" s="20"/>
      <c r="HR11" s="20"/>
      <c r="HS11" s="20"/>
      <c r="HT11" s="20"/>
      <c r="HU11" s="20"/>
      <c r="HV11" s="20"/>
      <c r="HW11" s="20">
        <v>41096</v>
      </c>
      <c r="HX11" s="20">
        <v>41096</v>
      </c>
      <c r="HY11" s="20">
        <v>41096</v>
      </c>
      <c r="HZ11" s="20">
        <v>41096</v>
      </c>
      <c r="IA11" s="20">
        <v>41096</v>
      </c>
      <c r="IB11" s="20">
        <v>41096</v>
      </c>
      <c r="IC11" s="20">
        <v>41096</v>
      </c>
      <c r="ID11" s="20">
        <v>41096</v>
      </c>
      <c r="IE11" s="20">
        <v>41096</v>
      </c>
      <c r="IF11" s="20">
        <v>41096</v>
      </c>
      <c r="IG11" s="20"/>
      <c r="IH11" s="20"/>
      <c r="II11" s="20"/>
      <c r="IJ11" s="20"/>
      <c r="IK11" s="20"/>
      <c r="IL11" s="20"/>
      <c r="IM11" s="20"/>
      <c r="IN11" s="21">
        <f t="shared" si="13"/>
        <v>410960</v>
      </c>
      <c r="IO11" s="48">
        <v>20</v>
      </c>
      <c r="IP11" s="21">
        <f t="shared" ref="IP11:IP54" si="34">+IN11*IO11</f>
        <v>8219200</v>
      </c>
      <c r="IQ11" s="109">
        <f>+SUM(IP11:IP14)</f>
        <v>11506880</v>
      </c>
      <c r="IS11" s="106">
        <v>49341</v>
      </c>
      <c r="IT11" s="19" t="s">
        <v>43</v>
      </c>
      <c r="IU11" s="20"/>
      <c r="IV11" s="20"/>
      <c r="IW11" s="20"/>
      <c r="IX11" s="20"/>
      <c r="IY11" s="20"/>
      <c r="IZ11" s="20"/>
      <c r="JA11" s="20"/>
      <c r="JB11" s="20">
        <v>41096</v>
      </c>
      <c r="JC11" s="20">
        <v>41096</v>
      </c>
      <c r="JD11" s="20">
        <v>41096</v>
      </c>
      <c r="JE11" s="20">
        <v>41096</v>
      </c>
      <c r="JF11" s="20">
        <v>41096</v>
      </c>
      <c r="JG11" s="20">
        <v>41096</v>
      </c>
      <c r="JH11" s="20">
        <v>41096</v>
      </c>
      <c r="JI11" s="20">
        <v>41096</v>
      </c>
      <c r="JJ11" s="20">
        <v>41096</v>
      </c>
      <c r="JK11" s="20">
        <v>41096</v>
      </c>
      <c r="JL11" s="20"/>
      <c r="JM11" s="20"/>
      <c r="JN11" s="20"/>
      <c r="JO11" s="20"/>
      <c r="JP11" s="20"/>
      <c r="JQ11" s="20"/>
      <c r="JR11" s="20"/>
      <c r="JS11" s="21">
        <f t="shared" si="15"/>
        <v>410960</v>
      </c>
      <c r="JT11" s="48">
        <v>20</v>
      </c>
      <c r="JU11" s="21">
        <f t="shared" ref="JU11:JU54" si="35">+JS11*JT11</f>
        <v>8219200</v>
      </c>
      <c r="JV11" s="109">
        <f>+SUM(JU11:JU14)</f>
        <v>11506880</v>
      </c>
      <c r="JX11" s="106">
        <v>49706</v>
      </c>
      <c r="JY11" s="19" t="s">
        <v>43</v>
      </c>
      <c r="JZ11" s="20"/>
      <c r="KA11" s="20"/>
      <c r="KB11" s="20"/>
      <c r="KC11" s="20"/>
      <c r="KD11" s="20"/>
      <c r="KE11" s="20"/>
      <c r="KF11" s="20"/>
      <c r="KG11" s="20">
        <v>41096</v>
      </c>
      <c r="KH11" s="20">
        <v>41096</v>
      </c>
      <c r="KI11" s="20">
        <v>41096</v>
      </c>
      <c r="KJ11" s="20">
        <v>41096</v>
      </c>
      <c r="KK11" s="20">
        <v>41096</v>
      </c>
      <c r="KL11" s="20">
        <v>41096</v>
      </c>
      <c r="KM11" s="20">
        <v>41096</v>
      </c>
      <c r="KN11" s="20">
        <v>41096</v>
      </c>
      <c r="KO11" s="20">
        <v>41096</v>
      </c>
      <c r="KP11" s="20">
        <v>41096</v>
      </c>
      <c r="KQ11" s="20"/>
      <c r="KR11" s="20"/>
      <c r="KS11" s="20"/>
      <c r="KT11" s="20"/>
      <c r="KU11" s="20"/>
      <c r="KV11" s="20"/>
      <c r="KW11" s="20"/>
      <c r="KX11" s="21">
        <f t="shared" si="17"/>
        <v>410960</v>
      </c>
      <c r="KY11" s="48">
        <v>21</v>
      </c>
      <c r="KZ11" s="21">
        <f t="shared" ref="KZ11:KZ54" si="36">+KX11*KY11</f>
        <v>8630160</v>
      </c>
      <c r="LA11" s="109">
        <f>+SUM(KZ11:KZ14)</f>
        <v>11917840</v>
      </c>
      <c r="LC11" s="106">
        <v>50072</v>
      </c>
      <c r="LD11" s="19" t="s">
        <v>43</v>
      </c>
      <c r="LE11" s="20"/>
      <c r="LF11" s="20"/>
      <c r="LG11" s="20"/>
      <c r="LH11" s="20"/>
      <c r="LI11" s="20"/>
      <c r="LJ11" s="20"/>
      <c r="LK11" s="20"/>
      <c r="LL11" s="20">
        <v>41096</v>
      </c>
      <c r="LM11" s="20">
        <v>41096</v>
      </c>
      <c r="LN11" s="20">
        <v>41096</v>
      </c>
      <c r="LO11" s="20">
        <v>41096</v>
      </c>
      <c r="LP11" s="20">
        <v>41096</v>
      </c>
      <c r="LQ11" s="20">
        <v>41096</v>
      </c>
      <c r="LR11" s="20">
        <v>41096</v>
      </c>
      <c r="LS11" s="20">
        <v>41096</v>
      </c>
      <c r="LT11" s="20">
        <v>41096</v>
      </c>
      <c r="LU11" s="20">
        <v>41096</v>
      </c>
      <c r="LV11" s="20"/>
      <c r="LW11" s="20"/>
      <c r="LX11" s="20"/>
      <c r="LY11" s="20"/>
      <c r="LZ11" s="20"/>
      <c r="MA11" s="20"/>
      <c r="MB11" s="20"/>
      <c r="MC11" s="21">
        <f t="shared" si="19"/>
        <v>410960</v>
      </c>
      <c r="MD11" s="48">
        <v>20</v>
      </c>
      <c r="ME11" s="21">
        <f t="shared" ref="ME11:ME54" si="37">+MC11*MD11</f>
        <v>8219200</v>
      </c>
      <c r="MF11" s="109">
        <f>+SUM(ME11:ME14)</f>
        <v>11506880</v>
      </c>
      <c r="MH11" s="106">
        <v>50437</v>
      </c>
      <c r="MI11" s="19" t="s">
        <v>43</v>
      </c>
      <c r="MJ11" s="20"/>
      <c r="MK11" s="20"/>
      <c r="ML11" s="20"/>
      <c r="MM11" s="20"/>
      <c r="MN11" s="20"/>
      <c r="MO11" s="20"/>
      <c r="MP11" s="20"/>
      <c r="MQ11" s="20">
        <v>41096</v>
      </c>
      <c r="MR11" s="20">
        <v>41096</v>
      </c>
      <c r="MS11" s="20">
        <v>41096</v>
      </c>
      <c r="MT11" s="20">
        <v>41096</v>
      </c>
      <c r="MU11" s="20">
        <v>41096</v>
      </c>
      <c r="MV11" s="20">
        <v>41096</v>
      </c>
      <c r="MW11" s="20">
        <v>41096</v>
      </c>
      <c r="MX11" s="20">
        <v>41096</v>
      </c>
      <c r="MY11" s="20">
        <v>41096</v>
      </c>
      <c r="MZ11" s="20">
        <v>41096</v>
      </c>
      <c r="NA11" s="20"/>
      <c r="NB11" s="20"/>
      <c r="NC11" s="20"/>
      <c r="ND11" s="20"/>
      <c r="NE11" s="20"/>
      <c r="NF11" s="20"/>
      <c r="NG11" s="20"/>
      <c r="NH11" s="21">
        <f t="shared" si="21"/>
        <v>410960</v>
      </c>
      <c r="NI11" s="48">
        <v>20</v>
      </c>
      <c r="NJ11" s="21">
        <f t="shared" ref="NJ11:NJ54" si="38">+NH11*NI11</f>
        <v>8219200</v>
      </c>
      <c r="NK11" s="109">
        <f>+SUM(NJ11:NJ14)</f>
        <v>11506880</v>
      </c>
      <c r="NM11" s="106">
        <v>50802</v>
      </c>
      <c r="NN11" s="19" t="s">
        <v>43</v>
      </c>
      <c r="NO11" s="20"/>
      <c r="NP11" s="20"/>
      <c r="NQ11" s="20"/>
      <c r="NR11" s="20"/>
      <c r="NS11" s="20"/>
      <c r="NT11" s="20"/>
      <c r="NU11" s="20"/>
      <c r="NV11" s="20">
        <v>41096</v>
      </c>
      <c r="NW11" s="20">
        <v>41096</v>
      </c>
      <c r="NX11" s="20">
        <v>41096</v>
      </c>
      <c r="NY11" s="20">
        <v>41096</v>
      </c>
      <c r="NZ11" s="20">
        <v>41096</v>
      </c>
      <c r="OA11" s="20">
        <v>41096</v>
      </c>
      <c r="OB11" s="20">
        <v>41096</v>
      </c>
      <c r="OC11" s="20">
        <v>41096</v>
      </c>
      <c r="OD11" s="20">
        <v>41096</v>
      </c>
      <c r="OE11" s="20">
        <v>41096</v>
      </c>
      <c r="OF11" s="20"/>
      <c r="OG11" s="20"/>
      <c r="OH11" s="20"/>
      <c r="OI11" s="20"/>
      <c r="OJ11" s="20"/>
      <c r="OK11" s="20"/>
      <c r="OL11" s="20"/>
      <c r="OM11" s="21">
        <f t="shared" si="23"/>
        <v>410960</v>
      </c>
      <c r="ON11" s="48">
        <v>20</v>
      </c>
      <c r="OO11" s="21">
        <f t="shared" ref="OO11:OO54" si="39">+OM11*ON11</f>
        <v>8219200</v>
      </c>
      <c r="OP11" s="109">
        <f>+SUM(OO11:OO14)</f>
        <v>11506880</v>
      </c>
      <c r="OR11" s="106">
        <v>51167</v>
      </c>
      <c r="OS11" s="19" t="s">
        <v>43</v>
      </c>
      <c r="OT11" s="20"/>
      <c r="OU11" s="20"/>
      <c r="OV11" s="20"/>
      <c r="OW11" s="20"/>
      <c r="OX11" s="20"/>
      <c r="OY11" s="20"/>
      <c r="OZ11" s="20"/>
      <c r="PA11" s="20">
        <v>41096</v>
      </c>
      <c r="PB11" s="20">
        <v>41096</v>
      </c>
      <c r="PC11" s="20">
        <v>41096</v>
      </c>
      <c r="PD11" s="20">
        <v>41096</v>
      </c>
      <c r="PE11" s="20">
        <v>41096</v>
      </c>
      <c r="PF11" s="20">
        <v>41096</v>
      </c>
      <c r="PG11" s="20">
        <v>41096</v>
      </c>
      <c r="PH11" s="20">
        <v>41096</v>
      </c>
      <c r="PI11" s="20">
        <v>41096</v>
      </c>
      <c r="PJ11" s="20">
        <v>41096</v>
      </c>
      <c r="PK11" s="20"/>
      <c r="PL11" s="20"/>
      <c r="PM11" s="20"/>
      <c r="PN11" s="20"/>
      <c r="PO11" s="20"/>
      <c r="PP11" s="20"/>
      <c r="PQ11" s="20"/>
      <c r="PR11" s="21">
        <f t="shared" si="25"/>
        <v>410960</v>
      </c>
      <c r="PS11" s="63">
        <v>21</v>
      </c>
      <c r="PT11" s="21">
        <f t="shared" ref="PT11:PT54" si="40">+PR11*PS11</f>
        <v>8630160</v>
      </c>
      <c r="PU11" s="109">
        <f>+SUM(PT11:PT14)</f>
        <v>11917840</v>
      </c>
    </row>
    <row r="12" spans="3:437" x14ac:dyDescent="0.35">
      <c r="C12" s="107"/>
      <c r="D12" s="23" t="s">
        <v>44</v>
      </c>
      <c r="E12" s="20"/>
      <c r="F12" s="92"/>
      <c r="G12" s="20"/>
      <c r="H12" s="20"/>
      <c r="I12" s="20"/>
      <c r="J12" s="20"/>
      <c r="K12" s="20"/>
      <c r="L12" s="20">
        <v>41096</v>
      </c>
      <c r="M12" s="20">
        <v>41096</v>
      </c>
      <c r="N12" s="20">
        <v>41096</v>
      </c>
      <c r="O12" s="20">
        <v>41096</v>
      </c>
      <c r="P12" s="20">
        <v>41096</v>
      </c>
      <c r="Q12" s="20">
        <v>41096</v>
      </c>
      <c r="R12" s="20">
        <v>41096</v>
      </c>
      <c r="S12" s="20">
        <v>41096</v>
      </c>
      <c r="T12" s="20">
        <v>41096</v>
      </c>
      <c r="U12" s="20">
        <v>41096</v>
      </c>
      <c r="V12" s="20"/>
      <c r="W12" s="20"/>
      <c r="X12" s="20"/>
      <c r="Y12" s="20"/>
      <c r="Z12" s="20"/>
      <c r="AA12" s="20"/>
      <c r="AB12" s="20"/>
      <c r="AC12" s="21">
        <f t="shared" si="0"/>
        <v>410960</v>
      </c>
      <c r="AD12" s="22">
        <v>4</v>
      </c>
      <c r="AE12" s="21">
        <f t="shared" si="27"/>
        <v>1643840</v>
      </c>
      <c r="AF12" s="110"/>
      <c r="AH12" s="107"/>
      <c r="AI12" s="23" t="s">
        <v>44</v>
      </c>
      <c r="AJ12" s="20"/>
      <c r="AK12" s="20"/>
      <c r="AL12" s="20"/>
      <c r="AM12" s="20"/>
      <c r="AN12" s="20"/>
      <c r="AO12" s="20"/>
      <c r="AP12" s="20"/>
      <c r="AQ12" s="20">
        <v>41096</v>
      </c>
      <c r="AR12" s="20">
        <v>41096</v>
      </c>
      <c r="AS12" s="20">
        <v>41096</v>
      </c>
      <c r="AT12" s="20">
        <v>41096</v>
      </c>
      <c r="AU12" s="20">
        <v>41096</v>
      </c>
      <c r="AV12" s="20">
        <v>41096</v>
      </c>
      <c r="AW12" s="20">
        <v>41096</v>
      </c>
      <c r="AX12" s="20">
        <v>41096</v>
      </c>
      <c r="AY12" s="20">
        <v>41096</v>
      </c>
      <c r="AZ12" s="20">
        <v>41096</v>
      </c>
      <c r="BA12" s="20"/>
      <c r="BB12" s="20"/>
      <c r="BC12" s="20"/>
      <c r="BD12" s="20"/>
      <c r="BE12" s="20"/>
      <c r="BF12" s="20"/>
      <c r="BG12" s="20"/>
      <c r="BH12" s="21">
        <f t="shared" si="2"/>
        <v>410960</v>
      </c>
      <c r="BI12" s="49">
        <v>4</v>
      </c>
      <c r="BJ12" s="21">
        <f t="shared" si="28"/>
        <v>1643840</v>
      </c>
      <c r="BK12" s="110"/>
      <c r="BM12" s="107"/>
      <c r="BN12" s="23" t="s">
        <v>44</v>
      </c>
      <c r="BO12" s="20"/>
      <c r="BP12" s="20"/>
      <c r="BQ12" s="20"/>
      <c r="BR12" s="20"/>
      <c r="BS12" s="20"/>
      <c r="BT12" s="20"/>
      <c r="BU12" s="20"/>
      <c r="BV12" s="20">
        <v>41096</v>
      </c>
      <c r="BW12" s="20">
        <v>41096</v>
      </c>
      <c r="BX12" s="20">
        <v>41096</v>
      </c>
      <c r="BY12" s="20">
        <v>41096</v>
      </c>
      <c r="BZ12" s="20">
        <v>41096</v>
      </c>
      <c r="CA12" s="20">
        <v>41096</v>
      </c>
      <c r="CB12" s="20">
        <v>41096</v>
      </c>
      <c r="CC12" s="20">
        <v>41096</v>
      </c>
      <c r="CD12" s="20">
        <v>41096</v>
      </c>
      <c r="CE12" s="20">
        <v>41096</v>
      </c>
      <c r="CF12" s="20"/>
      <c r="CG12" s="20"/>
      <c r="CH12" s="20"/>
      <c r="CI12" s="20"/>
      <c r="CJ12" s="20"/>
      <c r="CK12" s="20"/>
      <c r="CL12" s="20"/>
      <c r="CM12" s="21">
        <f t="shared" si="4"/>
        <v>410960</v>
      </c>
      <c r="CN12" s="49">
        <v>4</v>
      </c>
      <c r="CO12" s="21">
        <f t="shared" si="29"/>
        <v>1643840</v>
      </c>
      <c r="CP12" s="110"/>
      <c r="CS12" s="107"/>
      <c r="CT12" s="23" t="s">
        <v>44</v>
      </c>
      <c r="CU12" s="20"/>
      <c r="CV12" s="20"/>
      <c r="CW12" s="20"/>
      <c r="CX12" s="20"/>
      <c r="CY12" s="20"/>
      <c r="CZ12" s="20"/>
      <c r="DA12" s="20"/>
      <c r="DB12" s="20">
        <v>41096</v>
      </c>
      <c r="DC12" s="20">
        <v>41096</v>
      </c>
      <c r="DD12" s="20">
        <v>41096</v>
      </c>
      <c r="DE12" s="20">
        <v>41096</v>
      </c>
      <c r="DF12" s="20">
        <v>41096</v>
      </c>
      <c r="DG12" s="20">
        <v>41096</v>
      </c>
      <c r="DH12" s="20">
        <v>41096</v>
      </c>
      <c r="DI12" s="20">
        <v>41096</v>
      </c>
      <c r="DJ12" s="20">
        <v>41096</v>
      </c>
      <c r="DK12" s="20">
        <v>41096</v>
      </c>
      <c r="DL12" s="20"/>
      <c r="DM12" s="20"/>
      <c r="DN12" s="20"/>
      <c r="DO12" s="20"/>
      <c r="DP12" s="20"/>
      <c r="DQ12" s="20"/>
      <c r="DR12" s="20"/>
      <c r="DS12" s="21">
        <f t="shared" si="6"/>
        <v>410960</v>
      </c>
      <c r="DT12" s="49">
        <v>4</v>
      </c>
      <c r="DU12" s="21">
        <f t="shared" si="30"/>
        <v>1643840</v>
      </c>
      <c r="DV12" s="110"/>
      <c r="DY12" s="107"/>
      <c r="DZ12" s="23" t="s">
        <v>44</v>
      </c>
      <c r="EA12" s="20"/>
      <c r="EB12" s="20"/>
      <c r="EC12" s="20"/>
      <c r="ED12" s="20"/>
      <c r="EE12" s="20"/>
      <c r="EF12" s="20"/>
      <c r="EG12" s="20"/>
      <c r="EH12" s="20">
        <v>41096</v>
      </c>
      <c r="EI12" s="20">
        <v>41096</v>
      </c>
      <c r="EJ12" s="20">
        <v>41096</v>
      </c>
      <c r="EK12" s="20">
        <v>41096</v>
      </c>
      <c r="EL12" s="20">
        <v>41096</v>
      </c>
      <c r="EM12" s="20">
        <v>41096</v>
      </c>
      <c r="EN12" s="20">
        <v>41096</v>
      </c>
      <c r="EO12" s="20">
        <v>41096</v>
      </c>
      <c r="EP12" s="20">
        <v>41096</v>
      </c>
      <c r="EQ12" s="20">
        <v>41096</v>
      </c>
      <c r="ER12" s="20"/>
      <c r="ES12" s="20"/>
      <c r="ET12" s="20"/>
      <c r="EU12" s="20"/>
      <c r="EV12" s="20"/>
      <c r="EW12" s="20"/>
      <c r="EX12" s="20"/>
      <c r="EY12" s="21">
        <f t="shared" si="7"/>
        <v>410960</v>
      </c>
      <c r="EZ12" s="49">
        <v>4</v>
      </c>
      <c r="FA12" s="21">
        <f t="shared" si="31"/>
        <v>1643840</v>
      </c>
      <c r="FB12" s="110"/>
      <c r="FD12" s="107"/>
      <c r="FE12" s="23" t="s">
        <v>44</v>
      </c>
      <c r="FF12" s="20"/>
      <c r="FG12" s="20"/>
      <c r="FH12" s="20"/>
      <c r="FI12" s="20"/>
      <c r="FJ12" s="20"/>
      <c r="FK12" s="20"/>
      <c r="FL12" s="20"/>
      <c r="FM12" s="20">
        <v>41096</v>
      </c>
      <c r="FN12" s="20">
        <v>41096</v>
      </c>
      <c r="FO12" s="20">
        <v>41096</v>
      </c>
      <c r="FP12" s="20">
        <v>41096</v>
      </c>
      <c r="FQ12" s="20">
        <v>41096</v>
      </c>
      <c r="FR12" s="20">
        <v>41096</v>
      </c>
      <c r="FS12" s="20">
        <v>41096</v>
      </c>
      <c r="FT12" s="20">
        <v>41096</v>
      </c>
      <c r="FU12" s="20">
        <v>41096</v>
      </c>
      <c r="FV12" s="20">
        <v>41096</v>
      </c>
      <c r="FW12" s="20"/>
      <c r="FX12" s="20"/>
      <c r="FY12" s="20"/>
      <c r="FZ12" s="20"/>
      <c r="GA12" s="20"/>
      <c r="GB12" s="20"/>
      <c r="GC12" s="20"/>
      <c r="GD12" s="21">
        <f t="shared" si="9"/>
        <v>410960</v>
      </c>
      <c r="GE12" s="49">
        <v>4</v>
      </c>
      <c r="GF12" s="21">
        <f t="shared" si="32"/>
        <v>1643840</v>
      </c>
      <c r="GG12" s="110"/>
      <c r="GI12" s="107"/>
      <c r="GJ12" s="23" t="s">
        <v>44</v>
      </c>
      <c r="GK12" s="20"/>
      <c r="GL12" s="20"/>
      <c r="GM12" s="20"/>
      <c r="GN12" s="20"/>
      <c r="GO12" s="20"/>
      <c r="GP12" s="20"/>
      <c r="GQ12" s="20"/>
      <c r="GR12" s="20">
        <v>41096</v>
      </c>
      <c r="GS12" s="20">
        <v>41096</v>
      </c>
      <c r="GT12" s="20">
        <v>41096</v>
      </c>
      <c r="GU12" s="20">
        <v>41096</v>
      </c>
      <c r="GV12" s="20">
        <v>41096</v>
      </c>
      <c r="GW12" s="20">
        <v>41096</v>
      </c>
      <c r="GX12" s="20">
        <v>41096</v>
      </c>
      <c r="GY12" s="20">
        <v>41096</v>
      </c>
      <c r="GZ12" s="20">
        <v>41096</v>
      </c>
      <c r="HA12" s="20">
        <v>41096</v>
      </c>
      <c r="HB12" s="20"/>
      <c r="HC12" s="20"/>
      <c r="HD12" s="20"/>
      <c r="HE12" s="20"/>
      <c r="HF12" s="20"/>
      <c r="HG12" s="20"/>
      <c r="HH12" s="20"/>
      <c r="HI12" s="21">
        <f t="shared" si="11"/>
        <v>410960</v>
      </c>
      <c r="HJ12" s="49">
        <v>4</v>
      </c>
      <c r="HK12" s="21">
        <f t="shared" si="33"/>
        <v>1643840</v>
      </c>
      <c r="HL12" s="110"/>
      <c r="HN12" s="107"/>
      <c r="HO12" s="23" t="s">
        <v>44</v>
      </c>
      <c r="HP12" s="20"/>
      <c r="HQ12" s="20"/>
      <c r="HR12" s="20"/>
      <c r="HS12" s="20"/>
      <c r="HT12" s="20"/>
      <c r="HU12" s="20"/>
      <c r="HV12" s="20"/>
      <c r="HW12" s="20">
        <v>41096</v>
      </c>
      <c r="HX12" s="20">
        <v>41096</v>
      </c>
      <c r="HY12" s="20">
        <v>41096</v>
      </c>
      <c r="HZ12" s="20">
        <v>41096</v>
      </c>
      <c r="IA12" s="20">
        <v>41096</v>
      </c>
      <c r="IB12" s="20">
        <v>41096</v>
      </c>
      <c r="IC12" s="20">
        <v>41096</v>
      </c>
      <c r="ID12" s="20">
        <v>41096</v>
      </c>
      <c r="IE12" s="20">
        <v>41096</v>
      </c>
      <c r="IF12" s="20">
        <v>41096</v>
      </c>
      <c r="IG12" s="20"/>
      <c r="IH12" s="20"/>
      <c r="II12" s="20"/>
      <c r="IJ12" s="20"/>
      <c r="IK12" s="20"/>
      <c r="IL12" s="20"/>
      <c r="IM12" s="20"/>
      <c r="IN12" s="21">
        <f t="shared" si="13"/>
        <v>410960</v>
      </c>
      <c r="IO12" s="49">
        <v>4</v>
      </c>
      <c r="IP12" s="21">
        <f t="shared" si="34"/>
        <v>1643840</v>
      </c>
      <c r="IQ12" s="110"/>
      <c r="IS12" s="107"/>
      <c r="IT12" s="23" t="s">
        <v>44</v>
      </c>
      <c r="IU12" s="20"/>
      <c r="IV12" s="20"/>
      <c r="IW12" s="20"/>
      <c r="IX12" s="20"/>
      <c r="IY12" s="20"/>
      <c r="IZ12" s="20"/>
      <c r="JA12" s="20"/>
      <c r="JB12" s="20">
        <v>41096</v>
      </c>
      <c r="JC12" s="20">
        <v>41096</v>
      </c>
      <c r="JD12" s="20">
        <v>41096</v>
      </c>
      <c r="JE12" s="20">
        <v>41096</v>
      </c>
      <c r="JF12" s="20">
        <v>41096</v>
      </c>
      <c r="JG12" s="20">
        <v>41096</v>
      </c>
      <c r="JH12" s="20">
        <v>41096</v>
      </c>
      <c r="JI12" s="20">
        <v>41096</v>
      </c>
      <c r="JJ12" s="20">
        <v>41096</v>
      </c>
      <c r="JK12" s="20">
        <v>41096</v>
      </c>
      <c r="JL12" s="20"/>
      <c r="JM12" s="20"/>
      <c r="JN12" s="20"/>
      <c r="JO12" s="20"/>
      <c r="JP12" s="20"/>
      <c r="JQ12" s="20"/>
      <c r="JR12" s="20"/>
      <c r="JS12" s="21">
        <f t="shared" si="15"/>
        <v>410960</v>
      </c>
      <c r="JT12" s="49">
        <v>4</v>
      </c>
      <c r="JU12" s="21">
        <f t="shared" si="35"/>
        <v>1643840</v>
      </c>
      <c r="JV12" s="110"/>
      <c r="JX12" s="107"/>
      <c r="JY12" s="23" t="s">
        <v>44</v>
      </c>
      <c r="JZ12" s="20"/>
      <c r="KA12" s="20"/>
      <c r="KB12" s="20"/>
      <c r="KC12" s="20"/>
      <c r="KD12" s="20"/>
      <c r="KE12" s="20"/>
      <c r="KF12" s="20"/>
      <c r="KG12" s="20">
        <v>41096</v>
      </c>
      <c r="KH12" s="20">
        <v>41096</v>
      </c>
      <c r="KI12" s="20">
        <v>41096</v>
      </c>
      <c r="KJ12" s="20">
        <v>41096</v>
      </c>
      <c r="KK12" s="20">
        <v>41096</v>
      </c>
      <c r="KL12" s="20">
        <v>41096</v>
      </c>
      <c r="KM12" s="20">
        <v>41096</v>
      </c>
      <c r="KN12" s="20">
        <v>41096</v>
      </c>
      <c r="KO12" s="20">
        <v>41096</v>
      </c>
      <c r="KP12" s="20">
        <v>41096</v>
      </c>
      <c r="KQ12" s="20"/>
      <c r="KR12" s="20"/>
      <c r="KS12" s="20"/>
      <c r="KT12" s="20"/>
      <c r="KU12" s="20"/>
      <c r="KV12" s="20"/>
      <c r="KW12" s="20"/>
      <c r="KX12" s="21">
        <f t="shared" si="17"/>
        <v>410960</v>
      </c>
      <c r="KY12" s="49">
        <v>4</v>
      </c>
      <c r="KZ12" s="21">
        <f t="shared" si="36"/>
        <v>1643840</v>
      </c>
      <c r="LA12" s="110"/>
      <c r="LC12" s="107"/>
      <c r="LD12" s="23" t="s">
        <v>44</v>
      </c>
      <c r="LE12" s="20"/>
      <c r="LF12" s="20"/>
      <c r="LG12" s="20"/>
      <c r="LH12" s="20"/>
      <c r="LI12" s="20"/>
      <c r="LJ12" s="20"/>
      <c r="LK12" s="20"/>
      <c r="LL12" s="20">
        <v>41096</v>
      </c>
      <c r="LM12" s="20">
        <v>41096</v>
      </c>
      <c r="LN12" s="20">
        <v>41096</v>
      </c>
      <c r="LO12" s="20">
        <v>41096</v>
      </c>
      <c r="LP12" s="20">
        <v>41096</v>
      </c>
      <c r="LQ12" s="20">
        <v>41096</v>
      </c>
      <c r="LR12" s="20">
        <v>41096</v>
      </c>
      <c r="LS12" s="20">
        <v>41096</v>
      </c>
      <c r="LT12" s="20">
        <v>41096</v>
      </c>
      <c r="LU12" s="20">
        <v>41096</v>
      </c>
      <c r="LV12" s="20"/>
      <c r="LW12" s="20"/>
      <c r="LX12" s="20"/>
      <c r="LY12" s="20"/>
      <c r="LZ12" s="20"/>
      <c r="MA12" s="20"/>
      <c r="MB12" s="20"/>
      <c r="MC12" s="21">
        <f t="shared" si="19"/>
        <v>410960</v>
      </c>
      <c r="MD12" s="49">
        <v>4</v>
      </c>
      <c r="ME12" s="21">
        <f t="shared" si="37"/>
        <v>1643840</v>
      </c>
      <c r="MF12" s="110"/>
      <c r="MH12" s="107"/>
      <c r="MI12" s="23" t="s">
        <v>44</v>
      </c>
      <c r="MJ12" s="20"/>
      <c r="MK12" s="20"/>
      <c r="ML12" s="20"/>
      <c r="MM12" s="20"/>
      <c r="MN12" s="20"/>
      <c r="MO12" s="20"/>
      <c r="MP12" s="20"/>
      <c r="MQ12" s="20">
        <v>41096</v>
      </c>
      <c r="MR12" s="20">
        <v>41096</v>
      </c>
      <c r="MS12" s="20">
        <v>41096</v>
      </c>
      <c r="MT12" s="20">
        <v>41096</v>
      </c>
      <c r="MU12" s="20">
        <v>41096</v>
      </c>
      <c r="MV12" s="20">
        <v>41096</v>
      </c>
      <c r="MW12" s="20">
        <v>41096</v>
      </c>
      <c r="MX12" s="20">
        <v>41096</v>
      </c>
      <c r="MY12" s="20">
        <v>41096</v>
      </c>
      <c r="MZ12" s="20">
        <v>41096</v>
      </c>
      <c r="NA12" s="20"/>
      <c r="NB12" s="20"/>
      <c r="NC12" s="20"/>
      <c r="ND12" s="20"/>
      <c r="NE12" s="20"/>
      <c r="NF12" s="20"/>
      <c r="NG12" s="20"/>
      <c r="NH12" s="21">
        <f t="shared" si="21"/>
        <v>410960</v>
      </c>
      <c r="NI12" s="49">
        <v>4</v>
      </c>
      <c r="NJ12" s="21">
        <f t="shared" si="38"/>
        <v>1643840</v>
      </c>
      <c r="NK12" s="110"/>
      <c r="NM12" s="107"/>
      <c r="NN12" s="23" t="s">
        <v>44</v>
      </c>
      <c r="NO12" s="20"/>
      <c r="NP12" s="20"/>
      <c r="NQ12" s="20"/>
      <c r="NR12" s="20"/>
      <c r="NS12" s="20"/>
      <c r="NT12" s="20"/>
      <c r="NU12" s="20"/>
      <c r="NV12" s="20">
        <v>41096</v>
      </c>
      <c r="NW12" s="20">
        <v>41096</v>
      </c>
      <c r="NX12" s="20">
        <v>41096</v>
      </c>
      <c r="NY12" s="20">
        <v>41096</v>
      </c>
      <c r="NZ12" s="20">
        <v>41096</v>
      </c>
      <c r="OA12" s="20">
        <v>41096</v>
      </c>
      <c r="OB12" s="20">
        <v>41096</v>
      </c>
      <c r="OC12" s="20">
        <v>41096</v>
      </c>
      <c r="OD12" s="20">
        <v>41096</v>
      </c>
      <c r="OE12" s="20">
        <v>41096</v>
      </c>
      <c r="OF12" s="20"/>
      <c r="OG12" s="20"/>
      <c r="OH12" s="20"/>
      <c r="OI12" s="20"/>
      <c r="OJ12" s="20"/>
      <c r="OK12" s="20"/>
      <c r="OL12" s="20"/>
      <c r="OM12" s="21">
        <f t="shared" si="23"/>
        <v>410960</v>
      </c>
      <c r="ON12" s="49">
        <v>4</v>
      </c>
      <c r="OO12" s="21">
        <f t="shared" si="39"/>
        <v>1643840</v>
      </c>
      <c r="OP12" s="110"/>
      <c r="OR12" s="107"/>
      <c r="OS12" s="23" t="s">
        <v>44</v>
      </c>
      <c r="OT12" s="20"/>
      <c r="OU12" s="20"/>
      <c r="OV12" s="20"/>
      <c r="OW12" s="20"/>
      <c r="OX12" s="20"/>
      <c r="OY12" s="20"/>
      <c r="OZ12" s="20"/>
      <c r="PA12" s="20">
        <v>41096</v>
      </c>
      <c r="PB12" s="20">
        <v>41096</v>
      </c>
      <c r="PC12" s="20">
        <v>41096</v>
      </c>
      <c r="PD12" s="20">
        <v>41096</v>
      </c>
      <c r="PE12" s="20">
        <v>41096</v>
      </c>
      <c r="PF12" s="20">
        <v>41096</v>
      </c>
      <c r="PG12" s="20">
        <v>41096</v>
      </c>
      <c r="PH12" s="20">
        <v>41096</v>
      </c>
      <c r="PI12" s="20">
        <v>41096</v>
      </c>
      <c r="PJ12" s="20">
        <v>41096</v>
      </c>
      <c r="PK12" s="20"/>
      <c r="PL12" s="20"/>
      <c r="PM12" s="20"/>
      <c r="PN12" s="20"/>
      <c r="PO12" s="20"/>
      <c r="PP12" s="20"/>
      <c r="PQ12" s="20"/>
      <c r="PR12" s="21">
        <f t="shared" si="25"/>
        <v>410960</v>
      </c>
      <c r="PS12" s="62">
        <v>4</v>
      </c>
      <c r="PT12" s="21">
        <f t="shared" si="40"/>
        <v>1643840</v>
      </c>
      <c r="PU12" s="110"/>
    </row>
    <row r="13" spans="3:437" x14ac:dyDescent="0.35">
      <c r="C13" s="107"/>
      <c r="D13" s="23" t="s">
        <v>45</v>
      </c>
      <c r="E13" s="20"/>
      <c r="F13" s="92"/>
      <c r="G13" s="20"/>
      <c r="H13" s="20"/>
      <c r="I13" s="20"/>
      <c r="J13" s="20"/>
      <c r="K13" s="20"/>
      <c r="L13" s="20">
        <v>41096</v>
      </c>
      <c r="M13" s="20">
        <v>41096</v>
      </c>
      <c r="N13" s="20">
        <v>41096</v>
      </c>
      <c r="O13" s="20">
        <v>41096</v>
      </c>
      <c r="P13" s="20">
        <v>41096</v>
      </c>
      <c r="Q13" s="20">
        <v>41096</v>
      </c>
      <c r="R13" s="20">
        <v>41096</v>
      </c>
      <c r="S13" s="20">
        <v>41096</v>
      </c>
      <c r="T13" s="20">
        <v>41096</v>
      </c>
      <c r="U13" s="20">
        <v>41096</v>
      </c>
      <c r="V13" s="20"/>
      <c r="W13" s="20"/>
      <c r="X13" s="20"/>
      <c r="Y13" s="20"/>
      <c r="Z13" s="20"/>
      <c r="AA13" s="20"/>
      <c r="AB13" s="20"/>
      <c r="AC13" s="21">
        <f t="shared" si="0"/>
        <v>410960</v>
      </c>
      <c r="AD13" s="22">
        <v>4</v>
      </c>
      <c r="AE13" s="21">
        <f t="shared" si="27"/>
        <v>1643840</v>
      </c>
      <c r="AF13" s="110"/>
      <c r="AH13" s="107"/>
      <c r="AI13" s="23" t="s">
        <v>45</v>
      </c>
      <c r="AJ13" s="20"/>
      <c r="AK13" s="20"/>
      <c r="AL13" s="20"/>
      <c r="AM13" s="20"/>
      <c r="AN13" s="20"/>
      <c r="AO13" s="20"/>
      <c r="AP13" s="20"/>
      <c r="AQ13" s="20">
        <v>41096</v>
      </c>
      <c r="AR13" s="20">
        <v>41096</v>
      </c>
      <c r="AS13" s="20">
        <v>41096</v>
      </c>
      <c r="AT13" s="20">
        <v>41096</v>
      </c>
      <c r="AU13" s="20">
        <v>41096</v>
      </c>
      <c r="AV13" s="20">
        <v>41096</v>
      </c>
      <c r="AW13" s="20">
        <v>41096</v>
      </c>
      <c r="AX13" s="20">
        <v>41096</v>
      </c>
      <c r="AY13" s="20">
        <v>41096</v>
      </c>
      <c r="AZ13" s="20">
        <v>41096</v>
      </c>
      <c r="BA13" s="20"/>
      <c r="BB13" s="20"/>
      <c r="BC13" s="20"/>
      <c r="BD13" s="20"/>
      <c r="BE13" s="20"/>
      <c r="BF13" s="20"/>
      <c r="BG13" s="20"/>
      <c r="BH13" s="21">
        <f t="shared" si="2"/>
        <v>410960</v>
      </c>
      <c r="BI13" s="49">
        <v>4</v>
      </c>
      <c r="BJ13" s="21">
        <f t="shared" si="28"/>
        <v>1643840</v>
      </c>
      <c r="BK13" s="110"/>
      <c r="BM13" s="107"/>
      <c r="BN13" s="23" t="s">
        <v>45</v>
      </c>
      <c r="BO13" s="20"/>
      <c r="BP13" s="20"/>
      <c r="BQ13" s="20"/>
      <c r="BR13" s="20"/>
      <c r="BS13" s="20"/>
      <c r="BT13" s="20"/>
      <c r="BU13" s="20"/>
      <c r="BV13" s="20">
        <v>41096</v>
      </c>
      <c r="BW13" s="20">
        <v>41096</v>
      </c>
      <c r="BX13" s="20">
        <v>41096</v>
      </c>
      <c r="BY13" s="20">
        <v>41096</v>
      </c>
      <c r="BZ13" s="20">
        <v>41096</v>
      </c>
      <c r="CA13" s="20">
        <v>41096</v>
      </c>
      <c r="CB13" s="20">
        <v>41096</v>
      </c>
      <c r="CC13" s="20">
        <v>41096</v>
      </c>
      <c r="CD13" s="20">
        <v>41096</v>
      </c>
      <c r="CE13" s="20">
        <v>41096</v>
      </c>
      <c r="CF13" s="20"/>
      <c r="CG13" s="20"/>
      <c r="CH13" s="20"/>
      <c r="CI13" s="20"/>
      <c r="CJ13" s="20"/>
      <c r="CK13" s="20"/>
      <c r="CL13" s="20"/>
      <c r="CM13" s="21">
        <f t="shared" si="4"/>
        <v>410960</v>
      </c>
      <c r="CN13" s="49">
        <v>4</v>
      </c>
      <c r="CO13" s="21">
        <f t="shared" si="29"/>
        <v>1643840</v>
      </c>
      <c r="CP13" s="110"/>
      <c r="CS13" s="107"/>
      <c r="CT13" s="23" t="s">
        <v>45</v>
      </c>
      <c r="CU13" s="20"/>
      <c r="CV13" s="20"/>
      <c r="CW13" s="20"/>
      <c r="CX13" s="20"/>
      <c r="CY13" s="20"/>
      <c r="CZ13" s="20"/>
      <c r="DA13" s="20"/>
      <c r="DB13" s="20">
        <v>41096</v>
      </c>
      <c r="DC13" s="20">
        <v>41096</v>
      </c>
      <c r="DD13" s="20">
        <v>41096</v>
      </c>
      <c r="DE13" s="20">
        <v>41096</v>
      </c>
      <c r="DF13" s="20">
        <v>41096</v>
      </c>
      <c r="DG13" s="20">
        <v>41096</v>
      </c>
      <c r="DH13" s="20">
        <v>41096</v>
      </c>
      <c r="DI13" s="20">
        <v>41096</v>
      </c>
      <c r="DJ13" s="20">
        <v>41096</v>
      </c>
      <c r="DK13" s="20">
        <v>41096</v>
      </c>
      <c r="DL13" s="20"/>
      <c r="DM13" s="20"/>
      <c r="DN13" s="20"/>
      <c r="DO13" s="20"/>
      <c r="DP13" s="20"/>
      <c r="DQ13" s="20"/>
      <c r="DR13" s="20"/>
      <c r="DS13" s="21">
        <f t="shared" si="6"/>
        <v>410960</v>
      </c>
      <c r="DT13" s="49">
        <v>4</v>
      </c>
      <c r="DU13" s="21">
        <f t="shared" si="30"/>
        <v>1643840</v>
      </c>
      <c r="DV13" s="110"/>
      <c r="DY13" s="107"/>
      <c r="DZ13" s="23" t="s">
        <v>45</v>
      </c>
      <c r="EA13" s="20"/>
      <c r="EB13" s="20"/>
      <c r="EC13" s="20"/>
      <c r="ED13" s="20"/>
      <c r="EE13" s="20"/>
      <c r="EF13" s="20"/>
      <c r="EG13" s="20"/>
      <c r="EH13" s="20">
        <v>41096</v>
      </c>
      <c r="EI13" s="20">
        <v>41096</v>
      </c>
      <c r="EJ13" s="20">
        <v>41096</v>
      </c>
      <c r="EK13" s="20">
        <v>41096</v>
      </c>
      <c r="EL13" s="20">
        <v>41096</v>
      </c>
      <c r="EM13" s="20">
        <v>41096</v>
      </c>
      <c r="EN13" s="20">
        <v>41096</v>
      </c>
      <c r="EO13" s="20">
        <v>41096</v>
      </c>
      <c r="EP13" s="20">
        <v>41096</v>
      </c>
      <c r="EQ13" s="20">
        <v>41096</v>
      </c>
      <c r="ER13" s="20"/>
      <c r="ES13" s="20"/>
      <c r="ET13" s="20"/>
      <c r="EU13" s="20"/>
      <c r="EV13" s="20"/>
      <c r="EW13" s="20"/>
      <c r="EX13" s="20"/>
      <c r="EY13" s="21">
        <f t="shared" si="7"/>
        <v>410960</v>
      </c>
      <c r="EZ13" s="49">
        <v>4</v>
      </c>
      <c r="FA13" s="21">
        <f t="shared" si="31"/>
        <v>1643840</v>
      </c>
      <c r="FB13" s="110"/>
      <c r="FD13" s="107"/>
      <c r="FE13" s="23" t="s">
        <v>45</v>
      </c>
      <c r="FF13" s="20"/>
      <c r="FG13" s="20"/>
      <c r="FH13" s="20"/>
      <c r="FI13" s="20"/>
      <c r="FJ13" s="20"/>
      <c r="FK13" s="20"/>
      <c r="FL13" s="20"/>
      <c r="FM13" s="20">
        <v>41096</v>
      </c>
      <c r="FN13" s="20">
        <v>41096</v>
      </c>
      <c r="FO13" s="20">
        <v>41096</v>
      </c>
      <c r="FP13" s="20">
        <v>41096</v>
      </c>
      <c r="FQ13" s="20">
        <v>41096</v>
      </c>
      <c r="FR13" s="20">
        <v>41096</v>
      </c>
      <c r="FS13" s="20">
        <v>41096</v>
      </c>
      <c r="FT13" s="20">
        <v>41096</v>
      </c>
      <c r="FU13" s="20">
        <v>41096</v>
      </c>
      <c r="FV13" s="20">
        <v>41096</v>
      </c>
      <c r="FW13" s="20"/>
      <c r="FX13" s="20"/>
      <c r="FY13" s="20"/>
      <c r="FZ13" s="20"/>
      <c r="GA13" s="20"/>
      <c r="GB13" s="20"/>
      <c r="GC13" s="20"/>
      <c r="GD13" s="21">
        <f t="shared" si="9"/>
        <v>410960</v>
      </c>
      <c r="GE13" s="49">
        <v>5</v>
      </c>
      <c r="GF13" s="21">
        <f t="shared" si="32"/>
        <v>2054800</v>
      </c>
      <c r="GG13" s="110"/>
      <c r="GI13" s="107"/>
      <c r="GJ13" s="23" t="s">
        <v>45</v>
      </c>
      <c r="GK13" s="20"/>
      <c r="GL13" s="20"/>
      <c r="GM13" s="20"/>
      <c r="GN13" s="20"/>
      <c r="GO13" s="20"/>
      <c r="GP13" s="20"/>
      <c r="GQ13" s="20"/>
      <c r="GR13" s="20">
        <v>41096</v>
      </c>
      <c r="GS13" s="20">
        <v>41096</v>
      </c>
      <c r="GT13" s="20">
        <v>41096</v>
      </c>
      <c r="GU13" s="20">
        <v>41096</v>
      </c>
      <c r="GV13" s="20">
        <v>41096</v>
      </c>
      <c r="GW13" s="20">
        <v>41096</v>
      </c>
      <c r="GX13" s="20">
        <v>41096</v>
      </c>
      <c r="GY13" s="20">
        <v>41096</v>
      </c>
      <c r="GZ13" s="20">
        <v>41096</v>
      </c>
      <c r="HA13" s="20">
        <v>41096</v>
      </c>
      <c r="HB13" s="20"/>
      <c r="HC13" s="20"/>
      <c r="HD13" s="20"/>
      <c r="HE13" s="20"/>
      <c r="HF13" s="20"/>
      <c r="HG13" s="20"/>
      <c r="HH13" s="20"/>
      <c r="HI13" s="21">
        <f t="shared" si="11"/>
        <v>410960</v>
      </c>
      <c r="HJ13" s="49">
        <v>4</v>
      </c>
      <c r="HK13" s="21">
        <f t="shared" si="33"/>
        <v>1643840</v>
      </c>
      <c r="HL13" s="110"/>
      <c r="HN13" s="107"/>
      <c r="HO13" s="23" t="s">
        <v>45</v>
      </c>
      <c r="HP13" s="20"/>
      <c r="HQ13" s="20"/>
      <c r="HR13" s="20"/>
      <c r="HS13" s="20"/>
      <c r="HT13" s="20"/>
      <c r="HU13" s="20"/>
      <c r="HV13" s="20"/>
      <c r="HW13" s="20">
        <v>41096</v>
      </c>
      <c r="HX13" s="20">
        <v>41096</v>
      </c>
      <c r="HY13" s="20">
        <v>41096</v>
      </c>
      <c r="HZ13" s="20">
        <v>41096</v>
      </c>
      <c r="IA13" s="20">
        <v>41096</v>
      </c>
      <c r="IB13" s="20">
        <v>41096</v>
      </c>
      <c r="IC13" s="20">
        <v>41096</v>
      </c>
      <c r="ID13" s="20">
        <v>41096</v>
      </c>
      <c r="IE13" s="20">
        <v>41096</v>
      </c>
      <c r="IF13" s="20">
        <v>41096</v>
      </c>
      <c r="IG13" s="20"/>
      <c r="IH13" s="20"/>
      <c r="II13" s="20"/>
      <c r="IJ13" s="20"/>
      <c r="IK13" s="20"/>
      <c r="IL13" s="20"/>
      <c r="IM13" s="20"/>
      <c r="IN13" s="21">
        <f t="shared" si="13"/>
        <v>410960</v>
      </c>
      <c r="IO13" s="49">
        <v>4</v>
      </c>
      <c r="IP13" s="21">
        <f t="shared" si="34"/>
        <v>1643840</v>
      </c>
      <c r="IQ13" s="110"/>
      <c r="IS13" s="107"/>
      <c r="IT13" s="23" t="s">
        <v>45</v>
      </c>
      <c r="IU13" s="20"/>
      <c r="IV13" s="20"/>
      <c r="IW13" s="20"/>
      <c r="IX13" s="20"/>
      <c r="IY13" s="20"/>
      <c r="IZ13" s="20"/>
      <c r="JA13" s="20"/>
      <c r="JB13" s="20">
        <v>41096</v>
      </c>
      <c r="JC13" s="20">
        <v>41096</v>
      </c>
      <c r="JD13" s="20">
        <v>41096</v>
      </c>
      <c r="JE13" s="20">
        <v>41096</v>
      </c>
      <c r="JF13" s="20">
        <v>41096</v>
      </c>
      <c r="JG13" s="20">
        <v>41096</v>
      </c>
      <c r="JH13" s="20">
        <v>41096</v>
      </c>
      <c r="JI13" s="20">
        <v>41096</v>
      </c>
      <c r="JJ13" s="20">
        <v>41096</v>
      </c>
      <c r="JK13" s="20">
        <v>41096</v>
      </c>
      <c r="JL13" s="20"/>
      <c r="JM13" s="20"/>
      <c r="JN13" s="20"/>
      <c r="JO13" s="20"/>
      <c r="JP13" s="20"/>
      <c r="JQ13" s="20"/>
      <c r="JR13" s="20"/>
      <c r="JS13" s="21">
        <f t="shared" si="15"/>
        <v>410960</v>
      </c>
      <c r="JT13" s="49">
        <v>4</v>
      </c>
      <c r="JU13" s="21">
        <f t="shared" si="35"/>
        <v>1643840</v>
      </c>
      <c r="JV13" s="110"/>
      <c r="JX13" s="107"/>
      <c r="JY13" s="23" t="s">
        <v>45</v>
      </c>
      <c r="JZ13" s="20"/>
      <c r="KA13" s="20"/>
      <c r="KB13" s="20"/>
      <c r="KC13" s="20"/>
      <c r="KD13" s="20"/>
      <c r="KE13" s="20"/>
      <c r="KF13" s="20"/>
      <c r="KG13" s="20">
        <v>41096</v>
      </c>
      <c r="KH13" s="20">
        <v>41096</v>
      </c>
      <c r="KI13" s="20">
        <v>41096</v>
      </c>
      <c r="KJ13" s="20">
        <v>41096</v>
      </c>
      <c r="KK13" s="20">
        <v>41096</v>
      </c>
      <c r="KL13" s="20">
        <v>41096</v>
      </c>
      <c r="KM13" s="20">
        <v>41096</v>
      </c>
      <c r="KN13" s="20">
        <v>41096</v>
      </c>
      <c r="KO13" s="20">
        <v>41096</v>
      </c>
      <c r="KP13" s="20">
        <v>41096</v>
      </c>
      <c r="KQ13" s="20"/>
      <c r="KR13" s="20"/>
      <c r="KS13" s="20"/>
      <c r="KT13" s="20"/>
      <c r="KU13" s="20"/>
      <c r="KV13" s="20"/>
      <c r="KW13" s="20"/>
      <c r="KX13" s="21">
        <f t="shared" si="17"/>
        <v>410960</v>
      </c>
      <c r="KY13" s="49">
        <v>4</v>
      </c>
      <c r="KZ13" s="21">
        <f t="shared" si="36"/>
        <v>1643840</v>
      </c>
      <c r="LA13" s="110"/>
      <c r="LC13" s="107"/>
      <c r="LD13" s="23" t="s">
        <v>45</v>
      </c>
      <c r="LE13" s="20"/>
      <c r="LF13" s="20"/>
      <c r="LG13" s="20"/>
      <c r="LH13" s="20"/>
      <c r="LI13" s="20"/>
      <c r="LJ13" s="20"/>
      <c r="LK13" s="20"/>
      <c r="LL13" s="20">
        <v>41096</v>
      </c>
      <c r="LM13" s="20">
        <v>41096</v>
      </c>
      <c r="LN13" s="20">
        <v>41096</v>
      </c>
      <c r="LO13" s="20">
        <v>41096</v>
      </c>
      <c r="LP13" s="20">
        <v>41096</v>
      </c>
      <c r="LQ13" s="20">
        <v>41096</v>
      </c>
      <c r="LR13" s="20">
        <v>41096</v>
      </c>
      <c r="LS13" s="20">
        <v>41096</v>
      </c>
      <c r="LT13" s="20">
        <v>41096</v>
      </c>
      <c r="LU13" s="20">
        <v>41096</v>
      </c>
      <c r="LV13" s="20"/>
      <c r="LW13" s="20"/>
      <c r="LX13" s="20"/>
      <c r="LY13" s="20"/>
      <c r="LZ13" s="20"/>
      <c r="MA13" s="20"/>
      <c r="MB13" s="20"/>
      <c r="MC13" s="21">
        <f t="shared" si="19"/>
        <v>410960</v>
      </c>
      <c r="MD13" s="49">
        <v>4</v>
      </c>
      <c r="ME13" s="21">
        <f t="shared" si="37"/>
        <v>1643840</v>
      </c>
      <c r="MF13" s="110"/>
      <c r="MH13" s="107"/>
      <c r="MI13" s="23" t="s">
        <v>45</v>
      </c>
      <c r="MJ13" s="20"/>
      <c r="MK13" s="20"/>
      <c r="ML13" s="20"/>
      <c r="MM13" s="20"/>
      <c r="MN13" s="20"/>
      <c r="MO13" s="20"/>
      <c r="MP13" s="20"/>
      <c r="MQ13" s="20">
        <v>41096</v>
      </c>
      <c r="MR13" s="20">
        <v>41096</v>
      </c>
      <c r="MS13" s="20">
        <v>41096</v>
      </c>
      <c r="MT13" s="20">
        <v>41096</v>
      </c>
      <c r="MU13" s="20">
        <v>41096</v>
      </c>
      <c r="MV13" s="20">
        <v>41096</v>
      </c>
      <c r="MW13" s="20">
        <v>41096</v>
      </c>
      <c r="MX13" s="20">
        <v>41096</v>
      </c>
      <c r="MY13" s="20">
        <v>41096</v>
      </c>
      <c r="MZ13" s="20">
        <v>41096</v>
      </c>
      <c r="NA13" s="20"/>
      <c r="NB13" s="20"/>
      <c r="NC13" s="20"/>
      <c r="ND13" s="20"/>
      <c r="NE13" s="20"/>
      <c r="NF13" s="20"/>
      <c r="NG13" s="20"/>
      <c r="NH13" s="21">
        <f t="shared" si="21"/>
        <v>410960</v>
      </c>
      <c r="NI13" s="49">
        <v>4</v>
      </c>
      <c r="NJ13" s="21">
        <f t="shared" si="38"/>
        <v>1643840</v>
      </c>
      <c r="NK13" s="110"/>
      <c r="NM13" s="107"/>
      <c r="NN13" s="23" t="s">
        <v>45</v>
      </c>
      <c r="NO13" s="20"/>
      <c r="NP13" s="20"/>
      <c r="NQ13" s="20"/>
      <c r="NR13" s="20"/>
      <c r="NS13" s="20"/>
      <c r="NT13" s="20"/>
      <c r="NU13" s="20"/>
      <c r="NV13" s="20">
        <v>41096</v>
      </c>
      <c r="NW13" s="20">
        <v>41096</v>
      </c>
      <c r="NX13" s="20">
        <v>41096</v>
      </c>
      <c r="NY13" s="20">
        <v>41096</v>
      </c>
      <c r="NZ13" s="20">
        <v>41096</v>
      </c>
      <c r="OA13" s="20">
        <v>41096</v>
      </c>
      <c r="OB13" s="20">
        <v>41096</v>
      </c>
      <c r="OC13" s="20">
        <v>41096</v>
      </c>
      <c r="OD13" s="20">
        <v>41096</v>
      </c>
      <c r="OE13" s="20">
        <v>41096</v>
      </c>
      <c r="OF13" s="20"/>
      <c r="OG13" s="20"/>
      <c r="OH13" s="20"/>
      <c r="OI13" s="20"/>
      <c r="OJ13" s="20"/>
      <c r="OK13" s="20"/>
      <c r="OL13" s="20"/>
      <c r="OM13" s="21">
        <f t="shared" si="23"/>
        <v>410960</v>
      </c>
      <c r="ON13" s="49">
        <v>4</v>
      </c>
      <c r="OO13" s="21">
        <f t="shared" si="39"/>
        <v>1643840</v>
      </c>
      <c r="OP13" s="110"/>
      <c r="OR13" s="107"/>
      <c r="OS13" s="23" t="s">
        <v>45</v>
      </c>
      <c r="OT13" s="20"/>
      <c r="OU13" s="20"/>
      <c r="OV13" s="20"/>
      <c r="OW13" s="20"/>
      <c r="OX13" s="20"/>
      <c r="OY13" s="20"/>
      <c r="OZ13" s="20"/>
      <c r="PA13" s="20">
        <v>41096</v>
      </c>
      <c r="PB13" s="20">
        <v>41096</v>
      </c>
      <c r="PC13" s="20">
        <v>41096</v>
      </c>
      <c r="PD13" s="20">
        <v>41096</v>
      </c>
      <c r="PE13" s="20">
        <v>41096</v>
      </c>
      <c r="PF13" s="20">
        <v>41096</v>
      </c>
      <c r="PG13" s="20">
        <v>41096</v>
      </c>
      <c r="PH13" s="20">
        <v>41096</v>
      </c>
      <c r="PI13" s="20">
        <v>41096</v>
      </c>
      <c r="PJ13" s="20">
        <v>41096</v>
      </c>
      <c r="PK13" s="20"/>
      <c r="PL13" s="20"/>
      <c r="PM13" s="20"/>
      <c r="PN13" s="20"/>
      <c r="PO13" s="20"/>
      <c r="PP13" s="20"/>
      <c r="PQ13" s="20"/>
      <c r="PR13" s="21">
        <f t="shared" si="25"/>
        <v>410960</v>
      </c>
      <c r="PS13" s="62">
        <v>4</v>
      </c>
      <c r="PT13" s="21">
        <f t="shared" si="40"/>
        <v>1643840</v>
      </c>
      <c r="PU13" s="110"/>
    </row>
    <row r="14" spans="3:437" ht="15" thickBot="1" x14ac:dyDescent="0.4">
      <c r="C14" s="108"/>
      <c r="D14" s="24" t="s">
        <v>46</v>
      </c>
      <c r="E14" s="20"/>
      <c r="F14" s="92"/>
      <c r="G14" s="20"/>
      <c r="H14" s="20"/>
      <c r="I14" s="20"/>
      <c r="J14" s="20"/>
      <c r="K14" s="20"/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/>
      <c r="W14" s="20"/>
      <c r="X14" s="20"/>
      <c r="Y14" s="20"/>
      <c r="Z14" s="20"/>
      <c r="AA14" s="20"/>
      <c r="AB14" s="20"/>
      <c r="AC14" s="21">
        <f t="shared" si="0"/>
        <v>0</v>
      </c>
      <c r="AD14" s="22">
        <v>0</v>
      </c>
      <c r="AE14" s="21">
        <f t="shared" si="27"/>
        <v>0</v>
      </c>
      <c r="AF14" s="111"/>
      <c r="AH14" s="108"/>
      <c r="AI14" s="24" t="s">
        <v>46</v>
      </c>
      <c r="AJ14" s="20"/>
      <c r="AK14" s="20"/>
      <c r="AL14" s="20"/>
      <c r="AM14" s="20"/>
      <c r="AN14" s="20"/>
      <c r="AO14" s="20"/>
      <c r="AP14" s="20"/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/>
      <c r="BB14" s="20"/>
      <c r="BC14" s="20"/>
      <c r="BD14" s="20"/>
      <c r="BE14" s="20"/>
      <c r="BF14" s="20"/>
      <c r="BG14" s="20"/>
      <c r="BH14" s="21">
        <f t="shared" si="2"/>
        <v>0</v>
      </c>
      <c r="BI14" s="50">
        <v>0</v>
      </c>
      <c r="BJ14" s="21">
        <f t="shared" si="28"/>
        <v>0</v>
      </c>
      <c r="BK14" s="111"/>
      <c r="BM14" s="108"/>
      <c r="BN14" s="24" t="s">
        <v>46</v>
      </c>
      <c r="BO14" s="20"/>
      <c r="BP14" s="20"/>
      <c r="BQ14" s="20"/>
      <c r="BR14" s="20"/>
      <c r="BS14" s="20"/>
      <c r="BT14" s="20"/>
      <c r="BU14" s="20"/>
      <c r="BV14" s="20">
        <v>0</v>
      </c>
      <c r="BW14" s="20">
        <v>0</v>
      </c>
      <c r="BX14" s="20">
        <v>0</v>
      </c>
      <c r="BY14" s="20">
        <v>0</v>
      </c>
      <c r="BZ14" s="20">
        <v>0</v>
      </c>
      <c r="CA14" s="20">
        <v>0</v>
      </c>
      <c r="CB14" s="20">
        <v>0</v>
      </c>
      <c r="CC14" s="20">
        <v>0</v>
      </c>
      <c r="CD14" s="20">
        <v>0</v>
      </c>
      <c r="CE14" s="20">
        <v>0</v>
      </c>
      <c r="CF14" s="20"/>
      <c r="CG14" s="20"/>
      <c r="CH14" s="20"/>
      <c r="CI14" s="20"/>
      <c r="CJ14" s="20"/>
      <c r="CK14" s="20"/>
      <c r="CL14" s="20"/>
      <c r="CM14" s="21">
        <f t="shared" si="4"/>
        <v>0</v>
      </c>
      <c r="CN14" s="50">
        <v>0</v>
      </c>
      <c r="CO14" s="21">
        <f t="shared" si="29"/>
        <v>0</v>
      </c>
      <c r="CP14" s="111"/>
      <c r="CS14" s="108"/>
      <c r="CT14" s="24" t="s">
        <v>46</v>
      </c>
      <c r="CU14" s="20"/>
      <c r="CV14" s="20"/>
      <c r="CW14" s="20"/>
      <c r="CX14" s="20"/>
      <c r="CY14" s="20"/>
      <c r="CZ14" s="20"/>
      <c r="DA14" s="20"/>
      <c r="DB14" s="20">
        <v>0</v>
      </c>
      <c r="DC14" s="20">
        <v>0</v>
      </c>
      <c r="DD14" s="20">
        <v>0</v>
      </c>
      <c r="DE14" s="20">
        <v>0</v>
      </c>
      <c r="DF14" s="20">
        <v>0</v>
      </c>
      <c r="DG14" s="20">
        <v>0</v>
      </c>
      <c r="DH14" s="20">
        <v>0</v>
      </c>
      <c r="DI14" s="20">
        <v>0</v>
      </c>
      <c r="DJ14" s="20">
        <v>0</v>
      </c>
      <c r="DK14" s="20">
        <v>0</v>
      </c>
      <c r="DL14" s="20"/>
      <c r="DM14" s="20"/>
      <c r="DN14" s="20"/>
      <c r="DO14" s="20"/>
      <c r="DP14" s="20"/>
      <c r="DQ14" s="20"/>
      <c r="DR14" s="20"/>
      <c r="DS14" s="21">
        <f t="shared" si="6"/>
        <v>0</v>
      </c>
      <c r="DT14" s="50">
        <v>0</v>
      </c>
      <c r="DU14" s="21">
        <f t="shared" si="30"/>
        <v>0</v>
      </c>
      <c r="DV14" s="111"/>
      <c r="DY14" s="108"/>
      <c r="DZ14" s="24" t="s">
        <v>46</v>
      </c>
      <c r="EA14" s="20"/>
      <c r="EB14" s="20"/>
      <c r="EC14" s="20"/>
      <c r="ED14" s="20"/>
      <c r="EE14" s="20"/>
      <c r="EF14" s="20"/>
      <c r="EG14" s="20"/>
      <c r="EH14" s="20">
        <v>0</v>
      </c>
      <c r="EI14" s="20">
        <v>0</v>
      </c>
      <c r="EJ14" s="20">
        <v>0</v>
      </c>
      <c r="EK14" s="20">
        <v>0</v>
      </c>
      <c r="EL14" s="20">
        <v>0</v>
      </c>
      <c r="EM14" s="20">
        <v>0</v>
      </c>
      <c r="EN14" s="20">
        <v>0</v>
      </c>
      <c r="EO14" s="20">
        <v>0</v>
      </c>
      <c r="EP14" s="20">
        <v>0</v>
      </c>
      <c r="EQ14" s="20">
        <v>0</v>
      </c>
      <c r="ER14" s="20"/>
      <c r="ES14" s="20"/>
      <c r="ET14" s="20"/>
      <c r="EU14" s="20"/>
      <c r="EV14" s="20"/>
      <c r="EW14" s="20"/>
      <c r="EX14" s="20"/>
      <c r="EY14" s="21">
        <f t="shared" si="7"/>
        <v>0</v>
      </c>
      <c r="EZ14" s="50">
        <v>0</v>
      </c>
      <c r="FA14" s="21">
        <f t="shared" si="31"/>
        <v>0</v>
      </c>
      <c r="FB14" s="111"/>
      <c r="FD14" s="108"/>
      <c r="FE14" s="24" t="s">
        <v>46</v>
      </c>
      <c r="FF14" s="20"/>
      <c r="FG14" s="20"/>
      <c r="FH14" s="20"/>
      <c r="FI14" s="20"/>
      <c r="FJ14" s="20"/>
      <c r="FK14" s="20"/>
      <c r="FL14" s="20"/>
      <c r="FM14" s="20">
        <v>0</v>
      </c>
      <c r="FN14" s="20">
        <v>0</v>
      </c>
      <c r="FO14" s="20">
        <v>0</v>
      </c>
      <c r="FP14" s="20">
        <v>0</v>
      </c>
      <c r="FQ14" s="20">
        <v>0</v>
      </c>
      <c r="FR14" s="20">
        <v>0</v>
      </c>
      <c r="FS14" s="20">
        <v>0</v>
      </c>
      <c r="FT14" s="20">
        <v>0</v>
      </c>
      <c r="FU14" s="20">
        <v>0</v>
      </c>
      <c r="FV14" s="20">
        <v>0</v>
      </c>
      <c r="FW14" s="20"/>
      <c r="FX14" s="20"/>
      <c r="FY14" s="20"/>
      <c r="FZ14" s="20"/>
      <c r="GA14" s="20"/>
      <c r="GB14" s="20"/>
      <c r="GC14" s="20"/>
      <c r="GD14" s="21">
        <f t="shared" si="9"/>
        <v>0</v>
      </c>
      <c r="GE14" s="50">
        <v>0</v>
      </c>
      <c r="GF14" s="21">
        <f t="shared" si="32"/>
        <v>0</v>
      </c>
      <c r="GG14" s="111"/>
      <c r="GI14" s="108"/>
      <c r="GJ14" s="24" t="s">
        <v>46</v>
      </c>
      <c r="GK14" s="20"/>
      <c r="GL14" s="20"/>
      <c r="GM14" s="20"/>
      <c r="GN14" s="20"/>
      <c r="GO14" s="20"/>
      <c r="GP14" s="20"/>
      <c r="GQ14" s="20"/>
      <c r="GR14" s="20">
        <v>0</v>
      </c>
      <c r="GS14" s="20">
        <v>0</v>
      </c>
      <c r="GT14" s="20">
        <v>0</v>
      </c>
      <c r="GU14" s="20">
        <v>0</v>
      </c>
      <c r="GV14" s="20">
        <v>0</v>
      </c>
      <c r="GW14" s="20">
        <v>0</v>
      </c>
      <c r="GX14" s="20">
        <v>0</v>
      </c>
      <c r="GY14" s="20">
        <v>0</v>
      </c>
      <c r="GZ14" s="20">
        <v>0</v>
      </c>
      <c r="HA14" s="20">
        <v>0</v>
      </c>
      <c r="HB14" s="20"/>
      <c r="HC14" s="20"/>
      <c r="HD14" s="20"/>
      <c r="HE14" s="20"/>
      <c r="HF14" s="20"/>
      <c r="HG14" s="20"/>
      <c r="HH14" s="20"/>
      <c r="HI14" s="21">
        <f t="shared" si="11"/>
        <v>0</v>
      </c>
      <c r="HJ14" s="50">
        <v>0</v>
      </c>
      <c r="HK14" s="21">
        <f t="shared" si="33"/>
        <v>0</v>
      </c>
      <c r="HL14" s="111"/>
      <c r="HN14" s="108"/>
      <c r="HO14" s="24" t="s">
        <v>46</v>
      </c>
      <c r="HP14" s="20"/>
      <c r="HQ14" s="20"/>
      <c r="HR14" s="20"/>
      <c r="HS14" s="20"/>
      <c r="HT14" s="20"/>
      <c r="HU14" s="20"/>
      <c r="HV14" s="20"/>
      <c r="HW14" s="20">
        <v>0</v>
      </c>
      <c r="HX14" s="20">
        <v>0</v>
      </c>
      <c r="HY14" s="20">
        <v>0</v>
      </c>
      <c r="HZ14" s="20">
        <v>0</v>
      </c>
      <c r="IA14" s="20">
        <v>0</v>
      </c>
      <c r="IB14" s="20">
        <v>0</v>
      </c>
      <c r="IC14" s="20">
        <v>0</v>
      </c>
      <c r="ID14" s="20">
        <v>0</v>
      </c>
      <c r="IE14" s="20">
        <v>0</v>
      </c>
      <c r="IF14" s="20">
        <v>0</v>
      </c>
      <c r="IG14" s="20"/>
      <c r="IH14" s="20"/>
      <c r="II14" s="20"/>
      <c r="IJ14" s="20"/>
      <c r="IK14" s="20"/>
      <c r="IL14" s="20"/>
      <c r="IM14" s="20"/>
      <c r="IN14" s="21">
        <f t="shared" si="13"/>
        <v>0</v>
      </c>
      <c r="IO14" s="50">
        <v>0</v>
      </c>
      <c r="IP14" s="21">
        <f t="shared" si="34"/>
        <v>0</v>
      </c>
      <c r="IQ14" s="111"/>
      <c r="IS14" s="108"/>
      <c r="IT14" s="24" t="s">
        <v>46</v>
      </c>
      <c r="IU14" s="20"/>
      <c r="IV14" s="20"/>
      <c r="IW14" s="20"/>
      <c r="IX14" s="20"/>
      <c r="IY14" s="20"/>
      <c r="IZ14" s="20"/>
      <c r="JA14" s="20"/>
      <c r="JB14" s="20">
        <v>0</v>
      </c>
      <c r="JC14" s="20">
        <v>0</v>
      </c>
      <c r="JD14" s="20">
        <v>0</v>
      </c>
      <c r="JE14" s="20">
        <v>0</v>
      </c>
      <c r="JF14" s="20">
        <v>0</v>
      </c>
      <c r="JG14" s="20">
        <v>0</v>
      </c>
      <c r="JH14" s="20">
        <v>0</v>
      </c>
      <c r="JI14" s="20">
        <v>0</v>
      </c>
      <c r="JJ14" s="20">
        <v>0</v>
      </c>
      <c r="JK14" s="20">
        <v>0</v>
      </c>
      <c r="JL14" s="20"/>
      <c r="JM14" s="20"/>
      <c r="JN14" s="20"/>
      <c r="JO14" s="20"/>
      <c r="JP14" s="20"/>
      <c r="JQ14" s="20"/>
      <c r="JR14" s="20"/>
      <c r="JS14" s="21">
        <f t="shared" si="15"/>
        <v>0</v>
      </c>
      <c r="JT14" s="50">
        <v>0</v>
      </c>
      <c r="JU14" s="21">
        <f t="shared" si="35"/>
        <v>0</v>
      </c>
      <c r="JV14" s="111"/>
      <c r="JX14" s="108"/>
      <c r="JY14" s="24" t="s">
        <v>46</v>
      </c>
      <c r="JZ14" s="20"/>
      <c r="KA14" s="20"/>
      <c r="KB14" s="20"/>
      <c r="KC14" s="20"/>
      <c r="KD14" s="20"/>
      <c r="KE14" s="20"/>
      <c r="KF14" s="20"/>
      <c r="KG14" s="20">
        <v>0</v>
      </c>
      <c r="KH14" s="20">
        <v>0</v>
      </c>
      <c r="KI14" s="20">
        <v>0</v>
      </c>
      <c r="KJ14" s="20">
        <v>0</v>
      </c>
      <c r="KK14" s="20">
        <v>0</v>
      </c>
      <c r="KL14" s="20">
        <v>0</v>
      </c>
      <c r="KM14" s="20">
        <v>0</v>
      </c>
      <c r="KN14" s="20">
        <v>0</v>
      </c>
      <c r="KO14" s="20">
        <v>0</v>
      </c>
      <c r="KP14" s="20">
        <v>0</v>
      </c>
      <c r="KQ14" s="20"/>
      <c r="KR14" s="20"/>
      <c r="KS14" s="20"/>
      <c r="KT14" s="20"/>
      <c r="KU14" s="20"/>
      <c r="KV14" s="20"/>
      <c r="KW14" s="20"/>
      <c r="KX14" s="21">
        <f t="shared" si="17"/>
        <v>0</v>
      </c>
      <c r="KY14" s="50">
        <v>0</v>
      </c>
      <c r="KZ14" s="21">
        <f t="shared" si="36"/>
        <v>0</v>
      </c>
      <c r="LA14" s="111"/>
      <c r="LC14" s="108"/>
      <c r="LD14" s="24" t="s">
        <v>46</v>
      </c>
      <c r="LE14" s="20"/>
      <c r="LF14" s="20"/>
      <c r="LG14" s="20"/>
      <c r="LH14" s="20"/>
      <c r="LI14" s="20"/>
      <c r="LJ14" s="20"/>
      <c r="LK14" s="20"/>
      <c r="LL14" s="20">
        <v>0</v>
      </c>
      <c r="LM14" s="20">
        <v>0</v>
      </c>
      <c r="LN14" s="20">
        <v>0</v>
      </c>
      <c r="LO14" s="20">
        <v>0</v>
      </c>
      <c r="LP14" s="20">
        <v>0</v>
      </c>
      <c r="LQ14" s="20">
        <v>0</v>
      </c>
      <c r="LR14" s="20">
        <v>0</v>
      </c>
      <c r="LS14" s="20">
        <v>0</v>
      </c>
      <c r="LT14" s="20">
        <v>0</v>
      </c>
      <c r="LU14" s="20">
        <v>0</v>
      </c>
      <c r="LV14" s="20"/>
      <c r="LW14" s="20"/>
      <c r="LX14" s="20"/>
      <c r="LY14" s="20"/>
      <c r="LZ14" s="20"/>
      <c r="MA14" s="20"/>
      <c r="MB14" s="20"/>
      <c r="MC14" s="21">
        <f t="shared" si="19"/>
        <v>0</v>
      </c>
      <c r="MD14" s="50">
        <v>0</v>
      </c>
      <c r="ME14" s="21">
        <f t="shared" si="37"/>
        <v>0</v>
      </c>
      <c r="MF14" s="111"/>
      <c r="MH14" s="108"/>
      <c r="MI14" s="24" t="s">
        <v>46</v>
      </c>
      <c r="MJ14" s="20"/>
      <c r="MK14" s="20"/>
      <c r="ML14" s="20"/>
      <c r="MM14" s="20"/>
      <c r="MN14" s="20"/>
      <c r="MO14" s="20"/>
      <c r="MP14" s="20"/>
      <c r="MQ14" s="20">
        <v>0</v>
      </c>
      <c r="MR14" s="20">
        <v>0</v>
      </c>
      <c r="MS14" s="20">
        <v>0</v>
      </c>
      <c r="MT14" s="20">
        <v>0</v>
      </c>
      <c r="MU14" s="20">
        <v>0</v>
      </c>
      <c r="MV14" s="20">
        <v>0</v>
      </c>
      <c r="MW14" s="20">
        <v>0</v>
      </c>
      <c r="MX14" s="20">
        <v>0</v>
      </c>
      <c r="MY14" s="20">
        <v>0</v>
      </c>
      <c r="MZ14" s="20">
        <v>0</v>
      </c>
      <c r="NA14" s="20"/>
      <c r="NB14" s="20"/>
      <c r="NC14" s="20"/>
      <c r="ND14" s="20"/>
      <c r="NE14" s="20"/>
      <c r="NF14" s="20"/>
      <c r="NG14" s="20"/>
      <c r="NH14" s="21">
        <f t="shared" si="21"/>
        <v>0</v>
      </c>
      <c r="NI14" s="50">
        <v>0</v>
      </c>
      <c r="NJ14" s="21">
        <f t="shared" si="38"/>
        <v>0</v>
      </c>
      <c r="NK14" s="111"/>
      <c r="NM14" s="108"/>
      <c r="NN14" s="24" t="s">
        <v>46</v>
      </c>
      <c r="NO14" s="20"/>
      <c r="NP14" s="20"/>
      <c r="NQ14" s="20"/>
      <c r="NR14" s="20"/>
      <c r="NS14" s="20"/>
      <c r="NT14" s="20"/>
      <c r="NU14" s="20"/>
      <c r="NV14" s="20">
        <v>0</v>
      </c>
      <c r="NW14" s="20">
        <v>0</v>
      </c>
      <c r="NX14" s="20">
        <v>0</v>
      </c>
      <c r="NY14" s="20">
        <v>0</v>
      </c>
      <c r="NZ14" s="20">
        <v>0</v>
      </c>
      <c r="OA14" s="20">
        <v>0</v>
      </c>
      <c r="OB14" s="20">
        <v>0</v>
      </c>
      <c r="OC14" s="20">
        <v>0</v>
      </c>
      <c r="OD14" s="20">
        <v>0</v>
      </c>
      <c r="OE14" s="20">
        <v>0</v>
      </c>
      <c r="OF14" s="20"/>
      <c r="OG14" s="20"/>
      <c r="OH14" s="20"/>
      <c r="OI14" s="20"/>
      <c r="OJ14" s="20"/>
      <c r="OK14" s="20"/>
      <c r="OL14" s="20"/>
      <c r="OM14" s="21">
        <f t="shared" si="23"/>
        <v>0</v>
      </c>
      <c r="ON14" s="50">
        <v>0</v>
      </c>
      <c r="OO14" s="21">
        <f t="shared" si="39"/>
        <v>0</v>
      </c>
      <c r="OP14" s="111"/>
      <c r="OR14" s="108"/>
      <c r="OS14" s="24" t="s">
        <v>46</v>
      </c>
      <c r="OT14" s="20"/>
      <c r="OU14" s="20"/>
      <c r="OV14" s="20"/>
      <c r="OW14" s="20"/>
      <c r="OX14" s="20"/>
      <c r="OY14" s="20"/>
      <c r="OZ14" s="20"/>
      <c r="PA14" s="20">
        <v>0</v>
      </c>
      <c r="PB14" s="20">
        <v>0</v>
      </c>
      <c r="PC14" s="20">
        <v>0</v>
      </c>
      <c r="PD14" s="20">
        <v>0</v>
      </c>
      <c r="PE14" s="20">
        <v>0</v>
      </c>
      <c r="PF14" s="20">
        <v>0</v>
      </c>
      <c r="PG14" s="20">
        <v>0</v>
      </c>
      <c r="PH14" s="20">
        <v>0</v>
      </c>
      <c r="PI14" s="20">
        <v>0</v>
      </c>
      <c r="PJ14" s="20">
        <v>0</v>
      </c>
      <c r="PK14" s="20"/>
      <c r="PL14" s="20"/>
      <c r="PM14" s="20"/>
      <c r="PN14" s="20"/>
      <c r="PO14" s="20"/>
      <c r="PP14" s="20"/>
      <c r="PQ14" s="20"/>
      <c r="PR14" s="21">
        <f t="shared" si="25"/>
        <v>0</v>
      </c>
      <c r="PS14" s="64">
        <v>0</v>
      </c>
      <c r="PT14" s="21">
        <f t="shared" si="40"/>
        <v>0</v>
      </c>
      <c r="PU14" s="111"/>
    </row>
    <row r="15" spans="3:437" x14ac:dyDescent="0.35">
      <c r="C15" s="106">
        <v>46447</v>
      </c>
      <c r="D15" s="19" t="s">
        <v>43</v>
      </c>
      <c r="E15" s="20"/>
      <c r="F15" s="92"/>
      <c r="G15" s="20"/>
      <c r="H15" s="20"/>
      <c r="I15" s="20"/>
      <c r="J15" s="20"/>
      <c r="K15" s="20"/>
      <c r="L15" s="20">
        <v>41096</v>
      </c>
      <c r="M15" s="20">
        <v>41096</v>
      </c>
      <c r="N15" s="20">
        <v>41096</v>
      </c>
      <c r="O15" s="20">
        <v>41096</v>
      </c>
      <c r="P15" s="20">
        <v>41096</v>
      </c>
      <c r="Q15" s="20">
        <v>41096</v>
      </c>
      <c r="R15" s="20">
        <v>41096</v>
      </c>
      <c r="S15" s="20">
        <v>41096</v>
      </c>
      <c r="T15" s="20">
        <v>41096</v>
      </c>
      <c r="U15" s="20">
        <v>41096</v>
      </c>
      <c r="V15" s="20"/>
      <c r="W15" s="20"/>
      <c r="X15" s="20"/>
      <c r="Y15" s="20"/>
      <c r="Z15" s="20"/>
      <c r="AA15" s="20"/>
      <c r="AB15" s="20"/>
      <c r="AC15" s="21">
        <f t="shared" si="0"/>
        <v>410960</v>
      </c>
      <c r="AD15" s="22">
        <v>20</v>
      </c>
      <c r="AE15" s="21">
        <f t="shared" si="27"/>
        <v>8219200</v>
      </c>
      <c r="AF15" s="109">
        <f>+SUM(AE15:AE18)</f>
        <v>12739760</v>
      </c>
      <c r="AH15" s="106">
        <v>46813</v>
      </c>
      <c r="AI15" s="19" t="s">
        <v>43</v>
      </c>
      <c r="AJ15" s="20"/>
      <c r="AK15" s="20"/>
      <c r="AL15" s="20"/>
      <c r="AM15" s="20"/>
      <c r="AN15" s="20"/>
      <c r="AO15" s="20"/>
      <c r="AP15" s="20"/>
      <c r="AQ15" s="20">
        <v>41096</v>
      </c>
      <c r="AR15" s="20">
        <v>41096</v>
      </c>
      <c r="AS15" s="20">
        <v>41096</v>
      </c>
      <c r="AT15" s="20">
        <v>41096</v>
      </c>
      <c r="AU15" s="20">
        <v>41096</v>
      </c>
      <c r="AV15" s="20">
        <v>41096</v>
      </c>
      <c r="AW15" s="20">
        <v>41096</v>
      </c>
      <c r="AX15" s="20">
        <v>41096</v>
      </c>
      <c r="AY15" s="20">
        <v>41096</v>
      </c>
      <c r="AZ15" s="20">
        <v>41096</v>
      </c>
      <c r="BA15" s="20"/>
      <c r="BB15" s="20"/>
      <c r="BC15" s="20"/>
      <c r="BD15" s="20"/>
      <c r="BE15" s="20"/>
      <c r="BF15" s="20"/>
      <c r="BG15" s="20"/>
      <c r="BH15" s="21">
        <f t="shared" si="2"/>
        <v>410960</v>
      </c>
      <c r="BI15" s="48">
        <v>22</v>
      </c>
      <c r="BJ15" s="21">
        <f t="shared" si="28"/>
        <v>9041120</v>
      </c>
      <c r="BK15" s="109">
        <f>+SUM(BJ15:BJ18)</f>
        <v>12739760</v>
      </c>
      <c r="BM15" s="106">
        <v>47178</v>
      </c>
      <c r="BN15" s="19" t="s">
        <v>43</v>
      </c>
      <c r="BO15" s="20"/>
      <c r="BP15" s="20"/>
      <c r="BQ15" s="20"/>
      <c r="BR15" s="20"/>
      <c r="BS15" s="20"/>
      <c r="BT15" s="20"/>
      <c r="BU15" s="20"/>
      <c r="BV15" s="20">
        <v>41096</v>
      </c>
      <c r="BW15" s="20">
        <v>41096</v>
      </c>
      <c r="BX15" s="20">
        <v>41096</v>
      </c>
      <c r="BY15" s="20">
        <v>41096</v>
      </c>
      <c r="BZ15" s="20">
        <v>41096</v>
      </c>
      <c r="CA15" s="20">
        <v>41096</v>
      </c>
      <c r="CB15" s="20">
        <v>41096</v>
      </c>
      <c r="CC15" s="20">
        <v>41096</v>
      </c>
      <c r="CD15" s="20">
        <v>41096</v>
      </c>
      <c r="CE15" s="20">
        <v>41096</v>
      </c>
      <c r="CF15" s="20"/>
      <c r="CG15" s="20"/>
      <c r="CH15" s="20"/>
      <c r="CI15" s="20"/>
      <c r="CJ15" s="20"/>
      <c r="CK15" s="20"/>
      <c r="CL15" s="20"/>
      <c r="CM15" s="21">
        <f t="shared" si="4"/>
        <v>410960</v>
      </c>
      <c r="CN15" s="48">
        <v>19</v>
      </c>
      <c r="CO15" s="21">
        <f t="shared" si="29"/>
        <v>7808240</v>
      </c>
      <c r="CP15" s="109">
        <f>+SUM(CO15:CO18)</f>
        <v>12739760</v>
      </c>
      <c r="CS15" s="106">
        <v>47543</v>
      </c>
      <c r="CT15" s="19" t="s">
        <v>43</v>
      </c>
      <c r="CU15" s="20"/>
      <c r="CV15" s="20"/>
      <c r="CW15" s="20"/>
      <c r="CX15" s="20"/>
      <c r="CY15" s="20"/>
      <c r="CZ15" s="20"/>
      <c r="DA15" s="20"/>
      <c r="DB15" s="20">
        <v>41096</v>
      </c>
      <c r="DC15" s="20">
        <v>41096</v>
      </c>
      <c r="DD15" s="20">
        <v>41096</v>
      </c>
      <c r="DE15" s="20">
        <v>41096</v>
      </c>
      <c r="DF15" s="20">
        <v>41096</v>
      </c>
      <c r="DG15" s="20">
        <v>41096</v>
      </c>
      <c r="DH15" s="20">
        <v>41096</v>
      </c>
      <c r="DI15" s="20">
        <v>41096</v>
      </c>
      <c r="DJ15" s="20">
        <v>41096</v>
      </c>
      <c r="DK15" s="20">
        <v>41096</v>
      </c>
      <c r="DL15" s="20"/>
      <c r="DM15" s="20"/>
      <c r="DN15" s="20"/>
      <c r="DO15" s="20"/>
      <c r="DP15" s="20"/>
      <c r="DQ15" s="20"/>
      <c r="DR15" s="20"/>
      <c r="DS15" s="21">
        <f t="shared" si="6"/>
        <v>410960</v>
      </c>
      <c r="DT15" s="48">
        <v>20</v>
      </c>
      <c r="DU15" s="21">
        <f t="shared" si="30"/>
        <v>8219200</v>
      </c>
      <c r="DV15" s="109">
        <f>+SUM(DU15:DU18)</f>
        <v>12739760</v>
      </c>
      <c r="DY15" s="106">
        <v>47908</v>
      </c>
      <c r="DZ15" s="19" t="s">
        <v>43</v>
      </c>
      <c r="EA15" s="20"/>
      <c r="EB15" s="20"/>
      <c r="EC15" s="20"/>
      <c r="ED15" s="20"/>
      <c r="EE15" s="20"/>
      <c r="EF15" s="20"/>
      <c r="EG15" s="20"/>
      <c r="EH15" s="20">
        <v>41096</v>
      </c>
      <c r="EI15" s="20">
        <v>41096</v>
      </c>
      <c r="EJ15" s="20">
        <v>41096</v>
      </c>
      <c r="EK15" s="20">
        <v>41096</v>
      </c>
      <c r="EL15" s="20">
        <v>41096</v>
      </c>
      <c r="EM15" s="20">
        <v>41096</v>
      </c>
      <c r="EN15" s="20">
        <v>41096</v>
      </c>
      <c r="EO15" s="20">
        <v>41096</v>
      </c>
      <c r="EP15" s="20">
        <v>41096</v>
      </c>
      <c r="EQ15" s="20">
        <v>41096</v>
      </c>
      <c r="ER15" s="20"/>
      <c r="ES15" s="20"/>
      <c r="ET15" s="20"/>
      <c r="EU15" s="20"/>
      <c r="EV15" s="20"/>
      <c r="EW15" s="20"/>
      <c r="EX15" s="20"/>
      <c r="EY15" s="21">
        <f t="shared" si="7"/>
        <v>410960</v>
      </c>
      <c r="EZ15" s="48">
        <v>20</v>
      </c>
      <c r="FA15" s="21">
        <f t="shared" si="31"/>
        <v>8219200</v>
      </c>
      <c r="FB15" s="109">
        <f>+SUM(FA15:FA18)</f>
        <v>12739760</v>
      </c>
      <c r="FD15" s="106">
        <v>48274</v>
      </c>
      <c r="FE15" s="19" t="s">
        <v>43</v>
      </c>
      <c r="FF15" s="20"/>
      <c r="FG15" s="20"/>
      <c r="FH15" s="20"/>
      <c r="FI15" s="20"/>
      <c r="FJ15" s="20"/>
      <c r="FK15" s="20"/>
      <c r="FL15" s="20"/>
      <c r="FM15" s="20">
        <v>41096</v>
      </c>
      <c r="FN15" s="20">
        <v>41096</v>
      </c>
      <c r="FO15" s="20">
        <v>41096</v>
      </c>
      <c r="FP15" s="20">
        <v>41096</v>
      </c>
      <c r="FQ15" s="20">
        <v>41096</v>
      </c>
      <c r="FR15" s="20">
        <v>41096</v>
      </c>
      <c r="FS15" s="20">
        <v>41096</v>
      </c>
      <c r="FT15" s="20">
        <v>41096</v>
      </c>
      <c r="FU15" s="20">
        <v>41096</v>
      </c>
      <c r="FV15" s="20">
        <v>41096</v>
      </c>
      <c r="FW15" s="20"/>
      <c r="FX15" s="20"/>
      <c r="FY15" s="20"/>
      <c r="FZ15" s="20"/>
      <c r="GA15" s="20"/>
      <c r="GB15" s="20"/>
      <c r="GC15" s="20"/>
      <c r="GD15" s="21">
        <f t="shared" si="9"/>
        <v>410960</v>
      </c>
      <c r="GE15" s="48">
        <v>20</v>
      </c>
      <c r="GF15" s="21">
        <f t="shared" si="32"/>
        <v>8219200</v>
      </c>
      <c r="GG15" s="109">
        <f>+SUM(GF15:GF18)</f>
        <v>12739760</v>
      </c>
      <c r="GI15" s="106">
        <v>48639</v>
      </c>
      <c r="GJ15" s="19" t="s">
        <v>43</v>
      </c>
      <c r="GK15" s="20"/>
      <c r="GL15" s="20"/>
      <c r="GM15" s="20"/>
      <c r="GN15" s="20"/>
      <c r="GO15" s="20"/>
      <c r="GP15" s="20"/>
      <c r="GQ15" s="20"/>
      <c r="GR15" s="20">
        <v>41096</v>
      </c>
      <c r="GS15" s="20">
        <v>41096</v>
      </c>
      <c r="GT15" s="20">
        <v>41096</v>
      </c>
      <c r="GU15" s="20">
        <v>41096</v>
      </c>
      <c r="GV15" s="20">
        <v>41096</v>
      </c>
      <c r="GW15" s="20">
        <v>41096</v>
      </c>
      <c r="GX15" s="20">
        <v>41096</v>
      </c>
      <c r="GY15" s="20">
        <v>41096</v>
      </c>
      <c r="GZ15" s="20">
        <v>41096</v>
      </c>
      <c r="HA15" s="20">
        <v>41096</v>
      </c>
      <c r="HB15" s="20"/>
      <c r="HC15" s="20"/>
      <c r="HD15" s="20"/>
      <c r="HE15" s="20"/>
      <c r="HF15" s="20"/>
      <c r="HG15" s="20"/>
      <c r="HH15" s="20"/>
      <c r="HI15" s="21">
        <f t="shared" si="11"/>
        <v>410960</v>
      </c>
      <c r="HJ15" s="48">
        <v>22</v>
      </c>
      <c r="HK15" s="21">
        <f t="shared" si="33"/>
        <v>9041120</v>
      </c>
      <c r="HL15" s="109">
        <f>+SUM(HK15:HK18)</f>
        <v>12739760</v>
      </c>
      <c r="HN15" s="106">
        <v>49004</v>
      </c>
      <c r="HO15" s="19" t="s">
        <v>43</v>
      </c>
      <c r="HP15" s="20"/>
      <c r="HQ15" s="20"/>
      <c r="HR15" s="20"/>
      <c r="HS15" s="20"/>
      <c r="HT15" s="20"/>
      <c r="HU15" s="20"/>
      <c r="HV15" s="20"/>
      <c r="HW15" s="20">
        <v>41096</v>
      </c>
      <c r="HX15" s="20">
        <v>41096</v>
      </c>
      <c r="HY15" s="20">
        <v>41096</v>
      </c>
      <c r="HZ15" s="20">
        <v>41096</v>
      </c>
      <c r="IA15" s="20">
        <v>41096</v>
      </c>
      <c r="IB15" s="20">
        <v>41096</v>
      </c>
      <c r="IC15" s="20">
        <v>41096</v>
      </c>
      <c r="ID15" s="20">
        <v>41096</v>
      </c>
      <c r="IE15" s="20">
        <v>41096</v>
      </c>
      <c r="IF15" s="20">
        <v>41096</v>
      </c>
      <c r="IG15" s="20"/>
      <c r="IH15" s="20"/>
      <c r="II15" s="20"/>
      <c r="IJ15" s="20"/>
      <c r="IK15" s="20"/>
      <c r="IL15" s="20"/>
      <c r="IM15" s="20"/>
      <c r="IN15" s="21">
        <f t="shared" si="13"/>
        <v>410960</v>
      </c>
      <c r="IO15" s="48">
        <v>22</v>
      </c>
      <c r="IP15" s="21">
        <f t="shared" si="34"/>
        <v>9041120</v>
      </c>
      <c r="IQ15" s="109">
        <f>+SUM(IP15:IP18)</f>
        <v>12739760</v>
      </c>
      <c r="IS15" s="106">
        <v>49369</v>
      </c>
      <c r="IT15" s="19" t="s">
        <v>43</v>
      </c>
      <c r="IU15" s="20"/>
      <c r="IV15" s="20"/>
      <c r="IW15" s="20"/>
      <c r="IX15" s="20"/>
      <c r="IY15" s="20"/>
      <c r="IZ15" s="20"/>
      <c r="JA15" s="20"/>
      <c r="JB15" s="20">
        <v>41096</v>
      </c>
      <c r="JC15" s="20">
        <v>41096</v>
      </c>
      <c r="JD15" s="20">
        <v>41096</v>
      </c>
      <c r="JE15" s="20">
        <v>41096</v>
      </c>
      <c r="JF15" s="20">
        <v>41096</v>
      </c>
      <c r="JG15" s="20">
        <v>41096</v>
      </c>
      <c r="JH15" s="20">
        <v>41096</v>
      </c>
      <c r="JI15" s="20">
        <v>41096</v>
      </c>
      <c r="JJ15" s="20">
        <v>41096</v>
      </c>
      <c r="JK15" s="20">
        <v>41096</v>
      </c>
      <c r="JL15" s="20"/>
      <c r="JM15" s="20"/>
      <c r="JN15" s="20"/>
      <c r="JO15" s="20"/>
      <c r="JP15" s="20"/>
      <c r="JQ15" s="20"/>
      <c r="JR15" s="20"/>
      <c r="JS15" s="21">
        <f t="shared" si="15"/>
        <v>410960</v>
      </c>
      <c r="JT15" s="48">
        <v>19</v>
      </c>
      <c r="JU15" s="21">
        <f t="shared" si="35"/>
        <v>7808240</v>
      </c>
      <c r="JV15" s="109">
        <f>+SUM(JU15:JU18)</f>
        <v>12739760</v>
      </c>
      <c r="JX15" s="106">
        <v>49735</v>
      </c>
      <c r="JY15" s="19" t="s">
        <v>43</v>
      </c>
      <c r="JZ15" s="20"/>
      <c r="KA15" s="20"/>
      <c r="KB15" s="20"/>
      <c r="KC15" s="20"/>
      <c r="KD15" s="20"/>
      <c r="KE15" s="20"/>
      <c r="KF15" s="20"/>
      <c r="KG15" s="20">
        <v>41096</v>
      </c>
      <c r="KH15" s="20">
        <v>41096</v>
      </c>
      <c r="KI15" s="20">
        <v>41096</v>
      </c>
      <c r="KJ15" s="20">
        <v>41096</v>
      </c>
      <c r="KK15" s="20">
        <v>41096</v>
      </c>
      <c r="KL15" s="20">
        <v>41096</v>
      </c>
      <c r="KM15" s="20">
        <v>41096</v>
      </c>
      <c r="KN15" s="20">
        <v>41096</v>
      </c>
      <c r="KO15" s="20">
        <v>41096</v>
      </c>
      <c r="KP15" s="20">
        <v>41096</v>
      </c>
      <c r="KQ15" s="20"/>
      <c r="KR15" s="20"/>
      <c r="KS15" s="20"/>
      <c r="KT15" s="20"/>
      <c r="KU15" s="20"/>
      <c r="KV15" s="20"/>
      <c r="KW15" s="20"/>
      <c r="KX15" s="21">
        <f t="shared" si="17"/>
        <v>410960</v>
      </c>
      <c r="KY15" s="48">
        <v>20</v>
      </c>
      <c r="KZ15" s="21">
        <f t="shared" si="36"/>
        <v>8219200</v>
      </c>
      <c r="LA15" s="109">
        <f>+SUM(KZ15:KZ18)</f>
        <v>12739760</v>
      </c>
      <c r="LC15" s="106">
        <v>50100</v>
      </c>
      <c r="LD15" s="19" t="s">
        <v>43</v>
      </c>
      <c r="LE15" s="20"/>
      <c r="LF15" s="20"/>
      <c r="LG15" s="20"/>
      <c r="LH15" s="20"/>
      <c r="LI15" s="20"/>
      <c r="LJ15" s="20"/>
      <c r="LK15" s="20"/>
      <c r="LL15" s="20">
        <v>41096</v>
      </c>
      <c r="LM15" s="20">
        <v>41096</v>
      </c>
      <c r="LN15" s="20">
        <v>41096</v>
      </c>
      <c r="LO15" s="20">
        <v>41096</v>
      </c>
      <c r="LP15" s="20">
        <v>41096</v>
      </c>
      <c r="LQ15" s="20">
        <v>41096</v>
      </c>
      <c r="LR15" s="20">
        <v>41096</v>
      </c>
      <c r="LS15" s="20">
        <v>41096</v>
      </c>
      <c r="LT15" s="20">
        <v>41096</v>
      </c>
      <c r="LU15" s="20">
        <v>41096</v>
      </c>
      <c r="LV15" s="20"/>
      <c r="LW15" s="20"/>
      <c r="LX15" s="20"/>
      <c r="LY15" s="20"/>
      <c r="LZ15" s="20"/>
      <c r="MA15" s="20"/>
      <c r="MB15" s="20"/>
      <c r="MC15" s="21">
        <f t="shared" si="19"/>
        <v>410960</v>
      </c>
      <c r="MD15" s="48">
        <v>21</v>
      </c>
      <c r="ME15" s="21">
        <f t="shared" si="37"/>
        <v>8630160</v>
      </c>
      <c r="MF15" s="109">
        <f>+SUM(ME15:ME18)</f>
        <v>12739760</v>
      </c>
      <c r="MH15" s="106">
        <v>50465</v>
      </c>
      <c r="MI15" s="19" t="s">
        <v>43</v>
      </c>
      <c r="MJ15" s="20"/>
      <c r="MK15" s="20"/>
      <c r="ML15" s="20"/>
      <c r="MM15" s="20"/>
      <c r="MN15" s="20"/>
      <c r="MO15" s="20"/>
      <c r="MP15" s="20"/>
      <c r="MQ15" s="20">
        <v>41096</v>
      </c>
      <c r="MR15" s="20">
        <v>41096</v>
      </c>
      <c r="MS15" s="20">
        <v>41096</v>
      </c>
      <c r="MT15" s="20">
        <v>41096</v>
      </c>
      <c r="MU15" s="20">
        <v>41096</v>
      </c>
      <c r="MV15" s="20">
        <v>41096</v>
      </c>
      <c r="MW15" s="20">
        <v>41096</v>
      </c>
      <c r="MX15" s="20">
        <v>41096</v>
      </c>
      <c r="MY15" s="20">
        <v>41096</v>
      </c>
      <c r="MZ15" s="20">
        <v>41096</v>
      </c>
      <c r="NA15" s="20"/>
      <c r="NB15" s="20"/>
      <c r="NC15" s="20"/>
      <c r="ND15" s="20"/>
      <c r="NE15" s="20"/>
      <c r="NF15" s="20"/>
      <c r="NG15" s="20"/>
      <c r="NH15" s="21">
        <f t="shared" si="21"/>
        <v>410960</v>
      </c>
      <c r="NI15" s="48">
        <v>22</v>
      </c>
      <c r="NJ15" s="21">
        <f t="shared" si="38"/>
        <v>9041120</v>
      </c>
      <c r="NK15" s="109">
        <f>+SUM(NJ15:NJ18)</f>
        <v>12739760</v>
      </c>
      <c r="NM15" s="106">
        <v>50830</v>
      </c>
      <c r="NN15" s="19" t="s">
        <v>43</v>
      </c>
      <c r="NO15" s="20"/>
      <c r="NP15" s="20"/>
      <c r="NQ15" s="20"/>
      <c r="NR15" s="20"/>
      <c r="NS15" s="20"/>
      <c r="NT15" s="20"/>
      <c r="NU15" s="20"/>
      <c r="NV15" s="20">
        <v>41096</v>
      </c>
      <c r="NW15" s="20">
        <v>41096</v>
      </c>
      <c r="NX15" s="20">
        <v>41096</v>
      </c>
      <c r="NY15" s="20">
        <v>41096</v>
      </c>
      <c r="NZ15" s="20">
        <v>41096</v>
      </c>
      <c r="OA15" s="20">
        <v>41096</v>
      </c>
      <c r="OB15" s="20">
        <v>41096</v>
      </c>
      <c r="OC15" s="20">
        <v>41096</v>
      </c>
      <c r="OD15" s="20">
        <v>41096</v>
      </c>
      <c r="OE15" s="20">
        <v>41096</v>
      </c>
      <c r="OF15" s="20"/>
      <c r="OG15" s="20"/>
      <c r="OH15" s="20"/>
      <c r="OI15" s="20"/>
      <c r="OJ15" s="20"/>
      <c r="OK15" s="20"/>
      <c r="OL15" s="20"/>
      <c r="OM15" s="21">
        <f t="shared" si="23"/>
        <v>410960</v>
      </c>
      <c r="ON15" s="48">
        <v>22</v>
      </c>
      <c r="OO15" s="21">
        <f t="shared" si="39"/>
        <v>9041120</v>
      </c>
      <c r="OP15" s="109">
        <f>+SUM(OO15:OO18)</f>
        <v>12739760</v>
      </c>
      <c r="OR15" s="106">
        <v>51196</v>
      </c>
      <c r="OS15" s="19" t="s">
        <v>43</v>
      </c>
      <c r="OT15" s="20"/>
      <c r="OU15" s="20"/>
      <c r="OV15" s="20"/>
      <c r="OW15" s="20"/>
      <c r="OX15" s="20"/>
      <c r="OY15" s="20"/>
      <c r="OZ15" s="20"/>
      <c r="PA15" s="20">
        <v>41096</v>
      </c>
      <c r="PB15" s="20">
        <v>41096</v>
      </c>
      <c r="PC15" s="20">
        <v>41096</v>
      </c>
      <c r="PD15" s="20">
        <v>41096</v>
      </c>
      <c r="PE15" s="20">
        <v>41096</v>
      </c>
      <c r="PF15" s="20">
        <v>41096</v>
      </c>
      <c r="PG15" s="20">
        <v>41096</v>
      </c>
      <c r="PH15" s="20">
        <v>41096</v>
      </c>
      <c r="PI15" s="20">
        <v>41096</v>
      </c>
      <c r="PJ15" s="20">
        <v>41096</v>
      </c>
      <c r="PK15" s="20"/>
      <c r="PL15" s="20"/>
      <c r="PM15" s="20"/>
      <c r="PN15" s="20"/>
      <c r="PO15" s="20"/>
      <c r="PP15" s="20"/>
      <c r="PQ15" s="20"/>
      <c r="PR15" s="21">
        <f t="shared" si="25"/>
        <v>410960</v>
      </c>
      <c r="PS15" s="63">
        <v>19</v>
      </c>
      <c r="PT15" s="21">
        <f t="shared" si="40"/>
        <v>7808240</v>
      </c>
      <c r="PU15" s="109">
        <f>+SUM(PT15:PT18)</f>
        <v>12739760</v>
      </c>
    </row>
    <row r="16" spans="3:437" x14ac:dyDescent="0.35">
      <c r="C16" s="107"/>
      <c r="D16" s="23" t="s">
        <v>44</v>
      </c>
      <c r="E16" s="20"/>
      <c r="F16" s="92"/>
      <c r="G16" s="20"/>
      <c r="H16" s="20"/>
      <c r="I16" s="20"/>
      <c r="J16" s="20"/>
      <c r="K16" s="20"/>
      <c r="L16" s="20">
        <v>41096</v>
      </c>
      <c r="M16" s="20">
        <v>41096</v>
      </c>
      <c r="N16" s="20">
        <v>41096</v>
      </c>
      <c r="O16" s="20">
        <v>41096</v>
      </c>
      <c r="P16" s="20">
        <v>41096</v>
      </c>
      <c r="Q16" s="20">
        <v>41096</v>
      </c>
      <c r="R16" s="20">
        <v>41096</v>
      </c>
      <c r="S16" s="20">
        <v>41096</v>
      </c>
      <c r="T16" s="20">
        <v>41096</v>
      </c>
      <c r="U16" s="20">
        <v>41096</v>
      </c>
      <c r="V16" s="20"/>
      <c r="W16" s="20"/>
      <c r="X16" s="20"/>
      <c r="Y16" s="20"/>
      <c r="Z16" s="20"/>
      <c r="AA16" s="20"/>
      <c r="AB16" s="20"/>
      <c r="AC16" s="21">
        <f t="shared" si="0"/>
        <v>410960</v>
      </c>
      <c r="AD16" s="22">
        <v>4</v>
      </c>
      <c r="AE16" s="21">
        <f t="shared" si="27"/>
        <v>1643840</v>
      </c>
      <c r="AF16" s="110"/>
      <c r="AH16" s="107"/>
      <c r="AI16" s="23" t="s">
        <v>44</v>
      </c>
      <c r="AJ16" s="20"/>
      <c r="AK16" s="20"/>
      <c r="AL16" s="20"/>
      <c r="AM16" s="20"/>
      <c r="AN16" s="20"/>
      <c r="AO16" s="20"/>
      <c r="AP16" s="20"/>
      <c r="AQ16" s="20">
        <v>41096</v>
      </c>
      <c r="AR16" s="20">
        <v>41096</v>
      </c>
      <c r="AS16" s="20">
        <v>41096</v>
      </c>
      <c r="AT16" s="20">
        <v>41096</v>
      </c>
      <c r="AU16" s="20">
        <v>41096</v>
      </c>
      <c r="AV16" s="20">
        <v>41096</v>
      </c>
      <c r="AW16" s="20">
        <v>41096</v>
      </c>
      <c r="AX16" s="20">
        <v>41096</v>
      </c>
      <c r="AY16" s="20">
        <v>41096</v>
      </c>
      <c r="AZ16" s="20">
        <v>41096</v>
      </c>
      <c r="BA16" s="20"/>
      <c r="BB16" s="20"/>
      <c r="BC16" s="20"/>
      <c r="BD16" s="20"/>
      <c r="BE16" s="20"/>
      <c r="BF16" s="20"/>
      <c r="BG16" s="20"/>
      <c r="BH16" s="21">
        <f t="shared" si="2"/>
        <v>410960</v>
      </c>
      <c r="BI16" s="49">
        <v>4</v>
      </c>
      <c r="BJ16" s="21">
        <f t="shared" si="28"/>
        <v>1643840</v>
      </c>
      <c r="BK16" s="110"/>
      <c r="BM16" s="107"/>
      <c r="BN16" s="23" t="s">
        <v>44</v>
      </c>
      <c r="BO16" s="20"/>
      <c r="BP16" s="20"/>
      <c r="BQ16" s="20"/>
      <c r="BR16" s="20"/>
      <c r="BS16" s="20"/>
      <c r="BT16" s="20"/>
      <c r="BU16" s="20"/>
      <c r="BV16" s="20">
        <v>41096</v>
      </c>
      <c r="BW16" s="20">
        <v>41096</v>
      </c>
      <c r="BX16" s="20">
        <v>41096</v>
      </c>
      <c r="BY16" s="20">
        <v>41096</v>
      </c>
      <c r="BZ16" s="20">
        <v>41096</v>
      </c>
      <c r="CA16" s="20">
        <v>41096</v>
      </c>
      <c r="CB16" s="20">
        <v>41096</v>
      </c>
      <c r="CC16" s="20">
        <v>41096</v>
      </c>
      <c r="CD16" s="20">
        <v>41096</v>
      </c>
      <c r="CE16" s="20">
        <v>41096</v>
      </c>
      <c r="CF16" s="20"/>
      <c r="CG16" s="20"/>
      <c r="CH16" s="20"/>
      <c r="CI16" s="20"/>
      <c r="CJ16" s="20"/>
      <c r="CK16" s="20"/>
      <c r="CL16" s="20"/>
      <c r="CM16" s="21">
        <f t="shared" si="4"/>
        <v>410960</v>
      </c>
      <c r="CN16" s="49">
        <v>5</v>
      </c>
      <c r="CO16" s="21">
        <f t="shared" si="29"/>
        <v>2054800</v>
      </c>
      <c r="CP16" s="110"/>
      <c r="CS16" s="107"/>
      <c r="CT16" s="23" t="s">
        <v>44</v>
      </c>
      <c r="CU16" s="20"/>
      <c r="CV16" s="20"/>
      <c r="CW16" s="20"/>
      <c r="CX16" s="20"/>
      <c r="CY16" s="20"/>
      <c r="CZ16" s="20"/>
      <c r="DA16" s="20"/>
      <c r="DB16" s="20">
        <v>41096</v>
      </c>
      <c r="DC16" s="20">
        <v>41096</v>
      </c>
      <c r="DD16" s="20">
        <v>41096</v>
      </c>
      <c r="DE16" s="20">
        <v>41096</v>
      </c>
      <c r="DF16" s="20">
        <v>41096</v>
      </c>
      <c r="DG16" s="20">
        <v>41096</v>
      </c>
      <c r="DH16" s="20">
        <v>41096</v>
      </c>
      <c r="DI16" s="20">
        <v>41096</v>
      </c>
      <c r="DJ16" s="20">
        <v>41096</v>
      </c>
      <c r="DK16" s="20">
        <v>41096</v>
      </c>
      <c r="DL16" s="20"/>
      <c r="DM16" s="20"/>
      <c r="DN16" s="20"/>
      <c r="DO16" s="20"/>
      <c r="DP16" s="20"/>
      <c r="DQ16" s="20"/>
      <c r="DR16" s="20"/>
      <c r="DS16" s="21">
        <f t="shared" si="6"/>
        <v>410960</v>
      </c>
      <c r="DT16" s="49">
        <v>5</v>
      </c>
      <c r="DU16" s="21">
        <f t="shared" si="30"/>
        <v>2054800</v>
      </c>
      <c r="DV16" s="110"/>
      <c r="DY16" s="107"/>
      <c r="DZ16" s="23" t="s">
        <v>44</v>
      </c>
      <c r="EA16" s="20"/>
      <c r="EB16" s="20"/>
      <c r="EC16" s="20"/>
      <c r="ED16" s="20"/>
      <c r="EE16" s="20"/>
      <c r="EF16" s="20"/>
      <c r="EG16" s="20"/>
      <c r="EH16" s="20">
        <v>41096</v>
      </c>
      <c r="EI16" s="20">
        <v>41096</v>
      </c>
      <c r="EJ16" s="20">
        <v>41096</v>
      </c>
      <c r="EK16" s="20">
        <v>41096</v>
      </c>
      <c r="EL16" s="20">
        <v>41096</v>
      </c>
      <c r="EM16" s="20">
        <v>41096</v>
      </c>
      <c r="EN16" s="20">
        <v>41096</v>
      </c>
      <c r="EO16" s="20">
        <v>41096</v>
      </c>
      <c r="EP16" s="20">
        <v>41096</v>
      </c>
      <c r="EQ16" s="20">
        <v>41096</v>
      </c>
      <c r="ER16" s="20"/>
      <c r="ES16" s="20"/>
      <c r="ET16" s="20"/>
      <c r="EU16" s="20"/>
      <c r="EV16" s="20"/>
      <c r="EW16" s="20"/>
      <c r="EX16" s="20"/>
      <c r="EY16" s="21">
        <f t="shared" si="7"/>
        <v>410960</v>
      </c>
      <c r="EZ16" s="49">
        <v>5</v>
      </c>
      <c r="FA16" s="21">
        <f t="shared" si="31"/>
        <v>2054800</v>
      </c>
      <c r="FB16" s="110"/>
      <c r="FD16" s="107"/>
      <c r="FE16" s="23" t="s">
        <v>44</v>
      </c>
      <c r="FF16" s="20"/>
      <c r="FG16" s="20"/>
      <c r="FH16" s="20"/>
      <c r="FI16" s="20"/>
      <c r="FJ16" s="20"/>
      <c r="FK16" s="20"/>
      <c r="FL16" s="20"/>
      <c r="FM16" s="20">
        <v>41096</v>
      </c>
      <c r="FN16" s="20">
        <v>41096</v>
      </c>
      <c r="FO16" s="20">
        <v>41096</v>
      </c>
      <c r="FP16" s="20">
        <v>41096</v>
      </c>
      <c r="FQ16" s="20">
        <v>41096</v>
      </c>
      <c r="FR16" s="20">
        <v>41096</v>
      </c>
      <c r="FS16" s="20">
        <v>41096</v>
      </c>
      <c r="FT16" s="20">
        <v>41096</v>
      </c>
      <c r="FU16" s="20">
        <v>41096</v>
      </c>
      <c r="FV16" s="20">
        <v>41096</v>
      </c>
      <c r="FW16" s="20"/>
      <c r="FX16" s="20"/>
      <c r="FY16" s="20"/>
      <c r="FZ16" s="20"/>
      <c r="GA16" s="20"/>
      <c r="GB16" s="20"/>
      <c r="GC16" s="20"/>
      <c r="GD16" s="21">
        <f t="shared" si="9"/>
        <v>410960</v>
      </c>
      <c r="GE16" s="49">
        <v>4</v>
      </c>
      <c r="GF16" s="21">
        <f t="shared" si="32"/>
        <v>1643840</v>
      </c>
      <c r="GG16" s="110"/>
      <c r="GI16" s="107"/>
      <c r="GJ16" s="23" t="s">
        <v>44</v>
      </c>
      <c r="GK16" s="20"/>
      <c r="GL16" s="20"/>
      <c r="GM16" s="20"/>
      <c r="GN16" s="20"/>
      <c r="GO16" s="20"/>
      <c r="GP16" s="20"/>
      <c r="GQ16" s="20"/>
      <c r="GR16" s="20">
        <v>41096</v>
      </c>
      <c r="GS16" s="20">
        <v>41096</v>
      </c>
      <c r="GT16" s="20">
        <v>41096</v>
      </c>
      <c r="GU16" s="20">
        <v>41096</v>
      </c>
      <c r="GV16" s="20">
        <v>41096</v>
      </c>
      <c r="GW16" s="20">
        <v>41096</v>
      </c>
      <c r="GX16" s="20">
        <v>41096</v>
      </c>
      <c r="GY16" s="20">
        <v>41096</v>
      </c>
      <c r="GZ16" s="20">
        <v>41096</v>
      </c>
      <c r="HA16" s="20">
        <v>41096</v>
      </c>
      <c r="HB16" s="20"/>
      <c r="HC16" s="20"/>
      <c r="HD16" s="20"/>
      <c r="HE16" s="20"/>
      <c r="HF16" s="20"/>
      <c r="HG16" s="20"/>
      <c r="HH16" s="20"/>
      <c r="HI16" s="21">
        <f t="shared" si="11"/>
        <v>410960</v>
      </c>
      <c r="HJ16" s="49">
        <v>4</v>
      </c>
      <c r="HK16" s="21">
        <f t="shared" si="33"/>
        <v>1643840</v>
      </c>
      <c r="HL16" s="110"/>
      <c r="HN16" s="107"/>
      <c r="HO16" s="23" t="s">
        <v>44</v>
      </c>
      <c r="HP16" s="20"/>
      <c r="HQ16" s="20"/>
      <c r="HR16" s="20"/>
      <c r="HS16" s="20"/>
      <c r="HT16" s="20"/>
      <c r="HU16" s="20"/>
      <c r="HV16" s="20"/>
      <c r="HW16" s="20">
        <v>41096</v>
      </c>
      <c r="HX16" s="20">
        <v>41096</v>
      </c>
      <c r="HY16" s="20">
        <v>41096</v>
      </c>
      <c r="HZ16" s="20">
        <v>41096</v>
      </c>
      <c r="IA16" s="20">
        <v>41096</v>
      </c>
      <c r="IB16" s="20">
        <v>41096</v>
      </c>
      <c r="IC16" s="20">
        <v>41096</v>
      </c>
      <c r="ID16" s="20">
        <v>41096</v>
      </c>
      <c r="IE16" s="20">
        <v>41096</v>
      </c>
      <c r="IF16" s="20">
        <v>41096</v>
      </c>
      <c r="IG16" s="20"/>
      <c r="IH16" s="20"/>
      <c r="II16" s="20"/>
      <c r="IJ16" s="20"/>
      <c r="IK16" s="20"/>
      <c r="IL16" s="20"/>
      <c r="IM16" s="20"/>
      <c r="IN16" s="21">
        <f t="shared" si="13"/>
        <v>410960</v>
      </c>
      <c r="IO16" s="49">
        <v>4</v>
      </c>
      <c r="IP16" s="21">
        <f t="shared" si="34"/>
        <v>1643840</v>
      </c>
      <c r="IQ16" s="110"/>
      <c r="IS16" s="107"/>
      <c r="IT16" s="23" t="s">
        <v>44</v>
      </c>
      <c r="IU16" s="20"/>
      <c r="IV16" s="20"/>
      <c r="IW16" s="20"/>
      <c r="IX16" s="20"/>
      <c r="IY16" s="20"/>
      <c r="IZ16" s="20"/>
      <c r="JA16" s="20"/>
      <c r="JB16" s="20">
        <v>41096</v>
      </c>
      <c r="JC16" s="20">
        <v>41096</v>
      </c>
      <c r="JD16" s="20">
        <v>41096</v>
      </c>
      <c r="JE16" s="20">
        <v>41096</v>
      </c>
      <c r="JF16" s="20">
        <v>41096</v>
      </c>
      <c r="JG16" s="20">
        <v>41096</v>
      </c>
      <c r="JH16" s="20">
        <v>41096</v>
      </c>
      <c r="JI16" s="20">
        <v>41096</v>
      </c>
      <c r="JJ16" s="20">
        <v>41096</v>
      </c>
      <c r="JK16" s="20">
        <v>41096</v>
      </c>
      <c r="JL16" s="20"/>
      <c r="JM16" s="20"/>
      <c r="JN16" s="20"/>
      <c r="JO16" s="20"/>
      <c r="JP16" s="20"/>
      <c r="JQ16" s="20"/>
      <c r="JR16" s="20"/>
      <c r="JS16" s="21">
        <f t="shared" si="15"/>
        <v>410960</v>
      </c>
      <c r="JT16" s="49">
        <v>5</v>
      </c>
      <c r="JU16" s="21">
        <f t="shared" si="35"/>
        <v>2054800</v>
      </c>
      <c r="JV16" s="110"/>
      <c r="JX16" s="107"/>
      <c r="JY16" s="23" t="s">
        <v>44</v>
      </c>
      <c r="JZ16" s="20"/>
      <c r="KA16" s="20"/>
      <c r="KB16" s="20"/>
      <c r="KC16" s="20"/>
      <c r="KD16" s="20"/>
      <c r="KE16" s="20"/>
      <c r="KF16" s="20"/>
      <c r="KG16" s="20">
        <v>41096</v>
      </c>
      <c r="KH16" s="20">
        <v>41096</v>
      </c>
      <c r="KI16" s="20">
        <v>41096</v>
      </c>
      <c r="KJ16" s="20">
        <v>41096</v>
      </c>
      <c r="KK16" s="20">
        <v>41096</v>
      </c>
      <c r="KL16" s="20">
        <v>41096</v>
      </c>
      <c r="KM16" s="20">
        <v>41096</v>
      </c>
      <c r="KN16" s="20">
        <v>41096</v>
      </c>
      <c r="KO16" s="20">
        <v>41096</v>
      </c>
      <c r="KP16" s="20">
        <v>41096</v>
      </c>
      <c r="KQ16" s="20"/>
      <c r="KR16" s="20"/>
      <c r="KS16" s="20"/>
      <c r="KT16" s="20"/>
      <c r="KU16" s="20"/>
      <c r="KV16" s="20"/>
      <c r="KW16" s="20"/>
      <c r="KX16" s="21">
        <f t="shared" si="17"/>
        <v>410960</v>
      </c>
      <c r="KY16" s="49">
        <v>5</v>
      </c>
      <c r="KZ16" s="21">
        <f t="shared" si="36"/>
        <v>2054800</v>
      </c>
      <c r="LA16" s="110"/>
      <c r="LC16" s="107"/>
      <c r="LD16" s="23" t="s">
        <v>44</v>
      </c>
      <c r="LE16" s="20"/>
      <c r="LF16" s="20"/>
      <c r="LG16" s="20"/>
      <c r="LH16" s="20"/>
      <c r="LI16" s="20"/>
      <c r="LJ16" s="20"/>
      <c r="LK16" s="20"/>
      <c r="LL16" s="20">
        <v>41096</v>
      </c>
      <c r="LM16" s="20">
        <v>41096</v>
      </c>
      <c r="LN16" s="20">
        <v>41096</v>
      </c>
      <c r="LO16" s="20">
        <v>41096</v>
      </c>
      <c r="LP16" s="20">
        <v>41096</v>
      </c>
      <c r="LQ16" s="20">
        <v>41096</v>
      </c>
      <c r="LR16" s="20">
        <v>41096</v>
      </c>
      <c r="LS16" s="20">
        <v>41096</v>
      </c>
      <c r="LT16" s="20">
        <v>41096</v>
      </c>
      <c r="LU16" s="20">
        <v>41096</v>
      </c>
      <c r="LV16" s="20"/>
      <c r="LW16" s="20"/>
      <c r="LX16" s="20"/>
      <c r="LY16" s="20"/>
      <c r="LZ16" s="20"/>
      <c r="MA16" s="20"/>
      <c r="MB16" s="20"/>
      <c r="MC16" s="21">
        <f t="shared" si="19"/>
        <v>410960</v>
      </c>
      <c r="MD16" s="49">
        <v>4</v>
      </c>
      <c r="ME16" s="21">
        <f t="shared" si="37"/>
        <v>1643840</v>
      </c>
      <c r="MF16" s="110"/>
      <c r="MH16" s="107"/>
      <c r="MI16" s="23" t="s">
        <v>44</v>
      </c>
      <c r="MJ16" s="20"/>
      <c r="MK16" s="20"/>
      <c r="ML16" s="20"/>
      <c r="MM16" s="20"/>
      <c r="MN16" s="20"/>
      <c r="MO16" s="20"/>
      <c r="MP16" s="20"/>
      <c r="MQ16" s="20">
        <v>41096</v>
      </c>
      <c r="MR16" s="20">
        <v>41096</v>
      </c>
      <c r="MS16" s="20">
        <v>41096</v>
      </c>
      <c r="MT16" s="20">
        <v>41096</v>
      </c>
      <c r="MU16" s="20">
        <v>41096</v>
      </c>
      <c r="MV16" s="20">
        <v>41096</v>
      </c>
      <c r="MW16" s="20">
        <v>41096</v>
      </c>
      <c r="MX16" s="20">
        <v>41096</v>
      </c>
      <c r="MY16" s="20">
        <v>41096</v>
      </c>
      <c r="MZ16" s="20">
        <v>41096</v>
      </c>
      <c r="NA16" s="20"/>
      <c r="NB16" s="20"/>
      <c r="NC16" s="20"/>
      <c r="ND16" s="20"/>
      <c r="NE16" s="20"/>
      <c r="NF16" s="20"/>
      <c r="NG16" s="20"/>
      <c r="NH16" s="21">
        <f t="shared" si="21"/>
        <v>410960</v>
      </c>
      <c r="NI16" s="49">
        <v>4</v>
      </c>
      <c r="NJ16" s="21">
        <f t="shared" si="38"/>
        <v>1643840</v>
      </c>
      <c r="NK16" s="110"/>
      <c r="NM16" s="107"/>
      <c r="NN16" s="23" t="s">
        <v>44</v>
      </c>
      <c r="NO16" s="20"/>
      <c r="NP16" s="20"/>
      <c r="NQ16" s="20"/>
      <c r="NR16" s="20"/>
      <c r="NS16" s="20"/>
      <c r="NT16" s="20"/>
      <c r="NU16" s="20"/>
      <c r="NV16" s="20">
        <v>41096</v>
      </c>
      <c r="NW16" s="20">
        <v>41096</v>
      </c>
      <c r="NX16" s="20">
        <v>41096</v>
      </c>
      <c r="NY16" s="20">
        <v>41096</v>
      </c>
      <c r="NZ16" s="20">
        <v>41096</v>
      </c>
      <c r="OA16" s="20">
        <v>41096</v>
      </c>
      <c r="OB16" s="20">
        <v>41096</v>
      </c>
      <c r="OC16" s="20">
        <v>41096</v>
      </c>
      <c r="OD16" s="20">
        <v>41096</v>
      </c>
      <c r="OE16" s="20">
        <v>41096</v>
      </c>
      <c r="OF16" s="20"/>
      <c r="OG16" s="20"/>
      <c r="OH16" s="20"/>
      <c r="OI16" s="20"/>
      <c r="OJ16" s="20"/>
      <c r="OK16" s="20"/>
      <c r="OL16" s="20"/>
      <c r="OM16" s="21">
        <f t="shared" si="23"/>
        <v>410960</v>
      </c>
      <c r="ON16" s="49">
        <v>4</v>
      </c>
      <c r="OO16" s="21">
        <f t="shared" si="39"/>
        <v>1643840</v>
      </c>
      <c r="OP16" s="110"/>
      <c r="OR16" s="107"/>
      <c r="OS16" s="23" t="s">
        <v>44</v>
      </c>
      <c r="OT16" s="20"/>
      <c r="OU16" s="20"/>
      <c r="OV16" s="20"/>
      <c r="OW16" s="20"/>
      <c r="OX16" s="20"/>
      <c r="OY16" s="20"/>
      <c r="OZ16" s="20"/>
      <c r="PA16" s="20">
        <v>41096</v>
      </c>
      <c r="PB16" s="20">
        <v>41096</v>
      </c>
      <c r="PC16" s="20">
        <v>41096</v>
      </c>
      <c r="PD16" s="20">
        <v>41096</v>
      </c>
      <c r="PE16" s="20">
        <v>41096</v>
      </c>
      <c r="PF16" s="20">
        <v>41096</v>
      </c>
      <c r="PG16" s="20">
        <v>41096</v>
      </c>
      <c r="PH16" s="20">
        <v>41096</v>
      </c>
      <c r="PI16" s="20">
        <v>41096</v>
      </c>
      <c r="PJ16" s="20">
        <v>41096</v>
      </c>
      <c r="PK16" s="20"/>
      <c r="PL16" s="20"/>
      <c r="PM16" s="20"/>
      <c r="PN16" s="20"/>
      <c r="PO16" s="20"/>
      <c r="PP16" s="20"/>
      <c r="PQ16" s="20"/>
      <c r="PR16" s="21">
        <f t="shared" si="25"/>
        <v>410960</v>
      </c>
      <c r="PS16" s="62">
        <v>5</v>
      </c>
      <c r="PT16" s="21">
        <f t="shared" si="40"/>
        <v>2054800</v>
      </c>
      <c r="PU16" s="110"/>
    </row>
    <row r="17" spans="3:437" x14ac:dyDescent="0.35">
      <c r="C17" s="107"/>
      <c r="D17" s="23" t="s">
        <v>45</v>
      </c>
      <c r="E17" s="20"/>
      <c r="F17" s="92"/>
      <c r="G17" s="20"/>
      <c r="H17" s="20"/>
      <c r="I17" s="20"/>
      <c r="J17" s="20"/>
      <c r="K17" s="20"/>
      <c r="L17" s="20">
        <v>41096</v>
      </c>
      <c r="M17" s="20">
        <v>41096</v>
      </c>
      <c r="N17" s="20">
        <v>41096</v>
      </c>
      <c r="O17" s="20">
        <v>41096</v>
      </c>
      <c r="P17" s="20">
        <v>41096</v>
      </c>
      <c r="Q17" s="20">
        <v>41096</v>
      </c>
      <c r="R17" s="20">
        <v>41096</v>
      </c>
      <c r="S17" s="20">
        <v>41096</v>
      </c>
      <c r="T17" s="20">
        <v>41096</v>
      </c>
      <c r="U17" s="20">
        <v>41096</v>
      </c>
      <c r="V17" s="20"/>
      <c r="W17" s="20"/>
      <c r="X17" s="20"/>
      <c r="Y17" s="20"/>
      <c r="Z17" s="20"/>
      <c r="AA17" s="20"/>
      <c r="AB17" s="20"/>
      <c r="AC17" s="21">
        <f t="shared" si="0"/>
        <v>410960</v>
      </c>
      <c r="AD17" s="22">
        <v>4</v>
      </c>
      <c r="AE17" s="21">
        <f t="shared" si="27"/>
        <v>1643840</v>
      </c>
      <c r="AF17" s="110"/>
      <c r="AH17" s="107"/>
      <c r="AI17" s="23" t="s">
        <v>45</v>
      </c>
      <c r="AJ17" s="20"/>
      <c r="AK17" s="20"/>
      <c r="AL17" s="20"/>
      <c r="AM17" s="20"/>
      <c r="AN17" s="20"/>
      <c r="AO17" s="20"/>
      <c r="AP17" s="20"/>
      <c r="AQ17" s="20">
        <v>41096</v>
      </c>
      <c r="AR17" s="20">
        <v>41096</v>
      </c>
      <c r="AS17" s="20">
        <v>41096</v>
      </c>
      <c r="AT17" s="20">
        <v>41096</v>
      </c>
      <c r="AU17" s="20">
        <v>41096</v>
      </c>
      <c r="AV17" s="20">
        <v>41096</v>
      </c>
      <c r="AW17" s="20">
        <v>41096</v>
      </c>
      <c r="AX17" s="20">
        <v>41096</v>
      </c>
      <c r="AY17" s="20">
        <v>41096</v>
      </c>
      <c r="AZ17" s="20">
        <v>41096</v>
      </c>
      <c r="BA17" s="20"/>
      <c r="BB17" s="20"/>
      <c r="BC17" s="20"/>
      <c r="BD17" s="20"/>
      <c r="BE17" s="20"/>
      <c r="BF17" s="20"/>
      <c r="BG17" s="20"/>
      <c r="BH17" s="21">
        <f t="shared" si="2"/>
        <v>410960</v>
      </c>
      <c r="BI17" s="49">
        <v>4</v>
      </c>
      <c r="BJ17" s="21">
        <f t="shared" si="28"/>
        <v>1643840</v>
      </c>
      <c r="BK17" s="110"/>
      <c r="BM17" s="107"/>
      <c r="BN17" s="23" t="s">
        <v>45</v>
      </c>
      <c r="BO17" s="20"/>
      <c r="BP17" s="20"/>
      <c r="BQ17" s="20"/>
      <c r="BR17" s="20"/>
      <c r="BS17" s="20"/>
      <c r="BT17" s="20"/>
      <c r="BU17" s="20"/>
      <c r="BV17" s="20">
        <v>41096</v>
      </c>
      <c r="BW17" s="20">
        <v>41096</v>
      </c>
      <c r="BX17" s="20">
        <v>41096</v>
      </c>
      <c r="BY17" s="20">
        <v>41096</v>
      </c>
      <c r="BZ17" s="20">
        <v>41096</v>
      </c>
      <c r="CA17" s="20">
        <v>41096</v>
      </c>
      <c r="CB17" s="20">
        <v>41096</v>
      </c>
      <c r="CC17" s="20">
        <v>41096</v>
      </c>
      <c r="CD17" s="20">
        <v>41096</v>
      </c>
      <c r="CE17" s="20">
        <v>41096</v>
      </c>
      <c r="CF17" s="20"/>
      <c r="CG17" s="20"/>
      <c r="CH17" s="20"/>
      <c r="CI17" s="20"/>
      <c r="CJ17" s="20"/>
      <c r="CK17" s="20"/>
      <c r="CL17" s="20"/>
      <c r="CM17" s="21">
        <f t="shared" si="4"/>
        <v>410960</v>
      </c>
      <c r="CN17" s="49">
        <v>4</v>
      </c>
      <c r="CO17" s="21">
        <f t="shared" si="29"/>
        <v>1643840</v>
      </c>
      <c r="CP17" s="110"/>
      <c r="CS17" s="107"/>
      <c r="CT17" s="23" t="s">
        <v>45</v>
      </c>
      <c r="CU17" s="20"/>
      <c r="CV17" s="20"/>
      <c r="CW17" s="20"/>
      <c r="CX17" s="20"/>
      <c r="CY17" s="20"/>
      <c r="CZ17" s="20"/>
      <c r="DA17" s="20"/>
      <c r="DB17" s="20">
        <v>41096</v>
      </c>
      <c r="DC17" s="20">
        <v>41096</v>
      </c>
      <c r="DD17" s="20">
        <v>41096</v>
      </c>
      <c r="DE17" s="20">
        <v>41096</v>
      </c>
      <c r="DF17" s="20">
        <v>41096</v>
      </c>
      <c r="DG17" s="20">
        <v>41096</v>
      </c>
      <c r="DH17" s="20">
        <v>41096</v>
      </c>
      <c r="DI17" s="20">
        <v>41096</v>
      </c>
      <c r="DJ17" s="20">
        <v>41096</v>
      </c>
      <c r="DK17" s="20">
        <v>41096</v>
      </c>
      <c r="DL17" s="20"/>
      <c r="DM17" s="20"/>
      <c r="DN17" s="20"/>
      <c r="DO17" s="20"/>
      <c r="DP17" s="20"/>
      <c r="DQ17" s="20"/>
      <c r="DR17" s="20"/>
      <c r="DS17" s="21">
        <f t="shared" si="6"/>
        <v>410960</v>
      </c>
      <c r="DT17" s="49">
        <v>5</v>
      </c>
      <c r="DU17" s="21">
        <f t="shared" si="30"/>
        <v>2054800</v>
      </c>
      <c r="DV17" s="110"/>
      <c r="DY17" s="107"/>
      <c r="DZ17" s="23" t="s">
        <v>45</v>
      </c>
      <c r="EA17" s="20"/>
      <c r="EB17" s="20"/>
      <c r="EC17" s="20"/>
      <c r="ED17" s="20"/>
      <c r="EE17" s="20"/>
      <c r="EF17" s="20"/>
      <c r="EG17" s="20"/>
      <c r="EH17" s="20">
        <v>41096</v>
      </c>
      <c r="EI17" s="20">
        <v>41096</v>
      </c>
      <c r="EJ17" s="20">
        <v>41096</v>
      </c>
      <c r="EK17" s="20">
        <v>41096</v>
      </c>
      <c r="EL17" s="20">
        <v>41096</v>
      </c>
      <c r="EM17" s="20">
        <v>41096</v>
      </c>
      <c r="EN17" s="20">
        <v>41096</v>
      </c>
      <c r="EO17" s="20">
        <v>41096</v>
      </c>
      <c r="EP17" s="20">
        <v>41096</v>
      </c>
      <c r="EQ17" s="20">
        <v>41096</v>
      </c>
      <c r="ER17" s="20"/>
      <c r="ES17" s="20"/>
      <c r="ET17" s="20"/>
      <c r="EU17" s="20"/>
      <c r="EV17" s="20"/>
      <c r="EW17" s="20"/>
      <c r="EX17" s="20"/>
      <c r="EY17" s="21">
        <f t="shared" si="7"/>
        <v>410960</v>
      </c>
      <c r="EZ17" s="49">
        <v>5</v>
      </c>
      <c r="FA17" s="21">
        <f t="shared" si="31"/>
        <v>2054800</v>
      </c>
      <c r="FB17" s="110"/>
      <c r="FD17" s="107"/>
      <c r="FE17" s="23" t="s">
        <v>45</v>
      </c>
      <c r="FF17" s="20"/>
      <c r="FG17" s="20"/>
      <c r="FH17" s="20"/>
      <c r="FI17" s="20"/>
      <c r="FJ17" s="20"/>
      <c r="FK17" s="20"/>
      <c r="FL17" s="20"/>
      <c r="FM17" s="20">
        <v>41096</v>
      </c>
      <c r="FN17" s="20">
        <v>41096</v>
      </c>
      <c r="FO17" s="20">
        <v>41096</v>
      </c>
      <c r="FP17" s="20">
        <v>41096</v>
      </c>
      <c r="FQ17" s="20">
        <v>41096</v>
      </c>
      <c r="FR17" s="20">
        <v>41096</v>
      </c>
      <c r="FS17" s="20">
        <v>41096</v>
      </c>
      <c r="FT17" s="20">
        <v>41096</v>
      </c>
      <c r="FU17" s="20">
        <v>41096</v>
      </c>
      <c r="FV17" s="20">
        <v>41096</v>
      </c>
      <c r="FW17" s="20"/>
      <c r="FX17" s="20"/>
      <c r="FY17" s="20"/>
      <c r="FZ17" s="20"/>
      <c r="GA17" s="20"/>
      <c r="GB17" s="20"/>
      <c r="GC17" s="20"/>
      <c r="GD17" s="21">
        <f t="shared" si="9"/>
        <v>410960</v>
      </c>
      <c r="GE17" s="49">
        <v>2</v>
      </c>
      <c r="GF17" s="21">
        <f t="shared" si="32"/>
        <v>821920</v>
      </c>
      <c r="GG17" s="110"/>
      <c r="GI17" s="107"/>
      <c r="GJ17" s="23" t="s">
        <v>45</v>
      </c>
      <c r="GK17" s="20"/>
      <c r="GL17" s="20"/>
      <c r="GM17" s="20"/>
      <c r="GN17" s="20"/>
      <c r="GO17" s="20"/>
      <c r="GP17" s="20"/>
      <c r="GQ17" s="20"/>
      <c r="GR17" s="20">
        <v>41096</v>
      </c>
      <c r="GS17" s="20">
        <v>41096</v>
      </c>
      <c r="GT17" s="20">
        <v>41096</v>
      </c>
      <c r="GU17" s="20">
        <v>41096</v>
      </c>
      <c r="GV17" s="20">
        <v>41096</v>
      </c>
      <c r="GW17" s="20">
        <v>41096</v>
      </c>
      <c r="GX17" s="20">
        <v>41096</v>
      </c>
      <c r="GY17" s="20">
        <v>41096</v>
      </c>
      <c r="GZ17" s="20">
        <v>41096</v>
      </c>
      <c r="HA17" s="20">
        <v>41096</v>
      </c>
      <c r="HB17" s="20"/>
      <c r="HC17" s="20"/>
      <c r="HD17" s="20"/>
      <c r="HE17" s="20"/>
      <c r="HF17" s="20"/>
      <c r="HG17" s="20"/>
      <c r="HH17" s="20"/>
      <c r="HI17" s="21">
        <f t="shared" si="11"/>
        <v>410960</v>
      </c>
      <c r="HJ17" s="49">
        <v>4</v>
      </c>
      <c r="HK17" s="21">
        <f t="shared" si="33"/>
        <v>1643840</v>
      </c>
      <c r="HL17" s="110"/>
      <c r="HN17" s="107"/>
      <c r="HO17" s="23" t="s">
        <v>45</v>
      </c>
      <c r="HP17" s="20"/>
      <c r="HQ17" s="20"/>
      <c r="HR17" s="20"/>
      <c r="HS17" s="20"/>
      <c r="HT17" s="20"/>
      <c r="HU17" s="20"/>
      <c r="HV17" s="20"/>
      <c r="HW17" s="20">
        <v>41096</v>
      </c>
      <c r="HX17" s="20">
        <v>41096</v>
      </c>
      <c r="HY17" s="20">
        <v>41096</v>
      </c>
      <c r="HZ17" s="20">
        <v>41096</v>
      </c>
      <c r="IA17" s="20">
        <v>41096</v>
      </c>
      <c r="IB17" s="20">
        <v>41096</v>
      </c>
      <c r="IC17" s="20">
        <v>41096</v>
      </c>
      <c r="ID17" s="20">
        <v>41096</v>
      </c>
      <c r="IE17" s="20">
        <v>41096</v>
      </c>
      <c r="IF17" s="20">
        <v>41096</v>
      </c>
      <c r="IG17" s="20"/>
      <c r="IH17" s="20"/>
      <c r="II17" s="20"/>
      <c r="IJ17" s="20"/>
      <c r="IK17" s="20"/>
      <c r="IL17" s="20"/>
      <c r="IM17" s="20"/>
      <c r="IN17" s="21">
        <f t="shared" si="13"/>
        <v>410960</v>
      </c>
      <c r="IO17" s="49">
        <v>4</v>
      </c>
      <c r="IP17" s="21">
        <f t="shared" si="34"/>
        <v>1643840</v>
      </c>
      <c r="IQ17" s="110"/>
      <c r="IS17" s="107"/>
      <c r="IT17" s="23" t="s">
        <v>45</v>
      </c>
      <c r="IU17" s="20"/>
      <c r="IV17" s="20"/>
      <c r="IW17" s="20"/>
      <c r="IX17" s="20"/>
      <c r="IY17" s="20"/>
      <c r="IZ17" s="20"/>
      <c r="JA17" s="20"/>
      <c r="JB17" s="20">
        <v>41096</v>
      </c>
      <c r="JC17" s="20">
        <v>41096</v>
      </c>
      <c r="JD17" s="20">
        <v>41096</v>
      </c>
      <c r="JE17" s="20">
        <v>41096</v>
      </c>
      <c r="JF17" s="20">
        <v>41096</v>
      </c>
      <c r="JG17" s="20">
        <v>41096</v>
      </c>
      <c r="JH17" s="20">
        <v>41096</v>
      </c>
      <c r="JI17" s="20">
        <v>41096</v>
      </c>
      <c r="JJ17" s="20">
        <v>41096</v>
      </c>
      <c r="JK17" s="20">
        <v>41096</v>
      </c>
      <c r="JL17" s="20"/>
      <c r="JM17" s="20"/>
      <c r="JN17" s="20"/>
      <c r="JO17" s="20"/>
      <c r="JP17" s="20"/>
      <c r="JQ17" s="20"/>
      <c r="JR17" s="20"/>
      <c r="JS17" s="21">
        <f t="shared" si="15"/>
        <v>410960</v>
      </c>
      <c r="JT17" s="49">
        <v>3</v>
      </c>
      <c r="JU17" s="21">
        <f t="shared" si="35"/>
        <v>1232880</v>
      </c>
      <c r="JV17" s="110"/>
      <c r="JX17" s="107"/>
      <c r="JY17" s="23" t="s">
        <v>45</v>
      </c>
      <c r="JZ17" s="20"/>
      <c r="KA17" s="20"/>
      <c r="KB17" s="20"/>
      <c r="KC17" s="20"/>
      <c r="KD17" s="20"/>
      <c r="KE17" s="20"/>
      <c r="KF17" s="20"/>
      <c r="KG17" s="20">
        <v>41096</v>
      </c>
      <c r="KH17" s="20">
        <v>41096</v>
      </c>
      <c r="KI17" s="20">
        <v>41096</v>
      </c>
      <c r="KJ17" s="20">
        <v>41096</v>
      </c>
      <c r="KK17" s="20">
        <v>41096</v>
      </c>
      <c r="KL17" s="20">
        <v>41096</v>
      </c>
      <c r="KM17" s="20">
        <v>41096</v>
      </c>
      <c r="KN17" s="20">
        <v>41096</v>
      </c>
      <c r="KO17" s="20">
        <v>41096</v>
      </c>
      <c r="KP17" s="20">
        <v>41096</v>
      </c>
      <c r="KQ17" s="20"/>
      <c r="KR17" s="20"/>
      <c r="KS17" s="20"/>
      <c r="KT17" s="20"/>
      <c r="KU17" s="20"/>
      <c r="KV17" s="20"/>
      <c r="KW17" s="20"/>
      <c r="KX17" s="21">
        <f t="shared" si="17"/>
        <v>410960</v>
      </c>
      <c r="KY17" s="49">
        <v>5</v>
      </c>
      <c r="KZ17" s="21">
        <f t="shared" si="36"/>
        <v>2054800</v>
      </c>
      <c r="LA17" s="110"/>
      <c r="LC17" s="107"/>
      <c r="LD17" s="23" t="s">
        <v>45</v>
      </c>
      <c r="LE17" s="20"/>
      <c r="LF17" s="20"/>
      <c r="LG17" s="20"/>
      <c r="LH17" s="20"/>
      <c r="LI17" s="20"/>
      <c r="LJ17" s="20"/>
      <c r="LK17" s="20"/>
      <c r="LL17" s="20">
        <v>41096</v>
      </c>
      <c r="LM17" s="20">
        <v>41096</v>
      </c>
      <c r="LN17" s="20">
        <v>41096</v>
      </c>
      <c r="LO17" s="20">
        <v>41096</v>
      </c>
      <c r="LP17" s="20">
        <v>41096</v>
      </c>
      <c r="LQ17" s="20">
        <v>41096</v>
      </c>
      <c r="LR17" s="20">
        <v>41096</v>
      </c>
      <c r="LS17" s="20">
        <v>41096</v>
      </c>
      <c r="LT17" s="20">
        <v>41096</v>
      </c>
      <c r="LU17" s="20">
        <v>41096</v>
      </c>
      <c r="LV17" s="20"/>
      <c r="LW17" s="20"/>
      <c r="LX17" s="20"/>
      <c r="LY17" s="20"/>
      <c r="LZ17" s="20"/>
      <c r="MA17" s="20"/>
      <c r="MB17" s="20"/>
      <c r="MC17" s="21">
        <f t="shared" si="19"/>
        <v>410960</v>
      </c>
      <c r="MD17" s="49">
        <v>5</v>
      </c>
      <c r="ME17" s="21">
        <f t="shared" si="37"/>
        <v>2054800</v>
      </c>
      <c r="MF17" s="110"/>
      <c r="MH17" s="107"/>
      <c r="MI17" s="23" t="s">
        <v>45</v>
      </c>
      <c r="MJ17" s="20"/>
      <c r="MK17" s="20"/>
      <c r="ML17" s="20"/>
      <c r="MM17" s="20"/>
      <c r="MN17" s="20"/>
      <c r="MO17" s="20"/>
      <c r="MP17" s="20"/>
      <c r="MQ17" s="20">
        <v>41096</v>
      </c>
      <c r="MR17" s="20">
        <v>41096</v>
      </c>
      <c r="MS17" s="20">
        <v>41096</v>
      </c>
      <c r="MT17" s="20">
        <v>41096</v>
      </c>
      <c r="MU17" s="20">
        <v>41096</v>
      </c>
      <c r="MV17" s="20">
        <v>41096</v>
      </c>
      <c r="MW17" s="20">
        <v>41096</v>
      </c>
      <c r="MX17" s="20">
        <v>41096</v>
      </c>
      <c r="MY17" s="20">
        <v>41096</v>
      </c>
      <c r="MZ17" s="20">
        <v>41096</v>
      </c>
      <c r="NA17" s="20"/>
      <c r="NB17" s="20"/>
      <c r="NC17" s="20"/>
      <c r="ND17" s="20"/>
      <c r="NE17" s="20"/>
      <c r="NF17" s="20"/>
      <c r="NG17" s="20"/>
      <c r="NH17" s="21">
        <f t="shared" si="21"/>
        <v>410960</v>
      </c>
      <c r="NI17" s="49">
        <v>4</v>
      </c>
      <c r="NJ17" s="21">
        <f t="shared" si="38"/>
        <v>1643840</v>
      </c>
      <c r="NK17" s="110"/>
      <c r="NM17" s="107"/>
      <c r="NN17" s="23" t="s">
        <v>45</v>
      </c>
      <c r="NO17" s="20"/>
      <c r="NP17" s="20"/>
      <c r="NQ17" s="20"/>
      <c r="NR17" s="20"/>
      <c r="NS17" s="20"/>
      <c r="NT17" s="20"/>
      <c r="NU17" s="20"/>
      <c r="NV17" s="20">
        <v>41096</v>
      </c>
      <c r="NW17" s="20">
        <v>41096</v>
      </c>
      <c r="NX17" s="20">
        <v>41096</v>
      </c>
      <c r="NY17" s="20">
        <v>41096</v>
      </c>
      <c r="NZ17" s="20">
        <v>41096</v>
      </c>
      <c r="OA17" s="20">
        <v>41096</v>
      </c>
      <c r="OB17" s="20">
        <v>41096</v>
      </c>
      <c r="OC17" s="20">
        <v>41096</v>
      </c>
      <c r="OD17" s="20">
        <v>41096</v>
      </c>
      <c r="OE17" s="20">
        <v>41096</v>
      </c>
      <c r="OF17" s="20"/>
      <c r="OG17" s="20"/>
      <c r="OH17" s="20"/>
      <c r="OI17" s="20"/>
      <c r="OJ17" s="20"/>
      <c r="OK17" s="20"/>
      <c r="OL17" s="20"/>
      <c r="OM17" s="21">
        <f t="shared" si="23"/>
        <v>410960</v>
      </c>
      <c r="ON17" s="49">
        <v>4</v>
      </c>
      <c r="OO17" s="21">
        <f t="shared" si="39"/>
        <v>1643840</v>
      </c>
      <c r="OP17" s="110"/>
      <c r="OR17" s="107"/>
      <c r="OS17" s="23" t="s">
        <v>45</v>
      </c>
      <c r="OT17" s="20"/>
      <c r="OU17" s="20"/>
      <c r="OV17" s="20"/>
      <c r="OW17" s="20"/>
      <c r="OX17" s="20"/>
      <c r="OY17" s="20"/>
      <c r="OZ17" s="20"/>
      <c r="PA17" s="20">
        <v>41096</v>
      </c>
      <c r="PB17" s="20">
        <v>41096</v>
      </c>
      <c r="PC17" s="20">
        <v>41096</v>
      </c>
      <c r="PD17" s="20">
        <v>41096</v>
      </c>
      <c r="PE17" s="20">
        <v>41096</v>
      </c>
      <c r="PF17" s="20">
        <v>41096</v>
      </c>
      <c r="PG17" s="20">
        <v>41096</v>
      </c>
      <c r="PH17" s="20">
        <v>41096</v>
      </c>
      <c r="PI17" s="20">
        <v>41096</v>
      </c>
      <c r="PJ17" s="20">
        <v>41096</v>
      </c>
      <c r="PK17" s="20"/>
      <c r="PL17" s="20"/>
      <c r="PM17" s="20"/>
      <c r="PN17" s="20"/>
      <c r="PO17" s="20"/>
      <c r="PP17" s="20"/>
      <c r="PQ17" s="20"/>
      <c r="PR17" s="21">
        <f t="shared" si="25"/>
        <v>410960</v>
      </c>
      <c r="PS17" s="62">
        <v>4</v>
      </c>
      <c r="PT17" s="21">
        <f t="shared" si="40"/>
        <v>1643840</v>
      </c>
      <c r="PU17" s="110"/>
    </row>
    <row r="18" spans="3:437" ht="15" thickBot="1" x14ac:dyDescent="0.4">
      <c r="C18" s="108"/>
      <c r="D18" s="24" t="s">
        <v>46</v>
      </c>
      <c r="E18" s="20"/>
      <c r="F18" s="92"/>
      <c r="G18" s="20"/>
      <c r="H18" s="20"/>
      <c r="I18" s="20"/>
      <c r="J18" s="20"/>
      <c r="K18" s="20"/>
      <c r="L18" s="20">
        <v>41096</v>
      </c>
      <c r="M18" s="20">
        <v>41096</v>
      </c>
      <c r="N18" s="20">
        <v>41096</v>
      </c>
      <c r="O18" s="20">
        <v>41096</v>
      </c>
      <c r="P18" s="20">
        <v>41096</v>
      </c>
      <c r="Q18" s="20">
        <v>41096</v>
      </c>
      <c r="R18" s="20">
        <v>41096</v>
      </c>
      <c r="S18" s="20">
        <v>41096</v>
      </c>
      <c r="T18" s="20">
        <v>41096</v>
      </c>
      <c r="U18" s="20">
        <v>41096</v>
      </c>
      <c r="V18" s="20"/>
      <c r="W18" s="20"/>
      <c r="X18" s="20"/>
      <c r="Y18" s="20"/>
      <c r="Z18" s="20"/>
      <c r="AA18" s="20"/>
      <c r="AB18" s="20"/>
      <c r="AC18" s="21">
        <f t="shared" si="0"/>
        <v>410960</v>
      </c>
      <c r="AD18" s="22">
        <v>3</v>
      </c>
      <c r="AE18" s="21">
        <f t="shared" si="27"/>
        <v>1232880</v>
      </c>
      <c r="AF18" s="111"/>
      <c r="AH18" s="108"/>
      <c r="AI18" s="24" t="s">
        <v>46</v>
      </c>
      <c r="AJ18" s="20"/>
      <c r="AK18" s="20"/>
      <c r="AL18" s="20"/>
      <c r="AM18" s="20"/>
      <c r="AN18" s="20"/>
      <c r="AO18" s="20"/>
      <c r="AP18" s="20"/>
      <c r="AQ18" s="20">
        <v>41096</v>
      </c>
      <c r="AR18" s="20">
        <v>41096</v>
      </c>
      <c r="AS18" s="20">
        <v>41096</v>
      </c>
      <c r="AT18" s="20">
        <v>41096</v>
      </c>
      <c r="AU18" s="20">
        <v>41096</v>
      </c>
      <c r="AV18" s="20">
        <v>41096</v>
      </c>
      <c r="AW18" s="20">
        <v>41096</v>
      </c>
      <c r="AX18" s="20">
        <v>41096</v>
      </c>
      <c r="AY18" s="20">
        <v>41096</v>
      </c>
      <c r="AZ18" s="20">
        <v>41096</v>
      </c>
      <c r="BA18" s="20"/>
      <c r="BB18" s="20"/>
      <c r="BC18" s="20"/>
      <c r="BD18" s="20"/>
      <c r="BE18" s="20"/>
      <c r="BF18" s="20"/>
      <c r="BG18" s="20"/>
      <c r="BH18" s="21">
        <f t="shared" si="2"/>
        <v>410960</v>
      </c>
      <c r="BI18" s="50">
        <v>1</v>
      </c>
      <c r="BJ18" s="21">
        <f t="shared" si="28"/>
        <v>410960</v>
      </c>
      <c r="BK18" s="111"/>
      <c r="BM18" s="108"/>
      <c r="BN18" s="24" t="s">
        <v>46</v>
      </c>
      <c r="BO18" s="20"/>
      <c r="BP18" s="20"/>
      <c r="BQ18" s="20"/>
      <c r="BR18" s="20"/>
      <c r="BS18" s="20"/>
      <c r="BT18" s="20"/>
      <c r="BU18" s="20"/>
      <c r="BV18" s="20">
        <v>41096</v>
      </c>
      <c r="BW18" s="20">
        <v>41096</v>
      </c>
      <c r="BX18" s="20">
        <v>41096</v>
      </c>
      <c r="BY18" s="20">
        <v>41096</v>
      </c>
      <c r="BZ18" s="20">
        <v>41096</v>
      </c>
      <c r="CA18" s="20">
        <v>41096</v>
      </c>
      <c r="CB18" s="20">
        <v>41096</v>
      </c>
      <c r="CC18" s="20">
        <v>41096</v>
      </c>
      <c r="CD18" s="20">
        <v>41096</v>
      </c>
      <c r="CE18" s="20">
        <v>41096</v>
      </c>
      <c r="CF18" s="20"/>
      <c r="CG18" s="20"/>
      <c r="CH18" s="20"/>
      <c r="CI18" s="20"/>
      <c r="CJ18" s="20"/>
      <c r="CK18" s="20"/>
      <c r="CL18" s="20"/>
      <c r="CM18" s="21">
        <f t="shared" si="4"/>
        <v>410960</v>
      </c>
      <c r="CN18" s="50">
        <v>3</v>
      </c>
      <c r="CO18" s="21">
        <f t="shared" si="29"/>
        <v>1232880</v>
      </c>
      <c r="CP18" s="111"/>
      <c r="CS18" s="108"/>
      <c r="CT18" s="24" t="s">
        <v>46</v>
      </c>
      <c r="CU18" s="20"/>
      <c r="CV18" s="20"/>
      <c r="CW18" s="20"/>
      <c r="CX18" s="20"/>
      <c r="CY18" s="20"/>
      <c r="CZ18" s="20"/>
      <c r="DA18" s="20"/>
      <c r="DB18" s="20">
        <v>41096</v>
      </c>
      <c r="DC18" s="20">
        <v>41096</v>
      </c>
      <c r="DD18" s="20">
        <v>41096</v>
      </c>
      <c r="DE18" s="20">
        <v>41096</v>
      </c>
      <c r="DF18" s="20">
        <v>41096</v>
      </c>
      <c r="DG18" s="20">
        <v>41096</v>
      </c>
      <c r="DH18" s="20">
        <v>41096</v>
      </c>
      <c r="DI18" s="20">
        <v>41096</v>
      </c>
      <c r="DJ18" s="20">
        <v>41096</v>
      </c>
      <c r="DK18" s="20">
        <v>41096</v>
      </c>
      <c r="DL18" s="20"/>
      <c r="DM18" s="20"/>
      <c r="DN18" s="20"/>
      <c r="DO18" s="20"/>
      <c r="DP18" s="20"/>
      <c r="DQ18" s="20"/>
      <c r="DR18" s="20"/>
      <c r="DS18" s="21">
        <f t="shared" si="6"/>
        <v>410960</v>
      </c>
      <c r="DT18" s="50">
        <v>1</v>
      </c>
      <c r="DU18" s="21">
        <f t="shared" si="30"/>
        <v>410960</v>
      </c>
      <c r="DV18" s="111"/>
      <c r="DY18" s="108"/>
      <c r="DZ18" s="24" t="s">
        <v>46</v>
      </c>
      <c r="EA18" s="20"/>
      <c r="EB18" s="20"/>
      <c r="EC18" s="20"/>
      <c r="ED18" s="20"/>
      <c r="EE18" s="20"/>
      <c r="EF18" s="20"/>
      <c r="EG18" s="20"/>
      <c r="EH18" s="20">
        <v>41096</v>
      </c>
      <c r="EI18" s="20">
        <v>41096</v>
      </c>
      <c r="EJ18" s="20">
        <v>41096</v>
      </c>
      <c r="EK18" s="20">
        <v>41096</v>
      </c>
      <c r="EL18" s="20">
        <v>41096</v>
      </c>
      <c r="EM18" s="20">
        <v>41096</v>
      </c>
      <c r="EN18" s="20">
        <v>41096</v>
      </c>
      <c r="EO18" s="20">
        <v>41096</v>
      </c>
      <c r="EP18" s="20">
        <v>41096</v>
      </c>
      <c r="EQ18" s="20">
        <v>41096</v>
      </c>
      <c r="ER18" s="20"/>
      <c r="ES18" s="20"/>
      <c r="ET18" s="20"/>
      <c r="EU18" s="20"/>
      <c r="EV18" s="20"/>
      <c r="EW18" s="20"/>
      <c r="EX18" s="20"/>
      <c r="EY18" s="21">
        <f t="shared" si="7"/>
        <v>410960</v>
      </c>
      <c r="EZ18" s="50">
        <v>1</v>
      </c>
      <c r="FA18" s="21">
        <f t="shared" si="31"/>
        <v>410960</v>
      </c>
      <c r="FB18" s="111"/>
      <c r="FD18" s="108"/>
      <c r="FE18" s="24" t="s">
        <v>46</v>
      </c>
      <c r="FF18" s="20"/>
      <c r="FG18" s="20"/>
      <c r="FH18" s="20"/>
      <c r="FI18" s="20"/>
      <c r="FJ18" s="20"/>
      <c r="FK18" s="20"/>
      <c r="FL18" s="20"/>
      <c r="FM18" s="20">
        <v>41096</v>
      </c>
      <c r="FN18" s="20">
        <v>41096</v>
      </c>
      <c r="FO18" s="20">
        <v>41096</v>
      </c>
      <c r="FP18" s="20">
        <v>41096</v>
      </c>
      <c r="FQ18" s="20">
        <v>41096</v>
      </c>
      <c r="FR18" s="20">
        <v>41096</v>
      </c>
      <c r="FS18" s="20">
        <v>41096</v>
      </c>
      <c r="FT18" s="20">
        <v>41096</v>
      </c>
      <c r="FU18" s="20">
        <v>41096</v>
      </c>
      <c r="FV18" s="20">
        <v>41096</v>
      </c>
      <c r="FW18" s="20"/>
      <c r="FX18" s="20"/>
      <c r="FY18" s="20"/>
      <c r="FZ18" s="20"/>
      <c r="GA18" s="20"/>
      <c r="GB18" s="20"/>
      <c r="GC18" s="20"/>
      <c r="GD18" s="21">
        <f t="shared" si="9"/>
        <v>410960</v>
      </c>
      <c r="GE18" s="50">
        <v>5</v>
      </c>
      <c r="GF18" s="21">
        <f t="shared" si="32"/>
        <v>2054800</v>
      </c>
      <c r="GG18" s="111"/>
      <c r="GI18" s="108"/>
      <c r="GJ18" s="24" t="s">
        <v>46</v>
      </c>
      <c r="GK18" s="20"/>
      <c r="GL18" s="20"/>
      <c r="GM18" s="20"/>
      <c r="GN18" s="20"/>
      <c r="GO18" s="20"/>
      <c r="GP18" s="20"/>
      <c r="GQ18" s="20"/>
      <c r="GR18" s="20">
        <v>41096</v>
      </c>
      <c r="GS18" s="20">
        <v>41096</v>
      </c>
      <c r="GT18" s="20">
        <v>41096</v>
      </c>
      <c r="GU18" s="20">
        <v>41096</v>
      </c>
      <c r="GV18" s="20">
        <v>41096</v>
      </c>
      <c r="GW18" s="20">
        <v>41096</v>
      </c>
      <c r="GX18" s="20">
        <v>41096</v>
      </c>
      <c r="GY18" s="20">
        <v>41096</v>
      </c>
      <c r="GZ18" s="20">
        <v>41096</v>
      </c>
      <c r="HA18" s="20">
        <v>41096</v>
      </c>
      <c r="HB18" s="20"/>
      <c r="HC18" s="20"/>
      <c r="HD18" s="20"/>
      <c r="HE18" s="20"/>
      <c r="HF18" s="20"/>
      <c r="HG18" s="20"/>
      <c r="HH18" s="20"/>
      <c r="HI18" s="21">
        <f t="shared" si="11"/>
        <v>410960</v>
      </c>
      <c r="HJ18" s="50">
        <v>1</v>
      </c>
      <c r="HK18" s="21">
        <f t="shared" si="33"/>
        <v>410960</v>
      </c>
      <c r="HL18" s="111"/>
      <c r="HN18" s="108"/>
      <c r="HO18" s="24" t="s">
        <v>46</v>
      </c>
      <c r="HP18" s="20"/>
      <c r="HQ18" s="20"/>
      <c r="HR18" s="20"/>
      <c r="HS18" s="20"/>
      <c r="HT18" s="20"/>
      <c r="HU18" s="20"/>
      <c r="HV18" s="20"/>
      <c r="HW18" s="20">
        <v>41096</v>
      </c>
      <c r="HX18" s="20">
        <v>41096</v>
      </c>
      <c r="HY18" s="20">
        <v>41096</v>
      </c>
      <c r="HZ18" s="20">
        <v>41096</v>
      </c>
      <c r="IA18" s="20">
        <v>41096</v>
      </c>
      <c r="IB18" s="20">
        <v>41096</v>
      </c>
      <c r="IC18" s="20">
        <v>41096</v>
      </c>
      <c r="ID18" s="20">
        <v>41096</v>
      </c>
      <c r="IE18" s="20">
        <v>41096</v>
      </c>
      <c r="IF18" s="20">
        <v>41096</v>
      </c>
      <c r="IG18" s="20"/>
      <c r="IH18" s="20"/>
      <c r="II18" s="20"/>
      <c r="IJ18" s="20"/>
      <c r="IK18" s="20"/>
      <c r="IL18" s="20"/>
      <c r="IM18" s="20"/>
      <c r="IN18" s="21">
        <f t="shared" si="13"/>
        <v>410960</v>
      </c>
      <c r="IO18" s="50">
        <v>1</v>
      </c>
      <c r="IP18" s="21">
        <f t="shared" si="34"/>
        <v>410960</v>
      </c>
      <c r="IQ18" s="111"/>
      <c r="IS18" s="108"/>
      <c r="IT18" s="24" t="s">
        <v>46</v>
      </c>
      <c r="IU18" s="20"/>
      <c r="IV18" s="20"/>
      <c r="IW18" s="20"/>
      <c r="IX18" s="20"/>
      <c r="IY18" s="20"/>
      <c r="IZ18" s="20"/>
      <c r="JA18" s="20"/>
      <c r="JB18" s="20">
        <v>41096</v>
      </c>
      <c r="JC18" s="20">
        <v>41096</v>
      </c>
      <c r="JD18" s="20">
        <v>41096</v>
      </c>
      <c r="JE18" s="20">
        <v>41096</v>
      </c>
      <c r="JF18" s="20">
        <v>41096</v>
      </c>
      <c r="JG18" s="20">
        <v>41096</v>
      </c>
      <c r="JH18" s="20">
        <v>41096</v>
      </c>
      <c r="JI18" s="20">
        <v>41096</v>
      </c>
      <c r="JJ18" s="20">
        <v>41096</v>
      </c>
      <c r="JK18" s="20">
        <v>41096</v>
      </c>
      <c r="JL18" s="20"/>
      <c r="JM18" s="20"/>
      <c r="JN18" s="20"/>
      <c r="JO18" s="20"/>
      <c r="JP18" s="20"/>
      <c r="JQ18" s="20"/>
      <c r="JR18" s="20"/>
      <c r="JS18" s="21">
        <f t="shared" si="15"/>
        <v>410960</v>
      </c>
      <c r="JT18" s="50">
        <v>4</v>
      </c>
      <c r="JU18" s="21">
        <f t="shared" si="35"/>
        <v>1643840</v>
      </c>
      <c r="JV18" s="111"/>
      <c r="JX18" s="108"/>
      <c r="JY18" s="24" t="s">
        <v>46</v>
      </c>
      <c r="JZ18" s="20"/>
      <c r="KA18" s="20"/>
      <c r="KB18" s="20"/>
      <c r="KC18" s="20"/>
      <c r="KD18" s="20"/>
      <c r="KE18" s="20"/>
      <c r="KF18" s="20"/>
      <c r="KG18" s="20">
        <v>41096</v>
      </c>
      <c r="KH18" s="20">
        <v>41096</v>
      </c>
      <c r="KI18" s="20">
        <v>41096</v>
      </c>
      <c r="KJ18" s="20">
        <v>41096</v>
      </c>
      <c r="KK18" s="20">
        <v>41096</v>
      </c>
      <c r="KL18" s="20">
        <v>41096</v>
      </c>
      <c r="KM18" s="20">
        <v>41096</v>
      </c>
      <c r="KN18" s="20">
        <v>41096</v>
      </c>
      <c r="KO18" s="20">
        <v>41096</v>
      </c>
      <c r="KP18" s="20">
        <v>41096</v>
      </c>
      <c r="KQ18" s="20"/>
      <c r="KR18" s="20"/>
      <c r="KS18" s="20"/>
      <c r="KT18" s="20"/>
      <c r="KU18" s="20"/>
      <c r="KV18" s="20"/>
      <c r="KW18" s="20"/>
      <c r="KX18" s="21">
        <f t="shared" si="17"/>
        <v>410960</v>
      </c>
      <c r="KY18" s="50">
        <v>1</v>
      </c>
      <c r="KZ18" s="21">
        <f t="shared" si="36"/>
        <v>410960</v>
      </c>
      <c r="LA18" s="111"/>
      <c r="LC18" s="108"/>
      <c r="LD18" s="24" t="s">
        <v>46</v>
      </c>
      <c r="LE18" s="20"/>
      <c r="LF18" s="20"/>
      <c r="LG18" s="20"/>
      <c r="LH18" s="20"/>
      <c r="LI18" s="20"/>
      <c r="LJ18" s="20"/>
      <c r="LK18" s="20"/>
      <c r="LL18" s="20">
        <v>41096</v>
      </c>
      <c r="LM18" s="20">
        <v>41096</v>
      </c>
      <c r="LN18" s="20">
        <v>41096</v>
      </c>
      <c r="LO18" s="20">
        <v>41096</v>
      </c>
      <c r="LP18" s="20">
        <v>41096</v>
      </c>
      <c r="LQ18" s="20">
        <v>41096</v>
      </c>
      <c r="LR18" s="20">
        <v>41096</v>
      </c>
      <c r="LS18" s="20">
        <v>41096</v>
      </c>
      <c r="LT18" s="20">
        <v>41096</v>
      </c>
      <c r="LU18" s="20">
        <v>41096</v>
      </c>
      <c r="LV18" s="20"/>
      <c r="LW18" s="20"/>
      <c r="LX18" s="20"/>
      <c r="LY18" s="20"/>
      <c r="LZ18" s="20"/>
      <c r="MA18" s="20"/>
      <c r="MB18" s="20"/>
      <c r="MC18" s="21">
        <f t="shared" si="19"/>
        <v>410960</v>
      </c>
      <c r="MD18" s="50">
        <v>1</v>
      </c>
      <c r="ME18" s="21">
        <f t="shared" si="37"/>
        <v>410960</v>
      </c>
      <c r="MF18" s="111"/>
      <c r="MH18" s="108"/>
      <c r="MI18" s="24" t="s">
        <v>46</v>
      </c>
      <c r="MJ18" s="20"/>
      <c r="MK18" s="20"/>
      <c r="ML18" s="20"/>
      <c r="MM18" s="20"/>
      <c r="MN18" s="20"/>
      <c r="MO18" s="20"/>
      <c r="MP18" s="20"/>
      <c r="MQ18" s="20">
        <v>41096</v>
      </c>
      <c r="MR18" s="20">
        <v>41096</v>
      </c>
      <c r="MS18" s="20">
        <v>41096</v>
      </c>
      <c r="MT18" s="20">
        <v>41096</v>
      </c>
      <c r="MU18" s="20">
        <v>41096</v>
      </c>
      <c r="MV18" s="20">
        <v>41096</v>
      </c>
      <c r="MW18" s="20">
        <v>41096</v>
      </c>
      <c r="MX18" s="20">
        <v>41096</v>
      </c>
      <c r="MY18" s="20">
        <v>41096</v>
      </c>
      <c r="MZ18" s="20">
        <v>41096</v>
      </c>
      <c r="NA18" s="20"/>
      <c r="NB18" s="20"/>
      <c r="NC18" s="20"/>
      <c r="ND18" s="20"/>
      <c r="NE18" s="20"/>
      <c r="NF18" s="20"/>
      <c r="NG18" s="20"/>
      <c r="NH18" s="21">
        <f t="shared" si="21"/>
        <v>410960</v>
      </c>
      <c r="NI18" s="50">
        <v>1</v>
      </c>
      <c r="NJ18" s="21">
        <f t="shared" si="38"/>
        <v>410960</v>
      </c>
      <c r="NK18" s="111"/>
      <c r="NM18" s="108"/>
      <c r="NN18" s="24" t="s">
        <v>46</v>
      </c>
      <c r="NO18" s="20"/>
      <c r="NP18" s="20"/>
      <c r="NQ18" s="20"/>
      <c r="NR18" s="20"/>
      <c r="NS18" s="20"/>
      <c r="NT18" s="20"/>
      <c r="NU18" s="20"/>
      <c r="NV18" s="20">
        <v>41096</v>
      </c>
      <c r="NW18" s="20">
        <v>41096</v>
      </c>
      <c r="NX18" s="20">
        <v>41096</v>
      </c>
      <c r="NY18" s="20">
        <v>41096</v>
      </c>
      <c r="NZ18" s="20">
        <v>41096</v>
      </c>
      <c r="OA18" s="20">
        <v>41096</v>
      </c>
      <c r="OB18" s="20">
        <v>41096</v>
      </c>
      <c r="OC18" s="20">
        <v>41096</v>
      </c>
      <c r="OD18" s="20">
        <v>41096</v>
      </c>
      <c r="OE18" s="20">
        <v>41096</v>
      </c>
      <c r="OF18" s="20"/>
      <c r="OG18" s="20"/>
      <c r="OH18" s="20"/>
      <c r="OI18" s="20"/>
      <c r="OJ18" s="20"/>
      <c r="OK18" s="20"/>
      <c r="OL18" s="20"/>
      <c r="OM18" s="21">
        <f t="shared" si="23"/>
        <v>410960</v>
      </c>
      <c r="ON18" s="50">
        <v>1</v>
      </c>
      <c r="OO18" s="21">
        <f t="shared" si="39"/>
        <v>410960</v>
      </c>
      <c r="OP18" s="111"/>
      <c r="OR18" s="108"/>
      <c r="OS18" s="24" t="s">
        <v>46</v>
      </c>
      <c r="OT18" s="20"/>
      <c r="OU18" s="20"/>
      <c r="OV18" s="20"/>
      <c r="OW18" s="20"/>
      <c r="OX18" s="20"/>
      <c r="OY18" s="20"/>
      <c r="OZ18" s="20"/>
      <c r="PA18" s="20">
        <v>41096</v>
      </c>
      <c r="PB18" s="20">
        <v>41096</v>
      </c>
      <c r="PC18" s="20">
        <v>41096</v>
      </c>
      <c r="PD18" s="20">
        <v>41096</v>
      </c>
      <c r="PE18" s="20">
        <v>41096</v>
      </c>
      <c r="PF18" s="20">
        <v>41096</v>
      </c>
      <c r="PG18" s="20">
        <v>41096</v>
      </c>
      <c r="PH18" s="20">
        <v>41096</v>
      </c>
      <c r="PI18" s="20">
        <v>41096</v>
      </c>
      <c r="PJ18" s="20">
        <v>41096</v>
      </c>
      <c r="PK18" s="20"/>
      <c r="PL18" s="20"/>
      <c r="PM18" s="20"/>
      <c r="PN18" s="20"/>
      <c r="PO18" s="20"/>
      <c r="PP18" s="20"/>
      <c r="PQ18" s="20"/>
      <c r="PR18" s="21">
        <f t="shared" si="25"/>
        <v>410960</v>
      </c>
      <c r="PS18" s="64">
        <v>3</v>
      </c>
      <c r="PT18" s="21">
        <f t="shared" si="40"/>
        <v>1232880</v>
      </c>
      <c r="PU18" s="111"/>
    </row>
    <row r="19" spans="3:437" x14ac:dyDescent="0.35">
      <c r="C19" s="106">
        <v>46478</v>
      </c>
      <c r="D19" s="19" t="s">
        <v>43</v>
      </c>
      <c r="E19" s="20"/>
      <c r="F19" s="92"/>
      <c r="G19" s="20"/>
      <c r="H19" s="20"/>
      <c r="I19" s="20"/>
      <c r="J19" s="20"/>
      <c r="K19" s="20"/>
      <c r="L19" s="20">
        <v>41096</v>
      </c>
      <c r="M19" s="20">
        <v>41096</v>
      </c>
      <c r="N19" s="20">
        <v>41096</v>
      </c>
      <c r="O19" s="20">
        <v>41096</v>
      </c>
      <c r="P19" s="20">
        <v>41096</v>
      </c>
      <c r="Q19" s="20">
        <v>41096</v>
      </c>
      <c r="R19" s="20">
        <v>41096</v>
      </c>
      <c r="S19" s="20">
        <v>41096</v>
      </c>
      <c r="T19" s="20">
        <v>41096</v>
      </c>
      <c r="U19" s="20">
        <v>41096</v>
      </c>
      <c r="V19" s="20"/>
      <c r="W19" s="20"/>
      <c r="X19" s="20"/>
      <c r="Y19" s="20"/>
      <c r="Z19" s="20"/>
      <c r="AA19" s="20"/>
      <c r="AB19" s="20"/>
      <c r="AC19" s="21">
        <f t="shared" si="0"/>
        <v>410960</v>
      </c>
      <c r="AD19" s="22">
        <v>22</v>
      </c>
      <c r="AE19" s="21">
        <f t="shared" si="27"/>
        <v>9041120</v>
      </c>
      <c r="AF19" s="109">
        <f>+SUM(AE19:AE22)</f>
        <v>12328800</v>
      </c>
      <c r="AH19" s="106">
        <v>46844</v>
      </c>
      <c r="AI19" s="19" t="s">
        <v>43</v>
      </c>
      <c r="AJ19" s="20"/>
      <c r="AK19" s="20"/>
      <c r="AL19" s="20"/>
      <c r="AM19" s="20"/>
      <c r="AN19" s="20"/>
      <c r="AO19" s="20"/>
      <c r="AP19" s="20"/>
      <c r="AQ19" s="20">
        <v>41096</v>
      </c>
      <c r="AR19" s="20">
        <v>41096</v>
      </c>
      <c r="AS19" s="20">
        <v>41096</v>
      </c>
      <c r="AT19" s="20">
        <v>41096</v>
      </c>
      <c r="AU19" s="20">
        <v>41096</v>
      </c>
      <c r="AV19" s="20">
        <v>41096</v>
      </c>
      <c r="AW19" s="20">
        <v>41096</v>
      </c>
      <c r="AX19" s="20">
        <v>41096</v>
      </c>
      <c r="AY19" s="20">
        <v>41096</v>
      </c>
      <c r="AZ19" s="20">
        <v>41096</v>
      </c>
      <c r="BA19" s="20"/>
      <c r="BB19" s="20"/>
      <c r="BC19" s="20"/>
      <c r="BD19" s="20"/>
      <c r="BE19" s="20"/>
      <c r="BF19" s="20"/>
      <c r="BG19" s="20"/>
      <c r="BH19" s="21">
        <f t="shared" si="2"/>
        <v>410960</v>
      </c>
      <c r="BI19" s="51">
        <v>18</v>
      </c>
      <c r="BJ19" s="21">
        <f t="shared" si="28"/>
        <v>7397280</v>
      </c>
      <c r="BK19" s="109">
        <f>+SUM(BJ19:BJ22)</f>
        <v>12328800</v>
      </c>
      <c r="BM19" s="106">
        <v>47209</v>
      </c>
      <c r="BN19" s="19" t="s">
        <v>43</v>
      </c>
      <c r="BO19" s="20"/>
      <c r="BP19" s="20"/>
      <c r="BQ19" s="20"/>
      <c r="BR19" s="20"/>
      <c r="BS19" s="20"/>
      <c r="BT19" s="20"/>
      <c r="BU19" s="20"/>
      <c r="BV19" s="20">
        <v>41096</v>
      </c>
      <c r="BW19" s="20">
        <v>41096</v>
      </c>
      <c r="BX19" s="20">
        <v>41096</v>
      </c>
      <c r="BY19" s="20">
        <v>41096</v>
      </c>
      <c r="BZ19" s="20">
        <v>41096</v>
      </c>
      <c r="CA19" s="20">
        <v>41096</v>
      </c>
      <c r="CB19" s="20">
        <v>41096</v>
      </c>
      <c r="CC19" s="20">
        <v>41096</v>
      </c>
      <c r="CD19" s="20">
        <v>41096</v>
      </c>
      <c r="CE19" s="20">
        <v>41096</v>
      </c>
      <c r="CF19" s="20"/>
      <c r="CG19" s="20"/>
      <c r="CH19" s="20"/>
      <c r="CI19" s="20"/>
      <c r="CJ19" s="20"/>
      <c r="CK19" s="20"/>
      <c r="CL19" s="20"/>
      <c r="CM19" s="21">
        <f t="shared" si="4"/>
        <v>410960</v>
      </c>
      <c r="CN19" s="48">
        <v>21</v>
      </c>
      <c r="CO19" s="21">
        <f t="shared" si="29"/>
        <v>8630160</v>
      </c>
      <c r="CP19" s="109">
        <f>+SUM(CO19:CO22)</f>
        <v>12328800</v>
      </c>
      <c r="CS19" s="106">
        <v>47574</v>
      </c>
      <c r="CT19" s="19" t="s">
        <v>43</v>
      </c>
      <c r="CU19" s="20"/>
      <c r="CV19" s="20"/>
      <c r="CW19" s="20"/>
      <c r="CX19" s="20"/>
      <c r="CY19" s="20"/>
      <c r="CZ19" s="20"/>
      <c r="DA19" s="20"/>
      <c r="DB19" s="20">
        <v>41096</v>
      </c>
      <c r="DC19" s="20">
        <v>41096</v>
      </c>
      <c r="DD19" s="20">
        <v>41096</v>
      </c>
      <c r="DE19" s="20">
        <v>41096</v>
      </c>
      <c r="DF19" s="20">
        <v>41096</v>
      </c>
      <c r="DG19" s="20">
        <v>41096</v>
      </c>
      <c r="DH19" s="20">
        <v>41096</v>
      </c>
      <c r="DI19" s="20">
        <v>41096</v>
      </c>
      <c r="DJ19" s="20">
        <v>41096</v>
      </c>
      <c r="DK19" s="20">
        <v>41096</v>
      </c>
      <c r="DL19" s="20"/>
      <c r="DM19" s="20"/>
      <c r="DN19" s="20"/>
      <c r="DO19" s="20"/>
      <c r="DP19" s="20"/>
      <c r="DQ19" s="20"/>
      <c r="DR19" s="20"/>
      <c r="DS19" s="21">
        <f t="shared" si="6"/>
        <v>410960</v>
      </c>
      <c r="DT19" s="48">
        <v>20</v>
      </c>
      <c r="DU19" s="21">
        <f t="shared" si="30"/>
        <v>8219200</v>
      </c>
      <c r="DV19" s="109">
        <f>+SUM(DU19:DU22)</f>
        <v>12328800</v>
      </c>
      <c r="DY19" s="106">
        <v>47939</v>
      </c>
      <c r="DZ19" s="19" t="s">
        <v>43</v>
      </c>
      <c r="EA19" s="20"/>
      <c r="EB19" s="20"/>
      <c r="EC19" s="20"/>
      <c r="ED19" s="20"/>
      <c r="EE19" s="20"/>
      <c r="EF19" s="20"/>
      <c r="EG19" s="20"/>
      <c r="EH19" s="20">
        <v>41096</v>
      </c>
      <c r="EI19" s="20">
        <v>41096</v>
      </c>
      <c r="EJ19" s="20">
        <v>41096</v>
      </c>
      <c r="EK19" s="20">
        <v>41096</v>
      </c>
      <c r="EL19" s="20">
        <v>41096</v>
      </c>
      <c r="EM19" s="20">
        <v>41096</v>
      </c>
      <c r="EN19" s="20">
        <v>41096</v>
      </c>
      <c r="EO19" s="20">
        <v>41096</v>
      </c>
      <c r="EP19" s="20">
        <v>41096</v>
      </c>
      <c r="EQ19" s="20">
        <v>41096</v>
      </c>
      <c r="ER19" s="20"/>
      <c r="ES19" s="20"/>
      <c r="ET19" s="20"/>
      <c r="EU19" s="20"/>
      <c r="EV19" s="20"/>
      <c r="EW19" s="20"/>
      <c r="EX19" s="20"/>
      <c r="EY19" s="21">
        <f t="shared" si="7"/>
        <v>410960</v>
      </c>
      <c r="EZ19" s="48">
        <v>20</v>
      </c>
      <c r="FA19" s="21">
        <f t="shared" si="31"/>
        <v>8219200</v>
      </c>
      <c r="FB19" s="109">
        <f>+SUM(FA19:FA22)</f>
        <v>12328800</v>
      </c>
      <c r="FD19" s="106">
        <v>48305</v>
      </c>
      <c r="FE19" s="19" t="s">
        <v>43</v>
      </c>
      <c r="FF19" s="20"/>
      <c r="FG19" s="20"/>
      <c r="FH19" s="20"/>
      <c r="FI19" s="20"/>
      <c r="FJ19" s="20"/>
      <c r="FK19" s="20"/>
      <c r="FL19" s="20"/>
      <c r="FM19" s="20">
        <v>41096</v>
      </c>
      <c r="FN19" s="20">
        <v>41096</v>
      </c>
      <c r="FO19" s="20">
        <v>41096</v>
      </c>
      <c r="FP19" s="20">
        <v>41096</v>
      </c>
      <c r="FQ19" s="20">
        <v>41096</v>
      </c>
      <c r="FR19" s="20">
        <v>41096</v>
      </c>
      <c r="FS19" s="20">
        <v>41096</v>
      </c>
      <c r="FT19" s="20">
        <v>41096</v>
      </c>
      <c r="FU19" s="20">
        <v>41096</v>
      </c>
      <c r="FV19" s="20">
        <v>41096</v>
      </c>
      <c r="FW19" s="20"/>
      <c r="FX19" s="20"/>
      <c r="FY19" s="20"/>
      <c r="FZ19" s="20"/>
      <c r="GA19" s="20"/>
      <c r="GB19" s="20"/>
      <c r="GC19" s="20"/>
      <c r="GD19" s="21">
        <f t="shared" si="9"/>
        <v>410960</v>
      </c>
      <c r="GE19" s="48">
        <v>22</v>
      </c>
      <c r="GF19" s="21">
        <f t="shared" si="32"/>
        <v>9041120</v>
      </c>
      <c r="GG19" s="109">
        <f>+SUM(GF19:GF22)</f>
        <v>12328800</v>
      </c>
      <c r="GI19" s="106">
        <v>48670</v>
      </c>
      <c r="GJ19" s="19" t="s">
        <v>43</v>
      </c>
      <c r="GK19" s="20"/>
      <c r="GL19" s="20"/>
      <c r="GM19" s="20"/>
      <c r="GN19" s="20"/>
      <c r="GO19" s="20"/>
      <c r="GP19" s="20"/>
      <c r="GQ19" s="20"/>
      <c r="GR19" s="20">
        <v>41096</v>
      </c>
      <c r="GS19" s="20">
        <v>41096</v>
      </c>
      <c r="GT19" s="20">
        <v>41096</v>
      </c>
      <c r="GU19" s="20">
        <v>41096</v>
      </c>
      <c r="GV19" s="20">
        <v>41096</v>
      </c>
      <c r="GW19" s="20">
        <v>41096</v>
      </c>
      <c r="GX19" s="20">
        <v>41096</v>
      </c>
      <c r="GY19" s="20">
        <v>41096</v>
      </c>
      <c r="GZ19" s="20">
        <v>41096</v>
      </c>
      <c r="HA19" s="20">
        <v>41096</v>
      </c>
      <c r="HB19" s="20"/>
      <c r="HC19" s="20"/>
      <c r="HD19" s="20"/>
      <c r="HE19" s="20"/>
      <c r="HF19" s="20"/>
      <c r="HG19" s="20"/>
      <c r="HH19" s="20"/>
      <c r="HI19" s="21">
        <f t="shared" si="11"/>
        <v>410960</v>
      </c>
      <c r="HJ19" s="48">
        <v>19</v>
      </c>
      <c r="HK19" s="21">
        <f t="shared" si="33"/>
        <v>7808240</v>
      </c>
      <c r="HL19" s="109">
        <f>+SUM(HK19:HK22)</f>
        <v>12328800</v>
      </c>
      <c r="HN19" s="106">
        <v>49035</v>
      </c>
      <c r="HO19" s="19" t="s">
        <v>43</v>
      </c>
      <c r="HP19" s="20"/>
      <c r="HQ19" s="20"/>
      <c r="HR19" s="20"/>
      <c r="HS19" s="20"/>
      <c r="HT19" s="20"/>
      <c r="HU19" s="20"/>
      <c r="HV19" s="20"/>
      <c r="HW19" s="20">
        <v>41096</v>
      </c>
      <c r="HX19" s="20">
        <v>41096</v>
      </c>
      <c r="HY19" s="20">
        <v>41096</v>
      </c>
      <c r="HZ19" s="20">
        <v>41096</v>
      </c>
      <c r="IA19" s="20">
        <v>41096</v>
      </c>
      <c r="IB19" s="20">
        <v>41096</v>
      </c>
      <c r="IC19" s="20">
        <v>41096</v>
      </c>
      <c r="ID19" s="20">
        <v>41096</v>
      </c>
      <c r="IE19" s="20">
        <v>41096</v>
      </c>
      <c r="IF19" s="20">
        <v>41096</v>
      </c>
      <c r="IG19" s="20"/>
      <c r="IH19" s="20"/>
      <c r="II19" s="20"/>
      <c r="IJ19" s="20"/>
      <c r="IK19" s="20"/>
      <c r="IL19" s="20"/>
      <c r="IM19" s="20"/>
      <c r="IN19" s="21">
        <f t="shared" si="13"/>
        <v>410960</v>
      </c>
      <c r="IO19" s="48">
        <v>18</v>
      </c>
      <c r="IP19" s="21">
        <f t="shared" si="34"/>
        <v>7397280</v>
      </c>
      <c r="IQ19" s="109">
        <f>+SUM(IP19:IP22)</f>
        <v>12328800</v>
      </c>
      <c r="IS19" s="106">
        <v>49400</v>
      </c>
      <c r="IT19" s="19" t="s">
        <v>43</v>
      </c>
      <c r="IU19" s="20"/>
      <c r="IV19" s="20"/>
      <c r="IW19" s="20"/>
      <c r="IX19" s="20"/>
      <c r="IY19" s="20"/>
      <c r="IZ19" s="20"/>
      <c r="JA19" s="20"/>
      <c r="JB19" s="20">
        <v>41096</v>
      </c>
      <c r="JC19" s="20">
        <v>41096</v>
      </c>
      <c r="JD19" s="20">
        <v>41096</v>
      </c>
      <c r="JE19" s="20">
        <v>41096</v>
      </c>
      <c r="JF19" s="20">
        <v>41096</v>
      </c>
      <c r="JG19" s="20">
        <v>41096</v>
      </c>
      <c r="JH19" s="20">
        <v>41096</v>
      </c>
      <c r="JI19" s="20">
        <v>41096</v>
      </c>
      <c r="JJ19" s="20">
        <v>41096</v>
      </c>
      <c r="JK19" s="20">
        <v>41096</v>
      </c>
      <c r="JL19" s="20"/>
      <c r="JM19" s="20"/>
      <c r="JN19" s="20"/>
      <c r="JO19" s="20"/>
      <c r="JP19" s="20"/>
      <c r="JQ19" s="20"/>
      <c r="JR19" s="20"/>
      <c r="JS19" s="21">
        <f t="shared" si="15"/>
        <v>410960</v>
      </c>
      <c r="JT19" s="48">
        <v>21</v>
      </c>
      <c r="JU19" s="21">
        <f t="shared" si="35"/>
        <v>8630160</v>
      </c>
      <c r="JV19" s="109">
        <f>+SUM(JU19:JU22)</f>
        <v>12328800</v>
      </c>
      <c r="JX19" s="106">
        <v>49766</v>
      </c>
      <c r="JY19" s="19" t="s">
        <v>43</v>
      </c>
      <c r="JZ19" s="20"/>
      <c r="KA19" s="20"/>
      <c r="KB19" s="20"/>
      <c r="KC19" s="20"/>
      <c r="KD19" s="20"/>
      <c r="KE19" s="20"/>
      <c r="KF19" s="20"/>
      <c r="KG19" s="20">
        <v>41096</v>
      </c>
      <c r="KH19" s="20">
        <v>41096</v>
      </c>
      <c r="KI19" s="20">
        <v>41096</v>
      </c>
      <c r="KJ19" s="20">
        <v>41096</v>
      </c>
      <c r="KK19" s="20">
        <v>41096</v>
      </c>
      <c r="KL19" s="20">
        <v>41096</v>
      </c>
      <c r="KM19" s="20">
        <v>41096</v>
      </c>
      <c r="KN19" s="20">
        <v>41096</v>
      </c>
      <c r="KO19" s="20">
        <v>41096</v>
      </c>
      <c r="KP19" s="20">
        <v>41096</v>
      </c>
      <c r="KQ19" s="20"/>
      <c r="KR19" s="20"/>
      <c r="KS19" s="20"/>
      <c r="KT19" s="20"/>
      <c r="KU19" s="20"/>
      <c r="KV19" s="20"/>
      <c r="KW19" s="20"/>
      <c r="KX19" s="21">
        <f t="shared" si="17"/>
        <v>410960</v>
      </c>
      <c r="KY19" s="48">
        <v>20</v>
      </c>
      <c r="KZ19" s="21">
        <f t="shared" si="36"/>
        <v>8219200</v>
      </c>
      <c r="LA19" s="109">
        <f>+SUM(KZ19:KZ22)</f>
        <v>12328800</v>
      </c>
      <c r="LC19" s="106">
        <v>50131</v>
      </c>
      <c r="LD19" s="19" t="s">
        <v>43</v>
      </c>
      <c r="LE19" s="20"/>
      <c r="LF19" s="20"/>
      <c r="LG19" s="20"/>
      <c r="LH19" s="20"/>
      <c r="LI19" s="20"/>
      <c r="LJ19" s="20"/>
      <c r="LK19" s="20"/>
      <c r="LL19" s="20">
        <v>41096</v>
      </c>
      <c r="LM19" s="20">
        <v>41096</v>
      </c>
      <c r="LN19" s="20">
        <v>41096</v>
      </c>
      <c r="LO19" s="20">
        <v>41096</v>
      </c>
      <c r="LP19" s="20">
        <v>41096</v>
      </c>
      <c r="LQ19" s="20">
        <v>41096</v>
      </c>
      <c r="LR19" s="20">
        <v>41096</v>
      </c>
      <c r="LS19" s="20">
        <v>41096</v>
      </c>
      <c r="LT19" s="20">
        <v>41096</v>
      </c>
      <c r="LU19" s="20">
        <v>41096</v>
      </c>
      <c r="LV19" s="20"/>
      <c r="LW19" s="20"/>
      <c r="LX19" s="20"/>
      <c r="LY19" s="20"/>
      <c r="LZ19" s="20"/>
      <c r="MA19" s="20"/>
      <c r="MB19" s="20"/>
      <c r="MC19" s="21">
        <f t="shared" si="19"/>
        <v>410960</v>
      </c>
      <c r="MD19" s="48">
        <v>20</v>
      </c>
      <c r="ME19" s="21">
        <f t="shared" si="37"/>
        <v>8219200</v>
      </c>
      <c r="MF19" s="109">
        <f>+SUM(ME19:ME22)</f>
        <v>12328800</v>
      </c>
      <c r="MH19" s="106">
        <v>50496</v>
      </c>
      <c r="MI19" s="19" t="s">
        <v>43</v>
      </c>
      <c r="MJ19" s="20"/>
      <c r="MK19" s="20"/>
      <c r="ML19" s="20"/>
      <c r="MM19" s="20"/>
      <c r="MN19" s="20"/>
      <c r="MO19" s="20"/>
      <c r="MP19" s="20"/>
      <c r="MQ19" s="20">
        <v>41096</v>
      </c>
      <c r="MR19" s="20">
        <v>41096</v>
      </c>
      <c r="MS19" s="20">
        <v>41096</v>
      </c>
      <c r="MT19" s="20">
        <v>41096</v>
      </c>
      <c r="MU19" s="20">
        <v>41096</v>
      </c>
      <c r="MV19" s="20">
        <v>41096</v>
      </c>
      <c r="MW19" s="20">
        <v>41096</v>
      </c>
      <c r="MX19" s="20">
        <v>41096</v>
      </c>
      <c r="MY19" s="20">
        <v>41096</v>
      </c>
      <c r="MZ19" s="20">
        <v>41096</v>
      </c>
      <c r="NA19" s="20"/>
      <c r="NB19" s="20"/>
      <c r="NC19" s="20"/>
      <c r="ND19" s="20"/>
      <c r="NE19" s="20"/>
      <c r="NF19" s="20"/>
      <c r="NG19" s="20"/>
      <c r="NH19" s="21">
        <f t="shared" si="21"/>
        <v>410960</v>
      </c>
      <c r="NI19" s="48">
        <v>20</v>
      </c>
      <c r="NJ19" s="21">
        <f t="shared" si="38"/>
        <v>8219200</v>
      </c>
      <c r="NK19" s="109">
        <f>+SUM(NJ19:NJ22)</f>
        <v>12328800</v>
      </c>
      <c r="NM19" s="106">
        <v>50861</v>
      </c>
      <c r="NN19" s="19" t="s">
        <v>43</v>
      </c>
      <c r="NO19" s="20"/>
      <c r="NP19" s="20"/>
      <c r="NQ19" s="20"/>
      <c r="NR19" s="20"/>
      <c r="NS19" s="20"/>
      <c r="NT19" s="20"/>
      <c r="NU19" s="20"/>
      <c r="NV19" s="20">
        <v>41096</v>
      </c>
      <c r="NW19" s="20">
        <v>41096</v>
      </c>
      <c r="NX19" s="20">
        <v>41096</v>
      </c>
      <c r="NY19" s="20">
        <v>41096</v>
      </c>
      <c r="NZ19" s="20">
        <v>41096</v>
      </c>
      <c r="OA19" s="20">
        <v>41096</v>
      </c>
      <c r="OB19" s="20">
        <v>41096</v>
      </c>
      <c r="OC19" s="20">
        <v>41096</v>
      </c>
      <c r="OD19" s="20">
        <v>41096</v>
      </c>
      <c r="OE19" s="20">
        <v>41096</v>
      </c>
      <c r="OF19" s="20"/>
      <c r="OG19" s="20"/>
      <c r="OH19" s="20"/>
      <c r="OI19" s="20"/>
      <c r="OJ19" s="20"/>
      <c r="OK19" s="20"/>
      <c r="OL19" s="20"/>
      <c r="OM19" s="21">
        <f t="shared" si="23"/>
        <v>410960</v>
      </c>
      <c r="ON19" s="48">
        <v>19</v>
      </c>
      <c r="OO19" s="21">
        <f t="shared" si="39"/>
        <v>7808240</v>
      </c>
      <c r="OP19" s="109">
        <f>+SUM(OO19:OO22)</f>
        <v>12328800</v>
      </c>
      <c r="OR19" s="106">
        <v>51227</v>
      </c>
      <c r="OS19" s="19" t="s">
        <v>43</v>
      </c>
      <c r="OT19" s="20"/>
      <c r="OU19" s="20"/>
      <c r="OV19" s="20"/>
      <c r="OW19" s="20"/>
      <c r="OX19" s="20"/>
      <c r="OY19" s="20"/>
      <c r="OZ19" s="20"/>
      <c r="PA19" s="20">
        <v>41096</v>
      </c>
      <c r="PB19" s="20">
        <v>41096</v>
      </c>
      <c r="PC19" s="20">
        <v>41096</v>
      </c>
      <c r="PD19" s="20">
        <v>41096</v>
      </c>
      <c r="PE19" s="20">
        <v>41096</v>
      </c>
      <c r="PF19" s="20">
        <v>41096</v>
      </c>
      <c r="PG19" s="20">
        <v>41096</v>
      </c>
      <c r="PH19" s="20">
        <v>41096</v>
      </c>
      <c r="PI19" s="20">
        <v>41096</v>
      </c>
      <c r="PJ19" s="20">
        <v>41096</v>
      </c>
      <c r="PK19" s="20"/>
      <c r="PL19" s="20"/>
      <c r="PM19" s="20"/>
      <c r="PN19" s="20"/>
      <c r="PO19" s="20"/>
      <c r="PP19" s="20"/>
      <c r="PQ19" s="20"/>
      <c r="PR19" s="21">
        <f t="shared" si="25"/>
        <v>410960</v>
      </c>
      <c r="PS19" s="63">
        <v>21</v>
      </c>
      <c r="PT19" s="21">
        <f t="shared" si="40"/>
        <v>8630160</v>
      </c>
      <c r="PU19" s="109">
        <f>+SUM(PT19:PT22)</f>
        <v>12328800</v>
      </c>
    </row>
    <row r="20" spans="3:437" x14ac:dyDescent="0.35">
      <c r="C20" s="107"/>
      <c r="D20" s="23" t="s">
        <v>44</v>
      </c>
      <c r="E20" s="20"/>
      <c r="F20" s="92"/>
      <c r="G20" s="20"/>
      <c r="H20" s="20"/>
      <c r="I20" s="20"/>
      <c r="J20" s="20"/>
      <c r="K20" s="20"/>
      <c r="L20" s="20">
        <v>41096</v>
      </c>
      <c r="M20" s="20">
        <v>41096</v>
      </c>
      <c r="N20" s="20">
        <v>41096</v>
      </c>
      <c r="O20" s="20">
        <v>41096</v>
      </c>
      <c r="P20" s="20">
        <v>41096</v>
      </c>
      <c r="Q20" s="20">
        <v>41096</v>
      </c>
      <c r="R20" s="20">
        <v>41096</v>
      </c>
      <c r="S20" s="20">
        <v>41096</v>
      </c>
      <c r="T20" s="20">
        <v>41096</v>
      </c>
      <c r="U20" s="20">
        <v>41096</v>
      </c>
      <c r="V20" s="20"/>
      <c r="W20" s="20"/>
      <c r="X20" s="20"/>
      <c r="Y20" s="20"/>
      <c r="Z20" s="20"/>
      <c r="AA20" s="20"/>
      <c r="AB20" s="20"/>
      <c r="AC20" s="21">
        <f t="shared" si="0"/>
        <v>410960</v>
      </c>
      <c r="AD20" s="22">
        <v>4</v>
      </c>
      <c r="AE20" s="21">
        <f t="shared" si="27"/>
        <v>1643840</v>
      </c>
      <c r="AF20" s="110"/>
      <c r="AH20" s="107"/>
      <c r="AI20" s="23" t="s">
        <v>44</v>
      </c>
      <c r="AJ20" s="20"/>
      <c r="AK20" s="20"/>
      <c r="AL20" s="20"/>
      <c r="AM20" s="20"/>
      <c r="AN20" s="20"/>
      <c r="AO20" s="20"/>
      <c r="AP20" s="20"/>
      <c r="AQ20" s="20">
        <v>41096</v>
      </c>
      <c r="AR20" s="20">
        <v>41096</v>
      </c>
      <c r="AS20" s="20">
        <v>41096</v>
      </c>
      <c r="AT20" s="20">
        <v>41096</v>
      </c>
      <c r="AU20" s="20">
        <v>41096</v>
      </c>
      <c r="AV20" s="20">
        <v>41096</v>
      </c>
      <c r="AW20" s="20">
        <v>41096</v>
      </c>
      <c r="AX20" s="20">
        <v>41096</v>
      </c>
      <c r="AY20" s="20">
        <v>41096</v>
      </c>
      <c r="AZ20" s="20">
        <v>41096</v>
      </c>
      <c r="BA20" s="20"/>
      <c r="BB20" s="20"/>
      <c r="BC20" s="20"/>
      <c r="BD20" s="20"/>
      <c r="BE20" s="20"/>
      <c r="BF20" s="20"/>
      <c r="BG20" s="20"/>
      <c r="BH20" s="21">
        <f t="shared" si="2"/>
        <v>410960</v>
      </c>
      <c r="BI20" s="49">
        <v>5</v>
      </c>
      <c r="BJ20" s="21">
        <f t="shared" si="28"/>
        <v>2054800</v>
      </c>
      <c r="BK20" s="110"/>
      <c r="BM20" s="107"/>
      <c r="BN20" s="23" t="s">
        <v>44</v>
      </c>
      <c r="BO20" s="20"/>
      <c r="BP20" s="20"/>
      <c r="BQ20" s="20"/>
      <c r="BR20" s="20"/>
      <c r="BS20" s="20"/>
      <c r="BT20" s="20"/>
      <c r="BU20" s="20"/>
      <c r="BV20" s="20">
        <v>41096</v>
      </c>
      <c r="BW20" s="20">
        <v>41096</v>
      </c>
      <c r="BX20" s="20">
        <v>41096</v>
      </c>
      <c r="BY20" s="20">
        <v>41096</v>
      </c>
      <c r="BZ20" s="20">
        <v>41096</v>
      </c>
      <c r="CA20" s="20">
        <v>41096</v>
      </c>
      <c r="CB20" s="20">
        <v>41096</v>
      </c>
      <c r="CC20" s="20">
        <v>41096</v>
      </c>
      <c r="CD20" s="20">
        <v>41096</v>
      </c>
      <c r="CE20" s="20">
        <v>41096</v>
      </c>
      <c r="CF20" s="20"/>
      <c r="CG20" s="20"/>
      <c r="CH20" s="20"/>
      <c r="CI20" s="20"/>
      <c r="CJ20" s="20"/>
      <c r="CK20" s="20"/>
      <c r="CL20" s="20"/>
      <c r="CM20" s="21">
        <f t="shared" si="4"/>
        <v>410960</v>
      </c>
      <c r="CN20" s="49">
        <v>4</v>
      </c>
      <c r="CO20" s="21">
        <f t="shared" si="29"/>
        <v>1643840</v>
      </c>
      <c r="CP20" s="110"/>
      <c r="CS20" s="107"/>
      <c r="CT20" s="23" t="s">
        <v>44</v>
      </c>
      <c r="CU20" s="20"/>
      <c r="CV20" s="20"/>
      <c r="CW20" s="20"/>
      <c r="CX20" s="20"/>
      <c r="CY20" s="20"/>
      <c r="CZ20" s="20"/>
      <c r="DA20" s="20"/>
      <c r="DB20" s="20">
        <v>41096</v>
      </c>
      <c r="DC20" s="20">
        <v>41096</v>
      </c>
      <c r="DD20" s="20">
        <v>41096</v>
      </c>
      <c r="DE20" s="20">
        <v>41096</v>
      </c>
      <c r="DF20" s="20">
        <v>41096</v>
      </c>
      <c r="DG20" s="20">
        <v>41096</v>
      </c>
      <c r="DH20" s="20">
        <v>41096</v>
      </c>
      <c r="DI20" s="20">
        <v>41096</v>
      </c>
      <c r="DJ20" s="20">
        <v>41096</v>
      </c>
      <c r="DK20" s="20">
        <v>41096</v>
      </c>
      <c r="DL20" s="20"/>
      <c r="DM20" s="20"/>
      <c r="DN20" s="20"/>
      <c r="DO20" s="20"/>
      <c r="DP20" s="20"/>
      <c r="DQ20" s="20"/>
      <c r="DR20" s="20"/>
      <c r="DS20" s="21">
        <f t="shared" si="6"/>
        <v>410960</v>
      </c>
      <c r="DT20" s="49">
        <v>4</v>
      </c>
      <c r="DU20" s="21">
        <f t="shared" si="30"/>
        <v>1643840</v>
      </c>
      <c r="DV20" s="110"/>
      <c r="DY20" s="107"/>
      <c r="DZ20" s="23" t="s">
        <v>44</v>
      </c>
      <c r="EA20" s="20"/>
      <c r="EB20" s="20"/>
      <c r="EC20" s="20"/>
      <c r="ED20" s="20"/>
      <c r="EE20" s="20"/>
      <c r="EF20" s="20"/>
      <c r="EG20" s="20"/>
      <c r="EH20" s="20">
        <v>41096</v>
      </c>
      <c r="EI20" s="20">
        <v>41096</v>
      </c>
      <c r="EJ20" s="20">
        <v>41096</v>
      </c>
      <c r="EK20" s="20">
        <v>41096</v>
      </c>
      <c r="EL20" s="20">
        <v>41096</v>
      </c>
      <c r="EM20" s="20">
        <v>41096</v>
      </c>
      <c r="EN20" s="20">
        <v>41096</v>
      </c>
      <c r="EO20" s="20">
        <v>41096</v>
      </c>
      <c r="EP20" s="20">
        <v>41096</v>
      </c>
      <c r="EQ20" s="20">
        <v>41096</v>
      </c>
      <c r="ER20" s="20"/>
      <c r="ES20" s="20"/>
      <c r="ET20" s="20"/>
      <c r="EU20" s="20"/>
      <c r="EV20" s="20"/>
      <c r="EW20" s="20"/>
      <c r="EX20" s="20"/>
      <c r="EY20" s="21">
        <f t="shared" si="7"/>
        <v>410960</v>
      </c>
      <c r="EZ20" s="49">
        <v>4</v>
      </c>
      <c r="FA20" s="21">
        <f t="shared" si="31"/>
        <v>1643840</v>
      </c>
      <c r="FB20" s="110"/>
      <c r="FD20" s="107"/>
      <c r="FE20" s="23" t="s">
        <v>44</v>
      </c>
      <c r="FF20" s="20"/>
      <c r="FG20" s="20"/>
      <c r="FH20" s="20"/>
      <c r="FI20" s="20"/>
      <c r="FJ20" s="20"/>
      <c r="FK20" s="20"/>
      <c r="FL20" s="20"/>
      <c r="FM20" s="20">
        <v>41096</v>
      </c>
      <c r="FN20" s="20">
        <v>41096</v>
      </c>
      <c r="FO20" s="20">
        <v>41096</v>
      </c>
      <c r="FP20" s="20">
        <v>41096</v>
      </c>
      <c r="FQ20" s="20">
        <v>41096</v>
      </c>
      <c r="FR20" s="20">
        <v>41096</v>
      </c>
      <c r="FS20" s="20">
        <v>41096</v>
      </c>
      <c r="FT20" s="20">
        <v>41096</v>
      </c>
      <c r="FU20" s="20">
        <v>41096</v>
      </c>
      <c r="FV20" s="20">
        <v>41096</v>
      </c>
      <c r="FW20" s="20"/>
      <c r="FX20" s="20"/>
      <c r="FY20" s="20"/>
      <c r="FZ20" s="20"/>
      <c r="GA20" s="20"/>
      <c r="GB20" s="20"/>
      <c r="GC20" s="20"/>
      <c r="GD20" s="21">
        <f t="shared" si="9"/>
        <v>410960</v>
      </c>
      <c r="GE20" s="49">
        <v>4</v>
      </c>
      <c r="GF20" s="21">
        <f t="shared" si="32"/>
        <v>1643840</v>
      </c>
      <c r="GG20" s="110"/>
      <c r="GI20" s="107"/>
      <c r="GJ20" s="23" t="s">
        <v>44</v>
      </c>
      <c r="GK20" s="20"/>
      <c r="GL20" s="20"/>
      <c r="GM20" s="20"/>
      <c r="GN20" s="20"/>
      <c r="GO20" s="20"/>
      <c r="GP20" s="20"/>
      <c r="GQ20" s="20"/>
      <c r="GR20" s="20">
        <v>41096</v>
      </c>
      <c r="GS20" s="20">
        <v>41096</v>
      </c>
      <c r="GT20" s="20">
        <v>41096</v>
      </c>
      <c r="GU20" s="20">
        <v>41096</v>
      </c>
      <c r="GV20" s="20">
        <v>41096</v>
      </c>
      <c r="GW20" s="20">
        <v>41096</v>
      </c>
      <c r="GX20" s="20">
        <v>41096</v>
      </c>
      <c r="GY20" s="20">
        <v>41096</v>
      </c>
      <c r="GZ20" s="20">
        <v>41096</v>
      </c>
      <c r="HA20" s="20">
        <v>41096</v>
      </c>
      <c r="HB20" s="20"/>
      <c r="HC20" s="20"/>
      <c r="HD20" s="20"/>
      <c r="HE20" s="20"/>
      <c r="HF20" s="20"/>
      <c r="HG20" s="20"/>
      <c r="HH20" s="20"/>
      <c r="HI20" s="21">
        <f t="shared" si="11"/>
        <v>410960</v>
      </c>
      <c r="HJ20" s="49">
        <v>5</v>
      </c>
      <c r="HK20" s="21">
        <f t="shared" si="33"/>
        <v>2054800</v>
      </c>
      <c r="HL20" s="110"/>
      <c r="HN20" s="107"/>
      <c r="HO20" s="23" t="s">
        <v>44</v>
      </c>
      <c r="HP20" s="20"/>
      <c r="HQ20" s="20"/>
      <c r="HR20" s="20"/>
      <c r="HS20" s="20"/>
      <c r="HT20" s="20"/>
      <c r="HU20" s="20"/>
      <c r="HV20" s="20"/>
      <c r="HW20" s="20">
        <v>41096</v>
      </c>
      <c r="HX20" s="20">
        <v>41096</v>
      </c>
      <c r="HY20" s="20">
        <v>41096</v>
      </c>
      <c r="HZ20" s="20">
        <v>41096</v>
      </c>
      <c r="IA20" s="20">
        <v>41096</v>
      </c>
      <c r="IB20" s="20">
        <v>41096</v>
      </c>
      <c r="IC20" s="20">
        <v>41096</v>
      </c>
      <c r="ID20" s="20">
        <v>41096</v>
      </c>
      <c r="IE20" s="20">
        <v>41096</v>
      </c>
      <c r="IF20" s="20">
        <v>41096</v>
      </c>
      <c r="IG20" s="20"/>
      <c r="IH20" s="20"/>
      <c r="II20" s="20"/>
      <c r="IJ20" s="20"/>
      <c r="IK20" s="20"/>
      <c r="IL20" s="20"/>
      <c r="IM20" s="20"/>
      <c r="IN20" s="21">
        <f t="shared" si="13"/>
        <v>410960</v>
      </c>
      <c r="IO20" s="49">
        <v>5</v>
      </c>
      <c r="IP20" s="21">
        <f t="shared" si="34"/>
        <v>2054800</v>
      </c>
      <c r="IQ20" s="110"/>
      <c r="IS20" s="107"/>
      <c r="IT20" s="23" t="s">
        <v>44</v>
      </c>
      <c r="IU20" s="20"/>
      <c r="IV20" s="20"/>
      <c r="IW20" s="20"/>
      <c r="IX20" s="20"/>
      <c r="IY20" s="20"/>
      <c r="IZ20" s="20"/>
      <c r="JA20" s="20"/>
      <c r="JB20" s="20">
        <v>41096</v>
      </c>
      <c r="JC20" s="20">
        <v>41096</v>
      </c>
      <c r="JD20" s="20">
        <v>41096</v>
      </c>
      <c r="JE20" s="20">
        <v>41096</v>
      </c>
      <c r="JF20" s="20">
        <v>41096</v>
      </c>
      <c r="JG20" s="20">
        <v>41096</v>
      </c>
      <c r="JH20" s="20">
        <v>41096</v>
      </c>
      <c r="JI20" s="20">
        <v>41096</v>
      </c>
      <c r="JJ20" s="20">
        <v>41096</v>
      </c>
      <c r="JK20" s="20">
        <v>41096</v>
      </c>
      <c r="JL20" s="20"/>
      <c r="JM20" s="20"/>
      <c r="JN20" s="20"/>
      <c r="JO20" s="20"/>
      <c r="JP20" s="20"/>
      <c r="JQ20" s="20"/>
      <c r="JR20" s="20"/>
      <c r="JS20" s="21">
        <f t="shared" si="15"/>
        <v>410960</v>
      </c>
      <c r="JT20" s="49">
        <v>4</v>
      </c>
      <c r="JU20" s="21">
        <f t="shared" si="35"/>
        <v>1643840</v>
      </c>
      <c r="JV20" s="110"/>
      <c r="JX20" s="107"/>
      <c r="JY20" s="23" t="s">
        <v>44</v>
      </c>
      <c r="JZ20" s="20"/>
      <c r="KA20" s="20"/>
      <c r="KB20" s="20"/>
      <c r="KC20" s="20"/>
      <c r="KD20" s="20"/>
      <c r="KE20" s="20"/>
      <c r="KF20" s="20"/>
      <c r="KG20" s="20">
        <v>41096</v>
      </c>
      <c r="KH20" s="20">
        <v>41096</v>
      </c>
      <c r="KI20" s="20">
        <v>41096</v>
      </c>
      <c r="KJ20" s="20">
        <v>41096</v>
      </c>
      <c r="KK20" s="20">
        <v>41096</v>
      </c>
      <c r="KL20" s="20">
        <v>41096</v>
      </c>
      <c r="KM20" s="20">
        <v>41096</v>
      </c>
      <c r="KN20" s="20">
        <v>41096</v>
      </c>
      <c r="KO20" s="20">
        <v>41096</v>
      </c>
      <c r="KP20" s="20">
        <v>41096</v>
      </c>
      <c r="KQ20" s="20"/>
      <c r="KR20" s="20"/>
      <c r="KS20" s="20"/>
      <c r="KT20" s="20"/>
      <c r="KU20" s="20"/>
      <c r="KV20" s="20"/>
      <c r="KW20" s="20"/>
      <c r="KX20" s="21">
        <f t="shared" si="17"/>
        <v>410960</v>
      </c>
      <c r="KY20" s="49">
        <v>4</v>
      </c>
      <c r="KZ20" s="21">
        <f t="shared" si="36"/>
        <v>1643840</v>
      </c>
      <c r="LA20" s="110"/>
      <c r="LC20" s="107"/>
      <c r="LD20" s="23" t="s">
        <v>44</v>
      </c>
      <c r="LE20" s="20"/>
      <c r="LF20" s="20"/>
      <c r="LG20" s="20"/>
      <c r="LH20" s="20"/>
      <c r="LI20" s="20"/>
      <c r="LJ20" s="20"/>
      <c r="LK20" s="20"/>
      <c r="LL20" s="20">
        <v>41096</v>
      </c>
      <c r="LM20" s="20">
        <v>41096</v>
      </c>
      <c r="LN20" s="20">
        <v>41096</v>
      </c>
      <c r="LO20" s="20">
        <v>41096</v>
      </c>
      <c r="LP20" s="20">
        <v>41096</v>
      </c>
      <c r="LQ20" s="20">
        <v>41096</v>
      </c>
      <c r="LR20" s="20">
        <v>41096</v>
      </c>
      <c r="LS20" s="20">
        <v>41096</v>
      </c>
      <c r="LT20" s="20">
        <v>41096</v>
      </c>
      <c r="LU20" s="20">
        <v>41096</v>
      </c>
      <c r="LV20" s="20"/>
      <c r="LW20" s="20"/>
      <c r="LX20" s="20"/>
      <c r="LY20" s="20"/>
      <c r="LZ20" s="20"/>
      <c r="MA20" s="20"/>
      <c r="MB20" s="20"/>
      <c r="MC20" s="21">
        <f t="shared" si="19"/>
        <v>410960</v>
      </c>
      <c r="MD20" s="49">
        <v>4</v>
      </c>
      <c r="ME20" s="21">
        <f t="shared" si="37"/>
        <v>1643840</v>
      </c>
      <c r="MF20" s="110"/>
      <c r="MH20" s="107"/>
      <c r="MI20" s="23" t="s">
        <v>44</v>
      </c>
      <c r="MJ20" s="20"/>
      <c r="MK20" s="20"/>
      <c r="ML20" s="20"/>
      <c r="MM20" s="20"/>
      <c r="MN20" s="20"/>
      <c r="MO20" s="20"/>
      <c r="MP20" s="20"/>
      <c r="MQ20" s="20">
        <v>41096</v>
      </c>
      <c r="MR20" s="20">
        <v>41096</v>
      </c>
      <c r="MS20" s="20">
        <v>41096</v>
      </c>
      <c r="MT20" s="20">
        <v>41096</v>
      </c>
      <c r="MU20" s="20">
        <v>41096</v>
      </c>
      <c r="MV20" s="20">
        <v>41096</v>
      </c>
      <c r="MW20" s="20">
        <v>41096</v>
      </c>
      <c r="MX20" s="20">
        <v>41096</v>
      </c>
      <c r="MY20" s="20">
        <v>41096</v>
      </c>
      <c r="MZ20" s="20">
        <v>41096</v>
      </c>
      <c r="NA20" s="20"/>
      <c r="NB20" s="20"/>
      <c r="NC20" s="20"/>
      <c r="ND20" s="20"/>
      <c r="NE20" s="20"/>
      <c r="NF20" s="20"/>
      <c r="NG20" s="20"/>
      <c r="NH20" s="21">
        <f t="shared" si="21"/>
        <v>410960</v>
      </c>
      <c r="NI20" s="49">
        <v>4</v>
      </c>
      <c r="NJ20" s="21">
        <f t="shared" si="38"/>
        <v>1643840</v>
      </c>
      <c r="NK20" s="110"/>
      <c r="NM20" s="107"/>
      <c r="NN20" s="23" t="s">
        <v>44</v>
      </c>
      <c r="NO20" s="20"/>
      <c r="NP20" s="20"/>
      <c r="NQ20" s="20"/>
      <c r="NR20" s="20"/>
      <c r="NS20" s="20"/>
      <c r="NT20" s="20"/>
      <c r="NU20" s="20"/>
      <c r="NV20" s="20">
        <v>41096</v>
      </c>
      <c r="NW20" s="20">
        <v>41096</v>
      </c>
      <c r="NX20" s="20">
        <v>41096</v>
      </c>
      <c r="NY20" s="20">
        <v>41096</v>
      </c>
      <c r="NZ20" s="20">
        <v>41096</v>
      </c>
      <c r="OA20" s="20">
        <v>41096</v>
      </c>
      <c r="OB20" s="20">
        <v>41096</v>
      </c>
      <c r="OC20" s="20">
        <v>41096</v>
      </c>
      <c r="OD20" s="20">
        <v>41096</v>
      </c>
      <c r="OE20" s="20">
        <v>41096</v>
      </c>
      <c r="OF20" s="20"/>
      <c r="OG20" s="20"/>
      <c r="OH20" s="20"/>
      <c r="OI20" s="20"/>
      <c r="OJ20" s="20"/>
      <c r="OK20" s="20"/>
      <c r="OL20" s="20"/>
      <c r="OM20" s="21">
        <f t="shared" si="23"/>
        <v>410960</v>
      </c>
      <c r="ON20" s="49">
        <v>5</v>
      </c>
      <c r="OO20" s="21">
        <f t="shared" si="39"/>
        <v>2054800</v>
      </c>
      <c r="OP20" s="110"/>
      <c r="OR20" s="107"/>
      <c r="OS20" s="23" t="s">
        <v>44</v>
      </c>
      <c r="OT20" s="20"/>
      <c r="OU20" s="20"/>
      <c r="OV20" s="20"/>
      <c r="OW20" s="20"/>
      <c r="OX20" s="20"/>
      <c r="OY20" s="20"/>
      <c r="OZ20" s="20"/>
      <c r="PA20" s="20">
        <v>41096</v>
      </c>
      <c r="PB20" s="20">
        <v>41096</v>
      </c>
      <c r="PC20" s="20">
        <v>41096</v>
      </c>
      <c r="PD20" s="20">
        <v>41096</v>
      </c>
      <c r="PE20" s="20">
        <v>41096</v>
      </c>
      <c r="PF20" s="20">
        <v>41096</v>
      </c>
      <c r="PG20" s="20">
        <v>41096</v>
      </c>
      <c r="PH20" s="20">
        <v>41096</v>
      </c>
      <c r="PI20" s="20">
        <v>41096</v>
      </c>
      <c r="PJ20" s="20">
        <v>41096</v>
      </c>
      <c r="PK20" s="20"/>
      <c r="PL20" s="20"/>
      <c r="PM20" s="20"/>
      <c r="PN20" s="20"/>
      <c r="PO20" s="20"/>
      <c r="PP20" s="20"/>
      <c r="PQ20" s="20"/>
      <c r="PR20" s="21">
        <f t="shared" si="25"/>
        <v>410960</v>
      </c>
      <c r="PS20" s="62">
        <v>4</v>
      </c>
      <c r="PT20" s="21">
        <f t="shared" si="40"/>
        <v>1643840</v>
      </c>
      <c r="PU20" s="110"/>
    </row>
    <row r="21" spans="3:437" x14ac:dyDescent="0.35">
      <c r="C21" s="107"/>
      <c r="D21" s="23" t="s">
        <v>45</v>
      </c>
      <c r="E21" s="20"/>
      <c r="F21" s="92"/>
      <c r="G21" s="20"/>
      <c r="H21" s="20"/>
      <c r="I21" s="20"/>
      <c r="J21" s="20"/>
      <c r="K21" s="20"/>
      <c r="L21" s="20">
        <v>41096</v>
      </c>
      <c r="M21" s="20">
        <v>41096</v>
      </c>
      <c r="N21" s="20">
        <v>41096</v>
      </c>
      <c r="O21" s="20">
        <v>41096</v>
      </c>
      <c r="P21" s="20">
        <v>41096</v>
      </c>
      <c r="Q21" s="20">
        <v>41096</v>
      </c>
      <c r="R21" s="20">
        <v>41096</v>
      </c>
      <c r="S21" s="20">
        <v>41096</v>
      </c>
      <c r="T21" s="20">
        <v>41096</v>
      </c>
      <c r="U21" s="20">
        <v>41096</v>
      </c>
      <c r="V21" s="20"/>
      <c r="W21" s="20"/>
      <c r="X21" s="20"/>
      <c r="Y21" s="20"/>
      <c r="Z21" s="20"/>
      <c r="AA21" s="20"/>
      <c r="AB21" s="20"/>
      <c r="AC21" s="21">
        <f t="shared" si="0"/>
        <v>410960</v>
      </c>
      <c r="AD21" s="22">
        <v>4</v>
      </c>
      <c r="AE21" s="21">
        <f t="shared" si="27"/>
        <v>1643840</v>
      </c>
      <c r="AF21" s="110"/>
      <c r="AH21" s="107"/>
      <c r="AI21" s="23" t="s">
        <v>45</v>
      </c>
      <c r="AJ21" s="20"/>
      <c r="AK21" s="20"/>
      <c r="AL21" s="20"/>
      <c r="AM21" s="20"/>
      <c r="AN21" s="20"/>
      <c r="AO21" s="20"/>
      <c r="AP21" s="20"/>
      <c r="AQ21" s="20">
        <v>41096</v>
      </c>
      <c r="AR21" s="20">
        <v>41096</v>
      </c>
      <c r="AS21" s="20">
        <v>41096</v>
      </c>
      <c r="AT21" s="20">
        <v>41096</v>
      </c>
      <c r="AU21" s="20">
        <v>41096</v>
      </c>
      <c r="AV21" s="20">
        <v>41096</v>
      </c>
      <c r="AW21" s="20">
        <v>41096</v>
      </c>
      <c r="AX21" s="20">
        <v>41096</v>
      </c>
      <c r="AY21" s="20">
        <v>41096</v>
      </c>
      <c r="AZ21" s="20">
        <v>41096</v>
      </c>
      <c r="BA21" s="20"/>
      <c r="BB21" s="20"/>
      <c r="BC21" s="20"/>
      <c r="BD21" s="20"/>
      <c r="BE21" s="20"/>
      <c r="BF21" s="20"/>
      <c r="BG21" s="20"/>
      <c r="BH21" s="21">
        <f t="shared" si="2"/>
        <v>410960</v>
      </c>
      <c r="BI21" s="49">
        <v>3</v>
      </c>
      <c r="BJ21" s="21">
        <f t="shared" si="28"/>
        <v>1232880</v>
      </c>
      <c r="BK21" s="110"/>
      <c r="BM21" s="107"/>
      <c r="BN21" s="23" t="s">
        <v>45</v>
      </c>
      <c r="BO21" s="20"/>
      <c r="BP21" s="20"/>
      <c r="BQ21" s="20"/>
      <c r="BR21" s="20"/>
      <c r="BS21" s="20"/>
      <c r="BT21" s="20"/>
      <c r="BU21" s="20"/>
      <c r="BV21" s="20">
        <v>41096</v>
      </c>
      <c r="BW21" s="20">
        <v>41096</v>
      </c>
      <c r="BX21" s="20">
        <v>41096</v>
      </c>
      <c r="BY21" s="20">
        <v>41096</v>
      </c>
      <c r="BZ21" s="20">
        <v>41096</v>
      </c>
      <c r="CA21" s="20">
        <v>41096</v>
      </c>
      <c r="CB21" s="20">
        <v>41096</v>
      </c>
      <c r="CC21" s="20">
        <v>41096</v>
      </c>
      <c r="CD21" s="20">
        <v>41096</v>
      </c>
      <c r="CE21" s="20">
        <v>41096</v>
      </c>
      <c r="CF21" s="20"/>
      <c r="CG21" s="20"/>
      <c r="CH21" s="20"/>
      <c r="CI21" s="20"/>
      <c r="CJ21" s="20"/>
      <c r="CK21" s="20"/>
      <c r="CL21" s="20"/>
      <c r="CM21" s="21">
        <f t="shared" si="4"/>
        <v>410960</v>
      </c>
      <c r="CN21" s="49">
        <v>5</v>
      </c>
      <c r="CO21" s="21">
        <f t="shared" si="29"/>
        <v>2054800</v>
      </c>
      <c r="CP21" s="110"/>
      <c r="CS21" s="107"/>
      <c r="CT21" s="23" t="s">
        <v>45</v>
      </c>
      <c r="CU21" s="20"/>
      <c r="CV21" s="20"/>
      <c r="CW21" s="20"/>
      <c r="CX21" s="20"/>
      <c r="CY21" s="20"/>
      <c r="CZ21" s="20"/>
      <c r="DA21" s="20"/>
      <c r="DB21" s="20">
        <v>41096</v>
      </c>
      <c r="DC21" s="20">
        <v>41096</v>
      </c>
      <c r="DD21" s="20">
        <v>41096</v>
      </c>
      <c r="DE21" s="20">
        <v>41096</v>
      </c>
      <c r="DF21" s="20">
        <v>41096</v>
      </c>
      <c r="DG21" s="20">
        <v>41096</v>
      </c>
      <c r="DH21" s="20">
        <v>41096</v>
      </c>
      <c r="DI21" s="20">
        <v>41096</v>
      </c>
      <c r="DJ21" s="20">
        <v>41096</v>
      </c>
      <c r="DK21" s="20">
        <v>41096</v>
      </c>
      <c r="DL21" s="20"/>
      <c r="DM21" s="20"/>
      <c r="DN21" s="20"/>
      <c r="DO21" s="20"/>
      <c r="DP21" s="20"/>
      <c r="DQ21" s="20"/>
      <c r="DR21" s="20"/>
      <c r="DS21" s="21">
        <f t="shared" si="6"/>
        <v>410960</v>
      </c>
      <c r="DT21" s="49">
        <v>4</v>
      </c>
      <c r="DU21" s="21">
        <f t="shared" si="30"/>
        <v>1643840</v>
      </c>
      <c r="DV21" s="110"/>
      <c r="DY21" s="107"/>
      <c r="DZ21" s="23" t="s">
        <v>45</v>
      </c>
      <c r="EA21" s="20"/>
      <c r="EB21" s="20"/>
      <c r="EC21" s="20"/>
      <c r="ED21" s="20"/>
      <c r="EE21" s="20"/>
      <c r="EF21" s="20"/>
      <c r="EG21" s="20"/>
      <c r="EH21" s="20">
        <v>41096</v>
      </c>
      <c r="EI21" s="20">
        <v>41096</v>
      </c>
      <c r="EJ21" s="20">
        <v>41096</v>
      </c>
      <c r="EK21" s="20">
        <v>41096</v>
      </c>
      <c r="EL21" s="20">
        <v>41096</v>
      </c>
      <c r="EM21" s="20">
        <v>41096</v>
      </c>
      <c r="EN21" s="20">
        <v>41096</v>
      </c>
      <c r="EO21" s="20">
        <v>41096</v>
      </c>
      <c r="EP21" s="20">
        <v>41096</v>
      </c>
      <c r="EQ21" s="20">
        <v>41096</v>
      </c>
      <c r="ER21" s="20"/>
      <c r="ES21" s="20"/>
      <c r="ET21" s="20"/>
      <c r="EU21" s="20"/>
      <c r="EV21" s="20"/>
      <c r="EW21" s="20"/>
      <c r="EX21" s="20"/>
      <c r="EY21" s="21">
        <f t="shared" si="7"/>
        <v>410960</v>
      </c>
      <c r="EZ21" s="49">
        <v>2</v>
      </c>
      <c r="FA21" s="21">
        <f t="shared" si="31"/>
        <v>821920</v>
      </c>
      <c r="FB21" s="110"/>
      <c r="FD21" s="107"/>
      <c r="FE21" s="23" t="s">
        <v>45</v>
      </c>
      <c r="FF21" s="20"/>
      <c r="FG21" s="20"/>
      <c r="FH21" s="20"/>
      <c r="FI21" s="20"/>
      <c r="FJ21" s="20"/>
      <c r="FK21" s="20"/>
      <c r="FL21" s="20"/>
      <c r="FM21" s="20">
        <v>41096</v>
      </c>
      <c r="FN21" s="20">
        <v>41096</v>
      </c>
      <c r="FO21" s="20">
        <v>41096</v>
      </c>
      <c r="FP21" s="20">
        <v>41096</v>
      </c>
      <c r="FQ21" s="20">
        <v>41096</v>
      </c>
      <c r="FR21" s="20">
        <v>41096</v>
      </c>
      <c r="FS21" s="20">
        <v>41096</v>
      </c>
      <c r="FT21" s="20">
        <v>41096</v>
      </c>
      <c r="FU21" s="20">
        <v>41096</v>
      </c>
      <c r="FV21" s="20">
        <v>41096</v>
      </c>
      <c r="FW21" s="20"/>
      <c r="FX21" s="20"/>
      <c r="FY21" s="20"/>
      <c r="FZ21" s="20"/>
      <c r="GA21" s="20"/>
      <c r="GB21" s="20"/>
      <c r="GC21" s="20"/>
      <c r="GD21" s="21">
        <f t="shared" si="9"/>
        <v>410960</v>
      </c>
      <c r="GE21" s="49">
        <v>4</v>
      </c>
      <c r="GF21" s="21">
        <f t="shared" si="32"/>
        <v>1643840</v>
      </c>
      <c r="GG21" s="110"/>
      <c r="GI21" s="107"/>
      <c r="GJ21" s="23" t="s">
        <v>45</v>
      </c>
      <c r="GK21" s="20"/>
      <c r="GL21" s="20"/>
      <c r="GM21" s="20"/>
      <c r="GN21" s="20"/>
      <c r="GO21" s="20"/>
      <c r="GP21" s="20"/>
      <c r="GQ21" s="20"/>
      <c r="GR21" s="20">
        <v>41096</v>
      </c>
      <c r="GS21" s="20">
        <v>41096</v>
      </c>
      <c r="GT21" s="20">
        <v>41096</v>
      </c>
      <c r="GU21" s="20">
        <v>41096</v>
      </c>
      <c r="GV21" s="20">
        <v>41096</v>
      </c>
      <c r="GW21" s="20">
        <v>41096</v>
      </c>
      <c r="GX21" s="20">
        <v>41096</v>
      </c>
      <c r="GY21" s="20">
        <v>41096</v>
      </c>
      <c r="GZ21" s="20">
        <v>41096</v>
      </c>
      <c r="HA21" s="20">
        <v>41096</v>
      </c>
      <c r="HB21" s="20"/>
      <c r="HC21" s="20"/>
      <c r="HD21" s="20"/>
      <c r="HE21" s="20"/>
      <c r="HF21" s="20"/>
      <c r="HG21" s="20"/>
      <c r="HH21" s="20"/>
      <c r="HI21" s="21">
        <f t="shared" si="11"/>
        <v>410960</v>
      </c>
      <c r="HJ21" s="49">
        <v>2</v>
      </c>
      <c r="HK21" s="21">
        <f t="shared" si="33"/>
        <v>821920</v>
      </c>
      <c r="HL21" s="110"/>
      <c r="HN21" s="107"/>
      <c r="HO21" s="23" t="s">
        <v>45</v>
      </c>
      <c r="HP21" s="20"/>
      <c r="HQ21" s="20"/>
      <c r="HR21" s="20"/>
      <c r="HS21" s="20"/>
      <c r="HT21" s="20"/>
      <c r="HU21" s="20"/>
      <c r="HV21" s="20"/>
      <c r="HW21" s="20">
        <v>41096</v>
      </c>
      <c r="HX21" s="20">
        <v>41096</v>
      </c>
      <c r="HY21" s="20">
        <v>41096</v>
      </c>
      <c r="HZ21" s="20">
        <v>41096</v>
      </c>
      <c r="IA21" s="20">
        <v>41096</v>
      </c>
      <c r="IB21" s="20">
        <v>41096</v>
      </c>
      <c r="IC21" s="20">
        <v>41096</v>
      </c>
      <c r="ID21" s="20">
        <v>41096</v>
      </c>
      <c r="IE21" s="20">
        <v>41096</v>
      </c>
      <c r="IF21" s="20">
        <v>41096</v>
      </c>
      <c r="IG21" s="20"/>
      <c r="IH21" s="20"/>
      <c r="II21" s="20"/>
      <c r="IJ21" s="20"/>
      <c r="IK21" s="20"/>
      <c r="IL21" s="20"/>
      <c r="IM21" s="20"/>
      <c r="IN21" s="21">
        <f t="shared" si="13"/>
        <v>410960</v>
      </c>
      <c r="IO21" s="49">
        <v>3</v>
      </c>
      <c r="IP21" s="21">
        <f t="shared" si="34"/>
        <v>1232880</v>
      </c>
      <c r="IQ21" s="110"/>
      <c r="IS21" s="107"/>
      <c r="IT21" s="23" t="s">
        <v>45</v>
      </c>
      <c r="IU21" s="20"/>
      <c r="IV21" s="20"/>
      <c r="IW21" s="20"/>
      <c r="IX21" s="20"/>
      <c r="IY21" s="20"/>
      <c r="IZ21" s="20"/>
      <c r="JA21" s="20"/>
      <c r="JB21" s="20">
        <v>41096</v>
      </c>
      <c r="JC21" s="20">
        <v>41096</v>
      </c>
      <c r="JD21" s="20">
        <v>41096</v>
      </c>
      <c r="JE21" s="20">
        <v>41096</v>
      </c>
      <c r="JF21" s="20">
        <v>41096</v>
      </c>
      <c r="JG21" s="20">
        <v>41096</v>
      </c>
      <c r="JH21" s="20">
        <v>41096</v>
      </c>
      <c r="JI21" s="20">
        <v>41096</v>
      </c>
      <c r="JJ21" s="20">
        <v>41096</v>
      </c>
      <c r="JK21" s="20">
        <v>41096</v>
      </c>
      <c r="JL21" s="20"/>
      <c r="JM21" s="20"/>
      <c r="JN21" s="20"/>
      <c r="JO21" s="20"/>
      <c r="JP21" s="20"/>
      <c r="JQ21" s="20"/>
      <c r="JR21" s="20"/>
      <c r="JS21" s="21">
        <f t="shared" si="15"/>
        <v>410960</v>
      </c>
      <c r="JT21" s="49">
        <v>5</v>
      </c>
      <c r="JU21" s="21">
        <f t="shared" si="35"/>
        <v>2054800</v>
      </c>
      <c r="JV21" s="110"/>
      <c r="JX21" s="107"/>
      <c r="JY21" s="23" t="s">
        <v>45</v>
      </c>
      <c r="JZ21" s="20"/>
      <c r="KA21" s="20"/>
      <c r="KB21" s="20"/>
      <c r="KC21" s="20"/>
      <c r="KD21" s="20"/>
      <c r="KE21" s="20"/>
      <c r="KF21" s="20"/>
      <c r="KG21" s="20">
        <v>41096</v>
      </c>
      <c r="KH21" s="20">
        <v>41096</v>
      </c>
      <c r="KI21" s="20">
        <v>41096</v>
      </c>
      <c r="KJ21" s="20">
        <v>41096</v>
      </c>
      <c r="KK21" s="20">
        <v>41096</v>
      </c>
      <c r="KL21" s="20">
        <v>41096</v>
      </c>
      <c r="KM21" s="20">
        <v>41096</v>
      </c>
      <c r="KN21" s="20">
        <v>41096</v>
      </c>
      <c r="KO21" s="20">
        <v>41096</v>
      </c>
      <c r="KP21" s="20">
        <v>41096</v>
      </c>
      <c r="KQ21" s="20"/>
      <c r="KR21" s="20"/>
      <c r="KS21" s="20"/>
      <c r="KT21" s="20"/>
      <c r="KU21" s="20"/>
      <c r="KV21" s="20"/>
      <c r="KW21" s="20"/>
      <c r="KX21" s="21">
        <f t="shared" si="17"/>
        <v>410960</v>
      </c>
      <c r="KY21" s="49">
        <v>3</v>
      </c>
      <c r="KZ21" s="21">
        <f t="shared" si="36"/>
        <v>1232880</v>
      </c>
      <c r="LA21" s="110"/>
      <c r="LC21" s="107"/>
      <c r="LD21" s="23" t="s">
        <v>45</v>
      </c>
      <c r="LE21" s="20"/>
      <c r="LF21" s="20"/>
      <c r="LG21" s="20"/>
      <c r="LH21" s="20"/>
      <c r="LI21" s="20"/>
      <c r="LJ21" s="20"/>
      <c r="LK21" s="20"/>
      <c r="LL21" s="20">
        <v>41096</v>
      </c>
      <c r="LM21" s="20">
        <v>41096</v>
      </c>
      <c r="LN21" s="20">
        <v>41096</v>
      </c>
      <c r="LO21" s="20">
        <v>41096</v>
      </c>
      <c r="LP21" s="20">
        <v>41096</v>
      </c>
      <c r="LQ21" s="20">
        <v>41096</v>
      </c>
      <c r="LR21" s="20">
        <v>41096</v>
      </c>
      <c r="LS21" s="20">
        <v>41096</v>
      </c>
      <c r="LT21" s="20">
        <v>41096</v>
      </c>
      <c r="LU21" s="20">
        <v>41096</v>
      </c>
      <c r="LV21" s="20"/>
      <c r="LW21" s="20"/>
      <c r="LX21" s="20"/>
      <c r="LY21" s="20"/>
      <c r="LZ21" s="20"/>
      <c r="MA21" s="20"/>
      <c r="MB21" s="20"/>
      <c r="MC21" s="21">
        <f t="shared" si="19"/>
        <v>410960</v>
      </c>
      <c r="MD21" s="49">
        <v>3</v>
      </c>
      <c r="ME21" s="21">
        <f t="shared" si="37"/>
        <v>1232880</v>
      </c>
      <c r="MF21" s="110"/>
      <c r="MH21" s="107"/>
      <c r="MI21" s="23" t="s">
        <v>45</v>
      </c>
      <c r="MJ21" s="20"/>
      <c r="MK21" s="20"/>
      <c r="ML21" s="20"/>
      <c r="MM21" s="20"/>
      <c r="MN21" s="20"/>
      <c r="MO21" s="20"/>
      <c r="MP21" s="20"/>
      <c r="MQ21" s="20">
        <v>41096</v>
      </c>
      <c r="MR21" s="20">
        <v>41096</v>
      </c>
      <c r="MS21" s="20">
        <v>41096</v>
      </c>
      <c r="MT21" s="20">
        <v>41096</v>
      </c>
      <c r="MU21" s="20">
        <v>41096</v>
      </c>
      <c r="MV21" s="20">
        <v>41096</v>
      </c>
      <c r="MW21" s="20">
        <v>41096</v>
      </c>
      <c r="MX21" s="20">
        <v>41096</v>
      </c>
      <c r="MY21" s="20">
        <v>41096</v>
      </c>
      <c r="MZ21" s="20">
        <v>41096</v>
      </c>
      <c r="NA21" s="20"/>
      <c r="NB21" s="20"/>
      <c r="NC21" s="20"/>
      <c r="ND21" s="20"/>
      <c r="NE21" s="20"/>
      <c r="NF21" s="20"/>
      <c r="NG21" s="20"/>
      <c r="NH21" s="21">
        <f t="shared" si="21"/>
        <v>410960</v>
      </c>
      <c r="NI21" s="49">
        <v>3</v>
      </c>
      <c r="NJ21" s="21">
        <f t="shared" si="38"/>
        <v>1232880</v>
      </c>
      <c r="NK21" s="110"/>
      <c r="NM21" s="107"/>
      <c r="NN21" s="23" t="s">
        <v>45</v>
      </c>
      <c r="NO21" s="20"/>
      <c r="NP21" s="20"/>
      <c r="NQ21" s="20"/>
      <c r="NR21" s="20"/>
      <c r="NS21" s="20"/>
      <c r="NT21" s="20"/>
      <c r="NU21" s="20"/>
      <c r="NV21" s="20">
        <v>41096</v>
      </c>
      <c r="NW21" s="20">
        <v>41096</v>
      </c>
      <c r="NX21" s="20">
        <v>41096</v>
      </c>
      <c r="NY21" s="20">
        <v>41096</v>
      </c>
      <c r="NZ21" s="20">
        <v>41096</v>
      </c>
      <c r="OA21" s="20">
        <v>41096</v>
      </c>
      <c r="OB21" s="20">
        <v>41096</v>
      </c>
      <c r="OC21" s="20">
        <v>41096</v>
      </c>
      <c r="OD21" s="20">
        <v>41096</v>
      </c>
      <c r="OE21" s="20">
        <v>41096</v>
      </c>
      <c r="OF21" s="20"/>
      <c r="OG21" s="20"/>
      <c r="OH21" s="20"/>
      <c r="OI21" s="20"/>
      <c r="OJ21" s="20"/>
      <c r="OK21" s="20"/>
      <c r="OL21" s="20"/>
      <c r="OM21" s="21">
        <f t="shared" si="23"/>
        <v>410960</v>
      </c>
      <c r="ON21" s="49">
        <v>3</v>
      </c>
      <c r="OO21" s="21">
        <f t="shared" si="39"/>
        <v>1232880</v>
      </c>
      <c r="OP21" s="110"/>
      <c r="OR21" s="107"/>
      <c r="OS21" s="23" t="s">
        <v>45</v>
      </c>
      <c r="OT21" s="20"/>
      <c r="OU21" s="20"/>
      <c r="OV21" s="20"/>
      <c r="OW21" s="20"/>
      <c r="OX21" s="20"/>
      <c r="OY21" s="20"/>
      <c r="OZ21" s="20"/>
      <c r="PA21" s="20">
        <v>41096</v>
      </c>
      <c r="PB21" s="20">
        <v>41096</v>
      </c>
      <c r="PC21" s="20">
        <v>41096</v>
      </c>
      <c r="PD21" s="20">
        <v>41096</v>
      </c>
      <c r="PE21" s="20">
        <v>41096</v>
      </c>
      <c r="PF21" s="20">
        <v>41096</v>
      </c>
      <c r="PG21" s="20">
        <v>41096</v>
      </c>
      <c r="PH21" s="20">
        <v>41096</v>
      </c>
      <c r="PI21" s="20">
        <v>41096</v>
      </c>
      <c r="PJ21" s="20">
        <v>41096</v>
      </c>
      <c r="PK21" s="20"/>
      <c r="PL21" s="20"/>
      <c r="PM21" s="20"/>
      <c r="PN21" s="20"/>
      <c r="PO21" s="20"/>
      <c r="PP21" s="20"/>
      <c r="PQ21" s="20"/>
      <c r="PR21" s="21">
        <f t="shared" si="25"/>
        <v>410960</v>
      </c>
      <c r="PS21" s="62">
        <v>5</v>
      </c>
      <c r="PT21" s="21">
        <f t="shared" si="40"/>
        <v>2054800</v>
      </c>
      <c r="PU21" s="110"/>
    </row>
    <row r="22" spans="3:437" ht="15" thickBot="1" x14ac:dyDescent="0.4">
      <c r="C22" s="108"/>
      <c r="D22" s="24" t="s">
        <v>46</v>
      </c>
      <c r="E22" s="20"/>
      <c r="F22" s="92"/>
      <c r="G22" s="20"/>
      <c r="H22" s="20"/>
      <c r="I22" s="20"/>
      <c r="J22" s="20"/>
      <c r="K22" s="20"/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/>
      <c r="W22" s="20"/>
      <c r="X22" s="20"/>
      <c r="Y22" s="20"/>
      <c r="Z22" s="20"/>
      <c r="AA22" s="20"/>
      <c r="AB22" s="20"/>
      <c r="AC22" s="21">
        <f t="shared" si="0"/>
        <v>0</v>
      </c>
      <c r="AD22" s="22">
        <v>0</v>
      </c>
      <c r="AE22" s="21">
        <f t="shared" si="27"/>
        <v>0</v>
      </c>
      <c r="AF22" s="111"/>
      <c r="AH22" s="108"/>
      <c r="AI22" s="24" t="s">
        <v>46</v>
      </c>
      <c r="AJ22" s="20"/>
      <c r="AK22" s="20"/>
      <c r="AL22" s="20"/>
      <c r="AM22" s="20"/>
      <c r="AN22" s="20"/>
      <c r="AO22" s="20"/>
      <c r="AP22" s="20"/>
      <c r="AQ22" s="20">
        <v>41096</v>
      </c>
      <c r="AR22" s="20">
        <v>41096</v>
      </c>
      <c r="AS22" s="20">
        <v>41096</v>
      </c>
      <c r="AT22" s="20">
        <v>41096</v>
      </c>
      <c r="AU22" s="20">
        <v>41096</v>
      </c>
      <c r="AV22" s="20">
        <v>41096</v>
      </c>
      <c r="AW22" s="20">
        <v>41096</v>
      </c>
      <c r="AX22" s="20">
        <v>41096</v>
      </c>
      <c r="AY22" s="20">
        <v>41096</v>
      </c>
      <c r="AZ22" s="20">
        <v>41096</v>
      </c>
      <c r="BA22" s="20"/>
      <c r="BB22" s="20"/>
      <c r="BC22" s="20"/>
      <c r="BD22" s="20"/>
      <c r="BE22" s="20"/>
      <c r="BF22" s="20"/>
      <c r="BG22" s="20"/>
      <c r="BH22" s="21">
        <f t="shared" si="2"/>
        <v>410960</v>
      </c>
      <c r="BI22" s="52">
        <v>4</v>
      </c>
      <c r="BJ22" s="21">
        <f t="shared" si="28"/>
        <v>1643840</v>
      </c>
      <c r="BK22" s="111"/>
      <c r="BM22" s="108"/>
      <c r="BN22" s="24" t="s">
        <v>46</v>
      </c>
      <c r="BO22" s="20"/>
      <c r="BP22" s="20"/>
      <c r="BQ22" s="20"/>
      <c r="BR22" s="20"/>
      <c r="BS22" s="20"/>
      <c r="BT22" s="20"/>
      <c r="BU22" s="20"/>
      <c r="BV22" s="20">
        <v>41096</v>
      </c>
      <c r="BW22" s="20">
        <v>41096</v>
      </c>
      <c r="BX22" s="20">
        <v>41096</v>
      </c>
      <c r="BY22" s="20">
        <v>41096</v>
      </c>
      <c r="BZ22" s="20">
        <v>41096</v>
      </c>
      <c r="CA22" s="20">
        <v>41096</v>
      </c>
      <c r="CB22" s="20">
        <v>41096</v>
      </c>
      <c r="CC22" s="20">
        <v>41096</v>
      </c>
      <c r="CD22" s="20">
        <v>41096</v>
      </c>
      <c r="CE22" s="20">
        <v>41096</v>
      </c>
      <c r="CF22" s="20"/>
      <c r="CG22" s="20"/>
      <c r="CH22" s="20"/>
      <c r="CI22" s="20"/>
      <c r="CJ22" s="20"/>
      <c r="CK22" s="20"/>
      <c r="CL22" s="20"/>
      <c r="CM22" s="21">
        <f t="shared" si="4"/>
        <v>410960</v>
      </c>
      <c r="CN22" s="50">
        <v>0</v>
      </c>
      <c r="CO22" s="21">
        <f t="shared" si="29"/>
        <v>0</v>
      </c>
      <c r="CP22" s="111"/>
      <c r="CS22" s="108"/>
      <c r="CT22" s="24" t="s">
        <v>46</v>
      </c>
      <c r="CU22" s="20"/>
      <c r="CV22" s="20"/>
      <c r="CW22" s="20"/>
      <c r="CX22" s="20"/>
      <c r="CY22" s="20"/>
      <c r="CZ22" s="20"/>
      <c r="DA22" s="20"/>
      <c r="DB22" s="20">
        <v>41096</v>
      </c>
      <c r="DC22" s="20">
        <v>41096</v>
      </c>
      <c r="DD22" s="20">
        <v>41096</v>
      </c>
      <c r="DE22" s="20">
        <v>41096</v>
      </c>
      <c r="DF22" s="20">
        <v>41096</v>
      </c>
      <c r="DG22" s="20">
        <v>41096</v>
      </c>
      <c r="DH22" s="20">
        <v>41096</v>
      </c>
      <c r="DI22" s="20">
        <v>41096</v>
      </c>
      <c r="DJ22" s="20">
        <v>41096</v>
      </c>
      <c r="DK22" s="20">
        <v>41096</v>
      </c>
      <c r="DL22" s="20"/>
      <c r="DM22" s="20"/>
      <c r="DN22" s="20"/>
      <c r="DO22" s="20"/>
      <c r="DP22" s="20"/>
      <c r="DQ22" s="20"/>
      <c r="DR22" s="20"/>
      <c r="DS22" s="21">
        <f t="shared" si="6"/>
        <v>410960</v>
      </c>
      <c r="DT22" s="50">
        <v>2</v>
      </c>
      <c r="DU22" s="21">
        <f t="shared" si="30"/>
        <v>821920</v>
      </c>
      <c r="DV22" s="111"/>
      <c r="DY22" s="108"/>
      <c r="DZ22" s="24" t="s">
        <v>46</v>
      </c>
      <c r="EA22" s="20"/>
      <c r="EB22" s="20"/>
      <c r="EC22" s="20"/>
      <c r="ED22" s="20"/>
      <c r="EE22" s="20"/>
      <c r="EF22" s="20"/>
      <c r="EG22" s="20"/>
      <c r="EH22" s="20">
        <v>41096</v>
      </c>
      <c r="EI22" s="20">
        <v>41096</v>
      </c>
      <c r="EJ22" s="20">
        <v>41096</v>
      </c>
      <c r="EK22" s="20">
        <v>41096</v>
      </c>
      <c r="EL22" s="20">
        <v>41096</v>
      </c>
      <c r="EM22" s="20">
        <v>41096</v>
      </c>
      <c r="EN22" s="20">
        <v>41096</v>
      </c>
      <c r="EO22" s="20">
        <v>41096</v>
      </c>
      <c r="EP22" s="20">
        <v>41096</v>
      </c>
      <c r="EQ22" s="20">
        <v>41096</v>
      </c>
      <c r="ER22" s="20"/>
      <c r="ES22" s="20"/>
      <c r="ET22" s="20"/>
      <c r="EU22" s="20"/>
      <c r="EV22" s="20"/>
      <c r="EW22" s="20"/>
      <c r="EX22" s="20"/>
      <c r="EY22" s="21">
        <f t="shared" si="7"/>
        <v>410960</v>
      </c>
      <c r="EZ22" s="50">
        <v>4</v>
      </c>
      <c r="FA22" s="21">
        <f t="shared" si="31"/>
        <v>1643840</v>
      </c>
      <c r="FB22" s="111"/>
      <c r="FD22" s="108"/>
      <c r="FE22" s="24" t="s">
        <v>46</v>
      </c>
      <c r="FF22" s="20"/>
      <c r="FG22" s="20"/>
      <c r="FH22" s="20"/>
      <c r="FI22" s="20"/>
      <c r="FJ22" s="20"/>
      <c r="FK22" s="20"/>
      <c r="FL22" s="20"/>
      <c r="FM22" s="20">
        <v>0</v>
      </c>
      <c r="FN22" s="20">
        <v>0</v>
      </c>
      <c r="FO22" s="20">
        <v>0</v>
      </c>
      <c r="FP22" s="20">
        <v>0</v>
      </c>
      <c r="FQ22" s="20">
        <v>0</v>
      </c>
      <c r="FR22" s="20">
        <v>0</v>
      </c>
      <c r="FS22" s="20">
        <v>0</v>
      </c>
      <c r="FT22" s="20">
        <v>0</v>
      </c>
      <c r="FU22" s="20">
        <v>0</v>
      </c>
      <c r="FV22" s="20">
        <v>0</v>
      </c>
      <c r="FW22" s="20"/>
      <c r="FX22" s="20"/>
      <c r="FY22" s="20"/>
      <c r="FZ22" s="20"/>
      <c r="GA22" s="20"/>
      <c r="GB22" s="20"/>
      <c r="GC22" s="20"/>
      <c r="GD22" s="21">
        <f t="shared" si="9"/>
        <v>0</v>
      </c>
      <c r="GE22" s="50">
        <v>0</v>
      </c>
      <c r="GF22" s="21">
        <f t="shared" si="32"/>
        <v>0</v>
      </c>
      <c r="GG22" s="111"/>
      <c r="GI22" s="108"/>
      <c r="GJ22" s="24" t="s">
        <v>46</v>
      </c>
      <c r="GK22" s="20"/>
      <c r="GL22" s="20"/>
      <c r="GM22" s="20"/>
      <c r="GN22" s="20"/>
      <c r="GO22" s="20"/>
      <c r="GP22" s="20"/>
      <c r="GQ22" s="20"/>
      <c r="GR22" s="20">
        <v>41096</v>
      </c>
      <c r="GS22" s="20">
        <v>41096</v>
      </c>
      <c r="GT22" s="20">
        <v>41096</v>
      </c>
      <c r="GU22" s="20">
        <v>41096</v>
      </c>
      <c r="GV22" s="20">
        <v>41096</v>
      </c>
      <c r="GW22" s="20">
        <v>41096</v>
      </c>
      <c r="GX22" s="20">
        <v>41096</v>
      </c>
      <c r="GY22" s="20">
        <v>41096</v>
      </c>
      <c r="GZ22" s="20">
        <v>41096</v>
      </c>
      <c r="HA22" s="20">
        <v>41096</v>
      </c>
      <c r="HB22" s="20"/>
      <c r="HC22" s="20"/>
      <c r="HD22" s="20"/>
      <c r="HE22" s="20"/>
      <c r="HF22" s="20"/>
      <c r="HG22" s="20"/>
      <c r="HH22" s="20"/>
      <c r="HI22" s="21">
        <f t="shared" si="11"/>
        <v>410960</v>
      </c>
      <c r="HJ22" s="50">
        <v>4</v>
      </c>
      <c r="HK22" s="21">
        <f t="shared" si="33"/>
        <v>1643840</v>
      </c>
      <c r="HL22" s="111"/>
      <c r="HN22" s="108"/>
      <c r="HO22" s="24" t="s">
        <v>46</v>
      </c>
      <c r="HP22" s="20"/>
      <c r="HQ22" s="20"/>
      <c r="HR22" s="20"/>
      <c r="HS22" s="20"/>
      <c r="HT22" s="20"/>
      <c r="HU22" s="20"/>
      <c r="HV22" s="20"/>
      <c r="HW22" s="20">
        <v>41096</v>
      </c>
      <c r="HX22" s="20">
        <v>41096</v>
      </c>
      <c r="HY22" s="20">
        <v>41096</v>
      </c>
      <c r="HZ22" s="20">
        <v>41096</v>
      </c>
      <c r="IA22" s="20">
        <v>41096</v>
      </c>
      <c r="IB22" s="20">
        <v>41096</v>
      </c>
      <c r="IC22" s="20">
        <v>41096</v>
      </c>
      <c r="ID22" s="20">
        <v>41096</v>
      </c>
      <c r="IE22" s="20">
        <v>41096</v>
      </c>
      <c r="IF22" s="20">
        <v>41096</v>
      </c>
      <c r="IG22" s="20"/>
      <c r="IH22" s="20"/>
      <c r="II22" s="20"/>
      <c r="IJ22" s="20"/>
      <c r="IK22" s="20"/>
      <c r="IL22" s="20"/>
      <c r="IM22" s="20"/>
      <c r="IN22" s="21">
        <f t="shared" si="13"/>
        <v>410960</v>
      </c>
      <c r="IO22" s="50">
        <v>4</v>
      </c>
      <c r="IP22" s="21">
        <f t="shared" si="34"/>
        <v>1643840</v>
      </c>
      <c r="IQ22" s="111"/>
      <c r="IS22" s="108"/>
      <c r="IT22" s="24" t="s">
        <v>46</v>
      </c>
      <c r="IU22" s="20"/>
      <c r="IV22" s="20"/>
      <c r="IW22" s="20"/>
      <c r="IX22" s="20"/>
      <c r="IY22" s="20"/>
      <c r="IZ22" s="20"/>
      <c r="JA22" s="20"/>
      <c r="JB22" s="20">
        <v>0</v>
      </c>
      <c r="JC22" s="20">
        <v>0</v>
      </c>
      <c r="JD22" s="20">
        <v>0</v>
      </c>
      <c r="JE22" s="20">
        <v>0</v>
      </c>
      <c r="JF22" s="20">
        <v>0</v>
      </c>
      <c r="JG22" s="20">
        <v>0</v>
      </c>
      <c r="JH22" s="20">
        <v>0</v>
      </c>
      <c r="JI22" s="20">
        <v>0</v>
      </c>
      <c r="JJ22" s="20">
        <v>0</v>
      </c>
      <c r="JK22" s="20">
        <v>0</v>
      </c>
      <c r="JL22" s="20"/>
      <c r="JM22" s="20"/>
      <c r="JN22" s="20"/>
      <c r="JO22" s="20"/>
      <c r="JP22" s="20"/>
      <c r="JQ22" s="20"/>
      <c r="JR22" s="20"/>
      <c r="JS22" s="21">
        <f t="shared" si="15"/>
        <v>0</v>
      </c>
      <c r="JT22" s="50">
        <v>0</v>
      </c>
      <c r="JU22" s="21">
        <f t="shared" si="35"/>
        <v>0</v>
      </c>
      <c r="JV22" s="111"/>
      <c r="JX22" s="108"/>
      <c r="JY22" s="24" t="s">
        <v>46</v>
      </c>
      <c r="JZ22" s="20"/>
      <c r="KA22" s="20"/>
      <c r="KB22" s="20"/>
      <c r="KC22" s="20"/>
      <c r="KD22" s="20"/>
      <c r="KE22" s="20"/>
      <c r="KF22" s="20"/>
      <c r="KG22" s="20">
        <v>41096</v>
      </c>
      <c r="KH22" s="20">
        <v>41096</v>
      </c>
      <c r="KI22" s="20">
        <v>41096</v>
      </c>
      <c r="KJ22" s="20">
        <v>41096</v>
      </c>
      <c r="KK22" s="20">
        <v>41096</v>
      </c>
      <c r="KL22" s="20">
        <v>41096</v>
      </c>
      <c r="KM22" s="20">
        <v>41096</v>
      </c>
      <c r="KN22" s="20">
        <v>41096</v>
      </c>
      <c r="KO22" s="20">
        <v>41096</v>
      </c>
      <c r="KP22" s="20">
        <v>41096</v>
      </c>
      <c r="KQ22" s="20"/>
      <c r="KR22" s="20"/>
      <c r="KS22" s="20"/>
      <c r="KT22" s="20"/>
      <c r="KU22" s="20"/>
      <c r="KV22" s="20"/>
      <c r="KW22" s="20"/>
      <c r="KX22" s="21">
        <f t="shared" si="17"/>
        <v>410960</v>
      </c>
      <c r="KY22" s="50">
        <v>3</v>
      </c>
      <c r="KZ22" s="21">
        <f t="shared" si="36"/>
        <v>1232880</v>
      </c>
      <c r="LA22" s="111"/>
      <c r="LC22" s="108"/>
      <c r="LD22" s="24" t="s">
        <v>46</v>
      </c>
      <c r="LE22" s="20"/>
      <c r="LF22" s="20"/>
      <c r="LG22" s="20"/>
      <c r="LH22" s="20"/>
      <c r="LI22" s="20"/>
      <c r="LJ22" s="20"/>
      <c r="LK22" s="20"/>
      <c r="LL22" s="20">
        <v>41096</v>
      </c>
      <c r="LM22" s="20">
        <v>41096</v>
      </c>
      <c r="LN22" s="20">
        <v>41096</v>
      </c>
      <c r="LO22" s="20">
        <v>41096</v>
      </c>
      <c r="LP22" s="20">
        <v>41096</v>
      </c>
      <c r="LQ22" s="20">
        <v>41096</v>
      </c>
      <c r="LR22" s="20">
        <v>41096</v>
      </c>
      <c r="LS22" s="20">
        <v>41096</v>
      </c>
      <c r="LT22" s="20">
        <v>41096</v>
      </c>
      <c r="LU22" s="20">
        <v>41096</v>
      </c>
      <c r="LV22" s="20"/>
      <c r="LW22" s="20"/>
      <c r="LX22" s="20"/>
      <c r="LY22" s="20"/>
      <c r="LZ22" s="20"/>
      <c r="MA22" s="20"/>
      <c r="MB22" s="20"/>
      <c r="MC22" s="21">
        <f t="shared" si="19"/>
        <v>410960</v>
      </c>
      <c r="MD22" s="50">
        <v>3</v>
      </c>
      <c r="ME22" s="21">
        <f t="shared" si="37"/>
        <v>1232880</v>
      </c>
      <c r="MF22" s="111"/>
      <c r="MH22" s="108"/>
      <c r="MI22" s="24" t="s">
        <v>46</v>
      </c>
      <c r="MJ22" s="20"/>
      <c r="MK22" s="20"/>
      <c r="ML22" s="20"/>
      <c r="MM22" s="20"/>
      <c r="MN22" s="20"/>
      <c r="MO22" s="20"/>
      <c r="MP22" s="20"/>
      <c r="MQ22" s="20">
        <v>41096</v>
      </c>
      <c r="MR22" s="20">
        <v>41096</v>
      </c>
      <c r="MS22" s="20">
        <v>41096</v>
      </c>
      <c r="MT22" s="20">
        <v>41096</v>
      </c>
      <c r="MU22" s="20">
        <v>41096</v>
      </c>
      <c r="MV22" s="20">
        <v>41096</v>
      </c>
      <c r="MW22" s="20">
        <v>41096</v>
      </c>
      <c r="MX22" s="20">
        <v>41096</v>
      </c>
      <c r="MY22" s="20">
        <v>41096</v>
      </c>
      <c r="MZ22" s="20">
        <v>41096</v>
      </c>
      <c r="NA22" s="20"/>
      <c r="NB22" s="20"/>
      <c r="NC22" s="20"/>
      <c r="ND22" s="20"/>
      <c r="NE22" s="20"/>
      <c r="NF22" s="20"/>
      <c r="NG22" s="20"/>
      <c r="NH22" s="21">
        <f t="shared" si="21"/>
        <v>410960</v>
      </c>
      <c r="NI22" s="50">
        <v>3</v>
      </c>
      <c r="NJ22" s="21">
        <f t="shared" si="38"/>
        <v>1232880</v>
      </c>
      <c r="NK22" s="111"/>
      <c r="NM22" s="108"/>
      <c r="NN22" s="24" t="s">
        <v>46</v>
      </c>
      <c r="NO22" s="20"/>
      <c r="NP22" s="20"/>
      <c r="NQ22" s="20"/>
      <c r="NR22" s="20"/>
      <c r="NS22" s="20"/>
      <c r="NT22" s="20"/>
      <c r="NU22" s="20"/>
      <c r="NV22" s="20">
        <v>41096</v>
      </c>
      <c r="NW22" s="20">
        <v>41096</v>
      </c>
      <c r="NX22" s="20">
        <v>41096</v>
      </c>
      <c r="NY22" s="20">
        <v>41096</v>
      </c>
      <c r="NZ22" s="20">
        <v>41096</v>
      </c>
      <c r="OA22" s="20">
        <v>41096</v>
      </c>
      <c r="OB22" s="20">
        <v>41096</v>
      </c>
      <c r="OC22" s="20">
        <v>41096</v>
      </c>
      <c r="OD22" s="20">
        <v>41096</v>
      </c>
      <c r="OE22" s="20">
        <v>41096</v>
      </c>
      <c r="OF22" s="20"/>
      <c r="OG22" s="20"/>
      <c r="OH22" s="20"/>
      <c r="OI22" s="20"/>
      <c r="OJ22" s="20"/>
      <c r="OK22" s="20"/>
      <c r="OL22" s="20"/>
      <c r="OM22" s="21">
        <f t="shared" si="23"/>
        <v>410960</v>
      </c>
      <c r="ON22" s="50">
        <v>3</v>
      </c>
      <c r="OO22" s="21">
        <f t="shared" si="39"/>
        <v>1232880</v>
      </c>
      <c r="OP22" s="111"/>
      <c r="OR22" s="108"/>
      <c r="OS22" s="24" t="s">
        <v>46</v>
      </c>
      <c r="OT22" s="20"/>
      <c r="OU22" s="20"/>
      <c r="OV22" s="20"/>
      <c r="OW22" s="20"/>
      <c r="OX22" s="20"/>
      <c r="OY22" s="20"/>
      <c r="OZ22" s="20"/>
      <c r="PA22" s="20">
        <v>41096</v>
      </c>
      <c r="PB22" s="20">
        <v>41096</v>
      </c>
      <c r="PC22" s="20">
        <v>41096</v>
      </c>
      <c r="PD22" s="20">
        <v>41096</v>
      </c>
      <c r="PE22" s="20">
        <v>41096</v>
      </c>
      <c r="PF22" s="20">
        <v>41096</v>
      </c>
      <c r="PG22" s="20">
        <v>41096</v>
      </c>
      <c r="PH22" s="20">
        <v>41096</v>
      </c>
      <c r="PI22" s="20">
        <v>41096</v>
      </c>
      <c r="PJ22" s="20">
        <v>41096</v>
      </c>
      <c r="PK22" s="20"/>
      <c r="PL22" s="20"/>
      <c r="PM22" s="20"/>
      <c r="PN22" s="20"/>
      <c r="PO22" s="20"/>
      <c r="PP22" s="20"/>
      <c r="PQ22" s="20"/>
      <c r="PR22" s="21">
        <f t="shared" si="25"/>
        <v>410960</v>
      </c>
      <c r="PS22" s="64">
        <v>0</v>
      </c>
      <c r="PT22" s="21">
        <f t="shared" si="40"/>
        <v>0</v>
      </c>
      <c r="PU22" s="111"/>
    </row>
    <row r="23" spans="3:437" x14ac:dyDescent="0.35">
      <c r="C23" s="106">
        <v>46508</v>
      </c>
      <c r="D23" s="19" t="s">
        <v>43</v>
      </c>
      <c r="E23" s="20"/>
      <c r="F23" s="92"/>
      <c r="G23" s="20"/>
      <c r="H23" s="20"/>
      <c r="I23" s="20"/>
      <c r="J23" s="20"/>
      <c r="K23" s="20"/>
      <c r="L23" s="20">
        <v>41096</v>
      </c>
      <c r="M23" s="20">
        <v>41096</v>
      </c>
      <c r="N23" s="20">
        <v>41096</v>
      </c>
      <c r="O23" s="20">
        <v>41096</v>
      </c>
      <c r="P23" s="20">
        <v>41096</v>
      </c>
      <c r="Q23" s="20">
        <v>41096</v>
      </c>
      <c r="R23" s="20">
        <v>41096</v>
      </c>
      <c r="S23" s="20">
        <v>41096</v>
      </c>
      <c r="T23" s="20">
        <v>41096</v>
      </c>
      <c r="U23" s="20">
        <v>41096</v>
      </c>
      <c r="V23" s="20"/>
      <c r="W23" s="20"/>
      <c r="X23" s="20"/>
      <c r="Y23" s="20"/>
      <c r="Z23" s="20"/>
      <c r="AA23" s="20"/>
      <c r="AB23" s="20"/>
      <c r="AC23" s="21">
        <f t="shared" si="0"/>
        <v>410960</v>
      </c>
      <c r="AD23" s="22">
        <v>19</v>
      </c>
      <c r="AE23" s="21">
        <f t="shared" si="27"/>
        <v>7808240</v>
      </c>
      <c r="AF23" s="109">
        <f>+SUM(AE23:AE26)</f>
        <v>12739760</v>
      </c>
      <c r="AH23" s="106">
        <v>46874</v>
      </c>
      <c r="AI23" s="19" t="s">
        <v>43</v>
      </c>
      <c r="AJ23" s="20"/>
      <c r="AK23" s="20"/>
      <c r="AL23" s="20"/>
      <c r="AM23" s="20"/>
      <c r="AN23" s="20"/>
      <c r="AO23" s="20"/>
      <c r="AP23" s="20"/>
      <c r="AQ23" s="20">
        <v>41096</v>
      </c>
      <c r="AR23" s="20">
        <v>41096</v>
      </c>
      <c r="AS23" s="20">
        <v>41096</v>
      </c>
      <c r="AT23" s="20">
        <v>41096</v>
      </c>
      <c r="AU23" s="20">
        <v>41096</v>
      </c>
      <c r="AV23" s="20">
        <v>41096</v>
      </c>
      <c r="AW23" s="20">
        <v>41096</v>
      </c>
      <c r="AX23" s="20">
        <v>41096</v>
      </c>
      <c r="AY23" s="20">
        <v>41096</v>
      </c>
      <c r="AZ23" s="20">
        <v>41096</v>
      </c>
      <c r="BA23" s="20"/>
      <c r="BB23" s="20"/>
      <c r="BC23" s="20"/>
      <c r="BD23" s="20"/>
      <c r="BE23" s="20"/>
      <c r="BF23" s="20"/>
      <c r="BG23" s="20"/>
      <c r="BH23" s="21">
        <f t="shared" si="2"/>
        <v>410960</v>
      </c>
      <c r="BI23" s="48">
        <v>21</v>
      </c>
      <c r="BJ23" s="21">
        <f t="shared" si="28"/>
        <v>8630160</v>
      </c>
      <c r="BK23" s="109">
        <f>+SUM(BJ23:BJ26)</f>
        <v>12739760</v>
      </c>
      <c r="BM23" s="106">
        <v>47239</v>
      </c>
      <c r="BN23" s="19" t="s">
        <v>43</v>
      </c>
      <c r="BO23" s="20"/>
      <c r="BP23" s="20"/>
      <c r="BQ23" s="20"/>
      <c r="BR23" s="20"/>
      <c r="BS23" s="20"/>
      <c r="BT23" s="20"/>
      <c r="BU23" s="20"/>
      <c r="BV23" s="20">
        <v>41096</v>
      </c>
      <c r="BW23" s="20">
        <v>41096</v>
      </c>
      <c r="BX23" s="20">
        <v>41096</v>
      </c>
      <c r="BY23" s="20">
        <v>41096</v>
      </c>
      <c r="BZ23" s="20">
        <v>41096</v>
      </c>
      <c r="CA23" s="20">
        <v>41096</v>
      </c>
      <c r="CB23" s="20">
        <v>41096</v>
      </c>
      <c r="CC23" s="20">
        <v>41096</v>
      </c>
      <c r="CD23" s="20">
        <v>41096</v>
      </c>
      <c r="CE23" s="20">
        <v>41096</v>
      </c>
      <c r="CF23" s="20"/>
      <c r="CG23" s="20"/>
      <c r="CH23" s="20"/>
      <c r="CI23" s="20"/>
      <c r="CJ23" s="20"/>
      <c r="CK23" s="20"/>
      <c r="CL23" s="20"/>
      <c r="CM23" s="21">
        <f t="shared" si="4"/>
        <v>410960</v>
      </c>
      <c r="CN23" s="48">
        <v>21</v>
      </c>
      <c r="CO23" s="21">
        <f t="shared" si="29"/>
        <v>8630160</v>
      </c>
      <c r="CP23" s="109">
        <f>+SUM(CO23:CO26)</f>
        <v>12739760</v>
      </c>
      <c r="CS23" s="106">
        <v>47604</v>
      </c>
      <c r="CT23" s="19" t="s">
        <v>43</v>
      </c>
      <c r="CU23" s="20"/>
      <c r="CV23" s="20"/>
      <c r="CW23" s="20"/>
      <c r="CX23" s="20"/>
      <c r="CY23" s="20"/>
      <c r="CZ23" s="20"/>
      <c r="DA23" s="20"/>
      <c r="DB23" s="20">
        <v>41096</v>
      </c>
      <c r="DC23" s="20">
        <v>41096</v>
      </c>
      <c r="DD23" s="20">
        <v>41096</v>
      </c>
      <c r="DE23" s="20">
        <v>41096</v>
      </c>
      <c r="DF23" s="20">
        <v>41096</v>
      </c>
      <c r="DG23" s="20">
        <v>41096</v>
      </c>
      <c r="DH23" s="20">
        <v>41096</v>
      </c>
      <c r="DI23" s="20">
        <v>41096</v>
      </c>
      <c r="DJ23" s="20">
        <v>41096</v>
      </c>
      <c r="DK23" s="20">
        <v>41096</v>
      </c>
      <c r="DL23" s="20"/>
      <c r="DM23" s="20"/>
      <c r="DN23" s="20"/>
      <c r="DO23" s="20"/>
      <c r="DP23" s="20"/>
      <c r="DQ23" s="20"/>
      <c r="DR23" s="20"/>
      <c r="DS23" s="21">
        <f t="shared" si="6"/>
        <v>410960</v>
      </c>
      <c r="DT23" s="48">
        <v>22</v>
      </c>
      <c r="DU23" s="21">
        <f t="shared" si="30"/>
        <v>9041120</v>
      </c>
      <c r="DV23" s="109">
        <f>+SUM(DU23:DU26)</f>
        <v>12739760</v>
      </c>
      <c r="DY23" s="106">
        <v>47969</v>
      </c>
      <c r="DZ23" s="19" t="s">
        <v>43</v>
      </c>
      <c r="EA23" s="20"/>
      <c r="EB23" s="20"/>
      <c r="EC23" s="20"/>
      <c r="ED23" s="20"/>
      <c r="EE23" s="20"/>
      <c r="EF23" s="20"/>
      <c r="EG23" s="20"/>
      <c r="EH23" s="20">
        <v>41096</v>
      </c>
      <c r="EI23" s="20">
        <v>41096</v>
      </c>
      <c r="EJ23" s="20">
        <v>41096</v>
      </c>
      <c r="EK23" s="20">
        <v>41096</v>
      </c>
      <c r="EL23" s="20">
        <v>41096</v>
      </c>
      <c r="EM23" s="20">
        <v>41096</v>
      </c>
      <c r="EN23" s="20">
        <v>41096</v>
      </c>
      <c r="EO23" s="20">
        <v>41096</v>
      </c>
      <c r="EP23" s="20">
        <v>41096</v>
      </c>
      <c r="EQ23" s="20">
        <v>41096</v>
      </c>
      <c r="ER23" s="20"/>
      <c r="ES23" s="20"/>
      <c r="ET23" s="20"/>
      <c r="EU23" s="20"/>
      <c r="EV23" s="20"/>
      <c r="EW23" s="20"/>
      <c r="EX23" s="20"/>
      <c r="EY23" s="21">
        <f t="shared" si="7"/>
        <v>410960</v>
      </c>
      <c r="EZ23" s="48">
        <v>20</v>
      </c>
      <c r="FA23" s="21">
        <f t="shared" si="31"/>
        <v>8219200</v>
      </c>
      <c r="FB23" s="109">
        <f>+SUM(FA23:FA26)</f>
        <v>12739760</v>
      </c>
      <c r="FD23" s="106">
        <v>48335</v>
      </c>
      <c r="FE23" s="19" t="s">
        <v>43</v>
      </c>
      <c r="FF23" s="20"/>
      <c r="FG23" s="20"/>
      <c r="FH23" s="20"/>
      <c r="FI23" s="20"/>
      <c r="FJ23" s="20"/>
      <c r="FK23" s="20"/>
      <c r="FL23" s="20"/>
      <c r="FM23" s="20">
        <v>41096</v>
      </c>
      <c r="FN23" s="20">
        <v>41096</v>
      </c>
      <c r="FO23" s="20">
        <v>41096</v>
      </c>
      <c r="FP23" s="20">
        <v>41096</v>
      </c>
      <c r="FQ23" s="20">
        <v>41096</v>
      </c>
      <c r="FR23" s="20">
        <v>41096</v>
      </c>
      <c r="FS23" s="20">
        <v>41096</v>
      </c>
      <c r="FT23" s="20">
        <v>41096</v>
      </c>
      <c r="FU23" s="20">
        <v>41096</v>
      </c>
      <c r="FV23" s="20">
        <v>41096</v>
      </c>
      <c r="FW23" s="20"/>
      <c r="FX23" s="20"/>
      <c r="FY23" s="20"/>
      <c r="FZ23" s="20"/>
      <c r="GA23" s="20"/>
      <c r="GB23" s="20"/>
      <c r="GC23" s="20"/>
      <c r="GD23" s="21">
        <f t="shared" si="9"/>
        <v>410960</v>
      </c>
      <c r="GE23" s="48">
        <v>19</v>
      </c>
      <c r="GF23" s="21">
        <f t="shared" si="32"/>
        <v>7808240</v>
      </c>
      <c r="GG23" s="109">
        <f>+SUM(GF23:GF26)</f>
        <v>12739760</v>
      </c>
      <c r="GI23" s="106">
        <v>48700</v>
      </c>
      <c r="GJ23" s="19" t="s">
        <v>43</v>
      </c>
      <c r="GK23" s="20"/>
      <c r="GL23" s="20"/>
      <c r="GM23" s="20"/>
      <c r="GN23" s="20"/>
      <c r="GO23" s="20"/>
      <c r="GP23" s="20"/>
      <c r="GQ23" s="20"/>
      <c r="GR23" s="20">
        <v>41096</v>
      </c>
      <c r="GS23" s="20">
        <v>41096</v>
      </c>
      <c r="GT23" s="20">
        <v>41096</v>
      </c>
      <c r="GU23" s="20">
        <v>41096</v>
      </c>
      <c r="GV23" s="20">
        <v>41096</v>
      </c>
      <c r="GW23" s="20">
        <v>41096</v>
      </c>
      <c r="GX23" s="20">
        <v>41096</v>
      </c>
      <c r="GY23" s="20">
        <v>41096</v>
      </c>
      <c r="GZ23" s="20">
        <v>41096</v>
      </c>
      <c r="HA23" s="20">
        <v>41096</v>
      </c>
      <c r="HB23" s="20"/>
      <c r="HC23" s="20"/>
      <c r="HD23" s="20"/>
      <c r="HE23" s="20"/>
      <c r="HF23" s="20"/>
      <c r="HG23" s="20"/>
      <c r="HH23" s="20"/>
      <c r="HI23" s="21">
        <f t="shared" si="11"/>
        <v>410960</v>
      </c>
      <c r="HJ23" s="48">
        <v>21</v>
      </c>
      <c r="HK23" s="21">
        <f t="shared" si="33"/>
        <v>8630160</v>
      </c>
      <c r="HL23" s="109">
        <f>+SUM(HK23:HK26)</f>
        <v>12739760</v>
      </c>
      <c r="HN23" s="106">
        <v>49065</v>
      </c>
      <c r="HO23" s="19" t="s">
        <v>43</v>
      </c>
      <c r="HP23" s="20"/>
      <c r="HQ23" s="20"/>
      <c r="HR23" s="20"/>
      <c r="HS23" s="20"/>
      <c r="HT23" s="20"/>
      <c r="HU23" s="20"/>
      <c r="HV23" s="20"/>
      <c r="HW23" s="20">
        <v>41096</v>
      </c>
      <c r="HX23" s="20">
        <v>41096</v>
      </c>
      <c r="HY23" s="20">
        <v>41096</v>
      </c>
      <c r="HZ23" s="20">
        <v>41096</v>
      </c>
      <c r="IA23" s="20">
        <v>41096</v>
      </c>
      <c r="IB23" s="20">
        <v>41096</v>
      </c>
      <c r="IC23" s="20">
        <v>41096</v>
      </c>
      <c r="ID23" s="20">
        <v>41096</v>
      </c>
      <c r="IE23" s="20">
        <v>41096</v>
      </c>
      <c r="IF23" s="20">
        <v>41096</v>
      </c>
      <c r="IG23" s="20"/>
      <c r="IH23" s="20"/>
      <c r="II23" s="20"/>
      <c r="IJ23" s="20"/>
      <c r="IK23" s="20"/>
      <c r="IL23" s="20"/>
      <c r="IM23" s="20"/>
      <c r="IN23" s="21">
        <f t="shared" si="13"/>
        <v>410960</v>
      </c>
      <c r="IO23" s="48">
        <v>21</v>
      </c>
      <c r="IP23" s="21">
        <f t="shared" si="34"/>
        <v>8630160</v>
      </c>
      <c r="IQ23" s="109">
        <f>+SUM(IP23:IP26)</f>
        <v>12739760</v>
      </c>
      <c r="IS23" s="106">
        <v>49430</v>
      </c>
      <c r="IT23" s="19" t="s">
        <v>43</v>
      </c>
      <c r="IU23" s="20"/>
      <c r="IV23" s="20"/>
      <c r="IW23" s="20"/>
      <c r="IX23" s="20"/>
      <c r="IY23" s="20"/>
      <c r="IZ23" s="20"/>
      <c r="JA23" s="20"/>
      <c r="JB23" s="20">
        <v>41096</v>
      </c>
      <c r="JC23" s="20">
        <v>41096</v>
      </c>
      <c r="JD23" s="20">
        <v>41096</v>
      </c>
      <c r="JE23" s="20">
        <v>41096</v>
      </c>
      <c r="JF23" s="20">
        <v>41096</v>
      </c>
      <c r="JG23" s="20">
        <v>41096</v>
      </c>
      <c r="JH23" s="20">
        <v>41096</v>
      </c>
      <c r="JI23" s="20">
        <v>41096</v>
      </c>
      <c r="JJ23" s="20">
        <v>41096</v>
      </c>
      <c r="JK23" s="20">
        <v>41096</v>
      </c>
      <c r="JL23" s="20"/>
      <c r="JM23" s="20"/>
      <c r="JN23" s="20"/>
      <c r="JO23" s="20"/>
      <c r="JP23" s="20"/>
      <c r="JQ23" s="20"/>
      <c r="JR23" s="20"/>
      <c r="JS23" s="21">
        <f t="shared" si="15"/>
        <v>410960</v>
      </c>
      <c r="JT23" s="48">
        <v>20</v>
      </c>
      <c r="JU23" s="21">
        <f t="shared" si="35"/>
        <v>8219200</v>
      </c>
      <c r="JV23" s="109">
        <f>+SUM(JU23:JU26)</f>
        <v>12739760</v>
      </c>
      <c r="JX23" s="106">
        <v>49796</v>
      </c>
      <c r="JY23" s="19" t="s">
        <v>43</v>
      </c>
      <c r="JZ23" s="20"/>
      <c r="KA23" s="20"/>
      <c r="KB23" s="20"/>
      <c r="KC23" s="20"/>
      <c r="KD23" s="20"/>
      <c r="KE23" s="20"/>
      <c r="KF23" s="20"/>
      <c r="KG23" s="20">
        <v>41096</v>
      </c>
      <c r="KH23" s="20">
        <v>41096</v>
      </c>
      <c r="KI23" s="20">
        <v>41096</v>
      </c>
      <c r="KJ23" s="20">
        <v>41096</v>
      </c>
      <c r="KK23" s="20">
        <v>41096</v>
      </c>
      <c r="KL23" s="20">
        <v>41096</v>
      </c>
      <c r="KM23" s="20">
        <v>41096</v>
      </c>
      <c r="KN23" s="20">
        <v>41096</v>
      </c>
      <c r="KO23" s="20">
        <v>41096</v>
      </c>
      <c r="KP23" s="20">
        <v>41096</v>
      </c>
      <c r="KQ23" s="20"/>
      <c r="KR23" s="20"/>
      <c r="KS23" s="20"/>
      <c r="KT23" s="20"/>
      <c r="KU23" s="20"/>
      <c r="KV23" s="20"/>
      <c r="KW23" s="20"/>
      <c r="KX23" s="21">
        <f t="shared" si="17"/>
        <v>410960</v>
      </c>
      <c r="KY23" s="48">
        <v>20</v>
      </c>
      <c r="KZ23" s="21">
        <f t="shared" si="36"/>
        <v>8219200</v>
      </c>
      <c r="LA23" s="109">
        <f>+SUM(KZ23:KZ26)</f>
        <v>12739760</v>
      </c>
      <c r="LC23" s="106">
        <v>50161</v>
      </c>
      <c r="LD23" s="19" t="s">
        <v>43</v>
      </c>
      <c r="LE23" s="20"/>
      <c r="LF23" s="20"/>
      <c r="LG23" s="20"/>
      <c r="LH23" s="20"/>
      <c r="LI23" s="20"/>
      <c r="LJ23" s="20"/>
      <c r="LK23" s="20"/>
      <c r="LL23" s="20">
        <v>41096</v>
      </c>
      <c r="LM23" s="20">
        <v>41096</v>
      </c>
      <c r="LN23" s="20">
        <v>41096</v>
      </c>
      <c r="LO23" s="20">
        <v>41096</v>
      </c>
      <c r="LP23" s="20">
        <v>41096</v>
      </c>
      <c r="LQ23" s="20">
        <v>41096</v>
      </c>
      <c r="LR23" s="20">
        <v>41096</v>
      </c>
      <c r="LS23" s="20">
        <v>41096</v>
      </c>
      <c r="LT23" s="20">
        <v>41096</v>
      </c>
      <c r="LU23" s="20">
        <v>41096</v>
      </c>
      <c r="LV23" s="20"/>
      <c r="LW23" s="20"/>
      <c r="LX23" s="20"/>
      <c r="LY23" s="20"/>
      <c r="LZ23" s="20"/>
      <c r="MA23" s="20"/>
      <c r="MB23" s="20"/>
      <c r="MC23" s="21">
        <f t="shared" si="19"/>
        <v>410960</v>
      </c>
      <c r="MD23" s="48">
        <v>19</v>
      </c>
      <c r="ME23" s="21">
        <f t="shared" si="37"/>
        <v>7808240</v>
      </c>
      <c r="MF23" s="109">
        <f>+SUM(ME23:ME26)</f>
        <v>12739760</v>
      </c>
      <c r="MH23" s="106">
        <v>50526</v>
      </c>
      <c r="MI23" s="19" t="s">
        <v>43</v>
      </c>
      <c r="MJ23" s="20"/>
      <c r="MK23" s="20"/>
      <c r="ML23" s="20"/>
      <c r="MM23" s="20"/>
      <c r="MN23" s="20"/>
      <c r="MO23" s="20"/>
      <c r="MP23" s="20"/>
      <c r="MQ23" s="20">
        <v>41096</v>
      </c>
      <c r="MR23" s="20">
        <v>41096</v>
      </c>
      <c r="MS23" s="20">
        <v>41096</v>
      </c>
      <c r="MT23" s="20">
        <v>41096</v>
      </c>
      <c r="MU23" s="20">
        <v>41096</v>
      </c>
      <c r="MV23" s="20">
        <v>41096</v>
      </c>
      <c r="MW23" s="20">
        <v>41096</v>
      </c>
      <c r="MX23" s="20">
        <v>41096</v>
      </c>
      <c r="MY23" s="20">
        <v>41096</v>
      </c>
      <c r="MZ23" s="20">
        <v>41096</v>
      </c>
      <c r="NA23" s="20"/>
      <c r="NB23" s="20"/>
      <c r="NC23" s="20"/>
      <c r="ND23" s="20"/>
      <c r="NE23" s="20"/>
      <c r="NF23" s="20"/>
      <c r="NG23" s="20"/>
      <c r="NH23" s="21">
        <f t="shared" si="21"/>
        <v>410960</v>
      </c>
      <c r="NI23" s="48">
        <v>21</v>
      </c>
      <c r="NJ23" s="21">
        <f t="shared" si="38"/>
        <v>8630160</v>
      </c>
      <c r="NK23" s="109">
        <f>+SUM(NJ23:NJ26)</f>
        <v>12739760</v>
      </c>
      <c r="NM23" s="106">
        <v>50891</v>
      </c>
      <c r="NN23" s="19" t="s">
        <v>43</v>
      </c>
      <c r="NO23" s="20"/>
      <c r="NP23" s="20"/>
      <c r="NQ23" s="20"/>
      <c r="NR23" s="20"/>
      <c r="NS23" s="20"/>
      <c r="NT23" s="20"/>
      <c r="NU23" s="20"/>
      <c r="NV23" s="20">
        <v>41096</v>
      </c>
      <c r="NW23" s="20">
        <v>41096</v>
      </c>
      <c r="NX23" s="20">
        <v>41096</v>
      </c>
      <c r="NY23" s="20">
        <v>41096</v>
      </c>
      <c r="NZ23" s="20">
        <v>41096</v>
      </c>
      <c r="OA23" s="20">
        <v>41096</v>
      </c>
      <c r="OB23" s="20">
        <v>41096</v>
      </c>
      <c r="OC23" s="20">
        <v>41096</v>
      </c>
      <c r="OD23" s="20">
        <v>41096</v>
      </c>
      <c r="OE23" s="20">
        <v>41096</v>
      </c>
      <c r="OF23" s="20"/>
      <c r="OG23" s="20"/>
      <c r="OH23" s="20"/>
      <c r="OI23" s="20"/>
      <c r="OJ23" s="20"/>
      <c r="OK23" s="20"/>
      <c r="OL23" s="20"/>
      <c r="OM23" s="21">
        <f t="shared" si="23"/>
        <v>410960</v>
      </c>
      <c r="ON23" s="48">
        <v>21</v>
      </c>
      <c r="OO23" s="21">
        <f t="shared" si="39"/>
        <v>8630160</v>
      </c>
      <c r="OP23" s="109">
        <f>+SUM(OO23:OO26)</f>
        <v>12739760</v>
      </c>
      <c r="OR23" s="106">
        <v>51257</v>
      </c>
      <c r="OS23" s="19" t="s">
        <v>43</v>
      </c>
      <c r="OT23" s="20"/>
      <c r="OU23" s="20"/>
      <c r="OV23" s="20"/>
      <c r="OW23" s="20"/>
      <c r="OX23" s="20"/>
      <c r="OY23" s="20"/>
      <c r="OZ23" s="20"/>
      <c r="PA23" s="20">
        <v>41096</v>
      </c>
      <c r="PB23" s="20">
        <v>41096</v>
      </c>
      <c r="PC23" s="20">
        <v>41096</v>
      </c>
      <c r="PD23" s="20">
        <v>41096</v>
      </c>
      <c r="PE23" s="20">
        <v>41096</v>
      </c>
      <c r="PF23" s="20">
        <v>41096</v>
      </c>
      <c r="PG23" s="20">
        <v>41096</v>
      </c>
      <c r="PH23" s="20">
        <v>41096</v>
      </c>
      <c r="PI23" s="20">
        <v>41096</v>
      </c>
      <c r="PJ23" s="20">
        <v>41096</v>
      </c>
      <c r="PK23" s="20"/>
      <c r="PL23" s="20"/>
      <c r="PM23" s="20"/>
      <c r="PN23" s="20"/>
      <c r="PO23" s="20"/>
      <c r="PP23" s="20"/>
      <c r="PQ23" s="20"/>
      <c r="PR23" s="21">
        <f t="shared" si="25"/>
        <v>410960</v>
      </c>
      <c r="PS23" s="63">
        <v>21</v>
      </c>
      <c r="PT23" s="21">
        <f t="shared" si="40"/>
        <v>8630160</v>
      </c>
      <c r="PU23" s="109">
        <f>+SUM(PT23:PT26)</f>
        <v>12739760</v>
      </c>
    </row>
    <row r="24" spans="3:437" x14ac:dyDescent="0.35">
      <c r="C24" s="107"/>
      <c r="D24" s="23" t="s">
        <v>44</v>
      </c>
      <c r="E24" s="20"/>
      <c r="F24" s="92"/>
      <c r="G24" s="20"/>
      <c r="H24" s="20"/>
      <c r="I24" s="20"/>
      <c r="J24" s="20"/>
      <c r="K24" s="20"/>
      <c r="L24" s="20">
        <v>41096</v>
      </c>
      <c r="M24" s="20">
        <v>41096</v>
      </c>
      <c r="N24" s="20">
        <v>41096</v>
      </c>
      <c r="O24" s="20">
        <v>41096</v>
      </c>
      <c r="P24" s="20">
        <v>41096</v>
      </c>
      <c r="Q24" s="20">
        <v>41096</v>
      </c>
      <c r="R24" s="20">
        <v>41096</v>
      </c>
      <c r="S24" s="20">
        <v>41096</v>
      </c>
      <c r="T24" s="20">
        <v>41096</v>
      </c>
      <c r="U24" s="20">
        <v>41096</v>
      </c>
      <c r="V24" s="20"/>
      <c r="W24" s="20"/>
      <c r="X24" s="20"/>
      <c r="Y24" s="20"/>
      <c r="Z24" s="20"/>
      <c r="AA24" s="20"/>
      <c r="AB24" s="20"/>
      <c r="AC24" s="21">
        <f t="shared" si="0"/>
        <v>410960</v>
      </c>
      <c r="AD24" s="22">
        <v>4</v>
      </c>
      <c r="AE24" s="21">
        <f t="shared" si="27"/>
        <v>1643840</v>
      </c>
      <c r="AF24" s="110"/>
      <c r="AH24" s="107"/>
      <c r="AI24" s="23" t="s">
        <v>44</v>
      </c>
      <c r="AJ24" s="20"/>
      <c r="AK24" s="20"/>
      <c r="AL24" s="20"/>
      <c r="AM24" s="20"/>
      <c r="AN24" s="20"/>
      <c r="AO24" s="20"/>
      <c r="AP24" s="20"/>
      <c r="AQ24" s="20">
        <v>41096</v>
      </c>
      <c r="AR24" s="20">
        <v>41096</v>
      </c>
      <c r="AS24" s="20">
        <v>41096</v>
      </c>
      <c r="AT24" s="20">
        <v>41096</v>
      </c>
      <c r="AU24" s="20">
        <v>41096</v>
      </c>
      <c r="AV24" s="20">
        <v>41096</v>
      </c>
      <c r="AW24" s="20">
        <v>41096</v>
      </c>
      <c r="AX24" s="20">
        <v>41096</v>
      </c>
      <c r="AY24" s="20">
        <v>41096</v>
      </c>
      <c r="AZ24" s="20">
        <v>41096</v>
      </c>
      <c r="BA24" s="20"/>
      <c r="BB24" s="20"/>
      <c r="BC24" s="20"/>
      <c r="BD24" s="20"/>
      <c r="BE24" s="20"/>
      <c r="BF24" s="20"/>
      <c r="BG24" s="20"/>
      <c r="BH24" s="21">
        <f t="shared" si="2"/>
        <v>410960</v>
      </c>
      <c r="BI24" s="49">
        <v>4</v>
      </c>
      <c r="BJ24" s="21">
        <f t="shared" si="28"/>
        <v>1643840</v>
      </c>
      <c r="BK24" s="110"/>
      <c r="BM24" s="107"/>
      <c r="BN24" s="23" t="s">
        <v>44</v>
      </c>
      <c r="BO24" s="20"/>
      <c r="BP24" s="20"/>
      <c r="BQ24" s="20"/>
      <c r="BR24" s="20"/>
      <c r="BS24" s="20"/>
      <c r="BT24" s="20"/>
      <c r="BU24" s="20"/>
      <c r="BV24" s="20">
        <v>41096</v>
      </c>
      <c r="BW24" s="20">
        <v>41096</v>
      </c>
      <c r="BX24" s="20">
        <v>41096</v>
      </c>
      <c r="BY24" s="20">
        <v>41096</v>
      </c>
      <c r="BZ24" s="20">
        <v>41096</v>
      </c>
      <c r="CA24" s="20">
        <v>41096</v>
      </c>
      <c r="CB24" s="20">
        <v>41096</v>
      </c>
      <c r="CC24" s="20">
        <v>41096</v>
      </c>
      <c r="CD24" s="20">
        <v>41096</v>
      </c>
      <c r="CE24" s="20">
        <v>41096</v>
      </c>
      <c r="CF24" s="20"/>
      <c r="CG24" s="20"/>
      <c r="CH24" s="20"/>
      <c r="CI24" s="20"/>
      <c r="CJ24" s="20"/>
      <c r="CK24" s="20"/>
      <c r="CL24" s="20"/>
      <c r="CM24" s="21">
        <f t="shared" si="4"/>
        <v>410960</v>
      </c>
      <c r="CN24" s="49">
        <v>4</v>
      </c>
      <c r="CO24" s="21">
        <f t="shared" si="29"/>
        <v>1643840</v>
      </c>
      <c r="CP24" s="110"/>
      <c r="CS24" s="107"/>
      <c r="CT24" s="23" t="s">
        <v>44</v>
      </c>
      <c r="CU24" s="20"/>
      <c r="CV24" s="20"/>
      <c r="CW24" s="20"/>
      <c r="CX24" s="20"/>
      <c r="CY24" s="20"/>
      <c r="CZ24" s="20"/>
      <c r="DA24" s="20"/>
      <c r="DB24" s="20">
        <v>41096</v>
      </c>
      <c r="DC24" s="20">
        <v>41096</v>
      </c>
      <c r="DD24" s="20">
        <v>41096</v>
      </c>
      <c r="DE24" s="20">
        <v>41096</v>
      </c>
      <c r="DF24" s="20">
        <v>41096</v>
      </c>
      <c r="DG24" s="20">
        <v>41096</v>
      </c>
      <c r="DH24" s="20">
        <v>41096</v>
      </c>
      <c r="DI24" s="20">
        <v>41096</v>
      </c>
      <c r="DJ24" s="20">
        <v>41096</v>
      </c>
      <c r="DK24" s="20">
        <v>41096</v>
      </c>
      <c r="DL24" s="20"/>
      <c r="DM24" s="20"/>
      <c r="DN24" s="20"/>
      <c r="DO24" s="20"/>
      <c r="DP24" s="20"/>
      <c r="DQ24" s="20"/>
      <c r="DR24" s="20"/>
      <c r="DS24" s="21">
        <f t="shared" si="6"/>
        <v>410960</v>
      </c>
      <c r="DT24" s="49">
        <v>4</v>
      </c>
      <c r="DU24" s="21">
        <f t="shared" si="30"/>
        <v>1643840</v>
      </c>
      <c r="DV24" s="110"/>
      <c r="DY24" s="107"/>
      <c r="DZ24" s="23" t="s">
        <v>44</v>
      </c>
      <c r="EA24" s="20"/>
      <c r="EB24" s="20"/>
      <c r="EC24" s="20"/>
      <c r="ED24" s="20"/>
      <c r="EE24" s="20"/>
      <c r="EF24" s="20"/>
      <c r="EG24" s="20"/>
      <c r="EH24" s="20">
        <v>41096</v>
      </c>
      <c r="EI24" s="20">
        <v>41096</v>
      </c>
      <c r="EJ24" s="20">
        <v>41096</v>
      </c>
      <c r="EK24" s="20">
        <v>41096</v>
      </c>
      <c r="EL24" s="20">
        <v>41096</v>
      </c>
      <c r="EM24" s="20">
        <v>41096</v>
      </c>
      <c r="EN24" s="20">
        <v>41096</v>
      </c>
      <c r="EO24" s="20">
        <v>41096</v>
      </c>
      <c r="EP24" s="20">
        <v>41096</v>
      </c>
      <c r="EQ24" s="20">
        <v>41096</v>
      </c>
      <c r="ER24" s="20"/>
      <c r="ES24" s="20"/>
      <c r="ET24" s="20"/>
      <c r="EU24" s="20"/>
      <c r="EV24" s="20"/>
      <c r="EW24" s="20"/>
      <c r="EX24" s="20"/>
      <c r="EY24" s="21">
        <f t="shared" si="7"/>
        <v>410960</v>
      </c>
      <c r="EZ24" s="49">
        <v>5</v>
      </c>
      <c r="FA24" s="21">
        <f t="shared" si="31"/>
        <v>2054800</v>
      </c>
      <c r="FB24" s="110"/>
      <c r="FD24" s="107"/>
      <c r="FE24" s="23" t="s">
        <v>44</v>
      </c>
      <c r="FF24" s="20"/>
      <c r="FG24" s="20"/>
      <c r="FH24" s="20"/>
      <c r="FI24" s="20"/>
      <c r="FJ24" s="20"/>
      <c r="FK24" s="20"/>
      <c r="FL24" s="20"/>
      <c r="FM24" s="20">
        <v>41096</v>
      </c>
      <c r="FN24" s="20">
        <v>41096</v>
      </c>
      <c r="FO24" s="20">
        <v>41096</v>
      </c>
      <c r="FP24" s="20">
        <v>41096</v>
      </c>
      <c r="FQ24" s="20">
        <v>41096</v>
      </c>
      <c r="FR24" s="20">
        <v>41096</v>
      </c>
      <c r="FS24" s="20">
        <v>41096</v>
      </c>
      <c r="FT24" s="20">
        <v>41096</v>
      </c>
      <c r="FU24" s="20">
        <v>41096</v>
      </c>
      <c r="FV24" s="20">
        <v>41096</v>
      </c>
      <c r="FW24" s="20"/>
      <c r="FX24" s="20"/>
      <c r="FY24" s="20"/>
      <c r="FZ24" s="20"/>
      <c r="GA24" s="20"/>
      <c r="GB24" s="20"/>
      <c r="GC24" s="20"/>
      <c r="GD24" s="21">
        <f t="shared" si="9"/>
        <v>410960</v>
      </c>
      <c r="GE24" s="49">
        <v>4</v>
      </c>
      <c r="GF24" s="21">
        <f t="shared" si="32"/>
        <v>1643840</v>
      </c>
      <c r="GG24" s="110"/>
      <c r="GI24" s="107"/>
      <c r="GJ24" s="23" t="s">
        <v>44</v>
      </c>
      <c r="GK24" s="20"/>
      <c r="GL24" s="20"/>
      <c r="GM24" s="20"/>
      <c r="GN24" s="20"/>
      <c r="GO24" s="20"/>
      <c r="GP24" s="20"/>
      <c r="GQ24" s="20"/>
      <c r="GR24" s="20">
        <v>41096</v>
      </c>
      <c r="GS24" s="20">
        <v>41096</v>
      </c>
      <c r="GT24" s="20">
        <v>41096</v>
      </c>
      <c r="GU24" s="20">
        <v>41096</v>
      </c>
      <c r="GV24" s="20">
        <v>41096</v>
      </c>
      <c r="GW24" s="20">
        <v>41096</v>
      </c>
      <c r="GX24" s="20">
        <v>41096</v>
      </c>
      <c r="GY24" s="20">
        <v>41096</v>
      </c>
      <c r="GZ24" s="20">
        <v>41096</v>
      </c>
      <c r="HA24" s="20">
        <v>41096</v>
      </c>
      <c r="HB24" s="20"/>
      <c r="HC24" s="20"/>
      <c r="HD24" s="20"/>
      <c r="HE24" s="20"/>
      <c r="HF24" s="20"/>
      <c r="HG24" s="20"/>
      <c r="HH24" s="20"/>
      <c r="HI24" s="21">
        <f t="shared" si="11"/>
        <v>410960</v>
      </c>
      <c r="HJ24" s="49">
        <v>4</v>
      </c>
      <c r="HK24" s="21">
        <f t="shared" si="33"/>
        <v>1643840</v>
      </c>
      <c r="HL24" s="110"/>
      <c r="HN24" s="107"/>
      <c r="HO24" s="23" t="s">
        <v>44</v>
      </c>
      <c r="HP24" s="20"/>
      <c r="HQ24" s="20"/>
      <c r="HR24" s="20"/>
      <c r="HS24" s="20"/>
      <c r="HT24" s="20"/>
      <c r="HU24" s="20"/>
      <c r="HV24" s="20"/>
      <c r="HW24" s="20">
        <v>41096</v>
      </c>
      <c r="HX24" s="20">
        <v>41096</v>
      </c>
      <c r="HY24" s="20">
        <v>41096</v>
      </c>
      <c r="HZ24" s="20">
        <v>41096</v>
      </c>
      <c r="IA24" s="20">
        <v>41096</v>
      </c>
      <c r="IB24" s="20">
        <v>41096</v>
      </c>
      <c r="IC24" s="20">
        <v>41096</v>
      </c>
      <c r="ID24" s="20">
        <v>41096</v>
      </c>
      <c r="IE24" s="20">
        <v>41096</v>
      </c>
      <c r="IF24" s="20">
        <v>41096</v>
      </c>
      <c r="IG24" s="20"/>
      <c r="IH24" s="20"/>
      <c r="II24" s="20"/>
      <c r="IJ24" s="20"/>
      <c r="IK24" s="20"/>
      <c r="IL24" s="20"/>
      <c r="IM24" s="20"/>
      <c r="IN24" s="21">
        <f t="shared" si="13"/>
        <v>410960</v>
      </c>
      <c r="IO24" s="49">
        <v>4</v>
      </c>
      <c r="IP24" s="21">
        <f t="shared" si="34"/>
        <v>1643840</v>
      </c>
      <c r="IQ24" s="110"/>
      <c r="IS24" s="107"/>
      <c r="IT24" s="23" t="s">
        <v>44</v>
      </c>
      <c r="IU24" s="20"/>
      <c r="IV24" s="20"/>
      <c r="IW24" s="20"/>
      <c r="IX24" s="20"/>
      <c r="IY24" s="20"/>
      <c r="IZ24" s="20"/>
      <c r="JA24" s="20"/>
      <c r="JB24" s="20">
        <v>41096</v>
      </c>
      <c r="JC24" s="20">
        <v>41096</v>
      </c>
      <c r="JD24" s="20">
        <v>41096</v>
      </c>
      <c r="JE24" s="20">
        <v>41096</v>
      </c>
      <c r="JF24" s="20">
        <v>41096</v>
      </c>
      <c r="JG24" s="20">
        <v>41096</v>
      </c>
      <c r="JH24" s="20">
        <v>41096</v>
      </c>
      <c r="JI24" s="20">
        <v>41096</v>
      </c>
      <c r="JJ24" s="20">
        <v>41096</v>
      </c>
      <c r="JK24" s="20">
        <v>41096</v>
      </c>
      <c r="JL24" s="20"/>
      <c r="JM24" s="20"/>
      <c r="JN24" s="20"/>
      <c r="JO24" s="20"/>
      <c r="JP24" s="20"/>
      <c r="JQ24" s="20"/>
      <c r="JR24" s="20"/>
      <c r="JS24" s="21">
        <f t="shared" si="15"/>
        <v>410960</v>
      </c>
      <c r="JT24" s="49">
        <v>4</v>
      </c>
      <c r="JU24" s="21">
        <f t="shared" si="35"/>
        <v>1643840</v>
      </c>
      <c r="JV24" s="110"/>
      <c r="JX24" s="107"/>
      <c r="JY24" s="23" t="s">
        <v>44</v>
      </c>
      <c r="JZ24" s="20"/>
      <c r="KA24" s="20"/>
      <c r="KB24" s="20"/>
      <c r="KC24" s="20"/>
      <c r="KD24" s="20"/>
      <c r="KE24" s="20"/>
      <c r="KF24" s="20"/>
      <c r="KG24" s="20">
        <v>41096</v>
      </c>
      <c r="KH24" s="20">
        <v>41096</v>
      </c>
      <c r="KI24" s="20">
        <v>41096</v>
      </c>
      <c r="KJ24" s="20">
        <v>41096</v>
      </c>
      <c r="KK24" s="20">
        <v>41096</v>
      </c>
      <c r="KL24" s="20">
        <v>41096</v>
      </c>
      <c r="KM24" s="20">
        <v>41096</v>
      </c>
      <c r="KN24" s="20">
        <v>41096</v>
      </c>
      <c r="KO24" s="20">
        <v>41096</v>
      </c>
      <c r="KP24" s="20">
        <v>41096</v>
      </c>
      <c r="KQ24" s="20"/>
      <c r="KR24" s="20"/>
      <c r="KS24" s="20"/>
      <c r="KT24" s="20"/>
      <c r="KU24" s="20"/>
      <c r="KV24" s="20"/>
      <c r="KW24" s="20"/>
      <c r="KX24" s="21">
        <f t="shared" si="17"/>
        <v>410960</v>
      </c>
      <c r="KY24" s="49">
        <v>5</v>
      </c>
      <c r="KZ24" s="21">
        <f t="shared" si="36"/>
        <v>2054800</v>
      </c>
      <c r="LA24" s="110"/>
      <c r="LC24" s="107"/>
      <c r="LD24" s="23" t="s">
        <v>44</v>
      </c>
      <c r="LE24" s="20"/>
      <c r="LF24" s="20"/>
      <c r="LG24" s="20"/>
      <c r="LH24" s="20"/>
      <c r="LI24" s="20"/>
      <c r="LJ24" s="20"/>
      <c r="LK24" s="20"/>
      <c r="LL24" s="20">
        <v>41096</v>
      </c>
      <c r="LM24" s="20">
        <v>41096</v>
      </c>
      <c r="LN24" s="20">
        <v>41096</v>
      </c>
      <c r="LO24" s="20">
        <v>41096</v>
      </c>
      <c r="LP24" s="20">
        <v>41096</v>
      </c>
      <c r="LQ24" s="20">
        <v>41096</v>
      </c>
      <c r="LR24" s="20">
        <v>41096</v>
      </c>
      <c r="LS24" s="20">
        <v>41096</v>
      </c>
      <c r="LT24" s="20">
        <v>41096</v>
      </c>
      <c r="LU24" s="20">
        <v>41096</v>
      </c>
      <c r="LV24" s="20"/>
      <c r="LW24" s="20"/>
      <c r="LX24" s="20"/>
      <c r="LY24" s="20"/>
      <c r="LZ24" s="20"/>
      <c r="MA24" s="20"/>
      <c r="MB24" s="20"/>
      <c r="MC24" s="21">
        <f t="shared" si="19"/>
        <v>410960</v>
      </c>
      <c r="MD24" s="49">
        <v>5</v>
      </c>
      <c r="ME24" s="21">
        <f t="shared" si="37"/>
        <v>2054800</v>
      </c>
      <c r="MF24" s="110"/>
      <c r="MH24" s="107"/>
      <c r="MI24" s="23" t="s">
        <v>44</v>
      </c>
      <c r="MJ24" s="20"/>
      <c r="MK24" s="20"/>
      <c r="ML24" s="20"/>
      <c r="MM24" s="20"/>
      <c r="MN24" s="20"/>
      <c r="MO24" s="20"/>
      <c r="MP24" s="20"/>
      <c r="MQ24" s="20">
        <v>41096</v>
      </c>
      <c r="MR24" s="20">
        <v>41096</v>
      </c>
      <c r="MS24" s="20">
        <v>41096</v>
      </c>
      <c r="MT24" s="20">
        <v>41096</v>
      </c>
      <c r="MU24" s="20">
        <v>41096</v>
      </c>
      <c r="MV24" s="20">
        <v>41096</v>
      </c>
      <c r="MW24" s="20">
        <v>41096</v>
      </c>
      <c r="MX24" s="20">
        <v>41096</v>
      </c>
      <c r="MY24" s="20">
        <v>41096</v>
      </c>
      <c r="MZ24" s="20">
        <v>41096</v>
      </c>
      <c r="NA24" s="20"/>
      <c r="NB24" s="20"/>
      <c r="NC24" s="20"/>
      <c r="ND24" s="20"/>
      <c r="NE24" s="20"/>
      <c r="NF24" s="20"/>
      <c r="NG24" s="20"/>
      <c r="NH24" s="21">
        <f t="shared" si="21"/>
        <v>410960</v>
      </c>
      <c r="NI24" s="49">
        <v>4</v>
      </c>
      <c r="NJ24" s="21">
        <f t="shared" si="38"/>
        <v>1643840</v>
      </c>
      <c r="NK24" s="110"/>
      <c r="NM24" s="107"/>
      <c r="NN24" s="23" t="s">
        <v>44</v>
      </c>
      <c r="NO24" s="20"/>
      <c r="NP24" s="20"/>
      <c r="NQ24" s="20"/>
      <c r="NR24" s="20"/>
      <c r="NS24" s="20"/>
      <c r="NT24" s="20"/>
      <c r="NU24" s="20"/>
      <c r="NV24" s="20">
        <v>41096</v>
      </c>
      <c r="NW24" s="20">
        <v>41096</v>
      </c>
      <c r="NX24" s="20">
        <v>41096</v>
      </c>
      <c r="NY24" s="20">
        <v>41096</v>
      </c>
      <c r="NZ24" s="20">
        <v>41096</v>
      </c>
      <c r="OA24" s="20">
        <v>41096</v>
      </c>
      <c r="OB24" s="20">
        <v>41096</v>
      </c>
      <c r="OC24" s="20">
        <v>41096</v>
      </c>
      <c r="OD24" s="20">
        <v>41096</v>
      </c>
      <c r="OE24" s="20">
        <v>41096</v>
      </c>
      <c r="OF24" s="20"/>
      <c r="OG24" s="20"/>
      <c r="OH24" s="20"/>
      <c r="OI24" s="20"/>
      <c r="OJ24" s="20"/>
      <c r="OK24" s="20"/>
      <c r="OL24" s="20"/>
      <c r="OM24" s="21">
        <f t="shared" si="23"/>
        <v>410960</v>
      </c>
      <c r="ON24" s="49">
        <v>4</v>
      </c>
      <c r="OO24" s="21">
        <f t="shared" si="39"/>
        <v>1643840</v>
      </c>
      <c r="OP24" s="110"/>
      <c r="OR24" s="107"/>
      <c r="OS24" s="23" t="s">
        <v>44</v>
      </c>
      <c r="OT24" s="20"/>
      <c r="OU24" s="20"/>
      <c r="OV24" s="20"/>
      <c r="OW24" s="20"/>
      <c r="OX24" s="20"/>
      <c r="OY24" s="20"/>
      <c r="OZ24" s="20"/>
      <c r="PA24" s="20">
        <v>41096</v>
      </c>
      <c r="PB24" s="20">
        <v>41096</v>
      </c>
      <c r="PC24" s="20">
        <v>41096</v>
      </c>
      <c r="PD24" s="20">
        <v>41096</v>
      </c>
      <c r="PE24" s="20">
        <v>41096</v>
      </c>
      <c r="PF24" s="20">
        <v>41096</v>
      </c>
      <c r="PG24" s="20">
        <v>41096</v>
      </c>
      <c r="PH24" s="20">
        <v>41096</v>
      </c>
      <c r="PI24" s="20">
        <v>41096</v>
      </c>
      <c r="PJ24" s="20">
        <v>41096</v>
      </c>
      <c r="PK24" s="20"/>
      <c r="PL24" s="20"/>
      <c r="PM24" s="20"/>
      <c r="PN24" s="20"/>
      <c r="PO24" s="20"/>
      <c r="PP24" s="20"/>
      <c r="PQ24" s="20"/>
      <c r="PR24" s="21">
        <f t="shared" si="25"/>
        <v>410960</v>
      </c>
      <c r="PS24" s="62">
        <v>4</v>
      </c>
      <c r="PT24" s="21">
        <f t="shared" si="40"/>
        <v>1643840</v>
      </c>
      <c r="PU24" s="110"/>
    </row>
    <row r="25" spans="3:437" x14ac:dyDescent="0.35">
      <c r="C25" s="107"/>
      <c r="D25" s="23" t="s">
        <v>45</v>
      </c>
      <c r="E25" s="20"/>
      <c r="F25" s="92"/>
      <c r="G25" s="20"/>
      <c r="H25" s="20"/>
      <c r="I25" s="20"/>
      <c r="J25" s="20"/>
      <c r="K25" s="20"/>
      <c r="L25" s="20">
        <v>41096</v>
      </c>
      <c r="M25" s="20">
        <v>41096</v>
      </c>
      <c r="N25" s="20">
        <v>41096</v>
      </c>
      <c r="O25" s="20">
        <v>41096</v>
      </c>
      <c r="P25" s="20">
        <v>41096</v>
      </c>
      <c r="Q25" s="20">
        <v>41096</v>
      </c>
      <c r="R25" s="20">
        <v>41096</v>
      </c>
      <c r="S25" s="20">
        <v>41096</v>
      </c>
      <c r="T25" s="20">
        <v>41096</v>
      </c>
      <c r="U25" s="20">
        <v>41096</v>
      </c>
      <c r="V25" s="20"/>
      <c r="W25" s="20"/>
      <c r="X25" s="20"/>
      <c r="Y25" s="20"/>
      <c r="Z25" s="20"/>
      <c r="AA25" s="20"/>
      <c r="AB25" s="20"/>
      <c r="AC25" s="21">
        <f t="shared" si="0"/>
        <v>410960</v>
      </c>
      <c r="AD25" s="22">
        <v>5</v>
      </c>
      <c r="AE25" s="21">
        <f t="shared" si="27"/>
        <v>2054800</v>
      </c>
      <c r="AF25" s="110"/>
      <c r="AH25" s="107"/>
      <c r="AI25" s="23" t="s">
        <v>45</v>
      </c>
      <c r="AJ25" s="20"/>
      <c r="AK25" s="20"/>
      <c r="AL25" s="20"/>
      <c r="AM25" s="20"/>
      <c r="AN25" s="20"/>
      <c r="AO25" s="20"/>
      <c r="AP25" s="20"/>
      <c r="AQ25" s="20">
        <v>41096</v>
      </c>
      <c r="AR25" s="20">
        <v>41096</v>
      </c>
      <c r="AS25" s="20">
        <v>41096</v>
      </c>
      <c r="AT25" s="20">
        <v>41096</v>
      </c>
      <c r="AU25" s="20">
        <v>41096</v>
      </c>
      <c r="AV25" s="20">
        <v>41096</v>
      </c>
      <c r="AW25" s="20">
        <v>41096</v>
      </c>
      <c r="AX25" s="20">
        <v>41096</v>
      </c>
      <c r="AY25" s="20">
        <v>41096</v>
      </c>
      <c r="AZ25" s="20">
        <v>41096</v>
      </c>
      <c r="BA25" s="20"/>
      <c r="BB25" s="20"/>
      <c r="BC25" s="20"/>
      <c r="BD25" s="20"/>
      <c r="BE25" s="20"/>
      <c r="BF25" s="20"/>
      <c r="BG25" s="20"/>
      <c r="BH25" s="21">
        <f t="shared" si="2"/>
        <v>410960</v>
      </c>
      <c r="BI25" s="49">
        <v>4</v>
      </c>
      <c r="BJ25" s="21">
        <f t="shared" si="28"/>
        <v>1643840</v>
      </c>
      <c r="BK25" s="110"/>
      <c r="BM25" s="107"/>
      <c r="BN25" s="23" t="s">
        <v>45</v>
      </c>
      <c r="BO25" s="20"/>
      <c r="BP25" s="20"/>
      <c r="BQ25" s="20"/>
      <c r="BR25" s="20"/>
      <c r="BS25" s="20"/>
      <c r="BT25" s="20"/>
      <c r="BU25" s="20"/>
      <c r="BV25" s="20">
        <v>41096</v>
      </c>
      <c r="BW25" s="20">
        <v>41096</v>
      </c>
      <c r="BX25" s="20">
        <v>41096</v>
      </c>
      <c r="BY25" s="20">
        <v>41096</v>
      </c>
      <c r="BZ25" s="20">
        <v>41096</v>
      </c>
      <c r="CA25" s="20">
        <v>41096</v>
      </c>
      <c r="CB25" s="20">
        <v>41096</v>
      </c>
      <c r="CC25" s="20">
        <v>41096</v>
      </c>
      <c r="CD25" s="20">
        <v>41096</v>
      </c>
      <c r="CE25" s="20">
        <v>41096</v>
      </c>
      <c r="CF25" s="20"/>
      <c r="CG25" s="20"/>
      <c r="CH25" s="20"/>
      <c r="CI25" s="20"/>
      <c r="CJ25" s="20"/>
      <c r="CK25" s="20"/>
      <c r="CL25" s="20"/>
      <c r="CM25" s="21">
        <f t="shared" si="4"/>
        <v>410960</v>
      </c>
      <c r="CN25" s="49">
        <v>4</v>
      </c>
      <c r="CO25" s="21">
        <f t="shared" si="29"/>
        <v>1643840</v>
      </c>
      <c r="CP25" s="110"/>
      <c r="CS25" s="107"/>
      <c r="CT25" s="23" t="s">
        <v>45</v>
      </c>
      <c r="CU25" s="20"/>
      <c r="CV25" s="20"/>
      <c r="CW25" s="20"/>
      <c r="CX25" s="20"/>
      <c r="CY25" s="20"/>
      <c r="CZ25" s="20"/>
      <c r="DA25" s="20"/>
      <c r="DB25" s="20">
        <v>41096</v>
      </c>
      <c r="DC25" s="20">
        <v>41096</v>
      </c>
      <c r="DD25" s="20">
        <v>41096</v>
      </c>
      <c r="DE25" s="20">
        <v>41096</v>
      </c>
      <c r="DF25" s="20">
        <v>41096</v>
      </c>
      <c r="DG25" s="20">
        <v>41096</v>
      </c>
      <c r="DH25" s="20">
        <v>41096</v>
      </c>
      <c r="DI25" s="20">
        <v>41096</v>
      </c>
      <c r="DJ25" s="20">
        <v>41096</v>
      </c>
      <c r="DK25" s="20">
        <v>41096</v>
      </c>
      <c r="DL25" s="20"/>
      <c r="DM25" s="20"/>
      <c r="DN25" s="20"/>
      <c r="DO25" s="20"/>
      <c r="DP25" s="20"/>
      <c r="DQ25" s="20"/>
      <c r="DR25" s="20"/>
      <c r="DS25" s="21">
        <f t="shared" si="6"/>
        <v>410960</v>
      </c>
      <c r="DT25" s="49">
        <v>4</v>
      </c>
      <c r="DU25" s="21">
        <f t="shared" si="30"/>
        <v>1643840</v>
      </c>
      <c r="DV25" s="110"/>
      <c r="DY25" s="107"/>
      <c r="DZ25" s="23" t="s">
        <v>45</v>
      </c>
      <c r="EA25" s="20"/>
      <c r="EB25" s="20"/>
      <c r="EC25" s="20"/>
      <c r="ED25" s="20"/>
      <c r="EE25" s="20"/>
      <c r="EF25" s="20"/>
      <c r="EG25" s="20"/>
      <c r="EH25" s="20">
        <v>41096</v>
      </c>
      <c r="EI25" s="20">
        <v>41096</v>
      </c>
      <c r="EJ25" s="20">
        <v>41096</v>
      </c>
      <c r="EK25" s="20">
        <v>41096</v>
      </c>
      <c r="EL25" s="20">
        <v>41096</v>
      </c>
      <c r="EM25" s="20">
        <v>41096</v>
      </c>
      <c r="EN25" s="20">
        <v>41096</v>
      </c>
      <c r="EO25" s="20">
        <v>41096</v>
      </c>
      <c r="EP25" s="20">
        <v>41096</v>
      </c>
      <c r="EQ25" s="20">
        <v>41096</v>
      </c>
      <c r="ER25" s="20"/>
      <c r="ES25" s="20"/>
      <c r="ET25" s="20"/>
      <c r="EU25" s="20"/>
      <c r="EV25" s="20"/>
      <c r="EW25" s="20"/>
      <c r="EX25" s="20"/>
      <c r="EY25" s="21">
        <f t="shared" si="7"/>
        <v>410960</v>
      </c>
      <c r="EZ25" s="49">
        <v>4</v>
      </c>
      <c r="FA25" s="21">
        <f t="shared" si="31"/>
        <v>1643840</v>
      </c>
      <c r="FB25" s="110"/>
      <c r="FD25" s="107"/>
      <c r="FE25" s="23" t="s">
        <v>45</v>
      </c>
      <c r="FF25" s="20"/>
      <c r="FG25" s="20"/>
      <c r="FH25" s="20"/>
      <c r="FI25" s="20"/>
      <c r="FJ25" s="20"/>
      <c r="FK25" s="20"/>
      <c r="FL25" s="20"/>
      <c r="FM25" s="20">
        <v>41096</v>
      </c>
      <c r="FN25" s="20">
        <v>41096</v>
      </c>
      <c r="FO25" s="20">
        <v>41096</v>
      </c>
      <c r="FP25" s="20">
        <v>41096</v>
      </c>
      <c r="FQ25" s="20">
        <v>41096</v>
      </c>
      <c r="FR25" s="20">
        <v>41096</v>
      </c>
      <c r="FS25" s="20">
        <v>41096</v>
      </c>
      <c r="FT25" s="20">
        <v>41096</v>
      </c>
      <c r="FU25" s="20">
        <v>41096</v>
      </c>
      <c r="FV25" s="20">
        <v>41096</v>
      </c>
      <c r="FW25" s="20"/>
      <c r="FX25" s="20"/>
      <c r="FY25" s="20"/>
      <c r="FZ25" s="20"/>
      <c r="GA25" s="20"/>
      <c r="GB25" s="20"/>
      <c r="GC25" s="20"/>
      <c r="GD25" s="21">
        <f t="shared" si="9"/>
        <v>410960</v>
      </c>
      <c r="GE25" s="49">
        <v>5</v>
      </c>
      <c r="GF25" s="21">
        <f t="shared" si="32"/>
        <v>2054800</v>
      </c>
      <c r="GG25" s="110"/>
      <c r="GI25" s="107"/>
      <c r="GJ25" s="23" t="s">
        <v>45</v>
      </c>
      <c r="GK25" s="20"/>
      <c r="GL25" s="20"/>
      <c r="GM25" s="20"/>
      <c r="GN25" s="20"/>
      <c r="GO25" s="20"/>
      <c r="GP25" s="20"/>
      <c r="GQ25" s="20"/>
      <c r="GR25" s="20">
        <v>41096</v>
      </c>
      <c r="GS25" s="20">
        <v>41096</v>
      </c>
      <c r="GT25" s="20">
        <v>41096</v>
      </c>
      <c r="GU25" s="20">
        <v>41096</v>
      </c>
      <c r="GV25" s="20">
        <v>41096</v>
      </c>
      <c r="GW25" s="20">
        <v>41096</v>
      </c>
      <c r="GX25" s="20">
        <v>41096</v>
      </c>
      <c r="GY25" s="20">
        <v>41096</v>
      </c>
      <c r="GZ25" s="20">
        <v>41096</v>
      </c>
      <c r="HA25" s="20">
        <v>41096</v>
      </c>
      <c r="HB25" s="20"/>
      <c r="HC25" s="20"/>
      <c r="HD25" s="20"/>
      <c r="HE25" s="20"/>
      <c r="HF25" s="20"/>
      <c r="HG25" s="20"/>
      <c r="HH25" s="20"/>
      <c r="HI25" s="21">
        <f t="shared" si="11"/>
        <v>410960</v>
      </c>
      <c r="HJ25" s="49">
        <v>4</v>
      </c>
      <c r="HK25" s="21">
        <f t="shared" si="33"/>
        <v>1643840</v>
      </c>
      <c r="HL25" s="110"/>
      <c r="HN25" s="107"/>
      <c r="HO25" s="23" t="s">
        <v>45</v>
      </c>
      <c r="HP25" s="20"/>
      <c r="HQ25" s="20"/>
      <c r="HR25" s="20"/>
      <c r="HS25" s="20"/>
      <c r="HT25" s="20"/>
      <c r="HU25" s="20"/>
      <c r="HV25" s="20"/>
      <c r="HW25" s="20">
        <v>41096</v>
      </c>
      <c r="HX25" s="20">
        <v>41096</v>
      </c>
      <c r="HY25" s="20">
        <v>41096</v>
      </c>
      <c r="HZ25" s="20">
        <v>41096</v>
      </c>
      <c r="IA25" s="20">
        <v>41096</v>
      </c>
      <c r="IB25" s="20">
        <v>41096</v>
      </c>
      <c r="IC25" s="20">
        <v>41096</v>
      </c>
      <c r="ID25" s="20">
        <v>41096</v>
      </c>
      <c r="IE25" s="20">
        <v>41096</v>
      </c>
      <c r="IF25" s="20">
        <v>41096</v>
      </c>
      <c r="IG25" s="20"/>
      <c r="IH25" s="20"/>
      <c r="II25" s="20"/>
      <c r="IJ25" s="20"/>
      <c r="IK25" s="20"/>
      <c r="IL25" s="20"/>
      <c r="IM25" s="20"/>
      <c r="IN25" s="21">
        <f t="shared" si="13"/>
        <v>410960</v>
      </c>
      <c r="IO25" s="49">
        <v>4</v>
      </c>
      <c r="IP25" s="21">
        <f t="shared" si="34"/>
        <v>1643840</v>
      </c>
      <c r="IQ25" s="110"/>
      <c r="IS25" s="107"/>
      <c r="IT25" s="23" t="s">
        <v>45</v>
      </c>
      <c r="IU25" s="20"/>
      <c r="IV25" s="20"/>
      <c r="IW25" s="20"/>
      <c r="IX25" s="20"/>
      <c r="IY25" s="20"/>
      <c r="IZ25" s="20"/>
      <c r="JA25" s="20"/>
      <c r="JB25" s="20">
        <v>41096</v>
      </c>
      <c r="JC25" s="20">
        <v>41096</v>
      </c>
      <c r="JD25" s="20">
        <v>41096</v>
      </c>
      <c r="JE25" s="20">
        <v>41096</v>
      </c>
      <c r="JF25" s="20">
        <v>41096</v>
      </c>
      <c r="JG25" s="20">
        <v>41096</v>
      </c>
      <c r="JH25" s="20">
        <v>41096</v>
      </c>
      <c r="JI25" s="20">
        <v>41096</v>
      </c>
      <c r="JJ25" s="20">
        <v>41096</v>
      </c>
      <c r="JK25" s="20">
        <v>41096</v>
      </c>
      <c r="JL25" s="20"/>
      <c r="JM25" s="20"/>
      <c r="JN25" s="20"/>
      <c r="JO25" s="20"/>
      <c r="JP25" s="20"/>
      <c r="JQ25" s="20"/>
      <c r="JR25" s="20"/>
      <c r="JS25" s="21">
        <f t="shared" si="15"/>
        <v>410960</v>
      </c>
      <c r="JT25" s="49">
        <v>4</v>
      </c>
      <c r="JU25" s="21">
        <f t="shared" si="35"/>
        <v>1643840</v>
      </c>
      <c r="JV25" s="110"/>
      <c r="JX25" s="107"/>
      <c r="JY25" s="23" t="s">
        <v>45</v>
      </c>
      <c r="JZ25" s="20"/>
      <c r="KA25" s="20"/>
      <c r="KB25" s="20"/>
      <c r="KC25" s="20"/>
      <c r="KD25" s="20"/>
      <c r="KE25" s="20"/>
      <c r="KF25" s="20"/>
      <c r="KG25" s="20">
        <v>41096</v>
      </c>
      <c r="KH25" s="20">
        <v>41096</v>
      </c>
      <c r="KI25" s="20">
        <v>41096</v>
      </c>
      <c r="KJ25" s="20">
        <v>41096</v>
      </c>
      <c r="KK25" s="20">
        <v>41096</v>
      </c>
      <c r="KL25" s="20">
        <v>41096</v>
      </c>
      <c r="KM25" s="20">
        <v>41096</v>
      </c>
      <c r="KN25" s="20">
        <v>41096</v>
      </c>
      <c r="KO25" s="20">
        <v>41096</v>
      </c>
      <c r="KP25" s="20">
        <v>41096</v>
      </c>
      <c r="KQ25" s="20"/>
      <c r="KR25" s="20"/>
      <c r="KS25" s="20"/>
      <c r="KT25" s="20"/>
      <c r="KU25" s="20"/>
      <c r="KV25" s="20"/>
      <c r="KW25" s="20"/>
      <c r="KX25" s="21">
        <f t="shared" si="17"/>
        <v>410960</v>
      </c>
      <c r="KY25" s="49">
        <v>4</v>
      </c>
      <c r="KZ25" s="21">
        <f t="shared" si="36"/>
        <v>1643840</v>
      </c>
      <c r="LA25" s="110"/>
      <c r="LC25" s="107"/>
      <c r="LD25" s="23" t="s">
        <v>45</v>
      </c>
      <c r="LE25" s="20"/>
      <c r="LF25" s="20"/>
      <c r="LG25" s="20"/>
      <c r="LH25" s="20"/>
      <c r="LI25" s="20"/>
      <c r="LJ25" s="20"/>
      <c r="LK25" s="20"/>
      <c r="LL25" s="20">
        <v>41096</v>
      </c>
      <c r="LM25" s="20">
        <v>41096</v>
      </c>
      <c r="LN25" s="20">
        <v>41096</v>
      </c>
      <c r="LO25" s="20">
        <v>41096</v>
      </c>
      <c r="LP25" s="20">
        <v>41096</v>
      </c>
      <c r="LQ25" s="20">
        <v>41096</v>
      </c>
      <c r="LR25" s="20">
        <v>41096</v>
      </c>
      <c r="LS25" s="20">
        <v>41096</v>
      </c>
      <c r="LT25" s="20">
        <v>41096</v>
      </c>
      <c r="LU25" s="20">
        <v>41096</v>
      </c>
      <c r="LV25" s="20"/>
      <c r="LW25" s="20"/>
      <c r="LX25" s="20"/>
      <c r="LY25" s="20"/>
      <c r="LZ25" s="20"/>
      <c r="MA25" s="20"/>
      <c r="MB25" s="20"/>
      <c r="MC25" s="21">
        <f t="shared" si="19"/>
        <v>410960</v>
      </c>
      <c r="MD25" s="49">
        <v>5</v>
      </c>
      <c r="ME25" s="21">
        <f t="shared" si="37"/>
        <v>2054800</v>
      </c>
      <c r="MF25" s="110"/>
      <c r="MH25" s="107"/>
      <c r="MI25" s="23" t="s">
        <v>45</v>
      </c>
      <c r="MJ25" s="20"/>
      <c r="MK25" s="20"/>
      <c r="ML25" s="20"/>
      <c r="MM25" s="20"/>
      <c r="MN25" s="20"/>
      <c r="MO25" s="20"/>
      <c r="MP25" s="20"/>
      <c r="MQ25" s="20">
        <v>41096</v>
      </c>
      <c r="MR25" s="20">
        <v>41096</v>
      </c>
      <c r="MS25" s="20">
        <v>41096</v>
      </c>
      <c r="MT25" s="20">
        <v>41096</v>
      </c>
      <c r="MU25" s="20">
        <v>41096</v>
      </c>
      <c r="MV25" s="20">
        <v>41096</v>
      </c>
      <c r="MW25" s="20">
        <v>41096</v>
      </c>
      <c r="MX25" s="20">
        <v>41096</v>
      </c>
      <c r="MY25" s="20">
        <v>41096</v>
      </c>
      <c r="MZ25" s="20">
        <v>41096</v>
      </c>
      <c r="NA25" s="20"/>
      <c r="NB25" s="20"/>
      <c r="NC25" s="20"/>
      <c r="ND25" s="20"/>
      <c r="NE25" s="20"/>
      <c r="NF25" s="20"/>
      <c r="NG25" s="20"/>
      <c r="NH25" s="21">
        <f t="shared" si="21"/>
        <v>410960</v>
      </c>
      <c r="NI25" s="49">
        <v>5</v>
      </c>
      <c r="NJ25" s="21">
        <f t="shared" si="38"/>
        <v>2054800</v>
      </c>
      <c r="NK25" s="110"/>
      <c r="NM25" s="107"/>
      <c r="NN25" s="23" t="s">
        <v>45</v>
      </c>
      <c r="NO25" s="20"/>
      <c r="NP25" s="20"/>
      <c r="NQ25" s="20"/>
      <c r="NR25" s="20"/>
      <c r="NS25" s="20"/>
      <c r="NT25" s="20"/>
      <c r="NU25" s="20"/>
      <c r="NV25" s="20">
        <v>41096</v>
      </c>
      <c r="NW25" s="20">
        <v>41096</v>
      </c>
      <c r="NX25" s="20">
        <v>41096</v>
      </c>
      <c r="NY25" s="20">
        <v>41096</v>
      </c>
      <c r="NZ25" s="20">
        <v>41096</v>
      </c>
      <c r="OA25" s="20">
        <v>41096</v>
      </c>
      <c r="OB25" s="20">
        <v>41096</v>
      </c>
      <c r="OC25" s="20">
        <v>41096</v>
      </c>
      <c r="OD25" s="20">
        <v>41096</v>
      </c>
      <c r="OE25" s="20">
        <v>41096</v>
      </c>
      <c r="OF25" s="20"/>
      <c r="OG25" s="20"/>
      <c r="OH25" s="20"/>
      <c r="OI25" s="20"/>
      <c r="OJ25" s="20"/>
      <c r="OK25" s="20"/>
      <c r="OL25" s="20"/>
      <c r="OM25" s="21">
        <f t="shared" si="23"/>
        <v>410960</v>
      </c>
      <c r="ON25" s="49">
        <v>4</v>
      </c>
      <c r="OO25" s="21">
        <f t="shared" si="39"/>
        <v>1643840</v>
      </c>
      <c r="OP25" s="110"/>
      <c r="OR25" s="107"/>
      <c r="OS25" s="23" t="s">
        <v>45</v>
      </c>
      <c r="OT25" s="20"/>
      <c r="OU25" s="20"/>
      <c r="OV25" s="20"/>
      <c r="OW25" s="20"/>
      <c r="OX25" s="20"/>
      <c r="OY25" s="20"/>
      <c r="OZ25" s="20"/>
      <c r="PA25" s="20">
        <v>41096</v>
      </c>
      <c r="PB25" s="20">
        <v>41096</v>
      </c>
      <c r="PC25" s="20">
        <v>41096</v>
      </c>
      <c r="PD25" s="20">
        <v>41096</v>
      </c>
      <c r="PE25" s="20">
        <v>41096</v>
      </c>
      <c r="PF25" s="20">
        <v>41096</v>
      </c>
      <c r="PG25" s="20">
        <v>41096</v>
      </c>
      <c r="PH25" s="20">
        <v>41096</v>
      </c>
      <c r="PI25" s="20">
        <v>41096</v>
      </c>
      <c r="PJ25" s="20">
        <v>41096</v>
      </c>
      <c r="PK25" s="20"/>
      <c r="PL25" s="20"/>
      <c r="PM25" s="20"/>
      <c r="PN25" s="20"/>
      <c r="PO25" s="20"/>
      <c r="PP25" s="20"/>
      <c r="PQ25" s="20"/>
      <c r="PR25" s="21">
        <f t="shared" si="25"/>
        <v>410960</v>
      </c>
      <c r="PS25" s="62">
        <v>4</v>
      </c>
      <c r="PT25" s="21">
        <f t="shared" si="40"/>
        <v>1643840</v>
      </c>
      <c r="PU25" s="110"/>
    </row>
    <row r="26" spans="3:437" ht="15" thickBot="1" x14ac:dyDescent="0.4">
      <c r="C26" s="108"/>
      <c r="D26" s="24" t="s">
        <v>46</v>
      </c>
      <c r="E26" s="20"/>
      <c r="F26" s="92"/>
      <c r="G26" s="20"/>
      <c r="H26" s="20"/>
      <c r="I26" s="20"/>
      <c r="J26" s="20"/>
      <c r="K26" s="20"/>
      <c r="L26" s="20">
        <v>41096</v>
      </c>
      <c r="M26" s="20">
        <v>41096</v>
      </c>
      <c r="N26" s="20">
        <v>41096</v>
      </c>
      <c r="O26" s="20">
        <v>41096</v>
      </c>
      <c r="P26" s="20">
        <v>41096</v>
      </c>
      <c r="Q26" s="20">
        <v>41096</v>
      </c>
      <c r="R26" s="20">
        <v>41096</v>
      </c>
      <c r="S26" s="20">
        <v>41096</v>
      </c>
      <c r="T26" s="20">
        <v>41096</v>
      </c>
      <c r="U26" s="20">
        <v>41096</v>
      </c>
      <c r="V26" s="20"/>
      <c r="W26" s="20"/>
      <c r="X26" s="20"/>
      <c r="Y26" s="20"/>
      <c r="Z26" s="20"/>
      <c r="AA26" s="20"/>
      <c r="AB26" s="20"/>
      <c r="AC26" s="21">
        <f t="shared" si="0"/>
        <v>410960</v>
      </c>
      <c r="AD26" s="22">
        <v>3</v>
      </c>
      <c r="AE26" s="21">
        <f t="shared" si="27"/>
        <v>1232880</v>
      </c>
      <c r="AF26" s="111"/>
      <c r="AH26" s="108"/>
      <c r="AI26" s="24" t="s">
        <v>46</v>
      </c>
      <c r="AJ26" s="20"/>
      <c r="AK26" s="20"/>
      <c r="AL26" s="20"/>
      <c r="AM26" s="20"/>
      <c r="AN26" s="20"/>
      <c r="AO26" s="20"/>
      <c r="AP26" s="20"/>
      <c r="AQ26" s="20">
        <v>41096</v>
      </c>
      <c r="AR26" s="20">
        <v>41096</v>
      </c>
      <c r="AS26" s="20">
        <v>41096</v>
      </c>
      <c r="AT26" s="20">
        <v>41096</v>
      </c>
      <c r="AU26" s="20">
        <v>41096</v>
      </c>
      <c r="AV26" s="20">
        <v>41096</v>
      </c>
      <c r="AW26" s="20">
        <v>41096</v>
      </c>
      <c r="AX26" s="20">
        <v>41096</v>
      </c>
      <c r="AY26" s="20">
        <v>41096</v>
      </c>
      <c r="AZ26" s="20">
        <v>41096</v>
      </c>
      <c r="BA26" s="20"/>
      <c r="BB26" s="20"/>
      <c r="BC26" s="20"/>
      <c r="BD26" s="20"/>
      <c r="BE26" s="20"/>
      <c r="BF26" s="20"/>
      <c r="BG26" s="20"/>
      <c r="BH26" s="21">
        <f t="shared" si="2"/>
        <v>410960</v>
      </c>
      <c r="BI26" s="50">
        <v>2</v>
      </c>
      <c r="BJ26" s="21">
        <f t="shared" si="28"/>
        <v>821920</v>
      </c>
      <c r="BK26" s="111"/>
      <c r="BM26" s="108"/>
      <c r="BN26" s="24" t="s">
        <v>46</v>
      </c>
      <c r="BO26" s="20"/>
      <c r="BP26" s="20"/>
      <c r="BQ26" s="20"/>
      <c r="BR26" s="20"/>
      <c r="BS26" s="20"/>
      <c r="BT26" s="20"/>
      <c r="BU26" s="20"/>
      <c r="BV26" s="20">
        <v>41096</v>
      </c>
      <c r="BW26" s="20">
        <v>41096</v>
      </c>
      <c r="BX26" s="20">
        <v>41096</v>
      </c>
      <c r="BY26" s="20">
        <v>41096</v>
      </c>
      <c r="BZ26" s="20">
        <v>41096</v>
      </c>
      <c r="CA26" s="20">
        <v>41096</v>
      </c>
      <c r="CB26" s="20">
        <v>41096</v>
      </c>
      <c r="CC26" s="20">
        <v>41096</v>
      </c>
      <c r="CD26" s="20">
        <v>41096</v>
      </c>
      <c r="CE26" s="20">
        <v>41096</v>
      </c>
      <c r="CF26" s="20"/>
      <c r="CG26" s="20"/>
      <c r="CH26" s="20"/>
      <c r="CI26" s="20"/>
      <c r="CJ26" s="20"/>
      <c r="CK26" s="20"/>
      <c r="CL26" s="20"/>
      <c r="CM26" s="21">
        <f t="shared" si="4"/>
        <v>410960</v>
      </c>
      <c r="CN26" s="50">
        <v>2</v>
      </c>
      <c r="CO26" s="21">
        <f t="shared" si="29"/>
        <v>821920</v>
      </c>
      <c r="CP26" s="111"/>
      <c r="CS26" s="108"/>
      <c r="CT26" s="24" t="s">
        <v>46</v>
      </c>
      <c r="CU26" s="20"/>
      <c r="CV26" s="20"/>
      <c r="CW26" s="20"/>
      <c r="CX26" s="20"/>
      <c r="CY26" s="20"/>
      <c r="CZ26" s="20"/>
      <c r="DA26" s="20"/>
      <c r="DB26" s="20">
        <v>41096</v>
      </c>
      <c r="DC26" s="20">
        <v>41096</v>
      </c>
      <c r="DD26" s="20">
        <v>41096</v>
      </c>
      <c r="DE26" s="20">
        <v>41096</v>
      </c>
      <c r="DF26" s="20">
        <v>41096</v>
      </c>
      <c r="DG26" s="20">
        <v>41096</v>
      </c>
      <c r="DH26" s="20">
        <v>41096</v>
      </c>
      <c r="DI26" s="20">
        <v>41096</v>
      </c>
      <c r="DJ26" s="20">
        <v>41096</v>
      </c>
      <c r="DK26" s="20">
        <v>41096</v>
      </c>
      <c r="DL26" s="20"/>
      <c r="DM26" s="20"/>
      <c r="DN26" s="20"/>
      <c r="DO26" s="20"/>
      <c r="DP26" s="20"/>
      <c r="DQ26" s="20"/>
      <c r="DR26" s="20"/>
      <c r="DS26" s="21">
        <f t="shared" si="6"/>
        <v>410960</v>
      </c>
      <c r="DT26" s="50">
        <v>1</v>
      </c>
      <c r="DU26" s="21">
        <f t="shared" si="30"/>
        <v>410960</v>
      </c>
      <c r="DV26" s="111"/>
      <c r="DY26" s="108"/>
      <c r="DZ26" s="24" t="s">
        <v>46</v>
      </c>
      <c r="EA26" s="20"/>
      <c r="EB26" s="20"/>
      <c r="EC26" s="20"/>
      <c r="ED26" s="20"/>
      <c r="EE26" s="20"/>
      <c r="EF26" s="20"/>
      <c r="EG26" s="20"/>
      <c r="EH26" s="20">
        <v>41096</v>
      </c>
      <c r="EI26" s="20">
        <v>41096</v>
      </c>
      <c r="EJ26" s="20">
        <v>41096</v>
      </c>
      <c r="EK26" s="20">
        <v>41096</v>
      </c>
      <c r="EL26" s="20">
        <v>41096</v>
      </c>
      <c r="EM26" s="20">
        <v>41096</v>
      </c>
      <c r="EN26" s="20">
        <v>41096</v>
      </c>
      <c r="EO26" s="20">
        <v>41096</v>
      </c>
      <c r="EP26" s="20">
        <v>41096</v>
      </c>
      <c r="EQ26" s="20">
        <v>41096</v>
      </c>
      <c r="ER26" s="20"/>
      <c r="ES26" s="20"/>
      <c r="ET26" s="20"/>
      <c r="EU26" s="20"/>
      <c r="EV26" s="20"/>
      <c r="EW26" s="20"/>
      <c r="EX26" s="20"/>
      <c r="EY26" s="21">
        <f t="shared" si="7"/>
        <v>410960</v>
      </c>
      <c r="EZ26" s="50">
        <v>2</v>
      </c>
      <c r="FA26" s="21">
        <f t="shared" si="31"/>
        <v>821920</v>
      </c>
      <c r="FB26" s="111"/>
      <c r="FD26" s="108"/>
      <c r="FE26" s="24" t="s">
        <v>46</v>
      </c>
      <c r="FF26" s="20"/>
      <c r="FG26" s="20"/>
      <c r="FH26" s="20"/>
      <c r="FI26" s="20"/>
      <c r="FJ26" s="20"/>
      <c r="FK26" s="20"/>
      <c r="FL26" s="20"/>
      <c r="FM26" s="20">
        <v>41096</v>
      </c>
      <c r="FN26" s="20">
        <v>41096</v>
      </c>
      <c r="FO26" s="20">
        <v>41096</v>
      </c>
      <c r="FP26" s="20">
        <v>41096</v>
      </c>
      <c r="FQ26" s="20">
        <v>41096</v>
      </c>
      <c r="FR26" s="20">
        <v>41096</v>
      </c>
      <c r="FS26" s="20">
        <v>41096</v>
      </c>
      <c r="FT26" s="20">
        <v>41096</v>
      </c>
      <c r="FU26" s="20">
        <v>41096</v>
      </c>
      <c r="FV26" s="20">
        <v>41096</v>
      </c>
      <c r="FW26" s="20"/>
      <c r="FX26" s="20"/>
      <c r="FY26" s="20"/>
      <c r="FZ26" s="20"/>
      <c r="GA26" s="20"/>
      <c r="GB26" s="20"/>
      <c r="GC26" s="20"/>
      <c r="GD26" s="21">
        <f t="shared" si="9"/>
        <v>410960</v>
      </c>
      <c r="GE26" s="50">
        <v>3</v>
      </c>
      <c r="GF26" s="21">
        <f t="shared" si="32"/>
        <v>1232880</v>
      </c>
      <c r="GG26" s="111"/>
      <c r="GI26" s="108"/>
      <c r="GJ26" s="24" t="s">
        <v>46</v>
      </c>
      <c r="GK26" s="20"/>
      <c r="GL26" s="20"/>
      <c r="GM26" s="20"/>
      <c r="GN26" s="20"/>
      <c r="GO26" s="20"/>
      <c r="GP26" s="20"/>
      <c r="GQ26" s="20"/>
      <c r="GR26" s="20">
        <v>41096</v>
      </c>
      <c r="GS26" s="20">
        <v>41096</v>
      </c>
      <c r="GT26" s="20">
        <v>41096</v>
      </c>
      <c r="GU26" s="20">
        <v>41096</v>
      </c>
      <c r="GV26" s="20">
        <v>41096</v>
      </c>
      <c r="GW26" s="20">
        <v>41096</v>
      </c>
      <c r="GX26" s="20">
        <v>41096</v>
      </c>
      <c r="GY26" s="20">
        <v>41096</v>
      </c>
      <c r="GZ26" s="20">
        <v>41096</v>
      </c>
      <c r="HA26" s="20">
        <v>41096</v>
      </c>
      <c r="HB26" s="20"/>
      <c r="HC26" s="20"/>
      <c r="HD26" s="20"/>
      <c r="HE26" s="20"/>
      <c r="HF26" s="20"/>
      <c r="HG26" s="20"/>
      <c r="HH26" s="20"/>
      <c r="HI26" s="21">
        <f t="shared" si="11"/>
        <v>410960</v>
      </c>
      <c r="HJ26" s="50">
        <v>2</v>
      </c>
      <c r="HK26" s="21">
        <f t="shared" si="33"/>
        <v>821920</v>
      </c>
      <c r="HL26" s="111"/>
      <c r="HN26" s="108"/>
      <c r="HO26" s="24" t="s">
        <v>46</v>
      </c>
      <c r="HP26" s="20"/>
      <c r="HQ26" s="20"/>
      <c r="HR26" s="20"/>
      <c r="HS26" s="20"/>
      <c r="HT26" s="20"/>
      <c r="HU26" s="20"/>
      <c r="HV26" s="20"/>
      <c r="HW26" s="20">
        <v>41096</v>
      </c>
      <c r="HX26" s="20">
        <v>41096</v>
      </c>
      <c r="HY26" s="20">
        <v>41096</v>
      </c>
      <c r="HZ26" s="20">
        <v>41096</v>
      </c>
      <c r="IA26" s="20">
        <v>41096</v>
      </c>
      <c r="IB26" s="20">
        <v>41096</v>
      </c>
      <c r="IC26" s="20">
        <v>41096</v>
      </c>
      <c r="ID26" s="20">
        <v>41096</v>
      </c>
      <c r="IE26" s="20">
        <v>41096</v>
      </c>
      <c r="IF26" s="20">
        <v>41096</v>
      </c>
      <c r="IG26" s="20"/>
      <c r="IH26" s="20"/>
      <c r="II26" s="20"/>
      <c r="IJ26" s="20"/>
      <c r="IK26" s="20"/>
      <c r="IL26" s="20"/>
      <c r="IM26" s="20"/>
      <c r="IN26" s="21">
        <f t="shared" si="13"/>
        <v>410960</v>
      </c>
      <c r="IO26" s="50">
        <v>2</v>
      </c>
      <c r="IP26" s="21">
        <f t="shared" si="34"/>
        <v>821920</v>
      </c>
      <c r="IQ26" s="111"/>
      <c r="IS26" s="108"/>
      <c r="IT26" s="24" t="s">
        <v>46</v>
      </c>
      <c r="IU26" s="20"/>
      <c r="IV26" s="20"/>
      <c r="IW26" s="20"/>
      <c r="IX26" s="20"/>
      <c r="IY26" s="20"/>
      <c r="IZ26" s="20"/>
      <c r="JA26" s="20"/>
      <c r="JB26" s="20">
        <v>41096</v>
      </c>
      <c r="JC26" s="20">
        <v>41096</v>
      </c>
      <c r="JD26" s="20">
        <v>41096</v>
      </c>
      <c r="JE26" s="20">
        <v>41096</v>
      </c>
      <c r="JF26" s="20">
        <v>41096</v>
      </c>
      <c r="JG26" s="20">
        <v>41096</v>
      </c>
      <c r="JH26" s="20">
        <v>41096</v>
      </c>
      <c r="JI26" s="20">
        <v>41096</v>
      </c>
      <c r="JJ26" s="20">
        <v>41096</v>
      </c>
      <c r="JK26" s="20">
        <v>41096</v>
      </c>
      <c r="JL26" s="20"/>
      <c r="JM26" s="20"/>
      <c r="JN26" s="20"/>
      <c r="JO26" s="20"/>
      <c r="JP26" s="20"/>
      <c r="JQ26" s="20"/>
      <c r="JR26" s="20"/>
      <c r="JS26" s="21">
        <f t="shared" si="15"/>
        <v>410960</v>
      </c>
      <c r="JT26" s="50">
        <v>3</v>
      </c>
      <c r="JU26" s="21">
        <f t="shared" si="35"/>
        <v>1232880</v>
      </c>
      <c r="JV26" s="111"/>
      <c r="JX26" s="108"/>
      <c r="JY26" s="24" t="s">
        <v>46</v>
      </c>
      <c r="JZ26" s="20"/>
      <c r="KA26" s="20"/>
      <c r="KB26" s="20"/>
      <c r="KC26" s="20"/>
      <c r="KD26" s="20"/>
      <c r="KE26" s="20"/>
      <c r="KF26" s="20"/>
      <c r="KG26" s="20">
        <v>41096</v>
      </c>
      <c r="KH26" s="20">
        <v>41096</v>
      </c>
      <c r="KI26" s="20">
        <v>41096</v>
      </c>
      <c r="KJ26" s="20">
        <v>41096</v>
      </c>
      <c r="KK26" s="20">
        <v>41096</v>
      </c>
      <c r="KL26" s="20">
        <v>41096</v>
      </c>
      <c r="KM26" s="20">
        <v>41096</v>
      </c>
      <c r="KN26" s="20">
        <v>41096</v>
      </c>
      <c r="KO26" s="20">
        <v>41096</v>
      </c>
      <c r="KP26" s="20">
        <v>41096</v>
      </c>
      <c r="KQ26" s="20"/>
      <c r="KR26" s="20"/>
      <c r="KS26" s="20"/>
      <c r="KT26" s="20"/>
      <c r="KU26" s="20"/>
      <c r="KV26" s="20"/>
      <c r="KW26" s="20"/>
      <c r="KX26" s="21">
        <f t="shared" si="17"/>
        <v>410960</v>
      </c>
      <c r="KY26" s="50">
        <v>2</v>
      </c>
      <c r="KZ26" s="21">
        <f t="shared" si="36"/>
        <v>821920</v>
      </c>
      <c r="LA26" s="111"/>
      <c r="LC26" s="108"/>
      <c r="LD26" s="24" t="s">
        <v>46</v>
      </c>
      <c r="LE26" s="20"/>
      <c r="LF26" s="20"/>
      <c r="LG26" s="20"/>
      <c r="LH26" s="20"/>
      <c r="LI26" s="20"/>
      <c r="LJ26" s="20"/>
      <c r="LK26" s="20"/>
      <c r="LL26" s="20">
        <v>41096</v>
      </c>
      <c r="LM26" s="20">
        <v>41096</v>
      </c>
      <c r="LN26" s="20">
        <v>41096</v>
      </c>
      <c r="LO26" s="20">
        <v>41096</v>
      </c>
      <c r="LP26" s="20">
        <v>41096</v>
      </c>
      <c r="LQ26" s="20">
        <v>41096</v>
      </c>
      <c r="LR26" s="20">
        <v>41096</v>
      </c>
      <c r="LS26" s="20">
        <v>41096</v>
      </c>
      <c r="LT26" s="20">
        <v>41096</v>
      </c>
      <c r="LU26" s="20">
        <v>41096</v>
      </c>
      <c r="LV26" s="20"/>
      <c r="LW26" s="20"/>
      <c r="LX26" s="20"/>
      <c r="LY26" s="20"/>
      <c r="LZ26" s="20"/>
      <c r="MA26" s="20"/>
      <c r="MB26" s="20"/>
      <c r="MC26" s="21">
        <f t="shared" si="19"/>
        <v>410960</v>
      </c>
      <c r="MD26" s="50">
        <v>2</v>
      </c>
      <c r="ME26" s="21">
        <f t="shared" si="37"/>
        <v>821920</v>
      </c>
      <c r="MF26" s="111"/>
      <c r="MH26" s="108"/>
      <c r="MI26" s="24" t="s">
        <v>46</v>
      </c>
      <c r="MJ26" s="20"/>
      <c r="MK26" s="20"/>
      <c r="ML26" s="20"/>
      <c r="MM26" s="20"/>
      <c r="MN26" s="20"/>
      <c r="MO26" s="20"/>
      <c r="MP26" s="20"/>
      <c r="MQ26" s="20">
        <v>41096</v>
      </c>
      <c r="MR26" s="20">
        <v>41096</v>
      </c>
      <c r="MS26" s="20">
        <v>41096</v>
      </c>
      <c r="MT26" s="20">
        <v>41096</v>
      </c>
      <c r="MU26" s="20">
        <v>41096</v>
      </c>
      <c r="MV26" s="20">
        <v>41096</v>
      </c>
      <c r="MW26" s="20">
        <v>41096</v>
      </c>
      <c r="MX26" s="20">
        <v>41096</v>
      </c>
      <c r="MY26" s="20">
        <v>41096</v>
      </c>
      <c r="MZ26" s="20">
        <v>41096</v>
      </c>
      <c r="NA26" s="20"/>
      <c r="NB26" s="20"/>
      <c r="NC26" s="20"/>
      <c r="ND26" s="20"/>
      <c r="NE26" s="20"/>
      <c r="NF26" s="20"/>
      <c r="NG26" s="20"/>
      <c r="NH26" s="21">
        <f t="shared" si="21"/>
        <v>410960</v>
      </c>
      <c r="NI26" s="50">
        <v>1</v>
      </c>
      <c r="NJ26" s="21">
        <f t="shared" si="38"/>
        <v>410960</v>
      </c>
      <c r="NK26" s="111"/>
      <c r="NM26" s="108"/>
      <c r="NN26" s="24" t="s">
        <v>46</v>
      </c>
      <c r="NO26" s="20"/>
      <c r="NP26" s="20"/>
      <c r="NQ26" s="20"/>
      <c r="NR26" s="20"/>
      <c r="NS26" s="20"/>
      <c r="NT26" s="20"/>
      <c r="NU26" s="20"/>
      <c r="NV26" s="20">
        <v>41096</v>
      </c>
      <c r="NW26" s="20">
        <v>41096</v>
      </c>
      <c r="NX26" s="20">
        <v>41096</v>
      </c>
      <c r="NY26" s="20">
        <v>41096</v>
      </c>
      <c r="NZ26" s="20">
        <v>41096</v>
      </c>
      <c r="OA26" s="20">
        <v>41096</v>
      </c>
      <c r="OB26" s="20">
        <v>41096</v>
      </c>
      <c r="OC26" s="20">
        <v>41096</v>
      </c>
      <c r="OD26" s="20">
        <v>41096</v>
      </c>
      <c r="OE26" s="20">
        <v>41096</v>
      </c>
      <c r="OF26" s="20"/>
      <c r="OG26" s="20"/>
      <c r="OH26" s="20"/>
      <c r="OI26" s="20"/>
      <c r="OJ26" s="20"/>
      <c r="OK26" s="20"/>
      <c r="OL26" s="20"/>
      <c r="OM26" s="21">
        <f t="shared" si="23"/>
        <v>410960</v>
      </c>
      <c r="ON26" s="50">
        <v>2</v>
      </c>
      <c r="OO26" s="21">
        <f t="shared" si="39"/>
        <v>821920</v>
      </c>
      <c r="OP26" s="111"/>
      <c r="OR26" s="108"/>
      <c r="OS26" s="24" t="s">
        <v>46</v>
      </c>
      <c r="OT26" s="20"/>
      <c r="OU26" s="20"/>
      <c r="OV26" s="20"/>
      <c r="OW26" s="20"/>
      <c r="OX26" s="20"/>
      <c r="OY26" s="20"/>
      <c r="OZ26" s="20"/>
      <c r="PA26" s="20">
        <v>41096</v>
      </c>
      <c r="PB26" s="20">
        <v>41096</v>
      </c>
      <c r="PC26" s="20">
        <v>41096</v>
      </c>
      <c r="PD26" s="20">
        <v>41096</v>
      </c>
      <c r="PE26" s="20">
        <v>41096</v>
      </c>
      <c r="PF26" s="20">
        <v>41096</v>
      </c>
      <c r="PG26" s="20">
        <v>41096</v>
      </c>
      <c r="PH26" s="20">
        <v>41096</v>
      </c>
      <c r="PI26" s="20">
        <v>41096</v>
      </c>
      <c r="PJ26" s="20">
        <v>41096</v>
      </c>
      <c r="PK26" s="20"/>
      <c r="PL26" s="20"/>
      <c r="PM26" s="20"/>
      <c r="PN26" s="20"/>
      <c r="PO26" s="20"/>
      <c r="PP26" s="20"/>
      <c r="PQ26" s="20"/>
      <c r="PR26" s="21">
        <f t="shared" si="25"/>
        <v>410960</v>
      </c>
      <c r="PS26" s="64">
        <v>2</v>
      </c>
      <c r="PT26" s="21">
        <f t="shared" si="40"/>
        <v>821920</v>
      </c>
      <c r="PU26" s="111"/>
    </row>
    <row r="27" spans="3:437" x14ac:dyDescent="0.35">
      <c r="C27" s="106">
        <v>46539</v>
      </c>
      <c r="D27" s="19" t="s">
        <v>43</v>
      </c>
      <c r="E27" s="20"/>
      <c r="F27" s="92"/>
      <c r="G27" s="20"/>
      <c r="H27" s="20"/>
      <c r="I27" s="20"/>
      <c r="J27" s="20"/>
      <c r="K27" s="20"/>
      <c r="L27" s="20">
        <v>41096</v>
      </c>
      <c r="M27" s="20">
        <v>41096</v>
      </c>
      <c r="N27" s="20">
        <v>41096</v>
      </c>
      <c r="O27" s="20">
        <v>41096</v>
      </c>
      <c r="P27" s="20">
        <v>41096</v>
      </c>
      <c r="Q27" s="20">
        <v>41096</v>
      </c>
      <c r="R27" s="20">
        <v>41096</v>
      </c>
      <c r="S27" s="20">
        <v>41096</v>
      </c>
      <c r="T27" s="20">
        <v>41096</v>
      </c>
      <c r="U27" s="20">
        <v>41096</v>
      </c>
      <c r="V27" s="20"/>
      <c r="W27" s="20"/>
      <c r="X27" s="20"/>
      <c r="Y27" s="20"/>
      <c r="Z27" s="20"/>
      <c r="AA27" s="20"/>
      <c r="AB27" s="20"/>
      <c r="AC27" s="21">
        <f t="shared" si="0"/>
        <v>410960</v>
      </c>
      <c r="AD27" s="22">
        <v>21</v>
      </c>
      <c r="AE27" s="21">
        <f t="shared" si="27"/>
        <v>8630160</v>
      </c>
      <c r="AF27" s="109">
        <f>+SUM(AE27:AE30)</f>
        <v>12328800</v>
      </c>
      <c r="AH27" s="106">
        <v>46905</v>
      </c>
      <c r="AI27" s="19" t="s">
        <v>43</v>
      </c>
      <c r="AJ27" s="20"/>
      <c r="AK27" s="20"/>
      <c r="AL27" s="20"/>
      <c r="AM27" s="20"/>
      <c r="AN27" s="20"/>
      <c r="AO27" s="20"/>
      <c r="AP27" s="20"/>
      <c r="AQ27" s="20">
        <v>41096</v>
      </c>
      <c r="AR27" s="20">
        <v>41096</v>
      </c>
      <c r="AS27" s="20">
        <v>41096</v>
      </c>
      <c r="AT27" s="20">
        <v>41096</v>
      </c>
      <c r="AU27" s="20">
        <v>41096</v>
      </c>
      <c r="AV27" s="20">
        <v>41096</v>
      </c>
      <c r="AW27" s="20">
        <v>41096</v>
      </c>
      <c r="AX27" s="20">
        <v>41096</v>
      </c>
      <c r="AY27" s="20">
        <v>41096</v>
      </c>
      <c r="AZ27" s="20">
        <v>41096</v>
      </c>
      <c r="BA27" s="20"/>
      <c r="BB27" s="20"/>
      <c r="BC27" s="20"/>
      <c r="BD27" s="20"/>
      <c r="BE27" s="20"/>
      <c r="BF27" s="20"/>
      <c r="BG27" s="20"/>
      <c r="BH27" s="21">
        <f t="shared" si="2"/>
        <v>410960</v>
      </c>
      <c r="BI27" s="48">
        <v>20</v>
      </c>
      <c r="BJ27" s="21">
        <f t="shared" si="28"/>
        <v>8219200</v>
      </c>
      <c r="BK27" s="109">
        <f>+SUM(BJ27:BJ30)</f>
        <v>12328800</v>
      </c>
      <c r="BM27" s="106">
        <v>47270</v>
      </c>
      <c r="BN27" s="19" t="s">
        <v>43</v>
      </c>
      <c r="BO27" s="20"/>
      <c r="BP27" s="20"/>
      <c r="BQ27" s="20"/>
      <c r="BR27" s="20"/>
      <c r="BS27" s="20"/>
      <c r="BT27" s="20"/>
      <c r="BU27" s="20"/>
      <c r="BV27" s="20">
        <v>41096</v>
      </c>
      <c r="BW27" s="20">
        <v>41096</v>
      </c>
      <c r="BX27" s="20">
        <v>41096</v>
      </c>
      <c r="BY27" s="20">
        <v>41096</v>
      </c>
      <c r="BZ27" s="20">
        <v>41096</v>
      </c>
      <c r="CA27" s="20">
        <v>41096</v>
      </c>
      <c r="CB27" s="20">
        <v>41096</v>
      </c>
      <c r="CC27" s="20">
        <v>41096</v>
      </c>
      <c r="CD27" s="20">
        <v>41096</v>
      </c>
      <c r="CE27" s="20">
        <v>41096</v>
      </c>
      <c r="CF27" s="20"/>
      <c r="CG27" s="20"/>
      <c r="CH27" s="20"/>
      <c r="CI27" s="20"/>
      <c r="CJ27" s="20"/>
      <c r="CK27" s="20"/>
      <c r="CL27" s="20"/>
      <c r="CM27" s="21">
        <f t="shared" si="4"/>
        <v>410960</v>
      </c>
      <c r="CN27" s="48">
        <v>19</v>
      </c>
      <c r="CO27" s="21">
        <f t="shared" si="29"/>
        <v>7808240</v>
      </c>
      <c r="CP27" s="109">
        <f>+SUM(CO27:CO30)</f>
        <v>12328800</v>
      </c>
      <c r="CS27" s="106">
        <v>47635</v>
      </c>
      <c r="CT27" s="19" t="s">
        <v>43</v>
      </c>
      <c r="CU27" s="20"/>
      <c r="CV27" s="20"/>
      <c r="CW27" s="20"/>
      <c r="CX27" s="20"/>
      <c r="CY27" s="20"/>
      <c r="CZ27" s="20"/>
      <c r="DA27" s="20"/>
      <c r="DB27" s="20">
        <v>41096</v>
      </c>
      <c r="DC27" s="20">
        <v>41096</v>
      </c>
      <c r="DD27" s="20">
        <v>41096</v>
      </c>
      <c r="DE27" s="20">
        <v>41096</v>
      </c>
      <c r="DF27" s="20">
        <v>41096</v>
      </c>
      <c r="DG27" s="20">
        <v>41096</v>
      </c>
      <c r="DH27" s="20">
        <v>41096</v>
      </c>
      <c r="DI27" s="20">
        <v>41096</v>
      </c>
      <c r="DJ27" s="20">
        <v>41096</v>
      </c>
      <c r="DK27" s="20">
        <v>41096</v>
      </c>
      <c r="DL27" s="20"/>
      <c r="DM27" s="20"/>
      <c r="DN27" s="20"/>
      <c r="DO27" s="20"/>
      <c r="DP27" s="20"/>
      <c r="DQ27" s="20"/>
      <c r="DR27" s="20"/>
      <c r="DS27" s="21">
        <f t="shared" si="6"/>
        <v>410960</v>
      </c>
      <c r="DT27" s="48">
        <v>18</v>
      </c>
      <c r="DU27" s="21">
        <f t="shared" si="30"/>
        <v>7397280</v>
      </c>
      <c r="DV27" s="109">
        <f>+SUM(DU27:DU30)</f>
        <v>12328800</v>
      </c>
      <c r="DY27" s="106">
        <v>48000</v>
      </c>
      <c r="DZ27" s="19" t="s">
        <v>43</v>
      </c>
      <c r="EA27" s="20"/>
      <c r="EB27" s="20"/>
      <c r="EC27" s="20"/>
      <c r="ED27" s="20"/>
      <c r="EE27" s="20"/>
      <c r="EF27" s="20"/>
      <c r="EG27" s="20"/>
      <c r="EH27" s="20">
        <v>41096</v>
      </c>
      <c r="EI27" s="20">
        <v>41096</v>
      </c>
      <c r="EJ27" s="20">
        <v>41096</v>
      </c>
      <c r="EK27" s="20">
        <v>41096</v>
      </c>
      <c r="EL27" s="20">
        <v>41096</v>
      </c>
      <c r="EM27" s="20">
        <v>41096</v>
      </c>
      <c r="EN27" s="20">
        <v>41096</v>
      </c>
      <c r="EO27" s="20">
        <v>41096</v>
      </c>
      <c r="EP27" s="20">
        <v>41096</v>
      </c>
      <c r="EQ27" s="20">
        <v>41096</v>
      </c>
      <c r="ER27" s="20"/>
      <c r="ES27" s="20"/>
      <c r="ET27" s="20"/>
      <c r="EU27" s="20"/>
      <c r="EV27" s="20"/>
      <c r="EW27" s="20"/>
      <c r="EX27" s="20"/>
      <c r="EY27" s="21">
        <f t="shared" si="7"/>
        <v>410960</v>
      </c>
      <c r="EZ27" s="48">
        <v>18</v>
      </c>
      <c r="FA27" s="21">
        <f t="shared" si="31"/>
        <v>7397280</v>
      </c>
      <c r="FB27" s="109">
        <f>+SUM(FA27:FA30)</f>
        <v>12328800</v>
      </c>
      <c r="FD27" s="106">
        <v>48366</v>
      </c>
      <c r="FE27" s="19" t="s">
        <v>43</v>
      </c>
      <c r="FF27" s="20"/>
      <c r="FG27" s="20"/>
      <c r="FH27" s="20"/>
      <c r="FI27" s="20"/>
      <c r="FJ27" s="20"/>
      <c r="FK27" s="20"/>
      <c r="FL27" s="20"/>
      <c r="FM27" s="20">
        <v>41096</v>
      </c>
      <c r="FN27" s="20">
        <v>41096</v>
      </c>
      <c r="FO27" s="20">
        <v>41096</v>
      </c>
      <c r="FP27" s="20">
        <v>41096</v>
      </c>
      <c r="FQ27" s="20">
        <v>41096</v>
      </c>
      <c r="FR27" s="20">
        <v>41096</v>
      </c>
      <c r="FS27" s="20">
        <v>41096</v>
      </c>
      <c r="FT27" s="20">
        <v>41096</v>
      </c>
      <c r="FU27" s="20">
        <v>41096</v>
      </c>
      <c r="FV27" s="20">
        <v>41096</v>
      </c>
      <c r="FW27" s="20"/>
      <c r="FX27" s="20"/>
      <c r="FY27" s="20"/>
      <c r="FZ27" s="20"/>
      <c r="GA27" s="20"/>
      <c r="GB27" s="20"/>
      <c r="GC27" s="20"/>
      <c r="GD27" s="21">
        <f t="shared" si="9"/>
        <v>410960</v>
      </c>
      <c r="GE27" s="48">
        <v>21</v>
      </c>
      <c r="GF27" s="21">
        <f t="shared" si="32"/>
        <v>8630160</v>
      </c>
      <c r="GG27" s="109">
        <f>+SUM(GF27:GF30)</f>
        <v>12328800</v>
      </c>
      <c r="GI27" s="106">
        <v>48731</v>
      </c>
      <c r="GJ27" s="19" t="s">
        <v>43</v>
      </c>
      <c r="GK27" s="20"/>
      <c r="GL27" s="20"/>
      <c r="GM27" s="20"/>
      <c r="GN27" s="20"/>
      <c r="GO27" s="20"/>
      <c r="GP27" s="20"/>
      <c r="GQ27" s="20"/>
      <c r="GR27" s="20">
        <v>41096</v>
      </c>
      <c r="GS27" s="20">
        <v>41096</v>
      </c>
      <c r="GT27" s="20">
        <v>41096</v>
      </c>
      <c r="GU27" s="20">
        <v>41096</v>
      </c>
      <c r="GV27" s="20">
        <v>41096</v>
      </c>
      <c r="GW27" s="20">
        <v>41096</v>
      </c>
      <c r="GX27" s="20">
        <v>41096</v>
      </c>
      <c r="GY27" s="20">
        <v>41096</v>
      </c>
      <c r="GZ27" s="20">
        <v>41096</v>
      </c>
      <c r="HA27" s="20">
        <v>41096</v>
      </c>
      <c r="HB27" s="20"/>
      <c r="HC27" s="20"/>
      <c r="HD27" s="20"/>
      <c r="HE27" s="20"/>
      <c r="HF27" s="20"/>
      <c r="HG27" s="20"/>
      <c r="HH27" s="20"/>
      <c r="HI27" s="21">
        <f t="shared" si="11"/>
        <v>410960</v>
      </c>
      <c r="HJ27" s="48">
        <v>20</v>
      </c>
      <c r="HK27" s="21">
        <f t="shared" si="33"/>
        <v>8219200</v>
      </c>
      <c r="HL27" s="109">
        <f>+SUM(HK27:HK30)</f>
        <v>12328800</v>
      </c>
      <c r="HN27" s="106">
        <v>49096</v>
      </c>
      <c r="HO27" s="19" t="s">
        <v>43</v>
      </c>
      <c r="HP27" s="20"/>
      <c r="HQ27" s="20"/>
      <c r="HR27" s="20"/>
      <c r="HS27" s="20"/>
      <c r="HT27" s="20"/>
      <c r="HU27" s="20"/>
      <c r="HV27" s="20"/>
      <c r="HW27" s="20">
        <v>41096</v>
      </c>
      <c r="HX27" s="20">
        <v>41096</v>
      </c>
      <c r="HY27" s="20">
        <v>41096</v>
      </c>
      <c r="HZ27" s="20">
        <v>41096</v>
      </c>
      <c r="IA27" s="20">
        <v>41096</v>
      </c>
      <c r="IB27" s="20">
        <v>41096</v>
      </c>
      <c r="IC27" s="20">
        <v>41096</v>
      </c>
      <c r="ID27" s="20">
        <v>41096</v>
      </c>
      <c r="IE27" s="20">
        <v>41096</v>
      </c>
      <c r="IF27" s="20">
        <v>41096</v>
      </c>
      <c r="IG27" s="20"/>
      <c r="IH27" s="20"/>
      <c r="II27" s="20"/>
      <c r="IJ27" s="20"/>
      <c r="IK27" s="20"/>
      <c r="IL27" s="20"/>
      <c r="IM27" s="20"/>
      <c r="IN27" s="21">
        <f t="shared" si="13"/>
        <v>410960</v>
      </c>
      <c r="IO27" s="48">
        <v>20</v>
      </c>
      <c r="IP27" s="21">
        <f t="shared" si="34"/>
        <v>8219200</v>
      </c>
      <c r="IQ27" s="109">
        <f>+SUM(IP27:IP30)</f>
        <v>12328800</v>
      </c>
      <c r="IS27" s="106">
        <v>49461</v>
      </c>
      <c r="IT27" s="19" t="s">
        <v>43</v>
      </c>
      <c r="IU27" s="20"/>
      <c r="IV27" s="20"/>
      <c r="IW27" s="20"/>
      <c r="IX27" s="20"/>
      <c r="IY27" s="20"/>
      <c r="IZ27" s="20"/>
      <c r="JA27" s="20"/>
      <c r="JB27" s="20">
        <v>41096</v>
      </c>
      <c r="JC27" s="20">
        <v>41096</v>
      </c>
      <c r="JD27" s="20">
        <v>41096</v>
      </c>
      <c r="JE27" s="20">
        <v>41096</v>
      </c>
      <c r="JF27" s="20">
        <v>41096</v>
      </c>
      <c r="JG27" s="20">
        <v>41096</v>
      </c>
      <c r="JH27" s="20">
        <v>41096</v>
      </c>
      <c r="JI27" s="20">
        <v>41096</v>
      </c>
      <c r="JJ27" s="20">
        <v>41096</v>
      </c>
      <c r="JK27" s="20">
        <v>41096</v>
      </c>
      <c r="JL27" s="20"/>
      <c r="JM27" s="20"/>
      <c r="JN27" s="20"/>
      <c r="JO27" s="20"/>
      <c r="JP27" s="20"/>
      <c r="JQ27" s="20"/>
      <c r="JR27" s="20"/>
      <c r="JS27" s="21">
        <f t="shared" si="15"/>
        <v>410960</v>
      </c>
      <c r="JT27" s="48">
        <v>20</v>
      </c>
      <c r="JU27" s="21">
        <f t="shared" si="35"/>
        <v>8219200</v>
      </c>
      <c r="JV27" s="109">
        <f>+SUM(JU27:JU30)</f>
        <v>12328800</v>
      </c>
      <c r="JX27" s="106">
        <v>49827</v>
      </c>
      <c r="JY27" s="19" t="s">
        <v>43</v>
      </c>
      <c r="JZ27" s="20"/>
      <c r="KA27" s="20"/>
      <c r="KB27" s="20"/>
      <c r="KC27" s="20"/>
      <c r="KD27" s="20"/>
      <c r="KE27" s="20"/>
      <c r="KF27" s="20"/>
      <c r="KG27" s="20">
        <v>41096</v>
      </c>
      <c r="KH27" s="20">
        <v>41096</v>
      </c>
      <c r="KI27" s="20">
        <v>41096</v>
      </c>
      <c r="KJ27" s="20">
        <v>41096</v>
      </c>
      <c r="KK27" s="20">
        <v>41096</v>
      </c>
      <c r="KL27" s="20">
        <v>41096</v>
      </c>
      <c r="KM27" s="20">
        <v>41096</v>
      </c>
      <c r="KN27" s="20">
        <v>41096</v>
      </c>
      <c r="KO27" s="20">
        <v>41096</v>
      </c>
      <c r="KP27" s="20">
        <v>41096</v>
      </c>
      <c r="KQ27" s="20"/>
      <c r="KR27" s="20"/>
      <c r="KS27" s="20"/>
      <c r="KT27" s="20"/>
      <c r="KU27" s="20"/>
      <c r="KV27" s="20"/>
      <c r="KW27" s="20"/>
      <c r="KX27" s="21">
        <f t="shared" si="17"/>
        <v>410960</v>
      </c>
      <c r="KY27" s="48">
        <v>19</v>
      </c>
      <c r="KZ27" s="21">
        <f t="shared" si="36"/>
        <v>7808240</v>
      </c>
      <c r="LA27" s="109">
        <f>+SUM(KZ27:KZ30)</f>
        <v>12328800</v>
      </c>
      <c r="LC27" s="106">
        <v>50192</v>
      </c>
      <c r="LD27" s="19" t="s">
        <v>43</v>
      </c>
      <c r="LE27" s="20"/>
      <c r="LF27" s="20"/>
      <c r="LG27" s="20"/>
      <c r="LH27" s="20"/>
      <c r="LI27" s="20"/>
      <c r="LJ27" s="20"/>
      <c r="LK27" s="20"/>
      <c r="LL27" s="20">
        <v>41096</v>
      </c>
      <c r="LM27" s="20">
        <v>41096</v>
      </c>
      <c r="LN27" s="20">
        <v>41096</v>
      </c>
      <c r="LO27" s="20">
        <v>41096</v>
      </c>
      <c r="LP27" s="20">
        <v>41096</v>
      </c>
      <c r="LQ27" s="20">
        <v>41096</v>
      </c>
      <c r="LR27" s="20">
        <v>41096</v>
      </c>
      <c r="LS27" s="20">
        <v>41096</v>
      </c>
      <c r="LT27" s="20">
        <v>41096</v>
      </c>
      <c r="LU27" s="20">
        <v>41096</v>
      </c>
      <c r="LV27" s="20"/>
      <c r="LW27" s="20"/>
      <c r="LX27" s="20"/>
      <c r="LY27" s="20"/>
      <c r="LZ27" s="20"/>
      <c r="MA27" s="20"/>
      <c r="MB27" s="20"/>
      <c r="MC27" s="21">
        <f t="shared" si="19"/>
        <v>410960</v>
      </c>
      <c r="MD27" s="48">
        <v>21</v>
      </c>
      <c r="ME27" s="21">
        <f t="shared" si="37"/>
        <v>8630160</v>
      </c>
      <c r="MF27" s="109">
        <f>+SUM(ME27:ME30)</f>
        <v>12328800</v>
      </c>
      <c r="MH27" s="106">
        <v>50557</v>
      </c>
      <c r="MI27" s="19" t="s">
        <v>43</v>
      </c>
      <c r="MJ27" s="20"/>
      <c r="MK27" s="20"/>
      <c r="ML27" s="20"/>
      <c r="MM27" s="20"/>
      <c r="MN27" s="20"/>
      <c r="MO27" s="20"/>
      <c r="MP27" s="20"/>
      <c r="MQ27" s="20">
        <v>41096</v>
      </c>
      <c r="MR27" s="20">
        <v>41096</v>
      </c>
      <c r="MS27" s="20">
        <v>41096</v>
      </c>
      <c r="MT27" s="20">
        <v>41096</v>
      </c>
      <c r="MU27" s="20">
        <v>41096</v>
      </c>
      <c r="MV27" s="20">
        <v>41096</v>
      </c>
      <c r="MW27" s="20">
        <v>41096</v>
      </c>
      <c r="MX27" s="20">
        <v>41096</v>
      </c>
      <c r="MY27" s="20">
        <v>41096</v>
      </c>
      <c r="MZ27" s="20">
        <v>41096</v>
      </c>
      <c r="NA27" s="20"/>
      <c r="NB27" s="20"/>
      <c r="NC27" s="20"/>
      <c r="ND27" s="20"/>
      <c r="NE27" s="20"/>
      <c r="NF27" s="20"/>
      <c r="NG27" s="20"/>
      <c r="NH27" s="21">
        <f t="shared" si="21"/>
        <v>410960</v>
      </c>
      <c r="NI27" s="48">
        <v>20</v>
      </c>
      <c r="NJ27" s="21">
        <f t="shared" si="38"/>
        <v>8219200</v>
      </c>
      <c r="NK27" s="109">
        <f>+SUM(NJ27:NJ30)</f>
        <v>12328800</v>
      </c>
      <c r="NM27" s="106">
        <v>50922</v>
      </c>
      <c r="NN27" s="19" t="s">
        <v>43</v>
      </c>
      <c r="NO27" s="20"/>
      <c r="NP27" s="20"/>
      <c r="NQ27" s="20"/>
      <c r="NR27" s="20"/>
      <c r="NS27" s="20"/>
      <c r="NT27" s="20"/>
      <c r="NU27" s="20"/>
      <c r="NV27" s="20">
        <v>41096</v>
      </c>
      <c r="NW27" s="20">
        <v>41096</v>
      </c>
      <c r="NX27" s="20">
        <v>41096</v>
      </c>
      <c r="NY27" s="20">
        <v>41096</v>
      </c>
      <c r="NZ27" s="20">
        <v>41096</v>
      </c>
      <c r="OA27" s="20">
        <v>41096</v>
      </c>
      <c r="OB27" s="20">
        <v>41096</v>
      </c>
      <c r="OC27" s="20">
        <v>41096</v>
      </c>
      <c r="OD27" s="20">
        <v>41096</v>
      </c>
      <c r="OE27" s="20">
        <v>41096</v>
      </c>
      <c r="OF27" s="20"/>
      <c r="OG27" s="20"/>
      <c r="OH27" s="20"/>
      <c r="OI27" s="20"/>
      <c r="OJ27" s="20"/>
      <c r="OK27" s="20"/>
      <c r="OL27" s="20"/>
      <c r="OM27" s="21">
        <f t="shared" si="23"/>
        <v>410960</v>
      </c>
      <c r="ON27" s="48">
        <v>21</v>
      </c>
      <c r="OO27" s="21">
        <f t="shared" si="39"/>
        <v>8630160</v>
      </c>
      <c r="OP27" s="109">
        <f>+SUM(OO27:OO30)</f>
        <v>12328800</v>
      </c>
      <c r="OR27" s="106">
        <v>51288</v>
      </c>
      <c r="OS27" s="19" t="s">
        <v>43</v>
      </c>
      <c r="OT27" s="20"/>
      <c r="OU27" s="20"/>
      <c r="OV27" s="20"/>
      <c r="OW27" s="20"/>
      <c r="OX27" s="20"/>
      <c r="OY27" s="20"/>
      <c r="OZ27" s="20"/>
      <c r="PA27" s="20">
        <v>41096</v>
      </c>
      <c r="PB27" s="20">
        <v>41096</v>
      </c>
      <c r="PC27" s="20">
        <v>41096</v>
      </c>
      <c r="PD27" s="20">
        <v>41096</v>
      </c>
      <c r="PE27" s="20">
        <v>41096</v>
      </c>
      <c r="PF27" s="20">
        <v>41096</v>
      </c>
      <c r="PG27" s="20">
        <v>41096</v>
      </c>
      <c r="PH27" s="20">
        <v>41096</v>
      </c>
      <c r="PI27" s="20">
        <v>41096</v>
      </c>
      <c r="PJ27" s="20">
        <v>41096</v>
      </c>
      <c r="PK27" s="20"/>
      <c r="PL27" s="20"/>
      <c r="PM27" s="20"/>
      <c r="PN27" s="20"/>
      <c r="PO27" s="20"/>
      <c r="PP27" s="20"/>
      <c r="PQ27" s="20"/>
      <c r="PR27" s="21">
        <f t="shared" si="25"/>
        <v>410960</v>
      </c>
      <c r="PS27" s="63">
        <v>19</v>
      </c>
      <c r="PT27" s="21">
        <f t="shared" si="40"/>
        <v>7808240</v>
      </c>
      <c r="PU27" s="109">
        <f>+SUM(PT27:PT30)</f>
        <v>12328800</v>
      </c>
    </row>
    <row r="28" spans="3:437" x14ac:dyDescent="0.35">
      <c r="C28" s="107"/>
      <c r="D28" s="23" t="s">
        <v>44</v>
      </c>
      <c r="E28" s="20"/>
      <c r="F28" s="92"/>
      <c r="G28" s="20"/>
      <c r="H28" s="20"/>
      <c r="I28" s="20"/>
      <c r="J28" s="20"/>
      <c r="K28" s="20"/>
      <c r="L28" s="20">
        <v>41096</v>
      </c>
      <c r="M28" s="20">
        <v>41096</v>
      </c>
      <c r="N28" s="20">
        <v>41096</v>
      </c>
      <c r="O28" s="20">
        <v>41096</v>
      </c>
      <c r="P28" s="20">
        <v>41096</v>
      </c>
      <c r="Q28" s="20">
        <v>41096</v>
      </c>
      <c r="R28" s="20">
        <v>41096</v>
      </c>
      <c r="S28" s="20">
        <v>41096</v>
      </c>
      <c r="T28" s="20">
        <v>41096</v>
      </c>
      <c r="U28" s="20">
        <v>41096</v>
      </c>
      <c r="V28" s="20"/>
      <c r="W28" s="20"/>
      <c r="X28" s="20"/>
      <c r="Y28" s="20"/>
      <c r="Z28" s="20"/>
      <c r="AA28" s="20"/>
      <c r="AB28" s="20"/>
      <c r="AC28" s="21">
        <f t="shared" si="0"/>
        <v>410960</v>
      </c>
      <c r="AD28" s="22">
        <v>4</v>
      </c>
      <c r="AE28" s="21">
        <f t="shared" si="27"/>
        <v>1643840</v>
      </c>
      <c r="AF28" s="110"/>
      <c r="AH28" s="107"/>
      <c r="AI28" s="23" t="s">
        <v>44</v>
      </c>
      <c r="AJ28" s="20"/>
      <c r="AK28" s="20"/>
      <c r="AL28" s="20"/>
      <c r="AM28" s="20"/>
      <c r="AN28" s="20"/>
      <c r="AO28" s="20"/>
      <c r="AP28" s="20"/>
      <c r="AQ28" s="20">
        <v>41096</v>
      </c>
      <c r="AR28" s="20">
        <v>41096</v>
      </c>
      <c r="AS28" s="20">
        <v>41096</v>
      </c>
      <c r="AT28" s="20">
        <v>41096</v>
      </c>
      <c r="AU28" s="20">
        <v>41096</v>
      </c>
      <c r="AV28" s="20">
        <v>41096</v>
      </c>
      <c r="AW28" s="20">
        <v>41096</v>
      </c>
      <c r="AX28" s="20">
        <v>41096</v>
      </c>
      <c r="AY28" s="20">
        <v>41096</v>
      </c>
      <c r="AZ28" s="20">
        <v>41096</v>
      </c>
      <c r="BA28" s="20"/>
      <c r="BB28" s="20"/>
      <c r="BC28" s="20"/>
      <c r="BD28" s="20"/>
      <c r="BE28" s="20"/>
      <c r="BF28" s="20"/>
      <c r="BG28" s="20"/>
      <c r="BH28" s="21">
        <f t="shared" si="2"/>
        <v>410960</v>
      </c>
      <c r="BI28" s="49">
        <v>4</v>
      </c>
      <c r="BJ28" s="21">
        <f t="shared" si="28"/>
        <v>1643840</v>
      </c>
      <c r="BK28" s="110"/>
      <c r="BM28" s="107"/>
      <c r="BN28" s="23" t="s">
        <v>44</v>
      </c>
      <c r="BO28" s="20"/>
      <c r="BP28" s="20"/>
      <c r="BQ28" s="20"/>
      <c r="BR28" s="20"/>
      <c r="BS28" s="20"/>
      <c r="BT28" s="20"/>
      <c r="BU28" s="20"/>
      <c r="BV28" s="20">
        <v>41096</v>
      </c>
      <c r="BW28" s="20">
        <v>41096</v>
      </c>
      <c r="BX28" s="20">
        <v>41096</v>
      </c>
      <c r="BY28" s="20">
        <v>41096</v>
      </c>
      <c r="BZ28" s="20">
        <v>41096</v>
      </c>
      <c r="CA28" s="20">
        <v>41096</v>
      </c>
      <c r="CB28" s="20">
        <v>41096</v>
      </c>
      <c r="CC28" s="20">
        <v>41096</v>
      </c>
      <c r="CD28" s="20">
        <v>41096</v>
      </c>
      <c r="CE28" s="20">
        <v>41096</v>
      </c>
      <c r="CF28" s="20"/>
      <c r="CG28" s="20"/>
      <c r="CH28" s="20"/>
      <c r="CI28" s="20"/>
      <c r="CJ28" s="20"/>
      <c r="CK28" s="20"/>
      <c r="CL28" s="20"/>
      <c r="CM28" s="21">
        <f t="shared" si="4"/>
        <v>410960</v>
      </c>
      <c r="CN28" s="49">
        <v>5</v>
      </c>
      <c r="CO28" s="21">
        <f t="shared" si="29"/>
        <v>2054800</v>
      </c>
      <c r="CP28" s="110"/>
      <c r="CS28" s="107"/>
      <c r="CT28" s="23" t="s">
        <v>44</v>
      </c>
      <c r="CU28" s="20"/>
      <c r="CV28" s="20"/>
      <c r="CW28" s="20"/>
      <c r="CX28" s="20"/>
      <c r="CY28" s="20"/>
      <c r="CZ28" s="20"/>
      <c r="DA28" s="20"/>
      <c r="DB28" s="20">
        <v>41096</v>
      </c>
      <c r="DC28" s="20">
        <v>41096</v>
      </c>
      <c r="DD28" s="20">
        <v>41096</v>
      </c>
      <c r="DE28" s="20">
        <v>41096</v>
      </c>
      <c r="DF28" s="20">
        <v>41096</v>
      </c>
      <c r="DG28" s="20">
        <v>41096</v>
      </c>
      <c r="DH28" s="20">
        <v>41096</v>
      </c>
      <c r="DI28" s="20">
        <v>41096</v>
      </c>
      <c r="DJ28" s="20">
        <v>41096</v>
      </c>
      <c r="DK28" s="20">
        <v>41096</v>
      </c>
      <c r="DL28" s="20"/>
      <c r="DM28" s="20"/>
      <c r="DN28" s="20"/>
      <c r="DO28" s="20"/>
      <c r="DP28" s="20"/>
      <c r="DQ28" s="20"/>
      <c r="DR28" s="20"/>
      <c r="DS28" s="21">
        <f t="shared" si="6"/>
        <v>410960</v>
      </c>
      <c r="DT28" s="49">
        <v>5</v>
      </c>
      <c r="DU28" s="21">
        <f t="shared" si="30"/>
        <v>2054800</v>
      </c>
      <c r="DV28" s="110"/>
      <c r="DY28" s="107"/>
      <c r="DZ28" s="23" t="s">
        <v>44</v>
      </c>
      <c r="EA28" s="20"/>
      <c r="EB28" s="20"/>
      <c r="EC28" s="20"/>
      <c r="ED28" s="20"/>
      <c r="EE28" s="20"/>
      <c r="EF28" s="20"/>
      <c r="EG28" s="20"/>
      <c r="EH28" s="20">
        <v>41096</v>
      </c>
      <c r="EI28" s="20">
        <v>41096</v>
      </c>
      <c r="EJ28" s="20">
        <v>41096</v>
      </c>
      <c r="EK28" s="20">
        <v>41096</v>
      </c>
      <c r="EL28" s="20">
        <v>41096</v>
      </c>
      <c r="EM28" s="20">
        <v>41096</v>
      </c>
      <c r="EN28" s="20">
        <v>41096</v>
      </c>
      <c r="EO28" s="20">
        <v>41096</v>
      </c>
      <c r="EP28" s="20">
        <v>41096</v>
      </c>
      <c r="EQ28" s="20">
        <v>41096</v>
      </c>
      <c r="ER28" s="20"/>
      <c r="ES28" s="20"/>
      <c r="ET28" s="20"/>
      <c r="EU28" s="20"/>
      <c r="EV28" s="20"/>
      <c r="EW28" s="20"/>
      <c r="EX28" s="20"/>
      <c r="EY28" s="21">
        <f t="shared" si="7"/>
        <v>410960</v>
      </c>
      <c r="EZ28" s="49">
        <v>4</v>
      </c>
      <c r="FA28" s="21">
        <f t="shared" si="31"/>
        <v>1643840</v>
      </c>
      <c r="FB28" s="110"/>
      <c r="FD28" s="107"/>
      <c r="FE28" s="23" t="s">
        <v>44</v>
      </c>
      <c r="FF28" s="20"/>
      <c r="FG28" s="20"/>
      <c r="FH28" s="20"/>
      <c r="FI28" s="20"/>
      <c r="FJ28" s="20"/>
      <c r="FK28" s="20"/>
      <c r="FL28" s="20"/>
      <c r="FM28" s="20">
        <v>41096</v>
      </c>
      <c r="FN28" s="20">
        <v>41096</v>
      </c>
      <c r="FO28" s="20">
        <v>41096</v>
      </c>
      <c r="FP28" s="20">
        <v>41096</v>
      </c>
      <c r="FQ28" s="20">
        <v>41096</v>
      </c>
      <c r="FR28" s="20">
        <v>41096</v>
      </c>
      <c r="FS28" s="20">
        <v>41096</v>
      </c>
      <c r="FT28" s="20">
        <v>41096</v>
      </c>
      <c r="FU28" s="20">
        <v>41096</v>
      </c>
      <c r="FV28" s="20">
        <v>41096</v>
      </c>
      <c r="FW28" s="20"/>
      <c r="FX28" s="20"/>
      <c r="FY28" s="20"/>
      <c r="FZ28" s="20"/>
      <c r="GA28" s="20"/>
      <c r="GB28" s="20"/>
      <c r="GC28" s="20"/>
      <c r="GD28" s="21">
        <f t="shared" si="9"/>
        <v>410960</v>
      </c>
      <c r="GE28" s="49">
        <v>4</v>
      </c>
      <c r="GF28" s="21">
        <f t="shared" si="32"/>
        <v>1643840</v>
      </c>
      <c r="GG28" s="110"/>
      <c r="GI28" s="107"/>
      <c r="GJ28" s="23" t="s">
        <v>44</v>
      </c>
      <c r="GK28" s="20"/>
      <c r="GL28" s="20"/>
      <c r="GM28" s="20"/>
      <c r="GN28" s="20"/>
      <c r="GO28" s="20"/>
      <c r="GP28" s="20"/>
      <c r="GQ28" s="20"/>
      <c r="GR28" s="20">
        <v>41096</v>
      </c>
      <c r="GS28" s="20">
        <v>41096</v>
      </c>
      <c r="GT28" s="20">
        <v>41096</v>
      </c>
      <c r="GU28" s="20">
        <v>41096</v>
      </c>
      <c r="GV28" s="20">
        <v>41096</v>
      </c>
      <c r="GW28" s="20">
        <v>41096</v>
      </c>
      <c r="GX28" s="20">
        <v>41096</v>
      </c>
      <c r="GY28" s="20">
        <v>41096</v>
      </c>
      <c r="GZ28" s="20">
        <v>41096</v>
      </c>
      <c r="HA28" s="20">
        <v>41096</v>
      </c>
      <c r="HB28" s="20"/>
      <c r="HC28" s="20"/>
      <c r="HD28" s="20"/>
      <c r="HE28" s="20"/>
      <c r="HF28" s="20"/>
      <c r="HG28" s="20"/>
      <c r="HH28" s="20"/>
      <c r="HI28" s="21">
        <f t="shared" si="11"/>
        <v>410960</v>
      </c>
      <c r="HJ28" s="49">
        <v>4</v>
      </c>
      <c r="HK28" s="21">
        <f t="shared" si="33"/>
        <v>1643840</v>
      </c>
      <c r="HL28" s="110"/>
      <c r="HN28" s="107"/>
      <c r="HO28" s="23" t="s">
        <v>44</v>
      </c>
      <c r="HP28" s="20"/>
      <c r="HQ28" s="20"/>
      <c r="HR28" s="20"/>
      <c r="HS28" s="20"/>
      <c r="HT28" s="20"/>
      <c r="HU28" s="20"/>
      <c r="HV28" s="20"/>
      <c r="HW28" s="20">
        <v>41096</v>
      </c>
      <c r="HX28" s="20">
        <v>41096</v>
      </c>
      <c r="HY28" s="20">
        <v>41096</v>
      </c>
      <c r="HZ28" s="20">
        <v>41096</v>
      </c>
      <c r="IA28" s="20">
        <v>41096</v>
      </c>
      <c r="IB28" s="20">
        <v>41096</v>
      </c>
      <c r="IC28" s="20">
        <v>41096</v>
      </c>
      <c r="ID28" s="20">
        <v>41096</v>
      </c>
      <c r="IE28" s="20">
        <v>41096</v>
      </c>
      <c r="IF28" s="20">
        <v>41096</v>
      </c>
      <c r="IG28" s="20"/>
      <c r="IH28" s="20"/>
      <c r="II28" s="20"/>
      <c r="IJ28" s="20"/>
      <c r="IK28" s="20"/>
      <c r="IL28" s="20"/>
      <c r="IM28" s="20"/>
      <c r="IN28" s="21">
        <f t="shared" si="13"/>
        <v>410960</v>
      </c>
      <c r="IO28" s="49">
        <v>4</v>
      </c>
      <c r="IP28" s="21">
        <f t="shared" si="34"/>
        <v>1643840</v>
      </c>
      <c r="IQ28" s="110"/>
      <c r="IS28" s="107"/>
      <c r="IT28" s="23" t="s">
        <v>44</v>
      </c>
      <c r="IU28" s="20"/>
      <c r="IV28" s="20"/>
      <c r="IW28" s="20"/>
      <c r="IX28" s="20"/>
      <c r="IY28" s="20"/>
      <c r="IZ28" s="20"/>
      <c r="JA28" s="20"/>
      <c r="JB28" s="20">
        <v>41096</v>
      </c>
      <c r="JC28" s="20">
        <v>41096</v>
      </c>
      <c r="JD28" s="20">
        <v>41096</v>
      </c>
      <c r="JE28" s="20">
        <v>41096</v>
      </c>
      <c r="JF28" s="20">
        <v>41096</v>
      </c>
      <c r="JG28" s="20">
        <v>41096</v>
      </c>
      <c r="JH28" s="20">
        <v>41096</v>
      </c>
      <c r="JI28" s="20">
        <v>41096</v>
      </c>
      <c r="JJ28" s="20">
        <v>41096</v>
      </c>
      <c r="JK28" s="20">
        <v>41096</v>
      </c>
      <c r="JL28" s="20"/>
      <c r="JM28" s="20"/>
      <c r="JN28" s="20"/>
      <c r="JO28" s="20"/>
      <c r="JP28" s="20"/>
      <c r="JQ28" s="20"/>
      <c r="JR28" s="20"/>
      <c r="JS28" s="21">
        <f t="shared" si="15"/>
        <v>410960</v>
      </c>
      <c r="JT28" s="49">
        <v>5</v>
      </c>
      <c r="JU28" s="21">
        <f t="shared" si="35"/>
        <v>2054800</v>
      </c>
      <c r="JV28" s="110"/>
      <c r="JX28" s="107"/>
      <c r="JY28" s="23" t="s">
        <v>44</v>
      </c>
      <c r="JZ28" s="20"/>
      <c r="KA28" s="20"/>
      <c r="KB28" s="20"/>
      <c r="KC28" s="20"/>
      <c r="KD28" s="20"/>
      <c r="KE28" s="20"/>
      <c r="KF28" s="20"/>
      <c r="KG28" s="20">
        <v>41096</v>
      </c>
      <c r="KH28" s="20">
        <v>41096</v>
      </c>
      <c r="KI28" s="20">
        <v>41096</v>
      </c>
      <c r="KJ28" s="20">
        <v>41096</v>
      </c>
      <c r="KK28" s="20">
        <v>41096</v>
      </c>
      <c r="KL28" s="20">
        <v>41096</v>
      </c>
      <c r="KM28" s="20">
        <v>41096</v>
      </c>
      <c r="KN28" s="20">
        <v>41096</v>
      </c>
      <c r="KO28" s="20">
        <v>41096</v>
      </c>
      <c r="KP28" s="20">
        <v>41096</v>
      </c>
      <c r="KQ28" s="20"/>
      <c r="KR28" s="20"/>
      <c r="KS28" s="20"/>
      <c r="KT28" s="20"/>
      <c r="KU28" s="20"/>
      <c r="KV28" s="20"/>
      <c r="KW28" s="20"/>
      <c r="KX28" s="21">
        <f t="shared" si="17"/>
        <v>410960</v>
      </c>
      <c r="KY28" s="49">
        <v>4</v>
      </c>
      <c r="KZ28" s="21">
        <f t="shared" si="36"/>
        <v>1643840</v>
      </c>
      <c r="LA28" s="110"/>
      <c r="LC28" s="107"/>
      <c r="LD28" s="23" t="s">
        <v>44</v>
      </c>
      <c r="LE28" s="20"/>
      <c r="LF28" s="20"/>
      <c r="LG28" s="20"/>
      <c r="LH28" s="20"/>
      <c r="LI28" s="20"/>
      <c r="LJ28" s="20"/>
      <c r="LK28" s="20"/>
      <c r="LL28" s="20">
        <v>41096</v>
      </c>
      <c r="LM28" s="20">
        <v>41096</v>
      </c>
      <c r="LN28" s="20">
        <v>41096</v>
      </c>
      <c r="LO28" s="20">
        <v>41096</v>
      </c>
      <c r="LP28" s="20">
        <v>41096</v>
      </c>
      <c r="LQ28" s="20">
        <v>41096</v>
      </c>
      <c r="LR28" s="20">
        <v>41096</v>
      </c>
      <c r="LS28" s="20">
        <v>41096</v>
      </c>
      <c r="LT28" s="20">
        <v>41096</v>
      </c>
      <c r="LU28" s="20">
        <v>41096</v>
      </c>
      <c r="LV28" s="20"/>
      <c r="LW28" s="20"/>
      <c r="LX28" s="20"/>
      <c r="LY28" s="20"/>
      <c r="LZ28" s="20"/>
      <c r="MA28" s="20"/>
      <c r="MB28" s="20"/>
      <c r="MC28" s="21">
        <f t="shared" si="19"/>
        <v>410960</v>
      </c>
      <c r="MD28" s="49">
        <v>4</v>
      </c>
      <c r="ME28" s="21">
        <f t="shared" si="37"/>
        <v>1643840</v>
      </c>
      <c r="MF28" s="110"/>
      <c r="MH28" s="107"/>
      <c r="MI28" s="23" t="s">
        <v>44</v>
      </c>
      <c r="MJ28" s="20"/>
      <c r="MK28" s="20"/>
      <c r="ML28" s="20"/>
      <c r="MM28" s="20"/>
      <c r="MN28" s="20"/>
      <c r="MO28" s="20"/>
      <c r="MP28" s="20"/>
      <c r="MQ28" s="20">
        <v>41096</v>
      </c>
      <c r="MR28" s="20">
        <v>41096</v>
      </c>
      <c r="MS28" s="20">
        <v>41096</v>
      </c>
      <c r="MT28" s="20">
        <v>41096</v>
      </c>
      <c r="MU28" s="20">
        <v>41096</v>
      </c>
      <c r="MV28" s="20">
        <v>41096</v>
      </c>
      <c r="MW28" s="20">
        <v>41096</v>
      </c>
      <c r="MX28" s="20">
        <v>41096</v>
      </c>
      <c r="MY28" s="20">
        <v>41096</v>
      </c>
      <c r="MZ28" s="20">
        <v>41096</v>
      </c>
      <c r="NA28" s="20"/>
      <c r="NB28" s="20"/>
      <c r="NC28" s="20"/>
      <c r="ND28" s="20"/>
      <c r="NE28" s="20"/>
      <c r="NF28" s="20"/>
      <c r="NG28" s="20"/>
      <c r="NH28" s="21">
        <f t="shared" si="21"/>
        <v>410960</v>
      </c>
      <c r="NI28" s="49">
        <v>4</v>
      </c>
      <c r="NJ28" s="21">
        <f t="shared" si="38"/>
        <v>1643840</v>
      </c>
      <c r="NK28" s="110"/>
      <c r="NM28" s="107"/>
      <c r="NN28" s="23" t="s">
        <v>44</v>
      </c>
      <c r="NO28" s="20"/>
      <c r="NP28" s="20"/>
      <c r="NQ28" s="20"/>
      <c r="NR28" s="20"/>
      <c r="NS28" s="20"/>
      <c r="NT28" s="20"/>
      <c r="NU28" s="20"/>
      <c r="NV28" s="20">
        <v>41096</v>
      </c>
      <c r="NW28" s="20">
        <v>41096</v>
      </c>
      <c r="NX28" s="20">
        <v>41096</v>
      </c>
      <c r="NY28" s="20">
        <v>41096</v>
      </c>
      <c r="NZ28" s="20">
        <v>41096</v>
      </c>
      <c r="OA28" s="20">
        <v>41096</v>
      </c>
      <c r="OB28" s="20">
        <v>41096</v>
      </c>
      <c r="OC28" s="20">
        <v>41096</v>
      </c>
      <c r="OD28" s="20">
        <v>41096</v>
      </c>
      <c r="OE28" s="20">
        <v>41096</v>
      </c>
      <c r="OF28" s="20"/>
      <c r="OG28" s="20"/>
      <c r="OH28" s="20"/>
      <c r="OI28" s="20"/>
      <c r="OJ28" s="20"/>
      <c r="OK28" s="20"/>
      <c r="OL28" s="20"/>
      <c r="OM28" s="21">
        <f t="shared" si="23"/>
        <v>410960</v>
      </c>
      <c r="ON28" s="49">
        <v>4</v>
      </c>
      <c r="OO28" s="21">
        <f t="shared" si="39"/>
        <v>1643840</v>
      </c>
      <c r="OP28" s="110"/>
      <c r="OR28" s="107"/>
      <c r="OS28" s="23" t="s">
        <v>44</v>
      </c>
      <c r="OT28" s="20"/>
      <c r="OU28" s="20"/>
      <c r="OV28" s="20"/>
      <c r="OW28" s="20"/>
      <c r="OX28" s="20"/>
      <c r="OY28" s="20"/>
      <c r="OZ28" s="20"/>
      <c r="PA28" s="20">
        <v>41096</v>
      </c>
      <c r="PB28" s="20">
        <v>41096</v>
      </c>
      <c r="PC28" s="20">
        <v>41096</v>
      </c>
      <c r="PD28" s="20">
        <v>41096</v>
      </c>
      <c r="PE28" s="20">
        <v>41096</v>
      </c>
      <c r="PF28" s="20">
        <v>41096</v>
      </c>
      <c r="PG28" s="20">
        <v>41096</v>
      </c>
      <c r="PH28" s="20">
        <v>41096</v>
      </c>
      <c r="PI28" s="20">
        <v>41096</v>
      </c>
      <c r="PJ28" s="20">
        <v>41096</v>
      </c>
      <c r="PK28" s="20"/>
      <c r="PL28" s="20"/>
      <c r="PM28" s="20"/>
      <c r="PN28" s="20"/>
      <c r="PO28" s="20"/>
      <c r="PP28" s="20"/>
      <c r="PQ28" s="20"/>
      <c r="PR28" s="21">
        <f t="shared" si="25"/>
        <v>410960</v>
      </c>
      <c r="PS28" s="62">
        <v>5</v>
      </c>
      <c r="PT28" s="21">
        <f t="shared" si="40"/>
        <v>2054800</v>
      </c>
      <c r="PU28" s="110"/>
    </row>
    <row r="29" spans="3:437" x14ac:dyDescent="0.35">
      <c r="C29" s="107"/>
      <c r="D29" s="23" t="s">
        <v>45</v>
      </c>
      <c r="E29" s="20"/>
      <c r="F29" s="92"/>
      <c r="G29" s="20"/>
      <c r="H29" s="20"/>
      <c r="I29" s="20"/>
      <c r="J29" s="20"/>
      <c r="K29" s="20"/>
      <c r="L29" s="20">
        <v>41096</v>
      </c>
      <c r="M29" s="20">
        <v>41096</v>
      </c>
      <c r="N29" s="20">
        <v>41096</v>
      </c>
      <c r="O29" s="20">
        <v>41096</v>
      </c>
      <c r="P29" s="20">
        <v>41096</v>
      </c>
      <c r="Q29" s="20">
        <v>41096</v>
      </c>
      <c r="R29" s="20">
        <v>41096</v>
      </c>
      <c r="S29" s="20">
        <v>41096</v>
      </c>
      <c r="T29" s="20">
        <v>41096</v>
      </c>
      <c r="U29" s="20">
        <v>41096</v>
      </c>
      <c r="V29" s="20"/>
      <c r="W29" s="20"/>
      <c r="X29" s="20"/>
      <c r="Y29" s="20"/>
      <c r="Z29" s="20"/>
      <c r="AA29" s="20"/>
      <c r="AB29" s="20"/>
      <c r="AC29" s="21">
        <f t="shared" si="0"/>
        <v>410960</v>
      </c>
      <c r="AD29" s="22">
        <v>4</v>
      </c>
      <c r="AE29" s="21">
        <f t="shared" si="27"/>
        <v>1643840</v>
      </c>
      <c r="AF29" s="110"/>
      <c r="AH29" s="107"/>
      <c r="AI29" s="23" t="s">
        <v>45</v>
      </c>
      <c r="AJ29" s="20"/>
      <c r="AK29" s="20"/>
      <c r="AL29" s="20"/>
      <c r="AM29" s="20"/>
      <c r="AN29" s="20"/>
      <c r="AO29" s="20"/>
      <c r="AP29" s="20"/>
      <c r="AQ29" s="20">
        <v>41096</v>
      </c>
      <c r="AR29" s="20">
        <v>41096</v>
      </c>
      <c r="AS29" s="20">
        <v>41096</v>
      </c>
      <c r="AT29" s="20">
        <v>41096</v>
      </c>
      <c r="AU29" s="20">
        <v>41096</v>
      </c>
      <c r="AV29" s="20">
        <v>41096</v>
      </c>
      <c r="AW29" s="20">
        <v>41096</v>
      </c>
      <c r="AX29" s="20">
        <v>41096</v>
      </c>
      <c r="AY29" s="20">
        <v>41096</v>
      </c>
      <c r="AZ29" s="20">
        <v>41096</v>
      </c>
      <c r="BA29" s="20"/>
      <c r="BB29" s="20"/>
      <c r="BC29" s="20"/>
      <c r="BD29" s="20"/>
      <c r="BE29" s="20"/>
      <c r="BF29" s="20"/>
      <c r="BG29" s="20"/>
      <c r="BH29" s="21">
        <f t="shared" si="2"/>
        <v>410960</v>
      </c>
      <c r="BI29" s="49">
        <v>4</v>
      </c>
      <c r="BJ29" s="21">
        <f t="shared" si="28"/>
        <v>1643840</v>
      </c>
      <c r="BK29" s="110"/>
      <c r="BM29" s="107"/>
      <c r="BN29" s="23" t="s">
        <v>45</v>
      </c>
      <c r="BO29" s="20"/>
      <c r="BP29" s="20"/>
      <c r="BQ29" s="20"/>
      <c r="BR29" s="20"/>
      <c r="BS29" s="20"/>
      <c r="BT29" s="20"/>
      <c r="BU29" s="20"/>
      <c r="BV29" s="20">
        <v>41096</v>
      </c>
      <c r="BW29" s="20">
        <v>41096</v>
      </c>
      <c r="BX29" s="20">
        <v>41096</v>
      </c>
      <c r="BY29" s="20">
        <v>41096</v>
      </c>
      <c r="BZ29" s="20">
        <v>41096</v>
      </c>
      <c r="CA29" s="20">
        <v>41096</v>
      </c>
      <c r="CB29" s="20">
        <v>41096</v>
      </c>
      <c r="CC29" s="20">
        <v>41096</v>
      </c>
      <c r="CD29" s="20">
        <v>41096</v>
      </c>
      <c r="CE29" s="20">
        <v>41096</v>
      </c>
      <c r="CF29" s="20"/>
      <c r="CG29" s="20"/>
      <c r="CH29" s="20"/>
      <c r="CI29" s="20"/>
      <c r="CJ29" s="20"/>
      <c r="CK29" s="20"/>
      <c r="CL29" s="20"/>
      <c r="CM29" s="21">
        <f t="shared" si="4"/>
        <v>410960</v>
      </c>
      <c r="CN29" s="49">
        <v>4</v>
      </c>
      <c r="CO29" s="21">
        <f t="shared" si="29"/>
        <v>1643840</v>
      </c>
      <c r="CP29" s="110"/>
      <c r="CS29" s="107"/>
      <c r="CT29" s="23" t="s">
        <v>45</v>
      </c>
      <c r="CU29" s="20"/>
      <c r="CV29" s="20"/>
      <c r="CW29" s="20"/>
      <c r="CX29" s="20"/>
      <c r="CY29" s="20"/>
      <c r="CZ29" s="20"/>
      <c r="DA29" s="20"/>
      <c r="DB29" s="20">
        <v>41096</v>
      </c>
      <c r="DC29" s="20">
        <v>41096</v>
      </c>
      <c r="DD29" s="20">
        <v>41096</v>
      </c>
      <c r="DE29" s="20">
        <v>41096</v>
      </c>
      <c r="DF29" s="20">
        <v>41096</v>
      </c>
      <c r="DG29" s="20">
        <v>41096</v>
      </c>
      <c r="DH29" s="20">
        <v>41096</v>
      </c>
      <c r="DI29" s="20">
        <v>41096</v>
      </c>
      <c r="DJ29" s="20">
        <v>41096</v>
      </c>
      <c r="DK29" s="20">
        <v>41096</v>
      </c>
      <c r="DL29" s="20"/>
      <c r="DM29" s="20"/>
      <c r="DN29" s="20"/>
      <c r="DO29" s="20"/>
      <c r="DP29" s="20"/>
      <c r="DQ29" s="20"/>
      <c r="DR29" s="20"/>
      <c r="DS29" s="21">
        <f t="shared" si="6"/>
        <v>410960</v>
      </c>
      <c r="DT29" s="49">
        <v>5</v>
      </c>
      <c r="DU29" s="21">
        <f t="shared" si="30"/>
        <v>2054800</v>
      </c>
      <c r="DV29" s="110"/>
      <c r="DY29" s="107"/>
      <c r="DZ29" s="23" t="s">
        <v>45</v>
      </c>
      <c r="EA29" s="20"/>
      <c r="EB29" s="20"/>
      <c r="EC29" s="20"/>
      <c r="ED29" s="20"/>
      <c r="EE29" s="20"/>
      <c r="EF29" s="20"/>
      <c r="EG29" s="20"/>
      <c r="EH29" s="20">
        <v>41096</v>
      </c>
      <c r="EI29" s="20">
        <v>41096</v>
      </c>
      <c r="EJ29" s="20">
        <v>41096</v>
      </c>
      <c r="EK29" s="20">
        <v>41096</v>
      </c>
      <c r="EL29" s="20">
        <v>41096</v>
      </c>
      <c r="EM29" s="20">
        <v>41096</v>
      </c>
      <c r="EN29" s="20">
        <v>41096</v>
      </c>
      <c r="EO29" s="20">
        <v>41096</v>
      </c>
      <c r="EP29" s="20">
        <v>41096</v>
      </c>
      <c r="EQ29" s="20">
        <v>41096</v>
      </c>
      <c r="ER29" s="20"/>
      <c r="ES29" s="20"/>
      <c r="ET29" s="20"/>
      <c r="EU29" s="20"/>
      <c r="EV29" s="20"/>
      <c r="EW29" s="20"/>
      <c r="EX29" s="20"/>
      <c r="EY29" s="21">
        <f t="shared" si="7"/>
        <v>410960</v>
      </c>
      <c r="EZ29" s="49">
        <v>5</v>
      </c>
      <c r="FA29" s="21">
        <f t="shared" si="31"/>
        <v>2054800</v>
      </c>
      <c r="FB29" s="110"/>
      <c r="FD29" s="107"/>
      <c r="FE29" s="23" t="s">
        <v>45</v>
      </c>
      <c r="FF29" s="20"/>
      <c r="FG29" s="20"/>
      <c r="FH29" s="20"/>
      <c r="FI29" s="20"/>
      <c r="FJ29" s="20"/>
      <c r="FK29" s="20"/>
      <c r="FL29" s="20"/>
      <c r="FM29" s="20">
        <v>41096</v>
      </c>
      <c r="FN29" s="20">
        <v>41096</v>
      </c>
      <c r="FO29" s="20">
        <v>41096</v>
      </c>
      <c r="FP29" s="20">
        <v>41096</v>
      </c>
      <c r="FQ29" s="20">
        <v>41096</v>
      </c>
      <c r="FR29" s="20">
        <v>41096</v>
      </c>
      <c r="FS29" s="20">
        <v>41096</v>
      </c>
      <c r="FT29" s="20">
        <v>41096</v>
      </c>
      <c r="FU29" s="20">
        <v>41096</v>
      </c>
      <c r="FV29" s="20">
        <v>41096</v>
      </c>
      <c r="FW29" s="20"/>
      <c r="FX29" s="20"/>
      <c r="FY29" s="20"/>
      <c r="FZ29" s="20"/>
      <c r="GA29" s="20"/>
      <c r="GB29" s="20"/>
      <c r="GC29" s="20"/>
      <c r="GD29" s="21">
        <f t="shared" si="9"/>
        <v>410960</v>
      </c>
      <c r="GE29" s="49">
        <v>4</v>
      </c>
      <c r="GF29" s="21">
        <f t="shared" si="32"/>
        <v>1643840</v>
      </c>
      <c r="GG29" s="110"/>
      <c r="GI29" s="107"/>
      <c r="GJ29" s="23" t="s">
        <v>45</v>
      </c>
      <c r="GK29" s="20"/>
      <c r="GL29" s="20"/>
      <c r="GM29" s="20"/>
      <c r="GN29" s="20"/>
      <c r="GO29" s="20"/>
      <c r="GP29" s="20"/>
      <c r="GQ29" s="20"/>
      <c r="GR29" s="20">
        <v>41096</v>
      </c>
      <c r="GS29" s="20">
        <v>41096</v>
      </c>
      <c r="GT29" s="20">
        <v>41096</v>
      </c>
      <c r="GU29" s="20">
        <v>41096</v>
      </c>
      <c r="GV29" s="20">
        <v>41096</v>
      </c>
      <c r="GW29" s="20">
        <v>41096</v>
      </c>
      <c r="GX29" s="20">
        <v>41096</v>
      </c>
      <c r="GY29" s="20">
        <v>41096</v>
      </c>
      <c r="GZ29" s="20">
        <v>41096</v>
      </c>
      <c r="HA29" s="20">
        <v>41096</v>
      </c>
      <c r="HB29" s="20"/>
      <c r="HC29" s="20"/>
      <c r="HD29" s="20"/>
      <c r="HE29" s="20"/>
      <c r="HF29" s="20"/>
      <c r="HG29" s="20"/>
      <c r="HH29" s="20"/>
      <c r="HI29" s="21">
        <f t="shared" si="11"/>
        <v>410960</v>
      </c>
      <c r="HJ29" s="49">
        <v>4</v>
      </c>
      <c r="HK29" s="21">
        <f t="shared" si="33"/>
        <v>1643840</v>
      </c>
      <c r="HL29" s="110"/>
      <c r="HN29" s="107"/>
      <c r="HO29" s="23" t="s">
        <v>45</v>
      </c>
      <c r="HP29" s="20"/>
      <c r="HQ29" s="20"/>
      <c r="HR29" s="20"/>
      <c r="HS29" s="20"/>
      <c r="HT29" s="20"/>
      <c r="HU29" s="20"/>
      <c r="HV29" s="20"/>
      <c r="HW29" s="20">
        <v>41096</v>
      </c>
      <c r="HX29" s="20">
        <v>41096</v>
      </c>
      <c r="HY29" s="20">
        <v>41096</v>
      </c>
      <c r="HZ29" s="20">
        <v>41096</v>
      </c>
      <c r="IA29" s="20">
        <v>41096</v>
      </c>
      <c r="IB29" s="20">
        <v>41096</v>
      </c>
      <c r="IC29" s="20">
        <v>41096</v>
      </c>
      <c r="ID29" s="20">
        <v>41096</v>
      </c>
      <c r="IE29" s="20">
        <v>41096</v>
      </c>
      <c r="IF29" s="20">
        <v>41096</v>
      </c>
      <c r="IG29" s="20"/>
      <c r="IH29" s="20"/>
      <c r="II29" s="20"/>
      <c r="IJ29" s="20"/>
      <c r="IK29" s="20"/>
      <c r="IL29" s="20"/>
      <c r="IM29" s="20"/>
      <c r="IN29" s="21">
        <f t="shared" si="13"/>
        <v>410960</v>
      </c>
      <c r="IO29" s="49">
        <v>4</v>
      </c>
      <c r="IP29" s="21">
        <f t="shared" si="34"/>
        <v>1643840</v>
      </c>
      <c r="IQ29" s="110"/>
      <c r="IS29" s="107"/>
      <c r="IT29" s="23" t="s">
        <v>45</v>
      </c>
      <c r="IU29" s="20"/>
      <c r="IV29" s="20"/>
      <c r="IW29" s="20"/>
      <c r="IX29" s="20"/>
      <c r="IY29" s="20"/>
      <c r="IZ29" s="20"/>
      <c r="JA29" s="20"/>
      <c r="JB29" s="20">
        <v>41096</v>
      </c>
      <c r="JC29" s="20">
        <v>41096</v>
      </c>
      <c r="JD29" s="20">
        <v>41096</v>
      </c>
      <c r="JE29" s="20">
        <v>41096</v>
      </c>
      <c r="JF29" s="20">
        <v>41096</v>
      </c>
      <c r="JG29" s="20">
        <v>41096</v>
      </c>
      <c r="JH29" s="20">
        <v>41096</v>
      </c>
      <c r="JI29" s="20">
        <v>41096</v>
      </c>
      <c r="JJ29" s="20">
        <v>41096</v>
      </c>
      <c r="JK29" s="20">
        <v>41096</v>
      </c>
      <c r="JL29" s="20"/>
      <c r="JM29" s="20"/>
      <c r="JN29" s="20"/>
      <c r="JO29" s="20"/>
      <c r="JP29" s="20"/>
      <c r="JQ29" s="20"/>
      <c r="JR29" s="20"/>
      <c r="JS29" s="21">
        <f t="shared" si="15"/>
        <v>410960</v>
      </c>
      <c r="JT29" s="49">
        <v>4</v>
      </c>
      <c r="JU29" s="21">
        <f t="shared" si="35"/>
        <v>1643840</v>
      </c>
      <c r="JV29" s="110"/>
      <c r="JX29" s="107"/>
      <c r="JY29" s="23" t="s">
        <v>45</v>
      </c>
      <c r="JZ29" s="20"/>
      <c r="KA29" s="20"/>
      <c r="KB29" s="20"/>
      <c r="KC29" s="20"/>
      <c r="KD29" s="20"/>
      <c r="KE29" s="20"/>
      <c r="KF29" s="20"/>
      <c r="KG29" s="20">
        <v>41096</v>
      </c>
      <c r="KH29" s="20">
        <v>41096</v>
      </c>
      <c r="KI29" s="20">
        <v>41096</v>
      </c>
      <c r="KJ29" s="20">
        <v>41096</v>
      </c>
      <c r="KK29" s="20">
        <v>41096</v>
      </c>
      <c r="KL29" s="20">
        <v>41096</v>
      </c>
      <c r="KM29" s="20">
        <v>41096</v>
      </c>
      <c r="KN29" s="20">
        <v>41096</v>
      </c>
      <c r="KO29" s="20">
        <v>41096</v>
      </c>
      <c r="KP29" s="20">
        <v>41096</v>
      </c>
      <c r="KQ29" s="20"/>
      <c r="KR29" s="20"/>
      <c r="KS29" s="20"/>
      <c r="KT29" s="20"/>
      <c r="KU29" s="20"/>
      <c r="KV29" s="20"/>
      <c r="KW29" s="20"/>
      <c r="KX29" s="21">
        <f t="shared" si="17"/>
        <v>410960</v>
      </c>
      <c r="KY29" s="49">
        <v>5</v>
      </c>
      <c r="KZ29" s="21">
        <f t="shared" si="36"/>
        <v>2054800</v>
      </c>
      <c r="LA29" s="110"/>
      <c r="LC29" s="107"/>
      <c r="LD29" s="23" t="s">
        <v>45</v>
      </c>
      <c r="LE29" s="20"/>
      <c r="LF29" s="20"/>
      <c r="LG29" s="20"/>
      <c r="LH29" s="20"/>
      <c r="LI29" s="20"/>
      <c r="LJ29" s="20"/>
      <c r="LK29" s="20"/>
      <c r="LL29" s="20">
        <v>41096</v>
      </c>
      <c r="LM29" s="20">
        <v>41096</v>
      </c>
      <c r="LN29" s="20">
        <v>41096</v>
      </c>
      <c r="LO29" s="20">
        <v>41096</v>
      </c>
      <c r="LP29" s="20">
        <v>41096</v>
      </c>
      <c r="LQ29" s="20">
        <v>41096</v>
      </c>
      <c r="LR29" s="20">
        <v>41096</v>
      </c>
      <c r="LS29" s="20">
        <v>41096</v>
      </c>
      <c r="LT29" s="20">
        <v>41096</v>
      </c>
      <c r="LU29" s="20">
        <v>41096</v>
      </c>
      <c r="LV29" s="20"/>
      <c r="LW29" s="20"/>
      <c r="LX29" s="20"/>
      <c r="LY29" s="20"/>
      <c r="LZ29" s="20"/>
      <c r="MA29" s="20"/>
      <c r="MB29" s="20"/>
      <c r="MC29" s="21">
        <f t="shared" si="19"/>
        <v>410960</v>
      </c>
      <c r="MD29" s="49">
        <v>4</v>
      </c>
      <c r="ME29" s="21">
        <f t="shared" si="37"/>
        <v>1643840</v>
      </c>
      <c r="MF29" s="110"/>
      <c r="MH29" s="107"/>
      <c r="MI29" s="23" t="s">
        <v>45</v>
      </c>
      <c r="MJ29" s="20"/>
      <c r="MK29" s="20"/>
      <c r="ML29" s="20"/>
      <c r="MM29" s="20"/>
      <c r="MN29" s="20"/>
      <c r="MO29" s="20"/>
      <c r="MP29" s="20"/>
      <c r="MQ29" s="20">
        <v>41096</v>
      </c>
      <c r="MR29" s="20">
        <v>41096</v>
      </c>
      <c r="MS29" s="20">
        <v>41096</v>
      </c>
      <c r="MT29" s="20">
        <v>41096</v>
      </c>
      <c r="MU29" s="20">
        <v>41096</v>
      </c>
      <c r="MV29" s="20">
        <v>41096</v>
      </c>
      <c r="MW29" s="20">
        <v>41096</v>
      </c>
      <c r="MX29" s="20">
        <v>41096</v>
      </c>
      <c r="MY29" s="20">
        <v>41096</v>
      </c>
      <c r="MZ29" s="20">
        <v>41096</v>
      </c>
      <c r="NA29" s="20"/>
      <c r="NB29" s="20"/>
      <c r="NC29" s="20"/>
      <c r="ND29" s="20"/>
      <c r="NE29" s="20"/>
      <c r="NF29" s="20"/>
      <c r="NG29" s="20"/>
      <c r="NH29" s="21">
        <f t="shared" si="21"/>
        <v>410960</v>
      </c>
      <c r="NI29" s="49">
        <v>4</v>
      </c>
      <c r="NJ29" s="21">
        <f t="shared" si="38"/>
        <v>1643840</v>
      </c>
      <c r="NK29" s="110"/>
      <c r="NM29" s="107"/>
      <c r="NN29" s="23" t="s">
        <v>45</v>
      </c>
      <c r="NO29" s="20"/>
      <c r="NP29" s="20"/>
      <c r="NQ29" s="20"/>
      <c r="NR29" s="20"/>
      <c r="NS29" s="20"/>
      <c r="NT29" s="20"/>
      <c r="NU29" s="20"/>
      <c r="NV29" s="20">
        <v>41096</v>
      </c>
      <c r="NW29" s="20">
        <v>41096</v>
      </c>
      <c r="NX29" s="20">
        <v>41096</v>
      </c>
      <c r="NY29" s="20">
        <v>41096</v>
      </c>
      <c r="NZ29" s="20">
        <v>41096</v>
      </c>
      <c r="OA29" s="20">
        <v>41096</v>
      </c>
      <c r="OB29" s="20">
        <v>41096</v>
      </c>
      <c r="OC29" s="20">
        <v>41096</v>
      </c>
      <c r="OD29" s="20">
        <v>41096</v>
      </c>
      <c r="OE29" s="20">
        <v>41096</v>
      </c>
      <c r="OF29" s="20"/>
      <c r="OG29" s="20"/>
      <c r="OH29" s="20"/>
      <c r="OI29" s="20"/>
      <c r="OJ29" s="20"/>
      <c r="OK29" s="20"/>
      <c r="OL29" s="20"/>
      <c r="OM29" s="21">
        <f t="shared" si="23"/>
        <v>410960</v>
      </c>
      <c r="ON29" s="49">
        <v>4</v>
      </c>
      <c r="OO29" s="21">
        <f t="shared" si="39"/>
        <v>1643840</v>
      </c>
      <c r="OP29" s="110"/>
      <c r="OR29" s="107"/>
      <c r="OS29" s="23" t="s">
        <v>45</v>
      </c>
      <c r="OT29" s="20"/>
      <c r="OU29" s="20"/>
      <c r="OV29" s="20"/>
      <c r="OW29" s="20"/>
      <c r="OX29" s="20"/>
      <c r="OY29" s="20"/>
      <c r="OZ29" s="20"/>
      <c r="PA29" s="20">
        <v>41096</v>
      </c>
      <c r="PB29" s="20">
        <v>41096</v>
      </c>
      <c r="PC29" s="20">
        <v>41096</v>
      </c>
      <c r="PD29" s="20">
        <v>41096</v>
      </c>
      <c r="PE29" s="20">
        <v>41096</v>
      </c>
      <c r="PF29" s="20">
        <v>41096</v>
      </c>
      <c r="PG29" s="20">
        <v>41096</v>
      </c>
      <c r="PH29" s="20">
        <v>41096</v>
      </c>
      <c r="PI29" s="20">
        <v>41096</v>
      </c>
      <c r="PJ29" s="20">
        <v>41096</v>
      </c>
      <c r="PK29" s="20"/>
      <c r="PL29" s="20"/>
      <c r="PM29" s="20"/>
      <c r="PN29" s="20"/>
      <c r="PO29" s="20"/>
      <c r="PP29" s="20"/>
      <c r="PQ29" s="20"/>
      <c r="PR29" s="21">
        <f t="shared" si="25"/>
        <v>410960</v>
      </c>
      <c r="PS29" s="62">
        <v>4</v>
      </c>
      <c r="PT29" s="21">
        <f t="shared" si="40"/>
        <v>1643840</v>
      </c>
      <c r="PU29" s="110"/>
    </row>
    <row r="30" spans="3:437" ht="15" thickBot="1" x14ac:dyDescent="0.4">
      <c r="C30" s="108"/>
      <c r="D30" s="24" t="s">
        <v>46</v>
      </c>
      <c r="E30" s="20"/>
      <c r="F30" s="92"/>
      <c r="G30" s="20"/>
      <c r="H30" s="20"/>
      <c r="I30" s="20"/>
      <c r="J30" s="20"/>
      <c r="K30" s="20"/>
      <c r="L30" s="20">
        <v>41096</v>
      </c>
      <c r="M30" s="20">
        <v>41096</v>
      </c>
      <c r="N30" s="20">
        <v>41096</v>
      </c>
      <c r="O30" s="20">
        <v>41096</v>
      </c>
      <c r="P30" s="20">
        <v>41096</v>
      </c>
      <c r="Q30" s="20">
        <v>41096</v>
      </c>
      <c r="R30" s="20">
        <v>41096</v>
      </c>
      <c r="S30" s="20">
        <v>41096</v>
      </c>
      <c r="T30" s="20">
        <v>41096</v>
      </c>
      <c r="U30" s="20">
        <v>41096</v>
      </c>
      <c r="V30" s="20"/>
      <c r="W30" s="20"/>
      <c r="X30" s="20"/>
      <c r="Y30" s="20"/>
      <c r="Z30" s="20"/>
      <c r="AA30" s="20"/>
      <c r="AB30" s="20"/>
      <c r="AC30" s="21">
        <f t="shared" si="0"/>
        <v>410960</v>
      </c>
      <c r="AD30" s="22">
        <v>1</v>
      </c>
      <c r="AE30" s="21">
        <f t="shared" si="27"/>
        <v>410960</v>
      </c>
      <c r="AF30" s="111"/>
      <c r="AH30" s="108"/>
      <c r="AI30" s="24" t="s">
        <v>46</v>
      </c>
      <c r="AJ30" s="20"/>
      <c r="AK30" s="20"/>
      <c r="AL30" s="20"/>
      <c r="AM30" s="20"/>
      <c r="AN30" s="20"/>
      <c r="AO30" s="20"/>
      <c r="AP30" s="20"/>
      <c r="AQ30" s="20">
        <v>41096</v>
      </c>
      <c r="AR30" s="20">
        <v>41096</v>
      </c>
      <c r="AS30" s="20">
        <v>41096</v>
      </c>
      <c r="AT30" s="20">
        <v>41096</v>
      </c>
      <c r="AU30" s="20">
        <v>41096</v>
      </c>
      <c r="AV30" s="20">
        <v>41096</v>
      </c>
      <c r="AW30" s="20">
        <v>41096</v>
      </c>
      <c r="AX30" s="20">
        <v>41096</v>
      </c>
      <c r="AY30" s="20">
        <v>41096</v>
      </c>
      <c r="AZ30" s="20">
        <v>41096</v>
      </c>
      <c r="BA30" s="20"/>
      <c r="BB30" s="20"/>
      <c r="BC30" s="20"/>
      <c r="BD30" s="20"/>
      <c r="BE30" s="20"/>
      <c r="BF30" s="20"/>
      <c r="BG30" s="20"/>
      <c r="BH30" s="21">
        <f t="shared" si="2"/>
        <v>410960</v>
      </c>
      <c r="BI30" s="50">
        <v>2</v>
      </c>
      <c r="BJ30" s="21">
        <f t="shared" si="28"/>
        <v>821920</v>
      </c>
      <c r="BK30" s="111"/>
      <c r="BM30" s="108"/>
      <c r="BN30" s="24" t="s">
        <v>46</v>
      </c>
      <c r="BO30" s="20"/>
      <c r="BP30" s="20"/>
      <c r="BQ30" s="20"/>
      <c r="BR30" s="20"/>
      <c r="BS30" s="20"/>
      <c r="BT30" s="20"/>
      <c r="BU30" s="20"/>
      <c r="BV30" s="20">
        <v>41096</v>
      </c>
      <c r="BW30" s="20">
        <v>41096</v>
      </c>
      <c r="BX30" s="20">
        <v>41096</v>
      </c>
      <c r="BY30" s="20">
        <v>41096</v>
      </c>
      <c r="BZ30" s="20">
        <v>41096</v>
      </c>
      <c r="CA30" s="20">
        <v>41096</v>
      </c>
      <c r="CB30" s="20">
        <v>41096</v>
      </c>
      <c r="CC30" s="20">
        <v>41096</v>
      </c>
      <c r="CD30" s="20">
        <v>41096</v>
      </c>
      <c r="CE30" s="20">
        <v>41096</v>
      </c>
      <c r="CF30" s="20"/>
      <c r="CG30" s="20"/>
      <c r="CH30" s="20"/>
      <c r="CI30" s="20"/>
      <c r="CJ30" s="20"/>
      <c r="CK30" s="20"/>
      <c r="CL30" s="20"/>
      <c r="CM30" s="21">
        <f t="shared" si="4"/>
        <v>410960</v>
      </c>
      <c r="CN30" s="50">
        <v>2</v>
      </c>
      <c r="CO30" s="21">
        <f t="shared" si="29"/>
        <v>821920</v>
      </c>
      <c r="CP30" s="111"/>
      <c r="CS30" s="108"/>
      <c r="CT30" s="24" t="s">
        <v>46</v>
      </c>
      <c r="CU30" s="20"/>
      <c r="CV30" s="20"/>
      <c r="CW30" s="20"/>
      <c r="CX30" s="20"/>
      <c r="CY30" s="20"/>
      <c r="CZ30" s="20"/>
      <c r="DA30" s="20"/>
      <c r="DB30" s="20">
        <v>41096</v>
      </c>
      <c r="DC30" s="20">
        <v>41096</v>
      </c>
      <c r="DD30" s="20">
        <v>41096</v>
      </c>
      <c r="DE30" s="20">
        <v>41096</v>
      </c>
      <c r="DF30" s="20">
        <v>41096</v>
      </c>
      <c r="DG30" s="20">
        <v>41096</v>
      </c>
      <c r="DH30" s="20">
        <v>41096</v>
      </c>
      <c r="DI30" s="20">
        <v>41096</v>
      </c>
      <c r="DJ30" s="20">
        <v>41096</v>
      </c>
      <c r="DK30" s="20">
        <v>41096</v>
      </c>
      <c r="DL30" s="20"/>
      <c r="DM30" s="20"/>
      <c r="DN30" s="20"/>
      <c r="DO30" s="20"/>
      <c r="DP30" s="20"/>
      <c r="DQ30" s="20"/>
      <c r="DR30" s="20"/>
      <c r="DS30" s="21">
        <f t="shared" si="6"/>
        <v>410960</v>
      </c>
      <c r="DT30" s="50">
        <v>2</v>
      </c>
      <c r="DU30" s="21">
        <f t="shared" si="30"/>
        <v>821920</v>
      </c>
      <c r="DV30" s="111"/>
      <c r="DY30" s="108"/>
      <c r="DZ30" s="24" t="s">
        <v>46</v>
      </c>
      <c r="EA30" s="20"/>
      <c r="EB30" s="20"/>
      <c r="EC30" s="20"/>
      <c r="ED30" s="20"/>
      <c r="EE30" s="20"/>
      <c r="EF30" s="20"/>
      <c r="EG30" s="20"/>
      <c r="EH30" s="20">
        <v>41096</v>
      </c>
      <c r="EI30" s="20">
        <v>41096</v>
      </c>
      <c r="EJ30" s="20">
        <v>41096</v>
      </c>
      <c r="EK30" s="20">
        <v>41096</v>
      </c>
      <c r="EL30" s="20">
        <v>41096</v>
      </c>
      <c r="EM30" s="20">
        <v>41096</v>
      </c>
      <c r="EN30" s="20">
        <v>41096</v>
      </c>
      <c r="EO30" s="20">
        <v>41096</v>
      </c>
      <c r="EP30" s="20">
        <v>41096</v>
      </c>
      <c r="EQ30" s="20">
        <v>41096</v>
      </c>
      <c r="ER30" s="20"/>
      <c r="ES30" s="20"/>
      <c r="ET30" s="20"/>
      <c r="EU30" s="20"/>
      <c r="EV30" s="20"/>
      <c r="EW30" s="20"/>
      <c r="EX30" s="20"/>
      <c r="EY30" s="21">
        <f t="shared" si="7"/>
        <v>410960</v>
      </c>
      <c r="EZ30" s="50">
        <v>3</v>
      </c>
      <c r="FA30" s="21">
        <f t="shared" si="31"/>
        <v>1232880</v>
      </c>
      <c r="FB30" s="111"/>
      <c r="FD30" s="108"/>
      <c r="FE30" s="24" t="s">
        <v>46</v>
      </c>
      <c r="FF30" s="20"/>
      <c r="FG30" s="20"/>
      <c r="FH30" s="20"/>
      <c r="FI30" s="20"/>
      <c r="FJ30" s="20"/>
      <c r="FK30" s="20"/>
      <c r="FL30" s="20"/>
      <c r="FM30" s="20">
        <v>41096</v>
      </c>
      <c r="FN30" s="20">
        <v>41096</v>
      </c>
      <c r="FO30" s="20">
        <v>41096</v>
      </c>
      <c r="FP30" s="20">
        <v>41096</v>
      </c>
      <c r="FQ30" s="20">
        <v>41096</v>
      </c>
      <c r="FR30" s="20">
        <v>41096</v>
      </c>
      <c r="FS30" s="20">
        <v>41096</v>
      </c>
      <c r="FT30" s="20">
        <v>41096</v>
      </c>
      <c r="FU30" s="20">
        <v>41096</v>
      </c>
      <c r="FV30" s="20">
        <v>41096</v>
      </c>
      <c r="FW30" s="20"/>
      <c r="FX30" s="20"/>
      <c r="FY30" s="20"/>
      <c r="FZ30" s="20"/>
      <c r="GA30" s="20"/>
      <c r="GB30" s="20"/>
      <c r="GC30" s="20"/>
      <c r="GD30" s="21">
        <f t="shared" si="9"/>
        <v>410960</v>
      </c>
      <c r="GE30" s="50">
        <v>1</v>
      </c>
      <c r="GF30" s="21">
        <f t="shared" si="32"/>
        <v>410960</v>
      </c>
      <c r="GG30" s="111"/>
      <c r="GI30" s="108"/>
      <c r="GJ30" s="24" t="s">
        <v>46</v>
      </c>
      <c r="GK30" s="20"/>
      <c r="GL30" s="20"/>
      <c r="GM30" s="20"/>
      <c r="GN30" s="20"/>
      <c r="GO30" s="20"/>
      <c r="GP30" s="20"/>
      <c r="GQ30" s="20"/>
      <c r="GR30" s="20">
        <v>41096</v>
      </c>
      <c r="GS30" s="20">
        <v>41096</v>
      </c>
      <c r="GT30" s="20">
        <v>41096</v>
      </c>
      <c r="GU30" s="20">
        <v>41096</v>
      </c>
      <c r="GV30" s="20">
        <v>41096</v>
      </c>
      <c r="GW30" s="20">
        <v>41096</v>
      </c>
      <c r="GX30" s="20">
        <v>41096</v>
      </c>
      <c r="GY30" s="20">
        <v>41096</v>
      </c>
      <c r="GZ30" s="20">
        <v>41096</v>
      </c>
      <c r="HA30" s="20">
        <v>41096</v>
      </c>
      <c r="HB30" s="20"/>
      <c r="HC30" s="20"/>
      <c r="HD30" s="20"/>
      <c r="HE30" s="20"/>
      <c r="HF30" s="20"/>
      <c r="HG30" s="20"/>
      <c r="HH30" s="20"/>
      <c r="HI30" s="21">
        <f t="shared" si="11"/>
        <v>410960</v>
      </c>
      <c r="HJ30" s="50">
        <v>2</v>
      </c>
      <c r="HK30" s="21">
        <f t="shared" si="33"/>
        <v>821920</v>
      </c>
      <c r="HL30" s="111"/>
      <c r="HN30" s="108"/>
      <c r="HO30" s="24" t="s">
        <v>46</v>
      </c>
      <c r="HP30" s="20"/>
      <c r="HQ30" s="20"/>
      <c r="HR30" s="20"/>
      <c r="HS30" s="20"/>
      <c r="HT30" s="20"/>
      <c r="HU30" s="20"/>
      <c r="HV30" s="20"/>
      <c r="HW30" s="20">
        <v>41096</v>
      </c>
      <c r="HX30" s="20">
        <v>41096</v>
      </c>
      <c r="HY30" s="20">
        <v>41096</v>
      </c>
      <c r="HZ30" s="20">
        <v>41096</v>
      </c>
      <c r="IA30" s="20">
        <v>41096</v>
      </c>
      <c r="IB30" s="20">
        <v>41096</v>
      </c>
      <c r="IC30" s="20">
        <v>41096</v>
      </c>
      <c r="ID30" s="20">
        <v>41096</v>
      </c>
      <c r="IE30" s="20">
        <v>41096</v>
      </c>
      <c r="IF30" s="20">
        <v>41096</v>
      </c>
      <c r="IG30" s="20"/>
      <c r="IH30" s="20"/>
      <c r="II30" s="20"/>
      <c r="IJ30" s="20"/>
      <c r="IK30" s="20"/>
      <c r="IL30" s="20"/>
      <c r="IM30" s="20"/>
      <c r="IN30" s="21">
        <f t="shared" si="13"/>
        <v>410960</v>
      </c>
      <c r="IO30" s="50">
        <v>2</v>
      </c>
      <c r="IP30" s="21">
        <f t="shared" si="34"/>
        <v>821920</v>
      </c>
      <c r="IQ30" s="111"/>
      <c r="IS30" s="108"/>
      <c r="IT30" s="24" t="s">
        <v>46</v>
      </c>
      <c r="IU30" s="20"/>
      <c r="IV30" s="20"/>
      <c r="IW30" s="20"/>
      <c r="IX30" s="20"/>
      <c r="IY30" s="20"/>
      <c r="IZ30" s="20"/>
      <c r="JA30" s="20"/>
      <c r="JB30" s="20">
        <v>41096</v>
      </c>
      <c r="JC30" s="20">
        <v>41096</v>
      </c>
      <c r="JD30" s="20">
        <v>41096</v>
      </c>
      <c r="JE30" s="20">
        <v>41096</v>
      </c>
      <c r="JF30" s="20">
        <v>41096</v>
      </c>
      <c r="JG30" s="20">
        <v>41096</v>
      </c>
      <c r="JH30" s="20">
        <v>41096</v>
      </c>
      <c r="JI30" s="20">
        <v>41096</v>
      </c>
      <c r="JJ30" s="20">
        <v>41096</v>
      </c>
      <c r="JK30" s="20">
        <v>41096</v>
      </c>
      <c r="JL30" s="20"/>
      <c r="JM30" s="20"/>
      <c r="JN30" s="20"/>
      <c r="JO30" s="20"/>
      <c r="JP30" s="20"/>
      <c r="JQ30" s="20"/>
      <c r="JR30" s="20"/>
      <c r="JS30" s="21">
        <f t="shared" si="15"/>
        <v>410960</v>
      </c>
      <c r="JT30" s="50">
        <v>1</v>
      </c>
      <c r="JU30" s="21">
        <f t="shared" si="35"/>
        <v>410960</v>
      </c>
      <c r="JV30" s="111"/>
      <c r="JX30" s="108"/>
      <c r="JY30" s="24" t="s">
        <v>46</v>
      </c>
      <c r="JZ30" s="20"/>
      <c r="KA30" s="20"/>
      <c r="KB30" s="20"/>
      <c r="KC30" s="20"/>
      <c r="KD30" s="20"/>
      <c r="KE30" s="20"/>
      <c r="KF30" s="20"/>
      <c r="KG30" s="20">
        <v>41096</v>
      </c>
      <c r="KH30" s="20">
        <v>41096</v>
      </c>
      <c r="KI30" s="20">
        <v>41096</v>
      </c>
      <c r="KJ30" s="20">
        <v>41096</v>
      </c>
      <c r="KK30" s="20">
        <v>41096</v>
      </c>
      <c r="KL30" s="20">
        <v>41096</v>
      </c>
      <c r="KM30" s="20">
        <v>41096</v>
      </c>
      <c r="KN30" s="20">
        <v>41096</v>
      </c>
      <c r="KO30" s="20">
        <v>41096</v>
      </c>
      <c r="KP30" s="20">
        <v>41096</v>
      </c>
      <c r="KQ30" s="20"/>
      <c r="KR30" s="20"/>
      <c r="KS30" s="20"/>
      <c r="KT30" s="20"/>
      <c r="KU30" s="20"/>
      <c r="KV30" s="20"/>
      <c r="KW30" s="20"/>
      <c r="KX30" s="21">
        <f t="shared" si="17"/>
        <v>410960</v>
      </c>
      <c r="KY30" s="50">
        <v>2</v>
      </c>
      <c r="KZ30" s="21">
        <f t="shared" si="36"/>
        <v>821920</v>
      </c>
      <c r="LA30" s="111"/>
      <c r="LC30" s="108"/>
      <c r="LD30" s="24" t="s">
        <v>46</v>
      </c>
      <c r="LE30" s="20"/>
      <c r="LF30" s="20"/>
      <c r="LG30" s="20"/>
      <c r="LH30" s="20"/>
      <c r="LI30" s="20"/>
      <c r="LJ30" s="20"/>
      <c r="LK30" s="20"/>
      <c r="LL30" s="20">
        <v>41096</v>
      </c>
      <c r="LM30" s="20">
        <v>41096</v>
      </c>
      <c r="LN30" s="20">
        <v>41096</v>
      </c>
      <c r="LO30" s="20">
        <v>41096</v>
      </c>
      <c r="LP30" s="20">
        <v>41096</v>
      </c>
      <c r="LQ30" s="20">
        <v>41096</v>
      </c>
      <c r="LR30" s="20">
        <v>41096</v>
      </c>
      <c r="LS30" s="20">
        <v>41096</v>
      </c>
      <c r="LT30" s="20">
        <v>41096</v>
      </c>
      <c r="LU30" s="20">
        <v>41096</v>
      </c>
      <c r="LV30" s="20"/>
      <c r="LW30" s="20"/>
      <c r="LX30" s="20"/>
      <c r="LY30" s="20"/>
      <c r="LZ30" s="20"/>
      <c r="MA30" s="20"/>
      <c r="MB30" s="20"/>
      <c r="MC30" s="21">
        <f t="shared" si="19"/>
        <v>410960</v>
      </c>
      <c r="MD30" s="50">
        <v>1</v>
      </c>
      <c r="ME30" s="21">
        <f t="shared" si="37"/>
        <v>410960</v>
      </c>
      <c r="MF30" s="111"/>
      <c r="MH30" s="108"/>
      <c r="MI30" s="24" t="s">
        <v>46</v>
      </c>
      <c r="MJ30" s="20"/>
      <c r="MK30" s="20"/>
      <c r="ML30" s="20"/>
      <c r="MM30" s="20"/>
      <c r="MN30" s="20"/>
      <c r="MO30" s="20"/>
      <c r="MP30" s="20"/>
      <c r="MQ30" s="20">
        <v>41096</v>
      </c>
      <c r="MR30" s="20">
        <v>41096</v>
      </c>
      <c r="MS30" s="20">
        <v>41096</v>
      </c>
      <c r="MT30" s="20">
        <v>41096</v>
      </c>
      <c r="MU30" s="20">
        <v>41096</v>
      </c>
      <c r="MV30" s="20">
        <v>41096</v>
      </c>
      <c r="MW30" s="20">
        <v>41096</v>
      </c>
      <c r="MX30" s="20">
        <v>41096</v>
      </c>
      <c r="MY30" s="20">
        <v>41096</v>
      </c>
      <c r="MZ30" s="20">
        <v>41096</v>
      </c>
      <c r="NA30" s="20"/>
      <c r="NB30" s="20"/>
      <c r="NC30" s="20"/>
      <c r="ND30" s="20"/>
      <c r="NE30" s="20"/>
      <c r="NF30" s="20"/>
      <c r="NG30" s="20"/>
      <c r="NH30" s="21">
        <f t="shared" si="21"/>
        <v>410960</v>
      </c>
      <c r="NI30" s="50">
        <v>2</v>
      </c>
      <c r="NJ30" s="21">
        <f t="shared" si="38"/>
        <v>821920</v>
      </c>
      <c r="NK30" s="111"/>
      <c r="NM30" s="108"/>
      <c r="NN30" s="24" t="s">
        <v>46</v>
      </c>
      <c r="NO30" s="20"/>
      <c r="NP30" s="20"/>
      <c r="NQ30" s="20"/>
      <c r="NR30" s="20"/>
      <c r="NS30" s="20"/>
      <c r="NT30" s="20"/>
      <c r="NU30" s="20"/>
      <c r="NV30" s="20">
        <v>41096</v>
      </c>
      <c r="NW30" s="20">
        <v>41096</v>
      </c>
      <c r="NX30" s="20">
        <v>41096</v>
      </c>
      <c r="NY30" s="20">
        <v>41096</v>
      </c>
      <c r="NZ30" s="20">
        <v>41096</v>
      </c>
      <c r="OA30" s="20">
        <v>41096</v>
      </c>
      <c r="OB30" s="20">
        <v>41096</v>
      </c>
      <c r="OC30" s="20">
        <v>41096</v>
      </c>
      <c r="OD30" s="20">
        <v>41096</v>
      </c>
      <c r="OE30" s="20">
        <v>41096</v>
      </c>
      <c r="OF30" s="20"/>
      <c r="OG30" s="20"/>
      <c r="OH30" s="20"/>
      <c r="OI30" s="20"/>
      <c r="OJ30" s="20"/>
      <c r="OK30" s="20"/>
      <c r="OL30" s="20"/>
      <c r="OM30" s="21">
        <f t="shared" si="23"/>
        <v>410960</v>
      </c>
      <c r="ON30" s="50">
        <v>1</v>
      </c>
      <c r="OO30" s="21">
        <f t="shared" si="39"/>
        <v>410960</v>
      </c>
      <c r="OP30" s="111"/>
      <c r="OR30" s="108"/>
      <c r="OS30" s="24" t="s">
        <v>46</v>
      </c>
      <c r="OT30" s="20"/>
      <c r="OU30" s="20"/>
      <c r="OV30" s="20"/>
      <c r="OW30" s="20"/>
      <c r="OX30" s="20"/>
      <c r="OY30" s="20"/>
      <c r="OZ30" s="20"/>
      <c r="PA30" s="20">
        <v>41096</v>
      </c>
      <c r="PB30" s="20">
        <v>41096</v>
      </c>
      <c r="PC30" s="20">
        <v>41096</v>
      </c>
      <c r="PD30" s="20">
        <v>41096</v>
      </c>
      <c r="PE30" s="20">
        <v>41096</v>
      </c>
      <c r="PF30" s="20">
        <v>41096</v>
      </c>
      <c r="PG30" s="20">
        <v>41096</v>
      </c>
      <c r="PH30" s="20">
        <v>41096</v>
      </c>
      <c r="PI30" s="20">
        <v>41096</v>
      </c>
      <c r="PJ30" s="20">
        <v>41096</v>
      </c>
      <c r="PK30" s="20"/>
      <c r="PL30" s="20"/>
      <c r="PM30" s="20"/>
      <c r="PN30" s="20"/>
      <c r="PO30" s="20"/>
      <c r="PP30" s="20"/>
      <c r="PQ30" s="20"/>
      <c r="PR30" s="21">
        <f t="shared" si="25"/>
        <v>410960</v>
      </c>
      <c r="PS30" s="64">
        <v>2</v>
      </c>
      <c r="PT30" s="21">
        <f t="shared" si="40"/>
        <v>821920</v>
      </c>
      <c r="PU30" s="111"/>
    </row>
    <row r="31" spans="3:437" x14ac:dyDescent="0.35">
      <c r="C31" s="106">
        <v>46569</v>
      </c>
      <c r="D31" s="19" t="s">
        <v>43</v>
      </c>
      <c r="E31" s="20"/>
      <c r="F31" s="92"/>
      <c r="G31" s="20"/>
      <c r="H31" s="20"/>
      <c r="I31" s="20"/>
      <c r="J31" s="20"/>
      <c r="K31" s="20"/>
      <c r="L31" s="20">
        <v>41096</v>
      </c>
      <c r="M31" s="20">
        <v>41096</v>
      </c>
      <c r="N31" s="20">
        <v>41096</v>
      </c>
      <c r="O31" s="20">
        <v>41096</v>
      </c>
      <c r="P31" s="20">
        <v>41096</v>
      </c>
      <c r="Q31" s="20">
        <v>41096</v>
      </c>
      <c r="R31" s="20">
        <v>41096</v>
      </c>
      <c r="S31" s="20">
        <v>41096</v>
      </c>
      <c r="T31" s="20">
        <v>41096</v>
      </c>
      <c r="U31" s="20">
        <v>41096</v>
      </c>
      <c r="V31" s="20"/>
      <c r="W31" s="20"/>
      <c r="X31" s="20"/>
      <c r="Y31" s="20"/>
      <c r="Z31" s="20"/>
      <c r="AA31" s="20"/>
      <c r="AB31" s="20"/>
      <c r="AC31" s="21">
        <f t="shared" si="0"/>
        <v>410960</v>
      </c>
      <c r="AD31" s="22">
        <v>20</v>
      </c>
      <c r="AE31" s="21">
        <f t="shared" si="27"/>
        <v>8219200</v>
      </c>
      <c r="AF31" s="109">
        <f>+SUM(AE31:AE34)</f>
        <v>12739760</v>
      </c>
      <c r="AH31" s="106">
        <v>46935</v>
      </c>
      <c r="AI31" s="19" t="s">
        <v>43</v>
      </c>
      <c r="AJ31" s="20"/>
      <c r="AK31" s="20"/>
      <c r="AL31" s="20"/>
      <c r="AM31" s="20"/>
      <c r="AN31" s="20"/>
      <c r="AO31" s="20"/>
      <c r="AP31" s="20"/>
      <c r="AQ31" s="20">
        <v>41096</v>
      </c>
      <c r="AR31" s="20">
        <v>41096</v>
      </c>
      <c r="AS31" s="20">
        <v>41096</v>
      </c>
      <c r="AT31" s="20">
        <v>41096</v>
      </c>
      <c r="AU31" s="20">
        <v>41096</v>
      </c>
      <c r="AV31" s="20">
        <v>41096</v>
      </c>
      <c r="AW31" s="20">
        <v>41096</v>
      </c>
      <c r="AX31" s="20">
        <v>41096</v>
      </c>
      <c r="AY31" s="20">
        <v>41096</v>
      </c>
      <c r="AZ31" s="20">
        <v>41096</v>
      </c>
      <c r="BA31" s="20"/>
      <c r="BB31" s="20"/>
      <c r="BC31" s="20"/>
      <c r="BD31" s="20"/>
      <c r="BE31" s="20"/>
      <c r="BF31" s="20"/>
      <c r="BG31" s="20"/>
      <c r="BH31" s="21">
        <f t="shared" si="2"/>
        <v>410960</v>
      </c>
      <c r="BI31" s="48">
        <v>19</v>
      </c>
      <c r="BJ31" s="21">
        <f t="shared" si="28"/>
        <v>7808240</v>
      </c>
      <c r="BK31" s="109">
        <f>+SUM(BJ31:BJ34)</f>
        <v>12739760</v>
      </c>
      <c r="BM31" s="106">
        <v>47300</v>
      </c>
      <c r="BN31" s="19" t="s">
        <v>43</v>
      </c>
      <c r="BO31" s="20"/>
      <c r="BP31" s="20"/>
      <c r="BQ31" s="20"/>
      <c r="BR31" s="20"/>
      <c r="BS31" s="20"/>
      <c r="BT31" s="20"/>
      <c r="BU31" s="20"/>
      <c r="BV31" s="20">
        <v>41096</v>
      </c>
      <c r="BW31" s="20">
        <v>41096</v>
      </c>
      <c r="BX31" s="20">
        <v>41096</v>
      </c>
      <c r="BY31" s="20">
        <v>41096</v>
      </c>
      <c r="BZ31" s="20">
        <v>41096</v>
      </c>
      <c r="CA31" s="20">
        <v>41096</v>
      </c>
      <c r="CB31" s="20">
        <v>41096</v>
      </c>
      <c r="CC31" s="20">
        <v>41096</v>
      </c>
      <c r="CD31" s="20">
        <v>41096</v>
      </c>
      <c r="CE31" s="20">
        <v>41096</v>
      </c>
      <c r="CF31" s="20"/>
      <c r="CG31" s="20"/>
      <c r="CH31" s="20"/>
      <c r="CI31" s="20"/>
      <c r="CJ31" s="20"/>
      <c r="CK31" s="20"/>
      <c r="CL31" s="20"/>
      <c r="CM31" s="21">
        <f t="shared" si="4"/>
        <v>410960</v>
      </c>
      <c r="CN31" s="48">
        <v>20</v>
      </c>
      <c r="CO31" s="21">
        <f t="shared" si="29"/>
        <v>8219200</v>
      </c>
      <c r="CP31" s="109">
        <f>+SUM(CO31:CO34)</f>
        <v>12739760</v>
      </c>
      <c r="CS31" s="106">
        <v>47665</v>
      </c>
      <c r="CT31" s="19" t="s">
        <v>43</v>
      </c>
      <c r="CU31" s="20"/>
      <c r="CV31" s="20"/>
      <c r="CW31" s="20"/>
      <c r="CX31" s="20"/>
      <c r="CY31" s="20"/>
      <c r="CZ31" s="20"/>
      <c r="DA31" s="20"/>
      <c r="DB31" s="20">
        <v>41096</v>
      </c>
      <c r="DC31" s="20">
        <v>41096</v>
      </c>
      <c r="DD31" s="20">
        <v>41096</v>
      </c>
      <c r="DE31" s="20">
        <v>41096</v>
      </c>
      <c r="DF31" s="20">
        <v>41096</v>
      </c>
      <c r="DG31" s="20">
        <v>41096</v>
      </c>
      <c r="DH31" s="20">
        <v>41096</v>
      </c>
      <c r="DI31" s="20">
        <v>41096</v>
      </c>
      <c r="DJ31" s="20">
        <v>41096</v>
      </c>
      <c r="DK31" s="20">
        <v>41096</v>
      </c>
      <c r="DL31" s="20"/>
      <c r="DM31" s="20"/>
      <c r="DN31" s="20"/>
      <c r="DO31" s="20"/>
      <c r="DP31" s="20"/>
      <c r="DQ31" s="20"/>
      <c r="DR31" s="20"/>
      <c r="DS31" s="21">
        <f t="shared" si="6"/>
        <v>410960</v>
      </c>
      <c r="DT31" s="48">
        <v>22</v>
      </c>
      <c r="DU31" s="21">
        <f t="shared" si="30"/>
        <v>9041120</v>
      </c>
      <c r="DV31" s="109">
        <f>+SUM(DU31:DU34)</f>
        <v>12739760</v>
      </c>
      <c r="DY31" s="106">
        <v>48030</v>
      </c>
      <c r="DZ31" s="19" t="s">
        <v>43</v>
      </c>
      <c r="EA31" s="20"/>
      <c r="EB31" s="20"/>
      <c r="EC31" s="20"/>
      <c r="ED31" s="20"/>
      <c r="EE31" s="20"/>
      <c r="EF31" s="20"/>
      <c r="EG31" s="20"/>
      <c r="EH31" s="20">
        <v>41096</v>
      </c>
      <c r="EI31" s="20">
        <v>41096</v>
      </c>
      <c r="EJ31" s="20">
        <v>41096</v>
      </c>
      <c r="EK31" s="20">
        <v>41096</v>
      </c>
      <c r="EL31" s="20">
        <v>41096</v>
      </c>
      <c r="EM31" s="20">
        <v>41096</v>
      </c>
      <c r="EN31" s="20">
        <v>41096</v>
      </c>
      <c r="EO31" s="20">
        <v>41096</v>
      </c>
      <c r="EP31" s="20">
        <v>41096</v>
      </c>
      <c r="EQ31" s="20">
        <v>41096</v>
      </c>
      <c r="ER31" s="20"/>
      <c r="ES31" s="20"/>
      <c r="ET31" s="20"/>
      <c r="EU31" s="20"/>
      <c r="EV31" s="20"/>
      <c r="EW31" s="20"/>
      <c r="EX31" s="20"/>
      <c r="EY31" s="21">
        <f t="shared" si="7"/>
        <v>410960</v>
      </c>
      <c r="EZ31" s="48">
        <v>23</v>
      </c>
      <c r="FA31" s="21">
        <f t="shared" si="31"/>
        <v>9452080</v>
      </c>
      <c r="FB31" s="109">
        <f>+SUM(FA31:FA34)</f>
        <v>12739760</v>
      </c>
      <c r="FD31" s="106">
        <v>48396</v>
      </c>
      <c r="FE31" s="19" t="s">
        <v>43</v>
      </c>
      <c r="FF31" s="20"/>
      <c r="FG31" s="20"/>
      <c r="FH31" s="20"/>
      <c r="FI31" s="20"/>
      <c r="FJ31" s="20"/>
      <c r="FK31" s="20"/>
      <c r="FL31" s="20"/>
      <c r="FM31" s="20">
        <v>41096</v>
      </c>
      <c r="FN31" s="20">
        <v>41096</v>
      </c>
      <c r="FO31" s="20">
        <v>41096</v>
      </c>
      <c r="FP31" s="20">
        <v>41096</v>
      </c>
      <c r="FQ31" s="20">
        <v>41096</v>
      </c>
      <c r="FR31" s="20">
        <v>41096</v>
      </c>
      <c r="FS31" s="20">
        <v>41096</v>
      </c>
      <c r="FT31" s="20">
        <v>41096</v>
      </c>
      <c r="FU31" s="20">
        <v>41096</v>
      </c>
      <c r="FV31" s="20">
        <v>41096</v>
      </c>
      <c r="FW31" s="20"/>
      <c r="FX31" s="20"/>
      <c r="FY31" s="20"/>
      <c r="FZ31" s="20"/>
      <c r="GA31" s="20"/>
      <c r="GB31" s="20"/>
      <c r="GC31" s="20"/>
      <c r="GD31" s="21">
        <f t="shared" si="9"/>
        <v>410960</v>
      </c>
      <c r="GE31" s="48">
        <v>20</v>
      </c>
      <c r="GF31" s="21">
        <f t="shared" si="32"/>
        <v>8219200</v>
      </c>
      <c r="GG31" s="109">
        <f>+SUM(GF31:GF34)</f>
        <v>12739760</v>
      </c>
      <c r="GI31" s="106">
        <v>48761</v>
      </c>
      <c r="GJ31" s="19" t="s">
        <v>43</v>
      </c>
      <c r="GK31" s="20"/>
      <c r="GL31" s="20"/>
      <c r="GM31" s="20"/>
      <c r="GN31" s="20"/>
      <c r="GO31" s="20"/>
      <c r="GP31" s="20"/>
      <c r="GQ31" s="20"/>
      <c r="GR31" s="20">
        <v>41096</v>
      </c>
      <c r="GS31" s="20">
        <v>41096</v>
      </c>
      <c r="GT31" s="20">
        <v>41096</v>
      </c>
      <c r="GU31" s="20">
        <v>41096</v>
      </c>
      <c r="GV31" s="20">
        <v>41096</v>
      </c>
      <c r="GW31" s="20">
        <v>41096</v>
      </c>
      <c r="GX31" s="20">
        <v>41096</v>
      </c>
      <c r="GY31" s="20">
        <v>41096</v>
      </c>
      <c r="GZ31" s="20">
        <v>41096</v>
      </c>
      <c r="HA31" s="20">
        <v>41096</v>
      </c>
      <c r="HB31" s="20"/>
      <c r="HC31" s="20"/>
      <c r="HD31" s="20"/>
      <c r="HE31" s="20"/>
      <c r="HF31" s="20"/>
      <c r="HG31" s="20"/>
      <c r="HH31" s="20"/>
      <c r="HI31" s="21">
        <f t="shared" si="11"/>
        <v>410960</v>
      </c>
      <c r="HJ31" s="48">
        <v>19</v>
      </c>
      <c r="HK31" s="21">
        <f t="shared" si="33"/>
        <v>7808240</v>
      </c>
      <c r="HL31" s="109">
        <f>+SUM(HK31:HK34)</f>
        <v>12739760</v>
      </c>
      <c r="HN31" s="106">
        <v>49126</v>
      </c>
      <c r="HO31" s="19" t="s">
        <v>43</v>
      </c>
      <c r="HP31" s="20"/>
      <c r="HQ31" s="20"/>
      <c r="HR31" s="20"/>
      <c r="HS31" s="20"/>
      <c r="HT31" s="20"/>
      <c r="HU31" s="20"/>
      <c r="HV31" s="20"/>
      <c r="HW31" s="20">
        <v>41096</v>
      </c>
      <c r="HX31" s="20">
        <v>41096</v>
      </c>
      <c r="HY31" s="20">
        <v>41096</v>
      </c>
      <c r="HZ31" s="20">
        <v>41096</v>
      </c>
      <c r="IA31" s="20">
        <v>41096</v>
      </c>
      <c r="IB31" s="20">
        <v>41096</v>
      </c>
      <c r="IC31" s="20">
        <v>41096</v>
      </c>
      <c r="ID31" s="20">
        <v>41096</v>
      </c>
      <c r="IE31" s="20">
        <v>41096</v>
      </c>
      <c r="IF31" s="20">
        <v>41096</v>
      </c>
      <c r="IG31" s="20"/>
      <c r="IH31" s="20"/>
      <c r="II31" s="20"/>
      <c r="IJ31" s="20"/>
      <c r="IK31" s="20"/>
      <c r="IL31" s="20"/>
      <c r="IM31" s="20"/>
      <c r="IN31" s="21">
        <f t="shared" si="13"/>
        <v>410960</v>
      </c>
      <c r="IO31" s="48">
        <v>19</v>
      </c>
      <c r="IP31" s="21">
        <f t="shared" si="34"/>
        <v>7808240</v>
      </c>
      <c r="IQ31" s="109">
        <f>+SUM(IP31:IP34)</f>
        <v>12739760</v>
      </c>
      <c r="IS31" s="106">
        <v>49491</v>
      </c>
      <c r="IT31" s="19" t="s">
        <v>43</v>
      </c>
      <c r="IU31" s="20"/>
      <c r="IV31" s="20"/>
      <c r="IW31" s="20"/>
      <c r="IX31" s="20"/>
      <c r="IY31" s="20"/>
      <c r="IZ31" s="20"/>
      <c r="JA31" s="20"/>
      <c r="JB31" s="20">
        <v>41096</v>
      </c>
      <c r="JC31" s="20">
        <v>41096</v>
      </c>
      <c r="JD31" s="20">
        <v>41096</v>
      </c>
      <c r="JE31" s="20">
        <v>41096</v>
      </c>
      <c r="JF31" s="20">
        <v>41096</v>
      </c>
      <c r="JG31" s="20">
        <v>41096</v>
      </c>
      <c r="JH31" s="20">
        <v>41096</v>
      </c>
      <c r="JI31" s="20">
        <v>41096</v>
      </c>
      <c r="JJ31" s="20">
        <v>41096</v>
      </c>
      <c r="JK31" s="20">
        <v>41096</v>
      </c>
      <c r="JL31" s="20"/>
      <c r="JM31" s="20"/>
      <c r="JN31" s="20"/>
      <c r="JO31" s="20"/>
      <c r="JP31" s="20"/>
      <c r="JQ31" s="20"/>
      <c r="JR31" s="20"/>
      <c r="JS31" s="21">
        <f t="shared" si="15"/>
        <v>410960</v>
      </c>
      <c r="JT31" s="48">
        <v>20</v>
      </c>
      <c r="JU31" s="21">
        <f t="shared" si="35"/>
        <v>8219200</v>
      </c>
      <c r="JV31" s="109">
        <f>+SUM(JU31:JU34)</f>
        <v>12739760</v>
      </c>
      <c r="JX31" s="106">
        <v>49857</v>
      </c>
      <c r="JY31" s="19" t="s">
        <v>43</v>
      </c>
      <c r="JZ31" s="20"/>
      <c r="KA31" s="20"/>
      <c r="KB31" s="20"/>
      <c r="KC31" s="20"/>
      <c r="KD31" s="20"/>
      <c r="KE31" s="20"/>
      <c r="KF31" s="20"/>
      <c r="KG31" s="20">
        <v>41096</v>
      </c>
      <c r="KH31" s="20">
        <v>41096</v>
      </c>
      <c r="KI31" s="20">
        <v>41096</v>
      </c>
      <c r="KJ31" s="20">
        <v>41096</v>
      </c>
      <c r="KK31" s="20">
        <v>41096</v>
      </c>
      <c r="KL31" s="20">
        <v>41096</v>
      </c>
      <c r="KM31" s="20">
        <v>41096</v>
      </c>
      <c r="KN31" s="20">
        <v>41096</v>
      </c>
      <c r="KO31" s="20">
        <v>41096</v>
      </c>
      <c r="KP31" s="20">
        <v>41096</v>
      </c>
      <c r="KQ31" s="20"/>
      <c r="KR31" s="20"/>
      <c r="KS31" s="20"/>
      <c r="KT31" s="20"/>
      <c r="KU31" s="20"/>
      <c r="KV31" s="20"/>
      <c r="KW31" s="20"/>
      <c r="KX31" s="21">
        <f t="shared" si="17"/>
        <v>410960</v>
      </c>
      <c r="KY31" s="48">
        <v>23</v>
      </c>
      <c r="KZ31" s="21">
        <f t="shared" si="36"/>
        <v>9452080</v>
      </c>
      <c r="LA31" s="109">
        <f>+SUM(KZ31:KZ34)</f>
        <v>12739760</v>
      </c>
      <c r="LC31" s="106">
        <v>50222</v>
      </c>
      <c r="LD31" s="19" t="s">
        <v>43</v>
      </c>
      <c r="LE31" s="20"/>
      <c r="LF31" s="20"/>
      <c r="LG31" s="20"/>
      <c r="LH31" s="20"/>
      <c r="LI31" s="20"/>
      <c r="LJ31" s="20"/>
      <c r="LK31" s="20"/>
      <c r="LL31" s="20">
        <v>41096</v>
      </c>
      <c r="LM31" s="20">
        <v>41096</v>
      </c>
      <c r="LN31" s="20">
        <v>41096</v>
      </c>
      <c r="LO31" s="20">
        <v>41096</v>
      </c>
      <c r="LP31" s="20">
        <v>41096</v>
      </c>
      <c r="LQ31" s="20">
        <v>41096</v>
      </c>
      <c r="LR31" s="20">
        <v>41096</v>
      </c>
      <c r="LS31" s="20">
        <v>41096</v>
      </c>
      <c r="LT31" s="20">
        <v>41096</v>
      </c>
      <c r="LU31" s="20">
        <v>41096</v>
      </c>
      <c r="LV31" s="20"/>
      <c r="LW31" s="20"/>
      <c r="LX31" s="20"/>
      <c r="LY31" s="20"/>
      <c r="LZ31" s="20"/>
      <c r="MA31" s="20"/>
      <c r="MB31" s="20"/>
      <c r="MC31" s="21">
        <f t="shared" si="19"/>
        <v>410960</v>
      </c>
      <c r="MD31" s="48">
        <v>21</v>
      </c>
      <c r="ME31" s="21">
        <f t="shared" si="37"/>
        <v>8630160</v>
      </c>
      <c r="MF31" s="109">
        <f>+SUM(ME31:ME34)</f>
        <v>12739760</v>
      </c>
      <c r="MH31" s="106">
        <v>50587</v>
      </c>
      <c r="MI31" s="19" t="s">
        <v>43</v>
      </c>
      <c r="MJ31" s="20"/>
      <c r="MK31" s="20"/>
      <c r="ML31" s="20"/>
      <c r="MM31" s="20"/>
      <c r="MN31" s="20"/>
      <c r="MO31" s="20"/>
      <c r="MP31" s="20"/>
      <c r="MQ31" s="20">
        <v>41096</v>
      </c>
      <c r="MR31" s="20">
        <v>41096</v>
      </c>
      <c r="MS31" s="20">
        <v>41096</v>
      </c>
      <c r="MT31" s="20">
        <v>41096</v>
      </c>
      <c r="MU31" s="20">
        <v>41096</v>
      </c>
      <c r="MV31" s="20">
        <v>41096</v>
      </c>
      <c r="MW31" s="20">
        <v>41096</v>
      </c>
      <c r="MX31" s="20">
        <v>41096</v>
      </c>
      <c r="MY31" s="20">
        <v>41096</v>
      </c>
      <c r="MZ31" s="20">
        <v>41096</v>
      </c>
      <c r="NA31" s="20"/>
      <c r="NB31" s="20"/>
      <c r="NC31" s="20"/>
      <c r="ND31" s="20"/>
      <c r="NE31" s="20"/>
      <c r="NF31" s="20"/>
      <c r="NG31" s="20"/>
      <c r="NH31" s="21">
        <f t="shared" si="21"/>
        <v>410960</v>
      </c>
      <c r="NI31" s="48">
        <v>20</v>
      </c>
      <c r="NJ31" s="21">
        <f t="shared" si="38"/>
        <v>8219200</v>
      </c>
      <c r="NK31" s="109">
        <f>+SUM(NJ31:NJ34)</f>
        <v>12739760</v>
      </c>
      <c r="NM31" s="106">
        <v>50952</v>
      </c>
      <c r="NN31" s="19" t="s">
        <v>43</v>
      </c>
      <c r="NO31" s="20"/>
      <c r="NP31" s="20"/>
      <c r="NQ31" s="20"/>
      <c r="NR31" s="20"/>
      <c r="NS31" s="20"/>
      <c r="NT31" s="20"/>
      <c r="NU31" s="20"/>
      <c r="NV31" s="20">
        <v>41096</v>
      </c>
      <c r="NW31" s="20">
        <v>41096</v>
      </c>
      <c r="NX31" s="20">
        <v>41096</v>
      </c>
      <c r="NY31" s="20">
        <v>41096</v>
      </c>
      <c r="NZ31" s="20">
        <v>41096</v>
      </c>
      <c r="OA31" s="20">
        <v>41096</v>
      </c>
      <c r="OB31" s="20">
        <v>41096</v>
      </c>
      <c r="OC31" s="20">
        <v>41096</v>
      </c>
      <c r="OD31" s="20">
        <v>41096</v>
      </c>
      <c r="OE31" s="20">
        <v>41096</v>
      </c>
      <c r="OF31" s="20"/>
      <c r="OG31" s="20"/>
      <c r="OH31" s="20"/>
      <c r="OI31" s="20"/>
      <c r="OJ31" s="20"/>
      <c r="OK31" s="20"/>
      <c r="OL31" s="20"/>
      <c r="OM31" s="21">
        <f t="shared" si="23"/>
        <v>410960</v>
      </c>
      <c r="ON31" s="48">
        <v>19</v>
      </c>
      <c r="OO31" s="21">
        <f t="shared" si="39"/>
        <v>7808240</v>
      </c>
      <c r="OP31" s="109">
        <f>+SUM(OO31:OO34)</f>
        <v>12739760</v>
      </c>
      <c r="OR31" s="106">
        <v>51318</v>
      </c>
      <c r="OS31" s="19" t="s">
        <v>43</v>
      </c>
      <c r="OT31" s="20"/>
      <c r="OU31" s="20"/>
      <c r="OV31" s="20"/>
      <c r="OW31" s="20"/>
      <c r="OX31" s="20"/>
      <c r="OY31" s="20"/>
      <c r="OZ31" s="20"/>
      <c r="PA31" s="20">
        <v>41096</v>
      </c>
      <c r="PB31" s="20">
        <v>41096</v>
      </c>
      <c r="PC31" s="20">
        <v>41096</v>
      </c>
      <c r="PD31" s="20">
        <v>41096</v>
      </c>
      <c r="PE31" s="20">
        <v>41096</v>
      </c>
      <c r="PF31" s="20">
        <v>41096</v>
      </c>
      <c r="PG31" s="20">
        <v>41096</v>
      </c>
      <c r="PH31" s="20">
        <v>41096</v>
      </c>
      <c r="PI31" s="20">
        <v>41096</v>
      </c>
      <c r="PJ31" s="20">
        <v>41096</v>
      </c>
      <c r="PK31" s="20"/>
      <c r="PL31" s="20"/>
      <c r="PM31" s="20"/>
      <c r="PN31" s="20"/>
      <c r="PO31" s="20"/>
      <c r="PP31" s="20"/>
      <c r="PQ31" s="20"/>
      <c r="PR31" s="21">
        <f t="shared" si="25"/>
        <v>410960</v>
      </c>
      <c r="PS31" s="63">
        <v>20</v>
      </c>
      <c r="PT31" s="21">
        <f t="shared" si="40"/>
        <v>8219200</v>
      </c>
      <c r="PU31" s="109">
        <f>+SUM(PT31:PT34)</f>
        <v>12739760</v>
      </c>
    </row>
    <row r="32" spans="3:437" x14ac:dyDescent="0.35">
      <c r="C32" s="107"/>
      <c r="D32" s="23" t="s">
        <v>44</v>
      </c>
      <c r="E32" s="20"/>
      <c r="F32" s="92"/>
      <c r="G32" s="20"/>
      <c r="H32" s="20"/>
      <c r="I32" s="20"/>
      <c r="J32" s="20"/>
      <c r="K32" s="20"/>
      <c r="L32" s="20">
        <v>41096</v>
      </c>
      <c r="M32" s="20">
        <v>41096</v>
      </c>
      <c r="N32" s="20">
        <v>41096</v>
      </c>
      <c r="O32" s="20">
        <v>41096</v>
      </c>
      <c r="P32" s="20">
        <v>41096</v>
      </c>
      <c r="Q32" s="20">
        <v>41096</v>
      </c>
      <c r="R32" s="20">
        <v>41096</v>
      </c>
      <c r="S32" s="20">
        <v>41096</v>
      </c>
      <c r="T32" s="20">
        <v>41096</v>
      </c>
      <c r="U32" s="20">
        <v>41096</v>
      </c>
      <c r="V32" s="20"/>
      <c r="W32" s="20"/>
      <c r="X32" s="20"/>
      <c r="Y32" s="20"/>
      <c r="Z32" s="20"/>
      <c r="AA32" s="20"/>
      <c r="AB32" s="20"/>
      <c r="AC32" s="21">
        <f t="shared" si="0"/>
        <v>410960</v>
      </c>
      <c r="AD32" s="22">
        <v>5</v>
      </c>
      <c r="AE32" s="21">
        <f t="shared" si="27"/>
        <v>2054800</v>
      </c>
      <c r="AF32" s="110"/>
      <c r="AH32" s="107"/>
      <c r="AI32" s="23" t="s">
        <v>44</v>
      </c>
      <c r="AJ32" s="20"/>
      <c r="AK32" s="20"/>
      <c r="AL32" s="20"/>
      <c r="AM32" s="20"/>
      <c r="AN32" s="20"/>
      <c r="AO32" s="20"/>
      <c r="AP32" s="20"/>
      <c r="AQ32" s="20">
        <v>41096</v>
      </c>
      <c r="AR32" s="20">
        <v>41096</v>
      </c>
      <c r="AS32" s="20">
        <v>41096</v>
      </c>
      <c r="AT32" s="20">
        <v>41096</v>
      </c>
      <c r="AU32" s="20">
        <v>41096</v>
      </c>
      <c r="AV32" s="20">
        <v>41096</v>
      </c>
      <c r="AW32" s="20">
        <v>41096</v>
      </c>
      <c r="AX32" s="20">
        <v>41096</v>
      </c>
      <c r="AY32" s="20">
        <v>41096</v>
      </c>
      <c r="AZ32" s="20">
        <v>41096</v>
      </c>
      <c r="BA32" s="20"/>
      <c r="BB32" s="20"/>
      <c r="BC32" s="20"/>
      <c r="BD32" s="20"/>
      <c r="BE32" s="20"/>
      <c r="BF32" s="20"/>
      <c r="BG32" s="20"/>
      <c r="BH32" s="21">
        <f t="shared" si="2"/>
        <v>410960</v>
      </c>
      <c r="BI32" s="49">
        <v>5</v>
      </c>
      <c r="BJ32" s="21">
        <f t="shared" si="28"/>
        <v>2054800</v>
      </c>
      <c r="BK32" s="110"/>
      <c r="BM32" s="107"/>
      <c r="BN32" s="23" t="s">
        <v>44</v>
      </c>
      <c r="BO32" s="20"/>
      <c r="BP32" s="20"/>
      <c r="BQ32" s="20"/>
      <c r="BR32" s="20"/>
      <c r="BS32" s="20"/>
      <c r="BT32" s="20"/>
      <c r="BU32" s="20"/>
      <c r="BV32" s="20">
        <v>41096</v>
      </c>
      <c r="BW32" s="20">
        <v>41096</v>
      </c>
      <c r="BX32" s="20">
        <v>41096</v>
      </c>
      <c r="BY32" s="20">
        <v>41096</v>
      </c>
      <c r="BZ32" s="20">
        <v>41096</v>
      </c>
      <c r="CA32" s="20">
        <v>41096</v>
      </c>
      <c r="CB32" s="20">
        <v>41096</v>
      </c>
      <c r="CC32" s="20">
        <v>41096</v>
      </c>
      <c r="CD32" s="20">
        <v>41096</v>
      </c>
      <c r="CE32" s="20">
        <v>41096</v>
      </c>
      <c r="CF32" s="20"/>
      <c r="CG32" s="20"/>
      <c r="CH32" s="20"/>
      <c r="CI32" s="20"/>
      <c r="CJ32" s="20"/>
      <c r="CK32" s="20"/>
      <c r="CL32" s="20"/>
      <c r="CM32" s="21">
        <f t="shared" si="4"/>
        <v>410960</v>
      </c>
      <c r="CN32" s="49">
        <v>4</v>
      </c>
      <c r="CO32" s="21">
        <f t="shared" si="29"/>
        <v>1643840</v>
      </c>
      <c r="CP32" s="110"/>
      <c r="CS32" s="107"/>
      <c r="CT32" s="23" t="s">
        <v>44</v>
      </c>
      <c r="CU32" s="20"/>
      <c r="CV32" s="20"/>
      <c r="CW32" s="20"/>
      <c r="CX32" s="20"/>
      <c r="CY32" s="20"/>
      <c r="CZ32" s="20"/>
      <c r="DA32" s="20"/>
      <c r="DB32" s="20">
        <v>41096</v>
      </c>
      <c r="DC32" s="20">
        <v>41096</v>
      </c>
      <c r="DD32" s="20">
        <v>41096</v>
      </c>
      <c r="DE32" s="20">
        <v>41096</v>
      </c>
      <c r="DF32" s="20">
        <v>41096</v>
      </c>
      <c r="DG32" s="20">
        <v>41096</v>
      </c>
      <c r="DH32" s="20">
        <v>41096</v>
      </c>
      <c r="DI32" s="20">
        <v>41096</v>
      </c>
      <c r="DJ32" s="20">
        <v>41096</v>
      </c>
      <c r="DK32" s="20">
        <v>41096</v>
      </c>
      <c r="DL32" s="20"/>
      <c r="DM32" s="20"/>
      <c r="DN32" s="20"/>
      <c r="DO32" s="20"/>
      <c r="DP32" s="20"/>
      <c r="DQ32" s="20"/>
      <c r="DR32" s="20"/>
      <c r="DS32" s="21">
        <f t="shared" si="6"/>
        <v>410960</v>
      </c>
      <c r="DT32" s="49">
        <v>3</v>
      </c>
      <c r="DU32" s="21">
        <f t="shared" si="30"/>
        <v>1232880</v>
      </c>
      <c r="DV32" s="110"/>
      <c r="DY32" s="107"/>
      <c r="DZ32" s="23" t="s">
        <v>44</v>
      </c>
      <c r="EA32" s="20"/>
      <c r="EB32" s="20"/>
      <c r="EC32" s="20"/>
      <c r="ED32" s="20"/>
      <c r="EE32" s="20"/>
      <c r="EF32" s="20"/>
      <c r="EG32" s="20"/>
      <c r="EH32" s="20">
        <v>41096</v>
      </c>
      <c r="EI32" s="20">
        <v>41096</v>
      </c>
      <c r="EJ32" s="20">
        <v>41096</v>
      </c>
      <c r="EK32" s="20">
        <v>41096</v>
      </c>
      <c r="EL32" s="20">
        <v>41096</v>
      </c>
      <c r="EM32" s="20">
        <v>41096</v>
      </c>
      <c r="EN32" s="20">
        <v>41096</v>
      </c>
      <c r="EO32" s="20">
        <v>41096</v>
      </c>
      <c r="EP32" s="20">
        <v>41096</v>
      </c>
      <c r="EQ32" s="20">
        <v>41096</v>
      </c>
      <c r="ER32" s="20"/>
      <c r="ES32" s="20"/>
      <c r="ET32" s="20"/>
      <c r="EU32" s="20"/>
      <c r="EV32" s="20"/>
      <c r="EW32" s="20"/>
      <c r="EX32" s="20"/>
      <c r="EY32" s="21">
        <f t="shared" si="7"/>
        <v>410960</v>
      </c>
      <c r="EZ32" s="49">
        <v>4</v>
      </c>
      <c r="FA32" s="21">
        <f t="shared" si="31"/>
        <v>1643840</v>
      </c>
      <c r="FB32" s="110"/>
      <c r="FD32" s="107"/>
      <c r="FE32" s="23" t="s">
        <v>44</v>
      </c>
      <c r="FF32" s="20"/>
      <c r="FG32" s="20"/>
      <c r="FH32" s="20"/>
      <c r="FI32" s="20"/>
      <c r="FJ32" s="20"/>
      <c r="FK32" s="20"/>
      <c r="FL32" s="20"/>
      <c r="FM32" s="20">
        <v>41096</v>
      </c>
      <c r="FN32" s="20">
        <v>41096</v>
      </c>
      <c r="FO32" s="20">
        <v>41096</v>
      </c>
      <c r="FP32" s="20">
        <v>41096</v>
      </c>
      <c r="FQ32" s="20">
        <v>41096</v>
      </c>
      <c r="FR32" s="20">
        <v>41096</v>
      </c>
      <c r="FS32" s="20">
        <v>41096</v>
      </c>
      <c r="FT32" s="20">
        <v>41096</v>
      </c>
      <c r="FU32" s="20">
        <v>41096</v>
      </c>
      <c r="FV32" s="20">
        <v>41096</v>
      </c>
      <c r="FW32" s="20"/>
      <c r="FX32" s="20"/>
      <c r="FY32" s="20"/>
      <c r="FZ32" s="20"/>
      <c r="GA32" s="20"/>
      <c r="GB32" s="20"/>
      <c r="GC32" s="20"/>
      <c r="GD32" s="21">
        <f t="shared" si="9"/>
        <v>410960</v>
      </c>
      <c r="GE32" s="49">
        <v>5</v>
      </c>
      <c r="GF32" s="21">
        <f t="shared" si="32"/>
        <v>2054800</v>
      </c>
      <c r="GG32" s="110"/>
      <c r="GI32" s="107"/>
      <c r="GJ32" s="23" t="s">
        <v>44</v>
      </c>
      <c r="GK32" s="20"/>
      <c r="GL32" s="20"/>
      <c r="GM32" s="20"/>
      <c r="GN32" s="20"/>
      <c r="GO32" s="20"/>
      <c r="GP32" s="20"/>
      <c r="GQ32" s="20"/>
      <c r="GR32" s="20">
        <v>41096</v>
      </c>
      <c r="GS32" s="20">
        <v>41096</v>
      </c>
      <c r="GT32" s="20">
        <v>41096</v>
      </c>
      <c r="GU32" s="20">
        <v>41096</v>
      </c>
      <c r="GV32" s="20">
        <v>41096</v>
      </c>
      <c r="GW32" s="20">
        <v>41096</v>
      </c>
      <c r="GX32" s="20">
        <v>41096</v>
      </c>
      <c r="GY32" s="20">
        <v>41096</v>
      </c>
      <c r="GZ32" s="20">
        <v>41096</v>
      </c>
      <c r="HA32" s="20">
        <v>41096</v>
      </c>
      <c r="HB32" s="20"/>
      <c r="HC32" s="20"/>
      <c r="HD32" s="20"/>
      <c r="HE32" s="20"/>
      <c r="HF32" s="20"/>
      <c r="HG32" s="20"/>
      <c r="HH32" s="20"/>
      <c r="HI32" s="21">
        <f t="shared" si="11"/>
        <v>410960</v>
      </c>
      <c r="HJ32" s="49">
        <v>5</v>
      </c>
      <c r="HK32" s="21">
        <f t="shared" si="33"/>
        <v>2054800</v>
      </c>
      <c r="HL32" s="110"/>
      <c r="HN32" s="107"/>
      <c r="HO32" s="23" t="s">
        <v>44</v>
      </c>
      <c r="HP32" s="20"/>
      <c r="HQ32" s="20"/>
      <c r="HR32" s="20"/>
      <c r="HS32" s="20"/>
      <c r="HT32" s="20"/>
      <c r="HU32" s="20"/>
      <c r="HV32" s="20"/>
      <c r="HW32" s="20">
        <v>41096</v>
      </c>
      <c r="HX32" s="20">
        <v>41096</v>
      </c>
      <c r="HY32" s="20">
        <v>41096</v>
      </c>
      <c r="HZ32" s="20">
        <v>41096</v>
      </c>
      <c r="IA32" s="20">
        <v>41096</v>
      </c>
      <c r="IB32" s="20">
        <v>41096</v>
      </c>
      <c r="IC32" s="20">
        <v>41096</v>
      </c>
      <c r="ID32" s="20">
        <v>41096</v>
      </c>
      <c r="IE32" s="20">
        <v>41096</v>
      </c>
      <c r="IF32" s="20">
        <v>41096</v>
      </c>
      <c r="IG32" s="20"/>
      <c r="IH32" s="20"/>
      <c r="II32" s="20"/>
      <c r="IJ32" s="20"/>
      <c r="IK32" s="20"/>
      <c r="IL32" s="20"/>
      <c r="IM32" s="20"/>
      <c r="IN32" s="21">
        <f t="shared" si="13"/>
        <v>410960</v>
      </c>
      <c r="IO32" s="49">
        <v>5</v>
      </c>
      <c r="IP32" s="21">
        <f t="shared" si="34"/>
        <v>2054800</v>
      </c>
      <c r="IQ32" s="110"/>
      <c r="IS32" s="107"/>
      <c r="IT32" s="23" t="s">
        <v>44</v>
      </c>
      <c r="IU32" s="20"/>
      <c r="IV32" s="20"/>
      <c r="IW32" s="20"/>
      <c r="IX32" s="20"/>
      <c r="IY32" s="20"/>
      <c r="IZ32" s="20"/>
      <c r="JA32" s="20"/>
      <c r="JB32" s="20">
        <v>41096</v>
      </c>
      <c r="JC32" s="20">
        <v>41096</v>
      </c>
      <c r="JD32" s="20">
        <v>41096</v>
      </c>
      <c r="JE32" s="20">
        <v>41096</v>
      </c>
      <c r="JF32" s="20">
        <v>41096</v>
      </c>
      <c r="JG32" s="20">
        <v>41096</v>
      </c>
      <c r="JH32" s="20">
        <v>41096</v>
      </c>
      <c r="JI32" s="20">
        <v>41096</v>
      </c>
      <c r="JJ32" s="20">
        <v>41096</v>
      </c>
      <c r="JK32" s="20">
        <v>41096</v>
      </c>
      <c r="JL32" s="20"/>
      <c r="JM32" s="20"/>
      <c r="JN32" s="20"/>
      <c r="JO32" s="20"/>
      <c r="JP32" s="20"/>
      <c r="JQ32" s="20"/>
      <c r="JR32" s="20"/>
      <c r="JS32" s="21">
        <f t="shared" si="15"/>
        <v>410960</v>
      </c>
      <c r="JT32" s="49">
        <v>4</v>
      </c>
      <c r="JU32" s="21">
        <f t="shared" si="35"/>
        <v>1643840</v>
      </c>
      <c r="JV32" s="110"/>
      <c r="JX32" s="107"/>
      <c r="JY32" s="23" t="s">
        <v>44</v>
      </c>
      <c r="JZ32" s="20"/>
      <c r="KA32" s="20"/>
      <c r="KB32" s="20"/>
      <c r="KC32" s="20"/>
      <c r="KD32" s="20"/>
      <c r="KE32" s="20"/>
      <c r="KF32" s="20"/>
      <c r="KG32" s="20">
        <v>41096</v>
      </c>
      <c r="KH32" s="20">
        <v>41096</v>
      </c>
      <c r="KI32" s="20">
        <v>41096</v>
      </c>
      <c r="KJ32" s="20">
        <v>41096</v>
      </c>
      <c r="KK32" s="20">
        <v>41096</v>
      </c>
      <c r="KL32" s="20">
        <v>41096</v>
      </c>
      <c r="KM32" s="20">
        <v>41096</v>
      </c>
      <c r="KN32" s="20">
        <v>41096</v>
      </c>
      <c r="KO32" s="20">
        <v>41096</v>
      </c>
      <c r="KP32" s="20">
        <v>41096</v>
      </c>
      <c r="KQ32" s="20"/>
      <c r="KR32" s="20"/>
      <c r="KS32" s="20"/>
      <c r="KT32" s="20"/>
      <c r="KU32" s="20"/>
      <c r="KV32" s="20"/>
      <c r="KW32" s="20"/>
      <c r="KX32" s="21">
        <f t="shared" si="17"/>
        <v>410960</v>
      </c>
      <c r="KY32" s="49">
        <v>4</v>
      </c>
      <c r="KZ32" s="21">
        <f t="shared" si="36"/>
        <v>1643840</v>
      </c>
      <c r="LA32" s="110"/>
      <c r="LC32" s="107"/>
      <c r="LD32" s="23" t="s">
        <v>44</v>
      </c>
      <c r="LE32" s="20"/>
      <c r="LF32" s="20"/>
      <c r="LG32" s="20"/>
      <c r="LH32" s="20"/>
      <c r="LI32" s="20"/>
      <c r="LJ32" s="20"/>
      <c r="LK32" s="20"/>
      <c r="LL32" s="20">
        <v>41096</v>
      </c>
      <c r="LM32" s="20">
        <v>41096</v>
      </c>
      <c r="LN32" s="20">
        <v>41096</v>
      </c>
      <c r="LO32" s="20">
        <v>41096</v>
      </c>
      <c r="LP32" s="20">
        <v>41096</v>
      </c>
      <c r="LQ32" s="20">
        <v>41096</v>
      </c>
      <c r="LR32" s="20">
        <v>41096</v>
      </c>
      <c r="LS32" s="20">
        <v>41096</v>
      </c>
      <c r="LT32" s="20">
        <v>41096</v>
      </c>
      <c r="LU32" s="20">
        <v>41096</v>
      </c>
      <c r="LV32" s="20"/>
      <c r="LW32" s="20"/>
      <c r="LX32" s="20"/>
      <c r="LY32" s="20"/>
      <c r="LZ32" s="20"/>
      <c r="MA32" s="20"/>
      <c r="MB32" s="20"/>
      <c r="MC32" s="21">
        <f t="shared" si="19"/>
        <v>410960</v>
      </c>
      <c r="MD32" s="49">
        <v>4</v>
      </c>
      <c r="ME32" s="21">
        <f t="shared" si="37"/>
        <v>1643840</v>
      </c>
      <c r="MF32" s="110"/>
      <c r="MH32" s="107"/>
      <c r="MI32" s="23" t="s">
        <v>44</v>
      </c>
      <c r="MJ32" s="20"/>
      <c r="MK32" s="20"/>
      <c r="ML32" s="20"/>
      <c r="MM32" s="20"/>
      <c r="MN32" s="20"/>
      <c r="MO32" s="20"/>
      <c r="MP32" s="20"/>
      <c r="MQ32" s="20">
        <v>41096</v>
      </c>
      <c r="MR32" s="20">
        <v>41096</v>
      </c>
      <c r="MS32" s="20">
        <v>41096</v>
      </c>
      <c r="MT32" s="20">
        <v>41096</v>
      </c>
      <c r="MU32" s="20">
        <v>41096</v>
      </c>
      <c r="MV32" s="20">
        <v>41096</v>
      </c>
      <c r="MW32" s="20">
        <v>41096</v>
      </c>
      <c r="MX32" s="20">
        <v>41096</v>
      </c>
      <c r="MY32" s="20">
        <v>41096</v>
      </c>
      <c r="MZ32" s="20">
        <v>41096</v>
      </c>
      <c r="NA32" s="20"/>
      <c r="NB32" s="20"/>
      <c r="NC32" s="20"/>
      <c r="ND32" s="20"/>
      <c r="NE32" s="20"/>
      <c r="NF32" s="20"/>
      <c r="NG32" s="20"/>
      <c r="NH32" s="21">
        <f t="shared" si="21"/>
        <v>410960</v>
      </c>
      <c r="NI32" s="49">
        <v>5</v>
      </c>
      <c r="NJ32" s="21">
        <f t="shared" si="38"/>
        <v>2054800</v>
      </c>
      <c r="NK32" s="110"/>
      <c r="NM32" s="107"/>
      <c r="NN32" s="23" t="s">
        <v>44</v>
      </c>
      <c r="NO32" s="20"/>
      <c r="NP32" s="20"/>
      <c r="NQ32" s="20"/>
      <c r="NR32" s="20"/>
      <c r="NS32" s="20"/>
      <c r="NT32" s="20"/>
      <c r="NU32" s="20"/>
      <c r="NV32" s="20">
        <v>41096</v>
      </c>
      <c r="NW32" s="20">
        <v>41096</v>
      </c>
      <c r="NX32" s="20">
        <v>41096</v>
      </c>
      <c r="NY32" s="20">
        <v>41096</v>
      </c>
      <c r="NZ32" s="20">
        <v>41096</v>
      </c>
      <c r="OA32" s="20">
        <v>41096</v>
      </c>
      <c r="OB32" s="20">
        <v>41096</v>
      </c>
      <c r="OC32" s="20">
        <v>41096</v>
      </c>
      <c r="OD32" s="20">
        <v>41096</v>
      </c>
      <c r="OE32" s="20">
        <v>41096</v>
      </c>
      <c r="OF32" s="20"/>
      <c r="OG32" s="20"/>
      <c r="OH32" s="20"/>
      <c r="OI32" s="20"/>
      <c r="OJ32" s="20"/>
      <c r="OK32" s="20"/>
      <c r="OL32" s="20"/>
      <c r="OM32" s="21">
        <f t="shared" si="23"/>
        <v>410960</v>
      </c>
      <c r="ON32" s="49">
        <v>5</v>
      </c>
      <c r="OO32" s="21">
        <f t="shared" si="39"/>
        <v>2054800</v>
      </c>
      <c r="OP32" s="110"/>
      <c r="OR32" s="107"/>
      <c r="OS32" s="23" t="s">
        <v>44</v>
      </c>
      <c r="OT32" s="20"/>
      <c r="OU32" s="20"/>
      <c r="OV32" s="20"/>
      <c r="OW32" s="20"/>
      <c r="OX32" s="20"/>
      <c r="OY32" s="20"/>
      <c r="OZ32" s="20"/>
      <c r="PA32" s="20">
        <v>41096</v>
      </c>
      <c r="PB32" s="20">
        <v>41096</v>
      </c>
      <c r="PC32" s="20">
        <v>41096</v>
      </c>
      <c r="PD32" s="20">
        <v>41096</v>
      </c>
      <c r="PE32" s="20">
        <v>41096</v>
      </c>
      <c r="PF32" s="20">
        <v>41096</v>
      </c>
      <c r="PG32" s="20">
        <v>41096</v>
      </c>
      <c r="PH32" s="20">
        <v>41096</v>
      </c>
      <c r="PI32" s="20">
        <v>41096</v>
      </c>
      <c r="PJ32" s="20">
        <v>41096</v>
      </c>
      <c r="PK32" s="20"/>
      <c r="PL32" s="20"/>
      <c r="PM32" s="20"/>
      <c r="PN32" s="20"/>
      <c r="PO32" s="20"/>
      <c r="PP32" s="20"/>
      <c r="PQ32" s="20"/>
      <c r="PR32" s="21">
        <f t="shared" si="25"/>
        <v>410960</v>
      </c>
      <c r="PS32" s="62">
        <v>4</v>
      </c>
      <c r="PT32" s="21">
        <f t="shared" si="40"/>
        <v>1643840</v>
      </c>
      <c r="PU32" s="110"/>
    </row>
    <row r="33" spans="3:437" x14ac:dyDescent="0.35">
      <c r="C33" s="107"/>
      <c r="D33" s="23" t="s">
        <v>45</v>
      </c>
      <c r="E33" s="20"/>
      <c r="F33" s="92"/>
      <c r="G33" s="20"/>
      <c r="H33" s="20"/>
      <c r="I33" s="20"/>
      <c r="J33" s="20"/>
      <c r="K33" s="20"/>
      <c r="L33" s="20">
        <v>41096</v>
      </c>
      <c r="M33" s="20">
        <v>41096</v>
      </c>
      <c r="N33" s="20">
        <v>41096</v>
      </c>
      <c r="O33" s="20">
        <v>41096</v>
      </c>
      <c r="P33" s="20">
        <v>41096</v>
      </c>
      <c r="Q33" s="20">
        <v>41096</v>
      </c>
      <c r="R33" s="20">
        <v>41096</v>
      </c>
      <c r="S33" s="20">
        <v>41096</v>
      </c>
      <c r="T33" s="20">
        <v>41096</v>
      </c>
      <c r="U33" s="20">
        <v>41096</v>
      </c>
      <c r="V33" s="20"/>
      <c r="W33" s="20"/>
      <c r="X33" s="20"/>
      <c r="Y33" s="20"/>
      <c r="Z33" s="20"/>
      <c r="AA33" s="20"/>
      <c r="AB33" s="20"/>
      <c r="AC33" s="21">
        <f t="shared" si="0"/>
        <v>410960</v>
      </c>
      <c r="AD33" s="22">
        <v>4</v>
      </c>
      <c r="AE33" s="21">
        <f t="shared" si="27"/>
        <v>1643840</v>
      </c>
      <c r="AF33" s="110"/>
      <c r="AH33" s="107"/>
      <c r="AI33" s="23" t="s">
        <v>45</v>
      </c>
      <c r="AJ33" s="20"/>
      <c r="AK33" s="20"/>
      <c r="AL33" s="20"/>
      <c r="AM33" s="20"/>
      <c r="AN33" s="20"/>
      <c r="AO33" s="20"/>
      <c r="AP33" s="20"/>
      <c r="AQ33" s="20">
        <v>41096</v>
      </c>
      <c r="AR33" s="20">
        <v>41096</v>
      </c>
      <c r="AS33" s="20">
        <v>41096</v>
      </c>
      <c r="AT33" s="20">
        <v>41096</v>
      </c>
      <c r="AU33" s="20">
        <v>41096</v>
      </c>
      <c r="AV33" s="20">
        <v>41096</v>
      </c>
      <c r="AW33" s="20">
        <v>41096</v>
      </c>
      <c r="AX33" s="20">
        <v>41096</v>
      </c>
      <c r="AY33" s="20">
        <v>41096</v>
      </c>
      <c r="AZ33" s="20">
        <v>41096</v>
      </c>
      <c r="BA33" s="20"/>
      <c r="BB33" s="20"/>
      <c r="BC33" s="20"/>
      <c r="BD33" s="20"/>
      <c r="BE33" s="20"/>
      <c r="BF33" s="20"/>
      <c r="BG33" s="20"/>
      <c r="BH33" s="21">
        <f t="shared" si="2"/>
        <v>410960</v>
      </c>
      <c r="BI33" s="49">
        <v>5</v>
      </c>
      <c r="BJ33" s="21">
        <f t="shared" si="28"/>
        <v>2054800</v>
      </c>
      <c r="BK33" s="110"/>
      <c r="BM33" s="107"/>
      <c r="BN33" s="23" t="s">
        <v>45</v>
      </c>
      <c r="BO33" s="20"/>
      <c r="BP33" s="20"/>
      <c r="BQ33" s="20"/>
      <c r="BR33" s="20"/>
      <c r="BS33" s="20"/>
      <c r="BT33" s="20"/>
      <c r="BU33" s="20"/>
      <c r="BV33" s="20">
        <v>41096</v>
      </c>
      <c r="BW33" s="20">
        <v>41096</v>
      </c>
      <c r="BX33" s="20">
        <v>41096</v>
      </c>
      <c r="BY33" s="20">
        <v>41096</v>
      </c>
      <c r="BZ33" s="20">
        <v>41096</v>
      </c>
      <c r="CA33" s="20">
        <v>41096</v>
      </c>
      <c r="CB33" s="20">
        <v>41096</v>
      </c>
      <c r="CC33" s="20">
        <v>41096</v>
      </c>
      <c r="CD33" s="20">
        <v>41096</v>
      </c>
      <c r="CE33" s="20">
        <v>41096</v>
      </c>
      <c r="CF33" s="20"/>
      <c r="CG33" s="20"/>
      <c r="CH33" s="20"/>
      <c r="CI33" s="20"/>
      <c r="CJ33" s="20"/>
      <c r="CK33" s="20"/>
      <c r="CL33" s="20"/>
      <c r="CM33" s="21">
        <f t="shared" si="4"/>
        <v>410960</v>
      </c>
      <c r="CN33" s="49">
        <v>5</v>
      </c>
      <c r="CO33" s="21">
        <f t="shared" si="29"/>
        <v>2054800</v>
      </c>
      <c r="CP33" s="110"/>
      <c r="CS33" s="107"/>
      <c r="CT33" s="23" t="s">
        <v>45</v>
      </c>
      <c r="CU33" s="20"/>
      <c r="CV33" s="20"/>
      <c r="CW33" s="20"/>
      <c r="CX33" s="20"/>
      <c r="CY33" s="20"/>
      <c r="CZ33" s="20"/>
      <c r="DA33" s="20"/>
      <c r="DB33" s="20">
        <v>41096</v>
      </c>
      <c r="DC33" s="20">
        <v>41096</v>
      </c>
      <c r="DD33" s="20">
        <v>41096</v>
      </c>
      <c r="DE33" s="20">
        <v>41096</v>
      </c>
      <c r="DF33" s="20">
        <v>41096</v>
      </c>
      <c r="DG33" s="20">
        <v>41096</v>
      </c>
      <c r="DH33" s="20">
        <v>41096</v>
      </c>
      <c r="DI33" s="20">
        <v>41096</v>
      </c>
      <c r="DJ33" s="20">
        <v>41096</v>
      </c>
      <c r="DK33" s="20">
        <v>41096</v>
      </c>
      <c r="DL33" s="20"/>
      <c r="DM33" s="20"/>
      <c r="DN33" s="20"/>
      <c r="DO33" s="20"/>
      <c r="DP33" s="20"/>
      <c r="DQ33" s="20"/>
      <c r="DR33" s="20"/>
      <c r="DS33" s="21">
        <f t="shared" si="6"/>
        <v>410960</v>
      </c>
      <c r="DT33" s="49">
        <v>4</v>
      </c>
      <c r="DU33" s="21">
        <f t="shared" si="30"/>
        <v>1643840</v>
      </c>
      <c r="DV33" s="110"/>
      <c r="DY33" s="107"/>
      <c r="DZ33" s="23" t="s">
        <v>45</v>
      </c>
      <c r="EA33" s="20"/>
      <c r="EB33" s="20"/>
      <c r="EC33" s="20"/>
      <c r="ED33" s="20"/>
      <c r="EE33" s="20"/>
      <c r="EF33" s="20"/>
      <c r="EG33" s="20"/>
      <c r="EH33" s="20">
        <v>41096</v>
      </c>
      <c r="EI33" s="20">
        <v>41096</v>
      </c>
      <c r="EJ33" s="20">
        <v>41096</v>
      </c>
      <c r="EK33" s="20">
        <v>41096</v>
      </c>
      <c r="EL33" s="20">
        <v>41096</v>
      </c>
      <c r="EM33" s="20">
        <v>41096</v>
      </c>
      <c r="EN33" s="20">
        <v>41096</v>
      </c>
      <c r="EO33" s="20">
        <v>41096</v>
      </c>
      <c r="EP33" s="20">
        <v>41096</v>
      </c>
      <c r="EQ33" s="20">
        <v>41096</v>
      </c>
      <c r="ER33" s="20"/>
      <c r="ES33" s="20"/>
      <c r="ET33" s="20"/>
      <c r="EU33" s="20"/>
      <c r="EV33" s="20"/>
      <c r="EW33" s="20"/>
      <c r="EX33" s="20"/>
      <c r="EY33" s="21">
        <f t="shared" si="7"/>
        <v>410960</v>
      </c>
      <c r="EZ33" s="49">
        <v>3</v>
      </c>
      <c r="FA33" s="21">
        <f t="shared" si="31"/>
        <v>1232880</v>
      </c>
      <c r="FB33" s="110"/>
      <c r="FD33" s="107"/>
      <c r="FE33" s="23" t="s">
        <v>45</v>
      </c>
      <c r="FF33" s="20"/>
      <c r="FG33" s="20"/>
      <c r="FH33" s="20"/>
      <c r="FI33" s="20"/>
      <c r="FJ33" s="20"/>
      <c r="FK33" s="20"/>
      <c r="FL33" s="20"/>
      <c r="FM33" s="20">
        <v>41096</v>
      </c>
      <c r="FN33" s="20">
        <v>41096</v>
      </c>
      <c r="FO33" s="20">
        <v>41096</v>
      </c>
      <c r="FP33" s="20">
        <v>41096</v>
      </c>
      <c r="FQ33" s="20">
        <v>41096</v>
      </c>
      <c r="FR33" s="20">
        <v>41096</v>
      </c>
      <c r="FS33" s="20">
        <v>41096</v>
      </c>
      <c r="FT33" s="20">
        <v>41096</v>
      </c>
      <c r="FU33" s="20">
        <v>41096</v>
      </c>
      <c r="FV33" s="20">
        <v>41096</v>
      </c>
      <c r="FW33" s="20"/>
      <c r="FX33" s="20"/>
      <c r="FY33" s="20"/>
      <c r="FZ33" s="20"/>
      <c r="GA33" s="20"/>
      <c r="GB33" s="20"/>
      <c r="GC33" s="20"/>
      <c r="GD33" s="21">
        <f t="shared" si="9"/>
        <v>410960</v>
      </c>
      <c r="GE33" s="49">
        <v>4</v>
      </c>
      <c r="GF33" s="21">
        <f t="shared" si="32"/>
        <v>1643840</v>
      </c>
      <c r="GG33" s="110"/>
      <c r="GI33" s="107"/>
      <c r="GJ33" s="23" t="s">
        <v>45</v>
      </c>
      <c r="GK33" s="20"/>
      <c r="GL33" s="20"/>
      <c r="GM33" s="20"/>
      <c r="GN33" s="20"/>
      <c r="GO33" s="20"/>
      <c r="GP33" s="20"/>
      <c r="GQ33" s="20"/>
      <c r="GR33" s="20">
        <v>41096</v>
      </c>
      <c r="GS33" s="20">
        <v>41096</v>
      </c>
      <c r="GT33" s="20">
        <v>41096</v>
      </c>
      <c r="GU33" s="20">
        <v>41096</v>
      </c>
      <c r="GV33" s="20">
        <v>41096</v>
      </c>
      <c r="GW33" s="20">
        <v>41096</v>
      </c>
      <c r="GX33" s="20">
        <v>41096</v>
      </c>
      <c r="GY33" s="20">
        <v>41096</v>
      </c>
      <c r="GZ33" s="20">
        <v>41096</v>
      </c>
      <c r="HA33" s="20">
        <v>41096</v>
      </c>
      <c r="HB33" s="20"/>
      <c r="HC33" s="20"/>
      <c r="HD33" s="20"/>
      <c r="HE33" s="20"/>
      <c r="HF33" s="20"/>
      <c r="HG33" s="20"/>
      <c r="HH33" s="20"/>
      <c r="HI33" s="21">
        <f t="shared" si="11"/>
        <v>410960</v>
      </c>
      <c r="HJ33" s="49">
        <v>5</v>
      </c>
      <c r="HK33" s="21">
        <f t="shared" si="33"/>
        <v>2054800</v>
      </c>
      <c r="HL33" s="110"/>
      <c r="HN33" s="107"/>
      <c r="HO33" s="23" t="s">
        <v>45</v>
      </c>
      <c r="HP33" s="20"/>
      <c r="HQ33" s="20"/>
      <c r="HR33" s="20"/>
      <c r="HS33" s="20"/>
      <c r="HT33" s="20"/>
      <c r="HU33" s="20"/>
      <c r="HV33" s="20"/>
      <c r="HW33" s="20">
        <v>41096</v>
      </c>
      <c r="HX33" s="20">
        <v>41096</v>
      </c>
      <c r="HY33" s="20">
        <v>41096</v>
      </c>
      <c r="HZ33" s="20">
        <v>41096</v>
      </c>
      <c r="IA33" s="20">
        <v>41096</v>
      </c>
      <c r="IB33" s="20">
        <v>41096</v>
      </c>
      <c r="IC33" s="20">
        <v>41096</v>
      </c>
      <c r="ID33" s="20">
        <v>41096</v>
      </c>
      <c r="IE33" s="20">
        <v>41096</v>
      </c>
      <c r="IF33" s="20">
        <v>41096</v>
      </c>
      <c r="IG33" s="20"/>
      <c r="IH33" s="20"/>
      <c r="II33" s="20"/>
      <c r="IJ33" s="20"/>
      <c r="IK33" s="20"/>
      <c r="IL33" s="20"/>
      <c r="IM33" s="20"/>
      <c r="IN33" s="21">
        <f t="shared" si="13"/>
        <v>410960</v>
      </c>
      <c r="IO33" s="49">
        <v>5</v>
      </c>
      <c r="IP33" s="21">
        <f t="shared" si="34"/>
        <v>2054800</v>
      </c>
      <c r="IQ33" s="110"/>
      <c r="IS33" s="107"/>
      <c r="IT33" s="23" t="s">
        <v>45</v>
      </c>
      <c r="IU33" s="20"/>
      <c r="IV33" s="20"/>
      <c r="IW33" s="20"/>
      <c r="IX33" s="20"/>
      <c r="IY33" s="20"/>
      <c r="IZ33" s="20"/>
      <c r="JA33" s="20"/>
      <c r="JB33" s="20">
        <v>41096</v>
      </c>
      <c r="JC33" s="20">
        <v>41096</v>
      </c>
      <c r="JD33" s="20">
        <v>41096</v>
      </c>
      <c r="JE33" s="20">
        <v>41096</v>
      </c>
      <c r="JF33" s="20">
        <v>41096</v>
      </c>
      <c r="JG33" s="20">
        <v>41096</v>
      </c>
      <c r="JH33" s="20">
        <v>41096</v>
      </c>
      <c r="JI33" s="20">
        <v>41096</v>
      </c>
      <c r="JJ33" s="20">
        <v>41096</v>
      </c>
      <c r="JK33" s="20">
        <v>41096</v>
      </c>
      <c r="JL33" s="20"/>
      <c r="JM33" s="20"/>
      <c r="JN33" s="20"/>
      <c r="JO33" s="20"/>
      <c r="JP33" s="20"/>
      <c r="JQ33" s="20"/>
      <c r="JR33" s="20"/>
      <c r="JS33" s="21">
        <f t="shared" si="15"/>
        <v>410960</v>
      </c>
      <c r="JT33" s="49">
        <v>5</v>
      </c>
      <c r="JU33" s="21">
        <f t="shared" si="35"/>
        <v>2054800</v>
      </c>
      <c r="JV33" s="110"/>
      <c r="JX33" s="107"/>
      <c r="JY33" s="23" t="s">
        <v>45</v>
      </c>
      <c r="JZ33" s="20"/>
      <c r="KA33" s="20"/>
      <c r="KB33" s="20"/>
      <c r="KC33" s="20"/>
      <c r="KD33" s="20"/>
      <c r="KE33" s="20"/>
      <c r="KF33" s="20"/>
      <c r="KG33" s="20">
        <v>41096</v>
      </c>
      <c r="KH33" s="20">
        <v>41096</v>
      </c>
      <c r="KI33" s="20">
        <v>41096</v>
      </c>
      <c r="KJ33" s="20">
        <v>41096</v>
      </c>
      <c r="KK33" s="20">
        <v>41096</v>
      </c>
      <c r="KL33" s="20">
        <v>41096</v>
      </c>
      <c r="KM33" s="20">
        <v>41096</v>
      </c>
      <c r="KN33" s="20">
        <v>41096</v>
      </c>
      <c r="KO33" s="20">
        <v>41096</v>
      </c>
      <c r="KP33" s="20">
        <v>41096</v>
      </c>
      <c r="KQ33" s="20"/>
      <c r="KR33" s="20"/>
      <c r="KS33" s="20"/>
      <c r="KT33" s="20"/>
      <c r="KU33" s="20"/>
      <c r="KV33" s="20"/>
      <c r="KW33" s="20"/>
      <c r="KX33" s="21">
        <f t="shared" si="17"/>
        <v>410960</v>
      </c>
      <c r="KY33" s="49">
        <v>3</v>
      </c>
      <c r="KZ33" s="21">
        <f t="shared" si="36"/>
        <v>1232880</v>
      </c>
      <c r="LA33" s="110"/>
      <c r="LC33" s="107"/>
      <c r="LD33" s="23" t="s">
        <v>45</v>
      </c>
      <c r="LE33" s="20"/>
      <c r="LF33" s="20"/>
      <c r="LG33" s="20"/>
      <c r="LH33" s="20"/>
      <c r="LI33" s="20"/>
      <c r="LJ33" s="20"/>
      <c r="LK33" s="20"/>
      <c r="LL33" s="20">
        <v>41096</v>
      </c>
      <c r="LM33" s="20">
        <v>41096</v>
      </c>
      <c r="LN33" s="20">
        <v>41096</v>
      </c>
      <c r="LO33" s="20">
        <v>41096</v>
      </c>
      <c r="LP33" s="20">
        <v>41096</v>
      </c>
      <c r="LQ33" s="20">
        <v>41096</v>
      </c>
      <c r="LR33" s="20">
        <v>41096</v>
      </c>
      <c r="LS33" s="20">
        <v>41096</v>
      </c>
      <c r="LT33" s="20">
        <v>41096</v>
      </c>
      <c r="LU33" s="20">
        <v>41096</v>
      </c>
      <c r="LV33" s="20"/>
      <c r="LW33" s="20"/>
      <c r="LX33" s="20"/>
      <c r="LY33" s="20"/>
      <c r="LZ33" s="20"/>
      <c r="MA33" s="20"/>
      <c r="MB33" s="20"/>
      <c r="MC33" s="21">
        <f t="shared" si="19"/>
        <v>410960</v>
      </c>
      <c r="MD33" s="49">
        <v>4</v>
      </c>
      <c r="ME33" s="21">
        <f t="shared" si="37"/>
        <v>1643840</v>
      </c>
      <c r="MF33" s="110"/>
      <c r="MH33" s="107"/>
      <c r="MI33" s="23" t="s">
        <v>45</v>
      </c>
      <c r="MJ33" s="20"/>
      <c r="MK33" s="20"/>
      <c r="ML33" s="20"/>
      <c r="MM33" s="20"/>
      <c r="MN33" s="20"/>
      <c r="MO33" s="20"/>
      <c r="MP33" s="20"/>
      <c r="MQ33" s="20">
        <v>41096</v>
      </c>
      <c r="MR33" s="20">
        <v>41096</v>
      </c>
      <c r="MS33" s="20">
        <v>41096</v>
      </c>
      <c r="MT33" s="20">
        <v>41096</v>
      </c>
      <c r="MU33" s="20">
        <v>41096</v>
      </c>
      <c r="MV33" s="20">
        <v>41096</v>
      </c>
      <c r="MW33" s="20">
        <v>41096</v>
      </c>
      <c r="MX33" s="20">
        <v>41096</v>
      </c>
      <c r="MY33" s="20">
        <v>41096</v>
      </c>
      <c r="MZ33" s="20">
        <v>41096</v>
      </c>
      <c r="NA33" s="20"/>
      <c r="NB33" s="20"/>
      <c r="NC33" s="20"/>
      <c r="ND33" s="20"/>
      <c r="NE33" s="20"/>
      <c r="NF33" s="20"/>
      <c r="NG33" s="20"/>
      <c r="NH33" s="21">
        <f t="shared" si="21"/>
        <v>410960</v>
      </c>
      <c r="NI33" s="49">
        <v>4</v>
      </c>
      <c r="NJ33" s="21">
        <f t="shared" si="38"/>
        <v>1643840</v>
      </c>
      <c r="NK33" s="110"/>
      <c r="NM33" s="107"/>
      <c r="NN33" s="23" t="s">
        <v>45</v>
      </c>
      <c r="NO33" s="20"/>
      <c r="NP33" s="20"/>
      <c r="NQ33" s="20"/>
      <c r="NR33" s="20"/>
      <c r="NS33" s="20"/>
      <c r="NT33" s="20"/>
      <c r="NU33" s="20"/>
      <c r="NV33" s="20">
        <v>41096</v>
      </c>
      <c r="NW33" s="20">
        <v>41096</v>
      </c>
      <c r="NX33" s="20">
        <v>41096</v>
      </c>
      <c r="NY33" s="20">
        <v>41096</v>
      </c>
      <c r="NZ33" s="20">
        <v>41096</v>
      </c>
      <c r="OA33" s="20">
        <v>41096</v>
      </c>
      <c r="OB33" s="20">
        <v>41096</v>
      </c>
      <c r="OC33" s="20">
        <v>41096</v>
      </c>
      <c r="OD33" s="20">
        <v>41096</v>
      </c>
      <c r="OE33" s="20">
        <v>41096</v>
      </c>
      <c r="OF33" s="20"/>
      <c r="OG33" s="20"/>
      <c r="OH33" s="20"/>
      <c r="OI33" s="20"/>
      <c r="OJ33" s="20"/>
      <c r="OK33" s="20"/>
      <c r="OL33" s="20"/>
      <c r="OM33" s="21">
        <f t="shared" si="23"/>
        <v>410960</v>
      </c>
      <c r="ON33" s="49">
        <v>5</v>
      </c>
      <c r="OO33" s="21">
        <f t="shared" si="39"/>
        <v>2054800</v>
      </c>
      <c r="OP33" s="110"/>
      <c r="OR33" s="107"/>
      <c r="OS33" s="23" t="s">
        <v>45</v>
      </c>
      <c r="OT33" s="20"/>
      <c r="OU33" s="20"/>
      <c r="OV33" s="20"/>
      <c r="OW33" s="20"/>
      <c r="OX33" s="20"/>
      <c r="OY33" s="20"/>
      <c r="OZ33" s="20"/>
      <c r="PA33" s="20">
        <v>41096</v>
      </c>
      <c r="PB33" s="20">
        <v>41096</v>
      </c>
      <c r="PC33" s="20">
        <v>41096</v>
      </c>
      <c r="PD33" s="20">
        <v>41096</v>
      </c>
      <c r="PE33" s="20">
        <v>41096</v>
      </c>
      <c r="PF33" s="20">
        <v>41096</v>
      </c>
      <c r="PG33" s="20">
        <v>41096</v>
      </c>
      <c r="PH33" s="20">
        <v>41096</v>
      </c>
      <c r="PI33" s="20">
        <v>41096</v>
      </c>
      <c r="PJ33" s="20">
        <v>41096</v>
      </c>
      <c r="PK33" s="20"/>
      <c r="PL33" s="20"/>
      <c r="PM33" s="20"/>
      <c r="PN33" s="20"/>
      <c r="PO33" s="20"/>
      <c r="PP33" s="20"/>
      <c r="PQ33" s="20"/>
      <c r="PR33" s="21">
        <f t="shared" si="25"/>
        <v>410960</v>
      </c>
      <c r="PS33" s="62">
        <v>5</v>
      </c>
      <c r="PT33" s="21">
        <f t="shared" si="40"/>
        <v>2054800</v>
      </c>
      <c r="PU33" s="110"/>
    </row>
    <row r="34" spans="3:437" ht="15" thickBot="1" x14ac:dyDescent="0.4">
      <c r="C34" s="108"/>
      <c r="D34" s="24" t="s">
        <v>46</v>
      </c>
      <c r="E34" s="20"/>
      <c r="F34" s="92"/>
      <c r="G34" s="20"/>
      <c r="H34" s="20"/>
      <c r="I34" s="20"/>
      <c r="J34" s="20"/>
      <c r="K34" s="20"/>
      <c r="L34" s="20">
        <v>41096</v>
      </c>
      <c r="M34" s="20">
        <v>41096</v>
      </c>
      <c r="N34" s="20">
        <v>41096</v>
      </c>
      <c r="O34" s="20">
        <v>41096</v>
      </c>
      <c r="P34" s="20">
        <v>41096</v>
      </c>
      <c r="Q34" s="20">
        <v>41096</v>
      </c>
      <c r="R34" s="20">
        <v>41096</v>
      </c>
      <c r="S34" s="20">
        <v>41096</v>
      </c>
      <c r="T34" s="20">
        <v>41096</v>
      </c>
      <c r="U34" s="20">
        <v>41096</v>
      </c>
      <c r="V34" s="20"/>
      <c r="W34" s="20"/>
      <c r="X34" s="20"/>
      <c r="Y34" s="20"/>
      <c r="Z34" s="20"/>
      <c r="AA34" s="20"/>
      <c r="AB34" s="20"/>
      <c r="AC34" s="21">
        <f t="shared" si="0"/>
        <v>410960</v>
      </c>
      <c r="AD34" s="22">
        <v>2</v>
      </c>
      <c r="AE34" s="21">
        <f t="shared" si="27"/>
        <v>821920</v>
      </c>
      <c r="AF34" s="111"/>
      <c r="AH34" s="108"/>
      <c r="AI34" s="24" t="s">
        <v>46</v>
      </c>
      <c r="AJ34" s="20"/>
      <c r="AK34" s="20"/>
      <c r="AL34" s="20"/>
      <c r="AM34" s="20"/>
      <c r="AN34" s="20"/>
      <c r="AO34" s="20"/>
      <c r="AP34" s="20"/>
      <c r="AQ34" s="20">
        <v>41096</v>
      </c>
      <c r="AR34" s="20">
        <v>41096</v>
      </c>
      <c r="AS34" s="20">
        <v>41096</v>
      </c>
      <c r="AT34" s="20">
        <v>41096</v>
      </c>
      <c r="AU34" s="20">
        <v>41096</v>
      </c>
      <c r="AV34" s="20">
        <v>41096</v>
      </c>
      <c r="AW34" s="20">
        <v>41096</v>
      </c>
      <c r="AX34" s="20">
        <v>41096</v>
      </c>
      <c r="AY34" s="20">
        <v>41096</v>
      </c>
      <c r="AZ34" s="20">
        <v>41096</v>
      </c>
      <c r="BA34" s="20"/>
      <c r="BB34" s="20"/>
      <c r="BC34" s="20"/>
      <c r="BD34" s="20"/>
      <c r="BE34" s="20"/>
      <c r="BF34" s="20"/>
      <c r="BG34" s="20"/>
      <c r="BH34" s="21">
        <f t="shared" si="2"/>
        <v>410960</v>
      </c>
      <c r="BI34" s="50">
        <v>2</v>
      </c>
      <c r="BJ34" s="21">
        <f t="shared" si="28"/>
        <v>821920</v>
      </c>
      <c r="BK34" s="111"/>
      <c r="BM34" s="108"/>
      <c r="BN34" s="24" t="s">
        <v>46</v>
      </c>
      <c r="BO34" s="20"/>
      <c r="BP34" s="20"/>
      <c r="BQ34" s="20"/>
      <c r="BR34" s="20"/>
      <c r="BS34" s="20"/>
      <c r="BT34" s="20"/>
      <c r="BU34" s="20"/>
      <c r="BV34" s="20">
        <v>41096</v>
      </c>
      <c r="BW34" s="20">
        <v>41096</v>
      </c>
      <c r="BX34" s="20">
        <v>41096</v>
      </c>
      <c r="BY34" s="20">
        <v>41096</v>
      </c>
      <c r="BZ34" s="20">
        <v>41096</v>
      </c>
      <c r="CA34" s="20">
        <v>41096</v>
      </c>
      <c r="CB34" s="20">
        <v>41096</v>
      </c>
      <c r="CC34" s="20">
        <v>41096</v>
      </c>
      <c r="CD34" s="20">
        <v>41096</v>
      </c>
      <c r="CE34" s="20">
        <v>41096</v>
      </c>
      <c r="CF34" s="20"/>
      <c r="CG34" s="20"/>
      <c r="CH34" s="20"/>
      <c r="CI34" s="20"/>
      <c r="CJ34" s="20"/>
      <c r="CK34" s="20"/>
      <c r="CL34" s="20"/>
      <c r="CM34" s="21">
        <f t="shared" si="4"/>
        <v>410960</v>
      </c>
      <c r="CN34" s="50">
        <v>2</v>
      </c>
      <c r="CO34" s="21">
        <f t="shared" si="29"/>
        <v>821920</v>
      </c>
      <c r="CP34" s="111"/>
      <c r="CS34" s="108"/>
      <c r="CT34" s="24" t="s">
        <v>46</v>
      </c>
      <c r="CU34" s="20"/>
      <c r="CV34" s="20"/>
      <c r="CW34" s="20"/>
      <c r="CX34" s="20"/>
      <c r="CY34" s="20"/>
      <c r="CZ34" s="20"/>
      <c r="DA34" s="20"/>
      <c r="DB34" s="20">
        <v>41096</v>
      </c>
      <c r="DC34" s="20">
        <v>41096</v>
      </c>
      <c r="DD34" s="20">
        <v>41096</v>
      </c>
      <c r="DE34" s="20">
        <v>41096</v>
      </c>
      <c r="DF34" s="20">
        <v>41096</v>
      </c>
      <c r="DG34" s="20">
        <v>41096</v>
      </c>
      <c r="DH34" s="20">
        <v>41096</v>
      </c>
      <c r="DI34" s="20">
        <v>41096</v>
      </c>
      <c r="DJ34" s="20">
        <v>41096</v>
      </c>
      <c r="DK34" s="20">
        <v>41096</v>
      </c>
      <c r="DL34" s="20"/>
      <c r="DM34" s="20"/>
      <c r="DN34" s="20"/>
      <c r="DO34" s="20"/>
      <c r="DP34" s="20"/>
      <c r="DQ34" s="20"/>
      <c r="DR34" s="20"/>
      <c r="DS34" s="21">
        <f t="shared" si="6"/>
        <v>410960</v>
      </c>
      <c r="DT34" s="50">
        <v>2</v>
      </c>
      <c r="DU34" s="21">
        <f t="shared" si="30"/>
        <v>821920</v>
      </c>
      <c r="DV34" s="111"/>
      <c r="DY34" s="108"/>
      <c r="DZ34" s="24" t="s">
        <v>46</v>
      </c>
      <c r="EA34" s="20"/>
      <c r="EB34" s="20"/>
      <c r="EC34" s="20"/>
      <c r="ED34" s="20"/>
      <c r="EE34" s="20"/>
      <c r="EF34" s="20"/>
      <c r="EG34" s="20"/>
      <c r="EH34" s="20">
        <v>41096</v>
      </c>
      <c r="EI34" s="20">
        <v>41096</v>
      </c>
      <c r="EJ34" s="20">
        <v>41096</v>
      </c>
      <c r="EK34" s="20">
        <v>41096</v>
      </c>
      <c r="EL34" s="20">
        <v>41096</v>
      </c>
      <c r="EM34" s="20">
        <v>41096</v>
      </c>
      <c r="EN34" s="20">
        <v>41096</v>
      </c>
      <c r="EO34" s="20">
        <v>41096</v>
      </c>
      <c r="EP34" s="20">
        <v>41096</v>
      </c>
      <c r="EQ34" s="20">
        <v>41096</v>
      </c>
      <c r="ER34" s="20"/>
      <c r="ES34" s="20"/>
      <c r="ET34" s="20"/>
      <c r="EU34" s="20"/>
      <c r="EV34" s="20"/>
      <c r="EW34" s="20"/>
      <c r="EX34" s="20"/>
      <c r="EY34" s="21">
        <f t="shared" si="7"/>
        <v>410960</v>
      </c>
      <c r="EZ34" s="50">
        <v>1</v>
      </c>
      <c r="FA34" s="21">
        <f t="shared" si="31"/>
        <v>410960</v>
      </c>
      <c r="FB34" s="111"/>
      <c r="FD34" s="108"/>
      <c r="FE34" s="24" t="s">
        <v>46</v>
      </c>
      <c r="FF34" s="20"/>
      <c r="FG34" s="20"/>
      <c r="FH34" s="20"/>
      <c r="FI34" s="20"/>
      <c r="FJ34" s="20"/>
      <c r="FK34" s="20"/>
      <c r="FL34" s="20"/>
      <c r="FM34" s="20">
        <v>41096</v>
      </c>
      <c r="FN34" s="20">
        <v>41096</v>
      </c>
      <c r="FO34" s="20">
        <v>41096</v>
      </c>
      <c r="FP34" s="20">
        <v>41096</v>
      </c>
      <c r="FQ34" s="20">
        <v>41096</v>
      </c>
      <c r="FR34" s="20">
        <v>41096</v>
      </c>
      <c r="FS34" s="20">
        <v>41096</v>
      </c>
      <c r="FT34" s="20">
        <v>41096</v>
      </c>
      <c r="FU34" s="20">
        <v>41096</v>
      </c>
      <c r="FV34" s="20">
        <v>41096</v>
      </c>
      <c r="FW34" s="20"/>
      <c r="FX34" s="20"/>
      <c r="FY34" s="20"/>
      <c r="FZ34" s="20"/>
      <c r="GA34" s="20"/>
      <c r="GB34" s="20"/>
      <c r="GC34" s="20"/>
      <c r="GD34" s="21">
        <f t="shared" si="9"/>
        <v>410960</v>
      </c>
      <c r="GE34" s="50">
        <v>2</v>
      </c>
      <c r="GF34" s="21">
        <f t="shared" si="32"/>
        <v>821920</v>
      </c>
      <c r="GG34" s="111"/>
      <c r="GI34" s="108"/>
      <c r="GJ34" s="24" t="s">
        <v>46</v>
      </c>
      <c r="GK34" s="20"/>
      <c r="GL34" s="20"/>
      <c r="GM34" s="20"/>
      <c r="GN34" s="20"/>
      <c r="GO34" s="20"/>
      <c r="GP34" s="20"/>
      <c r="GQ34" s="20"/>
      <c r="GR34" s="20">
        <v>41096</v>
      </c>
      <c r="GS34" s="20">
        <v>41096</v>
      </c>
      <c r="GT34" s="20">
        <v>41096</v>
      </c>
      <c r="GU34" s="20">
        <v>41096</v>
      </c>
      <c r="GV34" s="20">
        <v>41096</v>
      </c>
      <c r="GW34" s="20">
        <v>41096</v>
      </c>
      <c r="GX34" s="20">
        <v>41096</v>
      </c>
      <c r="GY34" s="20">
        <v>41096</v>
      </c>
      <c r="GZ34" s="20">
        <v>41096</v>
      </c>
      <c r="HA34" s="20">
        <v>41096</v>
      </c>
      <c r="HB34" s="20"/>
      <c r="HC34" s="20"/>
      <c r="HD34" s="20"/>
      <c r="HE34" s="20"/>
      <c r="HF34" s="20"/>
      <c r="HG34" s="20"/>
      <c r="HH34" s="20"/>
      <c r="HI34" s="21">
        <f t="shared" si="11"/>
        <v>410960</v>
      </c>
      <c r="HJ34" s="50">
        <v>2</v>
      </c>
      <c r="HK34" s="21">
        <f t="shared" si="33"/>
        <v>821920</v>
      </c>
      <c r="HL34" s="111"/>
      <c r="HN34" s="108"/>
      <c r="HO34" s="24" t="s">
        <v>46</v>
      </c>
      <c r="HP34" s="20"/>
      <c r="HQ34" s="20"/>
      <c r="HR34" s="20"/>
      <c r="HS34" s="20"/>
      <c r="HT34" s="20"/>
      <c r="HU34" s="20"/>
      <c r="HV34" s="20"/>
      <c r="HW34" s="20">
        <v>41096</v>
      </c>
      <c r="HX34" s="20">
        <v>41096</v>
      </c>
      <c r="HY34" s="20">
        <v>41096</v>
      </c>
      <c r="HZ34" s="20">
        <v>41096</v>
      </c>
      <c r="IA34" s="20">
        <v>41096</v>
      </c>
      <c r="IB34" s="20">
        <v>41096</v>
      </c>
      <c r="IC34" s="20">
        <v>41096</v>
      </c>
      <c r="ID34" s="20">
        <v>41096</v>
      </c>
      <c r="IE34" s="20">
        <v>41096</v>
      </c>
      <c r="IF34" s="20">
        <v>41096</v>
      </c>
      <c r="IG34" s="20"/>
      <c r="IH34" s="20"/>
      <c r="II34" s="20"/>
      <c r="IJ34" s="20"/>
      <c r="IK34" s="20"/>
      <c r="IL34" s="20"/>
      <c r="IM34" s="20"/>
      <c r="IN34" s="21">
        <f t="shared" si="13"/>
        <v>410960</v>
      </c>
      <c r="IO34" s="50">
        <v>2</v>
      </c>
      <c r="IP34" s="21">
        <f t="shared" si="34"/>
        <v>821920</v>
      </c>
      <c r="IQ34" s="111"/>
      <c r="IS34" s="108"/>
      <c r="IT34" s="24" t="s">
        <v>46</v>
      </c>
      <c r="IU34" s="20"/>
      <c r="IV34" s="20"/>
      <c r="IW34" s="20"/>
      <c r="IX34" s="20"/>
      <c r="IY34" s="20"/>
      <c r="IZ34" s="20"/>
      <c r="JA34" s="20"/>
      <c r="JB34" s="20">
        <v>41096</v>
      </c>
      <c r="JC34" s="20">
        <v>41096</v>
      </c>
      <c r="JD34" s="20">
        <v>41096</v>
      </c>
      <c r="JE34" s="20">
        <v>41096</v>
      </c>
      <c r="JF34" s="20">
        <v>41096</v>
      </c>
      <c r="JG34" s="20">
        <v>41096</v>
      </c>
      <c r="JH34" s="20">
        <v>41096</v>
      </c>
      <c r="JI34" s="20">
        <v>41096</v>
      </c>
      <c r="JJ34" s="20">
        <v>41096</v>
      </c>
      <c r="JK34" s="20">
        <v>41096</v>
      </c>
      <c r="JL34" s="20"/>
      <c r="JM34" s="20"/>
      <c r="JN34" s="20"/>
      <c r="JO34" s="20"/>
      <c r="JP34" s="20"/>
      <c r="JQ34" s="20"/>
      <c r="JR34" s="20"/>
      <c r="JS34" s="21">
        <f t="shared" si="15"/>
        <v>410960</v>
      </c>
      <c r="JT34" s="50">
        <v>2</v>
      </c>
      <c r="JU34" s="21">
        <f t="shared" si="35"/>
        <v>821920</v>
      </c>
      <c r="JV34" s="111"/>
      <c r="JX34" s="108"/>
      <c r="JY34" s="24" t="s">
        <v>46</v>
      </c>
      <c r="JZ34" s="20"/>
      <c r="KA34" s="20"/>
      <c r="KB34" s="20"/>
      <c r="KC34" s="20"/>
      <c r="KD34" s="20"/>
      <c r="KE34" s="20"/>
      <c r="KF34" s="20"/>
      <c r="KG34" s="20">
        <v>41096</v>
      </c>
      <c r="KH34" s="20">
        <v>41096</v>
      </c>
      <c r="KI34" s="20">
        <v>41096</v>
      </c>
      <c r="KJ34" s="20">
        <v>41096</v>
      </c>
      <c r="KK34" s="20">
        <v>41096</v>
      </c>
      <c r="KL34" s="20">
        <v>41096</v>
      </c>
      <c r="KM34" s="20">
        <v>41096</v>
      </c>
      <c r="KN34" s="20">
        <v>41096</v>
      </c>
      <c r="KO34" s="20">
        <v>41096</v>
      </c>
      <c r="KP34" s="20">
        <v>41096</v>
      </c>
      <c r="KQ34" s="20"/>
      <c r="KR34" s="20"/>
      <c r="KS34" s="20"/>
      <c r="KT34" s="20"/>
      <c r="KU34" s="20"/>
      <c r="KV34" s="20"/>
      <c r="KW34" s="20"/>
      <c r="KX34" s="21">
        <f t="shared" si="17"/>
        <v>410960</v>
      </c>
      <c r="KY34" s="50">
        <v>1</v>
      </c>
      <c r="KZ34" s="21">
        <f t="shared" si="36"/>
        <v>410960</v>
      </c>
      <c r="LA34" s="111"/>
      <c r="LC34" s="108"/>
      <c r="LD34" s="24" t="s">
        <v>46</v>
      </c>
      <c r="LE34" s="20"/>
      <c r="LF34" s="20"/>
      <c r="LG34" s="20"/>
      <c r="LH34" s="20"/>
      <c r="LI34" s="20"/>
      <c r="LJ34" s="20"/>
      <c r="LK34" s="20"/>
      <c r="LL34" s="20">
        <v>41096</v>
      </c>
      <c r="LM34" s="20">
        <v>41096</v>
      </c>
      <c r="LN34" s="20">
        <v>41096</v>
      </c>
      <c r="LO34" s="20">
        <v>41096</v>
      </c>
      <c r="LP34" s="20">
        <v>41096</v>
      </c>
      <c r="LQ34" s="20">
        <v>41096</v>
      </c>
      <c r="LR34" s="20">
        <v>41096</v>
      </c>
      <c r="LS34" s="20">
        <v>41096</v>
      </c>
      <c r="LT34" s="20">
        <v>41096</v>
      </c>
      <c r="LU34" s="20">
        <v>41096</v>
      </c>
      <c r="LV34" s="20"/>
      <c r="LW34" s="20"/>
      <c r="LX34" s="20"/>
      <c r="LY34" s="20"/>
      <c r="LZ34" s="20"/>
      <c r="MA34" s="20"/>
      <c r="MB34" s="20"/>
      <c r="MC34" s="21">
        <f t="shared" si="19"/>
        <v>410960</v>
      </c>
      <c r="MD34" s="50">
        <v>2</v>
      </c>
      <c r="ME34" s="21">
        <f t="shared" si="37"/>
        <v>821920</v>
      </c>
      <c r="MF34" s="111"/>
      <c r="MH34" s="108"/>
      <c r="MI34" s="24" t="s">
        <v>46</v>
      </c>
      <c r="MJ34" s="20"/>
      <c r="MK34" s="20"/>
      <c r="ML34" s="20"/>
      <c r="MM34" s="20"/>
      <c r="MN34" s="20"/>
      <c r="MO34" s="20"/>
      <c r="MP34" s="20"/>
      <c r="MQ34" s="20">
        <v>41096</v>
      </c>
      <c r="MR34" s="20">
        <v>41096</v>
      </c>
      <c r="MS34" s="20">
        <v>41096</v>
      </c>
      <c r="MT34" s="20">
        <v>41096</v>
      </c>
      <c r="MU34" s="20">
        <v>41096</v>
      </c>
      <c r="MV34" s="20">
        <v>41096</v>
      </c>
      <c r="MW34" s="20">
        <v>41096</v>
      </c>
      <c r="MX34" s="20">
        <v>41096</v>
      </c>
      <c r="MY34" s="20">
        <v>41096</v>
      </c>
      <c r="MZ34" s="20">
        <v>41096</v>
      </c>
      <c r="NA34" s="20"/>
      <c r="NB34" s="20"/>
      <c r="NC34" s="20"/>
      <c r="ND34" s="20"/>
      <c r="NE34" s="20"/>
      <c r="NF34" s="20"/>
      <c r="NG34" s="20"/>
      <c r="NH34" s="21">
        <f t="shared" si="21"/>
        <v>410960</v>
      </c>
      <c r="NI34" s="50">
        <v>2</v>
      </c>
      <c r="NJ34" s="21">
        <f t="shared" si="38"/>
        <v>821920</v>
      </c>
      <c r="NK34" s="111"/>
      <c r="NM34" s="108"/>
      <c r="NN34" s="24" t="s">
        <v>46</v>
      </c>
      <c r="NO34" s="20"/>
      <c r="NP34" s="20"/>
      <c r="NQ34" s="20"/>
      <c r="NR34" s="20"/>
      <c r="NS34" s="20"/>
      <c r="NT34" s="20"/>
      <c r="NU34" s="20"/>
      <c r="NV34" s="20">
        <v>41096</v>
      </c>
      <c r="NW34" s="20">
        <v>41096</v>
      </c>
      <c r="NX34" s="20">
        <v>41096</v>
      </c>
      <c r="NY34" s="20">
        <v>41096</v>
      </c>
      <c r="NZ34" s="20">
        <v>41096</v>
      </c>
      <c r="OA34" s="20">
        <v>41096</v>
      </c>
      <c r="OB34" s="20">
        <v>41096</v>
      </c>
      <c r="OC34" s="20">
        <v>41096</v>
      </c>
      <c r="OD34" s="20">
        <v>41096</v>
      </c>
      <c r="OE34" s="20">
        <v>41096</v>
      </c>
      <c r="OF34" s="20"/>
      <c r="OG34" s="20"/>
      <c r="OH34" s="20"/>
      <c r="OI34" s="20"/>
      <c r="OJ34" s="20"/>
      <c r="OK34" s="20"/>
      <c r="OL34" s="20"/>
      <c r="OM34" s="21">
        <f t="shared" si="23"/>
        <v>410960</v>
      </c>
      <c r="ON34" s="50">
        <v>2</v>
      </c>
      <c r="OO34" s="21">
        <f t="shared" si="39"/>
        <v>821920</v>
      </c>
      <c r="OP34" s="111"/>
      <c r="OR34" s="108"/>
      <c r="OS34" s="24" t="s">
        <v>46</v>
      </c>
      <c r="OT34" s="20"/>
      <c r="OU34" s="20"/>
      <c r="OV34" s="20"/>
      <c r="OW34" s="20"/>
      <c r="OX34" s="20"/>
      <c r="OY34" s="20"/>
      <c r="OZ34" s="20"/>
      <c r="PA34" s="20">
        <v>41096</v>
      </c>
      <c r="PB34" s="20">
        <v>41096</v>
      </c>
      <c r="PC34" s="20">
        <v>41096</v>
      </c>
      <c r="PD34" s="20">
        <v>41096</v>
      </c>
      <c r="PE34" s="20">
        <v>41096</v>
      </c>
      <c r="PF34" s="20">
        <v>41096</v>
      </c>
      <c r="PG34" s="20">
        <v>41096</v>
      </c>
      <c r="PH34" s="20">
        <v>41096</v>
      </c>
      <c r="PI34" s="20">
        <v>41096</v>
      </c>
      <c r="PJ34" s="20">
        <v>41096</v>
      </c>
      <c r="PK34" s="20"/>
      <c r="PL34" s="20"/>
      <c r="PM34" s="20"/>
      <c r="PN34" s="20"/>
      <c r="PO34" s="20"/>
      <c r="PP34" s="20"/>
      <c r="PQ34" s="20"/>
      <c r="PR34" s="21">
        <f t="shared" si="25"/>
        <v>410960</v>
      </c>
      <c r="PS34" s="64">
        <v>2</v>
      </c>
      <c r="PT34" s="21">
        <f t="shared" si="40"/>
        <v>821920</v>
      </c>
      <c r="PU34" s="111"/>
    </row>
    <row r="35" spans="3:437" x14ac:dyDescent="0.35">
      <c r="C35" s="106">
        <v>46600</v>
      </c>
      <c r="D35" s="19" t="s">
        <v>43</v>
      </c>
      <c r="E35" s="20"/>
      <c r="F35" s="92"/>
      <c r="G35" s="20"/>
      <c r="H35" s="20"/>
      <c r="I35" s="20"/>
      <c r="J35" s="20"/>
      <c r="K35" s="20"/>
      <c r="L35" s="20">
        <v>41096</v>
      </c>
      <c r="M35" s="20">
        <v>41096</v>
      </c>
      <c r="N35" s="20">
        <v>41096</v>
      </c>
      <c r="O35" s="20">
        <v>41096</v>
      </c>
      <c r="P35" s="20">
        <v>41096</v>
      </c>
      <c r="Q35" s="20">
        <v>41096</v>
      </c>
      <c r="R35" s="20">
        <v>41096</v>
      </c>
      <c r="S35" s="20">
        <v>41096</v>
      </c>
      <c r="T35" s="20">
        <v>41096</v>
      </c>
      <c r="U35" s="20">
        <v>41096</v>
      </c>
      <c r="V35" s="20"/>
      <c r="W35" s="20"/>
      <c r="X35" s="20"/>
      <c r="Y35" s="20"/>
      <c r="Z35" s="20"/>
      <c r="AA35" s="20"/>
      <c r="AB35" s="20"/>
      <c r="AC35" s="21">
        <f t="shared" si="0"/>
        <v>410960</v>
      </c>
      <c r="AD35" s="22">
        <v>21</v>
      </c>
      <c r="AE35" s="21">
        <f t="shared" si="27"/>
        <v>8630160</v>
      </c>
      <c r="AF35" s="109">
        <f>+SUM(AE35:AE38)</f>
        <v>12739760</v>
      </c>
      <c r="AH35" s="106">
        <v>46966</v>
      </c>
      <c r="AI35" s="19" t="s">
        <v>43</v>
      </c>
      <c r="AJ35" s="20"/>
      <c r="AK35" s="20"/>
      <c r="AL35" s="20"/>
      <c r="AM35" s="20"/>
      <c r="AN35" s="20"/>
      <c r="AO35" s="20"/>
      <c r="AP35" s="20"/>
      <c r="AQ35" s="20">
        <v>41096</v>
      </c>
      <c r="AR35" s="20">
        <v>41096</v>
      </c>
      <c r="AS35" s="20">
        <v>41096</v>
      </c>
      <c r="AT35" s="20">
        <v>41096</v>
      </c>
      <c r="AU35" s="20">
        <v>41096</v>
      </c>
      <c r="AV35" s="20">
        <v>41096</v>
      </c>
      <c r="AW35" s="20">
        <v>41096</v>
      </c>
      <c r="AX35" s="20">
        <v>41096</v>
      </c>
      <c r="AY35" s="20">
        <v>41096</v>
      </c>
      <c r="AZ35" s="20">
        <v>41096</v>
      </c>
      <c r="BA35" s="20"/>
      <c r="BB35" s="20"/>
      <c r="BC35" s="20"/>
      <c r="BD35" s="20"/>
      <c r="BE35" s="20"/>
      <c r="BF35" s="20"/>
      <c r="BG35" s="20"/>
      <c r="BH35" s="21">
        <f t="shared" si="2"/>
        <v>410960</v>
      </c>
      <c r="BI35" s="48">
        <v>21</v>
      </c>
      <c r="BJ35" s="21">
        <f t="shared" si="28"/>
        <v>8630160</v>
      </c>
      <c r="BK35" s="109">
        <f>+SUM(BJ35:BJ38)</f>
        <v>12739760</v>
      </c>
      <c r="BM35" s="106">
        <v>47331</v>
      </c>
      <c r="BN35" s="19" t="s">
        <v>43</v>
      </c>
      <c r="BO35" s="20"/>
      <c r="BP35" s="20"/>
      <c r="BQ35" s="20"/>
      <c r="BR35" s="20"/>
      <c r="BS35" s="20"/>
      <c r="BT35" s="20"/>
      <c r="BU35" s="20"/>
      <c r="BV35" s="20">
        <v>41096</v>
      </c>
      <c r="BW35" s="20">
        <v>41096</v>
      </c>
      <c r="BX35" s="20">
        <v>41096</v>
      </c>
      <c r="BY35" s="20">
        <v>41096</v>
      </c>
      <c r="BZ35" s="20">
        <v>41096</v>
      </c>
      <c r="CA35" s="20">
        <v>41096</v>
      </c>
      <c r="CB35" s="20">
        <v>41096</v>
      </c>
      <c r="CC35" s="20">
        <v>41096</v>
      </c>
      <c r="CD35" s="20">
        <v>41096</v>
      </c>
      <c r="CE35" s="20">
        <v>41096</v>
      </c>
      <c r="CF35" s="20"/>
      <c r="CG35" s="20"/>
      <c r="CH35" s="20"/>
      <c r="CI35" s="20"/>
      <c r="CJ35" s="20"/>
      <c r="CK35" s="20"/>
      <c r="CL35" s="20"/>
      <c r="CM35" s="21">
        <f t="shared" si="4"/>
        <v>410960</v>
      </c>
      <c r="CN35" s="48">
        <v>21</v>
      </c>
      <c r="CO35" s="21">
        <f t="shared" si="29"/>
        <v>8630160</v>
      </c>
      <c r="CP35" s="109">
        <f>+SUM(CO35:CO38)</f>
        <v>12739760</v>
      </c>
      <c r="CS35" s="106">
        <v>47696</v>
      </c>
      <c r="CT35" s="19" t="s">
        <v>43</v>
      </c>
      <c r="CU35" s="20"/>
      <c r="CV35" s="20"/>
      <c r="CW35" s="20"/>
      <c r="CX35" s="20"/>
      <c r="CY35" s="20"/>
      <c r="CZ35" s="20"/>
      <c r="DA35" s="20"/>
      <c r="DB35" s="20">
        <v>41096</v>
      </c>
      <c r="DC35" s="20">
        <v>41096</v>
      </c>
      <c r="DD35" s="20">
        <v>41096</v>
      </c>
      <c r="DE35" s="20">
        <v>41096</v>
      </c>
      <c r="DF35" s="20">
        <v>41096</v>
      </c>
      <c r="DG35" s="20">
        <v>41096</v>
      </c>
      <c r="DH35" s="20">
        <v>41096</v>
      </c>
      <c r="DI35" s="20">
        <v>41096</v>
      </c>
      <c r="DJ35" s="20">
        <v>41096</v>
      </c>
      <c r="DK35" s="20">
        <v>41096</v>
      </c>
      <c r="DL35" s="20"/>
      <c r="DM35" s="20"/>
      <c r="DN35" s="20"/>
      <c r="DO35" s="20"/>
      <c r="DP35" s="20"/>
      <c r="DQ35" s="20"/>
      <c r="DR35" s="20"/>
      <c r="DS35" s="21">
        <f t="shared" si="6"/>
        <v>410960</v>
      </c>
      <c r="DT35" s="48">
        <v>20</v>
      </c>
      <c r="DU35" s="21">
        <f t="shared" si="30"/>
        <v>8219200</v>
      </c>
      <c r="DV35" s="109">
        <f>+SUM(DU35:DU38)</f>
        <v>12739760</v>
      </c>
      <c r="DY35" s="106">
        <v>48061</v>
      </c>
      <c r="DZ35" s="19" t="s">
        <v>43</v>
      </c>
      <c r="EA35" s="20"/>
      <c r="EB35" s="20"/>
      <c r="EC35" s="20"/>
      <c r="ED35" s="20"/>
      <c r="EE35" s="20"/>
      <c r="EF35" s="20"/>
      <c r="EG35" s="20"/>
      <c r="EH35" s="20">
        <v>41096</v>
      </c>
      <c r="EI35" s="20">
        <v>41096</v>
      </c>
      <c r="EJ35" s="20">
        <v>41096</v>
      </c>
      <c r="EK35" s="20">
        <v>41096</v>
      </c>
      <c r="EL35" s="20">
        <v>41096</v>
      </c>
      <c r="EM35" s="20">
        <v>41096</v>
      </c>
      <c r="EN35" s="20">
        <v>41096</v>
      </c>
      <c r="EO35" s="20">
        <v>41096</v>
      </c>
      <c r="EP35" s="20">
        <v>41096</v>
      </c>
      <c r="EQ35" s="20">
        <v>41096</v>
      </c>
      <c r="ER35" s="20"/>
      <c r="ES35" s="20"/>
      <c r="ET35" s="20"/>
      <c r="EU35" s="20"/>
      <c r="EV35" s="20"/>
      <c r="EW35" s="20"/>
      <c r="EX35" s="20"/>
      <c r="EY35" s="21">
        <f t="shared" si="7"/>
        <v>410960</v>
      </c>
      <c r="EZ35" s="48">
        <v>19</v>
      </c>
      <c r="FA35" s="21">
        <f t="shared" si="31"/>
        <v>7808240</v>
      </c>
      <c r="FB35" s="109">
        <f>+SUM(FA35:FA38)</f>
        <v>12739760</v>
      </c>
      <c r="FD35" s="106">
        <v>48427</v>
      </c>
      <c r="FE35" s="19" t="s">
        <v>43</v>
      </c>
      <c r="FF35" s="20"/>
      <c r="FG35" s="20"/>
      <c r="FH35" s="20"/>
      <c r="FI35" s="20"/>
      <c r="FJ35" s="20"/>
      <c r="FK35" s="20"/>
      <c r="FL35" s="20"/>
      <c r="FM35" s="20">
        <v>41096</v>
      </c>
      <c r="FN35" s="20">
        <v>41096</v>
      </c>
      <c r="FO35" s="20">
        <v>41096</v>
      </c>
      <c r="FP35" s="20">
        <v>41096</v>
      </c>
      <c r="FQ35" s="20">
        <v>41096</v>
      </c>
      <c r="FR35" s="20">
        <v>41096</v>
      </c>
      <c r="FS35" s="20">
        <v>41096</v>
      </c>
      <c r="FT35" s="20">
        <v>41096</v>
      </c>
      <c r="FU35" s="20">
        <v>41096</v>
      </c>
      <c r="FV35" s="20">
        <v>41096</v>
      </c>
      <c r="FW35" s="20"/>
      <c r="FX35" s="20"/>
      <c r="FY35" s="20"/>
      <c r="FZ35" s="20"/>
      <c r="GA35" s="20"/>
      <c r="GB35" s="20"/>
      <c r="GC35" s="20"/>
      <c r="GD35" s="21">
        <f t="shared" si="9"/>
        <v>410960</v>
      </c>
      <c r="GE35" s="48">
        <v>21</v>
      </c>
      <c r="GF35" s="21">
        <f t="shared" si="32"/>
        <v>8630160</v>
      </c>
      <c r="GG35" s="109">
        <f>+SUM(GF35:GF38)</f>
        <v>12739760</v>
      </c>
      <c r="GI35" s="106">
        <v>48792</v>
      </c>
      <c r="GJ35" s="19" t="s">
        <v>43</v>
      </c>
      <c r="GK35" s="20"/>
      <c r="GL35" s="20"/>
      <c r="GM35" s="20"/>
      <c r="GN35" s="20"/>
      <c r="GO35" s="20"/>
      <c r="GP35" s="20"/>
      <c r="GQ35" s="20"/>
      <c r="GR35" s="20">
        <v>41096</v>
      </c>
      <c r="GS35" s="20">
        <v>41096</v>
      </c>
      <c r="GT35" s="20">
        <v>41096</v>
      </c>
      <c r="GU35" s="20">
        <v>41096</v>
      </c>
      <c r="GV35" s="20">
        <v>41096</v>
      </c>
      <c r="GW35" s="20">
        <v>41096</v>
      </c>
      <c r="GX35" s="20">
        <v>41096</v>
      </c>
      <c r="GY35" s="20">
        <v>41096</v>
      </c>
      <c r="GZ35" s="20">
        <v>41096</v>
      </c>
      <c r="HA35" s="20">
        <v>41096</v>
      </c>
      <c r="HB35" s="20"/>
      <c r="HC35" s="20"/>
      <c r="HD35" s="20"/>
      <c r="HE35" s="20"/>
      <c r="HF35" s="20"/>
      <c r="HG35" s="20"/>
      <c r="HH35" s="20"/>
      <c r="HI35" s="21">
        <f t="shared" si="11"/>
        <v>410960</v>
      </c>
      <c r="HJ35" s="48">
        <v>22</v>
      </c>
      <c r="HK35" s="21">
        <f t="shared" si="33"/>
        <v>9041120</v>
      </c>
      <c r="HL35" s="109">
        <f>+SUM(HK35:HK38)</f>
        <v>12739760</v>
      </c>
      <c r="HN35" s="106">
        <v>49157</v>
      </c>
      <c r="HO35" s="19" t="s">
        <v>43</v>
      </c>
      <c r="HP35" s="20"/>
      <c r="HQ35" s="20"/>
      <c r="HR35" s="20"/>
      <c r="HS35" s="20"/>
      <c r="HT35" s="20"/>
      <c r="HU35" s="20"/>
      <c r="HV35" s="20"/>
      <c r="HW35" s="20">
        <v>41096</v>
      </c>
      <c r="HX35" s="20">
        <v>41096</v>
      </c>
      <c r="HY35" s="20">
        <v>41096</v>
      </c>
      <c r="HZ35" s="20">
        <v>41096</v>
      </c>
      <c r="IA35" s="20">
        <v>41096</v>
      </c>
      <c r="IB35" s="20">
        <v>41096</v>
      </c>
      <c r="IC35" s="20">
        <v>41096</v>
      </c>
      <c r="ID35" s="20">
        <v>41096</v>
      </c>
      <c r="IE35" s="20">
        <v>41096</v>
      </c>
      <c r="IF35" s="20">
        <v>41096</v>
      </c>
      <c r="IG35" s="20"/>
      <c r="IH35" s="20"/>
      <c r="II35" s="20"/>
      <c r="IJ35" s="20"/>
      <c r="IK35" s="20"/>
      <c r="IL35" s="20"/>
      <c r="IM35" s="20"/>
      <c r="IN35" s="21">
        <f t="shared" si="13"/>
        <v>410960</v>
      </c>
      <c r="IO35" s="48">
        <v>21</v>
      </c>
      <c r="IP35" s="21">
        <f t="shared" si="34"/>
        <v>8630160</v>
      </c>
      <c r="IQ35" s="109">
        <f>+SUM(IP35:IP38)</f>
        <v>12739760</v>
      </c>
      <c r="IS35" s="106">
        <v>49522</v>
      </c>
      <c r="IT35" s="19" t="s">
        <v>43</v>
      </c>
      <c r="IU35" s="20"/>
      <c r="IV35" s="20"/>
      <c r="IW35" s="20"/>
      <c r="IX35" s="20"/>
      <c r="IY35" s="20"/>
      <c r="IZ35" s="20"/>
      <c r="JA35" s="20"/>
      <c r="JB35" s="20">
        <v>41096</v>
      </c>
      <c r="JC35" s="20">
        <v>41096</v>
      </c>
      <c r="JD35" s="20">
        <v>41096</v>
      </c>
      <c r="JE35" s="20">
        <v>41096</v>
      </c>
      <c r="JF35" s="20">
        <v>41096</v>
      </c>
      <c r="JG35" s="20">
        <v>41096</v>
      </c>
      <c r="JH35" s="20">
        <v>41096</v>
      </c>
      <c r="JI35" s="20">
        <v>41096</v>
      </c>
      <c r="JJ35" s="20">
        <v>41096</v>
      </c>
      <c r="JK35" s="20">
        <v>41096</v>
      </c>
      <c r="JL35" s="20"/>
      <c r="JM35" s="20"/>
      <c r="JN35" s="20"/>
      <c r="JO35" s="20"/>
      <c r="JP35" s="20"/>
      <c r="JQ35" s="20"/>
      <c r="JR35" s="20"/>
      <c r="JS35" s="21">
        <f t="shared" si="15"/>
        <v>410960</v>
      </c>
      <c r="JT35" s="48">
        <v>21</v>
      </c>
      <c r="JU35" s="21">
        <f t="shared" si="35"/>
        <v>8630160</v>
      </c>
      <c r="JV35" s="109">
        <f>+SUM(JU35:JU38)</f>
        <v>12739760</v>
      </c>
      <c r="JX35" s="106">
        <v>49888</v>
      </c>
      <c r="JY35" s="19" t="s">
        <v>43</v>
      </c>
      <c r="JZ35" s="20"/>
      <c r="KA35" s="20"/>
      <c r="KB35" s="20"/>
      <c r="KC35" s="20"/>
      <c r="KD35" s="20"/>
      <c r="KE35" s="20"/>
      <c r="KF35" s="20"/>
      <c r="KG35" s="20">
        <v>41096</v>
      </c>
      <c r="KH35" s="20">
        <v>41096</v>
      </c>
      <c r="KI35" s="20">
        <v>41096</v>
      </c>
      <c r="KJ35" s="20">
        <v>41096</v>
      </c>
      <c r="KK35" s="20">
        <v>41096</v>
      </c>
      <c r="KL35" s="20">
        <v>41096</v>
      </c>
      <c r="KM35" s="20">
        <v>41096</v>
      </c>
      <c r="KN35" s="20">
        <v>41096</v>
      </c>
      <c r="KO35" s="20">
        <v>41096</v>
      </c>
      <c r="KP35" s="20">
        <v>41096</v>
      </c>
      <c r="KQ35" s="20"/>
      <c r="KR35" s="20"/>
      <c r="KS35" s="20"/>
      <c r="KT35" s="20"/>
      <c r="KU35" s="20"/>
      <c r="KV35" s="20"/>
      <c r="KW35" s="20"/>
      <c r="KX35" s="21">
        <f t="shared" si="17"/>
        <v>410960</v>
      </c>
      <c r="KY35" s="48">
        <v>19</v>
      </c>
      <c r="KZ35" s="21">
        <f t="shared" si="36"/>
        <v>7808240</v>
      </c>
      <c r="LA35" s="109">
        <f>+SUM(KZ35:KZ38)</f>
        <v>12739760</v>
      </c>
      <c r="LC35" s="106">
        <v>50253</v>
      </c>
      <c r="LD35" s="19" t="s">
        <v>43</v>
      </c>
      <c r="LE35" s="20"/>
      <c r="LF35" s="20"/>
      <c r="LG35" s="20"/>
      <c r="LH35" s="20"/>
      <c r="LI35" s="20"/>
      <c r="LJ35" s="20"/>
      <c r="LK35" s="20"/>
      <c r="LL35" s="20">
        <v>41096</v>
      </c>
      <c r="LM35" s="20">
        <v>41096</v>
      </c>
      <c r="LN35" s="20">
        <v>41096</v>
      </c>
      <c r="LO35" s="20">
        <v>41096</v>
      </c>
      <c r="LP35" s="20">
        <v>41096</v>
      </c>
      <c r="LQ35" s="20">
        <v>41096</v>
      </c>
      <c r="LR35" s="20">
        <v>41096</v>
      </c>
      <c r="LS35" s="20">
        <v>41096</v>
      </c>
      <c r="LT35" s="20">
        <v>41096</v>
      </c>
      <c r="LU35" s="20">
        <v>41096</v>
      </c>
      <c r="LV35" s="20"/>
      <c r="LW35" s="20"/>
      <c r="LX35" s="20"/>
      <c r="LY35" s="20"/>
      <c r="LZ35" s="20"/>
      <c r="MA35" s="20"/>
      <c r="MB35" s="20"/>
      <c r="MC35" s="21">
        <f t="shared" si="19"/>
        <v>410960</v>
      </c>
      <c r="MD35" s="48">
        <v>20</v>
      </c>
      <c r="ME35" s="21">
        <f t="shared" si="37"/>
        <v>8219200</v>
      </c>
      <c r="MF35" s="109">
        <f>+SUM(ME35:ME38)</f>
        <v>12739760</v>
      </c>
      <c r="MH35" s="106">
        <v>50618</v>
      </c>
      <c r="MI35" s="19" t="s">
        <v>43</v>
      </c>
      <c r="MJ35" s="20"/>
      <c r="MK35" s="20"/>
      <c r="ML35" s="20"/>
      <c r="MM35" s="20"/>
      <c r="MN35" s="20"/>
      <c r="MO35" s="20"/>
      <c r="MP35" s="20"/>
      <c r="MQ35" s="20">
        <v>41096</v>
      </c>
      <c r="MR35" s="20">
        <v>41096</v>
      </c>
      <c r="MS35" s="20">
        <v>41096</v>
      </c>
      <c r="MT35" s="20">
        <v>41096</v>
      </c>
      <c r="MU35" s="20">
        <v>41096</v>
      </c>
      <c r="MV35" s="20">
        <v>41096</v>
      </c>
      <c r="MW35" s="20">
        <v>41096</v>
      </c>
      <c r="MX35" s="20">
        <v>41096</v>
      </c>
      <c r="MY35" s="20">
        <v>41096</v>
      </c>
      <c r="MZ35" s="20">
        <v>41096</v>
      </c>
      <c r="NA35" s="20"/>
      <c r="NB35" s="20"/>
      <c r="NC35" s="20"/>
      <c r="ND35" s="20"/>
      <c r="NE35" s="20"/>
      <c r="NF35" s="20"/>
      <c r="NG35" s="20"/>
      <c r="NH35" s="21">
        <f t="shared" si="21"/>
        <v>410960</v>
      </c>
      <c r="NI35" s="48">
        <v>22</v>
      </c>
      <c r="NJ35" s="21">
        <f t="shared" si="38"/>
        <v>9041120</v>
      </c>
      <c r="NK35" s="109">
        <f>+SUM(NJ35:NJ38)</f>
        <v>12739760</v>
      </c>
      <c r="NM35" s="106">
        <v>50983</v>
      </c>
      <c r="NN35" s="19" t="s">
        <v>43</v>
      </c>
      <c r="NO35" s="20"/>
      <c r="NP35" s="20"/>
      <c r="NQ35" s="20"/>
      <c r="NR35" s="20"/>
      <c r="NS35" s="20"/>
      <c r="NT35" s="20"/>
      <c r="NU35" s="20"/>
      <c r="NV35" s="20">
        <v>41096</v>
      </c>
      <c r="NW35" s="20">
        <v>41096</v>
      </c>
      <c r="NX35" s="20">
        <v>41096</v>
      </c>
      <c r="NY35" s="20">
        <v>41096</v>
      </c>
      <c r="NZ35" s="20">
        <v>41096</v>
      </c>
      <c r="OA35" s="20">
        <v>41096</v>
      </c>
      <c r="OB35" s="20">
        <v>41096</v>
      </c>
      <c r="OC35" s="20">
        <v>41096</v>
      </c>
      <c r="OD35" s="20">
        <v>41096</v>
      </c>
      <c r="OE35" s="20">
        <v>41096</v>
      </c>
      <c r="OF35" s="20"/>
      <c r="OG35" s="20"/>
      <c r="OH35" s="20"/>
      <c r="OI35" s="20"/>
      <c r="OJ35" s="20"/>
      <c r="OK35" s="20"/>
      <c r="OL35" s="20"/>
      <c r="OM35" s="21">
        <f t="shared" si="23"/>
        <v>410960</v>
      </c>
      <c r="ON35" s="48">
        <v>22</v>
      </c>
      <c r="OO35" s="21">
        <f t="shared" si="39"/>
        <v>9041120</v>
      </c>
      <c r="OP35" s="109">
        <f>+SUM(OO35:OO38)</f>
        <v>12739760</v>
      </c>
      <c r="OR35" s="106">
        <v>51349</v>
      </c>
      <c r="OS35" s="19" t="s">
        <v>43</v>
      </c>
      <c r="OT35" s="20"/>
      <c r="OU35" s="20"/>
      <c r="OV35" s="20"/>
      <c r="OW35" s="20"/>
      <c r="OX35" s="20"/>
      <c r="OY35" s="20"/>
      <c r="OZ35" s="20"/>
      <c r="PA35" s="20">
        <v>41096</v>
      </c>
      <c r="PB35" s="20">
        <v>41096</v>
      </c>
      <c r="PC35" s="20">
        <v>41096</v>
      </c>
      <c r="PD35" s="20">
        <v>41096</v>
      </c>
      <c r="PE35" s="20">
        <v>41096</v>
      </c>
      <c r="PF35" s="20">
        <v>41096</v>
      </c>
      <c r="PG35" s="20">
        <v>41096</v>
      </c>
      <c r="PH35" s="20">
        <v>41096</v>
      </c>
      <c r="PI35" s="20">
        <v>41096</v>
      </c>
      <c r="PJ35" s="20">
        <v>41096</v>
      </c>
      <c r="PK35" s="20"/>
      <c r="PL35" s="20"/>
      <c r="PM35" s="20"/>
      <c r="PN35" s="20"/>
      <c r="PO35" s="20"/>
      <c r="PP35" s="20"/>
      <c r="PQ35" s="20"/>
      <c r="PR35" s="21">
        <f t="shared" si="25"/>
        <v>410960</v>
      </c>
      <c r="PS35" s="63">
        <v>21</v>
      </c>
      <c r="PT35" s="21">
        <f t="shared" si="40"/>
        <v>8630160</v>
      </c>
      <c r="PU35" s="109">
        <f>+SUM(PT35:PT38)</f>
        <v>12739760</v>
      </c>
    </row>
    <row r="36" spans="3:437" x14ac:dyDescent="0.35">
      <c r="C36" s="107"/>
      <c r="D36" s="23" t="s">
        <v>44</v>
      </c>
      <c r="E36" s="20"/>
      <c r="F36" s="92"/>
      <c r="G36" s="20"/>
      <c r="H36" s="20"/>
      <c r="I36" s="20"/>
      <c r="J36" s="20"/>
      <c r="K36" s="20"/>
      <c r="L36" s="20">
        <v>41096</v>
      </c>
      <c r="M36" s="20">
        <v>41096</v>
      </c>
      <c r="N36" s="20">
        <v>41096</v>
      </c>
      <c r="O36" s="20">
        <v>41096</v>
      </c>
      <c r="P36" s="20">
        <v>41096</v>
      </c>
      <c r="Q36" s="20">
        <v>41096</v>
      </c>
      <c r="R36" s="20">
        <v>41096</v>
      </c>
      <c r="S36" s="20">
        <v>41096</v>
      </c>
      <c r="T36" s="20">
        <v>41096</v>
      </c>
      <c r="U36" s="20">
        <v>41096</v>
      </c>
      <c r="V36" s="20"/>
      <c r="W36" s="20"/>
      <c r="X36" s="20"/>
      <c r="Y36" s="20"/>
      <c r="Z36" s="20"/>
      <c r="AA36" s="20"/>
      <c r="AB36" s="20"/>
      <c r="AC36" s="21">
        <f t="shared" si="0"/>
        <v>410960</v>
      </c>
      <c r="AD36" s="22">
        <v>3</v>
      </c>
      <c r="AE36" s="21">
        <f t="shared" si="27"/>
        <v>1232880</v>
      </c>
      <c r="AF36" s="110"/>
      <c r="AH36" s="107"/>
      <c r="AI36" s="23" t="s">
        <v>44</v>
      </c>
      <c r="AJ36" s="20"/>
      <c r="AK36" s="20"/>
      <c r="AL36" s="20"/>
      <c r="AM36" s="20"/>
      <c r="AN36" s="20"/>
      <c r="AO36" s="20"/>
      <c r="AP36" s="20"/>
      <c r="AQ36" s="20">
        <v>41096</v>
      </c>
      <c r="AR36" s="20">
        <v>41096</v>
      </c>
      <c r="AS36" s="20">
        <v>41096</v>
      </c>
      <c r="AT36" s="20">
        <v>41096</v>
      </c>
      <c r="AU36" s="20">
        <v>41096</v>
      </c>
      <c r="AV36" s="20">
        <v>41096</v>
      </c>
      <c r="AW36" s="20">
        <v>41096</v>
      </c>
      <c r="AX36" s="20">
        <v>41096</v>
      </c>
      <c r="AY36" s="20">
        <v>41096</v>
      </c>
      <c r="AZ36" s="20">
        <v>41096</v>
      </c>
      <c r="BA36" s="20"/>
      <c r="BB36" s="20"/>
      <c r="BC36" s="20"/>
      <c r="BD36" s="20"/>
      <c r="BE36" s="20"/>
      <c r="BF36" s="20"/>
      <c r="BG36" s="20"/>
      <c r="BH36" s="21">
        <f t="shared" si="2"/>
        <v>410960</v>
      </c>
      <c r="BI36" s="49">
        <v>4</v>
      </c>
      <c r="BJ36" s="21">
        <f t="shared" si="28"/>
        <v>1643840</v>
      </c>
      <c r="BK36" s="110"/>
      <c r="BM36" s="107"/>
      <c r="BN36" s="23" t="s">
        <v>44</v>
      </c>
      <c r="BO36" s="20"/>
      <c r="BP36" s="20"/>
      <c r="BQ36" s="20"/>
      <c r="BR36" s="20"/>
      <c r="BS36" s="20"/>
      <c r="BT36" s="20"/>
      <c r="BU36" s="20"/>
      <c r="BV36" s="20">
        <v>41096</v>
      </c>
      <c r="BW36" s="20">
        <v>41096</v>
      </c>
      <c r="BX36" s="20">
        <v>41096</v>
      </c>
      <c r="BY36" s="20">
        <v>41096</v>
      </c>
      <c r="BZ36" s="20">
        <v>41096</v>
      </c>
      <c r="CA36" s="20">
        <v>41096</v>
      </c>
      <c r="CB36" s="20">
        <v>41096</v>
      </c>
      <c r="CC36" s="20">
        <v>41096</v>
      </c>
      <c r="CD36" s="20">
        <v>41096</v>
      </c>
      <c r="CE36" s="20">
        <v>41096</v>
      </c>
      <c r="CF36" s="20"/>
      <c r="CG36" s="20"/>
      <c r="CH36" s="20"/>
      <c r="CI36" s="20"/>
      <c r="CJ36" s="20"/>
      <c r="CK36" s="20"/>
      <c r="CL36" s="20"/>
      <c r="CM36" s="21">
        <f t="shared" si="4"/>
        <v>410960</v>
      </c>
      <c r="CN36" s="49">
        <v>4</v>
      </c>
      <c r="CO36" s="21">
        <f t="shared" si="29"/>
        <v>1643840</v>
      </c>
      <c r="CP36" s="110"/>
      <c r="CS36" s="107"/>
      <c r="CT36" s="23" t="s">
        <v>44</v>
      </c>
      <c r="CU36" s="20"/>
      <c r="CV36" s="20"/>
      <c r="CW36" s="20"/>
      <c r="CX36" s="20"/>
      <c r="CY36" s="20"/>
      <c r="CZ36" s="20"/>
      <c r="DA36" s="20"/>
      <c r="DB36" s="20">
        <v>41096</v>
      </c>
      <c r="DC36" s="20">
        <v>41096</v>
      </c>
      <c r="DD36" s="20">
        <v>41096</v>
      </c>
      <c r="DE36" s="20">
        <v>41096</v>
      </c>
      <c r="DF36" s="20">
        <v>41096</v>
      </c>
      <c r="DG36" s="20">
        <v>41096</v>
      </c>
      <c r="DH36" s="20">
        <v>41096</v>
      </c>
      <c r="DI36" s="20">
        <v>41096</v>
      </c>
      <c r="DJ36" s="20">
        <v>41096</v>
      </c>
      <c r="DK36" s="20">
        <v>41096</v>
      </c>
      <c r="DL36" s="20"/>
      <c r="DM36" s="20"/>
      <c r="DN36" s="20"/>
      <c r="DO36" s="20"/>
      <c r="DP36" s="20"/>
      <c r="DQ36" s="20"/>
      <c r="DR36" s="20"/>
      <c r="DS36" s="21">
        <f t="shared" si="6"/>
        <v>410960</v>
      </c>
      <c r="DT36" s="49">
        <v>5</v>
      </c>
      <c r="DU36" s="21">
        <f t="shared" si="30"/>
        <v>2054800</v>
      </c>
      <c r="DV36" s="110"/>
      <c r="DY36" s="107"/>
      <c r="DZ36" s="23" t="s">
        <v>44</v>
      </c>
      <c r="EA36" s="20"/>
      <c r="EB36" s="20"/>
      <c r="EC36" s="20"/>
      <c r="ED36" s="20"/>
      <c r="EE36" s="20"/>
      <c r="EF36" s="20"/>
      <c r="EG36" s="20"/>
      <c r="EH36" s="20">
        <v>41096</v>
      </c>
      <c r="EI36" s="20">
        <v>41096</v>
      </c>
      <c r="EJ36" s="20">
        <v>41096</v>
      </c>
      <c r="EK36" s="20">
        <v>41096</v>
      </c>
      <c r="EL36" s="20">
        <v>41096</v>
      </c>
      <c r="EM36" s="20">
        <v>41096</v>
      </c>
      <c r="EN36" s="20">
        <v>41096</v>
      </c>
      <c r="EO36" s="20">
        <v>41096</v>
      </c>
      <c r="EP36" s="20">
        <v>41096</v>
      </c>
      <c r="EQ36" s="20">
        <v>41096</v>
      </c>
      <c r="ER36" s="20"/>
      <c r="ES36" s="20"/>
      <c r="ET36" s="20"/>
      <c r="EU36" s="20"/>
      <c r="EV36" s="20"/>
      <c r="EW36" s="20"/>
      <c r="EX36" s="20"/>
      <c r="EY36" s="21">
        <f t="shared" si="7"/>
        <v>410960</v>
      </c>
      <c r="EZ36" s="49">
        <v>5</v>
      </c>
      <c r="FA36" s="21">
        <f t="shared" si="31"/>
        <v>2054800</v>
      </c>
      <c r="FB36" s="110"/>
      <c r="FD36" s="107"/>
      <c r="FE36" s="23" t="s">
        <v>44</v>
      </c>
      <c r="FF36" s="20"/>
      <c r="FG36" s="20"/>
      <c r="FH36" s="20"/>
      <c r="FI36" s="20"/>
      <c r="FJ36" s="20"/>
      <c r="FK36" s="20"/>
      <c r="FL36" s="20"/>
      <c r="FM36" s="20">
        <v>41096</v>
      </c>
      <c r="FN36" s="20">
        <v>41096</v>
      </c>
      <c r="FO36" s="20">
        <v>41096</v>
      </c>
      <c r="FP36" s="20">
        <v>41096</v>
      </c>
      <c r="FQ36" s="20">
        <v>41096</v>
      </c>
      <c r="FR36" s="20">
        <v>41096</v>
      </c>
      <c r="FS36" s="20">
        <v>41096</v>
      </c>
      <c r="FT36" s="20">
        <v>41096</v>
      </c>
      <c r="FU36" s="20">
        <v>41096</v>
      </c>
      <c r="FV36" s="20">
        <v>41096</v>
      </c>
      <c r="FW36" s="20"/>
      <c r="FX36" s="20"/>
      <c r="FY36" s="20"/>
      <c r="FZ36" s="20"/>
      <c r="GA36" s="20"/>
      <c r="GB36" s="20"/>
      <c r="GC36" s="20"/>
      <c r="GD36" s="21">
        <f t="shared" si="9"/>
        <v>410960</v>
      </c>
      <c r="GE36" s="49">
        <v>3</v>
      </c>
      <c r="GF36" s="21">
        <f t="shared" si="32"/>
        <v>1232880</v>
      </c>
      <c r="GG36" s="110"/>
      <c r="GI36" s="107"/>
      <c r="GJ36" s="23" t="s">
        <v>44</v>
      </c>
      <c r="GK36" s="20"/>
      <c r="GL36" s="20"/>
      <c r="GM36" s="20"/>
      <c r="GN36" s="20"/>
      <c r="GO36" s="20"/>
      <c r="GP36" s="20"/>
      <c r="GQ36" s="20"/>
      <c r="GR36" s="20">
        <v>41096</v>
      </c>
      <c r="GS36" s="20">
        <v>41096</v>
      </c>
      <c r="GT36" s="20">
        <v>41096</v>
      </c>
      <c r="GU36" s="20">
        <v>41096</v>
      </c>
      <c r="GV36" s="20">
        <v>41096</v>
      </c>
      <c r="GW36" s="20">
        <v>41096</v>
      </c>
      <c r="GX36" s="20">
        <v>41096</v>
      </c>
      <c r="GY36" s="20">
        <v>41096</v>
      </c>
      <c r="GZ36" s="20">
        <v>41096</v>
      </c>
      <c r="HA36" s="20">
        <v>41096</v>
      </c>
      <c r="HB36" s="20"/>
      <c r="HC36" s="20"/>
      <c r="HD36" s="20"/>
      <c r="HE36" s="20"/>
      <c r="HF36" s="20"/>
      <c r="HG36" s="20"/>
      <c r="HH36" s="20"/>
      <c r="HI36" s="21">
        <f t="shared" si="11"/>
        <v>410960</v>
      </c>
      <c r="HJ36" s="49">
        <v>4</v>
      </c>
      <c r="HK36" s="21">
        <f t="shared" si="33"/>
        <v>1643840</v>
      </c>
      <c r="HL36" s="110"/>
      <c r="HN36" s="107"/>
      <c r="HO36" s="23" t="s">
        <v>44</v>
      </c>
      <c r="HP36" s="20"/>
      <c r="HQ36" s="20"/>
      <c r="HR36" s="20"/>
      <c r="HS36" s="20"/>
      <c r="HT36" s="20"/>
      <c r="HU36" s="20"/>
      <c r="HV36" s="20"/>
      <c r="HW36" s="20">
        <v>41096</v>
      </c>
      <c r="HX36" s="20">
        <v>41096</v>
      </c>
      <c r="HY36" s="20">
        <v>41096</v>
      </c>
      <c r="HZ36" s="20">
        <v>41096</v>
      </c>
      <c r="IA36" s="20">
        <v>41096</v>
      </c>
      <c r="IB36" s="20">
        <v>41096</v>
      </c>
      <c r="IC36" s="20">
        <v>41096</v>
      </c>
      <c r="ID36" s="20">
        <v>41096</v>
      </c>
      <c r="IE36" s="20">
        <v>41096</v>
      </c>
      <c r="IF36" s="20">
        <v>41096</v>
      </c>
      <c r="IG36" s="20"/>
      <c r="IH36" s="20"/>
      <c r="II36" s="20"/>
      <c r="IJ36" s="20"/>
      <c r="IK36" s="20"/>
      <c r="IL36" s="20"/>
      <c r="IM36" s="20"/>
      <c r="IN36" s="21">
        <f t="shared" si="13"/>
        <v>410960</v>
      </c>
      <c r="IO36" s="49">
        <v>4</v>
      </c>
      <c r="IP36" s="21">
        <f t="shared" si="34"/>
        <v>1643840</v>
      </c>
      <c r="IQ36" s="110"/>
      <c r="IS36" s="107"/>
      <c r="IT36" s="23" t="s">
        <v>44</v>
      </c>
      <c r="IU36" s="20"/>
      <c r="IV36" s="20"/>
      <c r="IW36" s="20"/>
      <c r="IX36" s="20"/>
      <c r="IY36" s="20"/>
      <c r="IZ36" s="20"/>
      <c r="JA36" s="20"/>
      <c r="JB36" s="20">
        <v>41096</v>
      </c>
      <c r="JC36" s="20">
        <v>41096</v>
      </c>
      <c r="JD36" s="20">
        <v>41096</v>
      </c>
      <c r="JE36" s="20">
        <v>41096</v>
      </c>
      <c r="JF36" s="20">
        <v>41096</v>
      </c>
      <c r="JG36" s="20">
        <v>41096</v>
      </c>
      <c r="JH36" s="20">
        <v>41096</v>
      </c>
      <c r="JI36" s="20">
        <v>41096</v>
      </c>
      <c r="JJ36" s="20">
        <v>41096</v>
      </c>
      <c r="JK36" s="20">
        <v>41096</v>
      </c>
      <c r="JL36" s="20"/>
      <c r="JM36" s="20"/>
      <c r="JN36" s="20"/>
      <c r="JO36" s="20"/>
      <c r="JP36" s="20"/>
      <c r="JQ36" s="20"/>
      <c r="JR36" s="20"/>
      <c r="JS36" s="21">
        <f t="shared" si="15"/>
        <v>410960</v>
      </c>
      <c r="JT36" s="49">
        <v>4</v>
      </c>
      <c r="JU36" s="21">
        <f t="shared" si="35"/>
        <v>1643840</v>
      </c>
      <c r="JV36" s="110"/>
      <c r="JX36" s="107"/>
      <c r="JY36" s="23" t="s">
        <v>44</v>
      </c>
      <c r="JZ36" s="20"/>
      <c r="KA36" s="20"/>
      <c r="KB36" s="20"/>
      <c r="KC36" s="20"/>
      <c r="KD36" s="20"/>
      <c r="KE36" s="20"/>
      <c r="KF36" s="20"/>
      <c r="KG36" s="20">
        <v>41096</v>
      </c>
      <c r="KH36" s="20">
        <v>41096</v>
      </c>
      <c r="KI36" s="20">
        <v>41096</v>
      </c>
      <c r="KJ36" s="20">
        <v>41096</v>
      </c>
      <c r="KK36" s="20">
        <v>41096</v>
      </c>
      <c r="KL36" s="20">
        <v>41096</v>
      </c>
      <c r="KM36" s="20">
        <v>41096</v>
      </c>
      <c r="KN36" s="20">
        <v>41096</v>
      </c>
      <c r="KO36" s="20">
        <v>41096</v>
      </c>
      <c r="KP36" s="20">
        <v>41096</v>
      </c>
      <c r="KQ36" s="20"/>
      <c r="KR36" s="20"/>
      <c r="KS36" s="20"/>
      <c r="KT36" s="20"/>
      <c r="KU36" s="20"/>
      <c r="KV36" s="20"/>
      <c r="KW36" s="20"/>
      <c r="KX36" s="21">
        <f t="shared" si="17"/>
        <v>410960</v>
      </c>
      <c r="KY36" s="49">
        <v>5</v>
      </c>
      <c r="KZ36" s="21">
        <f t="shared" si="36"/>
        <v>2054800</v>
      </c>
      <c r="LA36" s="110"/>
      <c r="LC36" s="107"/>
      <c r="LD36" s="23" t="s">
        <v>44</v>
      </c>
      <c r="LE36" s="20"/>
      <c r="LF36" s="20"/>
      <c r="LG36" s="20"/>
      <c r="LH36" s="20"/>
      <c r="LI36" s="20"/>
      <c r="LJ36" s="20"/>
      <c r="LK36" s="20"/>
      <c r="LL36" s="20">
        <v>41096</v>
      </c>
      <c r="LM36" s="20">
        <v>41096</v>
      </c>
      <c r="LN36" s="20">
        <v>41096</v>
      </c>
      <c r="LO36" s="20">
        <v>41096</v>
      </c>
      <c r="LP36" s="20">
        <v>41096</v>
      </c>
      <c r="LQ36" s="20">
        <v>41096</v>
      </c>
      <c r="LR36" s="20">
        <v>41096</v>
      </c>
      <c r="LS36" s="20">
        <v>41096</v>
      </c>
      <c r="LT36" s="20">
        <v>41096</v>
      </c>
      <c r="LU36" s="20">
        <v>41096</v>
      </c>
      <c r="LV36" s="20"/>
      <c r="LW36" s="20"/>
      <c r="LX36" s="20"/>
      <c r="LY36" s="20"/>
      <c r="LZ36" s="20"/>
      <c r="MA36" s="20"/>
      <c r="MB36" s="20"/>
      <c r="MC36" s="21">
        <f t="shared" si="19"/>
        <v>410960</v>
      </c>
      <c r="MD36" s="49">
        <v>4</v>
      </c>
      <c r="ME36" s="21">
        <f t="shared" si="37"/>
        <v>1643840</v>
      </c>
      <c r="MF36" s="110"/>
      <c r="MH36" s="107"/>
      <c r="MI36" s="23" t="s">
        <v>44</v>
      </c>
      <c r="MJ36" s="20"/>
      <c r="MK36" s="20"/>
      <c r="ML36" s="20"/>
      <c r="MM36" s="20"/>
      <c r="MN36" s="20"/>
      <c r="MO36" s="20"/>
      <c r="MP36" s="20"/>
      <c r="MQ36" s="20">
        <v>41096</v>
      </c>
      <c r="MR36" s="20">
        <v>41096</v>
      </c>
      <c r="MS36" s="20">
        <v>41096</v>
      </c>
      <c r="MT36" s="20">
        <v>41096</v>
      </c>
      <c r="MU36" s="20">
        <v>41096</v>
      </c>
      <c r="MV36" s="20">
        <v>41096</v>
      </c>
      <c r="MW36" s="20">
        <v>41096</v>
      </c>
      <c r="MX36" s="20">
        <v>41096</v>
      </c>
      <c r="MY36" s="20">
        <v>41096</v>
      </c>
      <c r="MZ36" s="20">
        <v>41096</v>
      </c>
      <c r="NA36" s="20"/>
      <c r="NB36" s="20"/>
      <c r="NC36" s="20"/>
      <c r="ND36" s="20"/>
      <c r="NE36" s="20"/>
      <c r="NF36" s="20"/>
      <c r="NG36" s="20"/>
      <c r="NH36" s="21">
        <f t="shared" si="21"/>
        <v>410960</v>
      </c>
      <c r="NI36" s="49">
        <v>3</v>
      </c>
      <c r="NJ36" s="21">
        <f t="shared" si="38"/>
        <v>1232880</v>
      </c>
      <c r="NK36" s="110"/>
      <c r="NM36" s="107"/>
      <c r="NN36" s="23" t="s">
        <v>44</v>
      </c>
      <c r="NO36" s="20"/>
      <c r="NP36" s="20"/>
      <c r="NQ36" s="20"/>
      <c r="NR36" s="20"/>
      <c r="NS36" s="20"/>
      <c r="NT36" s="20"/>
      <c r="NU36" s="20"/>
      <c r="NV36" s="20">
        <v>41096</v>
      </c>
      <c r="NW36" s="20">
        <v>41096</v>
      </c>
      <c r="NX36" s="20">
        <v>41096</v>
      </c>
      <c r="NY36" s="20">
        <v>41096</v>
      </c>
      <c r="NZ36" s="20">
        <v>41096</v>
      </c>
      <c r="OA36" s="20">
        <v>41096</v>
      </c>
      <c r="OB36" s="20">
        <v>41096</v>
      </c>
      <c r="OC36" s="20">
        <v>41096</v>
      </c>
      <c r="OD36" s="20">
        <v>41096</v>
      </c>
      <c r="OE36" s="20">
        <v>41096</v>
      </c>
      <c r="OF36" s="20"/>
      <c r="OG36" s="20"/>
      <c r="OH36" s="20"/>
      <c r="OI36" s="20"/>
      <c r="OJ36" s="20"/>
      <c r="OK36" s="20"/>
      <c r="OL36" s="20"/>
      <c r="OM36" s="21">
        <f t="shared" si="23"/>
        <v>410960</v>
      </c>
      <c r="ON36" s="49">
        <v>4</v>
      </c>
      <c r="OO36" s="21">
        <f t="shared" si="39"/>
        <v>1643840</v>
      </c>
      <c r="OP36" s="110"/>
      <c r="OR36" s="107"/>
      <c r="OS36" s="23" t="s">
        <v>44</v>
      </c>
      <c r="OT36" s="20"/>
      <c r="OU36" s="20"/>
      <c r="OV36" s="20"/>
      <c r="OW36" s="20"/>
      <c r="OX36" s="20"/>
      <c r="OY36" s="20"/>
      <c r="OZ36" s="20"/>
      <c r="PA36" s="20">
        <v>41096</v>
      </c>
      <c r="PB36" s="20">
        <v>41096</v>
      </c>
      <c r="PC36" s="20">
        <v>41096</v>
      </c>
      <c r="PD36" s="20">
        <v>41096</v>
      </c>
      <c r="PE36" s="20">
        <v>41096</v>
      </c>
      <c r="PF36" s="20">
        <v>41096</v>
      </c>
      <c r="PG36" s="20">
        <v>41096</v>
      </c>
      <c r="PH36" s="20">
        <v>41096</v>
      </c>
      <c r="PI36" s="20">
        <v>41096</v>
      </c>
      <c r="PJ36" s="20">
        <v>41096</v>
      </c>
      <c r="PK36" s="20"/>
      <c r="PL36" s="20"/>
      <c r="PM36" s="20"/>
      <c r="PN36" s="20"/>
      <c r="PO36" s="20"/>
      <c r="PP36" s="20"/>
      <c r="PQ36" s="20"/>
      <c r="PR36" s="21">
        <f t="shared" si="25"/>
        <v>410960</v>
      </c>
      <c r="PS36" s="62">
        <v>4</v>
      </c>
      <c r="PT36" s="21">
        <f t="shared" si="40"/>
        <v>1643840</v>
      </c>
      <c r="PU36" s="110"/>
    </row>
    <row r="37" spans="3:437" x14ac:dyDescent="0.35">
      <c r="C37" s="107"/>
      <c r="D37" s="23" t="s">
        <v>45</v>
      </c>
      <c r="E37" s="20"/>
      <c r="F37" s="92"/>
      <c r="G37" s="20"/>
      <c r="H37" s="20"/>
      <c r="I37" s="20"/>
      <c r="J37" s="20"/>
      <c r="K37" s="20"/>
      <c r="L37" s="20">
        <v>41096</v>
      </c>
      <c r="M37" s="20">
        <v>41096</v>
      </c>
      <c r="N37" s="20">
        <v>41096</v>
      </c>
      <c r="O37" s="20">
        <v>41096</v>
      </c>
      <c r="P37" s="20">
        <v>41096</v>
      </c>
      <c r="Q37" s="20">
        <v>41096</v>
      </c>
      <c r="R37" s="20">
        <v>41096</v>
      </c>
      <c r="S37" s="20">
        <v>41096</v>
      </c>
      <c r="T37" s="20">
        <v>41096</v>
      </c>
      <c r="U37" s="20">
        <v>41096</v>
      </c>
      <c r="V37" s="20"/>
      <c r="W37" s="20"/>
      <c r="X37" s="20"/>
      <c r="Y37" s="20"/>
      <c r="Z37" s="20"/>
      <c r="AA37" s="20"/>
      <c r="AB37" s="20"/>
      <c r="AC37" s="21">
        <f t="shared" si="0"/>
        <v>410960</v>
      </c>
      <c r="AD37" s="22">
        <v>5</v>
      </c>
      <c r="AE37" s="21">
        <f t="shared" si="27"/>
        <v>2054800</v>
      </c>
      <c r="AF37" s="110"/>
      <c r="AH37" s="107"/>
      <c r="AI37" s="23" t="s">
        <v>45</v>
      </c>
      <c r="AJ37" s="20"/>
      <c r="AK37" s="20"/>
      <c r="AL37" s="20"/>
      <c r="AM37" s="20"/>
      <c r="AN37" s="20"/>
      <c r="AO37" s="20"/>
      <c r="AP37" s="20"/>
      <c r="AQ37" s="20">
        <v>41096</v>
      </c>
      <c r="AR37" s="20">
        <v>41096</v>
      </c>
      <c r="AS37" s="20">
        <v>41096</v>
      </c>
      <c r="AT37" s="20">
        <v>41096</v>
      </c>
      <c r="AU37" s="20">
        <v>41096</v>
      </c>
      <c r="AV37" s="20">
        <v>41096</v>
      </c>
      <c r="AW37" s="20">
        <v>41096</v>
      </c>
      <c r="AX37" s="20">
        <v>41096</v>
      </c>
      <c r="AY37" s="20">
        <v>41096</v>
      </c>
      <c r="AZ37" s="20">
        <v>41096</v>
      </c>
      <c r="BA37" s="20"/>
      <c r="BB37" s="20"/>
      <c r="BC37" s="20"/>
      <c r="BD37" s="20"/>
      <c r="BE37" s="20"/>
      <c r="BF37" s="20"/>
      <c r="BG37" s="20"/>
      <c r="BH37" s="21">
        <f t="shared" si="2"/>
        <v>410960</v>
      </c>
      <c r="BI37" s="49">
        <v>4</v>
      </c>
      <c r="BJ37" s="21">
        <f t="shared" si="28"/>
        <v>1643840</v>
      </c>
      <c r="BK37" s="110"/>
      <c r="BM37" s="107"/>
      <c r="BN37" s="23" t="s">
        <v>45</v>
      </c>
      <c r="BO37" s="20"/>
      <c r="BP37" s="20"/>
      <c r="BQ37" s="20"/>
      <c r="BR37" s="20"/>
      <c r="BS37" s="20"/>
      <c r="BT37" s="20"/>
      <c r="BU37" s="20"/>
      <c r="BV37" s="20">
        <v>41096</v>
      </c>
      <c r="BW37" s="20">
        <v>41096</v>
      </c>
      <c r="BX37" s="20">
        <v>41096</v>
      </c>
      <c r="BY37" s="20">
        <v>41096</v>
      </c>
      <c r="BZ37" s="20">
        <v>41096</v>
      </c>
      <c r="CA37" s="20">
        <v>41096</v>
      </c>
      <c r="CB37" s="20">
        <v>41096</v>
      </c>
      <c r="CC37" s="20">
        <v>41096</v>
      </c>
      <c r="CD37" s="20">
        <v>41096</v>
      </c>
      <c r="CE37" s="20">
        <v>41096</v>
      </c>
      <c r="CF37" s="20"/>
      <c r="CG37" s="20"/>
      <c r="CH37" s="20"/>
      <c r="CI37" s="20"/>
      <c r="CJ37" s="20"/>
      <c r="CK37" s="20"/>
      <c r="CL37" s="20"/>
      <c r="CM37" s="21">
        <f t="shared" si="4"/>
        <v>410960</v>
      </c>
      <c r="CN37" s="49">
        <v>4</v>
      </c>
      <c r="CO37" s="21">
        <f t="shared" si="29"/>
        <v>1643840</v>
      </c>
      <c r="CP37" s="110"/>
      <c r="CS37" s="107"/>
      <c r="CT37" s="23" t="s">
        <v>45</v>
      </c>
      <c r="CU37" s="20"/>
      <c r="CV37" s="20"/>
      <c r="CW37" s="20"/>
      <c r="CX37" s="20"/>
      <c r="CY37" s="20"/>
      <c r="CZ37" s="20"/>
      <c r="DA37" s="20"/>
      <c r="DB37" s="20">
        <v>41096</v>
      </c>
      <c r="DC37" s="20">
        <v>41096</v>
      </c>
      <c r="DD37" s="20">
        <v>41096</v>
      </c>
      <c r="DE37" s="20">
        <v>41096</v>
      </c>
      <c r="DF37" s="20">
        <v>41096</v>
      </c>
      <c r="DG37" s="20">
        <v>41096</v>
      </c>
      <c r="DH37" s="20">
        <v>41096</v>
      </c>
      <c r="DI37" s="20">
        <v>41096</v>
      </c>
      <c r="DJ37" s="20">
        <v>41096</v>
      </c>
      <c r="DK37" s="20">
        <v>41096</v>
      </c>
      <c r="DL37" s="20"/>
      <c r="DM37" s="20"/>
      <c r="DN37" s="20"/>
      <c r="DO37" s="20"/>
      <c r="DP37" s="20"/>
      <c r="DQ37" s="20"/>
      <c r="DR37" s="20"/>
      <c r="DS37" s="21">
        <f t="shared" si="6"/>
        <v>410960</v>
      </c>
      <c r="DT37" s="49">
        <v>4</v>
      </c>
      <c r="DU37" s="21">
        <f t="shared" si="30"/>
        <v>1643840</v>
      </c>
      <c r="DV37" s="110"/>
      <c r="DY37" s="107"/>
      <c r="DZ37" s="23" t="s">
        <v>45</v>
      </c>
      <c r="EA37" s="20"/>
      <c r="EB37" s="20"/>
      <c r="EC37" s="20"/>
      <c r="ED37" s="20"/>
      <c r="EE37" s="20"/>
      <c r="EF37" s="20"/>
      <c r="EG37" s="20"/>
      <c r="EH37" s="20">
        <v>41096</v>
      </c>
      <c r="EI37" s="20">
        <v>41096</v>
      </c>
      <c r="EJ37" s="20">
        <v>41096</v>
      </c>
      <c r="EK37" s="20">
        <v>41096</v>
      </c>
      <c r="EL37" s="20">
        <v>41096</v>
      </c>
      <c r="EM37" s="20">
        <v>41096</v>
      </c>
      <c r="EN37" s="20">
        <v>41096</v>
      </c>
      <c r="EO37" s="20">
        <v>41096</v>
      </c>
      <c r="EP37" s="20">
        <v>41096</v>
      </c>
      <c r="EQ37" s="20">
        <v>41096</v>
      </c>
      <c r="ER37" s="20"/>
      <c r="ES37" s="20"/>
      <c r="ET37" s="20"/>
      <c r="EU37" s="20"/>
      <c r="EV37" s="20"/>
      <c r="EW37" s="20"/>
      <c r="EX37" s="20"/>
      <c r="EY37" s="21">
        <f t="shared" si="7"/>
        <v>410960</v>
      </c>
      <c r="EZ37" s="49">
        <v>5</v>
      </c>
      <c r="FA37" s="21">
        <f t="shared" si="31"/>
        <v>2054800</v>
      </c>
      <c r="FB37" s="110"/>
      <c r="FD37" s="107"/>
      <c r="FE37" s="23" t="s">
        <v>45</v>
      </c>
      <c r="FF37" s="20"/>
      <c r="FG37" s="20"/>
      <c r="FH37" s="20"/>
      <c r="FI37" s="20"/>
      <c r="FJ37" s="20"/>
      <c r="FK37" s="20"/>
      <c r="FL37" s="20"/>
      <c r="FM37" s="20">
        <v>41096</v>
      </c>
      <c r="FN37" s="20">
        <v>41096</v>
      </c>
      <c r="FO37" s="20">
        <v>41096</v>
      </c>
      <c r="FP37" s="20">
        <v>41096</v>
      </c>
      <c r="FQ37" s="20">
        <v>41096</v>
      </c>
      <c r="FR37" s="20">
        <v>41096</v>
      </c>
      <c r="FS37" s="20">
        <v>41096</v>
      </c>
      <c r="FT37" s="20">
        <v>41096</v>
      </c>
      <c r="FU37" s="20">
        <v>41096</v>
      </c>
      <c r="FV37" s="20">
        <v>41096</v>
      </c>
      <c r="FW37" s="20"/>
      <c r="FX37" s="20"/>
      <c r="FY37" s="20"/>
      <c r="FZ37" s="20"/>
      <c r="GA37" s="20"/>
      <c r="GB37" s="20"/>
      <c r="GC37" s="20"/>
      <c r="GD37" s="21">
        <f t="shared" si="9"/>
        <v>410960</v>
      </c>
      <c r="GE37" s="49">
        <v>5</v>
      </c>
      <c r="GF37" s="21">
        <f t="shared" si="32"/>
        <v>2054800</v>
      </c>
      <c r="GG37" s="110"/>
      <c r="GI37" s="107"/>
      <c r="GJ37" s="23" t="s">
        <v>45</v>
      </c>
      <c r="GK37" s="20"/>
      <c r="GL37" s="20"/>
      <c r="GM37" s="20"/>
      <c r="GN37" s="20"/>
      <c r="GO37" s="20"/>
      <c r="GP37" s="20"/>
      <c r="GQ37" s="20"/>
      <c r="GR37" s="20">
        <v>41096</v>
      </c>
      <c r="GS37" s="20">
        <v>41096</v>
      </c>
      <c r="GT37" s="20">
        <v>41096</v>
      </c>
      <c r="GU37" s="20">
        <v>41096</v>
      </c>
      <c r="GV37" s="20">
        <v>41096</v>
      </c>
      <c r="GW37" s="20">
        <v>41096</v>
      </c>
      <c r="GX37" s="20">
        <v>41096</v>
      </c>
      <c r="GY37" s="20">
        <v>41096</v>
      </c>
      <c r="GZ37" s="20">
        <v>41096</v>
      </c>
      <c r="HA37" s="20">
        <v>41096</v>
      </c>
      <c r="HB37" s="20"/>
      <c r="HC37" s="20"/>
      <c r="HD37" s="20"/>
      <c r="HE37" s="20"/>
      <c r="HF37" s="20"/>
      <c r="HG37" s="20"/>
      <c r="HH37" s="20"/>
      <c r="HI37" s="21">
        <f t="shared" si="11"/>
        <v>410960</v>
      </c>
      <c r="HJ37" s="49">
        <v>3</v>
      </c>
      <c r="HK37" s="21">
        <f t="shared" si="33"/>
        <v>1232880</v>
      </c>
      <c r="HL37" s="110"/>
      <c r="HN37" s="107"/>
      <c r="HO37" s="23" t="s">
        <v>45</v>
      </c>
      <c r="HP37" s="20"/>
      <c r="HQ37" s="20"/>
      <c r="HR37" s="20"/>
      <c r="HS37" s="20"/>
      <c r="HT37" s="20"/>
      <c r="HU37" s="20"/>
      <c r="HV37" s="20"/>
      <c r="HW37" s="20">
        <v>41096</v>
      </c>
      <c r="HX37" s="20">
        <v>41096</v>
      </c>
      <c r="HY37" s="20">
        <v>41096</v>
      </c>
      <c r="HZ37" s="20">
        <v>41096</v>
      </c>
      <c r="IA37" s="20">
        <v>41096</v>
      </c>
      <c r="IB37" s="20">
        <v>41096</v>
      </c>
      <c r="IC37" s="20">
        <v>41096</v>
      </c>
      <c r="ID37" s="20">
        <v>41096</v>
      </c>
      <c r="IE37" s="20">
        <v>41096</v>
      </c>
      <c r="IF37" s="20">
        <v>41096</v>
      </c>
      <c r="IG37" s="20"/>
      <c r="IH37" s="20"/>
      <c r="II37" s="20"/>
      <c r="IJ37" s="20"/>
      <c r="IK37" s="20"/>
      <c r="IL37" s="20"/>
      <c r="IM37" s="20"/>
      <c r="IN37" s="21">
        <f t="shared" si="13"/>
        <v>410960</v>
      </c>
      <c r="IO37" s="49">
        <v>4</v>
      </c>
      <c r="IP37" s="21">
        <f t="shared" si="34"/>
        <v>1643840</v>
      </c>
      <c r="IQ37" s="110"/>
      <c r="IS37" s="107"/>
      <c r="IT37" s="23" t="s">
        <v>45</v>
      </c>
      <c r="IU37" s="20"/>
      <c r="IV37" s="20"/>
      <c r="IW37" s="20"/>
      <c r="IX37" s="20"/>
      <c r="IY37" s="20"/>
      <c r="IZ37" s="20"/>
      <c r="JA37" s="20"/>
      <c r="JB37" s="20">
        <v>41096</v>
      </c>
      <c r="JC37" s="20">
        <v>41096</v>
      </c>
      <c r="JD37" s="20">
        <v>41096</v>
      </c>
      <c r="JE37" s="20">
        <v>41096</v>
      </c>
      <c r="JF37" s="20">
        <v>41096</v>
      </c>
      <c r="JG37" s="20">
        <v>41096</v>
      </c>
      <c r="JH37" s="20">
        <v>41096</v>
      </c>
      <c r="JI37" s="20">
        <v>41096</v>
      </c>
      <c r="JJ37" s="20">
        <v>41096</v>
      </c>
      <c r="JK37" s="20">
        <v>41096</v>
      </c>
      <c r="JL37" s="20"/>
      <c r="JM37" s="20"/>
      <c r="JN37" s="20"/>
      <c r="JO37" s="20"/>
      <c r="JP37" s="20"/>
      <c r="JQ37" s="20"/>
      <c r="JR37" s="20"/>
      <c r="JS37" s="21">
        <f t="shared" si="15"/>
        <v>410960</v>
      </c>
      <c r="JT37" s="49">
        <v>4</v>
      </c>
      <c r="JU37" s="21">
        <f t="shared" si="35"/>
        <v>1643840</v>
      </c>
      <c r="JV37" s="110"/>
      <c r="JX37" s="107"/>
      <c r="JY37" s="23" t="s">
        <v>45</v>
      </c>
      <c r="JZ37" s="20"/>
      <c r="KA37" s="20"/>
      <c r="KB37" s="20"/>
      <c r="KC37" s="20"/>
      <c r="KD37" s="20"/>
      <c r="KE37" s="20"/>
      <c r="KF37" s="20"/>
      <c r="KG37" s="20">
        <v>41096</v>
      </c>
      <c r="KH37" s="20">
        <v>41096</v>
      </c>
      <c r="KI37" s="20">
        <v>41096</v>
      </c>
      <c r="KJ37" s="20">
        <v>41096</v>
      </c>
      <c r="KK37" s="20">
        <v>41096</v>
      </c>
      <c r="KL37" s="20">
        <v>41096</v>
      </c>
      <c r="KM37" s="20">
        <v>41096</v>
      </c>
      <c r="KN37" s="20">
        <v>41096</v>
      </c>
      <c r="KO37" s="20">
        <v>41096</v>
      </c>
      <c r="KP37" s="20">
        <v>41096</v>
      </c>
      <c r="KQ37" s="20"/>
      <c r="KR37" s="20"/>
      <c r="KS37" s="20"/>
      <c r="KT37" s="20"/>
      <c r="KU37" s="20"/>
      <c r="KV37" s="20"/>
      <c r="KW37" s="20"/>
      <c r="KX37" s="21">
        <f t="shared" si="17"/>
        <v>410960</v>
      </c>
      <c r="KY37" s="49">
        <v>5</v>
      </c>
      <c r="KZ37" s="21">
        <f t="shared" si="36"/>
        <v>2054800</v>
      </c>
      <c r="LA37" s="110"/>
      <c r="LC37" s="107"/>
      <c r="LD37" s="23" t="s">
        <v>45</v>
      </c>
      <c r="LE37" s="20"/>
      <c r="LF37" s="20"/>
      <c r="LG37" s="20"/>
      <c r="LH37" s="20"/>
      <c r="LI37" s="20"/>
      <c r="LJ37" s="20"/>
      <c r="LK37" s="20"/>
      <c r="LL37" s="20">
        <v>41096</v>
      </c>
      <c r="LM37" s="20">
        <v>41096</v>
      </c>
      <c r="LN37" s="20">
        <v>41096</v>
      </c>
      <c r="LO37" s="20">
        <v>41096</v>
      </c>
      <c r="LP37" s="20">
        <v>41096</v>
      </c>
      <c r="LQ37" s="20">
        <v>41096</v>
      </c>
      <c r="LR37" s="20">
        <v>41096</v>
      </c>
      <c r="LS37" s="20">
        <v>41096</v>
      </c>
      <c r="LT37" s="20">
        <v>41096</v>
      </c>
      <c r="LU37" s="20">
        <v>41096</v>
      </c>
      <c r="LV37" s="20"/>
      <c r="LW37" s="20"/>
      <c r="LX37" s="20"/>
      <c r="LY37" s="20"/>
      <c r="LZ37" s="20"/>
      <c r="MA37" s="20"/>
      <c r="MB37" s="20"/>
      <c r="MC37" s="21">
        <f t="shared" si="19"/>
        <v>410960</v>
      </c>
      <c r="MD37" s="49">
        <v>5</v>
      </c>
      <c r="ME37" s="21">
        <f t="shared" si="37"/>
        <v>2054800</v>
      </c>
      <c r="MF37" s="110"/>
      <c r="MH37" s="107"/>
      <c r="MI37" s="23" t="s">
        <v>45</v>
      </c>
      <c r="MJ37" s="20"/>
      <c r="MK37" s="20"/>
      <c r="ML37" s="20"/>
      <c r="MM37" s="20"/>
      <c r="MN37" s="20"/>
      <c r="MO37" s="20"/>
      <c r="MP37" s="20"/>
      <c r="MQ37" s="20">
        <v>41096</v>
      </c>
      <c r="MR37" s="20">
        <v>41096</v>
      </c>
      <c r="MS37" s="20">
        <v>41096</v>
      </c>
      <c r="MT37" s="20">
        <v>41096</v>
      </c>
      <c r="MU37" s="20">
        <v>41096</v>
      </c>
      <c r="MV37" s="20">
        <v>41096</v>
      </c>
      <c r="MW37" s="20">
        <v>41096</v>
      </c>
      <c r="MX37" s="20">
        <v>41096</v>
      </c>
      <c r="MY37" s="20">
        <v>41096</v>
      </c>
      <c r="MZ37" s="20">
        <v>41096</v>
      </c>
      <c r="NA37" s="20"/>
      <c r="NB37" s="20"/>
      <c r="NC37" s="20"/>
      <c r="ND37" s="20"/>
      <c r="NE37" s="20"/>
      <c r="NF37" s="20"/>
      <c r="NG37" s="20"/>
      <c r="NH37" s="21">
        <f t="shared" si="21"/>
        <v>410960</v>
      </c>
      <c r="NI37" s="49">
        <v>4</v>
      </c>
      <c r="NJ37" s="21">
        <f t="shared" si="38"/>
        <v>1643840</v>
      </c>
      <c r="NK37" s="110"/>
      <c r="NM37" s="107"/>
      <c r="NN37" s="23" t="s">
        <v>45</v>
      </c>
      <c r="NO37" s="20"/>
      <c r="NP37" s="20"/>
      <c r="NQ37" s="20"/>
      <c r="NR37" s="20"/>
      <c r="NS37" s="20"/>
      <c r="NT37" s="20"/>
      <c r="NU37" s="20"/>
      <c r="NV37" s="20">
        <v>41096</v>
      </c>
      <c r="NW37" s="20">
        <v>41096</v>
      </c>
      <c r="NX37" s="20">
        <v>41096</v>
      </c>
      <c r="NY37" s="20">
        <v>41096</v>
      </c>
      <c r="NZ37" s="20">
        <v>41096</v>
      </c>
      <c r="OA37" s="20">
        <v>41096</v>
      </c>
      <c r="OB37" s="20">
        <v>41096</v>
      </c>
      <c r="OC37" s="20">
        <v>41096</v>
      </c>
      <c r="OD37" s="20">
        <v>41096</v>
      </c>
      <c r="OE37" s="20">
        <v>41096</v>
      </c>
      <c r="OF37" s="20"/>
      <c r="OG37" s="20"/>
      <c r="OH37" s="20"/>
      <c r="OI37" s="20"/>
      <c r="OJ37" s="20"/>
      <c r="OK37" s="20"/>
      <c r="OL37" s="20"/>
      <c r="OM37" s="21">
        <f t="shared" si="23"/>
        <v>410960</v>
      </c>
      <c r="ON37" s="49">
        <v>3</v>
      </c>
      <c r="OO37" s="21">
        <f t="shared" si="39"/>
        <v>1232880</v>
      </c>
      <c r="OP37" s="110"/>
      <c r="OR37" s="107"/>
      <c r="OS37" s="23" t="s">
        <v>45</v>
      </c>
      <c r="OT37" s="20"/>
      <c r="OU37" s="20"/>
      <c r="OV37" s="20"/>
      <c r="OW37" s="20"/>
      <c r="OX37" s="20"/>
      <c r="OY37" s="20"/>
      <c r="OZ37" s="20"/>
      <c r="PA37" s="20">
        <v>41096</v>
      </c>
      <c r="PB37" s="20">
        <v>41096</v>
      </c>
      <c r="PC37" s="20">
        <v>41096</v>
      </c>
      <c r="PD37" s="20">
        <v>41096</v>
      </c>
      <c r="PE37" s="20">
        <v>41096</v>
      </c>
      <c r="PF37" s="20">
        <v>41096</v>
      </c>
      <c r="PG37" s="20">
        <v>41096</v>
      </c>
      <c r="PH37" s="20">
        <v>41096</v>
      </c>
      <c r="PI37" s="20">
        <v>41096</v>
      </c>
      <c r="PJ37" s="20">
        <v>41096</v>
      </c>
      <c r="PK37" s="20"/>
      <c r="PL37" s="20"/>
      <c r="PM37" s="20"/>
      <c r="PN37" s="20"/>
      <c r="PO37" s="20"/>
      <c r="PP37" s="20"/>
      <c r="PQ37" s="20"/>
      <c r="PR37" s="21">
        <f t="shared" si="25"/>
        <v>410960</v>
      </c>
      <c r="PS37" s="62">
        <v>4</v>
      </c>
      <c r="PT37" s="21">
        <f t="shared" si="40"/>
        <v>1643840</v>
      </c>
      <c r="PU37" s="110"/>
    </row>
    <row r="38" spans="3:437" ht="15" thickBot="1" x14ac:dyDescent="0.4">
      <c r="C38" s="108"/>
      <c r="D38" s="24" t="s">
        <v>46</v>
      </c>
      <c r="E38" s="20"/>
      <c r="F38" s="92"/>
      <c r="G38" s="20"/>
      <c r="H38" s="20"/>
      <c r="I38" s="20"/>
      <c r="J38" s="20"/>
      <c r="K38" s="20"/>
      <c r="L38" s="20">
        <v>41096</v>
      </c>
      <c r="M38" s="20">
        <v>41096</v>
      </c>
      <c r="N38" s="20">
        <v>41096</v>
      </c>
      <c r="O38" s="20">
        <v>41096</v>
      </c>
      <c r="P38" s="20">
        <v>41096</v>
      </c>
      <c r="Q38" s="20">
        <v>41096</v>
      </c>
      <c r="R38" s="20">
        <v>41096</v>
      </c>
      <c r="S38" s="20">
        <v>41096</v>
      </c>
      <c r="T38" s="20">
        <v>41096</v>
      </c>
      <c r="U38" s="20">
        <v>41096</v>
      </c>
      <c r="V38" s="20"/>
      <c r="W38" s="20"/>
      <c r="X38" s="20"/>
      <c r="Y38" s="20"/>
      <c r="Z38" s="20"/>
      <c r="AA38" s="20"/>
      <c r="AB38" s="20"/>
      <c r="AC38" s="21">
        <f t="shared" si="0"/>
        <v>410960</v>
      </c>
      <c r="AD38" s="22">
        <v>2</v>
      </c>
      <c r="AE38" s="21">
        <f t="shared" si="27"/>
        <v>821920</v>
      </c>
      <c r="AF38" s="111"/>
      <c r="AH38" s="108"/>
      <c r="AI38" s="24" t="s">
        <v>46</v>
      </c>
      <c r="AJ38" s="20"/>
      <c r="AK38" s="20"/>
      <c r="AL38" s="20"/>
      <c r="AM38" s="20"/>
      <c r="AN38" s="20"/>
      <c r="AO38" s="20"/>
      <c r="AP38" s="20"/>
      <c r="AQ38" s="20">
        <v>41096</v>
      </c>
      <c r="AR38" s="20">
        <v>41096</v>
      </c>
      <c r="AS38" s="20">
        <v>41096</v>
      </c>
      <c r="AT38" s="20">
        <v>41096</v>
      </c>
      <c r="AU38" s="20">
        <v>41096</v>
      </c>
      <c r="AV38" s="20">
        <v>41096</v>
      </c>
      <c r="AW38" s="20">
        <v>41096</v>
      </c>
      <c r="AX38" s="20">
        <v>41096</v>
      </c>
      <c r="AY38" s="20">
        <v>41096</v>
      </c>
      <c r="AZ38" s="20">
        <v>41096</v>
      </c>
      <c r="BA38" s="20"/>
      <c r="BB38" s="20"/>
      <c r="BC38" s="20"/>
      <c r="BD38" s="20"/>
      <c r="BE38" s="20"/>
      <c r="BF38" s="20"/>
      <c r="BG38" s="20"/>
      <c r="BH38" s="21">
        <f t="shared" si="2"/>
        <v>410960</v>
      </c>
      <c r="BI38" s="50">
        <v>2</v>
      </c>
      <c r="BJ38" s="21">
        <f t="shared" si="28"/>
        <v>821920</v>
      </c>
      <c r="BK38" s="111"/>
      <c r="BM38" s="108"/>
      <c r="BN38" s="24" t="s">
        <v>46</v>
      </c>
      <c r="BO38" s="20"/>
      <c r="BP38" s="20"/>
      <c r="BQ38" s="20"/>
      <c r="BR38" s="20"/>
      <c r="BS38" s="20"/>
      <c r="BT38" s="20"/>
      <c r="BU38" s="20"/>
      <c r="BV38" s="20">
        <v>41096</v>
      </c>
      <c r="BW38" s="20">
        <v>41096</v>
      </c>
      <c r="BX38" s="20">
        <v>41096</v>
      </c>
      <c r="BY38" s="20">
        <v>41096</v>
      </c>
      <c r="BZ38" s="20">
        <v>41096</v>
      </c>
      <c r="CA38" s="20">
        <v>41096</v>
      </c>
      <c r="CB38" s="20">
        <v>41096</v>
      </c>
      <c r="CC38" s="20">
        <v>41096</v>
      </c>
      <c r="CD38" s="20">
        <v>41096</v>
      </c>
      <c r="CE38" s="20">
        <v>41096</v>
      </c>
      <c r="CF38" s="20"/>
      <c r="CG38" s="20"/>
      <c r="CH38" s="20"/>
      <c r="CI38" s="20"/>
      <c r="CJ38" s="20"/>
      <c r="CK38" s="20"/>
      <c r="CL38" s="20"/>
      <c r="CM38" s="21">
        <f t="shared" si="4"/>
        <v>410960</v>
      </c>
      <c r="CN38" s="50">
        <v>2</v>
      </c>
      <c r="CO38" s="21">
        <f t="shared" si="29"/>
        <v>821920</v>
      </c>
      <c r="CP38" s="111"/>
      <c r="CS38" s="108"/>
      <c r="CT38" s="24" t="s">
        <v>46</v>
      </c>
      <c r="CU38" s="20"/>
      <c r="CV38" s="20"/>
      <c r="CW38" s="20"/>
      <c r="CX38" s="20"/>
      <c r="CY38" s="20"/>
      <c r="CZ38" s="20"/>
      <c r="DA38" s="20"/>
      <c r="DB38" s="20">
        <v>41096</v>
      </c>
      <c r="DC38" s="20">
        <v>41096</v>
      </c>
      <c r="DD38" s="20">
        <v>41096</v>
      </c>
      <c r="DE38" s="20">
        <v>41096</v>
      </c>
      <c r="DF38" s="20">
        <v>41096</v>
      </c>
      <c r="DG38" s="20">
        <v>41096</v>
      </c>
      <c r="DH38" s="20">
        <v>41096</v>
      </c>
      <c r="DI38" s="20">
        <v>41096</v>
      </c>
      <c r="DJ38" s="20">
        <v>41096</v>
      </c>
      <c r="DK38" s="20">
        <v>41096</v>
      </c>
      <c r="DL38" s="20"/>
      <c r="DM38" s="20"/>
      <c r="DN38" s="20"/>
      <c r="DO38" s="20"/>
      <c r="DP38" s="20"/>
      <c r="DQ38" s="20"/>
      <c r="DR38" s="20"/>
      <c r="DS38" s="21">
        <f t="shared" si="6"/>
        <v>410960</v>
      </c>
      <c r="DT38" s="50">
        <v>2</v>
      </c>
      <c r="DU38" s="21">
        <f t="shared" si="30"/>
        <v>821920</v>
      </c>
      <c r="DV38" s="111"/>
      <c r="DY38" s="108"/>
      <c r="DZ38" s="24" t="s">
        <v>46</v>
      </c>
      <c r="EA38" s="20"/>
      <c r="EB38" s="20"/>
      <c r="EC38" s="20"/>
      <c r="ED38" s="20"/>
      <c r="EE38" s="20"/>
      <c r="EF38" s="20"/>
      <c r="EG38" s="20"/>
      <c r="EH38" s="20">
        <v>41096</v>
      </c>
      <c r="EI38" s="20">
        <v>41096</v>
      </c>
      <c r="EJ38" s="20">
        <v>41096</v>
      </c>
      <c r="EK38" s="20">
        <v>41096</v>
      </c>
      <c r="EL38" s="20">
        <v>41096</v>
      </c>
      <c r="EM38" s="20">
        <v>41096</v>
      </c>
      <c r="EN38" s="20">
        <v>41096</v>
      </c>
      <c r="EO38" s="20">
        <v>41096</v>
      </c>
      <c r="EP38" s="20">
        <v>41096</v>
      </c>
      <c r="EQ38" s="20">
        <v>41096</v>
      </c>
      <c r="ER38" s="20"/>
      <c r="ES38" s="20"/>
      <c r="ET38" s="20"/>
      <c r="EU38" s="20"/>
      <c r="EV38" s="20"/>
      <c r="EW38" s="20"/>
      <c r="EX38" s="20"/>
      <c r="EY38" s="21">
        <f t="shared" si="7"/>
        <v>410960</v>
      </c>
      <c r="EZ38" s="50">
        <v>2</v>
      </c>
      <c r="FA38" s="21">
        <f t="shared" si="31"/>
        <v>821920</v>
      </c>
      <c r="FB38" s="111"/>
      <c r="FD38" s="108"/>
      <c r="FE38" s="24" t="s">
        <v>46</v>
      </c>
      <c r="FF38" s="20"/>
      <c r="FG38" s="20"/>
      <c r="FH38" s="20"/>
      <c r="FI38" s="20"/>
      <c r="FJ38" s="20"/>
      <c r="FK38" s="20"/>
      <c r="FL38" s="20"/>
      <c r="FM38" s="20">
        <v>41096</v>
      </c>
      <c r="FN38" s="20">
        <v>41096</v>
      </c>
      <c r="FO38" s="20">
        <v>41096</v>
      </c>
      <c r="FP38" s="20">
        <v>41096</v>
      </c>
      <c r="FQ38" s="20">
        <v>41096</v>
      </c>
      <c r="FR38" s="20">
        <v>41096</v>
      </c>
      <c r="FS38" s="20">
        <v>41096</v>
      </c>
      <c r="FT38" s="20">
        <v>41096</v>
      </c>
      <c r="FU38" s="20">
        <v>41096</v>
      </c>
      <c r="FV38" s="20">
        <v>41096</v>
      </c>
      <c r="FW38" s="20"/>
      <c r="FX38" s="20"/>
      <c r="FY38" s="20"/>
      <c r="FZ38" s="20"/>
      <c r="GA38" s="20"/>
      <c r="GB38" s="20"/>
      <c r="GC38" s="20"/>
      <c r="GD38" s="21">
        <f t="shared" si="9"/>
        <v>410960</v>
      </c>
      <c r="GE38" s="50">
        <v>2</v>
      </c>
      <c r="GF38" s="21">
        <f t="shared" si="32"/>
        <v>821920</v>
      </c>
      <c r="GG38" s="111"/>
      <c r="GI38" s="108"/>
      <c r="GJ38" s="24" t="s">
        <v>46</v>
      </c>
      <c r="GK38" s="20"/>
      <c r="GL38" s="20"/>
      <c r="GM38" s="20"/>
      <c r="GN38" s="20"/>
      <c r="GO38" s="20"/>
      <c r="GP38" s="20"/>
      <c r="GQ38" s="20"/>
      <c r="GR38" s="20">
        <v>41096</v>
      </c>
      <c r="GS38" s="20">
        <v>41096</v>
      </c>
      <c r="GT38" s="20">
        <v>41096</v>
      </c>
      <c r="GU38" s="20">
        <v>41096</v>
      </c>
      <c r="GV38" s="20">
        <v>41096</v>
      </c>
      <c r="GW38" s="20">
        <v>41096</v>
      </c>
      <c r="GX38" s="20">
        <v>41096</v>
      </c>
      <c r="GY38" s="20">
        <v>41096</v>
      </c>
      <c r="GZ38" s="20">
        <v>41096</v>
      </c>
      <c r="HA38" s="20">
        <v>41096</v>
      </c>
      <c r="HB38" s="20"/>
      <c r="HC38" s="20"/>
      <c r="HD38" s="20"/>
      <c r="HE38" s="20"/>
      <c r="HF38" s="20"/>
      <c r="HG38" s="20"/>
      <c r="HH38" s="20"/>
      <c r="HI38" s="21">
        <f t="shared" si="11"/>
        <v>410960</v>
      </c>
      <c r="HJ38" s="50">
        <v>2</v>
      </c>
      <c r="HK38" s="21">
        <f t="shared" si="33"/>
        <v>821920</v>
      </c>
      <c r="HL38" s="111"/>
      <c r="HN38" s="108"/>
      <c r="HO38" s="24" t="s">
        <v>46</v>
      </c>
      <c r="HP38" s="20"/>
      <c r="HQ38" s="20"/>
      <c r="HR38" s="20"/>
      <c r="HS38" s="20"/>
      <c r="HT38" s="20"/>
      <c r="HU38" s="20"/>
      <c r="HV38" s="20"/>
      <c r="HW38" s="20">
        <v>41096</v>
      </c>
      <c r="HX38" s="20">
        <v>41096</v>
      </c>
      <c r="HY38" s="20">
        <v>41096</v>
      </c>
      <c r="HZ38" s="20">
        <v>41096</v>
      </c>
      <c r="IA38" s="20">
        <v>41096</v>
      </c>
      <c r="IB38" s="20">
        <v>41096</v>
      </c>
      <c r="IC38" s="20">
        <v>41096</v>
      </c>
      <c r="ID38" s="20">
        <v>41096</v>
      </c>
      <c r="IE38" s="20">
        <v>41096</v>
      </c>
      <c r="IF38" s="20">
        <v>41096</v>
      </c>
      <c r="IG38" s="20"/>
      <c r="IH38" s="20"/>
      <c r="II38" s="20"/>
      <c r="IJ38" s="20"/>
      <c r="IK38" s="20"/>
      <c r="IL38" s="20"/>
      <c r="IM38" s="20"/>
      <c r="IN38" s="21">
        <f t="shared" si="13"/>
        <v>410960</v>
      </c>
      <c r="IO38" s="50">
        <v>2</v>
      </c>
      <c r="IP38" s="21">
        <f t="shared" si="34"/>
        <v>821920</v>
      </c>
      <c r="IQ38" s="111"/>
      <c r="IS38" s="108"/>
      <c r="IT38" s="24" t="s">
        <v>46</v>
      </c>
      <c r="IU38" s="20"/>
      <c r="IV38" s="20"/>
      <c r="IW38" s="20"/>
      <c r="IX38" s="20"/>
      <c r="IY38" s="20"/>
      <c r="IZ38" s="20"/>
      <c r="JA38" s="20"/>
      <c r="JB38" s="20">
        <v>41096</v>
      </c>
      <c r="JC38" s="20">
        <v>41096</v>
      </c>
      <c r="JD38" s="20">
        <v>41096</v>
      </c>
      <c r="JE38" s="20">
        <v>41096</v>
      </c>
      <c r="JF38" s="20">
        <v>41096</v>
      </c>
      <c r="JG38" s="20">
        <v>41096</v>
      </c>
      <c r="JH38" s="20">
        <v>41096</v>
      </c>
      <c r="JI38" s="20">
        <v>41096</v>
      </c>
      <c r="JJ38" s="20">
        <v>41096</v>
      </c>
      <c r="JK38" s="20">
        <v>41096</v>
      </c>
      <c r="JL38" s="20"/>
      <c r="JM38" s="20"/>
      <c r="JN38" s="20"/>
      <c r="JO38" s="20"/>
      <c r="JP38" s="20"/>
      <c r="JQ38" s="20"/>
      <c r="JR38" s="20"/>
      <c r="JS38" s="21">
        <f t="shared" si="15"/>
        <v>410960</v>
      </c>
      <c r="JT38" s="50">
        <v>2</v>
      </c>
      <c r="JU38" s="21">
        <f t="shared" si="35"/>
        <v>821920</v>
      </c>
      <c r="JV38" s="111"/>
      <c r="JX38" s="108"/>
      <c r="JY38" s="24" t="s">
        <v>46</v>
      </c>
      <c r="JZ38" s="20"/>
      <c r="KA38" s="20"/>
      <c r="KB38" s="20"/>
      <c r="KC38" s="20"/>
      <c r="KD38" s="20"/>
      <c r="KE38" s="20"/>
      <c r="KF38" s="20"/>
      <c r="KG38" s="20">
        <v>41096</v>
      </c>
      <c r="KH38" s="20">
        <v>41096</v>
      </c>
      <c r="KI38" s="20">
        <v>41096</v>
      </c>
      <c r="KJ38" s="20">
        <v>41096</v>
      </c>
      <c r="KK38" s="20">
        <v>41096</v>
      </c>
      <c r="KL38" s="20">
        <v>41096</v>
      </c>
      <c r="KM38" s="20">
        <v>41096</v>
      </c>
      <c r="KN38" s="20">
        <v>41096</v>
      </c>
      <c r="KO38" s="20">
        <v>41096</v>
      </c>
      <c r="KP38" s="20">
        <v>41096</v>
      </c>
      <c r="KQ38" s="20"/>
      <c r="KR38" s="20"/>
      <c r="KS38" s="20"/>
      <c r="KT38" s="20"/>
      <c r="KU38" s="20"/>
      <c r="KV38" s="20"/>
      <c r="KW38" s="20"/>
      <c r="KX38" s="21">
        <f t="shared" si="17"/>
        <v>410960</v>
      </c>
      <c r="KY38" s="50">
        <v>2</v>
      </c>
      <c r="KZ38" s="21">
        <f t="shared" si="36"/>
        <v>821920</v>
      </c>
      <c r="LA38" s="111"/>
      <c r="LC38" s="108"/>
      <c r="LD38" s="24" t="s">
        <v>46</v>
      </c>
      <c r="LE38" s="20"/>
      <c r="LF38" s="20"/>
      <c r="LG38" s="20"/>
      <c r="LH38" s="20"/>
      <c r="LI38" s="20"/>
      <c r="LJ38" s="20"/>
      <c r="LK38" s="20"/>
      <c r="LL38" s="20">
        <v>41096</v>
      </c>
      <c r="LM38" s="20">
        <v>41096</v>
      </c>
      <c r="LN38" s="20">
        <v>41096</v>
      </c>
      <c r="LO38" s="20">
        <v>41096</v>
      </c>
      <c r="LP38" s="20">
        <v>41096</v>
      </c>
      <c r="LQ38" s="20">
        <v>41096</v>
      </c>
      <c r="LR38" s="20">
        <v>41096</v>
      </c>
      <c r="LS38" s="20">
        <v>41096</v>
      </c>
      <c r="LT38" s="20">
        <v>41096</v>
      </c>
      <c r="LU38" s="20">
        <v>41096</v>
      </c>
      <c r="LV38" s="20"/>
      <c r="LW38" s="20"/>
      <c r="LX38" s="20"/>
      <c r="LY38" s="20"/>
      <c r="LZ38" s="20"/>
      <c r="MA38" s="20"/>
      <c r="MB38" s="20"/>
      <c r="MC38" s="21">
        <f t="shared" si="19"/>
        <v>410960</v>
      </c>
      <c r="MD38" s="50">
        <v>2</v>
      </c>
      <c r="ME38" s="21">
        <f t="shared" si="37"/>
        <v>821920</v>
      </c>
      <c r="MF38" s="111"/>
      <c r="MH38" s="108"/>
      <c r="MI38" s="24" t="s">
        <v>46</v>
      </c>
      <c r="MJ38" s="20"/>
      <c r="MK38" s="20"/>
      <c r="ML38" s="20"/>
      <c r="MM38" s="20"/>
      <c r="MN38" s="20"/>
      <c r="MO38" s="20"/>
      <c r="MP38" s="20"/>
      <c r="MQ38" s="20">
        <v>41096</v>
      </c>
      <c r="MR38" s="20">
        <v>41096</v>
      </c>
      <c r="MS38" s="20">
        <v>41096</v>
      </c>
      <c r="MT38" s="20">
        <v>41096</v>
      </c>
      <c r="MU38" s="20">
        <v>41096</v>
      </c>
      <c r="MV38" s="20">
        <v>41096</v>
      </c>
      <c r="MW38" s="20">
        <v>41096</v>
      </c>
      <c r="MX38" s="20">
        <v>41096</v>
      </c>
      <c r="MY38" s="20">
        <v>41096</v>
      </c>
      <c r="MZ38" s="20">
        <v>41096</v>
      </c>
      <c r="NA38" s="20"/>
      <c r="NB38" s="20"/>
      <c r="NC38" s="20"/>
      <c r="ND38" s="20"/>
      <c r="NE38" s="20"/>
      <c r="NF38" s="20"/>
      <c r="NG38" s="20"/>
      <c r="NH38" s="21">
        <f t="shared" si="21"/>
        <v>410960</v>
      </c>
      <c r="NI38" s="50">
        <v>2</v>
      </c>
      <c r="NJ38" s="21">
        <f t="shared" si="38"/>
        <v>821920</v>
      </c>
      <c r="NK38" s="111"/>
      <c r="NM38" s="108"/>
      <c r="NN38" s="24" t="s">
        <v>46</v>
      </c>
      <c r="NO38" s="20"/>
      <c r="NP38" s="20"/>
      <c r="NQ38" s="20"/>
      <c r="NR38" s="20"/>
      <c r="NS38" s="20"/>
      <c r="NT38" s="20"/>
      <c r="NU38" s="20"/>
      <c r="NV38" s="20">
        <v>41096</v>
      </c>
      <c r="NW38" s="20">
        <v>41096</v>
      </c>
      <c r="NX38" s="20">
        <v>41096</v>
      </c>
      <c r="NY38" s="20">
        <v>41096</v>
      </c>
      <c r="NZ38" s="20">
        <v>41096</v>
      </c>
      <c r="OA38" s="20">
        <v>41096</v>
      </c>
      <c r="OB38" s="20">
        <v>41096</v>
      </c>
      <c r="OC38" s="20">
        <v>41096</v>
      </c>
      <c r="OD38" s="20">
        <v>41096</v>
      </c>
      <c r="OE38" s="20">
        <v>41096</v>
      </c>
      <c r="OF38" s="20"/>
      <c r="OG38" s="20"/>
      <c r="OH38" s="20"/>
      <c r="OI38" s="20"/>
      <c r="OJ38" s="20"/>
      <c r="OK38" s="20"/>
      <c r="OL38" s="20"/>
      <c r="OM38" s="21">
        <f t="shared" si="23"/>
        <v>410960</v>
      </c>
      <c r="ON38" s="50">
        <v>2</v>
      </c>
      <c r="OO38" s="21">
        <f t="shared" si="39"/>
        <v>821920</v>
      </c>
      <c r="OP38" s="111"/>
      <c r="OR38" s="108"/>
      <c r="OS38" s="24" t="s">
        <v>46</v>
      </c>
      <c r="OT38" s="20"/>
      <c r="OU38" s="20"/>
      <c r="OV38" s="20"/>
      <c r="OW38" s="20"/>
      <c r="OX38" s="20"/>
      <c r="OY38" s="20"/>
      <c r="OZ38" s="20"/>
      <c r="PA38" s="20">
        <v>41096</v>
      </c>
      <c r="PB38" s="20">
        <v>41096</v>
      </c>
      <c r="PC38" s="20">
        <v>41096</v>
      </c>
      <c r="PD38" s="20">
        <v>41096</v>
      </c>
      <c r="PE38" s="20">
        <v>41096</v>
      </c>
      <c r="PF38" s="20">
        <v>41096</v>
      </c>
      <c r="PG38" s="20">
        <v>41096</v>
      </c>
      <c r="PH38" s="20">
        <v>41096</v>
      </c>
      <c r="PI38" s="20">
        <v>41096</v>
      </c>
      <c r="PJ38" s="20">
        <v>41096</v>
      </c>
      <c r="PK38" s="20"/>
      <c r="PL38" s="20"/>
      <c r="PM38" s="20"/>
      <c r="PN38" s="20"/>
      <c r="PO38" s="20"/>
      <c r="PP38" s="20"/>
      <c r="PQ38" s="20"/>
      <c r="PR38" s="21">
        <f t="shared" si="25"/>
        <v>410960</v>
      </c>
      <c r="PS38" s="64">
        <v>2</v>
      </c>
      <c r="PT38" s="21">
        <f t="shared" si="40"/>
        <v>821920</v>
      </c>
      <c r="PU38" s="111"/>
    </row>
    <row r="39" spans="3:437" x14ac:dyDescent="0.35">
      <c r="C39" s="106">
        <v>46631</v>
      </c>
      <c r="D39" s="19" t="s">
        <v>43</v>
      </c>
      <c r="E39" s="20"/>
      <c r="F39" s="92"/>
      <c r="G39" s="20"/>
      <c r="H39" s="20"/>
      <c r="I39" s="20"/>
      <c r="J39" s="20"/>
      <c r="K39" s="20"/>
      <c r="L39" s="20">
        <v>41096</v>
      </c>
      <c r="M39" s="20">
        <v>41096</v>
      </c>
      <c r="N39" s="20">
        <v>41096</v>
      </c>
      <c r="O39" s="20">
        <v>41096</v>
      </c>
      <c r="P39" s="20">
        <v>41096</v>
      </c>
      <c r="Q39" s="20">
        <v>41096</v>
      </c>
      <c r="R39" s="20">
        <v>41096</v>
      </c>
      <c r="S39" s="20">
        <v>41096</v>
      </c>
      <c r="T39" s="20">
        <v>41096</v>
      </c>
      <c r="U39" s="20">
        <v>41096</v>
      </c>
      <c r="V39" s="20"/>
      <c r="W39" s="20"/>
      <c r="X39" s="20"/>
      <c r="Y39" s="20"/>
      <c r="Z39" s="20"/>
      <c r="AA39" s="20"/>
      <c r="AB39" s="20"/>
      <c r="AC39" s="21">
        <f t="shared" si="0"/>
        <v>410960</v>
      </c>
      <c r="AD39" s="22">
        <v>22</v>
      </c>
      <c r="AE39" s="21">
        <f t="shared" si="27"/>
        <v>9041120</v>
      </c>
      <c r="AF39" s="109">
        <f>+SUM(AE39:AE42)</f>
        <v>12328800</v>
      </c>
      <c r="AH39" s="106">
        <v>46997</v>
      </c>
      <c r="AI39" s="19" t="s">
        <v>43</v>
      </c>
      <c r="AJ39" s="20"/>
      <c r="AK39" s="20"/>
      <c r="AL39" s="20"/>
      <c r="AM39" s="20"/>
      <c r="AN39" s="20"/>
      <c r="AO39" s="20"/>
      <c r="AP39" s="20"/>
      <c r="AQ39" s="20">
        <v>41096</v>
      </c>
      <c r="AR39" s="20">
        <v>41096</v>
      </c>
      <c r="AS39" s="20">
        <v>41096</v>
      </c>
      <c r="AT39" s="20">
        <v>41096</v>
      </c>
      <c r="AU39" s="20">
        <v>41096</v>
      </c>
      <c r="AV39" s="20">
        <v>41096</v>
      </c>
      <c r="AW39" s="20">
        <v>41096</v>
      </c>
      <c r="AX39" s="20">
        <v>41096</v>
      </c>
      <c r="AY39" s="20">
        <v>41096</v>
      </c>
      <c r="AZ39" s="20">
        <v>41096</v>
      </c>
      <c r="BA39" s="20"/>
      <c r="BB39" s="20"/>
      <c r="BC39" s="20"/>
      <c r="BD39" s="20"/>
      <c r="BE39" s="20"/>
      <c r="BF39" s="20"/>
      <c r="BG39" s="20"/>
      <c r="BH39" s="21">
        <f t="shared" si="2"/>
        <v>410960</v>
      </c>
      <c r="BI39" s="48">
        <v>21</v>
      </c>
      <c r="BJ39" s="21">
        <f t="shared" si="28"/>
        <v>8630160</v>
      </c>
      <c r="BK39" s="109">
        <f>+SUM(BJ39:BJ42)</f>
        <v>12328800</v>
      </c>
      <c r="BM39" s="106">
        <v>47362</v>
      </c>
      <c r="BN39" s="19" t="s">
        <v>43</v>
      </c>
      <c r="BO39" s="20"/>
      <c r="BP39" s="20"/>
      <c r="BQ39" s="20"/>
      <c r="BR39" s="20"/>
      <c r="BS39" s="20"/>
      <c r="BT39" s="20"/>
      <c r="BU39" s="20"/>
      <c r="BV39" s="20">
        <v>41096</v>
      </c>
      <c r="BW39" s="20">
        <v>41096</v>
      </c>
      <c r="BX39" s="20">
        <v>41096</v>
      </c>
      <c r="BY39" s="20">
        <v>41096</v>
      </c>
      <c r="BZ39" s="20">
        <v>41096</v>
      </c>
      <c r="CA39" s="20">
        <v>41096</v>
      </c>
      <c r="CB39" s="20">
        <v>41096</v>
      </c>
      <c r="CC39" s="20">
        <v>41096</v>
      </c>
      <c r="CD39" s="20">
        <v>41096</v>
      </c>
      <c r="CE39" s="20">
        <v>41096</v>
      </c>
      <c r="CF39" s="20"/>
      <c r="CG39" s="20"/>
      <c r="CH39" s="20"/>
      <c r="CI39" s="20"/>
      <c r="CJ39" s="20"/>
      <c r="CK39" s="20"/>
      <c r="CL39" s="20"/>
      <c r="CM39" s="21">
        <f t="shared" si="4"/>
        <v>410960</v>
      </c>
      <c r="CN39" s="48">
        <v>20</v>
      </c>
      <c r="CO39" s="21">
        <f t="shared" si="29"/>
        <v>8219200</v>
      </c>
      <c r="CP39" s="109">
        <f>+SUM(CO39:CO42)</f>
        <v>12328800</v>
      </c>
      <c r="CS39" s="106">
        <v>47727</v>
      </c>
      <c r="CT39" s="19" t="s">
        <v>43</v>
      </c>
      <c r="CU39" s="20"/>
      <c r="CV39" s="20"/>
      <c r="CW39" s="20"/>
      <c r="CX39" s="20"/>
      <c r="CY39" s="20"/>
      <c r="CZ39" s="20"/>
      <c r="DA39" s="20"/>
      <c r="DB39" s="20">
        <v>41096</v>
      </c>
      <c r="DC39" s="20">
        <v>41096</v>
      </c>
      <c r="DD39" s="20">
        <v>41096</v>
      </c>
      <c r="DE39" s="20">
        <v>41096</v>
      </c>
      <c r="DF39" s="20">
        <v>41096</v>
      </c>
      <c r="DG39" s="20">
        <v>41096</v>
      </c>
      <c r="DH39" s="20">
        <v>41096</v>
      </c>
      <c r="DI39" s="20">
        <v>41096</v>
      </c>
      <c r="DJ39" s="20">
        <v>41096</v>
      </c>
      <c r="DK39" s="20">
        <v>41096</v>
      </c>
      <c r="DL39" s="20"/>
      <c r="DM39" s="20"/>
      <c r="DN39" s="20"/>
      <c r="DO39" s="20"/>
      <c r="DP39" s="20"/>
      <c r="DQ39" s="20"/>
      <c r="DR39" s="20"/>
      <c r="DS39" s="21">
        <f t="shared" si="6"/>
        <v>410960</v>
      </c>
      <c r="DT39" s="48">
        <v>21</v>
      </c>
      <c r="DU39" s="21">
        <f t="shared" si="30"/>
        <v>8630160</v>
      </c>
      <c r="DV39" s="109">
        <f>+SUM(DU39:DU42)</f>
        <v>12328800</v>
      </c>
      <c r="DY39" s="106">
        <v>48092</v>
      </c>
      <c r="DZ39" s="19" t="s">
        <v>43</v>
      </c>
      <c r="EA39" s="20"/>
      <c r="EB39" s="20"/>
      <c r="EC39" s="20"/>
      <c r="ED39" s="20"/>
      <c r="EE39" s="20"/>
      <c r="EF39" s="20"/>
      <c r="EG39" s="20"/>
      <c r="EH39" s="20">
        <v>41096</v>
      </c>
      <c r="EI39" s="20">
        <v>41096</v>
      </c>
      <c r="EJ39" s="20">
        <v>41096</v>
      </c>
      <c r="EK39" s="20">
        <v>41096</v>
      </c>
      <c r="EL39" s="20">
        <v>41096</v>
      </c>
      <c r="EM39" s="20">
        <v>41096</v>
      </c>
      <c r="EN39" s="20">
        <v>41096</v>
      </c>
      <c r="EO39" s="20">
        <v>41096</v>
      </c>
      <c r="EP39" s="20">
        <v>41096</v>
      </c>
      <c r="EQ39" s="20">
        <v>41096</v>
      </c>
      <c r="ER39" s="20"/>
      <c r="ES39" s="20"/>
      <c r="ET39" s="20"/>
      <c r="EU39" s="20"/>
      <c r="EV39" s="20"/>
      <c r="EW39" s="20"/>
      <c r="EX39" s="20"/>
      <c r="EY39" s="21">
        <f t="shared" si="7"/>
        <v>410960</v>
      </c>
      <c r="EZ39" s="48">
        <v>22</v>
      </c>
      <c r="FA39" s="21">
        <f t="shared" si="31"/>
        <v>9041120</v>
      </c>
      <c r="FB39" s="109">
        <f>+SUM(FA39:FA42)</f>
        <v>12328800</v>
      </c>
      <c r="FD39" s="106">
        <v>48458</v>
      </c>
      <c r="FE39" s="19" t="s">
        <v>43</v>
      </c>
      <c r="FF39" s="20"/>
      <c r="FG39" s="20"/>
      <c r="FH39" s="20"/>
      <c r="FI39" s="20"/>
      <c r="FJ39" s="20"/>
      <c r="FK39" s="20"/>
      <c r="FL39" s="20"/>
      <c r="FM39" s="20">
        <v>41096</v>
      </c>
      <c r="FN39" s="20">
        <v>41096</v>
      </c>
      <c r="FO39" s="20">
        <v>41096</v>
      </c>
      <c r="FP39" s="20">
        <v>41096</v>
      </c>
      <c r="FQ39" s="20">
        <v>41096</v>
      </c>
      <c r="FR39" s="20">
        <v>41096</v>
      </c>
      <c r="FS39" s="20">
        <v>41096</v>
      </c>
      <c r="FT39" s="20">
        <v>41096</v>
      </c>
      <c r="FU39" s="20">
        <v>41096</v>
      </c>
      <c r="FV39" s="20">
        <v>41096</v>
      </c>
      <c r="FW39" s="20"/>
      <c r="FX39" s="20"/>
      <c r="FY39" s="20"/>
      <c r="FZ39" s="20"/>
      <c r="GA39" s="20"/>
      <c r="GB39" s="20"/>
      <c r="GC39" s="20"/>
      <c r="GD39" s="21">
        <f t="shared" si="9"/>
        <v>410960</v>
      </c>
      <c r="GE39" s="48">
        <v>22</v>
      </c>
      <c r="GF39" s="21">
        <f t="shared" si="32"/>
        <v>9041120</v>
      </c>
      <c r="GG39" s="109">
        <f>+SUM(GF39:GF42)</f>
        <v>12328800</v>
      </c>
      <c r="GI39" s="106">
        <v>48823</v>
      </c>
      <c r="GJ39" s="19" t="s">
        <v>43</v>
      </c>
      <c r="GK39" s="20"/>
      <c r="GL39" s="20"/>
      <c r="GM39" s="20"/>
      <c r="GN39" s="20"/>
      <c r="GO39" s="20"/>
      <c r="GP39" s="20"/>
      <c r="GQ39" s="20"/>
      <c r="GR39" s="20">
        <v>41096</v>
      </c>
      <c r="GS39" s="20">
        <v>41096</v>
      </c>
      <c r="GT39" s="20">
        <v>41096</v>
      </c>
      <c r="GU39" s="20">
        <v>41096</v>
      </c>
      <c r="GV39" s="20">
        <v>41096</v>
      </c>
      <c r="GW39" s="20">
        <v>41096</v>
      </c>
      <c r="GX39" s="20">
        <v>41096</v>
      </c>
      <c r="GY39" s="20">
        <v>41096</v>
      </c>
      <c r="GZ39" s="20">
        <v>41096</v>
      </c>
      <c r="HA39" s="20">
        <v>41096</v>
      </c>
      <c r="HB39" s="20"/>
      <c r="HC39" s="20"/>
      <c r="HD39" s="20"/>
      <c r="HE39" s="20"/>
      <c r="HF39" s="20"/>
      <c r="HG39" s="20"/>
      <c r="HH39" s="20"/>
      <c r="HI39" s="21">
        <f t="shared" si="11"/>
        <v>410960</v>
      </c>
      <c r="HJ39" s="48">
        <v>22</v>
      </c>
      <c r="HK39" s="21">
        <f t="shared" si="33"/>
        <v>9041120</v>
      </c>
      <c r="HL39" s="109">
        <f>+SUM(HK39:HK42)</f>
        <v>12328800</v>
      </c>
      <c r="HN39" s="106">
        <v>49188</v>
      </c>
      <c r="HO39" s="19" t="s">
        <v>43</v>
      </c>
      <c r="HP39" s="20"/>
      <c r="HQ39" s="20"/>
      <c r="HR39" s="20"/>
      <c r="HS39" s="20"/>
      <c r="HT39" s="20"/>
      <c r="HU39" s="20"/>
      <c r="HV39" s="20"/>
      <c r="HW39" s="20">
        <v>41096</v>
      </c>
      <c r="HX39" s="20">
        <v>41096</v>
      </c>
      <c r="HY39" s="20">
        <v>41096</v>
      </c>
      <c r="HZ39" s="20">
        <v>41096</v>
      </c>
      <c r="IA39" s="20">
        <v>41096</v>
      </c>
      <c r="IB39" s="20">
        <v>41096</v>
      </c>
      <c r="IC39" s="20">
        <v>41096</v>
      </c>
      <c r="ID39" s="20">
        <v>41096</v>
      </c>
      <c r="IE39" s="20">
        <v>41096</v>
      </c>
      <c r="IF39" s="20">
        <v>41096</v>
      </c>
      <c r="IG39" s="20"/>
      <c r="IH39" s="20"/>
      <c r="II39" s="20"/>
      <c r="IJ39" s="20"/>
      <c r="IK39" s="20"/>
      <c r="IL39" s="20"/>
      <c r="IM39" s="20"/>
      <c r="IN39" s="21">
        <f t="shared" si="13"/>
        <v>410960</v>
      </c>
      <c r="IO39" s="48">
        <v>21</v>
      </c>
      <c r="IP39" s="21">
        <f t="shared" si="34"/>
        <v>8630160</v>
      </c>
      <c r="IQ39" s="109">
        <f>+SUM(IP39:IP42)</f>
        <v>12328800</v>
      </c>
      <c r="IS39" s="106">
        <v>49553</v>
      </c>
      <c r="IT39" s="19" t="s">
        <v>43</v>
      </c>
      <c r="IU39" s="20"/>
      <c r="IV39" s="20"/>
      <c r="IW39" s="20"/>
      <c r="IX39" s="20"/>
      <c r="IY39" s="20"/>
      <c r="IZ39" s="20"/>
      <c r="JA39" s="20"/>
      <c r="JB39" s="20">
        <v>41096</v>
      </c>
      <c r="JC39" s="20">
        <v>41096</v>
      </c>
      <c r="JD39" s="20">
        <v>41096</v>
      </c>
      <c r="JE39" s="20">
        <v>41096</v>
      </c>
      <c r="JF39" s="20">
        <v>41096</v>
      </c>
      <c r="JG39" s="20">
        <v>41096</v>
      </c>
      <c r="JH39" s="20">
        <v>41096</v>
      </c>
      <c r="JI39" s="20">
        <v>41096</v>
      </c>
      <c r="JJ39" s="20">
        <v>41096</v>
      </c>
      <c r="JK39" s="20">
        <v>41096</v>
      </c>
      <c r="JL39" s="20"/>
      <c r="JM39" s="20"/>
      <c r="JN39" s="20"/>
      <c r="JO39" s="20"/>
      <c r="JP39" s="20"/>
      <c r="JQ39" s="20"/>
      <c r="JR39" s="20"/>
      <c r="JS39" s="21">
        <f t="shared" si="15"/>
        <v>410960</v>
      </c>
      <c r="JT39" s="48">
        <v>20</v>
      </c>
      <c r="JU39" s="21">
        <f t="shared" si="35"/>
        <v>8219200</v>
      </c>
      <c r="JV39" s="109">
        <f>+SUM(JU39:JU42)</f>
        <v>12328800</v>
      </c>
      <c r="JX39" s="106">
        <v>49919</v>
      </c>
      <c r="JY39" s="19" t="s">
        <v>43</v>
      </c>
      <c r="JZ39" s="20"/>
      <c r="KA39" s="20"/>
      <c r="KB39" s="20"/>
      <c r="KC39" s="20"/>
      <c r="KD39" s="20"/>
      <c r="KE39" s="20"/>
      <c r="KF39" s="20"/>
      <c r="KG39" s="20">
        <v>41096</v>
      </c>
      <c r="KH39" s="20">
        <v>41096</v>
      </c>
      <c r="KI39" s="20">
        <v>41096</v>
      </c>
      <c r="KJ39" s="20">
        <v>41096</v>
      </c>
      <c r="KK39" s="20">
        <v>41096</v>
      </c>
      <c r="KL39" s="20">
        <v>41096</v>
      </c>
      <c r="KM39" s="20">
        <v>41096</v>
      </c>
      <c r="KN39" s="20">
        <v>41096</v>
      </c>
      <c r="KO39" s="20">
        <v>41096</v>
      </c>
      <c r="KP39" s="20">
        <v>41096</v>
      </c>
      <c r="KQ39" s="20"/>
      <c r="KR39" s="20"/>
      <c r="KS39" s="20"/>
      <c r="KT39" s="20"/>
      <c r="KU39" s="20"/>
      <c r="KV39" s="20"/>
      <c r="KW39" s="20"/>
      <c r="KX39" s="21">
        <f t="shared" si="17"/>
        <v>410960</v>
      </c>
      <c r="KY39" s="48">
        <v>22</v>
      </c>
      <c r="KZ39" s="21">
        <f t="shared" si="36"/>
        <v>9041120</v>
      </c>
      <c r="LA39" s="109">
        <f>+SUM(KZ39:KZ42)</f>
        <v>12328800</v>
      </c>
      <c r="LC39" s="106">
        <v>50284</v>
      </c>
      <c r="LD39" s="19" t="s">
        <v>43</v>
      </c>
      <c r="LE39" s="20"/>
      <c r="LF39" s="20"/>
      <c r="LG39" s="20"/>
      <c r="LH39" s="20"/>
      <c r="LI39" s="20"/>
      <c r="LJ39" s="20"/>
      <c r="LK39" s="20"/>
      <c r="LL39" s="20">
        <v>41096</v>
      </c>
      <c r="LM39" s="20">
        <v>41096</v>
      </c>
      <c r="LN39" s="20">
        <v>41096</v>
      </c>
      <c r="LO39" s="20">
        <v>41096</v>
      </c>
      <c r="LP39" s="20">
        <v>41096</v>
      </c>
      <c r="LQ39" s="20">
        <v>41096</v>
      </c>
      <c r="LR39" s="20">
        <v>41096</v>
      </c>
      <c r="LS39" s="20">
        <v>41096</v>
      </c>
      <c r="LT39" s="20">
        <v>41096</v>
      </c>
      <c r="LU39" s="20">
        <v>41096</v>
      </c>
      <c r="LV39" s="20"/>
      <c r="LW39" s="20"/>
      <c r="LX39" s="20"/>
      <c r="LY39" s="20"/>
      <c r="LZ39" s="20"/>
      <c r="MA39" s="20"/>
      <c r="MB39" s="20"/>
      <c r="MC39" s="21">
        <f t="shared" si="19"/>
        <v>410960</v>
      </c>
      <c r="MD39" s="48">
        <v>22</v>
      </c>
      <c r="ME39" s="21">
        <f t="shared" si="37"/>
        <v>9041120</v>
      </c>
      <c r="MF39" s="109">
        <f>+SUM(ME39:ME42)</f>
        <v>12328800</v>
      </c>
      <c r="MH39" s="106">
        <v>50649</v>
      </c>
      <c r="MI39" s="19" t="s">
        <v>43</v>
      </c>
      <c r="MJ39" s="20"/>
      <c r="MK39" s="20"/>
      <c r="ML39" s="20"/>
      <c r="MM39" s="20"/>
      <c r="MN39" s="20"/>
      <c r="MO39" s="20"/>
      <c r="MP39" s="20"/>
      <c r="MQ39" s="20">
        <v>41096</v>
      </c>
      <c r="MR39" s="20">
        <v>41096</v>
      </c>
      <c r="MS39" s="20">
        <v>41096</v>
      </c>
      <c r="MT39" s="20">
        <v>41096</v>
      </c>
      <c r="MU39" s="20">
        <v>41096</v>
      </c>
      <c r="MV39" s="20">
        <v>41096</v>
      </c>
      <c r="MW39" s="20">
        <v>41096</v>
      </c>
      <c r="MX39" s="20">
        <v>41096</v>
      </c>
      <c r="MY39" s="20">
        <v>41096</v>
      </c>
      <c r="MZ39" s="20">
        <v>41096</v>
      </c>
      <c r="NA39" s="20"/>
      <c r="NB39" s="20"/>
      <c r="NC39" s="20"/>
      <c r="ND39" s="20"/>
      <c r="NE39" s="20"/>
      <c r="NF39" s="20"/>
      <c r="NG39" s="20"/>
      <c r="NH39" s="21">
        <f t="shared" si="21"/>
        <v>410960</v>
      </c>
      <c r="NI39" s="48">
        <v>22</v>
      </c>
      <c r="NJ39" s="21">
        <f t="shared" si="38"/>
        <v>9041120</v>
      </c>
      <c r="NK39" s="109">
        <f>+SUM(NJ39:NJ42)</f>
        <v>12328800</v>
      </c>
      <c r="NM39" s="106">
        <v>51014</v>
      </c>
      <c r="NN39" s="19" t="s">
        <v>43</v>
      </c>
      <c r="NO39" s="20"/>
      <c r="NP39" s="20"/>
      <c r="NQ39" s="20"/>
      <c r="NR39" s="20"/>
      <c r="NS39" s="20"/>
      <c r="NT39" s="20"/>
      <c r="NU39" s="20"/>
      <c r="NV39" s="20">
        <v>41096</v>
      </c>
      <c r="NW39" s="20">
        <v>41096</v>
      </c>
      <c r="NX39" s="20">
        <v>41096</v>
      </c>
      <c r="NY39" s="20">
        <v>41096</v>
      </c>
      <c r="NZ39" s="20">
        <v>41096</v>
      </c>
      <c r="OA39" s="20">
        <v>41096</v>
      </c>
      <c r="OB39" s="20">
        <v>41096</v>
      </c>
      <c r="OC39" s="20">
        <v>41096</v>
      </c>
      <c r="OD39" s="20">
        <v>41096</v>
      </c>
      <c r="OE39" s="20">
        <v>41096</v>
      </c>
      <c r="OF39" s="20"/>
      <c r="OG39" s="20"/>
      <c r="OH39" s="20"/>
      <c r="OI39" s="20"/>
      <c r="OJ39" s="20"/>
      <c r="OK39" s="20"/>
      <c r="OL39" s="20"/>
      <c r="OM39" s="21">
        <f t="shared" si="23"/>
        <v>410960</v>
      </c>
      <c r="ON39" s="48">
        <v>22</v>
      </c>
      <c r="OO39" s="21">
        <f t="shared" si="39"/>
        <v>9041120</v>
      </c>
      <c r="OP39" s="109">
        <f>+SUM(OO39:OO42)</f>
        <v>12328800</v>
      </c>
      <c r="OR39" s="106">
        <v>51380</v>
      </c>
      <c r="OS39" s="19" t="s">
        <v>43</v>
      </c>
      <c r="OT39" s="20"/>
      <c r="OU39" s="20"/>
      <c r="OV39" s="20"/>
      <c r="OW39" s="20"/>
      <c r="OX39" s="20"/>
      <c r="OY39" s="20"/>
      <c r="OZ39" s="20"/>
      <c r="PA39" s="20">
        <v>41096</v>
      </c>
      <c r="PB39" s="20">
        <v>41096</v>
      </c>
      <c r="PC39" s="20">
        <v>41096</v>
      </c>
      <c r="PD39" s="20">
        <v>41096</v>
      </c>
      <c r="PE39" s="20">
        <v>41096</v>
      </c>
      <c r="PF39" s="20">
        <v>41096</v>
      </c>
      <c r="PG39" s="20">
        <v>41096</v>
      </c>
      <c r="PH39" s="20">
        <v>41096</v>
      </c>
      <c r="PI39" s="20">
        <v>41096</v>
      </c>
      <c r="PJ39" s="20">
        <v>41096</v>
      </c>
      <c r="PK39" s="20"/>
      <c r="PL39" s="20"/>
      <c r="PM39" s="20"/>
      <c r="PN39" s="20"/>
      <c r="PO39" s="20"/>
      <c r="PP39" s="20"/>
      <c r="PQ39" s="20"/>
      <c r="PR39" s="21">
        <f t="shared" si="25"/>
        <v>410960</v>
      </c>
      <c r="PS39" s="63">
        <v>20</v>
      </c>
      <c r="PT39" s="21">
        <f t="shared" si="40"/>
        <v>8219200</v>
      </c>
      <c r="PU39" s="109">
        <f>+SUM(PT39:PT42)</f>
        <v>12328800</v>
      </c>
    </row>
    <row r="40" spans="3:437" x14ac:dyDescent="0.35">
      <c r="C40" s="107"/>
      <c r="D40" s="23" t="s">
        <v>44</v>
      </c>
      <c r="E40" s="20"/>
      <c r="F40" s="92"/>
      <c r="G40" s="20"/>
      <c r="H40" s="20"/>
      <c r="I40" s="20"/>
      <c r="J40" s="20"/>
      <c r="K40" s="20"/>
      <c r="L40" s="20">
        <v>41096</v>
      </c>
      <c r="M40" s="20">
        <v>41096</v>
      </c>
      <c r="N40" s="20">
        <v>41096</v>
      </c>
      <c r="O40" s="20">
        <v>41096</v>
      </c>
      <c r="P40" s="20">
        <v>41096</v>
      </c>
      <c r="Q40" s="20">
        <v>41096</v>
      </c>
      <c r="R40" s="20">
        <v>41096</v>
      </c>
      <c r="S40" s="20">
        <v>41096</v>
      </c>
      <c r="T40" s="20">
        <v>41096</v>
      </c>
      <c r="U40" s="20">
        <v>41096</v>
      </c>
      <c r="V40" s="20"/>
      <c r="W40" s="20"/>
      <c r="X40" s="20"/>
      <c r="Y40" s="20"/>
      <c r="Z40" s="20"/>
      <c r="AA40" s="20"/>
      <c r="AB40" s="20"/>
      <c r="AC40" s="21">
        <f t="shared" si="0"/>
        <v>410960</v>
      </c>
      <c r="AD40" s="22">
        <v>4</v>
      </c>
      <c r="AE40" s="21">
        <f t="shared" si="27"/>
        <v>1643840</v>
      </c>
      <c r="AF40" s="110"/>
      <c r="AH40" s="107"/>
      <c r="AI40" s="23" t="s">
        <v>44</v>
      </c>
      <c r="AJ40" s="20"/>
      <c r="AK40" s="20"/>
      <c r="AL40" s="20"/>
      <c r="AM40" s="20"/>
      <c r="AN40" s="20"/>
      <c r="AO40" s="20"/>
      <c r="AP40" s="20"/>
      <c r="AQ40" s="20">
        <v>41096</v>
      </c>
      <c r="AR40" s="20">
        <v>41096</v>
      </c>
      <c r="AS40" s="20">
        <v>41096</v>
      </c>
      <c r="AT40" s="20">
        <v>41096</v>
      </c>
      <c r="AU40" s="20">
        <v>41096</v>
      </c>
      <c r="AV40" s="20">
        <v>41096</v>
      </c>
      <c r="AW40" s="20">
        <v>41096</v>
      </c>
      <c r="AX40" s="20">
        <v>41096</v>
      </c>
      <c r="AY40" s="20">
        <v>41096</v>
      </c>
      <c r="AZ40" s="20">
        <v>41096</v>
      </c>
      <c r="BA40" s="20"/>
      <c r="BB40" s="20"/>
      <c r="BC40" s="20"/>
      <c r="BD40" s="20"/>
      <c r="BE40" s="20"/>
      <c r="BF40" s="20"/>
      <c r="BG40" s="20"/>
      <c r="BH40" s="21">
        <f t="shared" si="2"/>
        <v>410960</v>
      </c>
      <c r="BI40" s="49">
        <v>5</v>
      </c>
      <c r="BJ40" s="21">
        <f t="shared" si="28"/>
        <v>2054800</v>
      </c>
      <c r="BK40" s="110"/>
      <c r="BM40" s="107"/>
      <c r="BN40" s="23" t="s">
        <v>44</v>
      </c>
      <c r="BO40" s="20"/>
      <c r="BP40" s="20"/>
      <c r="BQ40" s="20"/>
      <c r="BR40" s="20"/>
      <c r="BS40" s="20"/>
      <c r="BT40" s="20"/>
      <c r="BU40" s="20"/>
      <c r="BV40" s="20">
        <v>41096</v>
      </c>
      <c r="BW40" s="20">
        <v>41096</v>
      </c>
      <c r="BX40" s="20">
        <v>41096</v>
      </c>
      <c r="BY40" s="20">
        <v>41096</v>
      </c>
      <c r="BZ40" s="20">
        <v>41096</v>
      </c>
      <c r="CA40" s="20">
        <v>41096</v>
      </c>
      <c r="CB40" s="20">
        <v>41096</v>
      </c>
      <c r="CC40" s="20">
        <v>41096</v>
      </c>
      <c r="CD40" s="20">
        <v>41096</v>
      </c>
      <c r="CE40" s="20">
        <v>41096</v>
      </c>
      <c r="CF40" s="20"/>
      <c r="CG40" s="20"/>
      <c r="CH40" s="20"/>
      <c r="CI40" s="20"/>
      <c r="CJ40" s="20"/>
      <c r="CK40" s="20"/>
      <c r="CL40" s="20"/>
      <c r="CM40" s="21">
        <f t="shared" si="4"/>
        <v>410960</v>
      </c>
      <c r="CN40" s="49">
        <v>5</v>
      </c>
      <c r="CO40" s="21">
        <f t="shared" si="29"/>
        <v>2054800</v>
      </c>
      <c r="CP40" s="110"/>
      <c r="CS40" s="107"/>
      <c r="CT40" s="23" t="s">
        <v>44</v>
      </c>
      <c r="CU40" s="20"/>
      <c r="CV40" s="20"/>
      <c r="CW40" s="20"/>
      <c r="CX40" s="20"/>
      <c r="CY40" s="20"/>
      <c r="CZ40" s="20"/>
      <c r="DA40" s="20"/>
      <c r="DB40" s="20">
        <v>41096</v>
      </c>
      <c r="DC40" s="20">
        <v>41096</v>
      </c>
      <c r="DD40" s="20">
        <v>41096</v>
      </c>
      <c r="DE40" s="20">
        <v>41096</v>
      </c>
      <c r="DF40" s="20">
        <v>41096</v>
      </c>
      <c r="DG40" s="20">
        <v>41096</v>
      </c>
      <c r="DH40" s="20">
        <v>41096</v>
      </c>
      <c r="DI40" s="20">
        <v>41096</v>
      </c>
      <c r="DJ40" s="20">
        <v>41096</v>
      </c>
      <c r="DK40" s="20">
        <v>41096</v>
      </c>
      <c r="DL40" s="20"/>
      <c r="DM40" s="20"/>
      <c r="DN40" s="20"/>
      <c r="DO40" s="20"/>
      <c r="DP40" s="20"/>
      <c r="DQ40" s="20"/>
      <c r="DR40" s="20"/>
      <c r="DS40" s="21">
        <f t="shared" si="6"/>
        <v>410960</v>
      </c>
      <c r="DT40" s="49">
        <v>4</v>
      </c>
      <c r="DU40" s="21">
        <f t="shared" si="30"/>
        <v>1643840</v>
      </c>
      <c r="DV40" s="110"/>
      <c r="DY40" s="107"/>
      <c r="DZ40" s="23" t="s">
        <v>44</v>
      </c>
      <c r="EA40" s="20"/>
      <c r="EB40" s="20"/>
      <c r="EC40" s="20"/>
      <c r="ED40" s="20"/>
      <c r="EE40" s="20"/>
      <c r="EF40" s="20"/>
      <c r="EG40" s="20"/>
      <c r="EH40" s="20">
        <v>41096</v>
      </c>
      <c r="EI40" s="20">
        <v>41096</v>
      </c>
      <c r="EJ40" s="20">
        <v>41096</v>
      </c>
      <c r="EK40" s="20">
        <v>41096</v>
      </c>
      <c r="EL40" s="20">
        <v>41096</v>
      </c>
      <c r="EM40" s="20">
        <v>41096</v>
      </c>
      <c r="EN40" s="20">
        <v>41096</v>
      </c>
      <c r="EO40" s="20">
        <v>41096</v>
      </c>
      <c r="EP40" s="20">
        <v>41096</v>
      </c>
      <c r="EQ40" s="20">
        <v>41096</v>
      </c>
      <c r="ER40" s="20"/>
      <c r="ES40" s="20"/>
      <c r="ET40" s="20"/>
      <c r="EU40" s="20"/>
      <c r="EV40" s="20"/>
      <c r="EW40" s="20"/>
      <c r="EX40" s="20"/>
      <c r="EY40" s="21">
        <f t="shared" si="7"/>
        <v>410960</v>
      </c>
      <c r="EZ40" s="49">
        <v>4</v>
      </c>
      <c r="FA40" s="21">
        <f t="shared" si="31"/>
        <v>1643840</v>
      </c>
      <c r="FB40" s="110"/>
      <c r="FD40" s="107"/>
      <c r="FE40" s="23" t="s">
        <v>44</v>
      </c>
      <c r="FF40" s="20"/>
      <c r="FG40" s="20"/>
      <c r="FH40" s="20"/>
      <c r="FI40" s="20"/>
      <c r="FJ40" s="20"/>
      <c r="FK40" s="20"/>
      <c r="FL40" s="20"/>
      <c r="FM40" s="20">
        <v>41096</v>
      </c>
      <c r="FN40" s="20">
        <v>41096</v>
      </c>
      <c r="FO40" s="20">
        <v>41096</v>
      </c>
      <c r="FP40" s="20">
        <v>41096</v>
      </c>
      <c r="FQ40" s="20">
        <v>41096</v>
      </c>
      <c r="FR40" s="20">
        <v>41096</v>
      </c>
      <c r="FS40" s="20">
        <v>41096</v>
      </c>
      <c r="FT40" s="20">
        <v>41096</v>
      </c>
      <c r="FU40" s="20">
        <v>41096</v>
      </c>
      <c r="FV40" s="20">
        <v>41096</v>
      </c>
      <c r="FW40" s="20"/>
      <c r="FX40" s="20"/>
      <c r="FY40" s="20"/>
      <c r="FZ40" s="20"/>
      <c r="GA40" s="20"/>
      <c r="GB40" s="20"/>
      <c r="GC40" s="20"/>
      <c r="GD40" s="21">
        <f t="shared" si="9"/>
        <v>410960</v>
      </c>
      <c r="GE40" s="49">
        <v>4</v>
      </c>
      <c r="GF40" s="21">
        <f t="shared" si="32"/>
        <v>1643840</v>
      </c>
      <c r="GG40" s="110"/>
      <c r="GI40" s="107"/>
      <c r="GJ40" s="23" t="s">
        <v>44</v>
      </c>
      <c r="GK40" s="20"/>
      <c r="GL40" s="20"/>
      <c r="GM40" s="20"/>
      <c r="GN40" s="20"/>
      <c r="GO40" s="20"/>
      <c r="GP40" s="20"/>
      <c r="GQ40" s="20"/>
      <c r="GR40" s="20">
        <v>41096</v>
      </c>
      <c r="GS40" s="20">
        <v>41096</v>
      </c>
      <c r="GT40" s="20">
        <v>41096</v>
      </c>
      <c r="GU40" s="20">
        <v>41096</v>
      </c>
      <c r="GV40" s="20">
        <v>41096</v>
      </c>
      <c r="GW40" s="20">
        <v>41096</v>
      </c>
      <c r="GX40" s="20">
        <v>41096</v>
      </c>
      <c r="GY40" s="20">
        <v>41096</v>
      </c>
      <c r="GZ40" s="20">
        <v>41096</v>
      </c>
      <c r="HA40" s="20">
        <v>41096</v>
      </c>
      <c r="HB40" s="20"/>
      <c r="HC40" s="20"/>
      <c r="HD40" s="20"/>
      <c r="HE40" s="20"/>
      <c r="HF40" s="20"/>
      <c r="HG40" s="20"/>
      <c r="HH40" s="20"/>
      <c r="HI40" s="21">
        <f t="shared" si="11"/>
        <v>410960</v>
      </c>
      <c r="HJ40" s="49">
        <v>4</v>
      </c>
      <c r="HK40" s="21">
        <f t="shared" si="33"/>
        <v>1643840</v>
      </c>
      <c r="HL40" s="110"/>
      <c r="HN40" s="107"/>
      <c r="HO40" s="23" t="s">
        <v>44</v>
      </c>
      <c r="HP40" s="20"/>
      <c r="HQ40" s="20"/>
      <c r="HR40" s="20"/>
      <c r="HS40" s="20"/>
      <c r="HT40" s="20"/>
      <c r="HU40" s="20"/>
      <c r="HV40" s="20"/>
      <c r="HW40" s="20">
        <v>41096</v>
      </c>
      <c r="HX40" s="20">
        <v>41096</v>
      </c>
      <c r="HY40" s="20">
        <v>41096</v>
      </c>
      <c r="HZ40" s="20">
        <v>41096</v>
      </c>
      <c r="IA40" s="20">
        <v>41096</v>
      </c>
      <c r="IB40" s="20">
        <v>41096</v>
      </c>
      <c r="IC40" s="20">
        <v>41096</v>
      </c>
      <c r="ID40" s="20">
        <v>41096</v>
      </c>
      <c r="IE40" s="20">
        <v>41096</v>
      </c>
      <c r="IF40" s="20">
        <v>41096</v>
      </c>
      <c r="IG40" s="20"/>
      <c r="IH40" s="20"/>
      <c r="II40" s="20"/>
      <c r="IJ40" s="20"/>
      <c r="IK40" s="20"/>
      <c r="IL40" s="20"/>
      <c r="IM40" s="20"/>
      <c r="IN40" s="21">
        <f t="shared" si="13"/>
        <v>410960</v>
      </c>
      <c r="IO40" s="49">
        <v>5</v>
      </c>
      <c r="IP40" s="21">
        <f t="shared" si="34"/>
        <v>2054800</v>
      </c>
      <c r="IQ40" s="110"/>
      <c r="IS40" s="107"/>
      <c r="IT40" s="23" t="s">
        <v>44</v>
      </c>
      <c r="IU40" s="20"/>
      <c r="IV40" s="20"/>
      <c r="IW40" s="20"/>
      <c r="IX40" s="20"/>
      <c r="IY40" s="20"/>
      <c r="IZ40" s="20"/>
      <c r="JA40" s="20"/>
      <c r="JB40" s="20">
        <v>41096</v>
      </c>
      <c r="JC40" s="20">
        <v>41096</v>
      </c>
      <c r="JD40" s="20">
        <v>41096</v>
      </c>
      <c r="JE40" s="20">
        <v>41096</v>
      </c>
      <c r="JF40" s="20">
        <v>41096</v>
      </c>
      <c r="JG40" s="20">
        <v>41096</v>
      </c>
      <c r="JH40" s="20">
        <v>41096</v>
      </c>
      <c r="JI40" s="20">
        <v>41096</v>
      </c>
      <c r="JJ40" s="20">
        <v>41096</v>
      </c>
      <c r="JK40" s="20">
        <v>41096</v>
      </c>
      <c r="JL40" s="20"/>
      <c r="JM40" s="20"/>
      <c r="JN40" s="20"/>
      <c r="JO40" s="20"/>
      <c r="JP40" s="20"/>
      <c r="JQ40" s="20"/>
      <c r="JR40" s="20"/>
      <c r="JS40" s="21">
        <f t="shared" si="15"/>
        <v>410960</v>
      </c>
      <c r="JT40" s="49">
        <v>5</v>
      </c>
      <c r="JU40" s="21">
        <f t="shared" si="35"/>
        <v>2054800</v>
      </c>
      <c r="JV40" s="110"/>
      <c r="JX40" s="107"/>
      <c r="JY40" s="23" t="s">
        <v>44</v>
      </c>
      <c r="JZ40" s="20"/>
      <c r="KA40" s="20"/>
      <c r="KB40" s="20"/>
      <c r="KC40" s="20"/>
      <c r="KD40" s="20"/>
      <c r="KE40" s="20"/>
      <c r="KF40" s="20"/>
      <c r="KG40" s="20">
        <v>41096</v>
      </c>
      <c r="KH40" s="20">
        <v>41096</v>
      </c>
      <c r="KI40" s="20">
        <v>41096</v>
      </c>
      <c r="KJ40" s="20">
        <v>41096</v>
      </c>
      <c r="KK40" s="20">
        <v>41096</v>
      </c>
      <c r="KL40" s="20">
        <v>41096</v>
      </c>
      <c r="KM40" s="20">
        <v>41096</v>
      </c>
      <c r="KN40" s="20">
        <v>41096</v>
      </c>
      <c r="KO40" s="20">
        <v>41096</v>
      </c>
      <c r="KP40" s="20">
        <v>41096</v>
      </c>
      <c r="KQ40" s="20"/>
      <c r="KR40" s="20"/>
      <c r="KS40" s="20"/>
      <c r="KT40" s="20"/>
      <c r="KU40" s="20"/>
      <c r="KV40" s="20"/>
      <c r="KW40" s="20"/>
      <c r="KX40" s="21">
        <f t="shared" si="17"/>
        <v>410960</v>
      </c>
      <c r="KY40" s="49">
        <v>4</v>
      </c>
      <c r="KZ40" s="21">
        <f t="shared" si="36"/>
        <v>1643840</v>
      </c>
      <c r="LA40" s="110"/>
      <c r="LC40" s="107"/>
      <c r="LD40" s="23" t="s">
        <v>44</v>
      </c>
      <c r="LE40" s="20"/>
      <c r="LF40" s="20"/>
      <c r="LG40" s="20"/>
      <c r="LH40" s="20"/>
      <c r="LI40" s="20"/>
      <c r="LJ40" s="20"/>
      <c r="LK40" s="20"/>
      <c r="LL40" s="20">
        <v>41096</v>
      </c>
      <c r="LM40" s="20">
        <v>41096</v>
      </c>
      <c r="LN40" s="20">
        <v>41096</v>
      </c>
      <c r="LO40" s="20">
        <v>41096</v>
      </c>
      <c r="LP40" s="20">
        <v>41096</v>
      </c>
      <c r="LQ40" s="20">
        <v>41096</v>
      </c>
      <c r="LR40" s="20">
        <v>41096</v>
      </c>
      <c r="LS40" s="20">
        <v>41096</v>
      </c>
      <c r="LT40" s="20">
        <v>41096</v>
      </c>
      <c r="LU40" s="20">
        <v>41096</v>
      </c>
      <c r="LV40" s="20"/>
      <c r="LW40" s="20"/>
      <c r="LX40" s="20"/>
      <c r="LY40" s="20"/>
      <c r="LZ40" s="20"/>
      <c r="MA40" s="20"/>
      <c r="MB40" s="20"/>
      <c r="MC40" s="21">
        <f t="shared" si="19"/>
        <v>410960</v>
      </c>
      <c r="MD40" s="49">
        <v>4</v>
      </c>
      <c r="ME40" s="21">
        <f t="shared" si="37"/>
        <v>1643840</v>
      </c>
      <c r="MF40" s="110"/>
      <c r="MH40" s="107"/>
      <c r="MI40" s="23" t="s">
        <v>44</v>
      </c>
      <c r="MJ40" s="20"/>
      <c r="MK40" s="20"/>
      <c r="ML40" s="20"/>
      <c r="MM40" s="20"/>
      <c r="MN40" s="20"/>
      <c r="MO40" s="20"/>
      <c r="MP40" s="20"/>
      <c r="MQ40" s="20">
        <v>41096</v>
      </c>
      <c r="MR40" s="20">
        <v>41096</v>
      </c>
      <c r="MS40" s="20">
        <v>41096</v>
      </c>
      <c r="MT40" s="20">
        <v>41096</v>
      </c>
      <c r="MU40" s="20">
        <v>41096</v>
      </c>
      <c r="MV40" s="20">
        <v>41096</v>
      </c>
      <c r="MW40" s="20">
        <v>41096</v>
      </c>
      <c r="MX40" s="20">
        <v>41096</v>
      </c>
      <c r="MY40" s="20">
        <v>41096</v>
      </c>
      <c r="MZ40" s="20">
        <v>41096</v>
      </c>
      <c r="NA40" s="20"/>
      <c r="NB40" s="20"/>
      <c r="NC40" s="20"/>
      <c r="ND40" s="20"/>
      <c r="NE40" s="20"/>
      <c r="NF40" s="20"/>
      <c r="NG40" s="20"/>
      <c r="NH40" s="21">
        <f t="shared" si="21"/>
        <v>410960</v>
      </c>
      <c r="NI40" s="49">
        <v>4</v>
      </c>
      <c r="NJ40" s="21">
        <f t="shared" si="38"/>
        <v>1643840</v>
      </c>
      <c r="NK40" s="110"/>
      <c r="NM40" s="107"/>
      <c r="NN40" s="23" t="s">
        <v>44</v>
      </c>
      <c r="NO40" s="20"/>
      <c r="NP40" s="20"/>
      <c r="NQ40" s="20"/>
      <c r="NR40" s="20"/>
      <c r="NS40" s="20"/>
      <c r="NT40" s="20"/>
      <c r="NU40" s="20"/>
      <c r="NV40" s="20">
        <v>41096</v>
      </c>
      <c r="NW40" s="20">
        <v>41096</v>
      </c>
      <c r="NX40" s="20">
        <v>41096</v>
      </c>
      <c r="NY40" s="20">
        <v>41096</v>
      </c>
      <c r="NZ40" s="20">
        <v>41096</v>
      </c>
      <c r="OA40" s="20">
        <v>41096</v>
      </c>
      <c r="OB40" s="20">
        <v>41096</v>
      </c>
      <c r="OC40" s="20">
        <v>41096</v>
      </c>
      <c r="OD40" s="20">
        <v>41096</v>
      </c>
      <c r="OE40" s="20">
        <v>41096</v>
      </c>
      <c r="OF40" s="20"/>
      <c r="OG40" s="20"/>
      <c r="OH40" s="20"/>
      <c r="OI40" s="20"/>
      <c r="OJ40" s="20"/>
      <c r="OK40" s="20"/>
      <c r="OL40" s="20"/>
      <c r="OM40" s="21">
        <f t="shared" si="23"/>
        <v>410960</v>
      </c>
      <c r="ON40" s="49">
        <v>4</v>
      </c>
      <c r="OO40" s="21">
        <f t="shared" si="39"/>
        <v>1643840</v>
      </c>
      <c r="OP40" s="110"/>
      <c r="OR40" s="107"/>
      <c r="OS40" s="23" t="s">
        <v>44</v>
      </c>
      <c r="OT40" s="20"/>
      <c r="OU40" s="20"/>
      <c r="OV40" s="20"/>
      <c r="OW40" s="20"/>
      <c r="OX40" s="20"/>
      <c r="OY40" s="20"/>
      <c r="OZ40" s="20"/>
      <c r="PA40" s="20">
        <v>41096</v>
      </c>
      <c r="PB40" s="20">
        <v>41096</v>
      </c>
      <c r="PC40" s="20">
        <v>41096</v>
      </c>
      <c r="PD40" s="20">
        <v>41096</v>
      </c>
      <c r="PE40" s="20">
        <v>41096</v>
      </c>
      <c r="PF40" s="20">
        <v>41096</v>
      </c>
      <c r="PG40" s="20">
        <v>41096</v>
      </c>
      <c r="PH40" s="20">
        <v>41096</v>
      </c>
      <c r="PI40" s="20">
        <v>41096</v>
      </c>
      <c r="PJ40" s="20">
        <v>41096</v>
      </c>
      <c r="PK40" s="20"/>
      <c r="PL40" s="20"/>
      <c r="PM40" s="20"/>
      <c r="PN40" s="20"/>
      <c r="PO40" s="20"/>
      <c r="PP40" s="20"/>
      <c r="PQ40" s="20"/>
      <c r="PR40" s="21">
        <f t="shared" si="25"/>
        <v>410960</v>
      </c>
      <c r="PS40" s="62">
        <v>5</v>
      </c>
      <c r="PT40" s="21">
        <f t="shared" si="40"/>
        <v>2054800</v>
      </c>
      <c r="PU40" s="110"/>
    </row>
    <row r="41" spans="3:437" x14ac:dyDescent="0.35">
      <c r="C41" s="107"/>
      <c r="D41" s="23" t="s">
        <v>45</v>
      </c>
      <c r="E41" s="20"/>
      <c r="F41" s="92"/>
      <c r="G41" s="20"/>
      <c r="H41" s="20"/>
      <c r="I41" s="20"/>
      <c r="J41" s="20"/>
      <c r="K41" s="20"/>
      <c r="L41" s="20">
        <v>41096</v>
      </c>
      <c r="M41" s="20">
        <v>41096</v>
      </c>
      <c r="N41" s="20">
        <v>41096</v>
      </c>
      <c r="O41" s="20">
        <v>41096</v>
      </c>
      <c r="P41" s="20">
        <v>41096</v>
      </c>
      <c r="Q41" s="20">
        <v>41096</v>
      </c>
      <c r="R41" s="20">
        <v>41096</v>
      </c>
      <c r="S41" s="20">
        <v>41096</v>
      </c>
      <c r="T41" s="20">
        <v>41096</v>
      </c>
      <c r="U41" s="20">
        <v>41096</v>
      </c>
      <c r="V41" s="20"/>
      <c r="W41" s="20"/>
      <c r="X41" s="20"/>
      <c r="Y41" s="20"/>
      <c r="Z41" s="20"/>
      <c r="AA41" s="20"/>
      <c r="AB41" s="20"/>
      <c r="AC41" s="21">
        <f t="shared" si="0"/>
        <v>410960</v>
      </c>
      <c r="AD41" s="22">
        <v>4</v>
      </c>
      <c r="AE41" s="21">
        <f t="shared" si="27"/>
        <v>1643840</v>
      </c>
      <c r="AF41" s="110"/>
      <c r="AH41" s="107"/>
      <c r="AI41" s="23" t="s">
        <v>45</v>
      </c>
      <c r="AJ41" s="20"/>
      <c r="AK41" s="20"/>
      <c r="AL41" s="20"/>
      <c r="AM41" s="20"/>
      <c r="AN41" s="20"/>
      <c r="AO41" s="20"/>
      <c r="AP41" s="20"/>
      <c r="AQ41" s="20">
        <v>41096</v>
      </c>
      <c r="AR41" s="20">
        <v>41096</v>
      </c>
      <c r="AS41" s="20">
        <v>41096</v>
      </c>
      <c r="AT41" s="20">
        <v>41096</v>
      </c>
      <c r="AU41" s="20">
        <v>41096</v>
      </c>
      <c r="AV41" s="20">
        <v>41096</v>
      </c>
      <c r="AW41" s="20">
        <v>41096</v>
      </c>
      <c r="AX41" s="20">
        <v>41096</v>
      </c>
      <c r="AY41" s="20">
        <v>41096</v>
      </c>
      <c r="AZ41" s="20">
        <v>41096</v>
      </c>
      <c r="BA41" s="20"/>
      <c r="BB41" s="20"/>
      <c r="BC41" s="20"/>
      <c r="BD41" s="20"/>
      <c r="BE41" s="20"/>
      <c r="BF41" s="20"/>
      <c r="BG41" s="20"/>
      <c r="BH41" s="21">
        <f t="shared" si="2"/>
        <v>410960</v>
      </c>
      <c r="BI41" s="49">
        <v>4</v>
      </c>
      <c r="BJ41" s="21">
        <f t="shared" si="28"/>
        <v>1643840</v>
      </c>
      <c r="BK41" s="110"/>
      <c r="BM41" s="107"/>
      <c r="BN41" s="23" t="s">
        <v>45</v>
      </c>
      <c r="BO41" s="20"/>
      <c r="BP41" s="20"/>
      <c r="BQ41" s="20"/>
      <c r="BR41" s="20"/>
      <c r="BS41" s="20"/>
      <c r="BT41" s="20"/>
      <c r="BU41" s="20"/>
      <c r="BV41" s="20">
        <v>41096</v>
      </c>
      <c r="BW41" s="20">
        <v>41096</v>
      </c>
      <c r="BX41" s="20">
        <v>41096</v>
      </c>
      <c r="BY41" s="20">
        <v>41096</v>
      </c>
      <c r="BZ41" s="20">
        <v>41096</v>
      </c>
      <c r="CA41" s="20">
        <v>41096</v>
      </c>
      <c r="CB41" s="20">
        <v>41096</v>
      </c>
      <c r="CC41" s="20">
        <v>41096</v>
      </c>
      <c r="CD41" s="20">
        <v>41096</v>
      </c>
      <c r="CE41" s="20">
        <v>41096</v>
      </c>
      <c r="CF41" s="20"/>
      <c r="CG41" s="20"/>
      <c r="CH41" s="20"/>
      <c r="CI41" s="20"/>
      <c r="CJ41" s="20"/>
      <c r="CK41" s="20"/>
      <c r="CL41" s="20"/>
      <c r="CM41" s="21">
        <f t="shared" si="4"/>
        <v>410960</v>
      </c>
      <c r="CN41" s="49">
        <v>5</v>
      </c>
      <c r="CO41" s="21">
        <f t="shared" si="29"/>
        <v>2054800</v>
      </c>
      <c r="CP41" s="110"/>
      <c r="CS41" s="107"/>
      <c r="CT41" s="23" t="s">
        <v>45</v>
      </c>
      <c r="CU41" s="20"/>
      <c r="CV41" s="20"/>
      <c r="CW41" s="20"/>
      <c r="CX41" s="20"/>
      <c r="CY41" s="20"/>
      <c r="CZ41" s="20"/>
      <c r="DA41" s="20"/>
      <c r="DB41" s="20">
        <v>41096</v>
      </c>
      <c r="DC41" s="20">
        <v>41096</v>
      </c>
      <c r="DD41" s="20">
        <v>41096</v>
      </c>
      <c r="DE41" s="20">
        <v>41096</v>
      </c>
      <c r="DF41" s="20">
        <v>41096</v>
      </c>
      <c r="DG41" s="20">
        <v>41096</v>
      </c>
      <c r="DH41" s="20">
        <v>41096</v>
      </c>
      <c r="DI41" s="20">
        <v>41096</v>
      </c>
      <c r="DJ41" s="20">
        <v>41096</v>
      </c>
      <c r="DK41" s="20">
        <v>41096</v>
      </c>
      <c r="DL41" s="20"/>
      <c r="DM41" s="20"/>
      <c r="DN41" s="20"/>
      <c r="DO41" s="20"/>
      <c r="DP41" s="20"/>
      <c r="DQ41" s="20"/>
      <c r="DR41" s="20"/>
      <c r="DS41" s="21">
        <f t="shared" si="6"/>
        <v>410960</v>
      </c>
      <c r="DT41" s="49">
        <v>5</v>
      </c>
      <c r="DU41" s="21">
        <f t="shared" si="30"/>
        <v>2054800</v>
      </c>
      <c r="DV41" s="110"/>
      <c r="DY41" s="107"/>
      <c r="DZ41" s="23" t="s">
        <v>45</v>
      </c>
      <c r="EA41" s="20"/>
      <c r="EB41" s="20"/>
      <c r="EC41" s="20"/>
      <c r="ED41" s="20"/>
      <c r="EE41" s="20"/>
      <c r="EF41" s="20"/>
      <c r="EG41" s="20"/>
      <c r="EH41" s="20">
        <v>41096</v>
      </c>
      <c r="EI41" s="20">
        <v>41096</v>
      </c>
      <c r="EJ41" s="20">
        <v>41096</v>
      </c>
      <c r="EK41" s="20">
        <v>41096</v>
      </c>
      <c r="EL41" s="20">
        <v>41096</v>
      </c>
      <c r="EM41" s="20">
        <v>41096</v>
      </c>
      <c r="EN41" s="20">
        <v>41096</v>
      </c>
      <c r="EO41" s="20">
        <v>41096</v>
      </c>
      <c r="EP41" s="20">
        <v>41096</v>
      </c>
      <c r="EQ41" s="20">
        <v>41096</v>
      </c>
      <c r="ER41" s="20"/>
      <c r="ES41" s="20"/>
      <c r="ET41" s="20"/>
      <c r="EU41" s="20"/>
      <c r="EV41" s="20"/>
      <c r="EW41" s="20"/>
      <c r="EX41" s="20"/>
      <c r="EY41" s="21">
        <f t="shared" si="7"/>
        <v>410960</v>
      </c>
      <c r="EZ41" s="49">
        <v>4</v>
      </c>
      <c r="FA41" s="21">
        <f t="shared" si="31"/>
        <v>1643840</v>
      </c>
      <c r="FB41" s="110"/>
      <c r="FD41" s="107"/>
      <c r="FE41" s="23" t="s">
        <v>45</v>
      </c>
      <c r="FF41" s="20"/>
      <c r="FG41" s="20"/>
      <c r="FH41" s="20"/>
      <c r="FI41" s="20"/>
      <c r="FJ41" s="20"/>
      <c r="FK41" s="20"/>
      <c r="FL41" s="20"/>
      <c r="FM41" s="20">
        <v>41096</v>
      </c>
      <c r="FN41" s="20">
        <v>41096</v>
      </c>
      <c r="FO41" s="20">
        <v>41096</v>
      </c>
      <c r="FP41" s="20">
        <v>41096</v>
      </c>
      <c r="FQ41" s="20">
        <v>41096</v>
      </c>
      <c r="FR41" s="20">
        <v>41096</v>
      </c>
      <c r="FS41" s="20">
        <v>41096</v>
      </c>
      <c r="FT41" s="20">
        <v>41096</v>
      </c>
      <c r="FU41" s="20">
        <v>41096</v>
      </c>
      <c r="FV41" s="20">
        <v>41096</v>
      </c>
      <c r="FW41" s="20"/>
      <c r="FX41" s="20"/>
      <c r="FY41" s="20"/>
      <c r="FZ41" s="20"/>
      <c r="GA41" s="20"/>
      <c r="GB41" s="20"/>
      <c r="GC41" s="20"/>
      <c r="GD41" s="21">
        <f t="shared" si="9"/>
        <v>410960</v>
      </c>
      <c r="GE41" s="49">
        <v>4</v>
      </c>
      <c r="GF41" s="21">
        <f t="shared" si="32"/>
        <v>1643840</v>
      </c>
      <c r="GG41" s="110"/>
      <c r="GI41" s="107"/>
      <c r="GJ41" s="23" t="s">
        <v>45</v>
      </c>
      <c r="GK41" s="20"/>
      <c r="GL41" s="20"/>
      <c r="GM41" s="20"/>
      <c r="GN41" s="20"/>
      <c r="GO41" s="20"/>
      <c r="GP41" s="20"/>
      <c r="GQ41" s="20"/>
      <c r="GR41" s="20">
        <v>41096</v>
      </c>
      <c r="GS41" s="20">
        <v>41096</v>
      </c>
      <c r="GT41" s="20">
        <v>41096</v>
      </c>
      <c r="GU41" s="20">
        <v>41096</v>
      </c>
      <c r="GV41" s="20">
        <v>41096</v>
      </c>
      <c r="GW41" s="20">
        <v>41096</v>
      </c>
      <c r="GX41" s="20">
        <v>41096</v>
      </c>
      <c r="GY41" s="20">
        <v>41096</v>
      </c>
      <c r="GZ41" s="20">
        <v>41096</v>
      </c>
      <c r="HA41" s="20">
        <v>41096</v>
      </c>
      <c r="HB41" s="20"/>
      <c r="HC41" s="20"/>
      <c r="HD41" s="20"/>
      <c r="HE41" s="20"/>
      <c r="HF41" s="20"/>
      <c r="HG41" s="20"/>
      <c r="HH41" s="20"/>
      <c r="HI41" s="21">
        <f t="shared" si="11"/>
        <v>410960</v>
      </c>
      <c r="HJ41" s="49">
        <v>4</v>
      </c>
      <c r="HK41" s="21">
        <f t="shared" si="33"/>
        <v>1643840</v>
      </c>
      <c r="HL41" s="110"/>
      <c r="HN41" s="107"/>
      <c r="HO41" s="23" t="s">
        <v>45</v>
      </c>
      <c r="HP41" s="20"/>
      <c r="HQ41" s="20"/>
      <c r="HR41" s="20"/>
      <c r="HS41" s="20"/>
      <c r="HT41" s="20"/>
      <c r="HU41" s="20"/>
      <c r="HV41" s="20"/>
      <c r="HW41" s="20">
        <v>41096</v>
      </c>
      <c r="HX41" s="20">
        <v>41096</v>
      </c>
      <c r="HY41" s="20">
        <v>41096</v>
      </c>
      <c r="HZ41" s="20">
        <v>41096</v>
      </c>
      <c r="IA41" s="20">
        <v>41096</v>
      </c>
      <c r="IB41" s="20">
        <v>41096</v>
      </c>
      <c r="IC41" s="20">
        <v>41096</v>
      </c>
      <c r="ID41" s="20">
        <v>41096</v>
      </c>
      <c r="IE41" s="20">
        <v>41096</v>
      </c>
      <c r="IF41" s="20">
        <v>41096</v>
      </c>
      <c r="IG41" s="20"/>
      <c r="IH41" s="20"/>
      <c r="II41" s="20"/>
      <c r="IJ41" s="20"/>
      <c r="IK41" s="20"/>
      <c r="IL41" s="20"/>
      <c r="IM41" s="20"/>
      <c r="IN41" s="21">
        <f t="shared" si="13"/>
        <v>410960</v>
      </c>
      <c r="IO41" s="49">
        <v>4</v>
      </c>
      <c r="IP41" s="21">
        <f t="shared" si="34"/>
        <v>1643840</v>
      </c>
      <c r="IQ41" s="110"/>
      <c r="IS41" s="107"/>
      <c r="IT41" s="23" t="s">
        <v>45</v>
      </c>
      <c r="IU41" s="20"/>
      <c r="IV41" s="20"/>
      <c r="IW41" s="20"/>
      <c r="IX41" s="20"/>
      <c r="IY41" s="20"/>
      <c r="IZ41" s="20"/>
      <c r="JA41" s="20"/>
      <c r="JB41" s="20">
        <v>41096</v>
      </c>
      <c r="JC41" s="20">
        <v>41096</v>
      </c>
      <c r="JD41" s="20">
        <v>41096</v>
      </c>
      <c r="JE41" s="20">
        <v>41096</v>
      </c>
      <c r="JF41" s="20">
        <v>41096</v>
      </c>
      <c r="JG41" s="20">
        <v>41096</v>
      </c>
      <c r="JH41" s="20">
        <v>41096</v>
      </c>
      <c r="JI41" s="20">
        <v>41096</v>
      </c>
      <c r="JJ41" s="20">
        <v>41096</v>
      </c>
      <c r="JK41" s="20">
        <v>41096</v>
      </c>
      <c r="JL41" s="20"/>
      <c r="JM41" s="20"/>
      <c r="JN41" s="20"/>
      <c r="JO41" s="20"/>
      <c r="JP41" s="20"/>
      <c r="JQ41" s="20"/>
      <c r="JR41" s="20"/>
      <c r="JS41" s="21">
        <f t="shared" si="15"/>
        <v>410960</v>
      </c>
      <c r="JT41" s="49">
        <v>5</v>
      </c>
      <c r="JU41" s="21">
        <f t="shared" si="35"/>
        <v>2054800</v>
      </c>
      <c r="JV41" s="110"/>
      <c r="JX41" s="107"/>
      <c r="JY41" s="23" t="s">
        <v>45</v>
      </c>
      <c r="JZ41" s="20"/>
      <c r="KA41" s="20"/>
      <c r="KB41" s="20"/>
      <c r="KC41" s="20"/>
      <c r="KD41" s="20"/>
      <c r="KE41" s="20"/>
      <c r="KF41" s="20"/>
      <c r="KG41" s="20">
        <v>41096</v>
      </c>
      <c r="KH41" s="20">
        <v>41096</v>
      </c>
      <c r="KI41" s="20">
        <v>41096</v>
      </c>
      <c r="KJ41" s="20">
        <v>41096</v>
      </c>
      <c r="KK41" s="20">
        <v>41096</v>
      </c>
      <c r="KL41" s="20">
        <v>41096</v>
      </c>
      <c r="KM41" s="20">
        <v>41096</v>
      </c>
      <c r="KN41" s="20">
        <v>41096</v>
      </c>
      <c r="KO41" s="20">
        <v>41096</v>
      </c>
      <c r="KP41" s="20">
        <v>41096</v>
      </c>
      <c r="KQ41" s="20"/>
      <c r="KR41" s="20"/>
      <c r="KS41" s="20"/>
      <c r="KT41" s="20"/>
      <c r="KU41" s="20"/>
      <c r="KV41" s="20"/>
      <c r="KW41" s="20"/>
      <c r="KX41" s="21">
        <f t="shared" si="17"/>
        <v>410960</v>
      </c>
      <c r="KY41" s="49">
        <v>4</v>
      </c>
      <c r="KZ41" s="21">
        <f t="shared" si="36"/>
        <v>1643840</v>
      </c>
      <c r="LA41" s="110"/>
      <c r="LC41" s="107"/>
      <c r="LD41" s="23" t="s">
        <v>45</v>
      </c>
      <c r="LE41" s="20"/>
      <c r="LF41" s="20"/>
      <c r="LG41" s="20"/>
      <c r="LH41" s="20"/>
      <c r="LI41" s="20"/>
      <c r="LJ41" s="20"/>
      <c r="LK41" s="20"/>
      <c r="LL41" s="20">
        <v>41096</v>
      </c>
      <c r="LM41" s="20">
        <v>41096</v>
      </c>
      <c r="LN41" s="20">
        <v>41096</v>
      </c>
      <c r="LO41" s="20">
        <v>41096</v>
      </c>
      <c r="LP41" s="20">
        <v>41096</v>
      </c>
      <c r="LQ41" s="20">
        <v>41096</v>
      </c>
      <c r="LR41" s="20">
        <v>41096</v>
      </c>
      <c r="LS41" s="20">
        <v>41096</v>
      </c>
      <c r="LT41" s="20">
        <v>41096</v>
      </c>
      <c r="LU41" s="20">
        <v>41096</v>
      </c>
      <c r="LV41" s="20"/>
      <c r="LW41" s="20"/>
      <c r="LX41" s="20"/>
      <c r="LY41" s="20"/>
      <c r="LZ41" s="20"/>
      <c r="MA41" s="20"/>
      <c r="MB41" s="20"/>
      <c r="MC41" s="21">
        <f t="shared" si="19"/>
        <v>410960</v>
      </c>
      <c r="MD41" s="49">
        <v>4</v>
      </c>
      <c r="ME41" s="21">
        <f t="shared" si="37"/>
        <v>1643840</v>
      </c>
      <c r="MF41" s="110"/>
      <c r="MH41" s="107"/>
      <c r="MI41" s="23" t="s">
        <v>45</v>
      </c>
      <c r="MJ41" s="20"/>
      <c r="MK41" s="20"/>
      <c r="ML41" s="20"/>
      <c r="MM41" s="20"/>
      <c r="MN41" s="20"/>
      <c r="MO41" s="20"/>
      <c r="MP41" s="20"/>
      <c r="MQ41" s="20">
        <v>41096</v>
      </c>
      <c r="MR41" s="20">
        <v>41096</v>
      </c>
      <c r="MS41" s="20">
        <v>41096</v>
      </c>
      <c r="MT41" s="20">
        <v>41096</v>
      </c>
      <c r="MU41" s="20">
        <v>41096</v>
      </c>
      <c r="MV41" s="20">
        <v>41096</v>
      </c>
      <c r="MW41" s="20">
        <v>41096</v>
      </c>
      <c r="MX41" s="20">
        <v>41096</v>
      </c>
      <c r="MY41" s="20">
        <v>41096</v>
      </c>
      <c r="MZ41" s="20">
        <v>41096</v>
      </c>
      <c r="NA41" s="20"/>
      <c r="NB41" s="20"/>
      <c r="NC41" s="20"/>
      <c r="ND41" s="20"/>
      <c r="NE41" s="20"/>
      <c r="NF41" s="20"/>
      <c r="NG41" s="20"/>
      <c r="NH41" s="21">
        <f t="shared" si="21"/>
        <v>410960</v>
      </c>
      <c r="NI41" s="49">
        <v>4</v>
      </c>
      <c r="NJ41" s="21">
        <f t="shared" si="38"/>
        <v>1643840</v>
      </c>
      <c r="NK41" s="110"/>
      <c r="NM41" s="107"/>
      <c r="NN41" s="23" t="s">
        <v>45</v>
      </c>
      <c r="NO41" s="20"/>
      <c r="NP41" s="20"/>
      <c r="NQ41" s="20"/>
      <c r="NR41" s="20"/>
      <c r="NS41" s="20"/>
      <c r="NT41" s="20"/>
      <c r="NU41" s="20"/>
      <c r="NV41" s="20">
        <v>41096</v>
      </c>
      <c r="NW41" s="20">
        <v>41096</v>
      </c>
      <c r="NX41" s="20">
        <v>41096</v>
      </c>
      <c r="NY41" s="20">
        <v>41096</v>
      </c>
      <c r="NZ41" s="20">
        <v>41096</v>
      </c>
      <c r="OA41" s="20">
        <v>41096</v>
      </c>
      <c r="OB41" s="20">
        <v>41096</v>
      </c>
      <c r="OC41" s="20">
        <v>41096</v>
      </c>
      <c r="OD41" s="20">
        <v>41096</v>
      </c>
      <c r="OE41" s="20">
        <v>41096</v>
      </c>
      <c r="OF41" s="20"/>
      <c r="OG41" s="20"/>
      <c r="OH41" s="20"/>
      <c r="OI41" s="20"/>
      <c r="OJ41" s="20"/>
      <c r="OK41" s="20"/>
      <c r="OL41" s="20"/>
      <c r="OM41" s="21">
        <f t="shared" si="23"/>
        <v>410960</v>
      </c>
      <c r="ON41" s="49">
        <v>4</v>
      </c>
      <c r="OO41" s="21">
        <f t="shared" si="39"/>
        <v>1643840</v>
      </c>
      <c r="OP41" s="110"/>
      <c r="OR41" s="107"/>
      <c r="OS41" s="23" t="s">
        <v>45</v>
      </c>
      <c r="OT41" s="20"/>
      <c r="OU41" s="20"/>
      <c r="OV41" s="20"/>
      <c r="OW41" s="20"/>
      <c r="OX41" s="20"/>
      <c r="OY41" s="20"/>
      <c r="OZ41" s="20"/>
      <c r="PA41" s="20">
        <v>41096</v>
      </c>
      <c r="PB41" s="20">
        <v>41096</v>
      </c>
      <c r="PC41" s="20">
        <v>41096</v>
      </c>
      <c r="PD41" s="20">
        <v>41096</v>
      </c>
      <c r="PE41" s="20">
        <v>41096</v>
      </c>
      <c r="PF41" s="20">
        <v>41096</v>
      </c>
      <c r="PG41" s="20">
        <v>41096</v>
      </c>
      <c r="PH41" s="20">
        <v>41096</v>
      </c>
      <c r="PI41" s="20">
        <v>41096</v>
      </c>
      <c r="PJ41" s="20">
        <v>41096</v>
      </c>
      <c r="PK41" s="20"/>
      <c r="PL41" s="20"/>
      <c r="PM41" s="20"/>
      <c r="PN41" s="20"/>
      <c r="PO41" s="20"/>
      <c r="PP41" s="20"/>
      <c r="PQ41" s="20"/>
      <c r="PR41" s="21">
        <f t="shared" si="25"/>
        <v>410960</v>
      </c>
      <c r="PS41" s="62">
        <v>5</v>
      </c>
      <c r="PT41" s="21">
        <f t="shared" si="40"/>
        <v>2054800</v>
      </c>
      <c r="PU41" s="110"/>
    </row>
    <row r="42" spans="3:437" ht="15" thickBot="1" x14ac:dyDescent="0.4">
      <c r="C42" s="108"/>
      <c r="D42" s="24" t="s">
        <v>46</v>
      </c>
      <c r="E42" s="20"/>
      <c r="F42" s="92"/>
      <c r="G42" s="20"/>
      <c r="H42" s="20"/>
      <c r="I42" s="20"/>
      <c r="J42" s="20"/>
      <c r="K42" s="20"/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/>
      <c r="W42" s="20"/>
      <c r="X42" s="20"/>
      <c r="Y42" s="20"/>
      <c r="Z42" s="20"/>
      <c r="AA42" s="20"/>
      <c r="AB42" s="20"/>
      <c r="AC42" s="21">
        <f t="shared" si="0"/>
        <v>0</v>
      </c>
      <c r="AD42" s="22">
        <v>0</v>
      </c>
      <c r="AE42" s="21">
        <f t="shared" si="27"/>
        <v>0</v>
      </c>
      <c r="AF42" s="111"/>
      <c r="AH42" s="108"/>
      <c r="AI42" s="24" t="s">
        <v>46</v>
      </c>
      <c r="AJ42" s="20"/>
      <c r="AK42" s="20"/>
      <c r="AL42" s="20"/>
      <c r="AM42" s="20"/>
      <c r="AN42" s="20"/>
      <c r="AO42" s="20"/>
      <c r="AP42" s="20"/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/>
      <c r="BB42" s="20"/>
      <c r="BC42" s="20"/>
      <c r="BD42" s="20"/>
      <c r="BE42" s="20"/>
      <c r="BF42" s="20"/>
      <c r="BG42" s="20"/>
      <c r="BH42" s="21">
        <f t="shared" si="2"/>
        <v>0</v>
      </c>
      <c r="BI42" s="50">
        <v>0</v>
      </c>
      <c r="BJ42" s="21">
        <f t="shared" si="28"/>
        <v>0</v>
      </c>
      <c r="BK42" s="111"/>
      <c r="BM42" s="108"/>
      <c r="BN42" s="24" t="s">
        <v>46</v>
      </c>
      <c r="BO42" s="20"/>
      <c r="BP42" s="20"/>
      <c r="BQ42" s="20"/>
      <c r="BR42" s="20"/>
      <c r="BS42" s="20"/>
      <c r="BT42" s="20"/>
      <c r="BU42" s="20"/>
      <c r="BV42" s="20">
        <v>0</v>
      </c>
      <c r="BW42" s="20">
        <v>0</v>
      </c>
      <c r="BX42" s="20">
        <v>0</v>
      </c>
      <c r="BY42" s="20">
        <v>0</v>
      </c>
      <c r="BZ42" s="20">
        <v>0</v>
      </c>
      <c r="CA42" s="20">
        <v>0</v>
      </c>
      <c r="CB42" s="20">
        <v>0</v>
      </c>
      <c r="CC42" s="20">
        <v>0</v>
      </c>
      <c r="CD42" s="20">
        <v>0</v>
      </c>
      <c r="CE42" s="20">
        <v>0</v>
      </c>
      <c r="CF42" s="20"/>
      <c r="CG42" s="20"/>
      <c r="CH42" s="20"/>
      <c r="CI42" s="20"/>
      <c r="CJ42" s="20"/>
      <c r="CK42" s="20"/>
      <c r="CL42" s="20"/>
      <c r="CM42" s="21">
        <f t="shared" si="4"/>
        <v>0</v>
      </c>
      <c r="CN42" s="50">
        <v>0</v>
      </c>
      <c r="CO42" s="21">
        <f t="shared" si="29"/>
        <v>0</v>
      </c>
      <c r="CP42" s="111"/>
      <c r="CS42" s="108"/>
      <c r="CT42" s="24" t="s">
        <v>46</v>
      </c>
      <c r="CU42" s="20"/>
      <c r="CV42" s="20"/>
      <c r="CW42" s="20"/>
      <c r="CX42" s="20"/>
      <c r="CY42" s="20"/>
      <c r="CZ42" s="20"/>
      <c r="DA42" s="20"/>
      <c r="DB42" s="20">
        <v>0</v>
      </c>
      <c r="DC42" s="20">
        <v>0</v>
      </c>
      <c r="DD42" s="20">
        <v>0</v>
      </c>
      <c r="DE42" s="20">
        <v>0</v>
      </c>
      <c r="DF42" s="20">
        <v>0</v>
      </c>
      <c r="DG42" s="20">
        <v>0</v>
      </c>
      <c r="DH42" s="20">
        <v>0</v>
      </c>
      <c r="DI42" s="20">
        <v>0</v>
      </c>
      <c r="DJ42" s="20">
        <v>0</v>
      </c>
      <c r="DK42" s="20">
        <v>0</v>
      </c>
      <c r="DL42" s="20"/>
      <c r="DM42" s="20"/>
      <c r="DN42" s="20"/>
      <c r="DO42" s="20"/>
      <c r="DP42" s="20"/>
      <c r="DQ42" s="20"/>
      <c r="DR42" s="20"/>
      <c r="DS42" s="21">
        <f t="shared" si="6"/>
        <v>0</v>
      </c>
      <c r="DT42" s="50">
        <v>0</v>
      </c>
      <c r="DU42" s="21">
        <f t="shared" si="30"/>
        <v>0</v>
      </c>
      <c r="DV42" s="111"/>
      <c r="DY42" s="108"/>
      <c r="DZ42" s="24" t="s">
        <v>46</v>
      </c>
      <c r="EA42" s="20"/>
      <c r="EB42" s="20"/>
      <c r="EC42" s="20"/>
      <c r="ED42" s="20"/>
      <c r="EE42" s="20"/>
      <c r="EF42" s="20"/>
      <c r="EG42" s="20"/>
      <c r="EH42" s="20">
        <v>0</v>
      </c>
      <c r="EI42" s="20">
        <v>0</v>
      </c>
      <c r="EJ42" s="20">
        <v>0</v>
      </c>
      <c r="EK42" s="20">
        <v>0</v>
      </c>
      <c r="EL42" s="20">
        <v>0</v>
      </c>
      <c r="EM42" s="20">
        <v>0</v>
      </c>
      <c r="EN42" s="20">
        <v>0</v>
      </c>
      <c r="EO42" s="20">
        <v>0</v>
      </c>
      <c r="EP42" s="20">
        <v>0</v>
      </c>
      <c r="EQ42" s="20">
        <v>0</v>
      </c>
      <c r="ER42" s="20"/>
      <c r="ES42" s="20"/>
      <c r="ET42" s="20"/>
      <c r="EU42" s="20"/>
      <c r="EV42" s="20"/>
      <c r="EW42" s="20"/>
      <c r="EX42" s="20"/>
      <c r="EY42" s="21">
        <f t="shared" si="7"/>
        <v>0</v>
      </c>
      <c r="EZ42" s="50">
        <v>0</v>
      </c>
      <c r="FA42" s="21">
        <f t="shared" si="31"/>
        <v>0</v>
      </c>
      <c r="FB42" s="111"/>
      <c r="FD42" s="108"/>
      <c r="FE42" s="24" t="s">
        <v>46</v>
      </c>
      <c r="FF42" s="20"/>
      <c r="FG42" s="20"/>
      <c r="FH42" s="20"/>
      <c r="FI42" s="20"/>
      <c r="FJ42" s="20"/>
      <c r="FK42" s="20"/>
      <c r="FL42" s="20"/>
      <c r="FM42" s="20">
        <v>0</v>
      </c>
      <c r="FN42" s="20">
        <v>0</v>
      </c>
      <c r="FO42" s="20">
        <v>0</v>
      </c>
      <c r="FP42" s="20">
        <v>0</v>
      </c>
      <c r="FQ42" s="20">
        <v>0</v>
      </c>
      <c r="FR42" s="20">
        <v>0</v>
      </c>
      <c r="FS42" s="20">
        <v>0</v>
      </c>
      <c r="FT42" s="20">
        <v>0</v>
      </c>
      <c r="FU42" s="20">
        <v>0</v>
      </c>
      <c r="FV42" s="20">
        <v>0</v>
      </c>
      <c r="FW42" s="20"/>
      <c r="FX42" s="20"/>
      <c r="FY42" s="20"/>
      <c r="FZ42" s="20"/>
      <c r="GA42" s="20"/>
      <c r="GB42" s="20"/>
      <c r="GC42" s="20"/>
      <c r="GD42" s="21">
        <f t="shared" si="9"/>
        <v>0</v>
      </c>
      <c r="GE42" s="50">
        <v>0</v>
      </c>
      <c r="GF42" s="21">
        <f t="shared" si="32"/>
        <v>0</v>
      </c>
      <c r="GG42" s="111"/>
      <c r="GI42" s="108"/>
      <c r="GJ42" s="24" t="s">
        <v>46</v>
      </c>
      <c r="GK42" s="20"/>
      <c r="GL42" s="20"/>
      <c r="GM42" s="20"/>
      <c r="GN42" s="20"/>
      <c r="GO42" s="20"/>
      <c r="GP42" s="20"/>
      <c r="GQ42" s="20"/>
      <c r="GR42" s="20">
        <v>0</v>
      </c>
      <c r="GS42" s="20">
        <v>0</v>
      </c>
      <c r="GT42" s="20">
        <v>0</v>
      </c>
      <c r="GU42" s="20">
        <v>0</v>
      </c>
      <c r="GV42" s="20">
        <v>0</v>
      </c>
      <c r="GW42" s="20">
        <v>0</v>
      </c>
      <c r="GX42" s="20">
        <v>0</v>
      </c>
      <c r="GY42" s="20">
        <v>0</v>
      </c>
      <c r="GZ42" s="20">
        <v>0</v>
      </c>
      <c r="HA42" s="20">
        <v>0</v>
      </c>
      <c r="HB42" s="20"/>
      <c r="HC42" s="20"/>
      <c r="HD42" s="20"/>
      <c r="HE42" s="20"/>
      <c r="HF42" s="20"/>
      <c r="HG42" s="20"/>
      <c r="HH42" s="20"/>
      <c r="HI42" s="21">
        <f t="shared" si="11"/>
        <v>0</v>
      </c>
      <c r="HJ42" s="50">
        <v>0</v>
      </c>
      <c r="HK42" s="21">
        <f t="shared" si="33"/>
        <v>0</v>
      </c>
      <c r="HL42" s="111"/>
      <c r="HN42" s="108"/>
      <c r="HO42" s="24" t="s">
        <v>46</v>
      </c>
      <c r="HP42" s="20"/>
      <c r="HQ42" s="20"/>
      <c r="HR42" s="20"/>
      <c r="HS42" s="20"/>
      <c r="HT42" s="20"/>
      <c r="HU42" s="20"/>
      <c r="HV42" s="20"/>
      <c r="HW42" s="20">
        <v>0</v>
      </c>
      <c r="HX42" s="20">
        <v>0</v>
      </c>
      <c r="HY42" s="20">
        <v>0</v>
      </c>
      <c r="HZ42" s="20">
        <v>0</v>
      </c>
      <c r="IA42" s="20">
        <v>0</v>
      </c>
      <c r="IB42" s="20">
        <v>0</v>
      </c>
      <c r="IC42" s="20">
        <v>0</v>
      </c>
      <c r="ID42" s="20">
        <v>0</v>
      </c>
      <c r="IE42" s="20">
        <v>0</v>
      </c>
      <c r="IF42" s="20">
        <v>0</v>
      </c>
      <c r="IG42" s="20"/>
      <c r="IH42" s="20"/>
      <c r="II42" s="20"/>
      <c r="IJ42" s="20"/>
      <c r="IK42" s="20"/>
      <c r="IL42" s="20"/>
      <c r="IM42" s="20"/>
      <c r="IN42" s="21">
        <f t="shared" si="13"/>
        <v>0</v>
      </c>
      <c r="IO42" s="50">
        <v>0</v>
      </c>
      <c r="IP42" s="21">
        <f t="shared" si="34"/>
        <v>0</v>
      </c>
      <c r="IQ42" s="111"/>
      <c r="IS42" s="108"/>
      <c r="IT42" s="24" t="s">
        <v>46</v>
      </c>
      <c r="IU42" s="20"/>
      <c r="IV42" s="20"/>
      <c r="IW42" s="20"/>
      <c r="IX42" s="20"/>
      <c r="IY42" s="20"/>
      <c r="IZ42" s="20"/>
      <c r="JA42" s="20"/>
      <c r="JB42" s="20">
        <v>0</v>
      </c>
      <c r="JC42" s="20">
        <v>0</v>
      </c>
      <c r="JD42" s="20">
        <v>0</v>
      </c>
      <c r="JE42" s="20">
        <v>0</v>
      </c>
      <c r="JF42" s="20">
        <v>0</v>
      </c>
      <c r="JG42" s="20">
        <v>0</v>
      </c>
      <c r="JH42" s="20">
        <v>0</v>
      </c>
      <c r="JI42" s="20">
        <v>0</v>
      </c>
      <c r="JJ42" s="20">
        <v>0</v>
      </c>
      <c r="JK42" s="20">
        <v>0</v>
      </c>
      <c r="JL42" s="20"/>
      <c r="JM42" s="20"/>
      <c r="JN42" s="20"/>
      <c r="JO42" s="20"/>
      <c r="JP42" s="20"/>
      <c r="JQ42" s="20"/>
      <c r="JR42" s="20"/>
      <c r="JS42" s="21">
        <f t="shared" si="15"/>
        <v>0</v>
      </c>
      <c r="JT42" s="50">
        <v>0</v>
      </c>
      <c r="JU42" s="21">
        <f t="shared" si="35"/>
        <v>0</v>
      </c>
      <c r="JV42" s="111"/>
      <c r="JX42" s="108"/>
      <c r="JY42" s="24" t="s">
        <v>46</v>
      </c>
      <c r="JZ42" s="20"/>
      <c r="KA42" s="20"/>
      <c r="KB42" s="20"/>
      <c r="KC42" s="20"/>
      <c r="KD42" s="20"/>
      <c r="KE42" s="20"/>
      <c r="KF42" s="20"/>
      <c r="KG42" s="20">
        <v>0</v>
      </c>
      <c r="KH42" s="20">
        <v>0</v>
      </c>
      <c r="KI42" s="20">
        <v>0</v>
      </c>
      <c r="KJ42" s="20">
        <v>0</v>
      </c>
      <c r="KK42" s="20">
        <v>0</v>
      </c>
      <c r="KL42" s="20">
        <v>0</v>
      </c>
      <c r="KM42" s="20">
        <v>0</v>
      </c>
      <c r="KN42" s="20">
        <v>0</v>
      </c>
      <c r="KO42" s="20">
        <v>0</v>
      </c>
      <c r="KP42" s="20">
        <v>0</v>
      </c>
      <c r="KQ42" s="20"/>
      <c r="KR42" s="20"/>
      <c r="KS42" s="20"/>
      <c r="KT42" s="20"/>
      <c r="KU42" s="20"/>
      <c r="KV42" s="20"/>
      <c r="KW42" s="20"/>
      <c r="KX42" s="21">
        <f t="shared" si="17"/>
        <v>0</v>
      </c>
      <c r="KY42" s="50">
        <v>0</v>
      </c>
      <c r="KZ42" s="21">
        <f t="shared" si="36"/>
        <v>0</v>
      </c>
      <c r="LA42" s="111"/>
      <c r="LC42" s="108"/>
      <c r="LD42" s="24" t="s">
        <v>46</v>
      </c>
      <c r="LE42" s="20"/>
      <c r="LF42" s="20"/>
      <c r="LG42" s="20"/>
      <c r="LH42" s="20"/>
      <c r="LI42" s="20"/>
      <c r="LJ42" s="20"/>
      <c r="LK42" s="20"/>
      <c r="LL42" s="20">
        <v>0</v>
      </c>
      <c r="LM42" s="20">
        <v>0</v>
      </c>
      <c r="LN42" s="20">
        <v>0</v>
      </c>
      <c r="LO42" s="20">
        <v>0</v>
      </c>
      <c r="LP42" s="20">
        <v>0</v>
      </c>
      <c r="LQ42" s="20">
        <v>0</v>
      </c>
      <c r="LR42" s="20">
        <v>0</v>
      </c>
      <c r="LS42" s="20">
        <v>0</v>
      </c>
      <c r="LT42" s="20">
        <v>0</v>
      </c>
      <c r="LU42" s="20">
        <v>0</v>
      </c>
      <c r="LV42" s="20"/>
      <c r="LW42" s="20"/>
      <c r="LX42" s="20"/>
      <c r="LY42" s="20"/>
      <c r="LZ42" s="20"/>
      <c r="MA42" s="20"/>
      <c r="MB42" s="20"/>
      <c r="MC42" s="21">
        <f t="shared" si="19"/>
        <v>0</v>
      </c>
      <c r="MD42" s="50">
        <v>0</v>
      </c>
      <c r="ME42" s="21">
        <f t="shared" si="37"/>
        <v>0</v>
      </c>
      <c r="MF42" s="111"/>
      <c r="MH42" s="108"/>
      <c r="MI42" s="24" t="s">
        <v>46</v>
      </c>
      <c r="MJ42" s="20"/>
      <c r="MK42" s="20"/>
      <c r="ML42" s="20"/>
      <c r="MM42" s="20"/>
      <c r="MN42" s="20"/>
      <c r="MO42" s="20"/>
      <c r="MP42" s="20"/>
      <c r="MQ42" s="20">
        <v>0</v>
      </c>
      <c r="MR42" s="20">
        <v>0</v>
      </c>
      <c r="MS42" s="20">
        <v>0</v>
      </c>
      <c r="MT42" s="20">
        <v>0</v>
      </c>
      <c r="MU42" s="20">
        <v>0</v>
      </c>
      <c r="MV42" s="20">
        <v>0</v>
      </c>
      <c r="MW42" s="20">
        <v>0</v>
      </c>
      <c r="MX42" s="20">
        <v>0</v>
      </c>
      <c r="MY42" s="20">
        <v>0</v>
      </c>
      <c r="MZ42" s="20">
        <v>0</v>
      </c>
      <c r="NA42" s="20"/>
      <c r="NB42" s="20"/>
      <c r="NC42" s="20"/>
      <c r="ND42" s="20"/>
      <c r="NE42" s="20"/>
      <c r="NF42" s="20"/>
      <c r="NG42" s="20"/>
      <c r="NH42" s="21">
        <f t="shared" si="21"/>
        <v>0</v>
      </c>
      <c r="NI42" s="50">
        <v>0</v>
      </c>
      <c r="NJ42" s="21">
        <f t="shared" si="38"/>
        <v>0</v>
      </c>
      <c r="NK42" s="111"/>
      <c r="NM42" s="108"/>
      <c r="NN42" s="24" t="s">
        <v>46</v>
      </c>
      <c r="NO42" s="20"/>
      <c r="NP42" s="20"/>
      <c r="NQ42" s="20"/>
      <c r="NR42" s="20"/>
      <c r="NS42" s="20"/>
      <c r="NT42" s="20"/>
      <c r="NU42" s="20"/>
      <c r="NV42" s="20">
        <v>0</v>
      </c>
      <c r="NW42" s="20">
        <v>0</v>
      </c>
      <c r="NX42" s="20">
        <v>0</v>
      </c>
      <c r="NY42" s="20">
        <v>0</v>
      </c>
      <c r="NZ42" s="20">
        <v>0</v>
      </c>
      <c r="OA42" s="20">
        <v>0</v>
      </c>
      <c r="OB42" s="20">
        <v>0</v>
      </c>
      <c r="OC42" s="20">
        <v>0</v>
      </c>
      <c r="OD42" s="20">
        <v>0</v>
      </c>
      <c r="OE42" s="20">
        <v>0</v>
      </c>
      <c r="OF42" s="20"/>
      <c r="OG42" s="20"/>
      <c r="OH42" s="20"/>
      <c r="OI42" s="20"/>
      <c r="OJ42" s="20"/>
      <c r="OK42" s="20"/>
      <c r="OL42" s="20"/>
      <c r="OM42" s="21">
        <f t="shared" si="23"/>
        <v>0</v>
      </c>
      <c r="ON42" s="50">
        <v>0</v>
      </c>
      <c r="OO42" s="21">
        <f t="shared" si="39"/>
        <v>0</v>
      </c>
      <c r="OP42" s="111"/>
      <c r="OR42" s="108"/>
      <c r="OS42" s="24" t="s">
        <v>46</v>
      </c>
      <c r="OT42" s="20"/>
      <c r="OU42" s="20"/>
      <c r="OV42" s="20"/>
      <c r="OW42" s="20"/>
      <c r="OX42" s="20"/>
      <c r="OY42" s="20"/>
      <c r="OZ42" s="20"/>
      <c r="PA42" s="20">
        <v>0</v>
      </c>
      <c r="PB42" s="20">
        <v>0</v>
      </c>
      <c r="PC42" s="20">
        <v>0</v>
      </c>
      <c r="PD42" s="20">
        <v>0</v>
      </c>
      <c r="PE42" s="20">
        <v>0</v>
      </c>
      <c r="PF42" s="20">
        <v>0</v>
      </c>
      <c r="PG42" s="20">
        <v>0</v>
      </c>
      <c r="PH42" s="20">
        <v>0</v>
      </c>
      <c r="PI42" s="20">
        <v>0</v>
      </c>
      <c r="PJ42" s="20">
        <v>0</v>
      </c>
      <c r="PK42" s="20"/>
      <c r="PL42" s="20"/>
      <c r="PM42" s="20"/>
      <c r="PN42" s="20"/>
      <c r="PO42" s="20"/>
      <c r="PP42" s="20"/>
      <c r="PQ42" s="20"/>
      <c r="PR42" s="21">
        <f t="shared" si="25"/>
        <v>0</v>
      </c>
      <c r="PS42" s="64">
        <v>0</v>
      </c>
      <c r="PT42" s="21">
        <f t="shared" si="40"/>
        <v>0</v>
      </c>
      <c r="PU42" s="111"/>
    </row>
    <row r="43" spans="3:437" x14ac:dyDescent="0.35">
      <c r="C43" s="106">
        <v>46661</v>
      </c>
      <c r="D43" s="19" t="s">
        <v>43</v>
      </c>
      <c r="E43" s="20"/>
      <c r="F43" s="92"/>
      <c r="G43" s="20"/>
      <c r="H43" s="20"/>
      <c r="I43" s="20"/>
      <c r="J43" s="20"/>
      <c r="K43" s="20"/>
      <c r="L43" s="20">
        <v>41096</v>
      </c>
      <c r="M43" s="20">
        <v>41096</v>
      </c>
      <c r="N43" s="20">
        <v>41096</v>
      </c>
      <c r="O43" s="20">
        <v>41096</v>
      </c>
      <c r="P43" s="20">
        <v>41096</v>
      </c>
      <c r="Q43" s="20">
        <v>41096</v>
      </c>
      <c r="R43" s="20">
        <v>41096</v>
      </c>
      <c r="S43" s="20">
        <v>41096</v>
      </c>
      <c r="T43" s="20">
        <v>41096</v>
      </c>
      <c r="U43" s="20">
        <v>41096</v>
      </c>
      <c r="V43" s="20"/>
      <c r="W43" s="20"/>
      <c r="X43" s="20"/>
      <c r="Y43" s="20"/>
      <c r="Z43" s="20"/>
      <c r="AA43" s="20"/>
      <c r="AB43" s="20"/>
      <c r="AC43" s="21">
        <f t="shared" si="0"/>
        <v>410960</v>
      </c>
      <c r="AD43" s="22">
        <v>20</v>
      </c>
      <c r="AE43" s="21">
        <f t="shared" si="27"/>
        <v>8219200</v>
      </c>
      <c r="AF43" s="109">
        <f>+SUM(AE43:AE46)</f>
        <v>12739760</v>
      </c>
      <c r="AH43" s="106">
        <v>47027</v>
      </c>
      <c r="AI43" s="19" t="s">
        <v>43</v>
      </c>
      <c r="AJ43" s="20"/>
      <c r="AK43" s="20"/>
      <c r="AL43" s="20"/>
      <c r="AM43" s="20"/>
      <c r="AN43" s="20"/>
      <c r="AO43" s="20"/>
      <c r="AP43" s="20"/>
      <c r="AQ43" s="20">
        <v>41096</v>
      </c>
      <c r="AR43" s="20">
        <v>41096</v>
      </c>
      <c r="AS43" s="20">
        <v>41096</v>
      </c>
      <c r="AT43" s="20">
        <v>41096</v>
      </c>
      <c r="AU43" s="20">
        <v>41096</v>
      </c>
      <c r="AV43" s="20">
        <v>41096</v>
      </c>
      <c r="AW43" s="20">
        <v>41096</v>
      </c>
      <c r="AX43" s="20">
        <v>41096</v>
      </c>
      <c r="AY43" s="20">
        <v>41096</v>
      </c>
      <c r="AZ43" s="20">
        <v>41096</v>
      </c>
      <c r="BA43" s="20"/>
      <c r="BB43" s="20"/>
      <c r="BC43" s="20"/>
      <c r="BD43" s="20"/>
      <c r="BE43" s="20"/>
      <c r="BF43" s="20"/>
      <c r="BG43" s="20"/>
      <c r="BH43" s="21">
        <f t="shared" si="2"/>
        <v>410960</v>
      </c>
      <c r="BI43" s="48">
        <v>21</v>
      </c>
      <c r="BJ43" s="21">
        <f t="shared" si="28"/>
        <v>8630160</v>
      </c>
      <c r="BK43" s="109">
        <f>+SUM(BJ43:BJ46)</f>
        <v>12739760</v>
      </c>
      <c r="BM43" s="106">
        <v>47392</v>
      </c>
      <c r="BN43" s="19" t="s">
        <v>43</v>
      </c>
      <c r="BO43" s="20"/>
      <c r="BP43" s="20"/>
      <c r="BQ43" s="20"/>
      <c r="BR43" s="20"/>
      <c r="BS43" s="20"/>
      <c r="BT43" s="20"/>
      <c r="BU43" s="20"/>
      <c r="BV43" s="20">
        <v>41096</v>
      </c>
      <c r="BW43" s="20">
        <v>41096</v>
      </c>
      <c r="BX43" s="20">
        <v>41096</v>
      </c>
      <c r="BY43" s="20">
        <v>41096</v>
      </c>
      <c r="BZ43" s="20">
        <v>41096</v>
      </c>
      <c r="CA43" s="20">
        <v>41096</v>
      </c>
      <c r="CB43" s="20">
        <v>41096</v>
      </c>
      <c r="CC43" s="20">
        <v>41096</v>
      </c>
      <c r="CD43" s="20">
        <v>41096</v>
      </c>
      <c r="CE43" s="20">
        <v>41096</v>
      </c>
      <c r="CF43" s="20"/>
      <c r="CG43" s="20"/>
      <c r="CH43" s="20"/>
      <c r="CI43" s="20"/>
      <c r="CJ43" s="20"/>
      <c r="CK43" s="20"/>
      <c r="CL43" s="20"/>
      <c r="CM43" s="21">
        <f t="shared" si="4"/>
        <v>410960</v>
      </c>
      <c r="CN43" s="48">
        <v>22</v>
      </c>
      <c r="CO43" s="21">
        <f t="shared" si="29"/>
        <v>9041120</v>
      </c>
      <c r="CP43" s="109">
        <f>+SUM(CO43:CO46)</f>
        <v>12739760</v>
      </c>
      <c r="CS43" s="106">
        <v>47757</v>
      </c>
      <c r="CT43" s="19" t="s">
        <v>43</v>
      </c>
      <c r="CU43" s="20"/>
      <c r="CV43" s="20"/>
      <c r="CW43" s="20"/>
      <c r="CX43" s="20"/>
      <c r="CY43" s="20"/>
      <c r="CZ43" s="20"/>
      <c r="DA43" s="20"/>
      <c r="DB43" s="20">
        <v>41096</v>
      </c>
      <c r="DC43" s="20">
        <v>41096</v>
      </c>
      <c r="DD43" s="20">
        <v>41096</v>
      </c>
      <c r="DE43" s="20">
        <v>41096</v>
      </c>
      <c r="DF43" s="20">
        <v>41096</v>
      </c>
      <c r="DG43" s="20">
        <v>41096</v>
      </c>
      <c r="DH43" s="20">
        <v>41096</v>
      </c>
      <c r="DI43" s="20">
        <v>41096</v>
      </c>
      <c r="DJ43" s="20">
        <v>41096</v>
      </c>
      <c r="DK43" s="20">
        <v>41096</v>
      </c>
      <c r="DL43" s="20"/>
      <c r="DM43" s="20"/>
      <c r="DN43" s="20"/>
      <c r="DO43" s="20"/>
      <c r="DP43" s="20"/>
      <c r="DQ43" s="20"/>
      <c r="DR43" s="20"/>
      <c r="DS43" s="21">
        <f t="shared" si="6"/>
        <v>410960</v>
      </c>
      <c r="DT43" s="48">
        <v>22</v>
      </c>
      <c r="DU43" s="21">
        <f t="shared" si="30"/>
        <v>9041120</v>
      </c>
      <c r="DV43" s="109">
        <f>+SUM(DU43:DU46)</f>
        <v>12739760</v>
      </c>
      <c r="DY43" s="106">
        <v>48122</v>
      </c>
      <c r="DZ43" s="19" t="s">
        <v>43</v>
      </c>
      <c r="EA43" s="20"/>
      <c r="EB43" s="20"/>
      <c r="EC43" s="20"/>
      <c r="ED43" s="20"/>
      <c r="EE43" s="20"/>
      <c r="EF43" s="20"/>
      <c r="EG43" s="20"/>
      <c r="EH43" s="20">
        <v>41096</v>
      </c>
      <c r="EI43" s="20">
        <v>41096</v>
      </c>
      <c r="EJ43" s="20">
        <v>41096</v>
      </c>
      <c r="EK43" s="20">
        <v>41096</v>
      </c>
      <c r="EL43" s="20">
        <v>41096</v>
      </c>
      <c r="EM43" s="20">
        <v>41096</v>
      </c>
      <c r="EN43" s="20">
        <v>41096</v>
      </c>
      <c r="EO43" s="20">
        <v>41096</v>
      </c>
      <c r="EP43" s="20">
        <v>41096</v>
      </c>
      <c r="EQ43" s="20">
        <v>41096</v>
      </c>
      <c r="ER43" s="20"/>
      <c r="ES43" s="20"/>
      <c r="ET43" s="20"/>
      <c r="EU43" s="20"/>
      <c r="EV43" s="20"/>
      <c r="EW43" s="20"/>
      <c r="EX43" s="20"/>
      <c r="EY43" s="21">
        <f t="shared" si="7"/>
        <v>410960</v>
      </c>
      <c r="EZ43" s="48">
        <v>22</v>
      </c>
      <c r="FA43" s="21">
        <f t="shared" si="31"/>
        <v>9041120</v>
      </c>
      <c r="FB43" s="109">
        <f>+SUM(FA43:FA46)</f>
        <v>12739760</v>
      </c>
      <c r="FD43" s="106">
        <v>48488</v>
      </c>
      <c r="FE43" s="19" t="s">
        <v>43</v>
      </c>
      <c r="FF43" s="20"/>
      <c r="FG43" s="20"/>
      <c r="FH43" s="20"/>
      <c r="FI43" s="20"/>
      <c r="FJ43" s="20"/>
      <c r="FK43" s="20"/>
      <c r="FL43" s="20"/>
      <c r="FM43" s="20">
        <v>41096</v>
      </c>
      <c r="FN43" s="20">
        <v>41096</v>
      </c>
      <c r="FO43" s="20">
        <v>41096</v>
      </c>
      <c r="FP43" s="20">
        <v>41096</v>
      </c>
      <c r="FQ43" s="20">
        <v>41096</v>
      </c>
      <c r="FR43" s="20">
        <v>41096</v>
      </c>
      <c r="FS43" s="20">
        <v>41096</v>
      </c>
      <c r="FT43" s="20">
        <v>41096</v>
      </c>
      <c r="FU43" s="20">
        <v>41096</v>
      </c>
      <c r="FV43" s="20">
        <v>41096</v>
      </c>
      <c r="FW43" s="20"/>
      <c r="FX43" s="20"/>
      <c r="FY43" s="20"/>
      <c r="FZ43" s="20"/>
      <c r="GA43" s="20"/>
      <c r="GB43" s="20"/>
      <c r="GC43" s="20"/>
      <c r="GD43" s="21">
        <f t="shared" si="9"/>
        <v>410960</v>
      </c>
      <c r="GE43" s="48">
        <v>20</v>
      </c>
      <c r="GF43" s="21">
        <f t="shared" si="32"/>
        <v>8219200</v>
      </c>
      <c r="GG43" s="109">
        <f>+SUM(GF43:GF46)</f>
        <v>12739760</v>
      </c>
      <c r="GI43" s="106">
        <v>48853</v>
      </c>
      <c r="GJ43" s="19" t="s">
        <v>43</v>
      </c>
      <c r="GK43" s="20"/>
      <c r="GL43" s="20"/>
      <c r="GM43" s="20"/>
      <c r="GN43" s="20"/>
      <c r="GO43" s="20"/>
      <c r="GP43" s="20"/>
      <c r="GQ43" s="20"/>
      <c r="GR43" s="20">
        <v>41096</v>
      </c>
      <c r="GS43" s="20">
        <v>41096</v>
      </c>
      <c r="GT43" s="20">
        <v>41096</v>
      </c>
      <c r="GU43" s="20">
        <v>41096</v>
      </c>
      <c r="GV43" s="20">
        <v>41096</v>
      </c>
      <c r="GW43" s="20">
        <v>41096</v>
      </c>
      <c r="GX43" s="20">
        <v>41096</v>
      </c>
      <c r="GY43" s="20">
        <v>41096</v>
      </c>
      <c r="GZ43" s="20">
        <v>41096</v>
      </c>
      <c r="HA43" s="20">
        <v>41096</v>
      </c>
      <c r="HB43" s="20"/>
      <c r="HC43" s="20"/>
      <c r="HD43" s="20"/>
      <c r="HE43" s="20"/>
      <c r="HF43" s="20"/>
      <c r="HG43" s="20"/>
      <c r="HH43" s="20"/>
      <c r="HI43" s="21">
        <f t="shared" si="11"/>
        <v>410960</v>
      </c>
      <c r="HJ43" s="48">
        <v>20</v>
      </c>
      <c r="HK43" s="21">
        <f t="shared" si="33"/>
        <v>8219200</v>
      </c>
      <c r="HL43" s="109">
        <f>+SUM(HK43:HK46)</f>
        <v>12739760</v>
      </c>
      <c r="HN43" s="106">
        <v>49218</v>
      </c>
      <c r="HO43" s="19" t="s">
        <v>43</v>
      </c>
      <c r="HP43" s="20"/>
      <c r="HQ43" s="20"/>
      <c r="HR43" s="20"/>
      <c r="HS43" s="20"/>
      <c r="HT43" s="20"/>
      <c r="HU43" s="20"/>
      <c r="HV43" s="20"/>
      <c r="HW43" s="20">
        <v>41096</v>
      </c>
      <c r="HX43" s="20">
        <v>41096</v>
      </c>
      <c r="HY43" s="20">
        <v>41096</v>
      </c>
      <c r="HZ43" s="20">
        <v>41096</v>
      </c>
      <c r="IA43" s="20">
        <v>41096</v>
      </c>
      <c r="IB43" s="20">
        <v>41096</v>
      </c>
      <c r="IC43" s="20">
        <v>41096</v>
      </c>
      <c r="ID43" s="20">
        <v>41096</v>
      </c>
      <c r="IE43" s="20">
        <v>41096</v>
      </c>
      <c r="IF43" s="20">
        <v>41096</v>
      </c>
      <c r="IG43" s="20"/>
      <c r="IH43" s="20"/>
      <c r="II43" s="20"/>
      <c r="IJ43" s="20"/>
      <c r="IK43" s="20"/>
      <c r="IL43" s="20"/>
      <c r="IM43" s="20"/>
      <c r="IN43" s="21">
        <f t="shared" si="13"/>
        <v>410960</v>
      </c>
      <c r="IO43" s="48">
        <v>21</v>
      </c>
      <c r="IP43" s="21">
        <f t="shared" si="34"/>
        <v>8630160</v>
      </c>
      <c r="IQ43" s="109">
        <f>+SUM(IP43:IP46)</f>
        <v>12739760</v>
      </c>
      <c r="IS43" s="106">
        <v>49583</v>
      </c>
      <c r="IT43" s="19" t="s">
        <v>43</v>
      </c>
      <c r="IU43" s="20"/>
      <c r="IV43" s="20"/>
      <c r="IW43" s="20"/>
      <c r="IX43" s="20"/>
      <c r="IY43" s="20"/>
      <c r="IZ43" s="20"/>
      <c r="JA43" s="20"/>
      <c r="JB43" s="20">
        <v>41096</v>
      </c>
      <c r="JC43" s="20">
        <v>41096</v>
      </c>
      <c r="JD43" s="20">
        <v>41096</v>
      </c>
      <c r="JE43" s="20">
        <v>41096</v>
      </c>
      <c r="JF43" s="20">
        <v>41096</v>
      </c>
      <c r="JG43" s="20">
        <v>41096</v>
      </c>
      <c r="JH43" s="20">
        <v>41096</v>
      </c>
      <c r="JI43" s="20">
        <v>41096</v>
      </c>
      <c r="JJ43" s="20">
        <v>41096</v>
      </c>
      <c r="JK43" s="20">
        <v>41096</v>
      </c>
      <c r="JL43" s="20"/>
      <c r="JM43" s="20"/>
      <c r="JN43" s="20"/>
      <c r="JO43" s="20"/>
      <c r="JP43" s="20"/>
      <c r="JQ43" s="20"/>
      <c r="JR43" s="20"/>
      <c r="JS43" s="21">
        <f t="shared" si="15"/>
        <v>410960</v>
      </c>
      <c r="JT43" s="48">
        <v>22</v>
      </c>
      <c r="JU43" s="21">
        <f t="shared" si="35"/>
        <v>9041120</v>
      </c>
      <c r="JV43" s="109">
        <f>+SUM(JU43:JU46)</f>
        <v>12739760</v>
      </c>
      <c r="JX43" s="106">
        <v>49949</v>
      </c>
      <c r="JY43" s="19" t="s">
        <v>43</v>
      </c>
      <c r="JZ43" s="20"/>
      <c r="KA43" s="20"/>
      <c r="KB43" s="20"/>
      <c r="KC43" s="20"/>
      <c r="KD43" s="20"/>
      <c r="KE43" s="20"/>
      <c r="KF43" s="20"/>
      <c r="KG43" s="20">
        <v>41096</v>
      </c>
      <c r="KH43" s="20">
        <v>41096</v>
      </c>
      <c r="KI43" s="20">
        <v>41096</v>
      </c>
      <c r="KJ43" s="20">
        <v>41096</v>
      </c>
      <c r="KK43" s="20">
        <v>41096</v>
      </c>
      <c r="KL43" s="20">
        <v>41096</v>
      </c>
      <c r="KM43" s="20">
        <v>41096</v>
      </c>
      <c r="KN43" s="20">
        <v>41096</v>
      </c>
      <c r="KO43" s="20">
        <v>41096</v>
      </c>
      <c r="KP43" s="20">
        <v>41096</v>
      </c>
      <c r="KQ43" s="20"/>
      <c r="KR43" s="20"/>
      <c r="KS43" s="20"/>
      <c r="KT43" s="20"/>
      <c r="KU43" s="20"/>
      <c r="KV43" s="20"/>
      <c r="KW43" s="20"/>
      <c r="KX43" s="21">
        <f t="shared" si="17"/>
        <v>410960</v>
      </c>
      <c r="KY43" s="48">
        <v>22</v>
      </c>
      <c r="KZ43" s="21">
        <f t="shared" si="36"/>
        <v>9041120</v>
      </c>
      <c r="LA43" s="109">
        <f>+SUM(KZ43:KZ46)</f>
        <v>12739760</v>
      </c>
      <c r="LC43" s="106">
        <v>50314</v>
      </c>
      <c r="LD43" s="19" t="s">
        <v>43</v>
      </c>
      <c r="LE43" s="20"/>
      <c r="LF43" s="20"/>
      <c r="LG43" s="20"/>
      <c r="LH43" s="20"/>
      <c r="LI43" s="20"/>
      <c r="LJ43" s="20"/>
      <c r="LK43" s="20"/>
      <c r="LL43" s="20">
        <v>41096</v>
      </c>
      <c r="LM43" s="20">
        <v>41096</v>
      </c>
      <c r="LN43" s="20">
        <v>41096</v>
      </c>
      <c r="LO43" s="20">
        <v>41096</v>
      </c>
      <c r="LP43" s="20">
        <v>41096</v>
      </c>
      <c r="LQ43" s="20">
        <v>41096</v>
      </c>
      <c r="LR43" s="20">
        <v>41096</v>
      </c>
      <c r="LS43" s="20">
        <v>41096</v>
      </c>
      <c r="LT43" s="20">
        <v>41096</v>
      </c>
      <c r="LU43" s="20">
        <v>41096</v>
      </c>
      <c r="LV43" s="20"/>
      <c r="LW43" s="20"/>
      <c r="LX43" s="20"/>
      <c r="LY43" s="20"/>
      <c r="LZ43" s="20"/>
      <c r="MA43" s="20"/>
      <c r="MB43" s="20"/>
      <c r="MC43" s="21">
        <f t="shared" si="19"/>
        <v>410960</v>
      </c>
      <c r="MD43" s="48">
        <v>21</v>
      </c>
      <c r="ME43" s="21">
        <f t="shared" si="37"/>
        <v>8630160</v>
      </c>
      <c r="MF43" s="109">
        <f>+SUM(ME43:ME46)</f>
        <v>12739760</v>
      </c>
      <c r="MH43" s="106">
        <v>50679</v>
      </c>
      <c r="MI43" s="19" t="s">
        <v>43</v>
      </c>
      <c r="MJ43" s="20"/>
      <c r="MK43" s="20"/>
      <c r="ML43" s="20"/>
      <c r="MM43" s="20"/>
      <c r="MN43" s="20"/>
      <c r="MO43" s="20"/>
      <c r="MP43" s="20"/>
      <c r="MQ43" s="20">
        <v>41096</v>
      </c>
      <c r="MR43" s="20">
        <v>41096</v>
      </c>
      <c r="MS43" s="20">
        <v>41096</v>
      </c>
      <c r="MT43" s="20">
        <v>41096</v>
      </c>
      <c r="MU43" s="20">
        <v>41096</v>
      </c>
      <c r="MV43" s="20">
        <v>41096</v>
      </c>
      <c r="MW43" s="20">
        <v>41096</v>
      </c>
      <c r="MX43" s="20">
        <v>41096</v>
      </c>
      <c r="MY43" s="20">
        <v>41096</v>
      </c>
      <c r="MZ43" s="20">
        <v>41096</v>
      </c>
      <c r="NA43" s="20"/>
      <c r="NB43" s="20"/>
      <c r="NC43" s="20"/>
      <c r="ND43" s="20"/>
      <c r="NE43" s="20"/>
      <c r="NF43" s="20"/>
      <c r="NG43" s="20"/>
      <c r="NH43" s="21">
        <f t="shared" si="21"/>
        <v>410960</v>
      </c>
      <c r="NI43" s="48">
        <v>20</v>
      </c>
      <c r="NJ43" s="21">
        <f t="shared" si="38"/>
        <v>8219200</v>
      </c>
      <c r="NK43" s="109">
        <f>+SUM(NJ43:NJ46)</f>
        <v>12739760</v>
      </c>
      <c r="NM43" s="106">
        <v>51044</v>
      </c>
      <c r="NN43" s="19" t="s">
        <v>43</v>
      </c>
      <c r="NO43" s="20"/>
      <c r="NP43" s="20"/>
      <c r="NQ43" s="20"/>
      <c r="NR43" s="20"/>
      <c r="NS43" s="20"/>
      <c r="NT43" s="20"/>
      <c r="NU43" s="20"/>
      <c r="NV43" s="20">
        <v>41096</v>
      </c>
      <c r="NW43" s="20">
        <v>41096</v>
      </c>
      <c r="NX43" s="20">
        <v>41096</v>
      </c>
      <c r="NY43" s="20">
        <v>41096</v>
      </c>
      <c r="NZ43" s="20">
        <v>41096</v>
      </c>
      <c r="OA43" s="20">
        <v>41096</v>
      </c>
      <c r="OB43" s="20">
        <v>41096</v>
      </c>
      <c r="OC43" s="20">
        <v>41096</v>
      </c>
      <c r="OD43" s="20">
        <v>41096</v>
      </c>
      <c r="OE43" s="20">
        <v>41096</v>
      </c>
      <c r="OF43" s="20"/>
      <c r="OG43" s="20"/>
      <c r="OH43" s="20"/>
      <c r="OI43" s="20"/>
      <c r="OJ43" s="20"/>
      <c r="OK43" s="20"/>
      <c r="OL43" s="20"/>
      <c r="OM43" s="21">
        <f t="shared" si="23"/>
        <v>410960</v>
      </c>
      <c r="ON43" s="48">
        <v>20</v>
      </c>
      <c r="OO43" s="21">
        <f t="shared" si="39"/>
        <v>8219200</v>
      </c>
      <c r="OP43" s="109">
        <f>+SUM(OO43:OO46)</f>
        <v>12739760</v>
      </c>
      <c r="OR43" s="106">
        <v>51410</v>
      </c>
      <c r="OS43" s="19" t="s">
        <v>43</v>
      </c>
      <c r="OT43" s="20"/>
      <c r="OU43" s="20"/>
      <c r="OV43" s="20"/>
      <c r="OW43" s="20"/>
      <c r="OX43" s="20"/>
      <c r="OY43" s="20"/>
      <c r="OZ43" s="20"/>
      <c r="PA43" s="20">
        <v>41096</v>
      </c>
      <c r="PB43" s="20">
        <v>41096</v>
      </c>
      <c r="PC43" s="20">
        <v>41096</v>
      </c>
      <c r="PD43" s="20">
        <v>41096</v>
      </c>
      <c r="PE43" s="20">
        <v>41096</v>
      </c>
      <c r="PF43" s="20">
        <v>41096</v>
      </c>
      <c r="PG43" s="20">
        <v>41096</v>
      </c>
      <c r="PH43" s="20">
        <v>41096</v>
      </c>
      <c r="PI43" s="20">
        <v>41096</v>
      </c>
      <c r="PJ43" s="20">
        <v>41096</v>
      </c>
      <c r="PK43" s="20"/>
      <c r="PL43" s="20"/>
      <c r="PM43" s="20"/>
      <c r="PN43" s="20"/>
      <c r="PO43" s="20"/>
      <c r="PP43" s="20"/>
      <c r="PQ43" s="20"/>
      <c r="PR43" s="21">
        <f t="shared" si="25"/>
        <v>410960</v>
      </c>
      <c r="PS43" s="63">
        <v>22</v>
      </c>
      <c r="PT43" s="21">
        <f t="shared" si="40"/>
        <v>9041120</v>
      </c>
      <c r="PU43" s="109">
        <f>+SUM(PT43:PT46)</f>
        <v>12739760</v>
      </c>
    </row>
    <row r="44" spans="3:437" x14ac:dyDescent="0.35">
      <c r="C44" s="107"/>
      <c r="D44" s="23" t="s">
        <v>44</v>
      </c>
      <c r="E44" s="20"/>
      <c r="F44" s="92"/>
      <c r="G44" s="20"/>
      <c r="H44" s="20"/>
      <c r="I44" s="20"/>
      <c r="J44" s="20"/>
      <c r="K44" s="20"/>
      <c r="L44" s="20">
        <v>41096</v>
      </c>
      <c r="M44" s="20">
        <v>41096</v>
      </c>
      <c r="N44" s="20">
        <v>41096</v>
      </c>
      <c r="O44" s="20">
        <v>41096</v>
      </c>
      <c r="P44" s="20">
        <v>41096</v>
      </c>
      <c r="Q44" s="20">
        <v>41096</v>
      </c>
      <c r="R44" s="20">
        <v>41096</v>
      </c>
      <c r="S44" s="20">
        <v>41096</v>
      </c>
      <c r="T44" s="20">
        <v>41096</v>
      </c>
      <c r="U44" s="20">
        <v>41096</v>
      </c>
      <c r="V44" s="20"/>
      <c r="W44" s="20"/>
      <c r="X44" s="20"/>
      <c r="Y44" s="20"/>
      <c r="Z44" s="20"/>
      <c r="AA44" s="20"/>
      <c r="AB44" s="20"/>
      <c r="AC44" s="21">
        <f t="shared" si="0"/>
        <v>410960</v>
      </c>
      <c r="AD44" s="22">
        <v>5</v>
      </c>
      <c r="AE44" s="21">
        <f t="shared" si="27"/>
        <v>2054800</v>
      </c>
      <c r="AF44" s="110"/>
      <c r="AH44" s="107"/>
      <c r="AI44" s="23" t="s">
        <v>44</v>
      </c>
      <c r="AJ44" s="20"/>
      <c r="AK44" s="20"/>
      <c r="AL44" s="20"/>
      <c r="AM44" s="20"/>
      <c r="AN44" s="20"/>
      <c r="AO44" s="20"/>
      <c r="AP44" s="20"/>
      <c r="AQ44" s="20">
        <v>41096</v>
      </c>
      <c r="AR44" s="20">
        <v>41096</v>
      </c>
      <c r="AS44" s="20">
        <v>41096</v>
      </c>
      <c r="AT44" s="20">
        <v>41096</v>
      </c>
      <c r="AU44" s="20">
        <v>41096</v>
      </c>
      <c r="AV44" s="20">
        <v>41096</v>
      </c>
      <c r="AW44" s="20">
        <v>41096</v>
      </c>
      <c r="AX44" s="20">
        <v>41096</v>
      </c>
      <c r="AY44" s="20">
        <v>41096</v>
      </c>
      <c r="AZ44" s="20">
        <v>41096</v>
      </c>
      <c r="BA44" s="20"/>
      <c r="BB44" s="20"/>
      <c r="BC44" s="20"/>
      <c r="BD44" s="20"/>
      <c r="BE44" s="20"/>
      <c r="BF44" s="20"/>
      <c r="BG44" s="20"/>
      <c r="BH44" s="21">
        <f t="shared" si="2"/>
        <v>410960</v>
      </c>
      <c r="BI44" s="49">
        <v>4</v>
      </c>
      <c r="BJ44" s="21">
        <f t="shared" si="28"/>
        <v>1643840</v>
      </c>
      <c r="BK44" s="110"/>
      <c r="BM44" s="107"/>
      <c r="BN44" s="23" t="s">
        <v>44</v>
      </c>
      <c r="BO44" s="20"/>
      <c r="BP44" s="20"/>
      <c r="BQ44" s="20"/>
      <c r="BR44" s="20"/>
      <c r="BS44" s="20"/>
      <c r="BT44" s="20"/>
      <c r="BU44" s="20"/>
      <c r="BV44" s="20">
        <v>41096</v>
      </c>
      <c r="BW44" s="20">
        <v>41096</v>
      </c>
      <c r="BX44" s="20">
        <v>41096</v>
      </c>
      <c r="BY44" s="20">
        <v>41096</v>
      </c>
      <c r="BZ44" s="20">
        <v>41096</v>
      </c>
      <c r="CA44" s="20">
        <v>41096</v>
      </c>
      <c r="CB44" s="20">
        <v>41096</v>
      </c>
      <c r="CC44" s="20">
        <v>41096</v>
      </c>
      <c r="CD44" s="20">
        <v>41096</v>
      </c>
      <c r="CE44" s="20">
        <v>41096</v>
      </c>
      <c r="CF44" s="20"/>
      <c r="CG44" s="20"/>
      <c r="CH44" s="20"/>
      <c r="CI44" s="20"/>
      <c r="CJ44" s="20"/>
      <c r="CK44" s="20"/>
      <c r="CL44" s="20"/>
      <c r="CM44" s="21">
        <f t="shared" si="4"/>
        <v>410960</v>
      </c>
      <c r="CN44" s="49">
        <v>4</v>
      </c>
      <c r="CO44" s="21">
        <f t="shared" si="29"/>
        <v>1643840</v>
      </c>
      <c r="CP44" s="110"/>
      <c r="CS44" s="107"/>
      <c r="CT44" s="23" t="s">
        <v>44</v>
      </c>
      <c r="CU44" s="20"/>
      <c r="CV44" s="20"/>
      <c r="CW44" s="20"/>
      <c r="CX44" s="20"/>
      <c r="CY44" s="20"/>
      <c r="CZ44" s="20"/>
      <c r="DA44" s="20"/>
      <c r="DB44" s="20">
        <v>41096</v>
      </c>
      <c r="DC44" s="20">
        <v>41096</v>
      </c>
      <c r="DD44" s="20">
        <v>41096</v>
      </c>
      <c r="DE44" s="20">
        <v>41096</v>
      </c>
      <c r="DF44" s="20">
        <v>41096</v>
      </c>
      <c r="DG44" s="20">
        <v>41096</v>
      </c>
      <c r="DH44" s="20">
        <v>41096</v>
      </c>
      <c r="DI44" s="20">
        <v>41096</v>
      </c>
      <c r="DJ44" s="20">
        <v>41096</v>
      </c>
      <c r="DK44" s="20">
        <v>41096</v>
      </c>
      <c r="DL44" s="20"/>
      <c r="DM44" s="20"/>
      <c r="DN44" s="20"/>
      <c r="DO44" s="20"/>
      <c r="DP44" s="20"/>
      <c r="DQ44" s="20"/>
      <c r="DR44" s="20"/>
      <c r="DS44" s="21">
        <f t="shared" si="6"/>
        <v>410960</v>
      </c>
      <c r="DT44" s="49">
        <v>4</v>
      </c>
      <c r="DU44" s="21">
        <f t="shared" si="30"/>
        <v>1643840</v>
      </c>
      <c r="DV44" s="110"/>
      <c r="DY44" s="107"/>
      <c r="DZ44" s="23" t="s">
        <v>44</v>
      </c>
      <c r="EA44" s="20"/>
      <c r="EB44" s="20"/>
      <c r="EC44" s="20"/>
      <c r="ED44" s="20"/>
      <c r="EE44" s="20"/>
      <c r="EF44" s="20"/>
      <c r="EG44" s="20"/>
      <c r="EH44" s="20">
        <v>41096</v>
      </c>
      <c r="EI44" s="20">
        <v>41096</v>
      </c>
      <c r="EJ44" s="20">
        <v>41096</v>
      </c>
      <c r="EK44" s="20">
        <v>41096</v>
      </c>
      <c r="EL44" s="20">
        <v>41096</v>
      </c>
      <c r="EM44" s="20">
        <v>41096</v>
      </c>
      <c r="EN44" s="20">
        <v>41096</v>
      </c>
      <c r="EO44" s="20">
        <v>41096</v>
      </c>
      <c r="EP44" s="20">
        <v>41096</v>
      </c>
      <c r="EQ44" s="20">
        <v>41096</v>
      </c>
      <c r="ER44" s="20"/>
      <c r="ES44" s="20"/>
      <c r="ET44" s="20"/>
      <c r="EU44" s="20"/>
      <c r="EV44" s="20"/>
      <c r="EW44" s="20"/>
      <c r="EX44" s="20"/>
      <c r="EY44" s="21">
        <f t="shared" si="7"/>
        <v>410960</v>
      </c>
      <c r="EZ44" s="49">
        <v>4</v>
      </c>
      <c r="FA44" s="21">
        <f t="shared" si="31"/>
        <v>1643840</v>
      </c>
      <c r="FB44" s="110"/>
      <c r="FD44" s="107"/>
      <c r="FE44" s="23" t="s">
        <v>44</v>
      </c>
      <c r="FF44" s="20"/>
      <c r="FG44" s="20"/>
      <c r="FH44" s="20"/>
      <c r="FI44" s="20"/>
      <c r="FJ44" s="20"/>
      <c r="FK44" s="20"/>
      <c r="FL44" s="20"/>
      <c r="FM44" s="20">
        <v>41096</v>
      </c>
      <c r="FN44" s="20">
        <v>41096</v>
      </c>
      <c r="FO44" s="20">
        <v>41096</v>
      </c>
      <c r="FP44" s="20">
        <v>41096</v>
      </c>
      <c r="FQ44" s="20">
        <v>41096</v>
      </c>
      <c r="FR44" s="20">
        <v>41096</v>
      </c>
      <c r="FS44" s="20">
        <v>41096</v>
      </c>
      <c r="FT44" s="20">
        <v>41096</v>
      </c>
      <c r="FU44" s="20">
        <v>41096</v>
      </c>
      <c r="FV44" s="20">
        <v>41096</v>
      </c>
      <c r="FW44" s="20"/>
      <c r="FX44" s="20"/>
      <c r="FY44" s="20"/>
      <c r="FZ44" s="20"/>
      <c r="GA44" s="20"/>
      <c r="GB44" s="20"/>
      <c r="GC44" s="20"/>
      <c r="GD44" s="21">
        <f t="shared" si="9"/>
        <v>410960</v>
      </c>
      <c r="GE44" s="49">
        <v>5</v>
      </c>
      <c r="GF44" s="21">
        <f t="shared" si="32"/>
        <v>2054800</v>
      </c>
      <c r="GG44" s="110"/>
      <c r="GI44" s="107"/>
      <c r="GJ44" s="23" t="s">
        <v>44</v>
      </c>
      <c r="GK44" s="20"/>
      <c r="GL44" s="20"/>
      <c r="GM44" s="20"/>
      <c r="GN44" s="20"/>
      <c r="GO44" s="20"/>
      <c r="GP44" s="20"/>
      <c r="GQ44" s="20"/>
      <c r="GR44" s="20">
        <v>41096</v>
      </c>
      <c r="GS44" s="20">
        <v>41096</v>
      </c>
      <c r="GT44" s="20">
        <v>41096</v>
      </c>
      <c r="GU44" s="20">
        <v>41096</v>
      </c>
      <c r="GV44" s="20">
        <v>41096</v>
      </c>
      <c r="GW44" s="20">
        <v>41096</v>
      </c>
      <c r="GX44" s="20">
        <v>41096</v>
      </c>
      <c r="GY44" s="20">
        <v>41096</v>
      </c>
      <c r="GZ44" s="20">
        <v>41096</v>
      </c>
      <c r="HA44" s="20">
        <v>41096</v>
      </c>
      <c r="HB44" s="20"/>
      <c r="HC44" s="20"/>
      <c r="HD44" s="20"/>
      <c r="HE44" s="20"/>
      <c r="HF44" s="20"/>
      <c r="HG44" s="20"/>
      <c r="HH44" s="20"/>
      <c r="HI44" s="21">
        <f t="shared" si="11"/>
        <v>410960</v>
      </c>
      <c r="HJ44" s="49">
        <v>5</v>
      </c>
      <c r="HK44" s="21">
        <f t="shared" si="33"/>
        <v>2054800</v>
      </c>
      <c r="HL44" s="110"/>
      <c r="HN44" s="107"/>
      <c r="HO44" s="23" t="s">
        <v>44</v>
      </c>
      <c r="HP44" s="20"/>
      <c r="HQ44" s="20"/>
      <c r="HR44" s="20"/>
      <c r="HS44" s="20"/>
      <c r="HT44" s="20"/>
      <c r="HU44" s="20"/>
      <c r="HV44" s="20"/>
      <c r="HW44" s="20">
        <v>41096</v>
      </c>
      <c r="HX44" s="20">
        <v>41096</v>
      </c>
      <c r="HY44" s="20">
        <v>41096</v>
      </c>
      <c r="HZ44" s="20">
        <v>41096</v>
      </c>
      <c r="IA44" s="20">
        <v>41096</v>
      </c>
      <c r="IB44" s="20">
        <v>41096</v>
      </c>
      <c r="IC44" s="20">
        <v>41096</v>
      </c>
      <c r="ID44" s="20">
        <v>41096</v>
      </c>
      <c r="IE44" s="20">
        <v>41096</v>
      </c>
      <c r="IF44" s="20">
        <v>41096</v>
      </c>
      <c r="IG44" s="20"/>
      <c r="IH44" s="20"/>
      <c r="II44" s="20"/>
      <c r="IJ44" s="20"/>
      <c r="IK44" s="20"/>
      <c r="IL44" s="20"/>
      <c r="IM44" s="20"/>
      <c r="IN44" s="21">
        <f t="shared" si="13"/>
        <v>410960</v>
      </c>
      <c r="IO44" s="49">
        <v>4</v>
      </c>
      <c r="IP44" s="21">
        <f t="shared" si="34"/>
        <v>1643840</v>
      </c>
      <c r="IQ44" s="110"/>
      <c r="IS44" s="107"/>
      <c r="IT44" s="23" t="s">
        <v>44</v>
      </c>
      <c r="IU44" s="20"/>
      <c r="IV44" s="20"/>
      <c r="IW44" s="20"/>
      <c r="IX44" s="20"/>
      <c r="IY44" s="20"/>
      <c r="IZ44" s="20"/>
      <c r="JA44" s="20"/>
      <c r="JB44" s="20">
        <v>41096</v>
      </c>
      <c r="JC44" s="20">
        <v>41096</v>
      </c>
      <c r="JD44" s="20">
        <v>41096</v>
      </c>
      <c r="JE44" s="20">
        <v>41096</v>
      </c>
      <c r="JF44" s="20">
        <v>41096</v>
      </c>
      <c r="JG44" s="20">
        <v>41096</v>
      </c>
      <c r="JH44" s="20">
        <v>41096</v>
      </c>
      <c r="JI44" s="20">
        <v>41096</v>
      </c>
      <c r="JJ44" s="20">
        <v>41096</v>
      </c>
      <c r="JK44" s="20">
        <v>41096</v>
      </c>
      <c r="JL44" s="20"/>
      <c r="JM44" s="20"/>
      <c r="JN44" s="20"/>
      <c r="JO44" s="20"/>
      <c r="JP44" s="20"/>
      <c r="JQ44" s="20"/>
      <c r="JR44" s="20"/>
      <c r="JS44" s="21">
        <f t="shared" si="15"/>
        <v>410960</v>
      </c>
      <c r="JT44" s="49">
        <v>4</v>
      </c>
      <c r="JU44" s="21">
        <f t="shared" si="35"/>
        <v>1643840</v>
      </c>
      <c r="JV44" s="110"/>
      <c r="JX44" s="107"/>
      <c r="JY44" s="23" t="s">
        <v>44</v>
      </c>
      <c r="JZ44" s="20"/>
      <c r="KA44" s="20"/>
      <c r="KB44" s="20"/>
      <c r="KC44" s="20"/>
      <c r="KD44" s="20"/>
      <c r="KE44" s="20"/>
      <c r="KF44" s="20"/>
      <c r="KG44" s="20">
        <v>41096</v>
      </c>
      <c r="KH44" s="20">
        <v>41096</v>
      </c>
      <c r="KI44" s="20">
        <v>41096</v>
      </c>
      <c r="KJ44" s="20">
        <v>41096</v>
      </c>
      <c r="KK44" s="20">
        <v>41096</v>
      </c>
      <c r="KL44" s="20">
        <v>41096</v>
      </c>
      <c r="KM44" s="20">
        <v>41096</v>
      </c>
      <c r="KN44" s="20">
        <v>41096</v>
      </c>
      <c r="KO44" s="20">
        <v>41096</v>
      </c>
      <c r="KP44" s="20">
        <v>41096</v>
      </c>
      <c r="KQ44" s="20"/>
      <c r="KR44" s="20"/>
      <c r="KS44" s="20"/>
      <c r="KT44" s="20"/>
      <c r="KU44" s="20"/>
      <c r="KV44" s="20"/>
      <c r="KW44" s="20"/>
      <c r="KX44" s="21">
        <f t="shared" si="17"/>
        <v>410960</v>
      </c>
      <c r="KY44" s="49">
        <v>4</v>
      </c>
      <c r="KZ44" s="21">
        <f t="shared" si="36"/>
        <v>1643840</v>
      </c>
      <c r="LA44" s="110"/>
      <c r="LC44" s="107"/>
      <c r="LD44" s="23" t="s">
        <v>44</v>
      </c>
      <c r="LE44" s="20"/>
      <c r="LF44" s="20"/>
      <c r="LG44" s="20"/>
      <c r="LH44" s="20"/>
      <c r="LI44" s="20"/>
      <c r="LJ44" s="20"/>
      <c r="LK44" s="20"/>
      <c r="LL44" s="20">
        <v>41096</v>
      </c>
      <c r="LM44" s="20">
        <v>41096</v>
      </c>
      <c r="LN44" s="20">
        <v>41096</v>
      </c>
      <c r="LO44" s="20">
        <v>41096</v>
      </c>
      <c r="LP44" s="20">
        <v>41096</v>
      </c>
      <c r="LQ44" s="20">
        <v>41096</v>
      </c>
      <c r="LR44" s="20">
        <v>41096</v>
      </c>
      <c r="LS44" s="20">
        <v>41096</v>
      </c>
      <c r="LT44" s="20">
        <v>41096</v>
      </c>
      <c r="LU44" s="20">
        <v>41096</v>
      </c>
      <c r="LV44" s="20"/>
      <c r="LW44" s="20"/>
      <c r="LX44" s="20"/>
      <c r="LY44" s="20"/>
      <c r="LZ44" s="20"/>
      <c r="MA44" s="20"/>
      <c r="MB44" s="20"/>
      <c r="MC44" s="21">
        <f t="shared" si="19"/>
        <v>410960</v>
      </c>
      <c r="MD44" s="49">
        <v>5</v>
      </c>
      <c r="ME44" s="21">
        <f t="shared" si="37"/>
        <v>2054800</v>
      </c>
      <c r="MF44" s="110"/>
      <c r="MH44" s="107"/>
      <c r="MI44" s="23" t="s">
        <v>44</v>
      </c>
      <c r="MJ44" s="20"/>
      <c r="MK44" s="20"/>
      <c r="ML44" s="20"/>
      <c r="MM44" s="20"/>
      <c r="MN44" s="20"/>
      <c r="MO44" s="20"/>
      <c r="MP44" s="20"/>
      <c r="MQ44" s="20">
        <v>41096</v>
      </c>
      <c r="MR44" s="20">
        <v>41096</v>
      </c>
      <c r="MS44" s="20">
        <v>41096</v>
      </c>
      <c r="MT44" s="20">
        <v>41096</v>
      </c>
      <c r="MU44" s="20">
        <v>41096</v>
      </c>
      <c r="MV44" s="20">
        <v>41096</v>
      </c>
      <c r="MW44" s="20">
        <v>41096</v>
      </c>
      <c r="MX44" s="20">
        <v>41096</v>
      </c>
      <c r="MY44" s="20">
        <v>41096</v>
      </c>
      <c r="MZ44" s="20">
        <v>41096</v>
      </c>
      <c r="NA44" s="20"/>
      <c r="NB44" s="20"/>
      <c r="NC44" s="20"/>
      <c r="ND44" s="20"/>
      <c r="NE44" s="20"/>
      <c r="NF44" s="20"/>
      <c r="NG44" s="20"/>
      <c r="NH44" s="21">
        <f t="shared" si="21"/>
        <v>410960</v>
      </c>
      <c r="NI44" s="49">
        <v>5</v>
      </c>
      <c r="NJ44" s="21">
        <f t="shared" si="38"/>
        <v>2054800</v>
      </c>
      <c r="NK44" s="110"/>
      <c r="NM44" s="107"/>
      <c r="NN44" s="23" t="s">
        <v>44</v>
      </c>
      <c r="NO44" s="20"/>
      <c r="NP44" s="20"/>
      <c r="NQ44" s="20"/>
      <c r="NR44" s="20"/>
      <c r="NS44" s="20"/>
      <c r="NT44" s="20"/>
      <c r="NU44" s="20"/>
      <c r="NV44" s="20">
        <v>41096</v>
      </c>
      <c r="NW44" s="20">
        <v>41096</v>
      </c>
      <c r="NX44" s="20">
        <v>41096</v>
      </c>
      <c r="NY44" s="20">
        <v>41096</v>
      </c>
      <c r="NZ44" s="20">
        <v>41096</v>
      </c>
      <c r="OA44" s="20">
        <v>41096</v>
      </c>
      <c r="OB44" s="20">
        <v>41096</v>
      </c>
      <c r="OC44" s="20">
        <v>41096</v>
      </c>
      <c r="OD44" s="20">
        <v>41096</v>
      </c>
      <c r="OE44" s="20">
        <v>41096</v>
      </c>
      <c r="OF44" s="20"/>
      <c r="OG44" s="20"/>
      <c r="OH44" s="20"/>
      <c r="OI44" s="20"/>
      <c r="OJ44" s="20"/>
      <c r="OK44" s="20"/>
      <c r="OL44" s="20"/>
      <c r="OM44" s="21">
        <f t="shared" si="23"/>
        <v>410960</v>
      </c>
      <c r="ON44" s="49">
        <v>5</v>
      </c>
      <c r="OO44" s="21">
        <f t="shared" si="39"/>
        <v>2054800</v>
      </c>
      <c r="OP44" s="110"/>
      <c r="OR44" s="107"/>
      <c r="OS44" s="23" t="s">
        <v>44</v>
      </c>
      <c r="OT44" s="20"/>
      <c r="OU44" s="20"/>
      <c r="OV44" s="20"/>
      <c r="OW44" s="20"/>
      <c r="OX44" s="20"/>
      <c r="OY44" s="20"/>
      <c r="OZ44" s="20"/>
      <c r="PA44" s="20">
        <v>41096</v>
      </c>
      <c r="PB44" s="20">
        <v>41096</v>
      </c>
      <c r="PC44" s="20">
        <v>41096</v>
      </c>
      <c r="PD44" s="20">
        <v>41096</v>
      </c>
      <c r="PE44" s="20">
        <v>41096</v>
      </c>
      <c r="PF44" s="20">
        <v>41096</v>
      </c>
      <c r="PG44" s="20">
        <v>41096</v>
      </c>
      <c r="PH44" s="20">
        <v>41096</v>
      </c>
      <c r="PI44" s="20">
        <v>41096</v>
      </c>
      <c r="PJ44" s="20">
        <v>41096</v>
      </c>
      <c r="PK44" s="20"/>
      <c r="PL44" s="20"/>
      <c r="PM44" s="20"/>
      <c r="PN44" s="20"/>
      <c r="PO44" s="20"/>
      <c r="PP44" s="20"/>
      <c r="PQ44" s="20"/>
      <c r="PR44" s="21">
        <f t="shared" si="25"/>
        <v>410960</v>
      </c>
      <c r="PS44" s="62">
        <v>4</v>
      </c>
      <c r="PT44" s="21">
        <f t="shared" si="40"/>
        <v>1643840</v>
      </c>
      <c r="PU44" s="110"/>
    </row>
    <row r="45" spans="3:437" x14ac:dyDescent="0.35">
      <c r="C45" s="107"/>
      <c r="D45" s="23" t="s">
        <v>45</v>
      </c>
      <c r="E45" s="20"/>
      <c r="F45" s="92"/>
      <c r="G45" s="20"/>
      <c r="H45" s="20"/>
      <c r="I45" s="20"/>
      <c r="J45" s="20"/>
      <c r="K45" s="20"/>
      <c r="L45" s="20">
        <v>41096</v>
      </c>
      <c r="M45" s="20">
        <v>41096</v>
      </c>
      <c r="N45" s="20">
        <v>41096</v>
      </c>
      <c r="O45" s="20">
        <v>41096</v>
      </c>
      <c r="P45" s="20">
        <v>41096</v>
      </c>
      <c r="Q45" s="20">
        <v>41096</v>
      </c>
      <c r="R45" s="20">
        <v>41096</v>
      </c>
      <c r="S45" s="20">
        <v>41096</v>
      </c>
      <c r="T45" s="20">
        <v>41096</v>
      </c>
      <c r="U45" s="20">
        <v>41096</v>
      </c>
      <c r="V45" s="20"/>
      <c r="W45" s="20"/>
      <c r="X45" s="20"/>
      <c r="Y45" s="20"/>
      <c r="Z45" s="20"/>
      <c r="AA45" s="20"/>
      <c r="AB45" s="20"/>
      <c r="AC45" s="21">
        <f t="shared" si="0"/>
        <v>410960</v>
      </c>
      <c r="AD45" s="22">
        <v>5</v>
      </c>
      <c r="AE45" s="21">
        <f t="shared" si="27"/>
        <v>2054800</v>
      </c>
      <c r="AF45" s="110"/>
      <c r="AH45" s="107"/>
      <c r="AI45" s="23" t="s">
        <v>45</v>
      </c>
      <c r="AJ45" s="20"/>
      <c r="AK45" s="20"/>
      <c r="AL45" s="20"/>
      <c r="AM45" s="20"/>
      <c r="AN45" s="20"/>
      <c r="AO45" s="20"/>
      <c r="AP45" s="20"/>
      <c r="AQ45" s="20">
        <v>41096</v>
      </c>
      <c r="AR45" s="20">
        <v>41096</v>
      </c>
      <c r="AS45" s="20">
        <v>41096</v>
      </c>
      <c r="AT45" s="20">
        <v>41096</v>
      </c>
      <c r="AU45" s="20">
        <v>41096</v>
      </c>
      <c r="AV45" s="20">
        <v>41096</v>
      </c>
      <c r="AW45" s="20">
        <v>41096</v>
      </c>
      <c r="AX45" s="20">
        <v>41096</v>
      </c>
      <c r="AY45" s="20">
        <v>41096</v>
      </c>
      <c r="AZ45" s="20">
        <v>41096</v>
      </c>
      <c r="BA45" s="20"/>
      <c r="BB45" s="20"/>
      <c r="BC45" s="20"/>
      <c r="BD45" s="20"/>
      <c r="BE45" s="20"/>
      <c r="BF45" s="20"/>
      <c r="BG45" s="20"/>
      <c r="BH45" s="21">
        <f t="shared" si="2"/>
        <v>410960</v>
      </c>
      <c r="BI45" s="49">
        <v>5</v>
      </c>
      <c r="BJ45" s="21">
        <f t="shared" si="28"/>
        <v>2054800</v>
      </c>
      <c r="BK45" s="110"/>
      <c r="BM45" s="107"/>
      <c r="BN45" s="23" t="s">
        <v>45</v>
      </c>
      <c r="BO45" s="20"/>
      <c r="BP45" s="20"/>
      <c r="BQ45" s="20"/>
      <c r="BR45" s="20"/>
      <c r="BS45" s="20"/>
      <c r="BT45" s="20"/>
      <c r="BU45" s="20"/>
      <c r="BV45" s="20">
        <v>41096</v>
      </c>
      <c r="BW45" s="20">
        <v>41096</v>
      </c>
      <c r="BX45" s="20">
        <v>41096</v>
      </c>
      <c r="BY45" s="20">
        <v>41096</v>
      </c>
      <c r="BZ45" s="20">
        <v>41096</v>
      </c>
      <c r="CA45" s="20">
        <v>41096</v>
      </c>
      <c r="CB45" s="20">
        <v>41096</v>
      </c>
      <c r="CC45" s="20">
        <v>41096</v>
      </c>
      <c r="CD45" s="20">
        <v>41096</v>
      </c>
      <c r="CE45" s="20">
        <v>41096</v>
      </c>
      <c r="CF45" s="20"/>
      <c r="CG45" s="20"/>
      <c r="CH45" s="20"/>
      <c r="CI45" s="20"/>
      <c r="CJ45" s="20"/>
      <c r="CK45" s="20"/>
      <c r="CL45" s="20"/>
      <c r="CM45" s="21">
        <f t="shared" si="4"/>
        <v>410960</v>
      </c>
      <c r="CN45" s="49">
        <v>4</v>
      </c>
      <c r="CO45" s="21">
        <f t="shared" si="29"/>
        <v>1643840</v>
      </c>
      <c r="CP45" s="110"/>
      <c r="CS45" s="107"/>
      <c r="CT45" s="23" t="s">
        <v>45</v>
      </c>
      <c r="CU45" s="20"/>
      <c r="CV45" s="20"/>
      <c r="CW45" s="20"/>
      <c r="CX45" s="20"/>
      <c r="CY45" s="20"/>
      <c r="CZ45" s="20"/>
      <c r="DA45" s="20"/>
      <c r="DB45" s="20">
        <v>41096</v>
      </c>
      <c r="DC45" s="20">
        <v>41096</v>
      </c>
      <c r="DD45" s="20">
        <v>41096</v>
      </c>
      <c r="DE45" s="20">
        <v>41096</v>
      </c>
      <c r="DF45" s="20">
        <v>41096</v>
      </c>
      <c r="DG45" s="20">
        <v>41096</v>
      </c>
      <c r="DH45" s="20">
        <v>41096</v>
      </c>
      <c r="DI45" s="20">
        <v>41096</v>
      </c>
      <c r="DJ45" s="20">
        <v>41096</v>
      </c>
      <c r="DK45" s="20">
        <v>41096</v>
      </c>
      <c r="DL45" s="20"/>
      <c r="DM45" s="20"/>
      <c r="DN45" s="20"/>
      <c r="DO45" s="20"/>
      <c r="DP45" s="20"/>
      <c r="DQ45" s="20"/>
      <c r="DR45" s="20"/>
      <c r="DS45" s="21">
        <f t="shared" si="6"/>
        <v>410960</v>
      </c>
      <c r="DT45" s="49">
        <v>4</v>
      </c>
      <c r="DU45" s="21">
        <f t="shared" si="30"/>
        <v>1643840</v>
      </c>
      <c r="DV45" s="110"/>
      <c r="DY45" s="107"/>
      <c r="DZ45" s="23" t="s">
        <v>45</v>
      </c>
      <c r="EA45" s="20"/>
      <c r="EB45" s="20"/>
      <c r="EC45" s="20"/>
      <c r="ED45" s="20"/>
      <c r="EE45" s="20"/>
      <c r="EF45" s="20"/>
      <c r="EG45" s="20"/>
      <c r="EH45" s="20">
        <v>41096</v>
      </c>
      <c r="EI45" s="20">
        <v>41096</v>
      </c>
      <c r="EJ45" s="20">
        <v>41096</v>
      </c>
      <c r="EK45" s="20">
        <v>41096</v>
      </c>
      <c r="EL45" s="20">
        <v>41096</v>
      </c>
      <c r="EM45" s="20">
        <v>41096</v>
      </c>
      <c r="EN45" s="20">
        <v>41096</v>
      </c>
      <c r="EO45" s="20">
        <v>41096</v>
      </c>
      <c r="EP45" s="20">
        <v>41096</v>
      </c>
      <c r="EQ45" s="20">
        <v>41096</v>
      </c>
      <c r="ER45" s="20"/>
      <c r="ES45" s="20"/>
      <c r="ET45" s="20"/>
      <c r="EU45" s="20"/>
      <c r="EV45" s="20"/>
      <c r="EW45" s="20"/>
      <c r="EX45" s="20"/>
      <c r="EY45" s="21">
        <f t="shared" si="7"/>
        <v>410960</v>
      </c>
      <c r="EZ45" s="49">
        <v>4</v>
      </c>
      <c r="FA45" s="21">
        <f t="shared" si="31"/>
        <v>1643840</v>
      </c>
      <c r="FB45" s="110"/>
      <c r="FD45" s="107"/>
      <c r="FE45" s="23" t="s">
        <v>45</v>
      </c>
      <c r="FF45" s="20"/>
      <c r="FG45" s="20"/>
      <c r="FH45" s="20"/>
      <c r="FI45" s="20"/>
      <c r="FJ45" s="20"/>
      <c r="FK45" s="20"/>
      <c r="FL45" s="20"/>
      <c r="FM45" s="20">
        <v>41096</v>
      </c>
      <c r="FN45" s="20">
        <v>41096</v>
      </c>
      <c r="FO45" s="20">
        <v>41096</v>
      </c>
      <c r="FP45" s="20">
        <v>41096</v>
      </c>
      <c r="FQ45" s="20">
        <v>41096</v>
      </c>
      <c r="FR45" s="20">
        <v>41096</v>
      </c>
      <c r="FS45" s="20">
        <v>41096</v>
      </c>
      <c r="FT45" s="20">
        <v>41096</v>
      </c>
      <c r="FU45" s="20">
        <v>41096</v>
      </c>
      <c r="FV45" s="20">
        <v>41096</v>
      </c>
      <c r="FW45" s="20"/>
      <c r="FX45" s="20"/>
      <c r="FY45" s="20"/>
      <c r="FZ45" s="20"/>
      <c r="GA45" s="20"/>
      <c r="GB45" s="20"/>
      <c r="GC45" s="20"/>
      <c r="GD45" s="21">
        <f t="shared" si="9"/>
        <v>410960</v>
      </c>
      <c r="GE45" s="49">
        <v>5</v>
      </c>
      <c r="GF45" s="21">
        <f t="shared" si="32"/>
        <v>2054800</v>
      </c>
      <c r="GG45" s="110"/>
      <c r="GI45" s="107"/>
      <c r="GJ45" s="23" t="s">
        <v>45</v>
      </c>
      <c r="GK45" s="20"/>
      <c r="GL45" s="20"/>
      <c r="GM45" s="20"/>
      <c r="GN45" s="20"/>
      <c r="GO45" s="20"/>
      <c r="GP45" s="20"/>
      <c r="GQ45" s="20"/>
      <c r="GR45" s="20">
        <v>41096</v>
      </c>
      <c r="GS45" s="20">
        <v>41096</v>
      </c>
      <c r="GT45" s="20">
        <v>41096</v>
      </c>
      <c r="GU45" s="20">
        <v>41096</v>
      </c>
      <c r="GV45" s="20">
        <v>41096</v>
      </c>
      <c r="GW45" s="20">
        <v>41096</v>
      </c>
      <c r="GX45" s="20">
        <v>41096</v>
      </c>
      <c r="GY45" s="20">
        <v>41096</v>
      </c>
      <c r="GZ45" s="20">
        <v>41096</v>
      </c>
      <c r="HA45" s="20">
        <v>41096</v>
      </c>
      <c r="HB45" s="20"/>
      <c r="HC45" s="20"/>
      <c r="HD45" s="20"/>
      <c r="HE45" s="20"/>
      <c r="HF45" s="20"/>
      <c r="HG45" s="20"/>
      <c r="HH45" s="20"/>
      <c r="HI45" s="21">
        <f t="shared" si="11"/>
        <v>410960</v>
      </c>
      <c r="HJ45" s="49">
        <v>5</v>
      </c>
      <c r="HK45" s="21">
        <f t="shared" si="33"/>
        <v>2054800</v>
      </c>
      <c r="HL45" s="110"/>
      <c r="HN45" s="107"/>
      <c r="HO45" s="23" t="s">
        <v>45</v>
      </c>
      <c r="HP45" s="20"/>
      <c r="HQ45" s="20"/>
      <c r="HR45" s="20"/>
      <c r="HS45" s="20"/>
      <c r="HT45" s="20"/>
      <c r="HU45" s="20"/>
      <c r="HV45" s="20"/>
      <c r="HW45" s="20">
        <v>41096</v>
      </c>
      <c r="HX45" s="20">
        <v>41096</v>
      </c>
      <c r="HY45" s="20">
        <v>41096</v>
      </c>
      <c r="HZ45" s="20">
        <v>41096</v>
      </c>
      <c r="IA45" s="20">
        <v>41096</v>
      </c>
      <c r="IB45" s="20">
        <v>41096</v>
      </c>
      <c r="IC45" s="20">
        <v>41096</v>
      </c>
      <c r="ID45" s="20">
        <v>41096</v>
      </c>
      <c r="IE45" s="20">
        <v>41096</v>
      </c>
      <c r="IF45" s="20">
        <v>41096</v>
      </c>
      <c r="IG45" s="20"/>
      <c r="IH45" s="20"/>
      <c r="II45" s="20"/>
      <c r="IJ45" s="20"/>
      <c r="IK45" s="20"/>
      <c r="IL45" s="20"/>
      <c r="IM45" s="20"/>
      <c r="IN45" s="21">
        <f t="shared" si="13"/>
        <v>410960</v>
      </c>
      <c r="IO45" s="49">
        <v>5</v>
      </c>
      <c r="IP45" s="21">
        <f t="shared" si="34"/>
        <v>2054800</v>
      </c>
      <c r="IQ45" s="110"/>
      <c r="IS45" s="107"/>
      <c r="IT45" s="23" t="s">
        <v>45</v>
      </c>
      <c r="IU45" s="20"/>
      <c r="IV45" s="20"/>
      <c r="IW45" s="20"/>
      <c r="IX45" s="20"/>
      <c r="IY45" s="20"/>
      <c r="IZ45" s="20"/>
      <c r="JA45" s="20"/>
      <c r="JB45" s="20">
        <v>41096</v>
      </c>
      <c r="JC45" s="20">
        <v>41096</v>
      </c>
      <c r="JD45" s="20">
        <v>41096</v>
      </c>
      <c r="JE45" s="20">
        <v>41096</v>
      </c>
      <c r="JF45" s="20">
        <v>41096</v>
      </c>
      <c r="JG45" s="20">
        <v>41096</v>
      </c>
      <c r="JH45" s="20">
        <v>41096</v>
      </c>
      <c r="JI45" s="20">
        <v>41096</v>
      </c>
      <c r="JJ45" s="20">
        <v>41096</v>
      </c>
      <c r="JK45" s="20">
        <v>41096</v>
      </c>
      <c r="JL45" s="20"/>
      <c r="JM45" s="20"/>
      <c r="JN45" s="20"/>
      <c r="JO45" s="20"/>
      <c r="JP45" s="20"/>
      <c r="JQ45" s="20"/>
      <c r="JR45" s="20"/>
      <c r="JS45" s="21">
        <f t="shared" si="15"/>
        <v>410960</v>
      </c>
      <c r="JT45" s="49">
        <v>4</v>
      </c>
      <c r="JU45" s="21">
        <f t="shared" si="35"/>
        <v>1643840</v>
      </c>
      <c r="JV45" s="110"/>
      <c r="JX45" s="107"/>
      <c r="JY45" s="23" t="s">
        <v>45</v>
      </c>
      <c r="JZ45" s="20"/>
      <c r="KA45" s="20"/>
      <c r="KB45" s="20"/>
      <c r="KC45" s="20"/>
      <c r="KD45" s="20"/>
      <c r="KE45" s="20"/>
      <c r="KF45" s="20"/>
      <c r="KG45" s="20">
        <v>41096</v>
      </c>
      <c r="KH45" s="20">
        <v>41096</v>
      </c>
      <c r="KI45" s="20">
        <v>41096</v>
      </c>
      <c r="KJ45" s="20">
        <v>41096</v>
      </c>
      <c r="KK45" s="20">
        <v>41096</v>
      </c>
      <c r="KL45" s="20">
        <v>41096</v>
      </c>
      <c r="KM45" s="20">
        <v>41096</v>
      </c>
      <c r="KN45" s="20">
        <v>41096</v>
      </c>
      <c r="KO45" s="20">
        <v>41096</v>
      </c>
      <c r="KP45" s="20">
        <v>41096</v>
      </c>
      <c r="KQ45" s="20"/>
      <c r="KR45" s="20"/>
      <c r="KS45" s="20"/>
      <c r="KT45" s="20"/>
      <c r="KU45" s="20"/>
      <c r="KV45" s="20"/>
      <c r="KW45" s="20"/>
      <c r="KX45" s="21">
        <f t="shared" si="17"/>
        <v>410960</v>
      </c>
      <c r="KY45" s="49">
        <v>4</v>
      </c>
      <c r="KZ45" s="21">
        <f t="shared" si="36"/>
        <v>1643840</v>
      </c>
      <c r="LA45" s="110"/>
      <c r="LC45" s="107"/>
      <c r="LD45" s="23" t="s">
        <v>45</v>
      </c>
      <c r="LE45" s="20"/>
      <c r="LF45" s="20"/>
      <c r="LG45" s="20"/>
      <c r="LH45" s="20"/>
      <c r="LI45" s="20"/>
      <c r="LJ45" s="20"/>
      <c r="LK45" s="20"/>
      <c r="LL45" s="20">
        <v>41096</v>
      </c>
      <c r="LM45" s="20">
        <v>41096</v>
      </c>
      <c r="LN45" s="20">
        <v>41096</v>
      </c>
      <c r="LO45" s="20">
        <v>41096</v>
      </c>
      <c r="LP45" s="20">
        <v>41096</v>
      </c>
      <c r="LQ45" s="20">
        <v>41096</v>
      </c>
      <c r="LR45" s="20">
        <v>41096</v>
      </c>
      <c r="LS45" s="20">
        <v>41096</v>
      </c>
      <c r="LT45" s="20">
        <v>41096</v>
      </c>
      <c r="LU45" s="20">
        <v>41096</v>
      </c>
      <c r="LV45" s="20"/>
      <c r="LW45" s="20"/>
      <c r="LX45" s="20"/>
      <c r="LY45" s="20"/>
      <c r="LZ45" s="20"/>
      <c r="MA45" s="20"/>
      <c r="MB45" s="20"/>
      <c r="MC45" s="21">
        <f t="shared" si="19"/>
        <v>410960</v>
      </c>
      <c r="MD45" s="49">
        <v>4</v>
      </c>
      <c r="ME45" s="21">
        <f t="shared" si="37"/>
        <v>1643840</v>
      </c>
      <c r="MF45" s="110"/>
      <c r="MH45" s="107"/>
      <c r="MI45" s="23" t="s">
        <v>45</v>
      </c>
      <c r="MJ45" s="20"/>
      <c r="MK45" s="20"/>
      <c r="ML45" s="20"/>
      <c r="MM45" s="20"/>
      <c r="MN45" s="20"/>
      <c r="MO45" s="20"/>
      <c r="MP45" s="20"/>
      <c r="MQ45" s="20">
        <v>41096</v>
      </c>
      <c r="MR45" s="20">
        <v>41096</v>
      </c>
      <c r="MS45" s="20">
        <v>41096</v>
      </c>
      <c r="MT45" s="20">
        <v>41096</v>
      </c>
      <c r="MU45" s="20">
        <v>41096</v>
      </c>
      <c r="MV45" s="20">
        <v>41096</v>
      </c>
      <c r="MW45" s="20">
        <v>41096</v>
      </c>
      <c r="MX45" s="20">
        <v>41096</v>
      </c>
      <c r="MY45" s="20">
        <v>41096</v>
      </c>
      <c r="MZ45" s="20">
        <v>41096</v>
      </c>
      <c r="NA45" s="20"/>
      <c r="NB45" s="20"/>
      <c r="NC45" s="20"/>
      <c r="ND45" s="20"/>
      <c r="NE45" s="20"/>
      <c r="NF45" s="20"/>
      <c r="NG45" s="20"/>
      <c r="NH45" s="21">
        <f t="shared" si="21"/>
        <v>410960</v>
      </c>
      <c r="NI45" s="49">
        <v>5</v>
      </c>
      <c r="NJ45" s="21">
        <f t="shared" si="38"/>
        <v>2054800</v>
      </c>
      <c r="NK45" s="110"/>
      <c r="NM45" s="107"/>
      <c r="NN45" s="23" t="s">
        <v>45</v>
      </c>
      <c r="NO45" s="20"/>
      <c r="NP45" s="20"/>
      <c r="NQ45" s="20"/>
      <c r="NR45" s="20"/>
      <c r="NS45" s="20"/>
      <c r="NT45" s="20"/>
      <c r="NU45" s="20"/>
      <c r="NV45" s="20">
        <v>41096</v>
      </c>
      <c r="NW45" s="20">
        <v>41096</v>
      </c>
      <c r="NX45" s="20">
        <v>41096</v>
      </c>
      <c r="NY45" s="20">
        <v>41096</v>
      </c>
      <c r="NZ45" s="20">
        <v>41096</v>
      </c>
      <c r="OA45" s="20">
        <v>41096</v>
      </c>
      <c r="OB45" s="20">
        <v>41096</v>
      </c>
      <c r="OC45" s="20">
        <v>41096</v>
      </c>
      <c r="OD45" s="20">
        <v>41096</v>
      </c>
      <c r="OE45" s="20">
        <v>41096</v>
      </c>
      <c r="OF45" s="20"/>
      <c r="OG45" s="20"/>
      <c r="OH45" s="20"/>
      <c r="OI45" s="20"/>
      <c r="OJ45" s="20"/>
      <c r="OK45" s="20"/>
      <c r="OL45" s="20"/>
      <c r="OM45" s="21">
        <f t="shared" si="23"/>
        <v>410960</v>
      </c>
      <c r="ON45" s="49">
        <v>5</v>
      </c>
      <c r="OO45" s="21">
        <f t="shared" si="39"/>
        <v>2054800</v>
      </c>
      <c r="OP45" s="110"/>
      <c r="OR45" s="107"/>
      <c r="OS45" s="23" t="s">
        <v>45</v>
      </c>
      <c r="OT45" s="20"/>
      <c r="OU45" s="20"/>
      <c r="OV45" s="20"/>
      <c r="OW45" s="20"/>
      <c r="OX45" s="20"/>
      <c r="OY45" s="20"/>
      <c r="OZ45" s="20"/>
      <c r="PA45" s="20">
        <v>41096</v>
      </c>
      <c r="PB45" s="20">
        <v>41096</v>
      </c>
      <c r="PC45" s="20">
        <v>41096</v>
      </c>
      <c r="PD45" s="20">
        <v>41096</v>
      </c>
      <c r="PE45" s="20">
        <v>41096</v>
      </c>
      <c r="PF45" s="20">
        <v>41096</v>
      </c>
      <c r="PG45" s="20">
        <v>41096</v>
      </c>
      <c r="PH45" s="20">
        <v>41096</v>
      </c>
      <c r="PI45" s="20">
        <v>41096</v>
      </c>
      <c r="PJ45" s="20">
        <v>41096</v>
      </c>
      <c r="PK45" s="20"/>
      <c r="PL45" s="20"/>
      <c r="PM45" s="20"/>
      <c r="PN45" s="20"/>
      <c r="PO45" s="20"/>
      <c r="PP45" s="20"/>
      <c r="PQ45" s="20"/>
      <c r="PR45" s="21">
        <f t="shared" si="25"/>
        <v>410960</v>
      </c>
      <c r="PS45" s="62">
        <v>4</v>
      </c>
      <c r="PT45" s="21">
        <f t="shared" si="40"/>
        <v>1643840</v>
      </c>
      <c r="PU45" s="110"/>
    </row>
    <row r="46" spans="3:437" ht="15" thickBot="1" x14ac:dyDescent="0.4">
      <c r="C46" s="108"/>
      <c r="D46" s="24" t="s">
        <v>46</v>
      </c>
      <c r="E46" s="20"/>
      <c r="F46" s="92"/>
      <c r="G46" s="20"/>
      <c r="H46" s="20"/>
      <c r="I46" s="20"/>
      <c r="J46" s="20"/>
      <c r="K46" s="20"/>
      <c r="L46" s="20">
        <v>41096</v>
      </c>
      <c r="M46" s="20">
        <v>41096</v>
      </c>
      <c r="N46" s="20">
        <v>41096</v>
      </c>
      <c r="O46" s="20">
        <v>41096</v>
      </c>
      <c r="P46" s="20">
        <v>41096</v>
      </c>
      <c r="Q46" s="20">
        <v>41096</v>
      </c>
      <c r="R46" s="20">
        <v>41096</v>
      </c>
      <c r="S46" s="20">
        <v>41096</v>
      </c>
      <c r="T46" s="20">
        <v>41096</v>
      </c>
      <c r="U46" s="20">
        <v>41096</v>
      </c>
      <c r="V46" s="20"/>
      <c r="W46" s="20"/>
      <c r="X46" s="20"/>
      <c r="Y46" s="20"/>
      <c r="Z46" s="20"/>
      <c r="AA46" s="20"/>
      <c r="AB46" s="20"/>
      <c r="AC46" s="21">
        <f t="shared" si="0"/>
        <v>410960</v>
      </c>
      <c r="AD46" s="22">
        <v>1</v>
      </c>
      <c r="AE46" s="21">
        <f t="shared" si="27"/>
        <v>410960</v>
      </c>
      <c r="AF46" s="111"/>
      <c r="AH46" s="108"/>
      <c r="AI46" s="24" t="s">
        <v>46</v>
      </c>
      <c r="AJ46" s="20"/>
      <c r="AK46" s="20"/>
      <c r="AL46" s="20"/>
      <c r="AM46" s="20"/>
      <c r="AN46" s="20"/>
      <c r="AO46" s="20"/>
      <c r="AP46" s="20"/>
      <c r="AQ46" s="20">
        <v>41096</v>
      </c>
      <c r="AR46" s="20">
        <v>41096</v>
      </c>
      <c r="AS46" s="20">
        <v>41096</v>
      </c>
      <c r="AT46" s="20">
        <v>41096</v>
      </c>
      <c r="AU46" s="20">
        <v>41096</v>
      </c>
      <c r="AV46" s="20">
        <v>41096</v>
      </c>
      <c r="AW46" s="20">
        <v>41096</v>
      </c>
      <c r="AX46" s="20">
        <v>41096</v>
      </c>
      <c r="AY46" s="20">
        <v>41096</v>
      </c>
      <c r="AZ46" s="20">
        <v>41096</v>
      </c>
      <c r="BA46" s="20"/>
      <c r="BB46" s="20"/>
      <c r="BC46" s="20"/>
      <c r="BD46" s="20"/>
      <c r="BE46" s="20"/>
      <c r="BF46" s="20"/>
      <c r="BG46" s="20"/>
      <c r="BH46" s="21">
        <f t="shared" si="2"/>
        <v>410960</v>
      </c>
      <c r="BI46" s="50">
        <v>1</v>
      </c>
      <c r="BJ46" s="21">
        <f t="shared" si="28"/>
        <v>410960</v>
      </c>
      <c r="BK46" s="111"/>
      <c r="BM46" s="108"/>
      <c r="BN46" s="24" t="s">
        <v>46</v>
      </c>
      <c r="BO46" s="20"/>
      <c r="BP46" s="20"/>
      <c r="BQ46" s="20"/>
      <c r="BR46" s="20"/>
      <c r="BS46" s="20"/>
      <c r="BT46" s="20"/>
      <c r="BU46" s="20"/>
      <c r="BV46" s="20">
        <v>41096</v>
      </c>
      <c r="BW46" s="20">
        <v>41096</v>
      </c>
      <c r="BX46" s="20">
        <v>41096</v>
      </c>
      <c r="BY46" s="20">
        <v>41096</v>
      </c>
      <c r="BZ46" s="20">
        <v>41096</v>
      </c>
      <c r="CA46" s="20">
        <v>41096</v>
      </c>
      <c r="CB46" s="20">
        <v>41096</v>
      </c>
      <c r="CC46" s="20">
        <v>41096</v>
      </c>
      <c r="CD46" s="20">
        <v>41096</v>
      </c>
      <c r="CE46" s="20">
        <v>41096</v>
      </c>
      <c r="CF46" s="20"/>
      <c r="CG46" s="20"/>
      <c r="CH46" s="20"/>
      <c r="CI46" s="20"/>
      <c r="CJ46" s="20"/>
      <c r="CK46" s="20"/>
      <c r="CL46" s="20"/>
      <c r="CM46" s="21">
        <f t="shared" si="4"/>
        <v>410960</v>
      </c>
      <c r="CN46" s="50">
        <v>1</v>
      </c>
      <c r="CO46" s="21">
        <f t="shared" si="29"/>
        <v>410960</v>
      </c>
      <c r="CP46" s="111"/>
      <c r="CS46" s="108"/>
      <c r="CT46" s="24" t="s">
        <v>46</v>
      </c>
      <c r="CU46" s="20"/>
      <c r="CV46" s="20"/>
      <c r="CW46" s="20"/>
      <c r="CX46" s="20"/>
      <c r="CY46" s="20"/>
      <c r="CZ46" s="20"/>
      <c r="DA46" s="20"/>
      <c r="DB46" s="20">
        <v>41096</v>
      </c>
      <c r="DC46" s="20">
        <v>41096</v>
      </c>
      <c r="DD46" s="20">
        <v>41096</v>
      </c>
      <c r="DE46" s="20">
        <v>41096</v>
      </c>
      <c r="DF46" s="20">
        <v>41096</v>
      </c>
      <c r="DG46" s="20">
        <v>41096</v>
      </c>
      <c r="DH46" s="20">
        <v>41096</v>
      </c>
      <c r="DI46" s="20">
        <v>41096</v>
      </c>
      <c r="DJ46" s="20">
        <v>41096</v>
      </c>
      <c r="DK46" s="20">
        <v>41096</v>
      </c>
      <c r="DL46" s="20"/>
      <c r="DM46" s="20"/>
      <c r="DN46" s="20"/>
      <c r="DO46" s="20"/>
      <c r="DP46" s="20"/>
      <c r="DQ46" s="20"/>
      <c r="DR46" s="20"/>
      <c r="DS46" s="21">
        <f t="shared" si="6"/>
        <v>410960</v>
      </c>
      <c r="DT46" s="50">
        <v>1</v>
      </c>
      <c r="DU46" s="21">
        <f t="shared" si="30"/>
        <v>410960</v>
      </c>
      <c r="DV46" s="111"/>
      <c r="DY46" s="108"/>
      <c r="DZ46" s="24" t="s">
        <v>46</v>
      </c>
      <c r="EA46" s="20"/>
      <c r="EB46" s="20"/>
      <c r="EC46" s="20"/>
      <c r="ED46" s="20"/>
      <c r="EE46" s="20"/>
      <c r="EF46" s="20"/>
      <c r="EG46" s="20"/>
      <c r="EH46" s="20">
        <v>41096</v>
      </c>
      <c r="EI46" s="20">
        <v>41096</v>
      </c>
      <c r="EJ46" s="20">
        <v>41096</v>
      </c>
      <c r="EK46" s="20">
        <v>41096</v>
      </c>
      <c r="EL46" s="20">
        <v>41096</v>
      </c>
      <c r="EM46" s="20">
        <v>41096</v>
      </c>
      <c r="EN46" s="20">
        <v>41096</v>
      </c>
      <c r="EO46" s="20">
        <v>41096</v>
      </c>
      <c r="EP46" s="20">
        <v>41096</v>
      </c>
      <c r="EQ46" s="20">
        <v>41096</v>
      </c>
      <c r="ER46" s="20"/>
      <c r="ES46" s="20"/>
      <c r="ET46" s="20"/>
      <c r="EU46" s="20"/>
      <c r="EV46" s="20"/>
      <c r="EW46" s="20"/>
      <c r="EX46" s="20"/>
      <c r="EY46" s="21">
        <f t="shared" si="7"/>
        <v>410960</v>
      </c>
      <c r="EZ46" s="50">
        <v>1</v>
      </c>
      <c r="FA46" s="21">
        <f t="shared" si="31"/>
        <v>410960</v>
      </c>
      <c r="FB46" s="111"/>
      <c r="FD46" s="108"/>
      <c r="FE46" s="24" t="s">
        <v>46</v>
      </c>
      <c r="FF46" s="20"/>
      <c r="FG46" s="20"/>
      <c r="FH46" s="20"/>
      <c r="FI46" s="20"/>
      <c r="FJ46" s="20"/>
      <c r="FK46" s="20"/>
      <c r="FL46" s="20"/>
      <c r="FM46" s="20">
        <v>41096</v>
      </c>
      <c r="FN46" s="20">
        <v>41096</v>
      </c>
      <c r="FO46" s="20">
        <v>41096</v>
      </c>
      <c r="FP46" s="20">
        <v>41096</v>
      </c>
      <c r="FQ46" s="20">
        <v>41096</v>
      </c>
      <c r="FR46" s="20">
        <v>41096</v>
      </c>
      <c r="FS46" s="20">
        <v>41096</v>
      </c>
      <c r="FT46" s="20">
        <v>41096</v>
      </c>
      <c r="FU46" s="20">
        <v>41096</v>
      </c>
      <c r="FV46" s="20">
        <v>41096</v>
      </c>
      <c r="FW46" s="20"/>
      <c r="FX46" s="20"/>
      <c r="FY46" s="20"/>
      <c r="FZ46" s="20"/>
      <c r="GA46" s="20"/>
      <c r="GB46" s="20"/>
      <c r="GC46" s="20"/>
      <c r="GD46" s="21">
        <f t="shared" si="9"/>
        <v>410960</v>
      </c>
      <c r="GE46" s="50">
        <v>1</v>
      </c>
      <c r="GF46" s="21">
        <f t="shared" si="32"/>
        <v>410960</v>
      </c>
      <c r="GG46" s="111"/>
      <c r="GI46" s="108"/>
      <c r="GJ46" s="24" t="s">
        <v>46</v>
      </c>
      <c r="GK46" s="20"/>
      <c r="GL46" s="20"/>
      <c r="GM46" s="20"/>
      <c r="GN46" s="20"/>
      <c r="GO46" s="20"/>
      <c r="GP46" s="20"/>
      <c r="GQ46" s="20"/>
      <c r="GR46" s="20">
        <v>41096</v>
      </c>
      <c r="GS46" s="20">
        <v>41096</v>
      </c>
      <c r="GT46" s="20">
        <v>41096</v>
      </c>
      <c r="GU46" s="20">
        <v>41096</v>
      </c>
      <c r="GV46" s="20">
        <v>41096</v>
      </c>
      <c r="GW46" s="20">
        <v>41096</v>
      </c>
      <c r="GX46" s="20">
        <v>41096</v>
      </c>
      <c r="GY46" s="20">
        <v>41096</v>
      </c>
      <c r="GZ46" s="20">
        <v>41096</v>
      </c>
      <c r="HA46" s="20">
        <v>41096</v>
      </c>
      <c r="HB46" s="20"/>
      <c r="HC46" s="20"/>
      <c r="HD46" s="20"/>
      <c r="HE46" s="20"/>
      <c r="HF46" s="20"/>
      <c r="HG46" s="20"/>
      <c r="HH46" s="20"/>
      <c r="HI46" s="21">
        <f t="shared" si="11"/>
        <v>410960</v>
      </c>
      <c r="HJ46" s="50">
        <v>1</v>
      </c>
      <c r="HK46" s="21">
        <f t="shared" si="33"/>
        <v>410960</v>
      </c>
      <c r="HL46" s="111"/>
      <c r="HN46" s="108"/>
      <c r="HO46" s="24" t="s">
        <v>46</v>
      </c>
      <c r="HP46" s="20"/>
      <c r="HQ46" s="20"/>
      <c r="HR46" s="20"/>
      <c r="HS46" s="20"/>
      <c r="HT46" s="20"/>
      <c r="HU46" s="20"/>
      <c r="HV46" s="20"/>
      <c r="HW46" s="20">
        <v>41096</v>
      </c>
      <c r="HX46" s="20">
        <v>41096</v>
      </c>
      <c r="HY46" s="20">
        <v>41096</v>
      </c>
      <c r="HZ46" s="20">
        <v>41096</v>
      </c>
      <c r="IA46" s="20">
        <v>41096</v>
      </c>
      <c r="IB46" s="20">
        <v>41096</v>
      </c>
      <c r="IC46" s="20">
        <v>41096</v>
      </c>
      <c r="ID46" s="20">
        <v>41096</v>
      </c>
      <c r="IE46" s="20">
        <v>41096</v>
      </c>
      <c r="IF46" s="20">
        <v>41096</v>
      </c>
      <c r="IG46" s="20"/>
      <c r="IH46" s="20"/>
      <c r="II46" s="20"/>
      <c r="IJ46" s="20"/>
      <c r="IK46" s="20"/>
      <c r="IL46" s="20"/>
      <c r="IM46" s="20"/>
      <c r="IN46" s="21">
        <f t="shared" si="13"/>
        <v>410960</v>
      </c>
      <c r="IO46" s="50">
        <v>1</v>
      </c>
      <c r="IP46" s="21">
        <f t="shared" si="34"/>
        <v>410960</v>
      </c>
      <c r="IQ46" s="111"/>
      <c r="IS46" s="108"/>
      <c r="IT46" s="24" t="s">
        <v>46</v>
      </c>
      <c r="IU46" s="20"/>
      <c r="IV46" s="20"/>
      <c r="IW46" s="20"/>
      <c r="IX46" s="20"/>
      <c r="IY46" s="20"/>
      <c r="IZ46" s="20"/>
      <c r="JA46" s="20"/>
      <c r="JB46" s="20">
        <v>41096</v>
      </c>
      <c r="JC46" s="20">
        <v>41096</v>
      </c>
      <c r="JD46" s="20">
        <v>41096</v>
      </c>
      <c r="JE46" s="20">
        <v>41096</v>
      </c>
      <c r="JF46" s="20">
        <v>41096</v>
      </c>
      <c r="JG46" s="20">
        <v>41096</v>
      </c>
      <c r="JH46" s="20">
        <v>41096</v>
      </c>
      <c r="JI46" s="20">
        <v>41096</v>
      </c>
      <c r="JJ46" s="20">
        <v>41096</v>
      </c>
      <c r="JK46" s="20">
        <v>41096</v>
      </c>
      <c r="JL46" s="20"/>
      <c r="JM46" s="20"/>
      <c r="JN46" s="20"/>
      <c r="JO46" s="20"/>
      <c r="JP46" s="20"/>
      <c r="JQ46" s="20"/>
      <c r="JR46" s="20"/>
      <c r="JS46" s="21">
        <f t="shared" si="15"/>
        <v>410960</v>
      </c>
      <c r="JT46" s="50">
        <v>1</v>
      </c>
      <c r="JU46" s="21">
        <f t="shared" si="35"/>
        <v>410960</v>
      </c>
      <c r="JV46" s="111"/>
      <c r="JX46" s="108"/>
      <c r="JY46" s="24" t="s">
        <v>46</v>
      </c>
      <c r="JZ46" s="20"/>
      <c r="KA46" s="20"/>
      <c r="KB46" s="20"/>
      <c r="KC46" s="20"/>
      <c r="KD46" s="20"/>
      <c r="KE46" s="20"/>
      <c r="KF46" s="20"/>
      <c r="KG46" s="20">
        <v>41096</v>
      </c>
      <c r="KH46" s="20">
        <v>41096</v>
      </c>
      <c r="KI46" s="20">
        <v>41096</v>
      </c>
      <c r="KJ46" s="20">
        <v>41096</v>
      </c>
      <c r="KK46" s="20">
        <v>41096</v>
      </c>
      <c r="KL46" s="20">
        <v>41096</v>
      </c>
      <c r="KM46" s="20">
        <v>41096</v>
      </c>
      <c r="KN46" s="20">
        <v>41096</v>
      </c>
      <c r="KO46" s="20">
        <v>41096</v>
      </c>
      <c r="KP46" s="20">
        <v>41096</v>
      </c>
      <c r="KQ46" s="20"/>
      <c r="KR46" s="20"/>
      <c r="KS46" s="20"/>
      <c r="KT46" s="20"/>
      <c r="KU46" s="20"/>
      <c r="KV46" s="20"/>
      <c r="KW46" s="20"/>
      <c r="KX46" s="21">
        <f t="shared" si="17"/>
        <v>410960</v>
      </c>
      <c r="KY46" s="50">
        <v>1</v>
      </c>
      <c r="KZ46" s="21">
        <f t="shared" si="36"/>
        <v>410960</v>
      </c>
      <c r="LA46" s="111"/>
      <c r="LC46" s="108"/>
      <c r="LD46" s="24" t="s">
        <v>46</v>
      </c>
      <c r="LE46" s="20"/>
      <c r="LF46" s="20"/>
      <c r="LG46" s="20"/>
      <c r="LH46" s="20"/>
      <c r="LI46" s="20"/>
      <c r="LJ46" s="20"/>
      <c r="LK46" s="20"/>
      <c r="LL46" s="20">
        <v>41096</v>
      </c>
      <c r="LM46" s="20">
        <v>41096</v>
      </c>
      <c r="LN46" s="20">
        <v>41096</v>
      </c>
      <c r="LO46" s="20">
        <v>41096</v>
      </c>
      <c r="LP46" s="20">
        <v>41096</v>
      </c>
      <c r="LQ46" s="20">
        <v>41096</v>
      </c>
      <c r="LR46" s="20">
        <v>41096</v>
      </c>
      <c r="LS46" s="20">
        <v>41096</v>
      </c>
      <c r="LT46" s="20">
        <v>41096</v>
      </c>
      <c r="LU46" s="20">
        <v>41096</v>
      </c>
      <c r="LV46" s="20"/>
      <c r="LW46" s="20"/>
      <c r="LX46" s="20"/>
      <c r="LY46" s="20"/>
      <c r="LZ46" s="20"/>
      <c r="MA46" s="20"/>
      <c r="MB46" s="20"/>
      <c r="MC46" s="21">
        <f t="shared" si="19"/>
        <v>410960</v>
      </c>
      <c r="MD46" s="50">
        <v>1</v>
      </c>
      <c r="ME46" s="21">
        <f t="shared" si="37"/>
        <v>410960</v>
      </c>
      <c r="MF46" s="111"/>
      <c r="MH46" s="108"/>
      <c r="MI46" s="24" t="s">
        <v>46</v>
      </c>
      <c r="MJ46" s="20"/>
      <c r="MK46" s="20"/>
      <c r="ML46" s="20"/>
      <c r="MM46" s="20"/>
      <c r="MN46" s="20"/>
      <c r="MO46" s="20"/>
      <c r="MP46" s="20"/>
      <c r="MQ46" s="20">
        <v>41096</v>
      </c>
      <c r="MR46" s="20">
        <v>41096</v>
      </c>
      <c r="MS46" s="20">
        <v>41096</v>
      </c>
      <c r="MT46" s="20">
        <v>41096</v>
      </c>
      <c r="MU46" s="20">
        <v>41096</v>
      </c>
      <c r="MV46" s="20">
        <v>41096</v>
      </c>
      <c r="MW46" s="20">
        <v>41096</v>
      </c>
      <c r="MX46" s="20">
        <v>41096</v>
      </c>
      <c r="MY46" s="20">
        <v>41096</v>
      </c>
      <c r="MZ46" s="20">
        <v>41096</v>
      </c>
      <c r="NA46" s="20"/>
      <c r="NB46" s="20"/>
      <c r="NC46" s="20"/>
      <c r="ND46" s="20"/>
      <c r="NE46" s="20"/>
      <c r="NF46" s="20"/>
      <c r="NG46" s="20"/>
      <c r="NH46" s="21">
        <f t="shared" si="21"/>
        <v>410960</v>
      </c>
      <c r="NI46" s="50">
        <v>1</v>
      </c>
      <c r="NJ46" s="21">
        <f t="shared" si="38"/>
        <v>410960</v>
      </c>
      <c r="NK46" s="111"/>
      <c r="NM46" s="108"/>
      <c r="NN46" s="24" t="s">
        <v>46</v>
      </c>
      <c r="NO46" s="20"/>
      <c r="NP46" s="20"/>
      <c r="NQ46" s="20"/>
      <c r="NR46" s="20"/>
      <c r="NS46" s="20"/>
      <c r="NT46" s="20"/>
      <c r="NU46" s="20"/>
      <c r="NV46" s="20">
        <v>41096</v>
      </c>
      <c r="NW46" s="20">
        <v>41096</v>
      </c>
      <c r="NX46" s="20">
        <v>41096</v>
      </c>
      <c r="NY46" s="20">
        <v>41096</v>
      </c>
      <c r="NZ46" s="20">
        <v>41096</v>
      </c>
      <c r="OA46" s="20">
        <v>41096</v>
      </c>
      <c r="OB46" s="20">
        <v>41096</v>
      </c>
      <c r="OC46" s="20">
        <v>41096</v>
      </c>
      <c r="OD46" s="20">
        <v>41096</v>
      </c>
      <c r="OE46" s="20">
        <v>41096</v>
      </c>
      <c r="OF46" s="20"/>
      <c r="OG46" s="20"/>
      <c r="OH46" s="20"/>
      <c r="OI46" s="20"/>
      <c r="OJ46" s="20"/>
      <c r="OK46" s="20"/>
      <c r="OL46" s="20"/>
      <c r="OM46" s="21">
        <f t="shared" si="23"/>
        <v>410960</v>
      </c>
      <c r="ON46" s="50">
        <v>1</v>
      </c>
      <c r="OO46" s="21">
        <f t="shared" si="39"/>
        <v>410960</v>
      </c>
      <c r="OP46" s="111"/>
      <c r="OR46" s="108"/>
      <c r="OS46" s="24" t="s">
        <v>46</v>
      </c>
      <c r="OT46" s="20"/>
      <c r="OU46" s="20"/>
      <c r="OV46" s="20"/>
      <c r="OW46" s="20"/>
      <c r="OX46" s="20"/>
      <c r="OY46" s="20"/>
      <c r="OZ46" s="20"/>
      <c r="PA46" s="20">
        <v>41096</v>
      </c>
      <c r="PB46" s="20">
        <v>41096</v>
      </c>
      <c r="PC46" s="20">
        <v>41096</v>
      </c>
      <c r="PD46" s="20">
        <v>41096</v>
      </c>
      <c r="PE46" s="20">
        <v>41096</v>
      </c>
      <c r="PF46" s="20">
        <v>41096</v>
      </c>
      <c r="PG46" s="20">
        <v>41096</v>
      </c>
      <c r="PH46" s="20">
        <v>41096</v>
      </c>
      <c r="PI46" s="20">
        <v>41096</v>
      </c>
      <c r="PJ46" s="20">
        <v>41096</v>
      </c>
      <c r="PK46" s="20"/>
      <c r="PL46" s="20"/>
      <c r="PM46" s="20"/>
      <c r="PN46" s="20"/>
      <c r="PO46" s="20"/>
      <c r="PP46" s="20"/>
      <c r="PQ46" s="20"/>
      <c r="PR46" s="21">
        <f t="shared" si="25"/>
        <v>410960</v>
      </c>
      <c r="PS46" s="64">
        <v>1</v>
      </c>
      <c r="PT46" s="21">
        <f t="shared" si="40"/>
        <v>410960</v>
      </c>
      <c r="PU46" s="111"/>
    </row>
    <row r="47" spans="3:437" x14ac:dyDescent="0.35">
      <c r="C47" s="106">
        <v>46692</v>
      </c>
      <c r="D47" s="19" t="s">
        <v>43</v>
      </c>
      <c r="E47" s="20"/>
      <c r="F47" s="92"/>
      <c r="G47" s="20"/>
      <c r="H47" s="20"/>
      <c r="I47" s="20"/>
      <c r="J47" s="20"/>
      <c r="K47" s="20"/>
      <c r="L47" s="20">
        <v>41096</v>
      </c>
      <c r="M47" s="20">
        <v>41096</v>
      </c>
      <c r="N47" s="20">
        <v>41096</v>
      </c>
      <c r="O47" s="20">
        <v>41096</v>
      </c>
      <c r="P47" s="20">
        <v>41096</v>
      </c>
      <c r="Q47" s="20">
        <v>41096</v>
      </c>
      <c r="R47" s="20">
        <v>41096</v>
      </c>
      <c r="S47" s="20">
        <v>41096</v>
      </c>
      <c r="T47" s="20">
        <v>41096</v>
      </c>
      <c r="U47" s="20">
        <v>41096</v>
      </c>
      <c r="V47" s="20"/>
      <c r="W47" s="20"/>
      <c r="X47" s="20"/>
      <c r="Y47" s="20"/>
      <c r="Z47" s="20"/>
      <c r="AA47" s="20"/>
      <c r="AB47" s="20"/>
      <c r="AC47" s="21">
        <f t="shared" si="0"/>
        <v>410960</v>
      </c>
      <c r="AD47" s="22">
        <v>20</v>
      </c>
      <c r="AE47" s="21">
        <f t="shared" si="27"/>
        <v>8219200</v>
      </c>
      <c r="AF47" s="109">
        <f>+SUM(AE47:AE50)</f>
        <v>12328800</v>
      </c>
      <c r="AH47" s="106">
        <v>47058</v>
      </c>
      <c r="AI47" s="19" t="s">
        <v>43</v>
      </c>
      <c r="AJ47" s="20"/>
      <c r="AK47" s="20"/>
      <c r="AL47" s="20"/>
      <c r="AM47" s="20"/>
      <c r="AN47" s="20"/>
      <c r="AO47" s="20"/>
      <c r="AP47" s="20"/>
      <c r="AQ47" s="20">
        <v>41096</v>
      </c>
      <c r="AR47" s="20">
        <v>41096</v>
      </c>
      <c r="AS47" s="20">
        <v>41096</v>
      </c>
      <c r="AT47" s="20">
        <v>41096</v>
      </c>
      <c r="AU47" s="20">
        <v>41096</v>
      </c>
      <c r="AV47" s="20">
        <v>41096</v>
      </c>
      <c r="AW47" s="20">
        <v>41096</v>
      </c>
      <c r="AX47" s="20">
        <v>41096</v>
      </c>
      <c r="AY47" s="20">
        <v>41096</v>
      </c>
      <c r="AZ47" s="20">
        <v>41096</v>
      </c>
      <c r="BA47" s="20"/>
      <c r="BB47" s="20"/>
      <c r="BC47" s="20"/>
      <c r="BD47" s="20"/>
      <c r="BE47" s="20"/>
      <c r="BF47" s="20"/>
      <c r="BG47" s="20"/>
      <c r="BH47" s="21">
        <f t="shared" si="2"/>
        <v>410960</v>
      </c>
      <c r="BI47" s="48">
        <v>20</v>
      </c>
      <c r="BJ47" s="21">
        <f t="shared" si="28"/>
        <v>8219200</v>
      </c>
      <c r="BK47" s="109">
        <f>+SUM(BJ47:BJ50)</f>
        <v>12328800</v>
      </c>
      <c r="BM47" s="106">
        <v>47423</v>
      </c>
      <c r="BN47" s="19" t="s">
        <v>43</v>
      </c>
      <c r="BO47" s="20"/>
      <c r="BP47" s="20"/>
      <c r="BQ47" s="20"/>
      <c r="BR47" s="20"/>
      <c r="BS47" s="20"/>
      <c r="BT47" s="20"/>
      <c r="BU47" s="20"/>
      <c r="BV47" s="20">
        <v>41096</v>
      </c>
      <c r="BW47" s="20">
        <v>41096</v>
      </c>
      <c r="BX47" s="20">
        <v>41096</v>
      </c>
      <c r="BY47" s="20">
        <v>41096</v>
      </c>
      <c r="BZ47" s="20">
        <v>41096</v>
      </c>
      <c r="CA47" s="20">
        <v>41096</v>
      </c>
      <c r="CB47" s="20">
        <v>41096</v>
      </c>
      <c r="CC47" s="20">
        <v>41096</v>
      </c>
      <c r="CD47" s="20">
        <v>41096</v>
      </c>
      <c r="CE47" s="20">
        <v>41096</v>
      </c>
      <c r="CF47" s="20"/>
      <c r="CG47" s="20"/>
      <c r="CH47" s="20"/>
      <c r="CI47" s="20"/>
      <c r="CJ47" s="20"/>
      <c r="CK47" s="20"/>
      <c r="CL47" s="20"/>
      <c r="CM47" s="21">
        <f t="shared" si="4"/>
        <v>410960</v>
      </c>
      <c r="CN47" s="48">
        <v>20</v>
      </c>
      <c r="CO47" s="21">
        <f t="shared" si="29"/>
        <v>8219200</v>
      </c>
      <c r="CP47" s="109">
        <f>+SUM(CO47:CO50)</f>
        <v>12328800</v>
      </c>
      <c r="CS47" s="106">
        <v>47788</v>
      </c>
      <c r="CT47" s="19" t="s">
        <v>43</v>
      </c>
      <c r="CU47" s="20"/>
      <c r="CV47" s="20"/>
      <c r="CW47" s="20"/>
      <c r="CX47" s="20"/>
      <c r="CY47" s="20"/>
      <c r="CZ47" s="20"/>
      <c r="DA47" s="20"/>
      <c r="DB47" s="20">
        <v>41096</v>
      </c>
      <c r="DC47" s="20">
        <v>41096</v>
      </c>
      <c r="DD47" s="20">
        <v>41096</v>
      </c>
      <c r="DE47" s="20">
        <v>41096</v>
      </c>
      <c r="DF47" s="20">
        <v>41096</v>
      </c>
      <c r="DG47" s="20">
        <v>41096</v>
      </c>
      <c r="DH47" s="20">
        <v>41096</v>
      </c>
      <c r="DI47" s="20">
        <v>41096</v>
      </c>
      <c r="DJ47" s="20">
        <v>41096</v>
      </c>
      <c r="DK47" s="20">
        <v>41096</v>
      </c>
      <c r="DL47" s="20"/>
      <c r="DM47" s="20"/>
      <c r="DN47" s="20"/>
      <c r="DO47" s="20"/>
      <c r="DP47" s="20"/>
      <c r="DQ47" s="20"/>
      <c r="DR47" s="20"/>
      <c r="DS47" s="21">
        <f t="shared" si="6"/>
        <v>410960</v>
      </c>
      <c r="DT47" s="48">
        <v>19</v>
      </c>
      <c r="DU47" s="21">
        <f t="shared" si="30"/>
        <v>7808240</v>
      </c>
      <c r="DV47" s="109">
        <f>+SUM(DU47:DU50)</f>
        <v>12328800</v>
      </c>
      <c r="DY47" s="106">
        <v>48153</v>
      </c>
      <c r="DZ47" s="19" t="s">
        <v>43</v>
      </c>
      <c r="EA47" s="20"/>
      <c r="EB47" s="20"/>
      <c r="EC47" s="20"/>
      <c r="ED47" s="20"/>
      <c r="EE47" s="20"/>
      <c r="EF47" s="20"/>
      <c r="EG47" s="20"/>
      <c r="EH47" s="20">
        <v>41096</v>
      </c>
      <c r="EI47" s="20">
        <v>41096</v>
      </c>
      <c r="EJ47" s="20">
        <v>41096</v>
      </c>
      <c r="EK47" s="20">
        <v>41096</v>
      </c>
      <c r="EL47" s="20">
        <v>41096</v>
      </c>
      <c r="EM47" s="20">
        <v>41096</v>
      </c>
      <c r="EN47" s="20">
        <v>41096</v>
      </c>
      <c r="EO47" s="20">
        <v>41096</v>
      </c>
      <c r="EP47" s="20">
        <v>41096</v>
      </c>
      <c r="EQ47" s="20">
        <v>41096</v>
      </c>
      <c r="ER47" s="20"/>
      <c r="ES47" s="20"/>
      <c r="ET47" s="20"/>
      <c r="EU47" s="20"/>
      <c r="EV47" s="20"/>
      <c r="EW47" s="20"/>
      <c r="EX47" s="20"/>
      <c r="EY47" s="21">
        <f t="shared" si="7"/>
        <v>410960</v>
      </c>
      <c r="EZ47" s="48">
        <v>18</v>
      </c>
      <c r="FA47" s="21">
        <f t="shared" si="31"/>
        <v>7397280</v>
      </c>
      <c r="FB47" s="109">
        <f>+SUM(FA47:FA50)</f>
        <v>12328800</v>
      </c>
      <c r="FD47" s="106">
        <v>48519</v>
      </c>
      <c r="FE47" s="19" t="s">
        <v>43</v>
      </c>
      <c r="FF47" s="20"/>
      <c r="FG47" s="20"/>
      <c r="FH47" s="20"/>
      <c r="FI47" s="20"/>
      <c r="FJ47" s="20"/>
      <c r="FK47" s="20"/>
      <c r="FL47" s="20"/>
      <c r="FM47" s="20">
        <v>41096</v>
      </c>
      <c r="FN47" s="20">
        <v>41096</v>
      </c>
      <c r="FO47" s="20">
        <v>41096</v>
      </c>
      <c r="FP47" s="20">
        <v>41096</v>
      </c>
      <c r="FQ47" s="20">
        <v>41096</v>
      </c>
      <c r="FR47" s="20">
        <v>41096</v>
      </c>
      <c r="FS47" s="20">
        <v>41096</v>
      </c>
      <c r="FT47" s="20">
        <v>41096</v>
      </c>
      <c r="FU47" s="20">
        <v>41096</v>
      </c>
      <c r="FV47" s="20">
        <v>41096</v>
      </c>
      <c r="FW47" s="20"/>
      <c r="FX47" s="20"/>
      <c r="FY47" s="20"/>
      <c r="FZ47" s="20"/>
      <c r="GA47" s="20"/>
      <c r="GB47" s="20"/>
      <c r="GC47" s="20"/>
      <c r="GD47" s="21">
        <f t="shared" si="9"/>
        <v>410960</v>
      </c>
      <c r="GE47" s="48">
        <v>20</v>
      </c>
      <c r="GF47" s="21">
        <f t="shared" si="32"/>
        <v>8219200</v>
      </c>
      <c r="GG47" s="109">
        <f>+SUM(GF47:GF50)</f>
        <v>12328800</v>
      </c>
      <c r="GI47" s="106">
        <v>48884</v>
      </c>
      <c r="GJ47" s="19" t="s">
        <v>43</v>
      </c>
      <c r="GK47" s="20"/>
      <c r="GL47" s="20"/>
      <c r="GM47" s="20"/>
      <c r="GN47" s="20"/>
      <c r="GO47" s="20"/>
      <c r="GP47" s="20"/>
      <c r="GQ47" s="20"/>
      <c r="GR47" s="20">
        <v>41096</v>
      </c>
      <c r="GS47" s="20">
        <v>41096</v>
      </c>
      <c r="GT47" s="20">
        <v>41096</v>
      </c>
      <c r="GU47" s="20">
        <v>41096</v>
      </c>
      <c r="GV47" s="20">
        <v>41096</v>
      </c>
      <c r="GW47" s="20">
        <v>41096</v>
      </c>
      <c r="GX47" s="20">
        <v>41096</v>
      </c>
      <c r="GY47" s="20">
        <v>41096</v>
      </c>
      <c r="GZ47" s="20">
        <v>41096</v>
      </c>
      <c r="HA47" s="20">
        <v>41096</v>
      </c>
      <c r="HB47" s="20"/>
      <c r="HC47" s="20"/>
      <c r="HD47" s="20"/>
      <c r="HE47" s="20"/>
      <c r="HF47" s="20"/>
      <c r="HG47" s="20"/>
      <c r="HH47" s="20"/>
      <c r="HI47" s="21">
        <f t="shared" si="11"/>
        <v>410960</v>
      </c>
      <c r="HJ47" s="48">
        <v>20</v>
      </c>
      <c r="HK47" s="21">
        <f t="shared" si="33"/>
        <v>8219200</v>
      </c>
      <c r="HL47" s="109">
        <f>+SUM(HK47:HK50)</f>
        <v>12328800</v>
      </c>
      <c r="HN47" s="106">
        <v>49249</v>
      </c>
      <c r="HO47" s="19" t="s">
        <v>43</v>
      </c>
      <c r="HP47" s="20"/>
      <c r="HQ47" s="20"/>
      <c r="HR47" s="20"/>
      <c r="HS47" s="20"/>
      <c r="HT47" s="20"/>
      <c r="HU47" s="20"/>
      <c r="HV47" s="20"/>
      <c r="HW47" s="20">
        <v>41096</v>
      </c>
      <c r="HX47" s="20">
        <v>41096</v>
      </c>
      <c r="HY47" s="20">
        <v>41096</v>
      </c>
      <c r="HZ47" s="20">
        <v>41096</v>
      </c>
      <c r="IA47" s="20">
        <v>41096</v>
      </c>
      <c r="IB47" s="20">
        <v>41096</v>
      </c>
      <c r="IC47" s="20">
        <v>41096</v>
      </c>
      <c r="ID47" s="20">
        <v>41096</v>
      </c>
      <c r="IE47" s="20">
        <v>41096</v>
      </c>
      <c r="IF47" s="20">
        <v>41096</v>
      </c>
      <c r="IG47" s="20"/>
      <c r="IH47" s="20"/>
      <c r="II47" s="20"/>
      <c r="IJ47" s="20"/>
      <c r="IK47" s="20"/>
      <c r="IL47" s="20"/>
      <c r="IM47" s="20"/>
      <c r="IN47" s="21">
        <f t="shared" si="13"/>
        <v>410960</v>
      </c>
      <c r="IO47" s="48">
        <v>20</v>
      </c>
      <c r="IP47" s="21">
        <f t="shared" si="34"/>
        <v>8219200</v>
      </c>
      <c r="IQ47" s="109">
        <f>+SUM(IP47:IP50)</f>
        <v>12328800</v>
      </c>
      <c r="IS47" s="106">
        <v>49614</v>
      </c>
      <c r="IT47" s="19" t="s">
        <v>43</v>
      </c>
      <c r="IU47" s="20"/>
      <c r="IV47" s="20"/>
      <c r="IW47" s="20"/>
      <c r="IX47" s="20"/>
      <c r="IY47" s="20"/>
      <c r="IZ47" s="20"/>
      <c r="JA47" s="20"/>
      <c r="JB47" s="20">
        <v>41096</v>
      </c>
      <c r="JC47" s="20">
        <v>41096</v>
      </c>
      <c r="JD47" s="20">
        <v>41096</v>
      </c>
      <c r="JE47" s="20">
        <v>41096</v>
      </c>
      <c r="JF47" s="20">
        <v>41096</v>
      </c>
      <c r="JG47" s="20">
        <v>41096</v>
      </c>
      <c r="JH47" s="20">
        <v>41096</v>
      </c>
      <c r="JI47" s="20">
        <v>41096</v>
      </c>
      <c r="JJ47" s="20">
        <v>41096</v>
      </c>
      <c r="JK47" s="20">
        <v>41096</v>
      </c>
      <c r="JL47" s="20"/>
      <c r="JM47" s="20"/>
      <c r="JN47" s="20"/>
      <c r="JO47" s="20"/>
      <c r="JP47" s="20"/>
      <c r="JQ47" s="20"/>
      <c r="JR47" s="20"/>
      <c r="JS47" s="21">
        <f t="shared" si="15"/>
        <v>410960</v>
      </c>
      <c r="JT47" s="48">
        <v>20</v>
      </c>
      <c r="JU47" s="21">
        <f t="shared" si="35"/>
        <v>8219200</v>
      </c>
      <c r="JV47" s="109">
        <f>+SUM(JU47:JU50)</f>
        <v>12328800</v>
      </c>
      <c r="JX47" s="106">
        <v>49980</v>
      </c>
      <c r="JY47" s="19" t="s">
        <v>43</v>
      </c>
      <c r="JZ47" s="20"/>
      <c r="KA47" s="20"/>
      <c r="KB47" s="20"/>
      <c r="KC47" s="20"/>
      <c r="KD47" s="20"/>
      <c r="KE47" s="20"/>
      <c r="KF47" s="20"/>
      <c r="KG47" s="20">
        <v>41096</v>
      </c>
      <c r="KH47" s="20">
        <v>41096</v>
      </c>
      <c r="KI47" s="20">
        <v>41096</v>
      </c>
      <c r="KJ47" s="20">
        <v>41096</v>
      </c>
      <c r="KK47" s="20">
        <v>41096</v>
      </c>
      <c r="KL47" s="20">
        <v>41096</v>
      </c>
      <c r="KM47" s="20">
        <v>41096</v>
      </c>
      <c r="KN47" s="20">
        <v>41096</v>
      </c>
      <c r="KO47" s="20">
        <v>41096</v>
      </c>
      <c r="KP47" s="20">
        <v>41096</v>
      </c>
      <c r="KQ47" s="20"/>
      <c r="KR47" s="20"/>
      <c r="KS47" s="20"/>
      <c r="KT47" s="20"/>
      <c r="KU47" s="20"/>
      <c r="KV47" s="20"/>
      <c r="KW47" s="20"/>
      <c r="KX47" s="21">
        <f t="shared" si="17"/>
        <v>410960</v>
      </c>
      <c r="KY47" s="48">
        <v>19</v>
      </c>
      <c r="KZ47" s="21">
        <f t="shared" si="36"/>
        <v>7808240</v>
      </c>
      <c r="LA47" s="109">
        <f>+SUM(KZ47:KZ50)</f>
        <v>12328800</v>
      </c>
      <c r="LC47" s="106">
        <v>50345</v>
      </c>
      <c r="LD47" s="19" t="s">
        <v>43</v>
      </c>
      <c r="LE47" s="20"/>
      <c r="LF47" s="20"/>
      <c r="LG47" s="20"/>
      <c r="LH47" s="20"/>
      <c r="LI47" s="20"/>
      <c r="LJ47" s="20"/>
      <c r="LK47" s="20"/>
      <c r="LL47" s="20">
        <v>41096</v>
      </c>
      <c r="LM47" s="20">
        <v>41096</v>
      </c>
      <c r="LN47" s="20">
        <v>41096</v>
      </c>
      <c r="LO47" s="20">
        <v>41096</v>
      </c>
      <c r="LP47" s="20">
        <v>41096</v>
      </c>
      <c r="LQ47" s="20">
        <v>41096</v>
      </c>
      <c r="LR47" s="20">
        <v>41096</v>
      </c>
      <c r="LS47" s="20">
        <v>41096</v>
      </c>
      <c r="LT47" s="20">
        <v>41096</v>
      </c>
      <c r="LU47" s="20">
        <v>41096</v>
      </c>
      <c r="LV47" s="20"/>
      <c r="LW47" s="20"/>
      <c r="LX47" s="20"/>
      <c r="LY47" s="20"/>
      <c r="LZ47" s="20"/>
      <c r="MA47" s="20"/>
      <c r="MB47" s="20"/>
      <c r="MC47" s="21">
        <f t="shared" si="19"/>
        <v>410960</v>
      </c>
      <c r="MD47" s="48">
        <v>20</v>
      </c>
      <c r="ME47" s="21">
        <f t="shared" si="37"/>
        <v>8219200</v>
      </c>
      <c r="MF47" s="109">
        <f>+SUM(ME47:ME50)</f>
        <v>12328800</v>
      </c>
      <c r="MH47" s="106">
        <v>50710</v>
      </c>
      <c r="MI47" s="19" t="s">
        <v>43</v>
      </c>
      <c r="MJ47" s="20"/>
      <c r="MK47" s="20"/>
      <c r="ML47" s="20"/>
      <c r="MM47" s="20"/>
      <c r="MN47" s="20"/>
      <c r="MO47" s="20"/>
      <c r="MP47" s="20"/>
      <c r="MQ47" s="20">
        <v>41096</v>
      </c>
      <c r="MR47" s="20">
        <v>41096</v>
      </c>
      <c r="MS47" s="20">
        <v>41096</v>
      </c>
      <c r="MT47" s="20">
        <v>41096</v>
      </c>
      <c r="MU47" s="20">
        <v>41096</v>
      </c>
      <c r="MV47" s="20">
        <v>41096</v>
      </c>
      <c r="MW47" s="20">
        <v>41096</v>
      </c>
      <c r="MX47" s="20">
        <v>41096</v>
      </c>
      <c r="MY47" s="20">
        <v>41096</v>
      </c>
      <c r="MZ47" s="20">
        <v>41096</v>
      </c>
      <c r="NA47" s="20"/>
      <c r="NB47" s="20"/>
      <c r="NC47" s="20"/>
      <c r="ND47" s="20"/>
      <c r="NE47" s="20"/>
      <c r="NF47" s="20"/>
      <c r="NG47" s="20"/>
      <c r="NH47" s="21">
        <f t="shared" si="21"/>
        <v>410960</v>
      </c>
      <c r="NI47" s="48">
        <v>20</v>
      </c>
      <c r="NJ47" s="21">
        <f t="shared" si="38"/>
        <v>8219200</v>
      </c>
      <c r="NK47" s="109">
        <f>+SUM(NJ47:NJ50)</f>
        <v>12328800</v>
      </c>
      <c r="NM47" s="106">
        <v>51075</v>
      </c>
      <c r="NN47" s="19" t="s">
        <v>43</v>
      </c>
      <c r="NO47" s="20"/>
      <c r="NP47" s="20"/>
      <c r="NQ47" s="20"/>
      <c r="NR47" s="20"/>
      <c r="NS47" s="20"/>
      <c r="NT47" s="20"/>
      <c r="NU47" s="20"/>
      <c r="NV47" s="20">
        <v>41096</v>
      </c>
      <c r="NW47" s="20">
        <v>41096</v>
      </c>
      <c r="NX47" s="20">
        <v>41096</v>
      </c>
      <c r="NY47" s="20">
        <v>41096</v>
      </c>
      <c r="NZ47" s="20">
        <v>41096</v>
      </c>
      <c r="OA47" s="20">
        <v>41096</v>
      </c>
      <c r="OB47" s="20">
        <v>41096</v>
      </c>
      <c r="OC47" s="20">
        <v>41096</v>
      </c>
      <c r="OD47" s="20">
        <v>41096</v>
      </c>
      <c r="OE47" s="20">
        <v>41096</v>
      </c>
      <c r="OF47" s="20"/>
      <c r="OG47" s="20"/>
      <c r="OH47" s="20"/>
      <c r="OI47" s="20"/>
      <c r="OJ47" s="20"/>
      <c r="OK47" s="20"/>
      <c r="OL47" s="20"/>
      <c r="OM47" s="21">
        <f t="shared" si="23"/>
        <v>410960</v>
      </c>
      <c r="ON47" s="48">
        <v>20</v>
      </c>
      <c r="OO47" s="21">
        <f t="shared" si="39"/>
        <v>8219200</v>
      </c>
      <c r="OP47" s="109">
        <f>+SUM(OO47:OO50)</f>
        <v>12328800</v>
      </c>
      <c r="OR47" s="106">
        <v>51441</v>
      </c>
      <c r="OS47" s="19" t="s">
        <v>43</v>
      </c>
      <c r="OT47" s="20"/>
      <c r="OU47" s="20"/>
      <c r="OV47" s="20"/>
      <c r="OW47" s="20"/>
      <c r="OX47" s="20"/>
      <c r="OY47" s="20"/>
      <c r="OZ47" s="20"/>
      <c r="PA47" s="20">
        <v>41096</v>
      </c>
      <c r="PB47" s="20">
        <v>41096</v>
      </c>
      <c r="PC47" s="20">
        <v>41096</v>
      </c>
      <c r="PD47" s="20">
        <v>41096</v>
      </c>
      <c r="PE47" s="20">
        <v>41096</v>
      </c>
      <c r="PF47" s="20">
        <v>41096</v>
      </c>
      <c r="PG47" s="20">
        <v>41096</v>
      </c>
      <c r="PH47" s="20">
        <v>41096</v>
      </c>
      <c r="PI47" s="20">
        <v>41096</v>
      </c>
      <c r="PJ47" s="20">
        <v>41096</v>
      </c>
      <c r="PK47" s="20"/>
      <c r="PL47" s="20"/>
      <c r="PM47" s="20"/>
      <c r="PN47" s="20"/>
      <c r="PO47" s="20"/>
      <c r="PP47" s="20"/>
      <c r="PQ47" s="20"/>
      <c r="PR47" s="21">
        <f t="shared" si="25"/>
        <v>410960</v>
      </c>
      <c r="PS47" s="63">
        <v>20</v>
      </c>
      <c r="PT47" s="21">
        <f t="shared" si="40"/>
        <v>8219200</v>
      </c>
      <c r="PU47" s="109">
        <f>+SUM(PT47:PT50)</f>
        <v>12328800</v>
      </c>
    </row>
    <row r="48" spans="3:437" x14ac:dyDescent="0.35">
      <c r="C48" s="107"/>
      <c r="D48" s="23" t="s">
        <v>44</v>
      </c>
      <c r="E48" s="20"/>
      <c r="F48" s="92"/>
      <c r="G48" s="20"/>
      <c r="H48" s="20"/>
      <c r="I48" s="20"/>
      <c r="J48" s="20"/>
      <c r="K48" s="20"/>
      <c r="L48" s="20">
        <v>41096</v>
      </c>
      <c r="M48" s="20">
        <v>41096</v>
      </c>
      <c r="N48" s="20">
        <v>41096</v>
      </c>
      <c r="O48" s="20">
        <v>41096</v>
      </c>
      <c r="P48" s="20">
        <v>41096</v>
      </c>
      <c r="Q48" s="20">
        <v>41096</v>
      </c>
      <c r="R48" s="20">
        <v>41096</v>
      </c>
      <c r="S48" s="20">
        <v>41096</v>
      </c>
      <c r="T48" s="20">
        <v>41096</v>
      </c>
      <c r="U48" s="20">
        <v>41096</v>
      </c>
      <c r="V48" s="20"/>
      <c r="W48" s="20"/>
      <c r="X48" s="20"/>
      <c r="Y48" s="20"/>
      <c r="Z48" s="20"/>
      <c r="AA48" s="20"/>
      <c r="AB48" s="20"/>
      <c r="AC48" s="21">
        <f t="shared" si="0"/>
        <v>410960</v>
      </c>
      <c r="AD48" s="22">
        <v>4</v>
      </c>
      <c r="AE48" s="21">
        <f t="shared" si="27"/>
        <v>1643840</v>
      </c>
      <c r="AF48" s="110"/>
      <c r="AH48" s="107"/>
      <c r="AI48" s="23" t="s">
        <v>44</v>
      </c>
      <c r="AJ48" s="20"/>
      <c r="AK48" s="20"/>
      <c r="AL48" s="20"/>
      <c r="AM48" s="20"/>
      <c r="AN48" s="20"/>
      <c r="AO48" s="20"/>
      <c r="AP48" s="20"/>
      <c r="AQ48" s="20">
        <v>41096</v>
      </c>
      <c r="AR48" s="20">
        <v>41096</v>
      </c>
      <c r="AS48" s="20">
        <v>41096</v>
      </c>
      <c r="AT48" s="20">
        <v>41096</v>
      </c>
      <c r="AU48" s="20">
        <v>41096</v>
      </c>
      <c r="AV48" s="20">
        <v>41096</v>
      </c>
      <c r="AW48" s="20">
        <v>41096</v>
      </c>
      <c r="AX48" s="20">
        <v>41096</v>
      </c>
      <c r="AY48" s="20">
        <v>41096</v>
      </c>
      <c r="AZ48" s="20">
        <v>41096</v>
      </c>
      <c r="BA48" s="20"/>
      <c r="BB48" s="20"/>
      <c r="BC48" s="20"/>
      <c r="BD48" s="20"/>
      <c r="BE48" s="20"/>
      <c r="BF48" s="20"/>
      <c r="BG48" s="20"/>
      <c r="BH48" s="21">
        <f t="shared" si="2"/>
        <v>410960</v>
      </c>
      <c r="BI48" s="49">
        <v>4</v>
      </c>
      <c r="BJ48" s="21">
        <f t="shared" si="28"/>
        <v>1643840</v>
      </c>
      <c r="BK48" s="110"/>
      <c r="BM48" s="107"/>
      <c r="BN48" s="23" t="s">
        <v>44</v>
      </c>
      <c r="BO48" s="20"/>
      <c r="BP48" s="20"/>
      <c r="BQ48" s="20"/>
      <c r="BR48" s="20"/>
      <c r="BS48" s="20"/>
      <c r="BT48" s="20"/>
      <c r="BU48" s="20"/>
      <c r="BV48" s="20">
        <v>41096</v>
      </c>
      <c r="BW48" s="20">
        <v>41096</v>
      </c>
      <c r="BX48" s="20">
        <v>41096</v>
      </c>
      <c r="BY48" s="20">
        <v>41096</v>
      </c>
      <c r="BZ48" s="20">
        <v>41096</v>
      </c>
      <c r="CA48" s="20">
        <v>41096</v>
      </c>
      <c r="CB48" s="20">
        <v>41096</v>
      </c>
      <c r="CC48" s="20">
        <v>41096</v>
      </c>
      <c r="CD48" s="20">
        <v>41096</v>
      </c>
      <c r="CE48" s="20">
        <v>41096</v>
      </c>
      <c r="CF48" s="20"/>
      <c r="CG48" s="20"/>
      <c r="CH48" s="20"/>
      <c r="CI48" s="20"/>
      <c r="CJ48" s="20"/>
      <c r="CK48" s="20"/>
      <c r="CL48" s="20"/>
      <c r="CM48" s="21">
        <f t="shared" si="4"/>
        <v>410960</v>
      </c>
      <c r="CN48" s="49">
        <v>4</v>
      </c>
      <c r="CO48" s="21">
        <f t="shared" si="29"/>
        <v>1643840</v>
      </c>
      <c r="CP48" s="110"/>
      <c r="CS48" s="107"/>
      <c r="CT48" s="23" t="s">
        <v>44</v>
      </c>
      <c r="CU48" s="20"/>
      <c r="CV48" s="20"/>
      <c r="CW48" s="20"/>
      <c r="CX48" s="20"/>
      <c r="CY48" s="20"/>
      <c r="CZ48" s="20"/>
      <c r="DA48" s="20"/>
      <c r="DB48" s="20">
        <v>41096</v>
      </c>
      <c r="DC48" s="20">
        <v>41096</v>
      </c>
      <c r="DD48" s="20">
        <v>41096</v>
      </c>
      <c r="DE48" s="20">
        <v>41096</v>
      </c>
      <c r="DF48" s="20">
        <v>41096</v>
      </c>
      <c r="DG48" s="20">
        <v>41096</v>
      </c>
      <c r="DH48" s="20">
        <v>41096</v>
      </c>
      <c r="DI48" s="20">
        <v>41096</v>
      </c>
      <c r="DJ48" s="20">
        <v>41096</v>
      </c>
      <c r="DK48" s="20">
        <v>41096</v>
      </c>
      <c r="DL48" s="20"/>
      <c r="DM48" s="20"/>
      <c r="DN48" s="20"/>
      <c r="DO48" s="20"/>
      <c r="DP48" s="20"/>
      <c r="DQ48" s="20"/>
      <c r="DR48" s="20"/>
      <c r="DS48" s="21">
        <f t="shared" si="6"/>
        <v>410960</v>
      </c>
      <c r="DT48" s="49">
        <v>5</v>
      </c>
      <c r="DU48" s="21">
        <f t="shared" si="30"/>
        <v>2054800</v>
      </c>
      <c r="DV48" s="110"/>
      <c r="DY48" s="107"/>
      <c r="DZ48" s="23" t="s">
        <v>44</v>
      </c>
      <c r="EA48" s="20"/>
      <c r="EB48" s="20"/>
      <c r="EC48" s="20"/>
      <c r="ED48" s="20"/>
      <c r="EE48" s="20"/>
      <c r="EF48" s="20"/>
      <c r="EG48" s="20"/>
      <c r="EH48" s="20">
        <v>41096</v>
      </c>
      <c r="EI48" s="20">
        <v>41096</v>
      </c>
      <c r="EJ48" s="20">
        <v>41096</v>
      </c>
      <c r="EK48" s="20">
        <v>41096</v>
      </c>
      <c r="EL48" s="20">
        <v>41096</v>
      </c>
      <c r="EM48" s="20">
        <v>41096</v>
      </c>
      <c r="EN48" s="20">
        <v>41096</v>
      </c>
      <c r="EO48" s="20">
        <v>41096</v>
      </c>
      <c r="EP48" s="20">
        <v>41096</v>
      </c>
      <c r="EQ48" s="20">
        <v>41096</v>
      </c>
      <c r="ER48" s="20"/>
      <c r="ES48" s="20"/>
      <c r="ET48" s="20"/>
      <c r="EU48" s="20"/>
      <c r="EV48" s="20"/>
      <c r="EW48" s="20"/>
      <c r="EX48" s="20"/>
      <c r="EY48" s="21">
        <f t="shared" si="7"/>
        <v>410960</v>
      </c>
      <c r="EZ48" s="49">
        <v>5</v>
      </c>
      <c r="FA48" s="21">
        <f t="shared" si="31"/>
        <v>2054800</v>
      </c>
      <c r="FB48" s="110"/>
      <c r="FD48" s="107"/>
      <c r="FE48" s="23" t="s">
        <v>44</v>
      </c>
      <c r="FF48" s="20"/>
      <c r="FG48" s="20"/>
      <c r="FH48" s="20"/>
      <c r="FI48" s="20"/>
      <c r="FJ48" s="20"/>
      <c r="FK48" s="20"/>
      <c r="FL48" s="20"/>
      <c r="FM48" s="20">
        <v>41096</v>
      </c>
      <c r="FN48" s="20">
        <v>41096</v>
      </c>
      <c r="FO48" s="20">
        <v>41096</v>
      </c>
      <c r="FP48" s="20">
        <v>41096</v>
      </c>
      <c r="FQ48" s="20">
        <v>41096</v>
      </c>
      <c r="FR48" s="20">
        <v>41096</v>
      </c>
      <c r="FS48" s="20">
        <v>41096</v>
      </c>
      <c r="FT48" s="20">
        <v>41096</v>
      </c>
      <c r="FU48" s="20">
        <v>41096</v>
      </c>
      <c r="FV48" s="20">
        <v>41096</v>
      </c>
      <c r="FW48" s="20"/>
      <c r="FX48" s="20"/>
      <c r="FY48" s="20"/>
      <c r="FZ48" s="20"/>
      <c r="GA48" s="20"/>
      <c r="GB48" s="20"/>
      <c r="GC48" s="20"/>
      <c r="GD48" s="21">
        <f t="shared" si="9"/>
        <v>410960</v>
      </c>
      <c r="GE48" s="49">
        <v>4</v>
      </c>
      <c r="GF48" s="21">
        <f t="shared" si="32"/>
        <v>1643840</v>
      </c>
      <c r="GG48" s="110"/>
      <c r="GI48" s="107"/>
      <c r="GJ48" s="23" t="s">
        <v>44</v>
      </c>
      <c r="GK48" s="20"/>
      <c r="GL48" s="20"/>
      <c r="GM48" s="20"/>
      <c r="GN48" s="20"/>
      <c r="GO48" s="20"/>
      <c r="GP48" s="20"/>
      <c r="GQ48" s="20"/>
      <c r="GR48" s="20">
        <v>41096</v>
      </c>
      <c r="GS48" s="20">
        <v>41096</v>
      </c>
      <c r="GT48" s="20">
        <v>41096</v>
      </c>
      <c r="GU48" s="20">
        <v>41096</v>
      </c>
      <c r="GV48" s="20">
        <v>41096</v>
      </c>
      <c r="GW48" s="20">
        <v>41096</v>
      </c>
      <c r="GX48" s="20">
        <v>41096</v>
      </c>
      <c r="GY48" s="20">
        <v>41096</v>
      </c>
      <c r="GZ48" s="20">
        <v>41096</v>
      </c>
      <c r="HA48" s="20">
        <v>41096</v>
      </c>
      <c r="HB48" s="20"/>
      <c r="HC48" s="20"/>
      <c r="HD48" s="20"/>
      <c r="HE48" s="20"/>
      <c r="HF48" s="20"/>
      <c r="HG48" s="20"/>
      <c r="HH48" s="20"/>
      <c r="HI48" s="21">
        <f t="shared" si="11"/>
        <v>410960</v>
      </c>
      <c r="HJ48" s="49">
        <v>4</v>
      </c>
      <c r="HK48" s="21">
        <f t="shared" si="33"/>
        <v>1643840</v>
      </c>
      <c r="HL48" s="110"/>
      <c r="HN48" s="107"/>
      <c r="HO48" s="23" t="s">
        <v>44</v>
      </c>
      <c r="HP48" s="20"/>
      <c r="HQ48" s="20"/>
      <c r="HR48" s="20"/>
      <c r="HS48" s="20"/>
      <c r="HT48" s="20"/>
      <c r="HU48" s="20"/>
      <c r="HV48" s="20"/>
      <c r="HW48" s="20">
        <v>41096</v>
      </c>
      <c r="HX48" s="20">
        <v>41096</v>
      </c>
      <c r="HY48" s="20">
        <v>41096</v>
      </c>
      <c r="HZ48" s="20">
        <v>41096</v>
      </c>
      <c r="IA48" s="20">
        <v>41096</v>
      </c>
      <c r="IB48" s="20">
        <v>41096</v>
      </c>
      <c r="IC48" s="20">
        <v>41096</v>
      </c>
      <c r="ID48" s="20">
        <v>41096</v>
      </c>
      <c r="IE48" s="20">
        <v>41096</v>
      </c>
      <c r="IF48" s="20">
        <v>41096</v>
      </c>
      <c r="IG48" s="20"/>
      <c r="IH48" s="20"/>
      <c r="II48" s="20"/>
      <c r="IJ48" s="20"/>
      <c r="IK48" s="20"/>
      <c r="IL48" s="20"/>
      <c r="IM48" s="20"/>
      <c r="IN48" s="21">
        <f t="shared" si="13"/>
        <v>410960</v>
      </c>
      <c r="IO48" s="49">
        <v>4</v>
      </c>
      <c r="IP48" s="21">
        <f t="shared" si="34"/>
        <v>1643840</v>
      </c>
      <c r="IQ48" s="110"/>
      <c r="IS48" s="107"/>
      <c r="IT48" s="23" t="s">
        <v>44</v>
      </c>
      <c r="IU48" s="20"/>
      <c r="IV48" s="20"/>
      <c r="IW48" s="20"/>
      <c r="IX48" s="20"/>
      <c r="IY48" s="20"/>
      <c r="IZ48" s="20"/>
      <c r="JA48" s="20"/>
      <c r="JB48" s="20">
        <v>41096</v>
      </c>
      <c r="JC48" s="20">
        <v>41096</v>
      </c>
      <c r="JD48" s="20">
        <v>41096</v>
      </c>
      <c r="JE48" s="20">
        <v>41096</v>
      </c>
      <c r="JF48" s="20">
        <v>41096</v>
      </c>
      <c r="JG48" s="20">
        <v>41096</v>
      </c>
      <c r="JH48" s="20">
        <v>41096</v>
      </c>
      <c r="JI48" s="20">
        <v>41096</v>
      </c>
      <c r="JJ48" s="20">
        <v>41096</v>
      </c>
      <c r="JK48" s="20">
        <v>41096</v>
      </c>
      <c r="JL48" s="20"/>
      <c r="JM48" s="20"/>
      <c r="JN48" s="20"/>
      <c r="JO48" s="20"/>
      <c r="JP48" s="20"/>
      <c r="JQ48" s="20"/>
      <c r="JR48" s="20"/>
      <c r="JS48" s="21">
        <f t="shared" si="15"/>
        <v>410960</v>
      </c>
      <c r="JT48" s="49">
        <v>4</v>
      </c>
      <c r="JU48" s="21">
        <f t="shared" si="35"/>
        <v>1643840</v>
      </c>
      <c r="JV48" s="110"/>
      <c r="JX48" s="107"/>
      <c r="JY48" s="23" t="s">
        <v>44</v>
      </c>
      <c r="JZ48" s="20"/>
      <c r="KA48" s="20"/>
      <c r="KB48" s="20"/>
      <c r="KC48" s="20"/>
      <c r="KD48" s="20"/>
      <c r="KE48" s="20"/>
      <c r="KF48" s="20"/>
      <c r="KG48" s="20">
        <v>41096</v>
      </c>
      <c r="KH48" s="20">
        <v>41096</v>
      </c>
      <c r="KI48" s="20">
        <v>41096</v>
      </c>
      <c r="KJ48" s="20">
        <v>41096</v>
      </c>
      <c r="KK48" s="20">
        <v>41096</v>
      </c>
      <c r="KL48" s="20">
        <v>41096</v>
      </c>
      <c r="KM48" s="20">
        <v>41096</v>
      </c>
      <c r="KN48" s="20">
        <v>41096</v>
      </c>
      <c r="KO48" s="20">
        <v>41096</v>
      </c>
      <c r="KP48" s="20">
        <v>41096</v>
      </c>
      <c r="KQ48" s="20"/>
      <c r="KR48" s="20"/>
      <c r="KS48" s="20"/>
      <c r="KT48" s="20"/>
      <c r="KU48" s="20"/>
      <c r="KV48" s="20"/>
      <c r="KW48" s="20"/>
      <c r="KX48" s="21">
        <f t="shared" si="17"/>
        <v>410960</v>
      </c>
      <c r="KY48" s="49">
        <v>4</v>
      </c>
      <c r="KZ48" s="21">
        <f t="shared" si="36"/>
        <v>1643840</v>
      </c>
      <c r="LA48" s="110"/>
      <c r="LC48" s="107"/>
      <c r="LD48" s="23" t="s">
        <v>44</v>
      </c>
      <c r="LE48" s="20"/>
      <c r="LF48" s="20"/>
      <c r="LG48" s="20"/>
      <c r="LH48" s="20"/>
      <c r="LI48" s="20"/>
      <c r="LJ48" s="20"/>
      <c r="LK48" s="20"/>
      <c r="LL48" s="20">
        <v>41096</v>
      </c>
      <c r="LM48" s="20">
        <v>41096</v>
      </c>
      <c r="LN48" s="20">
        <v>41096</v>
      </c>
      <c r="LO48" s="20">
        <v>41096</v>
      </c>
      <c r="LP48" s="20">
        <v>41096</v>
      </c>
      <c r="LQ48" s="20">
        <v>41096</v>
      </c>
      <c r="LR48" s="20">
        <v>41096</v>
      </c>
      <c r="LS48" s="20">
        <v>41096</v>
      </c>
      <c r="LT48" s="20">
        <v>41096</v>
      </c>
      <c r="LU48" s="20">
        <v>41096</v>
      </c>
      <c r="LV48" s="20"/>
      <c r="LW48" s="20"/>
      <c r="LX48" s="20"/>
      <c r="LY48" s="20"/>
      <c r="LZ48" s="20"/>
      <c r="MA48" s="20"/>
      <c r="MB48" s="20"/>
      <c r="MC48" s="21">
        <f t="shared" si="19"/>
        <v>410960</v>
      </c>
      <c r="MD48" s="49">
        <v>4</v>
      </c>
      <c r="ME48" s="21">
        <f t="shared" si="37"/>
        <v>1643840</v>
      </c>
      <c r="MF48" s="110"/>
      <c r="MH48" s="107"/>
      <c r="MI48" s="23" t="s">
        <v>44</v>
      </c>
      <c r="MJ48" s="20"/>
      <c r="MK48" s="20"/>
      <c r="ML48" s="20"/>
      <c r="MM48" s="20"/>
      <c r="MN48" s="20"/>
      <c r="MO48" s="20"/>
      <c r="MP48" s="20"/>
      <c r="MQ48" s="20">
        <v>41096</v>
      </c>
      <c r="MR48" s="20">
        <v>41096</v>
      </c>
      <c r="MS48" s="20">
        <v>41096</v>
      </c>
      <c r="MT48" s="20">
        <v>41096</v>
      </c>
      <c r="MU48" s="20">
        <v>41096</v>
      </c>
      <c r="MV48" s="20">
        <v>41096</v>
      </c>
      <c r="MW48" s="20">
        <v>41096</v>
      </c>
      <c r="MX48" s="20">
        <v>41096</v>
      </c>
      <c r="MY48" s="20">
        <v>41096</v>
      </c>
      <c r="MZ48" s="20">
        <v>41096</v>
      </c>
      <c r="NA48" s="20"/>
      <c r="NB48" s="20"/>
      <c r="NC48" s="20"/>
      <c r="ND48" s="20"/>
      <c r="NE48" s="20"/>
      <c r="NF48" s="20"/>
      <c r="NG48" s="20"/>
      <c r="NH48" s="21">
        <f t="shared" si="21"/>
        <v>410960</v>
      </c>
      <c r="NI48" s="49">
        <v>4</v>
      </c>
      <c r="NJ48" s="21">
        <f t="shared" si="38"/>
        <v>1643840</v>
      </c>
      <c r="NK48" s="110"/>
      <c r="NM48" s="107"/>
      <c r="NN48" s="23" t="s">
        <v>44</v>
      </c>
      <c r="NO48" s="20"/>
      <c r="NP48" s="20"/>
      <c r="NQ48" s="20"/>
      <c r="NR48" s="20"/>
      <c r="NS48" s="20"/>
      <c r="NT48" s="20"/>
      <c r="NU48" s="20"/>
      <c r="NV48" s="20">
        <v>41096</v>
      </c>
      <c r="NW48" s="20">
        <v>41096</v>
      </c>
      <c r="NX48" s="20">
        <v>41096</v>
      </c>
      <c r="NY48" s="20">
        <v>41096</v>
      </c>
      <c r="NZ48" s="20">
        <v>41096</v>
      </c>
      <c r="OA48" s="20">
        <v>41096</v>
      </c>
      <c r="OB48" s="20">
        <v>41096</v>
      </c>
      <c r="OC48" s="20">
        <v>41096</v>
      </c>
      <c r="OD48" s="20">
        <v>41096</v>
      </c>
      <c r="OE48" s="20">
        <v>41096</v>
      </c>
      <c r="OF48" s="20"/>
      <c r="OG48" s="20"/>
      <c r="OH48" s="20"/>
      <c r="OI48" s="20"/>
      <c r="OJ48" s="20"/>
      <c r="OK48" s="20"/>
      <c r="OL48" s="20"/>
      <c r="OM48" s="21">
        <f t="shared" si="23"/>
        <v>410960</v>
      </c>
      <c r="ON48" s="49">
        <v>4</v>
      </c>
      <c r="OO48" s="21">
        <f t="shared" si="39"/>
        <v>1643840</v>
      </c>
      <c r="OP48" s="110"/>
      <c r="OR48" s="107"/>
      <c r="OS48" s="23" t="s">
        <v>44</v>
      </c>
      <c r="OT48" s="20"/>
      <c r="OU48" s="20"/>
      <c r="OV48" s="20"/>
      <c r="OW48" s="20"/>
      <c r="OX48" s="20"/>
      <c r="OY48" s="20"/>
      <c r="OZ48" s="20"/>
      <c r="PA48" s="20">
        <v>41096</v>
      </c>
      <c r="PB48" s="20">
        <v>41096</v>
      </c>
      <c r="PC48" s="20">
        <v>41096</v>
      </c>
      <c r="PD48" s="20">
        <v>41096</v>
      </c>
      <c r="PE48" s="20">
        <v>41096</v>
      </c>
      <c r="PF48" s="20">
        <v>41096</v>
      </c>
      <c r="PG48" s="20">
        <v>41096</v>
      </c>
      <c r="PH48" s="20">
        <v>41096</v>
      </c>
      <c r="PI48" s="20">
        <v>41096</v>
      </c>
      <c r="PJ48" s="20">
        <v>41096</v>
      </c>
      <c r="PK48" s="20"/>
      <c r="PL48" s="20"/>
      <c r="PM48" s="20"/>
      <c r="PN48" s="20"/>
      <c r="PO48" s="20"/>
      <c r="PP48" s="20"/>
      <c r="PQ48" s="20"/>
      <c r="PR48" s="21">
        <f t="shared" si="25"/>
        <v>410960</v>
      </c>
      <c r="PS48" s="62">
        <v>4</v>
      </c>
      <c r="PT48" s="21">
        <f t="shared" si="40"/>
        <v>1643840</v>
      </c>
      <c r="PU48" s="110"/>
    </row>
    <row r="49" spans="3:437" x14ac:dyDescent="0.35">
      <c r="C49" s="107"/>
      <c r="D49" s="23" t="s">
        <v>45</v>
      </c>
      <c r="E49" s="20"/>
      <c r="F49" s="92"/>
      <c r="G49" s="20"/>
      <c r="H49" s="20"/>
      <c r="I49" s="20"/>
      <c r="J49" s="20"/>
      <c r="K49" s="20"/>
      <c r="L49" s="20">
        <v>41096</v>
      </c>
      <c r="M49" s="20">
        <v>41096</v>
      </c>
      <c r="N49" s="20">
        <v>41096</v>
      </c>
      <c r="O49" s="20">
        <v>41096</v>
      </c>
      <c r="P49" s="20">
        <v>41096</v>
      </c>
      <c r="Q49" s="20">
        <v>41096</v>
      </c>
      <c r="R49" s="20">
        <v>41096</v>
      </c>
      <c r="S49" s="20">
        <v>41096</v>
      </c>
      <c r="T49" s="20">
        <v>41096</v>
      </c>
      <c r="U49" s="20">
        <v>41096</v>
      </c>
      <c r="V49" s="20"/>
      <c r="W49" s="20"/>
      <c r="X49" s="20"/>
      <c r="Y49" s="20"/>
      <c r="Z49" s="20"/>
      <c r="AA49" s="20"/>
      <c r="AB49" s="20"/>
      <c r="AC49" s="21">
        <f t="shared" si="0"/>
        <v>410960</v>
      </c>
      <c r="AD49" s="22">
        <v>4</v>
      </c>
      <c r="AE49" s="21">
        <f t="shared" si="27"/>
        <v>1643840</v>
      </c>
      <c r="AF49" s="110"/>
      <c r="AH49" s="107"/>
      <c r="AI49" s="23" t="s">
        <v>45</v>
      </c>
      <c r="AJ49" s="20"/>
      <c r="AK49" s="20"/>
      <c r="AL49" s="20"/>
      <c r="AM49" s="20"/>
      <c r="AN49" s="20"/>
      <c r="AO49" s="20"/>
      <c r="AP49" s="20"/>
      <c r="AQ49" s="20">
        <v>41096</v>
      </c>
      <c r="AR49" s="20">
        <v>41096</v>
      </c>
      <c r="AS49" s="20">
        <v>41096</v>
      </c>
      <c r="AT49" s="20">
        <v>41096</v>
      </c>
      <c r="AU49" s="20">
        <v>41096</v>
      </c>
      <c r="AV49" s="20">
        <v>41096</v>
      </c>
      <c r="AW49" s="20">
        <v>41096</v>
      </c>
      <c r="AX49" s="20">
        <v>41096</v>
      </c>
      <c r="AY49" s="20">
        <v>41096</v>
      </c>
      <c r="AZ49" s="20">
        <v>41096</v>
      </c>
      <c r="BA49" s="20"/>
      <c r="BB49" s="20"/>
      <c r="BC49" s="20"/>
      <c r="BD49" s="20"/>
      <c r="BE49" s="20"/>
      <c r="BF49" s="20"/>
      <c r="BG49" s="20"/>
      <c r="BH49" s="21">
        <f t="shared" si="2"/>
        <v>410960</v>
      </c>
      <c r="BI49" s="49">
        <v>4</v>
      </c>
      <c r="BJ49" s="21">
        <f t="shared" si="28"/>
        <v>1643840</v>
      </c>
      <c r="BK49" s="110"/>
      <c r="BM49" s="107"/>
      <c r="BN49" s="23" t="s">
        <v>45</v>
      </c>
      <c r="BO49" s="20"/>
      <c r="BP49" s="20"/>
      <c r="BQ49" s="20"/>
      <c r="BR49" s="20"/>
      <c r="BS49" s="20"/>
      <c r="BT49" s="20"/>
      <c r="BU49" s="20"/>
      <c r="BV49" s="20">
        <v>41096</v>
      </c>
      <c r="BW49" s="20">
        <v>41096</v>
      </c>
      <c r="BX49" s="20">
        <v>41096</v>
      </c>
      <c r="BY49" s="20">
        <v>41096</v>
      </c>
      <c r="BZ49" s="20">
        <v>41096</v>
      </c>
      <c r="CA49" s="20">
        <v>41096</v>
      </c>
      <c r="CB49" s="20">
        <v>41096</v>
      </c>
      <c r="CC49" s="20">
        <v>41096</v>
      </c>
      <c r="CD49" s="20">
        <v>41096</v>
      </c>
      <c r="CE49" s="20">
        <v>41096</v>
      </c>
      <c r="CF49" s="20"/>
      <c r="CG49" s="20"/>
      <c r="CH49" s="20"/>
      <c r="CI49" s="20"/>
      <c r="CJ49" s="20"/>
      <c r="CK49" s="20"/>
      <c r="CL49" s="20"/>
      <c r="CM49" s="21">
        <f t="shared" si="4"/>
        <v>410960</v>
      </c>
      <c r="CN49" s="49">
        <v>4</v>
      </c>
      <c r="CO49" s="21">
        <f t="shared" si="29"/>
        <v>1643840</v>
      </c>
      <c r="CP49" s="110"/>
      <c r="CS49" s="107"/>
      <c r="CT49" s="23" t="s">
        <v>45</v>
      </c>
      <c r="CU49" s="20"/>
      <c r="CV49" s="20"/>
      <c r="CW49" s="20"/>
      <c r="CX49" s="20"/>
      <c r="CY49" s="20"/>
      <c r="CZ49" s="20"/>
      <c r="DA49" s="20"/>
      <c r="DB49" s="20">
        <v>41096</v>
      </c>
      <c r="DC49" s="20">
        <v>41096</v>
      </c>
      <c r="DD49" s="20">
        <v>41096</v>
      </c>
      <c r="DE49" s="20">
        <v>41096</v>
      </c>
      <c r="DF49" s="20">
        <v>41096</v>
      </c>
      <c r="DG49" s="20">
        <v>41096</v>
      </c>
      <c r="DH49" s="20">
        <v>41096</v>
      </c>
      <c r="DI49" s="20">
        <v>41096</v>
      </c>
      <c r="DJ49" s="20">
        <v>41096</v>
      </c>
      <c r="DK49" s="20">
        <v>41096</v>
      </c>
      <c r="DL49" s="20"/>
      <c r="DM49" s="20"/>
      <c r="DN49" s="20"/>
      <c r="DO49" s="20"/>
      <c r="DP49" s="20"/>
      <c r="DQ49" s="20"/>
      <c r="DR49" s="20"/>
      <c r="DS49" s="21">
        <f t="shared" si="6"/>
        <v>410960</v>
      </c>
      <c r="DT49" s="49">
        <v>4</v>
      </c>
      <c r="DU49" s="21">
        <f t="shared" si="30"/>
        <v>1643840</v>
      </c>
      <c r="DV49" s="110"/>
      <c r="DY49" s="107"/>
      <c r="DZ49" s="23" t="s">
        <v>45</v>
      </c>
      <c r="EA49" s="20"/>
      <c r="EB49" s="20"/>
      <c r="EC49" s="20"/>
      <c r="ED49" s="20"/>
      <c r="EE49" s="20"/>
      <c r="EF49" s="20"/>
      <c r="EG49" s="20"/>
      <c r="EH49" s="20">
        <v>41096</v>
      </c>
      <c r="EI49" s="20">
        <v>41096</v>
      </c>
      <c r="EJ49" s="20">
        <v>41096</v>
      </c>
      <c r="EK49" s="20">
        <v>41096</v>
      </c>
      <c r="EL49" s="20">
        <v>41096</v>
      </c>
      <c r="EM49" s="20">
        <v>41096</v>
      </c>
      <c r="EN49" s="20">
        <v>41096</v>
      </c>
      <c r="EO49" s="20">
        <v>41096</v>
      </c>
      <c r="EP49" s="20">
        <v>41096</v>
      </c>
      <c r="EQ49" s="20">
        <v>41096</v>
      </c>
      <c r="ER49" s="20"/>
      <c r="ES49" s="20"/>
      <c r="ET49" s="20"/>
      <c r="EU49" s="20"/>
      <c r="EV49" s="20"/>
      <c r="EW49" s="20"/>
      <c r="EX49" s="20"/>
      <c r="EY49" s="21">
        <f t="shared" si="7"/>
        <v>410960</v>
      </c>
      <c r="EZ49" s="49">
        <v>5</v>
      </c>
      <c r="FA49" s="21">
        <f t="shared" si="31"/>
        <v>2054800</v>
      </c>
      <c r="FB49" s="110"/>
      <c r="FD49" s="107"/>
      <c r="FE49" s="23" t="s">
        <v>45</v>
      </c>
      <c r="FF49" s="20"/>
      <c r="FG49" s="20"/>
      <c r="FH49" s="20"/>
      <c r="FI49" s="20"/>
      <c r="FJ49" s="20"/>
      <c r="FK49" s="20"/>
      <c r="FL49" s="20"/>
      <c r="FM49" s="20">
        <v>41096</v>
      </c>
      <c r="FN49" s="20">
        <v>41096</v>
      </c>
      <c r="FO49" s="20">
        <v>41096</v>
      </c>
      <c r="FP49" s="20">
        <v>41096</v>
      </c>
      <c r="FQ49" s="20">
        <v>41096</v>
      </c>
      <c r="FR49" s="20">
        <v>41096</v>
      </c>
      <c r="FS49" s="20">
        <v>41096</v>
      </c>
      <c r="FT49" s="20">
        <v>41096</v>
      </c>
      <c r="FU49" s="20">
        <v>41096</v>
      </c>
      <c r="FV49" s="20">
        <v>41096</v>
      </c>
      <c r="FW49" s="20"/>
      <c r="FX49" s="20"/>
      <c r="FY49" s="20"/>
      <c r="FZ49" s="20"/>
      <c r="GA49" s="20"/>
      <c r="GB49" s="20"/>
      <c r="GC49" s="20"/>
      <c r="GD49" s="21">
        <f t="shared" si="9"/>
        <v>410960</v>
      </c>
      <c r="GE49" s="49">
        <v>4</v>
      </c>
      <c r="GF49" s="21">
        <f t="shared" si="32"/>
        <v>1643840</v>
      </c>
      <c r="GG49" s="110"/>
      <c r="GI49" s="107"/>
      <c r="GJ49" s="23" t="s">
        <v>45</v>
      </c>
      <c r="GK49" s="20"/>
      <c r="GL49" s="20"/>
      <c r="GM49" s="20"/>
      <c r="GN49" s="20"/>
      <c r="GO49" s="20"/>
      <c r="GP49" s="20"/>
      <c r="GQ49" s="20"/>
      <c r="GR49" s="20">
        <v>41096</v>
      </c>
      <c r="GS49" s="20">
        <v>41096</v>
      </c>
      <c r="GT49" s="20">
        <v>41096</v>
      </c>
      <c r="GU49" s="20">
        <v>41096</v>
      </c>
      <c r="GV49" s="20">
        <v>41096</v>
      </c>
      <c r="GW49" s="20">
        <v>41096</v>
      </c>
      <c r="GX49" s="20">
        <v>41096</v>
      </c>
      <c r="GY49" s="20">
        <v>41096</v>
      </c>
      <c r="GZ49" s="20">
        <v>41096</v>
      </c>
      <c r="HA49" s="20">
        <v>41096</v>
      </c>
      <c r="HB49" s="20"/>
      <c r="HC49" s="20"/>
      <c r="HD49" s="20"/>
      <c r="HE49" s="20"/>
      <c r="HF49" s="20"/>
      <c r="HG49" s="20"/>
      <c r="HH49" s="20"/>
      <c r="HI49" s="21">
        <f t="shared" si="11"/>
        <v>410960</v>
      </c>
      <c r="HJ49" s="49">
        <v>4</v>
      </c>
      <c r="HK49" s="21">
        <f t="shared" si="33"/>
        <v>1643840</v>
      </c>
      <c r="HL49" s="110"/>
      <c r="HN49" s="107"/>
      <c r="HO49" s="23" t="s">
        <v>45</v>
      </c>
      <c r="HP49" s="20"/>
      <c r="HQ49" s="20"/>
      <c r="HR49" s="20"/>
      <c r="HS49" s="20"/>
      <c r="HT49" s="20"/>
      <c r="HU49" s="20"/>
      <c r="HV49" s="20"/>
      <c r="HW49" s="20">
        <v>41096</v>
      </c>
      <c r="HX49" s="20">
        <v>41096</v>
      </c>
      <c r="HY49" s="20">
        <v>41096</v>
      </c>
      <c r="HZ49" s="20">
        <v>41096</v>
      </c>
      <c r="IA49" s="20">
        <v>41096</v>
      </c>
      <c r="IB49" s="20">
        <v>41096</v>
      </c>
      <c r="IC49" s="20">
        <v>41096</v>
      </c>
      <c r="ID49" s="20">
        <v>41096</v>
      </c>
      <c r="IE49" s="20">
        <v>41096</v>
      </c>
      <c r="IF49" s="20">
        <v>41096</v>
      </c>
      <c r="IG49" s="20"/>
      <c r="IH49" s="20"/>
      <c r="II49" s="20"/>
      <c r="IJ49" s="20"/>
      <c r="IK49" s="20"/>
      <c r="IL49" s="20"/>
      <c r="IM49" s="20"/>
      <c r="IN49" s="21">
        <f t="shared" si="13"/>
        <v>410960</v>
      </c>
      <c r="IO49" s="49">
        <v>4</v>
      </c>
      <c r="IP49" s="21">
        <f t="shared" si="34"/>
        <v>1643840</v>
      </c>
      <c r="IQ49" s="110"/>
      <c r="IS49" s="107"/>
      <c r="IT49" s="23" t="s">
        <v>45</v>
      </c>
      <c r="IU49" s="20"/>
      <c r="IV49" s="20"/>
      <c r="IW49" s="20"/>
      <c r="IX49" s="20"/>
      <c r="IY49" s="20"/>
      <c r="IZ49" s="20"/>
      <c r="JA49" s="20"/>
      <c r="JB49" s="20">
        <v>41096</v>
      </c>
      <c r="JC49" s="20">
        <v>41096</v>
      </c>
      <c r="JD49" s="20">
        <v>41096</v>
      </c>
      <c r="JE49" s="20">
        <v>41096</v>
      </c>
      <c r="JF49" s="20">
        <v>41096</v>
      </c>
      <c r="JG49" s="20">
        <v>41096</v>
      </c>
      <c r="JH49" s="20">
        <v>41096</v>
      </c>
      <c r="JI49" s="20">
        <v>41096</v>
      </c>
      <c r="JJ49" s="20">
        <v>41096</v>
      </c>
      <c r="JK49" s="20">
        <v>41096</v>
      </c>
      <c r="JL49" s="20"/>
      <c r="JM49" s="20"/>
      <c r="JN49" s="20"/>
      <c r="JO49" s="20"/>
      <c r="JP49" s="20"/>
      <c r="JQ49" s="20"/>
      <c r="JR49" s="20"/>
      <c r="JS49" s="21">
        <f t="shared" si="15"/>
        <v>410960</v>
      </c>
      <c r="JT49" s="49">
        <v>4</v>
      </c>
      <c r="JU49" s="21">
        <f t="shared" si="35"/>
        <v>1643840</v>
      </c>
      <c r="JV49" s="110"/>
      <c r="JX49" s="107"/>
      <c r="JY49" s="23" t="s">
        <v>45</v>
      </c>
      <c r="JZ49" s="20"/>
      <c r="KA49" s="20"/>
      <c r="KB49" s="20"/>
      <c r="KC49" s="20"/>
      <c r="KD49" s="20"/>
      <c r="KE49" s="20"/>
      <c r="KF49" s="20"/>
      <c r="KG49" s="20">
        <v>41096</v>
      </c>
      <c r="KH49" s="20">
        <v>41096</v>
      </c>
      <c r="KI49" s="20">
        <v>41096</v>
      </c>
      <c r="KJ49" s="20">
        <v>41096</v>
      </c>
      <c r="KK49" s="20">
        <v>41096</v>
      </c>
      <c r="KL49" s="20">
        <v>41096</v>
      </c>
      <c r="KM49" s="20">
        <v>41096</v>
      </c>
      <c r="KN49" s="20">
        <v>41096</v>
      </c>
      <c r="KO49" s="20">
        <v>41096</v>
      </c>
      <c r="KP49" s="20">
        <v>41096</v>
      </c>
      <c r="KQ49" s="20"/>
      <c r="KR49" s="20"/>
      <c r="KS49" s="20"/>
      <c r="KT49" s="20"/>
      <c r="KU49" s="20"/>
      <c r="KV49" s="20"/>
      <c r="KW49" s="20"/>
      <c r="KX49" s="21">
        <f t="shared" si="17"/>
        <v>410960</v>
      </c>
      <c r="KY49" s="49">
        <v>5</v>
      </c>
      <c r="KZ49" s="21">
        <f t="shared" si="36"/>
        <v>2054800</v>
      </c>
      <c r="LA49" s="110"/>
      <c r="LC49" s="107"/>
      <c r="LD49" s="23" t="s">
        <v>45</v>
      </c>
      <c r="LE49" s="20"/>
      <c r="LF49" s="20"/>
      <c r="LG49" s="20"/>
      <c r="LH49" s="20"/>
      <c r="LI49" s="20"/>
      <c r="LJ49" s="20"/>
      <c r="LK49" s="20"/>
      <c r="LL49" s="20">
        <v>41096</v>
      </c>
      <c r="LM49" s="20">
        <v>41096</v>
      </c>
      <c r="LN49" s="20">
        <v>41096</v>
      </c>
      <c r="LO49" s="20">
        <v>41096</v>
      </c>
      <c r="LP49" s="20">
        <v>41096</v>
      </c>
      <c r="LQ49" s="20">
        <v>41096</v>
      </c>
      <c r="LR49" s="20">
        <v>41096</v>
      </c>
      <c r="LS49" s="20">
        <v>41096</v>
      </c>
      <c r="LT49" s="20">
        <v>41096</v>
      </c>
      <c r="LU49" s="20">
        <v>41096</v>
      </c>
      <c r="LV49" s="20"/>
      <c r="LW49" s="20"/>
      <c r="LX49" s="20"/>
      <c r="LY49" s="20"/>
      <c r="LZ49" s="20"/>
      <c r="MA49" s="20"/>
      <c r="MB49" s="20"/>
      <c r="MC49" s="21">
        <f t="shared" si="19"/>
        <v>410960</v>
      </c>
      <c r="MD49" s="49">
        <v>4</v>
      </c>
      <c r="ME49" s="21">
        <f t="shared" si="37"/>
        <v>1643840</v>
      </c>
      <c r="MF49" s="110"/>
      <c r="MH49" s="107"/>
      <c r="MI49" s="23" t="s">
        <v>45</v>
      </c>
      <c r="MJ49" s="20"/>
      <c r="MK49" s="20"/>
      <c r="ML49" s="20"/>
      <c r="MM49" s="20"/>
      <c r="MN49" s="20"/>
      <c r="MO49" s="20"/>
      <c r="MP49" s="20"/>
      <c r="MQ49" s="20">
        <v>41096</v>
      </c>
      <c r="MR49" s="20">
        <v>41096</v>
      </c>
      <c r="MS49" s="20">
        <v>41096</v>
      </c>
      <c r="MT49" s="20">
        <v>41096</v>
      </c>
      <c r="MU49" s="20">
        <v>41096</v>
      </c>
      <c r="MV49" s="20">
        <v>41096</v>
      </c>
      <c r="MW49" s="20">
        <v>41096</v>
      </c>
      <c r="MX49" s="20">
        <v>41096</v>
      </c>
      <c r="MY49" s="20">
        <v>41096</v>
      </c>
      <c r="MZ49" s="20">
        <v>41096</v>
      </c>
      <c r="NA49" s="20"/>
      <c r="NB49" s="20"/>
      <c r="NC49" s="20"/>
      <c r="ND49" s="20"/>
      <c r="NE49" s="20"/>
      <c r="NF49" s="20"/>
      <c r="NG49" s="20"/>
      <c r="NH49" s="21">
        <f t="shared" si="21"/>
        <v>410960</v>
      </c>
      <c r="NI49" s="49">
        <v>4</v>
      </c>
      <c r="NJ49" s="21">
        <f t="shared" si="38"/>
        <v>1643840</v>
      </c>
      <c r="NK49" s="110"/>
      <c r="NM49" s="107"/>
      <c r="NN49" s="23" t="s">
        <v>45</v>
      </c>
      <c r="NO49" s="20"/>
      <c r="NP49" s="20"/>
      <c r="NQ49" s="20"/>
      <c r="NR49" s="20"/>
      <c r="NS49" s="20"/>
      <c r="NT49" s="20"/>
      <c r="NU49" s="20"/>
      <c r="NV49" s="20">
        <v>41096</v>
      </c>
      <c r="NW49" s="20">
        <v>41096</v>
      </c>
      <c r="NX49" s="20">
        <v>41096</v>
      </c>
      <c r="NY49" s="20">
        <v>41096</v>
      </c>
      <c r="NZ49" s="20">
        <v>41096</v>
      </c>
      <c r="OA49" s="20">
        <v>41096</v>
      </c>
      <c r="OB49" s="20">
        <v>41096</v>
      </c>
      <c r="OC49" s="20">
        <v>41096</v>
      </c>
      <c r="OD49" s="20">
        <v>41096</v>
      </c>
      <c r="OE49" s="20">
        <v>41096</v>
      </c>
      <c r="OF49" s="20"/>
      <c r="OG49" s="20"/>
      <c r="OH49" s="20"/>
      <c r="OI49" s="20"/>
      <c r="OJ49" s="20"/>
      <c r="OK49" s="20"/>
      <c r="OL49" s="20"/>
      <c r="OM49" s="21">
        <f t="shared" si="23"/>
        <v>410960</v>
      </c>
      <c r="ON49" s="49">
        <v>4</v>
      </c>
      <c r="OO49" s="21">
        <f t="shared" si="39"/>
        <v>1643840</v>
      </c>
      <c r="OP49" s="110"/>
      <c r="OR49" s="107"/>
      <c r="OS49" s="23" t="s">
        <v>45</v>
      </c>
      <c r="OT49" s="20"/>
      <c r="OU49" s="20"/>
      <c r="OV49" s="20"/>
      <c r="OW49" s="20"/>
      <c r="OX49" s="20"/>
      <c r="OY49" s="20"/>
      <c r="OZ49" s="20"/>
      <c r="PA49" s="20">
        <v>41096</v>
      </c>
      <c r="PB49" s="20">
        <v>41096</v>
      </c>
      <c r="PC49" s="20">
        <v>41096</v>
      </c>
      <c r="PD49" s="20">
        <v>41096</v>
      </c>
      <c r="PE49" s="20">
        <v>41096</v>
      </c>
      <c r="PF49" s="20">
        <v>41096</v>
      </c>
      <c r="PG49" s="20">
        <v>41096</v>
      </c>
      <c r="PH49" s="20">
        <v>41096</v>
      </c>
      <c r="PI49" s="20">
        <v>41096</v>
      </c>
      <c r="PJ49" s="20">
        <v>41096</v>
      </c>
      <c r="PK49" s="20"/>
      <c r="PL49" s="20"/>
      <c r="PM49" s="20"/>
      <c r="PN49" s="20"/>
      <c r="PO49" s="20"/>
      <c r="PP49" s="20"/>
      <c r="PQ49" s="20"/>
      <c r="PR49" s="21">
        <f t="shared" si="25"/>
        <v>410960</v>
      </c>
      <c r="PS49" s="62">
        <v>4</v>
      </c>
      <c r="PT49" s="21">
        <f t="shared" si="40"/>
        <v>1643840</v>
      </c>
      <c r="PU49" s="110"/>
    </row>
    <row r="50" spans="3:437" ht="15" thickBot="1" x14ac:dyDescent="0.4">
      <c r="C50" s="108"/>
      <c r="D50" s="24" t="s">
        <v>46</v>
      </c>
      <c r="E50" s="20"/>
      <c r="F50" s="92"/>
      <c r="G50" s="20"/>
      <c r="H50" s="20"/>
      <c r="I50" s="20"/>
      <c r="J50" s="20"/>
      <c r="K50" s="20"/>
      <c r="L50" s="20">
        <v>41096</v>
      </c>
      <c r="M50" s="20">
        <v>41096</v>
      </c>
      <c r="N50" s="20">
        <v>41096</v>
      </c>
      <c r="O50" s="20">
        <v>41096</v>
      </c>
      <c r="P50" s="20">
        <v>41096</v>
      </c>
      <c r="Q50" s="20">
        <v>41096</v>
      </c>
      <c r="R50" s="20">
        <v>41096</v>
      </c>
      <c r="S50" s="20">
        <v>41096</v>
      </c>
      <c r="T50" s="20">
        <v>41096</v>
      </c>
      <c r="U50" s="20">
        <v>41096</v>
      </c>
      <c r="V50" s="20"/>
      <c r="W50" s="20"/>
      <c r="X50" s="20"/>
      <c r="Y50" s="20"/>
      <c r="Z50" s="20"/>
      <c r="AA50" s="20"/>
      <c r="AB50" s="20"/>
      <c r="AC50" s="21">
        <f t="shared" si="0"/>
        <v>410960</v>
      </c>
      <c r="AD50" s="22">
        <v>2</v>
      </c>
      <c r="AE50" s="21">
        <f t="shared" si="27"/>
        <v>821920</v>
      </c>
      <c r="AF50" s="111"/>
      <c r="AH50" s="108"/>
      <c r="AI50" s="24" t="s">
        <v>46</v>
      </c>
      <c r="AJ50" s="20"/>
      <c r="AK50" s="20"/>
      <c r="AL50" s="20"/>
      <c r="AM50" s="20"/>
      <c r="AN50" s="20"/>
      <c r="AO50" s="20"/>
      <c r="AP50" s="20"/>
      <c r="AQ50" s="20">
        <v>41096</v>
      </c>
      <c r="AR50" s="20">
        <v>41096</v>
      </c>
      <c r="AS50" s="20">
        <v>41096</v>
      </c>
      <c r="AT50" s="20">
        <v>41096</v>
      </c>
      <c r="AU50" s="20">
        <v>41096</v>
      </c>
      <c r="AV50" s="20">
        <v>41096</v>
      </c>
      <c r="AW50" s="20">
        <v>41096</v>
      </c>
      <c r="AX50" s="20">
        <v>41096</v>
      </c>
      <c r="AY50" s="20">
        <v>41096</v>
      </c>
      <c r="AZ50" s="20">
        <v>41096</v>
      </c>
      <c r="BA50" s="20"/>
      <c r="BB50" s="20"/>
      <c r="BC50" s="20"/>
      <c r="BD50" s="20"/>
      <c r="BE50" s="20"/>
      <c r="BF50" s="20"/>
      <c r="BG50" s="20"/>
      <c r="BH50" s="21">
        <f t="shared" si="2"/>
        <v>410960</v>
      </c>
      <c r="BI50" s="50">
        <v>2</v>
      </c>
      <c r="BJ50" s="21">
        <f t="shared" si="28"/>
        <v>821920</v>
      </c>
      <c r="BK50" s="111"/>
      <c r="BM50" s="108"/>
      <c r="BN50" s="24" t="s">
        <v>46</v>
      </c>
      <c r="BO50" s="20"/>
      <c r="BP50" s="20"/>
      <c r="BQ50" s="20"/>
      <c r="BR50" s="20"/>
      <c r="BS50" s="20"/>
      <c r="BT50" s="20"/>
      <c r="BU50" s="20"/>
      <c r="BV50" s="20">
        <v>41096</v>
      </c>
      <c r="BW50" s="20">
        <v>41096</v>
      </c>
      <c r="BX50" s="20">
        <v>41096</v>
      </c>
      <c r="BY50" s="20">
        <v>41096</v>
      </c>
      <c r="BZ50" s="20">
        <v>41096</v>
      </c>
      <c r="CA50" s="20">
        <v>41096</v>
      </c>
      <c r="CB50" s="20">
        <v>41096</v>
      </c>
      <c r="CC50" s="20">
        <v>41096</v>
      </c>
      <c r="CD50" s="20">
        <v>41096</v>
      </c>
      <c r="CE50" s="20">
        <v>41096</v>
      </c>
      <c r="CF50" s="20"/>
      <c r="CG50" s="20"/>
      <c r="CH50" s="20"/>
      <c r="CI50" s="20"/>
      <c r="CJ50" s="20"/>
      <c r="CK50" s="20"/>
      <c r="CL50" s="20"/>
      <c r="CM50" s="21">
        <f t="shared" si="4"/>
        <v>410960</v>
      </c>
      <c r="CN50" s="50">
        <v>2</v>
      </c>
      <c r="CO50" s="21">
        <f t="shared" si="29"/>
        <v>821920</v>
      </c>
      <c r="CP50" s="111"/>
      <c r="CS50" s="108"/>
      <c r="CT50" s="24" t="s">
        <v>46</v>
      </c>
      <c r="CU50" s="20"/>
      <c r="CV50" s="20"/>
      <c r="CW50" s="20"/>
      <c r="CX50" s="20"/>
      <c r="CY50" s="20"/>
      <c r="CZ50" s="20"/>
      <c r="DA50" s="20"/>
      <c r="DB50" s="20">
        <v>41096</v>
      </c>
      <c r="DC50" s="20">
        <v>41096</v>
      </c>
      <c r="DD50" s="20">
        <v>41096</v>
      </c>
      <c r="DE50" s="20">
        <v>41096</v>
      </c>
      <c r="DF50" s="20">
        <v>41096</v>
      </c>
      <c r="DG50" s="20">
        <v>41096</v>
      </c>
      <c r="DH50" s="20">
        <v>41096</v>
      </c>
      <c r="DI50" s="20">
        <v>41096</v>
      </c>
      <c r="DJ50" s="20">
        <v>41096</v>
      </c>
      <c r="DK50" s="20">
        <v>41096</v>
      </c>
      <c r="DL50" s="20"/>
      <c r="DM50" s="20"/>
      <c r="DN50" s="20"/>
      <c r="DO50" s="20"/>
      <c r="DP50" s="20"/>
      <c r="DQ50" s="20"/>
      <c r="DR50" s="20"/>
      <c r="DS50" s="21">
        <f t="shared" si="6"/>
        <v>410960</v>
      </c>
      <c r="DT50" s="50">
        <v>2</v>
      </c>
      <c r="DU50" s="21">
        <f t="shared" si="30"/>
        <v>821920</v>
      </c>
      <c r="DV50" s="111"/>
      <c r="DY50" s="108"/>
      <c r="DZ50" s="24" t="s">
        <v>46</v>
      </c>
      <c r="EA50" s="20"/>
      <c r="EB50" s="20"/>
      <c r="EC50" s="20"/>
      <c r="ED50" s="20"/>
      <c r="EE50" s="20"/>
      <c r="EF50" s="20"/>
      <c r="EG50" s="20"/>
      <c r="EH50" s="20">
        <v>41096</v>
      </c>
      <c r="EI50" s="20">
        <v>41096</v>
      </c>
      <c r="EJ50" s="20">
        <v>41096</v>
      </c>
      <c r="EK50" s="20">
        <v>41096</v>
      </c>
      <c r="EL50" s="20">
        <v>41096</v>
      </c>
      <c r="EM50" s="20">
        <v>41096</v>
      </c>
      <c r="EN50" s="20">
        <v>41096</v>
      </c>
      <c r="EO50" s="20">
        <v>41096</v>
      </c>
      <c r="EP50" s="20">
        <v>41096</v>
      </c>
      <c r="EQ50" s="20">
        <v>41096</v>
      </c>
      <c r="ER50" s="20"/>
      <c r="ES50" s="20"/>
      <c r="ET50" s="20"/>
      <c r="EU50" s="20"/>
      <c r="EV50" s="20"/>
      <c r="EW50" s="20"/>
      <c r="EX50" s="20"/>
      <c r="EY50" s="21">
        <f t="shared" si="7"/>
        <v>410960</v>
      </c>
      <c r="EZ50" s="50">
        <v>2</v>
      </c>
      <c r="FA50" s="21">
        <f t="shared" si="31"/>
        <v>821920</v>
      </c>
      <c r="FB50" s="111"/>
      <c r="FD50" s="108"/>
      <c r="FE50" s="24" t="s">
        <v>46</v>
      </c>
      <c r="FF50" s="20"/>
      <c r="FG50" s="20"/>
      <c r="FH50" s="20"/>
      <c r="FI50" s="20"/>
      <c r="FJ50" s="20"/>
      <c r="FK50" s="20"/>
      <c r="FL50" s="20"/>
      <c r="FM50" s="20">
        <v>41096</v>
      </c>
      <c r="FN50" s="20">
        <v>41096</v>
      </c>
      <c r="FO50" s="20">
        <v>41096</v>
      </c>
      <c r="FP50" s="20">
        <v>41096</v>
      </c>
      <c r="FQ50" s="20">
        <v>41096</v>
      </c>
      <c r="FR50" s="20">
        <v>41096</v>
      </c>
      <c r="FS50" s="20">
        <v>41096</v>
      </c>
      <c r="FT50" s="20">
        <v>41096</v>
      </c>
      <c r="FU50" s="20">
        <v>41096</v>
      </c>
      <c r="FV50" s="20">
        <v>41096</v>
      </c>
      <c r="FW50" s="20"/>
      <c r="FX50" s="20"/>
      <c r="FY50" s="20"/>
      <c r="FZ50" s="20"/>
      <c r="GA50" s="20"/>
      <c r="GB50" s="20"/>
      <c r="GC50" s="20"/>
      <c r="GD50" s="21">
        <f t="shared" si="9"/>
        <v>410960</v>
      </c>
      <c r="GE50" s="50">
        <v>2</v>
      </c>
      <c r="GF50" s="21">
        <f t="shared" si="32"/>
        <v>821920</v>
      </c>
      <c r="GG50" s="111"/>
      <c r="GI50" s="108"/>
      <c r="GJ50" s="24" t="s">
        <v>46</v>
      </c>
      <c r="GK50" s="20"/>
      <c r="GL50" s="20"/>
      <c r="GM50" s="20"/>
      <c r="GN50" s="20"/>
      <c r="GO50" s="20"/>
      <c r="GP50" s="20"/>
      <c r="GQ50" s="20"/>
      <c r="GR50" s="20">
        <v>41096</v>
      </c>
      <c r="GS50" s="20">
        <v>41096</v>
      </c>
      <c r="GT50" s="20">
        <v>41096</v>
      </c>
      <c r="GU50" s="20">
        <v>41096</v>
      </c>
      <c r="GV50" s="20">
        <v>41096</v>
      </c>
      <c r="GW50" s="20">
        <v>41096</v>
      </c>
      <c r="GX50" s="20">
        <v>41096</v>
      </c>
      <c r="GY50" s="20">
        <v>41096</v>
      </c>
      <c r="GZ50" s="20">
        <v>41096</v>
      </c>
      <c r="HA50" s="20">
        <v>41096</v>
      </c>
      <c r="HB50" s="20"/>
      <c r="HC50" s="20"/>
      <c r="HD50" s="20"/>
      <c r="HE50" s="20"/>
      <c r="HF50" s="20"/>
      <c r="HG50" s="20"/>
      <c r="HH50" s="20"/>
      <c r="HI50" s="21">
        <f t="shared" si="11"/>
        <v>410960</v>
      </c>
      <c r="HJ50" s="50">
        <v>2</v>
      </c>
      <c r="HK50" s="21">
        <f t="shared" si="33"/>
        <v>821920</v>
      </c>
      <c r="HL50" s="111"/>
      <c r="HN50" s="108"/>
      <c r="HO50" s="24" t="s">
        <v>46</v>
      </c>
      <c r="HP50" s="20"/>
      <c r="HQ50" s="20"/>
      <c r="HR50" s="20"/>
      <c r="HS50" s="20"/>
      <c r="HT50" s="20"/>
      <c r="HU50" s="20"/>
      <c r="HV50" s="20"/>
      <c r="HW50" s="20">
        <v>41096</v>
      </c>
      <c r="HX50" s="20">
        <v>41096</v>
      </c>
      <c r="HY50" s="20">
        <v>41096</v>
      </c>
      <c r="HZ50" s="20">
        <v>41096</v>
      </c>
      <c r="IA50" s="20">
        <v>41096</v>
      </c>
      <c r="IB50" s="20">
        <v>41096</v>
      </c>
      <c r="IC50" s="20">
        <v>41096</v>
      </c>
      <c r="ID50" s="20">
        <v>41096</v>
      </c>
      <c r="IE50" s="20">
        <v>41096</v>
      </c>
      <c r="IF50" s="20">
        <v>41096</v>
      </c>
      <c r="IG50" s="20"/>
      <c r="IH50" s="20"/>
      <c r="II50" s="20"/>
      <c r="IJ50" s="20"/>
      <c r="IK50" s="20"/>
      <c r="IL50" s="20"/>
      <c r="IM50" s="20"/>
      <c r="IN50" s="21">
        <f t="shared" si="13"/>
        <v>410960</v>
      </c>
      <c r="IO50" s="50">
        <v>2</v>
      </c>
      <c r="IP50" s="21">
        <f t="shared" si="34"/>
        <v>821920</v>
      </c>
      <c r="IQ50" s="111"/>
      <c r="IS50" s="108"/>
      <c r="IT50" s="24" t="s">
        <v>46</v>
      </c>
      <c r="IU50" s="20"/>
      <c r="IV50" s="20"/>
      <c r="IW50" s="20"/>
      <c r="IX50" s="20"/>
      <c r="IY50" s="20"/>
      <c r="IZ50" s="20"/>
      <c r="JA50" s="20"/>
      <c r="JB50" s="20">
        <v>41096</v>
      </c>
      <c r="JC50" s="20">
        <v>41096</v>
      </c>
      <c r="JD50" s="20">
        <v>41096</v>
      </c>
      <c r="JE50" s="20">
        <v>41096</v>
      </c>
      <c r="JF50" s="20">
        <v>41096</v>
      </c>
      <c r="JG50" s="20">
        <v>41096</v>
      </c>
      <c r="JH50" s="20">
        <v>41096</v>
      </c>
      <c r="JI50" s="20">
        <v>41096</v>
      </c>
      <c r="JJ50" s="20">
        <v>41096</v>
      </c>
      <c r="JK50" s="20">
        <v>41096</v>
      </c>
      <c r="JL50" s="20"/>
      <c r="JM50" s="20"/>
      <c r="JN50" s="20"/>
      <c r="JO50" s="20"/>
      <c r="JP50" s="20"/>
      <c r="JQ50" s="20"/>
      <c r="JR50" s="20"/>
      <c r="JS50" s="21">
        <f t="shared" si="15"/>
        <v>410960</v>
      </c>
      <c r="JT50" s="50">
        <v>2</v>
      </c>
      <c r="JU50" s="21">
        <f t="shared" si="35"/>
        <v>821920</v>
      </c>
      <c r="JV50" s="111"/>
      <c r="JX50" s="108"/>
      <c r="JY50" s="24" t="s">
        <v>46</v>
      </c>
      <c r="JZ50" s="20"/>
      <c r="KA50" s="20"/>
      <c r="KB50" s="20"/>
      <c r="KC50" s="20"/>
      <c r="KD50" s="20"/>
      <c r="KE50" s="20"/>
      <c r="KF50" s="20"/>
      <c r="KG50" s="20">
        <v>41096</v>
      </c>
      <c r="KH50" s="20">
        <v>41096</v>
      </c>
      <c r="KI50" s="20">
        <v>41096</v>
      </c>
      <c r="KJ50" s="20">
        <v>41096</v>
      </c>
      <c r="KK50" s="20">
        <v>41096</v>
      </c>
      <c r="KL50" s="20">
        <v>41096</v>
      </c>
      <c r="KM50" s="20">
        <v>41096</v>
      </c>
      <c r="KN50" s="20">
        <v>41096</v>
      </c>
      <c r="KO50" s="20">
        <v>41096</v>
      </c>
      <c r="KP50" s="20">
        <v>41096</v>
      </c>
      <c r="KQ50" s="20"/>
      <c r="KR50" s="20"/>
      <c r="KS50" s="20"/>
      <c r="KT50" s="20"/>
      <c r="KU50" s="20"/>
      <c r="KV50" s="20"/>
      <c r="KW50" s="20"/>
      <c r="KX50" s="21">
        <f t="shared" si="17"/>
        <v>410960</v>
      </c>
      <c r="KY50" s="50">
        <v>2</v>
      </c>
      <c r="KZ50" s="21">
        <f t="shared" si="36"/>
        <v>821920</v>
      </c>
      <c r="LA50" s="111"/>
      <c r="LC50" s="108"/>
      <c r="LD50" s="24" t="s">
        <v>46</v>
      </c>
      <c r="LE50" s="20"/>
      <c r="LF50" s="20"/>
      <c r="LG50" s="20"/>
      <c r="LH50" s="20"/>
      <c r="LI50" s="20"/>
      <c r="LJ50" s="20"/>
      <c r="LK50" s="20"/>
      <c r="LL50" s="20">
        <v>41096</v>
      </c>
      <c r="LM50" s="20">
        <v>41096</v>
      </c>
      <c r="LN50" s="20">
        <v>41096</v>
      </c>
      <c r="LO50" s="20">
        <v>41096</v>
      </c>
      <c r="LP50" s="20">
        <v>41096</v>
      </c>
      <c r="LQ50" s="20">
        <v>41096</v>
      </c>
      <c r="LR50" s="20">
        <v>41096</v>
      </c>
      <c r="LS50" s="20">
        <v>41096</v>
      </c>
      <c r="LT50" s="20">
        <v>41096</v>
      </c>
      <c r="LU50" s="20">
        <v>41096</v>
      </c>
      <c r="LV50" s="20"/>
      <c r="LW50" s="20"/>
      <c r="LX50" s="20"/>
      <c r="LY50" s="20"/>
      <c r="LZ50" s="20"/>
      <c r="MA50" s="20"/>
      <c r="MB50" s="20"/>
      <c r="MC50" s="21">
        <f t="shared" si="19"/>
        <v>410960</v>
      </c>
      <c r="MD50" s="50">
        <v>2</v>
      </c>
      <c r="ME50" s="21">
        <f t="shared" si="37"/>
        <v>821920</v>
      </c>
      <c r="MF50" s="111"/>
      <c r="MH50" s="108"/>
      <c r="MI50" s="24" t="s">
        <v>46</v>
      </c>
      <c r="MJ50" s="20"/>
      <c r="MK50" s="20"/>
      <c r="ML50" s="20"/>
      <c r="MM50" s="20"/>
      <c r="MN50" s="20"/>
      <c r="MO50" s="20"/>
      <c r="MP50" s="20"/>
      <c r="MQ50" s="20">
        <v>41096</v>
      </c>
      <c r="MR50" s="20">
        <v>41096</v>
      </c>
      <c r="MS50" s="20">
        <v>41096</v>
      </c>
      <c r="MT50" s="20">
        <v>41096</v>
      </c>
      <c r="MU50" s="20">
        <v>41096</v>
      </c>
      <c r="MV50" s="20">
        <v>41096</v>
      </c>
      <c r="MW50" s="20">
        <v>41096</v>
      </c>
      <c r="MX50" s="20">
        <v>41096</v>
      </c>
      <c r="MY50" s="20">
        <v>41096</v>
      </c>
      <c r="MZ50" s="20">
        <v>41096</v>
      </c>
      <c r="NA50" s="20"/>
      <c r="NB50" s="20"/>
      <c r="NC50" s="20"/>
      <c r="ND50" s="20"/>
      <c r="NE50" s="20"/>
      <c r="NF50" s="20"/>
      <c r="NG50" s="20"/>
      <c r="NH50" s="21">
        <f t="shared" si="21"/>
        <v>410960</v>
      </c>
      <c r="NI50" s="50">
        <v>2</v>
      </c>
      <c r="NJ50" s="21">
        <f t="shared" si="38"/>
        <v>821920</v>
      </c>
      <c r="NK50" s="111"/>
      <c r="NM50" s="108"/>
      <c r="NN50" s="24" t="s">
        <v>46</v>
      </c>
      <c r="NO50" s="20"/>
      <c r="NP50" s="20"/>
      <c r="NQ50" s="20"/>
      <c r="NR50" s="20"/>
      <c r="NS50" s="20"/>
      <c r="NT50" s="20"/>
      <c r="NU50" s="20"/>
      <c r="NV50" s="20">
        <v>41096</v>
      </c>
      <c r="NW50" s="20">
        <v>41096</v>
      </c>
      <c r="NX50" s="20">
        <v>41096</v>
      </c>
      <c r="NY50" s="20">
        <v>41096</v>
      </c>
      <c r="NZ50" s="20">
        <v>41096</v>
      </c>
      <c r="OA50" s="20">
        <v>41096</v>
      </c>
      <c r="OB50" s="20">
        <v>41096</v>
      </c>
      <c r="OC50" s="20">
        <v>41096</v>
      </c>
      <c r="OD50" s="20">
        <v>41096</v>
      </c>
      <c r="OE50" s="20">
        <v>41096</v>
      </c>
      <c r="OF50" s="20"/>
      <c r="OG50" s="20"/>
      <c r="OH50" s="20"/>
      <c r="OI50" s="20"/>
      <c r="OJ50" s="20"/>
      <c r="OK50" s="20"/>
      <c r="OL50" s="20"/>
      <c r="OM50" s="21">
        <f t="shared" si="23"/>
        <v>410960</v>
      </c>
      <c r="ON50" s="50">
        <v>2</v>
      </c>
      <c r="OO50" s="21">
        <f t="shared" si="39"/>
        <v>821920</v>
      </c>
      <c r="OP50" s="111"/>
      <c r="OR50" s="108"/>
      <c r="OS50" s="24" t="s">
        <v>46</v>
      </c>
      <c r="OT50" s="20"/>
      <c r="OU50" s="20"/>
      <c r="OV50" s="20"/>
      <c r="OW50" s="20"/>
      <c r="OX50" s="20"/>
      <c r="OY50" s="20"/>
      <c r="OZ50" s="20"/>
      <c r="PA50" s="20">
        <v>41096</v>
      </c>
      <c r="PB50" s="20">
        <v>41096</v>
      </c>
      <c r="PC50" s="20">
        <v>41096</v>
      </c>
      <c r="PD50" s="20">
        <v>41096</v>
      </c>
      <c r="PE50" s="20">
        <v>41096</v>
      </c>
      <c r="PF50" s="20">
        <v>41096</v>
      </c>
      <c r="PG50" s="20">
        <v>41096</v>
      </c>
      <c r="PH50" s="20">
        <v>41096</v>
      </c>
      <c r="PI50" s="20">
        <v>41096</v>
      </c>
      <c r="PJ50" s="20">
        <v>41096</v>
      </c>
      <c r="PK50" s="20"/>
      <c r="PL50" s="20"/>
      <c r="PM50" s="20"/>
      <c r="PN50" s="20"/>
      <c r="PO50" s="20"/>
      <c r="PP50" s="20"/>
      <c r="PQ50" s="20"/>
      <c r="PR50" s="21">
        <f t="shared" si="25"/>
        <v>410960</v>
      </c>
      <c r="PS50" s="64">
        <v>2</v>
      </c>
      <c r="PT50" s="21">
        <f t="shared" si="40"/>
        <v>821920</v>
      </c>
      <c r="PU50" s="111"/>
    </row>
    <row r="51" spans="3:437" x14ac:dyDescent="0.35">
      <c r="C51" s="106">
        <v>46722</v>
      </c>
      <c r="D51" s="19" t="s">
        <v>43</v>
      </c>
      <c r="E51" s="20"/>
      <c r="F51" s="92"/>
      <c r="G51" s="20"/>
      <c r="H51" s="20"/>
      <c r="I51" s="20"/>
      <c r="J51" s="20"/>
      <c r="K51" s="20"/>
      <c r="L51" s="20">
        <v>41096</v>
      </c>
      <c r="M51" s="20">
        <v>41096</v>
      </c>
      <c r="N51" s="20">
        <v>41096</v>
      </c>
      <c r="O51" s="20">
        <v>41096</v>
      </c>
      <c r="P51" s="20">
        <v>41096</v>
      </c>
      <c r="Q51" s="20">
        <v>41096</v>
      </c>
      <c r="R51" s="20">
        <v>41096</v>
      </c>
      <c r="S51" s="20">
        <v>41096</v>
      </c>
      <c r="T51" s="20">
        <v>41096</v>
      </c>
      <c r="U51" s="20">
        <v>41096</v>
      </c>
      <c r="V51" s="20"/>
      <c r="W51" s="20"/>
      <c r="X51" s="20"/>
      <c r="Y51" s="20"/>
      <c r="Z51" s="20"/>
      <c r="AA51" s="20"/>
      <c r="AB51" s="20"/>
      <c r="AC51" s="21">
        <f t="shared" si="0"/>
        <v>410960</v>
      </c>
      <c r="AD51" s="22">
        <v>22</v>
      </c>
      <c r="AE51" s="21">
        <f t="shared" si="27"/>
        <v>9041120</v>
      </c>
      <c r="AF51" s="109">
        <f>+SUM(AE51:AE54)</f>
        <v>12739760</v>
      </c>
      <c r="AH51" s="106">
        <v>47088</v>
      </c>
      <c r="AI51" s="19" t="s">
        <v>43</v>
      </c>
      <c r="AJ51" s="20"/>
      <c r="AK51" s="20"/>
      <c r="AL51" s="20"/>
      <c r="AM51" s="20"/>
      <c r="AN51" s="20"/>
      <c r="AO51" s="20"/>
      <c r="AP51" s="20"/>
      <c r="AQ51" s="20">
        <v>41096</v>
      </c>
      <c r="AR51" s="20">
        <v>41096</v>
      </c>
      <c r="AS51" s="20">
        <v>41096</v>
      </c>
      <c r="AT51" s="20">
        <v>41096</v>
      </c>
      <c r="AU51" s="20">
        <v>41096</v>
      </c>
      <c r="AV51" s="20">
        <v>41096</v>
      </c>
      <c r="AW51" s="20">
        <v>41096</v>
      </c>
      <c r="AX51" s="20">
        <v>41096</v>
      </c>
      <c r="AY51" s="20">
        <v>41096</v>
      </c>
      <c r="AZ51" s="20">
        <v>41096</v>
      </c>
      <c r="BA51" s="20"/>
      <c r="BB51" s="20"/>
      <c r="BC51" s="20"/>
      <c r="BD51" s="20"/>
      <c r="BE51" s="20"/>
      <c r="BF51" s="20"/>
      <c r="BG51" s="20"/>
      <c r="BH51" s="21">
        <f t="shared" si="2"/>
        <v>410960</v>
      </c>
      <c r="BI51" s="48">
        <v>19</v>
      </c>
      <c r="BJ51" s="21">
        <f t="shared" si="28"/>
        <v>7808240</v>
      </c>
      <c r="BK51" s="109">
        <f>+SUM(BJ51:BJ54)</f>
        <v>12739760</v>
      </c>
      <c r="BM51" s="106">
        <v>47453</v>
      </c>
      <c r="BN51" s="19" t="s">
        <v>43</v>
      </c>
      <c r="BO51" s="20"/>
      <c r="BP51" s="20"/>
      <c r="BQ51" s="20"/>
      <c r="BR51" s="20"/>
      <c r="BS51" s="20"/>
      <c r="BT51" s="20"/>
      <c r="BU51" s="20"/>
      <c r="BV51" s="20">
        <v>41096</v>
      </c>
      <c r="BW51" s="20">
        <v>41096</v>
      </c>
      <c r="BX51" s="20">
        <v>41096</v>
      </c>
      <c r="BY51" s="20">
        <v>41096</v>
      </c>
      <c r="BZ51" s="20">
        <v>41096</v>
      </c>
      <c r="CA51" s="20">
        <v>41096</v>
      </c>
      <c r="CB51" s="20">
        <v>41096</v>
      </c>
      <c r="CC51" s="20">
        <v>41096</v>
      </c>
      <c r="CD51" s="20">
        <v>41096</v>
      </c>
      <c r="CE51" s="20">
        <v>41096</v>
      </c>
      <c r="CF51" s="20"/>
      <c r="CG51" s="20"/>
      <c r="CH51" s="20"/>
      <c r="CI51" s="20"/>
      <c r="CJ51" s="20"/>
      <c r="CK51" s="20"/>
      <c r="CL51" s="20"/>
      <c r="CM51" s="21">
        <f t="shared" si="4"/>
        <v>410960</v>
      </c>
      <c r="CN51" s="48">
        <v>20</v>
      </c>
      <c r="CO51" s="21">
        <f t="shared" si="29"/>
        <v>8219200</v>
      </c>
      <c r="CP51" s="109">
        <f>+SUM(CO51:CO54)</f>
        <v>12739760</v>
      </c>
      <c r="CS51" s="106">
        <v>47818</v>
      </c>
      <c r="CT51" s="19" t="s">
        <v>43</v>
      </c>
      <c r="CU51" s="20"/>
      <c r="CV51" s="20"/>
      <c r="CW51" s="20"/>
      <c r="CX51" s="20"/>
      <c r="CY51" s="20"/>
      <c r="CZ51" s="20"/>
      <c r="DA51" s="20"/>
      <c r="DB51" s="20">
        <v>41096</v>
      </c>
      <c r="DC51" s="20">
        <v>41096</v>
      </c>
      <c r="DD51" s="20">
        <v>41096</v>
      </c>
      <c r="DE51" s="20">
        <v>41096</v>
      </c>
      <c r="DF51" s="20">
        <v>41096</v>
      </c>
      <c r="DG51" s="20">
        <v>41096</v>
      </c>
      <c r="DH51" s="20">
        <v>41096</v>
      </c>
      <c r="DI51" s="20">
        <v>41096</v>
      </c>
      <c r="DJ51" s="20">
        <v>41096</v>
      </c>
      <c r="DK51" s="20">
        <v>41096</v>
      </c>
      <c r="DL51" s="20"/>
      <c r="DM51" s="20"/>
      <c r="DN51" s="20"/>
      <c r="DO51" s="20"/>
      <c r="DP51" s="20"/>
      <c r="DQ51" s="20"/>
      <c r="DR51" s="20"/>
      <c r="DS51" s="21">
        <f t="shared" si="6"/>
        <v>410960</v>
      </c>
      <c r="DT51" s="48">
        <v>21</v>
      </c>
      <c r="DU51" s="21">
        <f t="shared" si="30"/>
        <v>8630160</v>
      </c>
      <c r="DV51" s="109">
        <f>+SUM(DU51:DU54)</f>
        <v>12739760</v>
      </c>
      <c r="DY51" s="106">
        <v>48183</v>
      </c>
      <c r="DZ51" s="19" t="s">
        <v>43</v>
      </c>
      <c r="EA51" s="20"/>
      <c r="EB51" s="20"/>
      <c r="EC51" s="20"/>
      <c r="ED51" s="20"/>
      <c r="EE51" s="20"/>
      <c r="EF51" s="20"/>
      <c r="EG51" s="20"/>
      <c r="EH51" s="20">
        <v>41096</v>
      </c>
      <c r="EI51" s="20">
        <v>41096</v>
      </c>
      <c r="EJ51" s="20">
        <v>41096</v>
      </c>
      <c r="EK51" s="20">
        <v>41096</v>
      </c>
      <c r="EL51" s="20">
        <v>41096</v>
      </c>
      <c r="EM51" s="20">
        <v>41096</v>
      </c>
      <c r="EN51" s="20">
        <v>41096</v>
      </c>
      <c r="EO51" s="20">
        <v>41096</v>
      </c>
      <c r="EP51" s="20">
        <v>41096</v>
      </c>
      <c r="EQ51" s="20">
        <v>41096</v>
      </c>
      <c r="ER51" s="20"/>
      <c r="ES51" s="20"/>
      <c r="ET51" s="20"/>
      <c r="EU51" s="20"/>
      <c r="EV51" s="20"/>
      <c r="EW51" s="20"/>
      <c r="EX51" s="20"/>
      <c r="EY51" s="21">
        <f t="shared" si="7"/>
        <v>410960</v>
      </c>
      <c r="EZ51" s="48">
        <v>21</v>
      </c>
      <c r="FA51" s="21">
        <f t="shared" si="31"/>
        <v>8630160</v>
      </c>
      <c r="FB51" s="109">
        <f>+SUM(FA51:FA54)</f>
        <v>12739760</v>
      </c>
      <c r="FD51" s="106">
        <v>48549</v>
      </c>
      <c r="FE51" s="19" t="s">
        <v>43</v>
      </c>
      <c r="FF51" s="20"/>
      <c r="FG51" s="20"/>
      <c r="FH51" s="20"/>
      <c r="FI51" s="20"/>
      <c r="FJ51" s="20"/>
      <c r="FK51" s="20"/>
      <c r="FL51" s="20"/>
      <c r="FM51" s="20">
        <v>41096</v>
      </c>
      <c r="FN51" s="20">
        <v>41096</v>
      </c>
      <c r="FO51" s="20">
        <v>41096</v>
      </c>
      <c r="FP51" s="20">
        <v>41096</v>
      </c>
      <c r="FQ51" s="20">
        <v>41096</v>
      </c>
      <c r="FR51" s="20">
        <v>41096</v>
      </c>
      <c r="FS51" s="20">
        <v>41096</v>
      </c>
      <c r="FT51" s="20">
        <v>41096</v>
      </c>
      <c r="FU51" s="20">
        <v>41096</v>
      </c>
      <c r="FV51" s="20">
        <v>41096</v>
      </c>
      <c r="FW51" s="20"/>
      <c r="FX51" s="20"/>
      <c r="FY51" s="20"/>
      <c r="FZ51" s="20"/>
      <c r="GA51" s="20"/>
      <c r="GB51" s="20"/>
      <c r="GC51" s="20"/>
      <c r="GD51" s="21">
        <f t="shared" si="9"/>
        <v>410960</v>
      </c>
      <c r="GE51" s="48">
        <v>22</v>
      </c>
      <c r="GF51" s="21">
        <f t="shared" si="32"/>
        <v>9041120</v>
      </c>
      <c r="GG51" s="109">
        <f>+SUM(GF51:GF54)</f>
        <v>12739760</v>
      </c>
      <c r="GI51" s="106">
        <v>48914</v>
      </c>
      <c r="GJ51" s="19" t="s">
        <v>43</v>
      </c>
      <c r="GK51" s="20"/>
      <c r="GL51" s="20"/>
      <c r="GM51" s="20"/>
      <c r="GN51" s="20"/>
      <c r="GO51" s="20"/>
      <c r="GP51" s="20"/>
      <c r="GQ51" s="20"/>
      <c r="GR51" s="20">
        <v>41096</v>
      </c>
      <c r="GS51" s="20">
        <v>41096</v>
      </c>
      <c r="GT51" s="20">
        <v>41096</v>
      </c>
      <c r="GU51" s="20">
        <v>41096</v>
      </c>
      <c r="GV51" s="20">
        <v>41096</v>
      </c>
      <c r="GW51" s="20">
        <v>41096</v>
      </c>
      <c r="GX51" s="20">
        <v>41096</v>
      </c>
      <c r="GY51" s="20">
        <v>41096</v>
      </c>
      <c r="GZ51" s="20">
        <v>41096</v>
      </c>
      <c r="HA51" s="20">
        <v>41096</v>
      </c>
      <c r="HB51" s="20"/>
      <c r="HC51" s="20"/>
      <c r="HD51" s="20"/>
      <c r="HE51" s="20"/>
      <c r="HF51" s="20"/>
      <c r="HG51" s="20"/>
      <c r="HH51" s="20"/>
      <c r="HI51" s="21">
        <f t="shared" si="11"/>
        <v>410960</v>
      </c>
      <c r="HJ51" s="48">
        <v>21</v>
      </c>
      <c r="HK51" s="21">
        <f t="shared" si="33"/>
        <v>8630160</v>
      </c>
      <c r="HL51" s="109">
        <f>+SUM(HK51:HK54)</f>
        <v>12739760</v>
      </c>
      <c r="HN51" s="106">
        <v>49279</v>
      </c>
      <c r="HO51" s="19" t="s">
        <v>43</v>
      </c>
      <c r="HP51" s="20"/>
      <c r="HQ51" s="20"/>
      <c r="HR51" s="20"/>
      <c r="HS51" s="20"/>
      <c r="HT51" s="20"/>
      <c r="HU51" s="20"/>
      <c r="HV51" s="20"/>
      <c r="HW51" s="20">
        <v>41096</v>
      </c>
      <c r="HX51" s="20">
        <v>41096</v>
      </c>
      <c r="HY51" s="20">
        <v>41096</v>
      </c>
      <c r="HZ51" s="20">
        <v>41096</v>
      </c>
      <c r="IA51" s="20">
        <v>41096</v>
      </c>
      <c r="IB51" s="20">
        <v>41096</v>
      </c>
      <c r="IC51" s="20">
        <v>41096</v>
      </c>
      <c r="ID51" s="20">
        <v>41096</v>
      </c>
      <c r="IE51" s="20">
        <v>41096</v>
      </c>
      <c r="IF51" s="20">
        <v>41096</v>
      </c>
      <c r="IG51" s="20"/>
      <c r="IH51" s="20"/>
      <c r="II51" s="20"/>
      <c r="IJ51" s="20"/>
      <c r="IK51" s="20"/>
      <c r="IL51" s="20"/>
      <c r="IM51" s="20"/>
      <c r="IN51" s="21">
        <f t="shared" si="13"/>
        <v>410960</v>
      </c>
      <c r="IO51" s="48">
        <v>19</v>
      </c>
      <c r="IP51" s="21">
        <f t="shared" si="34"/>
        <v>7808240</v>
      </c>
      <c r="IQ51" s="109">
        <f>+SUM(IP51:IP54)</f>
        <v>12739760</v>
      </c>
      <c r="IS51" s="106">
        <v>49644</v>
      </c>
      <c r="IT51" s="19" t="s">
        <v>43</v>
      </c>
      <c r="IU51" s="20"/>
      <c r="IV51" s="20"/>
      <c r="IW51" s="20"/>
      <c r="IX51" s="20"/>
      <c r="IY51" s="20"/>
      <c r="IZ51" s="20"/>
      <c r="JA51" s="20"/>
      <c r="JB51" s="20">
        <v>41096</v>
      </c>
      <c r="JC51" s="20">
        <v>41096</v>
      </c>
      <c r="JD51" s="20">
        <v>41096</v>
      </c>
      <c r="JE51" s="20">
        <v>41096</v>
      </c>
      <c r="JF51" s="20">
        <v>41096</v>
      </c>
      <c r="JG51" s="20">
        <v>41096</v>
      </c>
      <c r="JH51" s="20">
        <v>41096</v>
      </c>
      <c r="JI51" s="20">
        <v>41096</v>
      </c>
      <c r="JJ51" s="20">
        <v>41096</v>
      </c>
      <c r="JK51" s="20">
        <v>41096</v>
      </c>
      <c r="JL51" s="20"/>
      <c r="JM51" s="20"/>
      <c r="JN51" s="20"/>
      <c r="JO51" s="20"/>
      <c r="JP51" s="20"/>
      <c r="JQ51" s="20"/>
      <c r="JR51" s="20"/>
      <c r="JS51" s="21">
        <f t="shared" si="15"/>
        <v>410960</v>
      </c>
      <c r="JT51" s="48">
        <v>20</v>
      </c>
      <c r="JU51" s="21">
        <f t="shared" si="35"/>
        <v>8219200</v>
      </c>
      <c r="JV51" s="109">
        <f>+SUM(JU51:JU54)</f>
        <v>12739760</v>
      </c>
      <c r="JX51" s="106">
        <v>50010</v>
      </c>
      <c r="JY51" s="19" t="s">
        <v>43</v>
      </c>
      <c r="JZ51" s="20"/>
      <c r="KA51" s="20"/>
      <c r="KB51" s="20"/>
      <c r="KC51" s="20"/>
      <c r="KD51" s="20"/>
      <c r="KE51" s="20"/>
      <c r="KF51" s="20"/>
      <c r="KG51" s="20">
        <v>41096</v>
      </c>
      <c r="KH51" s="20">
        <v>41096</v>
      </c>
      <c r="KI51" s="20">
        <v>41096</v>
      </c>
      <c r="KJ51" s="20">
        <v>41096</v>
      </c>
      <c r="KK51" s="20">
        <v>41096</v>
      </c>
      <c r="KL51" s="20">
        <v>41096</v>
      </c>
      <c r="KM51" s="20">
        <v>41096</v>
      </c>
      <c r="KN51" s="20">
        <v>41096</v>
      </c>
      <c r="KO51" s="20">
        <v>41096</v>
      </c>
      <c r="KP51" s="20">
        <v>41096</v>
      </c>
      <c r="KQ51" s="20"/>
      <c r="KR51" s="20"/>
      <c r="KS51" s="20"/>
      <c r="KT51" s="20"/>
      <c r="KU51" s="20"/>
      <c r="KV51" s="20"/>
      <c r="KW51" s="20"/>
      <c r="KX51" s="21">
        <f t="shared" si="17"/>
        <v>410960</v>
      </c>
      <c r="KY51" s="48">
        <v>21</v>
      </c>
      <c r="KZ51" s="21">
        <f t="shared" si="36"/>
        <v>8630160</v>
      </c>
      <c r="LA51" s="109">
        <f>+SUM(KZ51:KZ54)</f>
        <v>12739760</v>
      </c>
      <c r="LC51" s="106">
        <v>50375</v>
      </c>
      <c r="LD51" s="19" t="s">
        <v>43</v>
      </c>
      <c r="LE51" s="20"/>
      <c r="LF51" s="20"/>
      <c r="LG51" s="20"/>
      <c r="LH51" s="20"/>
      <c r="LI51" s="20"/>
      <c r="LJ51" s="20"/>
      <c r="LK51" s="20"/>
      <c r="LL51" s="20">
        <v>41096</v>
      </c>
      <c r="LM51" s="20">
        <v>41096</v>
      </c>
      <c r="LN51" s="20">
        <v>41096</v>
      </c>
      <c r="LO51" s="20">
        <v>41096</v>
      </c>
      <c r="LP51" s="20">
        <v>41096</v>
      </c>
      <c r="LQ51" s="20">
        <v>41096</v>
      </c>
      <c r="LR51" s="20">
        <v>41096</v>
      </c>
      <c r="LS51" s="20">
        <v>41096</v>
      </c>
      <c r="LT51" s="20">
        <v>41096</v>
      </c>
      <c r="LU51" s="20">
        <v>41096</v>
      </c>
      <c r="LV51" s="20"/>
      <c r="LW51" s="20"/>
      <c r="LX51" s="20"/>
      <c r="LY51" s="20"/>
      <c r="LZ51" s="20"/>
      <c r="MA51" s="20"/>
      <c r="MB51" s="20"/>
      <c r="MC51" s="21">
        <f t="shared" si="19"/>
        <v>410960</v>
      </c>
      <c r="MD51" s="48">
        <v>21</v>
      </c>
      <c r="ME51" s="21">
        <f t="shared" si="37"/>
        <v>8630160</v>
      </c>
      <c r="MF51" s="109">
        <f>+SUM(ME51:ME54)</f>
        <v>12739760</v>
      </c>
      <c r="MH51" s="106">
        <v>50740</v>
      </c>
      <c r="MI51" s="19" t="s">
        <v>43</v>
      </c>
      <c r="MJ51" s="20"/>
      <c r="MK51" s="20"/>
      <c r="ML51" s="20"/>
      <c r="MM51" s="20"/>
      <c r="MN51" s="20"/>
      <c r="MO51" s="20"/>
      <c r="MP51" s="20"/>
      <c r="MQ51" s="20">
        <v>41096</v>
      </c>
      <c r="MR51" s="20">
        <v>41096</v>
      </c>
      <c r="MS51" s="20">
        <v>41096</v>
      </c>
      <c r="MT51" s="20">
        <v>41096</v>
      </c>
      <c r="MU51" s="20">
        <v>41096</v>
      </c>
      <c r="MV51" s="20">
        <v>41096</v>
      </c>
      <c r="MW51" s="20">
        <v>41096</v>
      </c>
      <c r="MX51" s="20">
        <v>41096</v>
      </c>
      <c r="MY51" s="20">
        <v>41096</v>
      </c>
      <c r="MZ51" s="20">
        <v>41096</v>
      </c>
      <c r="NA51" s="20"/>
      <c r="NB51" s="20"/>
      <c r="NC51" s="20"/>
      <c r="ND51" s="20"/>
      <c r="NE51" s="20"/>
      <c r="NF51" s="20"/>
      <c r="NG51" s="20"/>
      <c r="NH51" s="21">
        <f t="shared" si="21"/>
        <v>410960</v>
      </c>
      <c r="NI51" s="48">
        <v>22</v>
      </c>
      <c r="NJ51" s="21">
        <f t="shared" si="38"/>
        <v>9041120</v>
      </c>
      <c r="NK51" s="109">
        <f>+SUM(NJ51:NJ54)</f>
        <v>12739760</v>
      </c>
      <c r="NM51" s="106">
        <v>51105</v>
      </c>
      <c r="NN51" s="19" t="s">
        <v>43</v>
      </c>
      <c r="NO51" s="20"/>
      <c r="NP51" s="20"/>
      <c r="NQ51" s="20"/>
      <c r="NR51" s="20"/>
      <c r="NS51" s="20"/>
      <c r="NT51" s="20"/>
      <c r="NU51" s="20"/>
      <c r="NV51" s="20">
        <v>41096</v>
      </c>
      <c r="NW51" s="20">
        <v>41096</v>
      </c>
      <c r="NX51" s="20">
        <v>41096</v>
      </c>
      <c r="NY51" s="20">
        <v>41096</v>
      </c>
      <c r="NZ51" s="20">
        <v>41096</v>
      </c>
      <c r="OA51" s="20">
        <v>41096</v>
      </c>
      <c r="OB51" s="20">
        <v>41096</v>
      </c>
      <c r="OC51" s="20">
        <v>41096</v>
      </c>
      <c r="OD51" s="20">
        <v>41096</v>
      </c>
      <c r="OE51" s="20">
        <v>41096</v>
      </c>
      <c r="OF51" s="20"/>
      <c r="OG51" s="20"/>
      <c r="OH51" s="20"/>
      <c r="OI51" s="20"/>
      <c r="OJ51" s="20"/>
      <c r="OK51" s="20"/>
      <c r="OL51" s="20"/>
      <c r="OM51" s="21">
        <f t="shared" si="23"/>
        <v>410960</v>
      </c>
      <c r="ON51" s="48">
        <v>21</v>
      </c>
      <c r="OO51" s="21">
        <f t="shared" si="39"/>
        <v>8630160</v>
      </c>
      <c r="OP51" s="109">
        <f>+SUM(OO51:OO54)</f>
        <v>12739760</v>
      </c>
      <c r="OR51" s="106">
        <v>51471</v>
      </c>
      <c r="OS51" s="19" t="s">
        <v>43</v>
      </c>
      <c r="OT51" s="20"/>
      <c r="OU51" s="20"/>
      <c r="OV51" s="20"/>
      <c r="OW51" s="20"/>
      <c r="OX51" s="20"/>
      <c r="OY51" s="20"/>
      <c r="OZ51" s="20"/>
      <c r="PA51" s="20">
        <v>41096</v>
      </c>
      <c r="PB51" s="20">
        <v>41096</v>
      </c>
      <c r="PC51" s="20">
        <v>41096</v>
      </c>
      <c r="PD51" s="20">
        <v>41096</v>
      </c>
      <c r="PE51" s="20">
        <v>41096</v>
      </c>
      <c r="PF51" s="20">
        <v>41096</v>
      </c>
      <c r="PG51" s="20">
        <v>41096</v>
      </c>
      <c r="PH51" s="20">
        <v>41096</v>
      </c>
      <c r="PI51" s="20">
        <v>41096</v>
      </c>
      <c r="PJ51" s="20">
        <v>41096</v>
      </c>
      <c r="PK51" s="20"/>
      <c r="PL51" s="20"/>
      <c r="PM51" s="20"/>
      <c r="PN51" s="20"/>
      <c r="PO51" s="20"/>
      <c r="PP51" s="20"/>
      <c r="PQ51" s="20"/>
      <c r="PR51" s="21">
        <f t="shared" si="25"/>
        <v>410960</v>
      </c>
      <c r="PS51" s="63">
        <v>20</v>
      </c>
      <c r="PT51" s="21">
        <f t="shared" si="40"/>
        <v>8219200</v>
      </c>
      <c r="PU51" s="109">
        <f>+SUM(PT51:PT54)</f>
        <v>12739760</v>
      </c>
    </row>
    <row r="52" spans="3:437" x14ac:dyDescent="0.35">
      <c r="C52" s="107"/>
      <c r="D52" s="23" t="s">
        <v>44</v>
      </c>
      <c r="E52" s="20"/>
      <c r="F52" s="92"/>
      <c r="G52" s="20"/>
      <c r="H52" s="20"/>
      <c r="I52" s="20"/>
      <c r="J52" s="20"/>
      <c r="K52" s="20"/>
      <c r="L52" s="20">
        <v>41096</v>
      </c>
      <c r="M52" s="20">
        <v>41096</v>
      </c>
      <c r="N52" s="20">
        <v>41096</v>
      </c>
      <c r="O52" s="20">
        <v>41096</v>
      </c>
      <c r="P52" s="20">
        <v>41096</v>
      </c>
      <c r="Q52" s="20">
        <v>41096</v>
      </c>
      <c r="R52" s="20">
        <v>41096</v>
      </c>
      <c r="S52" s="20">
        <v>41096</v>
      </c>
      <c r="T52" s="20">
        <v>41096</v>
      </c>
      <c r="U52" s="20">
        <v>41096</v>
      </c>
      <c r="V52" s="20"/>
      <c r="W52" s="20"/>
      <c r="X52" s="20"/>
      <c r="Y52" s="20"/>
      <c r="Z52" s="20"/>
      <c r="AA52" s="20"/>
      <c r="AB52" s="20"/>
      <c r="AC52" s="21">
        <f t="shared" si="0"/>
        <v>410960</v>
      </c>
      <c r="AD52" s="22">
        <v>3</v>
      </c>
      <c r="AE52" s="21">
        <f t="shared" si="27"/>
        <v>1232880</v>
      </c>
      <c r="AF52" s="110"/>
      <c r="AH52" s="107"/>
      <c r="AI52" s="23" t="s">
        <v>44</v>
      </c>
      <c r="AJ52" s="20"/>
      <c r="AK52" s="20"/>
      <c r="AL52" s="20"/>
      <c r="AM52" s="20"/>
      <c r="AN52" s="20"/>
      <c r="AO52" s="20"/>
      <c r="AP52" s="20"/>
      <c r="AQ52" s="20">
        <v>41096</v>
      </c>
      <c r="AR52" s="20">
        <v>41096</v>
      </c>
      <c r="AS52" s="20">
        <v>41096</v>
      </c>
      <c r="AT52" s="20">
        <v>41096</v>
      </c>
      <c r="AU52" s="20">
        <v>41096</v>
      </c>
      <c r="AV52" s="20">
        <v>41096</v>
      </c>
      <c r="AW52" s="20">
        <v>41096</v>
      </c>
      <c r="AX52" s="20">
        <v>41096</v>
      </c>
      <c r="AY52" s="20">
        <v>41096</v>
      </c>
      <c r="AZ52" s="20">
        <v>41096</v>
      </c>
      <c r="BA52" s="20"/>
      <c r="BB52" s="20"/>
      <c r="BC52" s="20"/>
      <c r="BD52" s="20"/>
      <c r="BE52" s="20"/>
      <c r="BF52" s="20"/>
      <c r="BG52" s="20"/>
      <c r="BH52" s="21">
        <f t="shared" si="2"/>
        <v>410960</v>
      </c>
      <c r="BI52" s="49">
        <v>5</v>
      </c>
      <c r="BJ52" s="21">
        <f t="shared" si="28"/>
        <v>2054800</v>
      </c>
      <c r="BK52" s="110"/>
      <c r="BM52" s="107"/>
      <c r="BN52" s="23" t="s">
        <v>44</v>
      </c>
      <c r="BO52" s="20"/>
      <c r="BP52" s="20"/>
      <c r="BQ52" s="20"/>
      <c r="BR52" s="20"/>
      <c r="BS52" s="20"/>
      <c r="BT52" s="20"/>
      <c r="BU52" s="20"/>
      <c r="BV52" s="20">
        <v>41096</v>
      </c>
      <c r="BW52" s="20">
        <v>41096</v>
      </c>
      <c r="BX52" s="20">
        <v>41096</v>
      </c>
      <c r="BY52" s="20">
        <v>41096</v>
      </c>
      <c r="BZ52" s="20">
        <v>41096</v>
      </c>
      <c r="CA52" s="20">
        <v>41096</v>
      </c>
      <c r="CB52" s="20">
        <v>41096</v>
      </c>
      <c r="CC52" s="20">
        <v>41096</v>
      </c>
      <c r="CD52" s="20">
        <v>41096</v>
      </c>
      <c r="CE52" s="20">
        <v>41096</v>
      </c>
      <c r="CF52" s="20"/>
      <c r="CG52" s="20"/>
      <c r="CH52" s="20"/>
      <c r="CI52" s="20"/>
      <c r="CJ52" s="20"/>
      <c r="CK52" s="20"/>
      <c r="CL52" s="20"/>
      <c r="CM52" s="21">
        <f t="shared" si="4"/>
        <v>410960</v>
      </c>
      <c r="CN52" s="49">
        <v>4</v>
      </c>
      <c r="CO52" s="21">
        <f t="shared" si="29"/>
        <v>1643840</v>
      </c>
      <c r="CP52" s="110"/>
      <c r="CS52" s="107"/>
      <c r="CT52" s="23" t="s">
        <v>44</v>
      </c>
      <c r="CU52" s="20"/>
      <c r="CV52" s="20"/>
      <c r="CW52" s="20"/>
      <c r="CX52" s="20"/>
      <c r="CY52" s="20"/>
      <c r="CZ52" s="20"/>
      <c r="DA52" s="20"/>
      <c r="DB52" s="20">
        <v>41096</v>
      </c>
      <c r="DC52" s="20">
        <v>41096</v>
      </c>
      <c r="DD52" s="20">
        <v>41096</v>
      </c>
      <c r="DE52" s="20">
        <v>41096</v>
      </c>
      <c r="DF52" s="20">
        <v>41096</v>
      </c>
      <c r="DG52" s="20">
        <v>41096</v>
      </c>
      <c r="DH52" s="20">
        <v>41096</v>
      </c>
      <c r="DI52" s="20">
        <v>41096</v>
      </c>
      <c r="DJ52" s="20">
        <v>41096</v>
      </c>
      <c r="DK52" s="20">
        <v>41096</v>
      </c>
      <c r="DL52" s="20"/>
      <c r="DM52" s="20"/>
      <c r="DN52" s="20"/>
      <c r="DO52" s="20"/>
      <c r="DP52" s="20"/>
      <c r="DQ52" s="20"/>
      <c r="DR52" s="20"/>
      <c r="DS52" s="21">
        <f t="shared" si="6"/>
        <v>410960</v>
      </c>
      <c r="DT52" s="49">
        <v>4</v>
      </c>
      <c r="DU52" s="21">
        <f t="shared" si="30"/>
        <v>1643840</v>
      </c>
      <c r="DV52" s="110"/>
      <c r="DY52" s="107"/>
      <c r="DZ52" s="23" t="s">
        <v>44</v>
      </c>
      <c r="EA52" s="20"/>
      <c r="EB52" s="20"/>
      <c r="EC52" s="20"/>
      <c r="ED52" s="20"/>
      <c r="EE52" s="20"/>
      <c r="EF52" s="20"/>
      <c r="EG52" s="20"/>
      <c r="EH52" s="20">
        <v>41096</v>
      </c>
      <c r="EI52" s="20">
        <v>41096</v>
      </c>
      <c r="EJ52" s="20">
        <v>41096</v>
      </c>
      <c r="EK52" s="20">
        <v>41096</v>
      </c>
      <c r="EL52" s="20">
        <v>41096</v>
      </c>
      <c r="EM52" s="20">
        <v>41096</v>
      </c>
      <c r="EN52" s="20">
        <v>41096</v>
      </c>
      <c r="EO52" s="20">
        <v>41096</v>
      </c>
      <c r="EP52" s="20">
        <v>41096</v>
      </c>
      <c r="EQ52" s="20">
        <v>41096</v>
      </c>
      <c r="ER52" s="20"/>
      <c r="ES52" s="20"/>
      <c r="ET52" s="20"/>
      <c r="EU52" s="20"/>
      <c r="EV52" s="20"/>
      <c r="EW52" s="20"/>
      <c r="EX52" s="20"/>
      <c r="EY52" s="21">
        <f t="shared" si="7"/>
        <v>410960</v>
      </c>
      <c r="EZ52" s="49">
        <v>4</v>
      </c>
      <c r="FA52" s="21">
        <f t="shared" si="31"/>
        <v>1643840</v>
      </c>
      <c r="FB52" s="110"/>
      <c r="FD52" s="107"/>
      <c r="FE52" s="23" t="s">
        <v>44</v>
      </c>
      <c r="FF52" s="20"/>
      <c r="FG52" s="20"/>
      <c r="FH52" s="20"/>
      <c r="FI52" s="20"/>
      <c r="FJ52" s="20"/>
      <c r="FK52" s="20"/>
      <c r="FL52" s="20"/>
      <c r="FM52" s="20">
        <v>41096</v>
      </c>
      <c r="FN52" s="20">
        <v>41096</v>
      </c>
      <c r="FO52" s="20">
        <v>41096</v>
      </c>
      <c r="FP52" s="20">
        <v>41096</v>
      </c>
      <c r="FQ52" s="20">
        <v>41096</v>
      </c>
      <c r="FR52" s="20">
        <v>41096</v>
      </c>
      <c r="FS52" s="20">
        <v>41096</v>
      </c>
      <c r="FT52" s="20">
        <v>41096</v>
      </c>
      <c r="FU52" s="20">
        <v>41096</v>
      </c>
      <c r="FV52" s="20">
        <v>41096</v>
      </c>
      <c r="FW52" s="20"/>
      <c r="FX52" s="20"/>
      <c r="FY52" s="20"/>
      <c r="FZ52" s="20"/>
      <c r="GA52" s="20"/>
      <c r="GB52" s="20"/>
      <c r="GC52" s="20"/>
      <c r="GD52" s="21">
        <f t="shared" si="9"/>
        <v>410960</v>
      </c>
      <c r="GE52" s="49">
        <v>3</v>
      </c>
      <c r="GF52" s="21">
        <f t="shared" si="32"/>
        <v>1232880</v>
      </c>
      <c r="GG52" s="110"/>
      <c r="GI52" s="107"/>
      <c r="GJ52" s="23" t="s">
        <v>44</v>
      </c>
      <c r="GK52" s="20"/>
      <c r="GL52" s="20"/>
      <c r="GM52" s="20"/>
      <c r="GN52" s="20"/>
      <c r="GO52" s="20"/>
      <c r="GP52" s="20"/>
      <c r="GQ52" s="20"/>
      <c r="GR52" s="20">
        <v>41096</v>
      </c>
      <c r="GS52" s="20">
        <v>41096</v>
      </c>
      <c r="GT52" s="20">
        <v>41096</v>
      </c>
      <c r="GU52" s="20">
        <v>41096</v>
      </c>
      <c r="GV52" s="20">
        <v>41096</v>
      </c>
      <c r="GW52" s="20">
        <v>41096</v>
      </c>
      <c r="GX52" s="20">
        <v>41096</v>
      </c>
      <c r="GY52" s="20">
        <v>41096</v>
      </c>
      <c r="GZ52" s="20">
        <v>41096</v>
      </c>
      <c r="HA52" s="20">
        <v>41096</v>
      </c>
      <c r="HB52" s="20"/>
      <c r="HC52" s="20"/>
      <c r="HD52" s="20"/>
      <c r="HE52" s="20"/>
      <c r="HF52" s="20"/>
      <c r="HG52" s="20"/>
      <c r="HH52" s="20"/>
      <c r="HI52" s="21">
        <f t="shared" si="11"/>
        <v>410960</v>
      </c>
      <c r="HJ52" s="49">
        <v>5</v>
      </c>
      <c r="HK52" s="21">
        <f t="shared" si="33"/>
        <v>2054800</v>
      </c>
      <c r="HL52" s="110"/>
      <c r="HN52" s="107"/>
      <c r="HO52" s="23" t="s">
        <v>44</v>
      </c>
      <c r="HP52" s="20"/>
      <c r="HQ52" s="20"/>
      <c r="HR52" s="20"/>
      <c r="HS52" s="20"/>
      <c r="HT52" s="20"/>
      <c r="HU52" s="20"/>
      <c r="HV52" s="20"/>
      <c r="HW52" s="20">
        <v>41096</v>
      </c>
      <c r="HX52" s="20">
        <v>41096</v>
      </c>
      <c r="HY52" s="20">
        <v>41096</v>
      </c>
      <c r="HZ52" s="20">
        <v>41096</v>
      </c>
      <c r="IA52" s="20">
        <v>41096</v>
      </c>
      <c r="IB52" s="20">
        <v>41096</v>
      </c>
      <c r="IC52" s="20">
        <v>41096</v>
      </c>
      <c r="ID52" s="20">
        <v>41096</v>
      </c>
      <c r="IE52" s="20">
        <v>41096</v>
      </c>
      <c r="IF52" s="20">
        <v>41096</v>
      </c>
      <c r="IG52" s="20"/>
      <c r="IH52" s="20"/>
      <c r="II52" s="20"/>
      <c r="IJ52" s="20"/>
      <c r="IK52" s="20"/>
      <c r="IL52" s="20"/>
      <c r="IM52" s="20"/>
      <c r="IN52" s="21">
        <f t="shared" si="13"/>
        <v>410960</v>
      </c>
      <c r="IO52" s="49">
        <v>5</v>
      </c>
      <c r="IP52" s="21">
        <f t="shared" si="34"/>
        <v>2054800</v>
      </c>
      <c r="IQ52" s="110"/>
      <c r="IS52" s="107"/>
      <c r="IT52" s="23" t="s">
        <v>44</v>
      </c>
      <c r="IU52" s="20"/>
      <c r="IV52" s="20"/>
      <c r="IW52" s="20"/>
      <c r="IX52" s="20"/>
      <c r="IY52" s="20"/>
      <c r="IZ52" s="20"/>
      <c r="JA52" s="20"/>
      <c r="JB52" s="20">
        <v>41096</v>
      </c>
      <c r="JC52" s="20">
        <v>41096</v>
      </c>
      <c r="JD52" s="20">
        <v>41096</v>
      </c>
      <c r="JE52" s="20">
        <v>41096</v>
      </c>
      <c r="JF52" s="20">
        <v>41096</v>
      </c>
      <c r="JG52" s="20">
        <v>41096</v>
      </c>
      <c r="JH52" s="20">
        <v>41096</v>
      </c>
      <c r="JI52" s="20">
        <v>41096</v>
      </c>
      <c r="JJ52" s="20">
        <v>41096</v>
      </c>
      <c r="JK52" s="20">
        <v>41096</v>
      </c>
      <c r="JL52" s="20"/>
      <c r="JM52" s="20"/>
      <c r="JN52" s="20"/>
      <c r="JO52" s="20"/>
      <c r="JP52" s="20"/>
      <c r="JQ52" s="20"/>
      <c r="JR52" s="20"/>
      <c r="JS52" s="21">
        <f t="shared" si="15"/>
        <v>410960</v>
      </c>
      <c r="JT52" s="49">
        <v>4</v>
      </c>
      <c r="JU52" s="21">
        <f t="shared" si="35"/>
        <v>1643840</v>
      </c>
      <c r="JV52" s="110"/>
      <c r="JX52" s="107"/>
      <c r="JY52" s="23" t="s">
        <v>44</v>
      </c>
      <c r="JZ52" s="20"/>
      <c r="KA52" s="20"/>
      <c r="KB52" s="20"/>
      <c r="KC52" s="20"/>
      <c r="KD52" s="20"/>
      <c r="KE52" s="20"/>
      <c r="KF52" s="20"/>
      <c r="KG52" s="20">
        <v>41096</v>
      </c>
      <c r="KH52" s="20">
        <v>41096</v>
      </c>
      <c r="KI52" s="20">
        <v>41096</v>
      </c>
      <c r="KJ52" s="20">
        <v>41096</v>
      </c>
      <c r="KK52" s="20">
        <v>41096</v>
      </c>
      <c r="KL52" s="20">
        <v>41096</v>
      </c>
      <c r="KM52" s="20">
        <v>41096</v>
      </c>
      <c r="KN52" s="20">
        <v>41096</v>
      </c>
      <c r="KO52" s="20">
        <v>41096</v>
      </c>
      <c r="KP52" s="20">
        <v>41096</v>
      </c>
      <c r="KQ52" s="20"/>
      <c r="KR52" s="20"/>
      <c r="KS52" s="20"/>
      <c r="KT52" s="20"/>
      <c r="KU52" s="20"/>
      <c r="KV52" s="20"/>
      <c r="KW52" s="20"/>
      <c r="KX52" s="21">
        <f t="shared" si="17"/>
        <v>410960</v>
      </c>
      <c r="KY52" s="49">
        <v>4</v>
      </c>
      <c r="KZ52" s="21">
        <f t="shared" si="36"/>
        <v>1643840</v>
      </c>
      <c r="LA52" s="110"/>
      <c r="LC52" s="107"/>
      <c r="LD52" s="23" t="s">
        <v>44</v>
      </c>
      <c r="LE52" s="20"/>
      <c r="LF52" s="20"/>
      <c r="LG52" s="20"/>
      <c r="LH52" s="20"/>
      <c r="LI52" s="20"/>
      <c r="LJ52" s="20"/>
      <c r="LK52" s="20"/>
      <c r="LL52" s="20">
        <v>41096</v>
      </c>
      <c r="LM52" s="20">
        <v>41096</v>
      </c>
      <c r="LN52" s="20">
        <v>41096</v>
      </c>
      <c r="LO52" s="20">
        <v>41096</v>
      </c>
      <c r="LP52" s="20">
        <v>41096</v>
      </c>
      <c r="LQ52" s="20">
        <v>41096</v>
      </c>
      <c r="LR52" s="20">
        <v>41096</v>
      </c>
      <c r="LS52" s="20">
        <v>41096</v>
      </c>
      <c r="LT52" s="20">
        <v>41096</v>
      </c>
      <c r="LU52" s="20">
        <v>41096</v>
      </c>
      <c r="LV52" s="20"/>
      <c r="LW52" s="20"/>
      <c r="LX52" s="20"/>
      <c r="LY52" s="20"/>
      <c r="LZ52" s="20"/>
      <c r="MA52" s="20"/>
      <c r="MB52" s="20"/>
      <c r="MC52" s="21">
        <f t="shared" si="19"/>
        <v>410960</v>
      </c>
      <c r="MD52" s="49">
        <v>4</v>
      </c>
      <c r="ME52" s="21">
        <f t="shared" si="37"/>
        <v>1643840</v>
      </c>
      <c r="MF52" s="110"/>
      <c r="MH52" s="107"/>
      <c r="MI52" s="23" t="s">
        <v>44</v>
      </c>
      <c r="MJ52" s="20"/>
      <c r="MK52" s="20"/>
      <c r="ML52" s="20"/>
      <c r="MM52" s="20"/>
      <c r="MN52" s="20"/>
      <c r="MO52" s="20"/>
      <c r="MP52" s="20"/>
      <c r="MQ52" s="20">
        <v>41096</v>
      </c>
      <c r="MR52" s="20">
        <v>41096</v>
      </c>
      <c r="MS52" s="20">
        <v>41096</v>
      </c>
      <c r="MT52" s="20">
        <v>41096</v>
      </c>
      <c r="MU52" s="20">
        <v>41096</v>
      </c>
      <c r="MV52" s="20">
        <v>41096</v>
      </c>
      <c r="MW52" s="20">
        <v>41096</v>
      </c>
      <c r="MX52" s="20">
        <v>41096</v>
      </c>
      <c r="MY52" s="20">
        <v>41096</v>
      </c>
      <c r="MZ52" s="20">
        <v>41096</v>
      </c>
      <c r="NA52" s="20"/>
      <c r="NB52" s="20"/>
      <c r="NC52" s="20"/>
      <c r="ND52" s="20"/>
      <c r="NE52" s="20"/>
      <c r="NF52" s="20"/>
      <c r="NG52" s="20"/>
      <c r="NH52" s="21">
        <f t="shared" si="21"/>
        <v>410960</v>
      </c>
      <c r="NI52" s="49">
        <v>3</v>
      </c>
      <c r="NJ52" s="21">
        <f t="shared" si="38"/>
        <v>1232880</v>
      </c>
      <c r="NK52" s="110"/>
      <c r="NM52" s="107"/>
      <c r="NN52" s="23" t="s">
        <v>44</v>
      </c>
      <c r="NO52" s="20"/>
      <c r="NP52" s="20"/>
      <c r="NQ52" s="20"/>
      <c r="NR52" s="20"/>
      <c r="NS52" s="20"/>
      <c r="NT52" s="20"/>
      <c r="NU52" s="20"/>
      <c r="NV52" s="20">
        <v>41096</v>
      </c>
      <c r="NW52" s="20">
        <v>41096</v>
      </c>
      <c r="NX52" s="20">
        <v>41096</v>
      </c>
      <c r="NY52" s="20">
        <v>41096</v>
      </c>
      <c r="NZ52" s="20">
        <v>41096</v>
      </c>
      <c r="OA52" s="20">
        <v>41096</v>
      </c>
      <c r="OB52" s="20">
        <v>41096</v>
      </c>
      <c r="OC52" s="20">
        <v>41096</v>
      </c>
      <c r="OD52" s="20">
        <v>41096</v>
      </c>
      <c r="OE52" s="20">
        <v>41096</v>
      </c>
      <c r="OF52" s="20"/>
      <c r="OG52" s="20"/>
      <c r="OH52" s="20"/>
      <c r="OI52" s="20"/>
      <c r="OJ52" s="20"/>
      <c r="OK52" s="20"/>
      <c r="OL52" s="20"/>
      <c r="OM52" s="21">
        <f t="shared" si="23"/>
        <v>410960</v>
      </c>
      <c r="ON52" s="49">
        <v>5</v>
      </c>
      <c r="OO52" s="21">
        <f t="shared" si="39"/>
        <v>2054800</v>
      </c>
      <c r="OP52" s="110"/>
      <c r="OR52" s="107"/>
      <c r="OS52" s="23" t="s">
        <v>44</v>
      </c>
      <c r="OT52" s="20"/>
      <c r="OU52" s="20"/>
      <c r="OV52" s="20"/>
      <c r="OW52" s="20"/>
      <c r="OX52" s="20"/>
      <c r="OY52" s="20"/>
      <c r="OZ52" s="20"/>
      <c r="PA52" s="20">
        <v>41096</v>
      </c>
      <c r="PB52" s="20">
        <v>41096</v>
      </c>
      <c r="PC52" s="20">
        <v>41096</v>
      </c>
      <c r="PD52" s="20">
        <v>41096</v>
      </c>
      <c r="PE52" s="20">
        <v>41096</v>
      </c>
      <c r="PF52" s="20">
        <v>41096</v>
      </c>
      <c r="PG52" s="20">
        <v>41096</v>
      </c>
      <c r="PH52" s="20">
        <v>41096</v>
      </c>
      <c r="PI52" s="20">
        <v>41096</v>
      </c>
      <c r="PJ52" s="20">
        <v>41096</v>
      </c>
      <c r="PK52" s="20"/>
      <c r="PL52" s="20"/>
      <c r="PM52" s="20"/>
      <c r="PN52" s="20"/>
      <c r="PO52" s="20"/>
      <c r="PP52" s="20"/>
      <c r="PQ52" s="20"/>
      <c r="PR52" s="21">
        <f t="shared" si="25"/>
        <v>410960</v>
      </c>
      <c r="PS52" s="62">
        <v>4</v>
      </c>
      <c r="PT52" s="21">
        <f t="shared" si="40"/>
        <v>1643840</v>
      </c>
      <c r="PU52" s="110"/>
    </row>
    <row r="53" spans="3:437" x14ac:dyDescent="0.35">
      <c r="C53" s="107"/>
      <c r="D53" s="23" t="s">
        <v>45</v>
      </c>
      <c r="E53" s="20"/>
      <c r="F53" s="92"/>
      <c r="G53" s="20"/>
      <c r="H53" s="20"/>
      <c r="I53" s="20"/>
      <c r="J53" s="20"/>
      <c r="K53" s="20"/>
      <c r="L53" s="20">
        <v>41096</v>
      </c>
      <c r="M53" s="20">
        <v>41096</v>
      </c>
      <c r="N53" s="20">
        <v>41096</v>
      </c>
      <c r="O53" s="20">
        <v>41096</v>
      </c>
      <c r="P53" s="20">
        <v>41096</v>
      </c>
      <c r="Q53" s="20">
        <v>41096</v>
      </c>
      <c r="R53" s="20">
        <v>41096</v>
      </c>
      <c r="S53" s="20">
        <v>41096</v>
      </c>
      <c r="T53" s="20">
        <v>41096</v>
      </c>
      <c r="U53" s="20">
        <v>41096</v>
      </c>
      <c r="V53" s="20"/>
      <c r="W53" s="20"/>
      <c r="X53" s="20"/>
      <c r="Y53" s="20"/>
      <c r="Z53" s="20"/>
      <c r="AA53" s="20"/>
      <c r="AB53" s="20"/>
      <c r="AC53" s="21">
        <f t="shared" si="0"/>
        <v>410960</v>
      </c>
      <c r="AD53" s="22">
        <v>4</v>
      </c>
      <c r="AE53" s="21">
        <f t="shared" si="27"/>
        <v>1643840</v>
      </c>
      <c r="AF53" s="110"/>
      <c r="AH53" s="107"/>
      <c r="AI53" s="23" t="s">
        <v>45</v>
      </c>
      <c r="AJ53" s="20"/>
      <c r="AK53" s="20"/>
      <c r="AL53" s="20"/>
      <c r="AM53" s="20"/>
      <c r="AN53" s="20"/>
      <c r="AO53" s="20"/>
      <c r="AP53" s="20"/>
      <c r="AQ53" s="20">
        <v>41096</v>
      </c>
      <c r="AR53" s="20">
        <v>41096</v>
      </c>
      <c r="AS53" s="20">
        <v>41096</v>
      </c>
      <c r="AT53" s="20">
        <v>41096</v>
      </c>
      <c r="AU53" s="20">
        <v>41096</v>
      </c>
      <c r="AV53" s="20">
        <v>41096</v>
      </c>
      <c r="AW53" s="20">
        <v>41096</v>
      </c>
      <c r="AX53" s="20">
        <v>41096</v>
      </c>
      <c r="AY53" s="20">
        <v>41096</v>
      </c>
      <c r="AZ53" s="20">
        <v>41096</v>
      </c>
      <c r="BA53" s="20"/>
      <c r="BB53" s="20"/>
      <c r="BC53" s="20"/>
      <c r="BD53" s="20"/>
      <c r="BE53" s="20"/>
      <c r="BF53" s="20"/>
      <c r="BG53" s="20"/>
      <c r="BH53" s="21">
        <f t="shared" si="2"/>
        <v>410960</v>
      </c>
      <c r="BI53" s="49">
        <v>5</v>
      </c>
      <c r="BJ53" s="21">
        <f t="shared" si="28"/>
        <v>2054800</v>
      </c>
      <c r="BK53" s="110"/>
      <c r="BM53" s="107"/>
      <c r="BN53" s="23" t="s">
        <v>45</v>
      </c>
      <c r="BO53" s="20"/>
      <c r="BP53" s="20"/>
      <c r="BQ53" s="20"/>
      <c r="BR53" s="20"/>
      <c r="BS53" s="20"/>
      <c r="BT53" s="20"/>
      <c r="BU53" s="20"/>
      <c r="BV53" s="20">
        <v>41096</v>
      </c>
      <c r="BW53" s="20">
        <v>41096</v>
      </c>
      <c r="BX53" s="20">
        <v>41096</v>
      </c>
      <c r="BY53" s="20">
        <v>41096</v>
      </c>
      <c r="BZ53" s="20">
        <v>41096</v>
      </c>
      <c r="CA53" s="20">
        <v>41096</v>
      </c>
      <c r="CB53" s="20">
        <v>41096</v>
      </c>
      <c r="CC53" s="20">
        <v>41096</v>
      </c>
      <c r="CD53" s="20">
        <v>41096</v>
      </c>
      <c r="CE53" s="20">
        <v>41096</v>
      </c>
      <c r="CF53" s="20"/>
      <c r="CG53" s="20"/>
      <c r="CH53" s="20"/>
      <c r="CI53" s="20"/>
      <c r="CJ53" s="20"/>
      <c r="CK53" s="20"/>
      <c r="CL53" s="20"/>
      <c r="CM53" s="21">
        <f t="shared" si="4"/>
        <v>410960</v>
      </c>
      <c r="CN53" s="49">
        <v>5</v>
      </c>
      <c r="CO53" s="21">
        <f t="shared" si="29"/>
        <v>2054800</v>
      </c>
      <c r="CP53" s="110"/>
      <c r="CS53" s="107"/>
      <c r="CT53" s="23" t="s">
        <v>45</v>
      </c>
      <c r="CU53" s="20"/>
      <c r="CV53" s="20"/>
      <c r="CW53" s="20"/>
      <c r="CX53" s="20"/>
      <c r="CY53" s="20"/>
      <c r="CZ53" s="20"/>
      <c r="DA53" s="20"/>
      <c r="DB53" s="20">
        <v>41096</v>
      </c>
      <c r="DC53" s="20">
        <v>41096</v>
      </c>
      <c r="DD53" s="20">
        <v>41096</v>
      </c>
      <c r="DE53" s="20">
        <v>41096</v>
      </c>
      <c r="DF53" s="20">
        <v>41096</v>
      </c>
      <c r="DG53" s="20">
        <v>41096</v>
      </c>
      <c r="DH53" s="20">
        <v>41096</v>
      </c>
      <c r="DI53" s="20">
        <v>41096</v>
      </c>
      <c r="DJ53" s="20">
        <v>41096</v>
      </c>
      <c r="DK53" s="20">
        <v>41096</v>
      </c>
      <c r="DL53" s="20"/>
      <c r="DM53" s="20"/>
      <c r="DN53" s="20"/>
      <c r="DO53" s="20"/>
      <c r="DP53" s="20"/>
      <c r="DQ53" s="20"/>
      <c r="DR53" s="20"/>
      <c r="DS53" s="21">
        <f t="shared" si="6"/>
        <v>410960</v>
      </c>
      <c r="DT53" s="49">
        <v>4</v>
      </c>
      <c r="DU53" s="21">
        <f t="shared" si="30"/>
        <v>1643840</v>
      </c>
      <c r="DV53" s="110"/>
      <c r="DY53" s="107"/>
      <c r="DZ53" s="23" t="s">
        <v>45</v>
      </c>
      <c r="EA53" s="20"/>
      <c r="EB53" s="20"/>
      <c r="EC53" s="20"/>
      <c r="ED53" s="20"/>
      <c r="EE53" s="20"/>
      <c r="EF53" s="20"/>
      <c r="EG53" s="20"/>
      <c r="EH53" s="20">
        <v>41096</v>
      </c>
      <c r="EI53" s="20">
        <v>41096</v>
      </c>
      <c r="EJ53" s="20">
        <v>41096</v>
      </c>
      <c r="EK53" s="20">
        <v>41096</v>
      </c>
      <c r="EL53" s="20">
        <v>41096</v>
      </c>
      <c r="EM53" s="20">
        <v>41096</v>
      </c>
      <c r="EN53" s="20">
        <v>41096</v>
      </c>
      <c r="EO53" s="20">
        <v>41096</v>
      </c>
      <c r="EP53" s="20">
        <v>41096</v>
      </c>
      <c r="EQ53" s="20">
        <v>41096</v>
      </c>
      <c r="ER53" s="20"/>
      <c r="ES53" s="20"/>
      <c r="ET53" s="20"/>
      <c r="EU53" s="20"/>
      <c r="EV53" s="20"/>
      <c r="EW53" s="20"/>
      <c r="EX53" s="20"/>
      <c r="EY53" s="21">
        <f t="shared" si="7"/>
        <v>410960</v>
      </c>
      <c r="EZ53" s="49">
        <v>4</v>
      </c>
      <c r="FA53" s="21">
        <f t="shared" si="31"/>
        <v>1643840</v>
      </c>
      <c r="FB53" s="110"/>
      <c r="FD53" s="107"/>
      <c r="FE53" s="23" t="s">
        <v>45</v>
      </c>
      <c r="FF53" s="20"/>
      <c r="FG53" s="20"/>
      <c r="FH53" s="20"/>
      <c r="FI53" s="20"/>
      <c r="FJ53" s="20"/>
      <c r="FK53" s="20"/>
      <c r="FL53" s="20"/>
      <c r="FM53" s="20">
        <v>41096</v>
      </c>
      <c r="FN53" s="20">
        <v>41096</v>
      </c>
      <c r="FO53" s="20">
        <v>41096</v>
      </c>
      <c r="FP53" s="20">
        <v>41096</v>
      </c>
      <c r="FQ53" s="20">
        <v>41096</v>
      </c>
      <c r="FR53" s="20">
        <v>41096</v>
      </c>
      <c r="FS53" s="20">
        <v>41096</v>
      </c>
      <c r="FT53" s="20">
        <v>41096</v>
      </c>
      <c r="FU53" s="20">
        <v>41096</v>
      </c>
      <c r="FV53" s="20">
        <v>41096</v>
      </c>
      <c r="FW53" s="20"/>
      <c r="FX53" s="20"/>
      <c r="FY53" s="20"/>
      <c r="FZ53" s="20"/>
      <c r="GA53" s="20"/>
      <c r="GB53" s="20"/>
      <c r="GC53" s="20"/>
      <c r="GD53" s="21">
        <f t="shared" si="9"/>
        <v>410960</v>
      </c>
      <c r="GE53" s="49">
        <v>4</v>
      </c>
      <c r="GF53" s="21">
        <f t="shared" si="32"/>
        <v>1643840</v>
      </c>
      <c r="GG53" s="110"/>
      <c r="GI53" s="107"/>
      <c r="GJ53" s="23" t="s">
        <v>45</v>
      </c>
      <c r="GK53" s="20"/>
      <c r="GL53" s="20"/>
      <c r="GM53" s="20"/>
      <c r="GN53" s="20"/>
      <c r="GO53" s="20"/>
      <c r="GP53" s="20"/>
      <c r="GQ53" s="20"/>
      <c r="GR53" s="20">
        <v>41096</v>
      </c>
      <c r="GS53" s="20">
        <v>41096</v>
      </c>
      <c r="GT53" s="20">
        <v>41096</v>
      </c>
      <c r="GU53" s="20">
        <v>41096</v>
      </c>
      <c r="GV53" s="20">
        <v>41096</v>
      </c>
      <c r="GW53" s="20">
        <v>41096</v>
      </c>
      <c r="GX53" s="20">
        <v>41096</v>
      </c>
      <c r="GY53" s="20">
        <v>41096</v>
      </c>
      <c r="GZ53" s="20">
        <v>41096</v>
      </c>
      <c r="HA53" s="20">
        <v>41096</v>
      </c>
      <c r="HB53" s="20"/>
      <c r="HC53" s="20"/>
      <c r="HD53" s="20"/>
      <c r="HE53" s="20"/>
      <c r="HF53" s="20"/>
      <c r="HG53" s="20"/>
      <c r="HH53" s="20"/>
      <c r="HI53" s="21">
        <f t="shared" si="11"/>
        <v>410960</v>
      </c>
      <c r="HJ53" s="49">
        <v>3</v>
      </c>
      <c r="HK53" s="21">
        <f t="shared" si="33"/>
        <v>1232880</v>
      </c>
      <c r="HL53" s="110"/>
      <c r="HN53" s="107"/>
      <c r="HO53" s="23" t="s">
        <v>45</v>
      </c>
      <c r="HP53" s="20"/>
      <c r="HQ53" s="20"/>
      <c r="HR53" s="20"/>
      <c r="HS53" s="20"/>
      <c r="HT53" s="20"/>
      <c r="HU53" s="20"/>
      <c r="HV53" s="20"/>
      <c r="HW53" s="20">
        <v>41096</v>
      </c>
      <c r="HX53" s="20">
        <v>41096</v>
      </c>
      <c r="HY53" s="20">
        <v>41096</v>
      </c>
      <c r="HZ53" s="20">
        <v>41096</v>
      </c>
      <c r="IA53" s="20">
        <v>41096</v>
      </c>
      <c r="IB53" s="20">
        <v>41096</v>
      </c>
      <c r="IC53" s="20">
        <v>41096</v>
      </c>
      <c r="ID53" s="20">
        <v>41096</v>
      </c>
      <c r="IE53" s="20">
        <v>41096</v>
      </c>
      <c r="IF53" s="20">
        <v>41096</v>
      </c>
      <c r="IG53" s="20"/>
      <c r="IH53" s="20"/>
      <c r="II53" s="20"/>
      <c r="IJ53" s="20"/>
      <c r="IK53" s="20"/>
      <c r="IL53" s="20"/>
      <c r="IM53" s="20"/>
      <c r="IN53" s="21">
        <f t="shared" si="13"/>
        <v>410960</v>
      </c>
      <c r="IO53" s="49">
        <v>5</v>
      </c>
      <c r="IP53" s="21">
        <f t="shared" si="34"/>
        <v>2054800</v>
      </c>
      <c r="IQ53" s="110"/>
      <c r="IS53" s="107"/>
      <c r="IT53" s="23" t="s">
        <v>45</v>
      </c>
      <c r="IU53" s="20"/>
      <c r="IV53" s="20"/>
      <c r="IW53" s="20"/>
      <c r="IX53" s="20"/>
      <c r="IY53" s="20"/>
      <c r="IZ53" s="20"/>
      <c r="JA53" s="20"/>
      <c r="JB53" s="20">
        <v>41096</v>
      </c>
      <c r="JC53" s="20">
        <v>41096</v>
      </c>
      <c r="JD53" s="20">
        <v>41096</v>
      </c>
      <c r="JE53" s="20">
        <v>41096</v>
      </c>
      <c r="JF53" s="20">
        <v>41096</v>
      </c>
      <c r="JG53" s="20">
        <v>41096</v>
      </c>
      <c r="JH53" s="20">
        <v>41096</v>
      </c>
      <c r="JI53" s="20">
        <v>41096</v>
      </c>
      <c r="JJ53" s="20">
        <v>41096</v>
      </c>
      <c r="JK53" s="20">
        <v>41096</v>
      </c>
      <c r="JL53" s="20"/>
      <c r="JM53" s="20"/>
      <c r="JN53" s="20"/>
      <c r="JO53" s="20"/>
      <c r="JP53" s="20"/>
      <c r="JQ53" s="20"/>
      <c r="JR53" s="20"/>
      <c r="JS53" s="21">
        <f t="shared" si="15"/>
        <v>410960</v>
      </c>
      <c r="JT53" s="49">
        <v>5</v>
      </c>
      <c r="JU53" s="21">
        <f t="shared" si="35"/>
        <v>2054800</v>
      </c>
      <c r="JV53" s="110"/>
      <c r="JX53" s="107"/>
      <c r="JY53" s="23" t="s">
        <v>45</v>
      </c>
      <c r="JZ53" s="20"/>
      <c r="KA53" s="20"/>
      <c r="KB53" s="20"/>
      <c r="KC53" s="20"/>
      <c r="KD53" s="20"/>
      <c r="KE53" s="20"/>
      <c r="KF53" s="20"/>
      <c r="KG53" s="20">
        <v>41096</v>
      </c>
      <c r="KH53" s="20">
        <v>41096</v>
      </c>
      <c r="KI53" s="20">
        <v>41096</v>
      </c>
      <c r="KJ53" s="20">
        <v>41096</v>
      </c>
      <c r="KK53" s="20">
        <v>41096</v>
      </c>
      <c r="KL53" s="20">
        <v>41096</v>
      </c>
      <c r="KM53" s="20">
        <v>41096</v>
      </c>
      <c r="KN53" s="20">
        <v>41096</v>
      </c>
      <c r="KO53" s="20">
        <v>41096</v>
      </c>
      <c r="KP53" s="20">
        <v>41096</v>
      </c>
      <c r="KQ53" s="20"/>
      <c r="KR53" s="20"/>
      <c r="KS53" s="20"/>
      <c r="KT53" s="20"/>
      <c r="KU53" s="20"/>
      <c r="KV53" s="20"/>
      <c r="KW53" s="20"/>
      <c r="KX53" s="21">
        <f t="shared" si="17"/>
        <v>410960</v>
      </c>
      <c r="KY53" s="49">
        <v>4</v>
      </c>
      <c r="KZ53" s="21">
        <f t="shared" si="36"/>
        <v>1643840</v>
      </c>
      <c r="LA53" s="110"/>
      <c r="LC53" s="107"/>
      <c r="LD53" s="23" t="s">
        <v>45</v>
      </c>
      <c r="LE53" s="20"/>
      <c r="LF53" s="20"/>
      <c r="LG53" s="20"/>
      <c r="LH53" s="20"/>
      <c r="LI53" s="20"/>
      <c r="LJ53" s="20"/>
      <c r="LK53" s="20"/>
      <c r="LL53" s="20">
        <v>41096</v>
      </c>
      <c r="LM53" s="20">
        <v>41096</v>
      </c>
      <c r="LN53" s="20">
        <v>41096</v>
      </c>
      <c r="LO53" s="20">
        <v>41096</v>
      </c>
      <c r="LP53" s="20">
        <v>41096</v>
      </c>
      <c r="LQ53" s="20">
        <v>41096</v>
      </c>
      <c r="LR53" s="20">
        <v>41096</v>
      </c>
      <c r="LS53" s="20">
        <v>41096</v>
      </c>
      <c r="LT53" s="20">
        <v>41096</v>
      </c>
      <c r="LU53" s="20">
        <v>41096</v>
      </c>
      <c r="LV53" s="20"/>
      <c r="LW53" s="20"/>
      <c r="LX53" s="20"/>
      <c r="LY53" s="20"/>
      <c r="LZ53" s="20"/>
      <c r="MA53" s="20"/>
      <c r="MB53" s="20"/>
      <c r="MC53" s="21">
        <f t="shared" si="19"/>
        <v>410960</v>
      </c>
      <c r="MD53" s="49">
        <v>4</v>
      </c>
      <c r="ME53" s="21">
        <f t="shared" si="37"/>
        <v>1643840</v>
      </c>
      <c r="MF53" s="110"/>
      <c r="MH53" s="107"/>
      <c r="MI53" s="23" t="s">
        <v>45</v>
      </c>
      <c r="MJ53" s="20"/>
      <c r="MK53" s="20"/>
      <c r="ML53" s="20"/>
      <c r="MM53" s="20"/>
      <c r="MN53" s="20"/>
      <c r="MO53" s="20"/>
      <c r="MP53" s="20"/>
      <c r="MQ53" s="20">
        <v>41096</v>
      </c>
      <c r="MR53" s="20">
        <v>41096</v>
      </c>
      <c r="MS53" s="20">
        <v>41096</v>
      </c>
      <c r="MT53" s="20">
        <v>41096</v>
      </c>
      <c r="MU53" s="20">
        <v>41096</v>
      </c>
      <c r="MV53" s="20">
        <v>41096</v>
      </c>
      <c r="MW53" s="20">
        <v>41096</v>
      </c>
      <c r="MX53" s="20">
        <v>41096</v>
      </c>
      <c r="MY53" s="20">
        <v>41096</v>
      </c>
      <c r="MZ53" s="20">
        <v>41096</v>
      </c>
      <c r="NA53" s="20"/>
      <c r="NB53" s="20"/>
      <c r="NC53" s="20"/>
      <c r="ND53" s="20"/>
      <c r="NE53" s="20"/>
      <c r="NF53" s="20"/>
      <c r="NG53" s="20"/>
      <c r="NH53" s="21">
        <f t="shared" si="21"/>
        <v>410960</v>
      </c>
      <c r="NI53" s="49">
        <v>4</v>
      </c>
      <c r="NJ53" s="21">
        <f t="shared" si="38"/>
        <v>1643840</v>
      </c>
      <c r="NK53" s="110"/>
      <c r="NM53" s="107"/>
      <c r="NN53" s="23" t="s">
        <v>45</v>
      </c>
      <c r="NO53" s="20"/>
      <c r="NP53" s="20"/>
      <c r="NQ53" s="20"/>
      <c r="NR53" s="20"/>
      <c r="NS53" s="20"/>
      <c r="NT53" s="20"/>
      <c r="NU53" s="20"/>
      <c r="NV53" s="20">
        <v>41096</v>
      </c>
      <c r="NW53" s="20">
        <v>41096</v>
      </c>
      <c r="NX53" s="20">
        <v>41096</v>
      </c>
      <c r="NY53" s="20">
        <v>41096</v>
      </c>
      <c r="NZ53" s="20">
        <v>41096</v>
      </c>
      <c r="OA53" s="20">
        <v>41096</v>
      </c>
      <c r="OB53" s="20">
        <v>41096</v>
      </c>
      <c r="OC53" s="20">
        <v>41096</v>
      </c>
      <c r="OD53" s="20">
        <v>41096</v>
      </c>
      <c r="OE53" s="20">
        <v>41096</v>
      </c>
      <c r="OF53" s="20"/>
      <c r="OG53" s="20"/>
      <c r="OH53" s="20"/>
      <c r="OI53" s="20"/>
      <c r="OJ53" s="20"/>
      <c r="OK53" s="20"/>
      <c r="OL53" s="20"/>
      <c r="OM53" s="21">
        <f t="shared" si="23"/>
        <v>410960</v>
      </c>
      <c r="ON53" s="49">
        <v>3</v>
      </c>
      <c r="OO53" s="21">
        <f t="shared" si="39"/>
        <v>1232880</v>
      </c>
      <c r="OP53" s="110"/>
      <c r="OR53" s="107"/>
      <c r="OS53" s="23" t="s">
        <v>45</v>
      </c>
      <c r="OT53" s="20"/>
      <c r="OU53" s="20"/>
      <c r="OV53" s="20"/>
      <c r="OW53" s="20"/>
      <c r="OX53" s="20"/>
      <c r="OY53" s="20"/>
      <c r="OZ53" s="20"/>
      <c r="PA53" s="20">
        <v>41096</v>
      </c>
      <c r="PB53" s="20">
        <v>41096</v>
      </c>
      <c r="PC53" s="20">
        <v>41096</v>
      </c>
      <c r="PD53" s="20">
        <v>41096</v>
      </c>
      <c r="PE53" s="20">
        <v>41096</v>
      </c>
      <c r="PF53" s="20">
        <v>41096</v>
      </c>
      <c r="PG53" s="20">
        <v>41096</v>
      </c>
      <c r="PH53" s="20">
        <v>41096</v>
      </c>
      <c r="PI53" s="20">
        <v>41096</v>
      </c>
      <c r="PJ53" s="20">
        <v>41096</v>
      </c>
      <c r="PK53" s="20"/>
      <c r="PL53" s="20"/>
      <c r="PM53" s="20"/>
      <c r="PN53" s="20"/>
      <c r="PO53" s="20"/>
      <c r="PP53" s="20"/>
      <c r="PQ53" s="20"/>
      <c r="PR53" s="21">
        <f t="shared" si="25"/>
        <v>410960</v>
      </c>
      <c r="PS53" s="62">
        <v>5</v>
      </c>
      <c r="PT53" s="21">
        <f t="shared" si="40"/>
        <v>2054800</v>
      </c>
      <c r="PU53" s="110"/>
    </row>
    <row r="54" spans="3:437" ht="15" thickBot="1" x14ac:dyDescent="0.4">
      <c r="C54" s="108"/>
      <c r="D54" s="24" t="s">
        <v>46</v>
      </c>
      <c r="E54" s="20"/>
      <c r="F54" s="92"/>
      <c r="G54" s="20"/>
      <c r="H54" s="20"/>
      <c r="I54" s="20"/>
      <c r="J54" s="20"/>
      <c r="K54" s="20"/>
      <c r="L54" s="20">
        <v>41096</v>
      </c>
      <c r="M54" s="20">
        <v>41096</v>
      </c>
      <c r="N54" s="20">
        <v>41096</v>
      </c>
      <c r="O54" s="20">
        <v>41096</v>
      </c>
      <c r="P54" s="20">
        <v>41096</v>
      </c>
      <c r="Q54" s="20">
        <v>41096</v>
      </c>
      <c r="R54" s="20">
        <v>41096</v>
      </c>
      <c r="S54" s="20">
        <v>41096</v>
      </c>
      <c r="T54" s="20">
        <v>41096</v>
      </c>
      <c r="U54" s="20">
        <v>41096</v>
      </c>
      <c r="V54" s="20"/>
      <c r="W54" s="20"/>
      <c r="X54" s="20"/>
      <c r="Y54" s="20"/>
      <c r="Z54" s="20"/>
      <c r="AA54" s="20"/>
      <c r="AB54" s="20"/>
      <c r="AC54" s="21">
        <f t="shared" si="0"/>
        <v>410960</v>
      </c>
      <c r="AD54" s="22">
        <v>2</v>
      </c>
      <c r="AE54" s="21">
        <f t="shared" si="27"/>
        <v>821920</v>
      </c>
      <c r="AF54" s="111"/>
      <c r="AH54" s="108"/>
      <c r="AI54" s="24" t="s">
        <v>46</v>
      </c>
      <c r="AJ54" s="20"/>
      <c r="AK54" s="20"/>
      <c r="AL54" s="20"/>
      <c r="AM54" s="20"/>
      <c r="AN54" s="20"/>
      <c r="AO54" s="20"/>
      <c r="AP54" s="20"/>
      <c r="AQ54" s="20">
        <v>41096</v>
      </c>
      <c r="AR54" s="20">
        <v>41096</v>
      </c>
      <c r="AS54" s="20">
        <v>41096</v>
      </c>
      <c r="AT54" s="20">
        <v>41096</v>
      </c>
      <c r="AU54" s="20">
        <v>41096</v>
      </c>
      <c r="AV54" s="20">
        <v>41096</v>
      </c>
      <c r="AW54" s="20">
        <v>41096</v>
      </c>
      <c r="AX54" s="20">
        <v>41096</v>
      </c>
      <c r="AY54" s="20">
        <v>41096</v>
      </c>
      <c r="AZ54" s="20">
        <v>41096</v>
      </c>
      <c r="BA54" s="20"/>
      <c r="BB54" s="20"/>
      <c r="BC54" s="20"/>
      <c r="BD54" s="20"/>
      <c r="BE54" s="20"/>
      <c r="BF54" s="20"/>
      <c r="BG54" s="20"/>
      <c r="BH54" s="21">
        <f t="shared" si="2"/>
        <v>410960</v>
      </c>
      <c r="BI54" s="50">
        <v>2</v>
      </c>
      <c r="BJ54" s="21">
        <f t="shared" si="28"/>
        <v>821920</v>
      </c>
      <c r="BK54" s="111"/>
      <c r="BM54" s="108"/>
      <c r="BN54" s="24" t="s">
        <v>46</v>
      </c>
      <c r="BO54" s="20"/>
      <c r="BP54" s="20"/>
      <c r="BQ54" s="20"/>
      <c r="BR54" s="20"/>
      <c r="BS54" s="20"/>
      <c r="BT54" s="20"/>
      <c r="BU54" s="20"/>
      <c r="BV54" s="20">
        <v>41096</v>
      </c>
      <c r="BW54" s="20">
        <v>41096</v>
      </c>
      <c r="BX54" s="20">
        <v>41096</v>
      </c>
      <c r="BY54" s="20">
        <v>41096</v>
      </c>
      <c r="BZ54" s="20">
        <v>41096</v>
      </c>
      <c r="CA54" s="20">
        <v>41096</v>
      </c>
      <c r="CB54" s="20">
        <v>41096</v>
      </c>
      <c r="CC54" s="20">
        <v>41096</v>
      </c>
      <c r="CD54" s="20">
        <v>41096</v>
      </c>
      <c r="CE54" s="20">
        <v>41096</v>
      </c>
      <c r="CF54" s="20"/>
      <c r="CG54" s="20"/>
      <c r="CH54" s="20"/>
      <c r="CI54" s="20"/>
      <c r="CJ54" s="20"/>
      <c r="CK54" s="20"/>
      <c r="CL54" s="20"/>
      <c r="CM54" s="21">
        <f t="shared" si="4"/>
        <v>410960</v>
      </c>
      <c r="CN54" s="50">
        <v>2</v>
      </c>
      <c r="CO54" s="21">
        <f t="shared" si="29"/>
        <v>821920</v>
      </c>
      <c r="CP54" s="111"/>
      <c r="CS54" s="108"/>
      <c r="CT54" s="24" t="s">
        <v>46</v>
      </c>
      <c r="CU54" s="20"/>
      <c r="CV54" s="20"/>
      <c r="CW54" s="20"/>
      <c r="CX54" s="20"/>
      <c r="CY54" s="20"/>
      <c r="CZ54" s="20"/>
      <c r="DA54" s="20"/>
      <c r="DB54" s="20">
        <v>41096</v>
      </c>
      <c r="DC54" s="20">
        <v>41096</v>
      </c>
      <c r="DD54" s="20">
        <v>41096</v>
      </c>
      <c r="DE54" s="20">
        <v>41096</v>
      </c>
      <c r="DF54" s="20">
        <v>41096</v>
      </c>
      <c r="DG54" s="20">
        <v>41096</v>
      </c>
      <c r="DH54" s="20">
        <v>41096</v>
      </c>
      <c r="DI54" s="20">
        <v>41096</v>
      </c>
      <c r="DJ54" s="20">
        <v>41096</v>
      </c>
      <c r="DK54" s="20">
        <v>41096</v>
      </c>
      <c r="DL54" s="20"/>
      <c r="DM54" s="20"/>
      <c r="DN54" s="20"/>
      <c r="DO54" s="20"/>
      <c r="DP54" s="20"/>
      <c r="DQ54" s="20"/>
      <c r="DR54" s="20"/>
      <c r="DS54" s="21">
        <f t="shared" si="6"/>
        <v>410960</v>
      </c>
      <c r="DT54" s="50">
        <v>2</v>
      </c>
      <c r="DU54" s="21">
        <f t="shared" si="30"/>
        <v>821920</v>
      </c>
      <c r="DV54" s="111"/>
      <c r="DY54" s="108"/>
      <c r="DZ54" s="24" t="s">
        <v>46</v>
      </c>
      <c r="EA54" s="20"/>
      <c r="EB54" s="20"/>
      <c r="EC54" s="20"/>
      <c r="ED54" s="20"/>
      <c r="EE54" s="20"/>
      <c r="EF54" s="20"/>
      <c r="EG54" s="20"/>
      <c r="EH54" s="20">
        <v>41096</v>
      </c>
      <c r="EI54" s="20">
        <v>41096</v>
      </c>
      <c r="EJ54" s="20">
        <v>41096</v>
      </c>
      <c r="EK54" s="20">
        <v>41096</v>
      </c>
      <c r="EL54" s="20">
        <v>41096</v>
      </c>
      <c r="EM54" s="20">
        <v>41096</v>
      </c>
      <c r="EN54" s="20">
        <v>41096</v>
      </c>
      <c r="EO54" s="20">
        <v>41096</v>
      </c>
      <c r="EP54" s="20">
        <v>41096</v>
      </c>
      <c r="EQ54" s="20">
        <v>41096</v>
      </c>
      <c r="ER54" s="20"/>
      <c r="ES54" s="20"/>
      <c r="ET54" s="20"/>
      <c r="EU54" s="20"/>
      <c r="EV54" s="20"/>
      <c r="EW54" s="20"/>
      <c r="EX54" s="20"/>
      <c r="EY54" s="21">
        <f t="shared" si="7"/>
        <v>410960</v>
      </c>
      <c r="EZ54" s="50">
        <v>2</v>
      </c>
      <c r="FA54" s="21">
        <f t="shared" si="31"/>
        <v>821920</v>
      </c>
      <c r="FB54" s="111"/>
      <c r="FD54" s="108"/>
      <c r="FE54" s="24" t="s">
        <v>46</v>
      </c>
      <c r="FF54" s="20"/>
      <c r="FG54" s="20"/>
      <c r="FH54" s="20"/>
      <c r="FI54" s="20"/>
      <c r="FJ54" s="20"/>
      <c r="FK54" s="20"/>
      <c r="FL54" s="20"/>
      <c r="FM54" s="20">
        <v>41096</v>
      </c>
      <c r="FN54" s="20">
        <v>41096</v>
      </c>
      <c r="FO54" s="20">
        <v>41096</v>
      </c>
      <c r="FP54" s="20">
        <v>41096</v>
      </c>
      <c r="FQ54" s="20">
        <v>41096</v>
      </c>
      <c r="FR54" s="20">
        <v>41096</v>
      </c>
      <c r="FS54" s="20">
        <v>41096</v>
      </c>
      <c r="FT54" s="20">
        <v>41096</v>
      </c>
      <c r="FU54" s="20">
        <v>41096</v>
      </c>
      <c r="FV54" s="20">
        <v>41096</v>
      </c>
      <c r="FW54" s="20"/>
      <c r="FX54" s="20"/>
      <c r="FY54" s="20"/>
      <c r="FZ54" s="20"/>
      <c r="GA54" s="20"/>
      <c r="GB54" s="20"/>
      <c r="GC54" s="20"/>
      <c r="GD54" s="21">
        <f t="shared" si="9"/>
        <v>410960</v>
      </c>
      <c r="GE54" s="50">
        <v>2</v>
      </c>
      <c r="GF54" s="21">
        <f t="shared" si="32"/>
        <v>821920</v>
      </c>
      <c r="GG54" s="111"/>
      <c r="GI54" s="108"/>
      <c r="GJ54" s="24" t="s">
        <v>46</v>
      </c>
      <c r="GK54" s="20"/>
      <c r="GL54" s="20"/>
      <c r="GM54" s="20"/>
      <c r="GN54" s="20"/>
      <c r="GO54" s="20"/>
      <c r="GP54" s="20"/>
      <c r="GQ54" s="20"/>
      <c r="GR54" s="20">
        <v>41096</v>
      </c>
      <c r="GS54" s="20">
        <v>41096</v>
      </c>
      <c r="GT54" s="20">
        <v>41096</v>
      </c>
      <c r="GU54" s="20">
        <v>41096</v>
      </c>
      <c r="GV54" s="20">
        <v>41096</v>
      </c>
      <c r="GW54" s="20">
        <v>41096</v>
      </c>
      <c r="GX54" s="20">
        <v>41096</v>
      </c>
      <c r="GY54" s="20">
        <v>41096</v>
      </c>
      <c r="GZ54" s="20">
        <v>41096</v>
      </c>
      <c r="HA54" s="20">
        <v>41096</v>
      </c>
      <c r="HB54" s="20"/>
      <c r="HC54" s="20"/>
      <c r="HD54" s="20"/>
      <c r="HE54" s="20"/>
      <c r="HF54" s="20"/>
      <c r="HG54" s="20"/>
      <c r="HH54" s="20"/>
      <c r="HI54" s="21">
        <f t="shared" si="11"/>
        <v>410960</v>
      </c>
      <c r="HJ54" s="50">
        <v>2</v>
      </c>
      <c r="HK54" s="21">
        <f t="shared" si="33"/>
        <v>821920</v>
      </c>
      <c r="HL54" s="111"/>
      <c r="HN54" s="108"/>
      <c r="HO54" s="24" t="s">
        <v>46</v>
      </c>
      <c r="HP54" s="20"/>
      <c r="HQ54" s="20"/>
      <c r="HR54" s="20"/>
      <c r="HS54" s="20"/>
      <c r="HT54" s="20"/>
      <c r="HU54" s="20"/>
      <c r="HV54" s="20"/>
      <c r="HW54" s="20">
        <v>41096</v>
      </c>
      <c r="HX54" s="20">
        <v>41096</v>
      </c>
      <c r="HY54" s="20">
        <v>41096</v>
      </c>
      <c r="HZ54" s="20">
        <v>41096</v>
      </c>
      <c r="IA54" s="20">
        <v>41096</v>
      </c>
      <c r="IB54" s="20">
        <v>41096</v>
      </c>
      <c r="IC54" s="20">
        <v>41096</v>
      </c>
      <c r="ID54" s="20">
        <v>41096</v>
      </c>
      <c r="IE54" s="20">
        <v>41096</v>
      </c>
      <c r="IF54" s="20">
        <v>41096</v>
      </c>
      <c r="IG54" s="20"/>
      <c r="IH54" s="20"/>
      <c r="II54" s="20"/>
      <c r="IJ54" s="20"/>
      <c r="IK54" s="20"/>
      <c r="IL54" s="20"/>
      <c r="IM54" s="20"/>
      <c r="IN54" s="21">
        <f t="shared" si="13"/>
        <v>410960</v>
      </c>
      <c r="IO54" s="50">
        <v>2</v>
      </c>
      <c r="IP54" s="21">
        <f t="shared" si="34"/>
        <v>821920</v>
      </c>
      <c r="IQ54" s="111"/>
      <c r="IS54" s="108"/>
      <c r="IT54" s="24" t="s">
        <v>46</v>
      </c>
      <c r="IU54" s="20"/>
      <c r="IV54" s="20"/>
      <c r="IW54" s="20"/>
      <c r="IX54" s="20"/>
      <c r="IY54" s="20"/>
      <c r="IZ54" s="20"/>
      <c r="JA54" s="20"/>
      <c r="JB54" s="20">
        <v>41096</v>
      </c>
      <c r="JC54" s="20">
        <v>41096</v>
      </c>
      <c r="JD54" s="20">
        <v>41096</v>
      </c>
      <c r="JE54" s="20">
        <v>41096</v>
      </c>
      <c r="JF54" s="20">
        <v>41096</v>
      </c>
      <c r="JG54" s="20">
        <v>41096</v>
      </c>
      <c r="JH54" s="20">
        <v>41096</v>
      </c>
      <c r="JI54" s="20">
        <v>41096</v>
      </c>
      <c r="JJ54" s="20">
        <v>41096</v>
      </c>
      <c r="JK54" s="20">
        <v>41096</v>
      </c>
      <c r="JL54" s="20"/>
      <c r="JM54" s="20"/>
      <c r="JN54" s="20"/>
      <c r="JO54" s="20"/>
      <c r="JP54" s="20"/>
      <c r="JQ54" s="20"/>
      <c r="JR54" s="20"/>
      <c r="JS54" s="21">
        <f t="shared" si="15"/>
        <v>410960</v>
      </c>
      <c r="JT54" s="50">
        <v>2</v>
      </c>
      <c r="JU54" s="21">
        <f t="shared" si="35"/>
        <v>821920</v>
      </c>
      <c r="JV54" s="111"/>
      <c r="JX54" s="108"/>
      <c r="JY54" s="24" t="s">
        <v>46</v>
      </c>
      <c r="JZ54" s="20"/>
      <c r="KA54" s="20"/>
      <c r="KB54" s="20"/>
      <c r="KC54" s="20"/>
      <c r="KD54" s="20"/>
      <c r="KE54" s="20"/>
      <c r="KF54" s="20"/>
      <c r="KG54" s="20">
        <v>41096</v>
      </c>
      <c r="KH54" s="20">
        <v>41096</v>
      </c>
      <c r="KI54" s="20">
        <v>41096</v>
      </c>
      <c r="KJ54" s="20">
        <v>41096</v>
      </c>
      <c r="KK54" s="20">
        <v>41096</v>
      </c>
      <c r="KL54" s="20">
        <v>41096</v>
      </c>
      <c r="KM54" s="20">
        <v>41096</v>
      </c>
      <c r="KN54" s="20">
        <v>41096</v>
      </c>
      <c r="KO54" s="20">
        <v>41096</v>
      </c>
      <c r="KP54" s="20">
        <v>41096</v>
      </c>
      <c r="KQ54" s="20"/>
      <c r="KR54" s="20"/>
      <c r="KS54" s="20"/>
      <c r="KT54" s="20"/>
      <c r="KU54" s="20"/>
      <c r="KV54" s="20"/>
      <c r="KW54" s="20"/>
      <c r="KX54" s="21">
        <f t="shared" si="17"/>
        <v>410960</v>
      </c>
      <c r="KY54" s="50">
        <v>2</v>
      </c>
      <c r="KZ54" s="21">
        <f t="shared" si="36"/>
        <v>821920</v>
      </c>
      <c r="LA54" s="111"/>
      <c r="LC54" s="108"/>
      <c r="LD54" s="24" t="s">
        <v>46</v>
      </c>
      <c r="LE54" s="20"/>
      <c r="LF54" s="20"/>
      <c r="LG54" s="20"/>
      <c r="LH54" s="20"/>
      <c r="LI54" s="20"/>
      <c r="LJ54" s="20"/>
      <c r="LK54" s="20"/>
      <c r="LL54" s="20">
        <v>41096</v>
      </c>
      <c r="LM54" s="20">
        <v>41096</v>
      </c>
      <c r="LN54" s="20">
        <v>41096</v>
      </c>
      <c r="LO54" s="20">
        <v>41096</v>
      </c>
      <c r="LP54" s="20">
        <v>41096</v>
      </c>
      <c r="LQ54" s="20">
        <v>41096</v>
      </c>
      <c r="LR54" s="20">
        <v>41096</v>
      </c>
      <c r="LS54" s="20">
        <v>41096</v>
      </c>
      <c r="LT54" s="20">
        <v>41096</v>
      </c>
      <c r="LU54" s="20">
        <v>41096</v>
      </c>
      <c r="LV54" s="20"/>
      <c r="LW54" s="20"/>
      <c r="LX54" s="20"/>
      <c r="LY54" s="20"/>
      <c r="LZ54" s="20"/>
      <c r="MA54" s="20"/>
      <c r="MB54" s="20"/>
      <c r="MC54" s="21">
        <f t="shared" si="19"/>
        <v>410960</v>
      </c>
      <c r="MD54" s="50">
        <v>2</v>
      </c>
      <c r="ME54" s="21">
        <f t="shared" si="37"/>
        <v>821920</v>
      </c>
      <c r="MF54" s="111"/>
      <c r="MH54" s="108"/>
      <c r="MI54" s="24" t="s">
        <v>46</v>
      </c>
      <c r="MJ54" s="20"/>
      <c r="MK54" s="20"/>
      <c r="ML54" s="20"/>
      <c r="MM54" s="20"/>
      <c r="MN54" s="20"/>
      <c r="MO54" s="20"/>
      <c r="MP54" s="20"/>
      <c r="MQ54" s="20">
        <v>41096</v>
      </c>
      <c r="MR54" s="20">
        <v>41096</v>
      </c>
      <c r="MS54" s="20">
        <v>41096</v>
      </c>
      <c r="MT54" s="20">
        <v>41096</v>
      </c>
      <c r="MU54" s="20">
        <v>41096</v>
      </c>
      <c r="MV54" s="20">
        <v>41096</v>
      </c>
      <c r="MW54" s="20">
        <v>41096</v>
      </c>
      <c r="MX54" s="20">
        <v>41096</v>
      </c>
      <c r="MY54" s="20">
        <v>41096</v>
      </c>
      <c r="MZ54" s="20">
        <v>41096</v>
      </c>
      <c r="NA54" s="20"/>
      <c r="NB54" s="20"/>
      <c r="NC54" s="20"/>
      <c r="ND54" s="20"/>
      <c r="NE54" s="20"/>
      <c r="NF54" s="20"/>
      <c r="NG54" s="20"/>
      <c r="NH54" s="21">
        <f t="shared" si="21"/>
        <v>410960</v>
      </c>
      <c r="NI54" s="50">
        <v>2</v>
      </c>
      <c r="NJ54" s="21">
        <f t="shared" si="38"/>
        <v>821920</v>
      </c>
      <c r="NK54" s="111"/>
      <c r="NM54" s="108"/>
      <c r="NN54" s="24" t="s">
        <v>46</v>
      </c>
      <c r="NO54" s="20"/>
      <c r="NP54" s="20"/>
      <c r="NQ54" s="20"/>
      <c r="NR54" s="20"/>
      <c r="NS54" s="20"/>
      <c r="NT54" s="20"/>
      <c r="NU54" s="20"/>
      <c r="NV54" s="20">
        <v>41096</v>
      </c>
      <c r="NW54" s="20">
        <v>41096</v>
      </c>
      <c r="NX54" s="20">
        <v>41096</v>
      </c>
      <c r="NY54" s="20">
        <v>41096</v>
      </c>
      <c r="NZ54" s="20">
        <v>41096</v>
      </c>
      <c r="OA54" s="20">
        <v>41096</v>
      </c>
      <c r="OB54" s="20">
        <v>41096</v>
      </c>
      <c r="OC54" s="20">
        <v>41096</v>
      </c>
      <c r="OD54" s="20">
        <v>41096</v>
      </c>
      <c r="OE54" s="20">
        <v>41096</v>
      </c>
      <c r="OF54" s="20"/>
      <c r="OG54" s="20"/>
      <c r="OH54" s="20"/>
      <c r="OI54" s="20"/>
      <c r="OJ54" s="20"/>
      <c r="OK54" s="20"/>
      <c r="OL54" s="20"/>
      <c r="OM54" s="21">
        <f t="shared" si="23"/>
        <v>410960</v>
      </c>
      <c r="ON54" s="50">
        <v>2</v>
      </c>
      <c r="OO54" s="21">
        <f t="shared" si="39"/>
        <v>821920</v>
      </c>
      <c r="OP54" s="111"/>
      <c r="OR54" s="108"/>
      <c r="OS54" s="24" t="s">
        <v>46</v>
      </c>
      <c r="OT54" s="20"/>
      <c r="OU54" s="20"/>
      <c r="OV54" s="20"/>
      <c r="OW54" s="20"/>
      <c r="OX54" s="20"/>
      <c r="OY54" s="20"/>
      <c r="OZ54" s="20"/>
      <c r="PA54" s="20">
        <v>41096</v>
      </c>
      <c r="PB54" s="20">
        <v>41096</v>
      </c>
      <c r="PC54" s="20">
        <v>41096</v>
      </c>
      <c r="PD54" s="20">
        <v>41096</v>
      </c>
      <c r="PE54" s="20">
        <v>41096</v>
      </c>
      <c r="PF54" s="20">
        <v>41096</v>
      </c>
      <c r="PG54" s="20">
        <v>41096</v>
      </c>
      <c r="PH54" s="20">
        <v>41096</v>
      </c>
      <c r="PI54" s="20">
        <v>41096</v>
      </c>
      <c r="PJ54" s="20">
        <v>41096</v>
      </c>
      <c r="PK54" s="20"/>
      <c r="PL54" s="20"/>
      <c r="PM54" s="20"/>
      <c r="PN54" s="20"/>
      <c r="PO54" s="20"/>
      <c r="PP54" s="20"/>
      <c r="PQ54" s="20"/>
      <c r="PR54" s="21">
        <f t="shared" si="25"/>
        <v>410960</v>
      </c>
      <c r="PS54" s="64">
        <v>2</v>
      </c>
      <c r="PT54" s="21">
        <f t="shared" si="40"/>
        <v>821920</v>
      </c>
      <c r="PU54" s="111"/>
    </row>
    <row r="55" spans="3:437" x14ac:dyDescent="0.35">
      <c r="K55" s="26"/>
      <c r="AC55" s="43"/>
      <c r="AD55" s="55">
        <f>SUM(AD7:AD54)</f>
        <v>365</v>
      </c>
      <c r="AF55" s="54">
        <f>SUM(AF7:AF54)</f>
        <v>150000400</v>
      </c>
      <c r="AP55" s="26"/>
      <c r="BH55" s="43"/>
      <c r="BI55" s="55">
        <f>SUM(BI7:BI54)</f>
        <v>366</v>
      </c>
      <c r="BK55" s="54">
        <f>SUM(BK7:BK54)</f>
        <v>150411360</v>
      </c>
      <c r="BU55" s="26"/>
      <c r="CM55" s="43"/>
      <c r="CN55" s="55">
        <f>SUM(CN7:CN54)</f>
        <v>365</v>
      </c>
      <c r="CP55" s="54">
        <f>SUM(CP7:CP54)</f>
        <v>150000400</v>
      </c>
      <c r="DA55" s="26"/>
      <c r="DS55" s="43"/>
      <c r="DT55" s="55">
        <f>SUM(DT7:DT54)</f>
        <v>365</v>
      </c>
      <c r="DV55" s="54">
        <f>SUM(DV7:DV54)</f>
        <v>150000400</v>
      </c>
      <c r="EG55" s="26"/>
      <c r="EY55" s="43"/>
      <c r="EZ55" s="55">
        <f>SUM(EZ7:EZ54)</f>
        <v>365</v>
      </c>
      <c r="FB55" s="54">
        <f>SUM(FB7:FB54)</f>
        <v>150000400</v>
      </c>
      <c r="FL55" s="26"/>
      <c r="GD55" s="43"/>
      <c r="GE55" s="53">
        <f>SUM(GE7:GE54)</f>
        <v>366</v>
      </c>
      <c r="GG55" s="54">
        <f>SUM(GG7:GG54)</f>
        <v>150411360</v>
      </c>
      <c r="GQ55" s="26"/>
      <c r="HI55" s="43"/>
      <c r="HJ55" s="53">
        <f>SUM(HJ7:HJ54)</f>
        <v>365</v>
      </c>
      <c r="HL55" s="54">
        <f>SUM(HL7:HL54)</f>
        <v>150000400</v>
      </c>
      <c r="HV55" s="26"/>
      <c r="IN55" s="43"/>
      <c r="IO55" s="53">
        <f>SUM(IO7:IO54)</f>
        <v>365</v>
      </c>
      <c r="IQ55" s="54">
        <f>SUM(IQ7:IQ54)</f>
        <v>150000400</v>
      </c>
      <c r="JA55" s="26"/>
      <c r="JS55" s="43"/>
      <c r="JT55" s="53">
        <f>SUM(JT7:JT54)</f>
        <v>365</v>
      </c>
      <c r="JV55" s="54">
        <f>SUM(JV7:JV54)</f>
        <v>150000400</v>
      </c>
      <c r="KF55" s="26"/>
      <c r="KX55" s="43"/>
      <c r="KY55" s="53">
        <f>SUM(KY7:KY54)</f>
        <v>366</v>
      </c>
      <c r="LA55" s="54">
        <f>SUM(LA7:LA54)</f>
        <v>150411360</v>
      </c>
      <c r="LK55" s="26"/>
      <c r="MC55" s="43"/>
      <c r="MD55" s="53">
        <f>SUM(MD7:MD54)</f>
        <v>365</v>
      </c>
      <c r="MF55" s="54">
        <f>SUM(MF7:MF54)</f>
        <v>150000400</v>
      </c>
      <c r="MP55" s="26"/>
      <c r="NH55" s="43"/>
      <c r="NI55" s="53">
        <f>SUM(NI7:NI54)</f>
        <v>365</v>
      </c>
      <c r="NK55" s="54">
        <f>SUM(NK7:NK54)</f>
        <v>150000400</v>
      </c>
      <c r="NU55" s="26"/>
      <c r="OM55" s="43"/>
      <c r="ON55" s="53">
        <f>SUM(ON7:ON54)</f>
        <v>365</v>
      </c>
      <c r="OP55" s="54">
        <f>SUM(OP7:OP54)</f>
        <v>150000400</v>
      </c>
      <c r="OZ55" s="26"/>
      <c r="PR55" s="43"/>
      <c r="PS55" s="53">
        <f>SUM(PS7:PS54)</f>
        <v>366</v>
      </c>
      <c r="PU55" s="54">
        <f>SUM(PU7:PU54)</f>
        <v>150411360</v>
      </c>
    </row>
  </sheetData>
  <mergeCells count="378">
    <mergeCell ref="NM4:NN4"/>
    <mergeCell ref="AH4:AI4"/>
    <mergeCell ref="BM4:BN4"/>
    <mergeCell ref="CS4:CT4"/>
    <mergeCell ref="DY4:DZ4"/>
    <mergeCell ref="FD4:FE4"/>
    <mergeCell ref="GI4:GJ4"/>
    <mergeCell ref="C4:D4"/>
    <mergeCell ref="CS7:CS10"/>
    <mergeCell ref="DV7:DV10"/>
    <mergeCell ref="C7:C10"/>
    <mergeCell ref="AF7:AF10"/>
    <mergeCell ref="HN4:HO4"/>
    <mergeCell ref="IS4:IT4"/>
    <mergeCell ref="JX4:JY4"/>
    <mergeCell ref="LC4:LD4"/>
    <mergeCell ref="MH4:MI4"/>
    <mergeCell ref="C11:C14"/>
    <mergeCell ref="AF11:AF14"/>
    <mergeCell ref="LC7:LC10"/>
    <mergeCell ref="MF7:MF10"/>
    <mergeCell ref="MH7:MH10"/>
    <mergeCell ref="NK7:NK10"/>
    <mergeCell ref="NM7:NM10"/>
    <mergeCell ref="OP7:OP10"/>
    <mergeCell ref="HN7:HN10"/>
    <mergeCell ref="IQ7:IQ10"/>
    <mergeCell ref="IS7:IS10"/>
    <mergeCell ref="JV7:JV10"/>
    <mergeCell ref="JX7:JX10"/>
    <mergeCell ref="LA7:LA10"/>
    <mergeCell ref="DY7:DY10"/>
    <mergeCell ref="FB7:FB10"/>
    <mergeCell ref="FD7:FD10"/>
    <mergeCell ref="GG7:GG10"/>
    <mergeCell ref="GI7:GI10"/>
    <mergeCell ref="HL7:HL10"/>
    <mergeCell ref="AH7:AH10"/>
    <mergeCell ref="BK7:BK10"/>
    <mergeCell ref="BM7:BM10"/>
    <mergeCell ref="CP7:CP10"/>
    <mergeCell ref="DY11:DY14"/>
    <mergeCell ref="FB11:FB14"/>
    <mergeCell ref="FD11:FD14"/>
    <mergeCell ref="GG11:GG14"/>
    <mergeCell ref="GI11:GI14"/>
    <mergeCell ref="HL11:HL14"/>
    <mergeCell ref="AH11:AH14"/>
    <mergeCell ref="BK11:BK14"/>
    <mergeCell ref="BM11:BM14"/>
    <mergeCell ref="CP11:CP14"/>
    <mergeCell ref="CS11:CS14"/>
    <mergeCell ref="DV11:DV14"/>
    <mergeCell ref="LC11:LC14"/>
    <mergeCell ref="MF11:MF14"/>
    <mergeCell ref="MH11:MH14"/>
    <mergeCell ref="NK11:NK14"/>
    <mergeCell ref="NM11:NM14"/>
    <mergeCell ref="OP11:OP14"/>
    <mergeCell ref="HN11:HN14"/>
    <mergeCell ref="IQ11:IQ14"/>
    <mergeCell ref="IS11:IS14"/>
    <mergeCell ref="JV11:JV14"/>
    <mergeCell ref="JX11:JX14"/>
    <mergeCell ref="LA11:LA14"/>
    <mergeCell ref="OP15:OP18"/>
    <mergeCell ref="HN15:HN18"/>
    <mergeCell ref="IQ15:IQ18"/>
    <mergeCell ref="IS15:IS18"/>
    <mergeCell ref="JV15:JV18"/>
    <mergeCell ref="JX15:JX18"/>
    <mergeCell ref="LA15:LA18"/>
    <mergeCell ref="DY15:DY18"/>
    <mergeCell ref="FB15:FB18"/>
    <mergeCell ref="FD15:FD18"/>
    <mergeCell ref="GG15:GG18"/>
    <mergeCell ref="GI15:GI18"/>
    <mergeCell ref="HL15:HL18"/>
    <mergeCell ref="CS19:CS22"/>
    <mergeCell ref="DV19:DV22"/>
    <mergeCell ref="C19:C22"/>
    <mergeCell ref="AF19:AF22"/>
    <mergeCell ref="LC15:LC18"/>
    <mergeCell ref="MF15:MF18"/>
    <mergeCell ref="MH15:MH18"/>
    <mergeCell ref="NK15:NK18"/>
    <mergeCell ref="NM15:NM18"/>
    <mergeCell ref="AH15:AH18"/>
    <mergeCell ref="BK15:BK18"/>
    <mergeCell ref="BM15:BM18"/>
    <mergeCell ref="CP15:CP18"/>
    <mergeCell ref="CS15:CS18"/>
    <mergeCell ref="DV15:DV18"/>
    <mergeCell ref="C15:C18"/>
    <mergeCell ref="AF15:AF18"/>
    <mergeCell ref="C23:C26"/>
    <mergeCell ref="AF23:AF26"/>
    <mergeCell ref="LC19:LC22"/>
    <mergeCell ref="MF19:MF22"/>
    <mergeCell ref="MH19:MH22"/>
    <mergeCell ref="NK19:NK22"/>
    <mergeCell ref="NM19:NM22"/>
    <mergeCell ref="OP19:OP22"/>
    <mergeCell ref="HN19:HN22"/>
    <mergeCell ref="IQ19:IQ22"/>
    <mergeCell ref="IS19:IS22"/>
    <mergeCell ref="JV19:JV22"/>
    <mergeCell ref="JX19:JX22"/>
    <mergeCell ref="LA19:LA22"/>
    <mergeCell ref="DY19:DY22"/>
    <mergeCell ref="FB19:FB22"/>
    <mergeCell ref="FD19:FD22"/>
    <mergeCell ref="GG19:GG22"/>
    <mergeCell ref="GI19:GI22"/>
    <mergeCell ref="HL19:HL22"/>
    <mergeCell ref="AH19:AH22"/>
    <mergeCell ref="BK19:BK22"/>
    <mergeCell ref="BM19:BM22"/>
    <mergeCell ref="CP19:CP22"/>
    <mergeCell ref="DY23:DY26"/>
    <mergeCell ref="FB23:FB26"/>
    <mergeCell ref="FD23:FD26"/>
    <mergeCell ref="GG23:GG26"/>
    <mergeCell ref="GI23:GI26"/>
    <mergeCell ref="HL23:HL26"/>
    <mergeCell ref="AH23:AH26"/>
    <mergeCell ref="BK23:BK26"/>
    <mergeCell ref="BM23:BM26"/>
    <mergeCell ref="CP23:CP26"/>
    <mergeCell ref="CS23:CS26"/>
    <mergeCell ref="DV23:DV26"/>
    <mergeCell ref="LC23:LC26"/>
    <mergeCell ref="MF23:MF26"/>
    <mergeCell ref="MH23:MH26"/>
    <mergeCell ref="NK23:NK26"/>
    <mergeCell ref="NM23:NM26"/>
    <mergeCell ref="OP23:OP26"/>
    <mergeCell ref="HN23:HN26"/>
    <mergeCell ref="IQ23:IQ26"/>
    <mergeCell ref="IS23:IS26"/>
    <mergeCell ref="JV23:JV26"/>
    <mergeCell ref="JX23:JX26"/>
    <mergeCell ref="LA23:LA26"/>
    <mergeCell ref="NM27:NM30"/>
    <mergeCell ref="OP27:OP30"/>
    <mergeCell ref="HN27:HN30"/>
    <mergeCell ref="IQ27:IQ30"/>
    <mergeCell ref="IS27:IS30"/>
    <mergeCell ref="JV27:JV30"/>
    <mergeCell ref="JX27:JX30"/>
    <mergeCell ref="LA27:LA30"/>
    <mergeCell ref="DY27:DY30"/>
    <mergeCell ref="FB27:FB30"/>
    <mergeCell ref="FD27:FD30"/>
    <mergeCell ref="GG27:GG30"/>
    <mergeCell ref="GI27:GI30"/>
    <mergeCell ref="HL27:HL30"/>
    <mergeCell ref="CP31:CP34"/>
    <mergeCell ref="CS31:CS34"/>
    <mergeCell ref="DV31:DV34"/>
    <mergeCell ref="C31:C34"/>
    <mergeCell ref="AF31:AF34"/>
    <mergeCell ref="LC27:LC30"/>
    <mergeCell ref="MF27:MF30"/>
    <mergeCell ref="MH27:MH30"/>
    <mergeCell ref="NK27:NK30"/>
    <mergeCell ref="AH27:AH30"/>
    <mergeCell ref="BK27:BK30"/>
    <mergeCell ref="BM27:BM30"/>
    <mergeCell ref="CP27:CP30"/>
    <mergeCell ref="CS27:CS30"/>
    <mergeCell ref="DV27:DV30"/>
    <mergeCell ref="C27:C30"/>
    <mergeCell ref="AF27:AF30"/>
    <mergeCell ref="CP35:CP38"/>
    <mergeCell ref="CS35:CS38"/>
    <mergeCell ref="DV35:DV38"/>
    <mergeCell ref="C35:C38"/>
    <mergeCell ref="AF35:AF38"/>
    <mergeCell ref="LC31:LC34"/>
    <mergeCell ref="MF31:MF34"/>
    <mergeCell ref="MH31:MH34"/>
    <mergeCell ref="NK31:NK34"/>
    <mergeCell ref="HN31:HN34"/>
    <mergeCell ref="IQ31:IQ34"/>
    <mergeCell ref="IS31:IS34"/>
    <mergeCell ref="JV31:JV34"/>
    <mergeCell ref="JX31:JX34"/>
    <mergeCell ref="LA31:LA34"/>
    <mergeCell ref="DY31:DY34"/>
    <mergeCell ref="FB31:FB34"/>
    <mergeCell ref="FD31:FD34"/>
    <mergeCell ref="GG31:GG34"/>
    <mergeCell ref="GI31:GI34"/>
    <mergeCell ref="HL31:HL34"/>
    <mergeCell ref="AH31:AH34"/>
    <mergeCell ref="BK31:BK34"/>
    <mergeCell ref="BM31:BM34"/>
    <mergeCell ref="CP39:CP42"/>
    <mergeCell ref="CS39:CS42"/>
    <mergeCell ref="DV39:DV42"/>
    <mergeCell ref="C39:C42"/>
    <mergeCell ref="AF39:AF42"/>
    <mergeCell ref="LC35:LC38"/>
    <mergeCell ref="MF35:MF38"/>
    <mergeCell ref="MH35:MH38"/>
    <mergeCell ref="NK35:NK38"/>
    <mergeCell ref="HN35:HN38"/>
    <mergeCell ref="IQ35:IQ38"/>
    <mergeCell ref="IS35:IS38"/>
    <mergeCell ref="JV35:JV38"/>
    <mergeCell ref="JX35:JX38"/>
    <mergeCell ref="LA35:LA38"/>
    <mergeCell ref="DY35:DY38"/>
    <mergeCell ref="FB35:FB38"/>
    <mergeCell ref="FD35:FD38"/>
    <mergeCell ref="GG35:GG38"/>
    <mergeCell ref="GI35:GI38"/>
    <mergeCell ref="HL35:HL38"/>
    <mergeCell ref="AH35:AH38"/>
    <mergeCell ref="BK35:BK38"/>
    <mergeCell ref="BM35:BM38"/>
    <mergeCell ref="CP43:CP46"/>
    <mergeCell ref="CS43:CS46"/>
    <mergeCell ref="DV43:DV46"/>
    <mergeCell ref="C43:C46"/>
    <mergeCell ref="AF43:AF46"/>
    <mergeCell ref="LC39:LC42"/>
    <mergeCell ref="MF39:MF42"/>
    <mergeCell ref="MH39:MH42"/>
    <mergeCell ref="NK39:NK42"/>
    <mergeCell ref="HN39:HN42"/>
    <mergeCell ref="IQ39:IQ42"/>
    <mergeCell ref="IS39:IS42"/>
    <mergeCell ref="JV39:JV42"/>
    <mergeCell ref="JX39:JX42"/>
    <mergeCell ref="LA39:LA42"/>
    <mergeCell ref="DY39:DY42"/>
    <mergeCell ref="FB39:FB42"/>
    <mergeCell ref="FD39:FD42"/>
    <mergeCell ref="GG39:GG42"/>
    <mergeCell ref="GI39:GI42"/>
    <mergeCell ref="HL39:HL42"/>
    <mergeCell ref="AH39:AH42"/>
    <mergeCell ref="BK39:BK42"/>
    <mergeCell ref="BM39:BM42"/>
    <mergeCell ref="CP47:CP50"/>
    <mergeCell ref="CS47:CS50"/>
    <mergeCell ref="DV47:DV50"/>
    <mergeCell ref="C47:C50"/>
    <mergeCell ref="AF47:AF50"/>
    <mergeCell ref="LC43:LC46"/>
    <mergeCell ref="MF43:MF46"/>
    <mergeCell ref="MH43:MH46"/>
    <mergeCell ref="NK43:NK46"/>
    <mergeCell ref="HN43:HN46"/>
    <mergeCell ref="IQ43:IQ46"/>
    <mergeCell ref="IS43:IS46"/>
    <mergeCell ref="JV43:JV46"/>
    <mergeCell ref="JX43:JX46"/>
    <mergeCell ref="LA43:LA46"/>
    <mergeCell ref="DY43:DY46"/>
    <mergeCell ref="FB43:FB46"/>
    <mergeCell ref="FD43:FD46"/>
    <mergeCell ref="GG43:GG46"/>
    <mergeCell ref="GI43:GI46"/>
    <mergeCell ref="HL43:HL46"/>
    <mergeCell ref="AH43:AH46"/>
    <mergeCell ref="BK43:BK46"/>
    <mergeCell ref="BM43:BM46"/>
    <mergeCell ref="AH51:AH54"/>
    <mergeCell ref="BK51:BK54"/>
    <mergeCell ref="BM51:BM54"/>
    <mergeCell ref="CP51:CP54"/>
    <mergeCell ref="CS51:CS54"/>
    <mergeCell ref="DV51:DV54"/>
    <mergeCell ref="C51:C54"/>
    <mergeCell ref="AF51:AF54"/>
    <mergeCell ref="LC47:LC50"/>
    <mergeCell ref="HN47:HN50"/>
    <mergeCell ref="IQ47:IQ50"/>
    <mergeCell ref="IS47:IS50"/>
    <mergeCell ref="JV47:JV50"/>
    <mergeCell ref="JX47:JX50"/>
    <mergeCell ref="LA47:LA50"/>
    <mergeCell ref="DY47:DY50"/>
    <mergeCell ref="FB47:FB50"/>
    <mergeCell ref="FD47:FD50"/>
    <mergeCell ref="GG47:GG50"/>
    <mergeCell ref="GI47:GI50"/>
    <mergeCell ref="HL47:HL50"/>
    <mergeCell ref="AH47:AH50"/>
    <mergeCell ref="BK47:BK50"/>
    <mergeCell ref="BM47:BM50"/>
    <mergeCell ref="HN51:HN54"/>
    <mergeCell ref="IQ51:IQ54"/>
    <mergeCell ref="IS51:IS54"/>
    <mergeCell ref="JV51:JV54"/>
    <mergeCell ref="JX51:JX54"/>
    <mergeCell ref="LA51:LA54"/>
    <mergeCell ref="DY51:DY54"/>
    <mergeCell ref="FB51:FB54"/>
    <mergeCell ref="FD51:FD54"/>
    <mergeCell ref="GG51:GG54"/>
    <mergeCell ref="GI51:GI54"/>
    <mergeCell ref="HL51:HL54"/>
    <mergeCell ref="PU7:PU10"/>
    <mergeCell ref="OR11:OR14"/>
    <mergeCell ref="PU11:PU14"/>
    <mergeCell ref="OR15:OR18"/>
    <mergeCell ref="PU15:PU18"/>
    <mergeCell ref="LC51:LC54"/>
    <mergeCell ref="MF51:MF54"/>
    <mergeCell ref="MH51:MH54"/>
    <mergeCell ref="NK51:NK54"/>
    <mergeCell ref="NM51:NM54"/>
    <mergeCell ref="OP51:OP54"/>
    <mergeCell ref="MF47:MF50"/>
    <mergeCell ref="MH47:MH50"/>
    <mergeCell ref="NK47:NK50"/>
    <mergeCell ref="NM47:NM50"/>
    <mergeCell ref="OP47:OP50"/>
    <mergeCell ref="NM43:NM46"/>
    <mergeCell ref="OP43:OP46"/>
    <mergeCell ref="NM39:NM42"/>
    <mergeCell ref="OP39:OP42"/>
    <mergeCell ref="NM35:NM38"/>
    <mergeCell ref="OP35:OP38"/>
    <mergeCell ref="NM31:NM34"/>
    <mergeCell ref="OP31:OP34"/>
    <mergeCell ref="OR31:OR34"/>
    <mergeCell ref="PU31:PU34"/>
    <mergeCell ref="OR35:OR38"/>
    <mergeCell ref="PU35:PU38"/>
    <mergeCell ref="OR39:OR42"/>
    <mergeCell ref="PU39:PU42"/>
    <mergeCell ref="JX1:KA1"/>
    <mergeCell ref="JX2:KJ2"/>
    <mergeCell ref="LC1:LF1"/>
    <mergeCell ref="LC2:LO2"/>
    <mergeCell ref="MH1:MK1"/>
    <mergeCell ref="MH2:MT2"/>
    <mergeCell ref="NM1:NP1"/>
    <mergeCell ref="NM2:NY2"/>
    <mergeCell ref="OR1:OU1"/>
    <mergeCell ref="OR2:PD2"/>
    <mergeCell ref="OR19:OR22"/>
    <mergeCell ref="PU19:PU22"/>
    <mergeCell ref="OR23:OR26"/>
    <mergeCell ref="PU23:PU26"/>
    <mergeCell ref="OR27:OR30"/>
    <mergeCell ref="PU27:PU30"/>
    <mergeCell ref="OR4:OS4"/>
    <mergeCell ref="OR7:OR10"/>
    <mergeCell ref="OR43:OR46"/>
    <mergeCell ref="PU43:PU46"/>
    <mergeCell ref="OR47:OR50"/>
    <mergeCell ref="PU47:PU50"/>
    <mergeCell ref="OR51:OR54"/>
    <mergeCell ref="PU51:PU54"/>
    <mergeCell ref="C1:F1"/>
    <mergeCell ref="C2:O2"/>
    <mergeCell ref="AH1:AK1"/>
    <mergeCell ref="AH2:AT2"/>
    <mergeCell ref="BM1:BP1"/>
    <mergeCell ref="BM2:BY2"/>
    <mergeCell ref="CS1:CV1"/>
    <mergeCell ref="CS2:DE2"/>
    <mergeCell ref="DY1:EB1"/>
    <mergeCell ref="DY2:EK2"/>
    <mergeCell ref="FD1:FG1"/>
    <mergeCell ref="FD2:FP2"/>
    <mergeCell ref="GI1:GL1"/>
    <mergeCell ref="GI2:GU2"/>
    <mergeCell ref="HN1:HQ1"/>
    <mergeCell ref="HN2:HZ2"/>
    <mergeCell ref="IS1:IV1"/>
    <mergeCell ref="IS2:JE2"/>
  </mergeCells>
  <conditionalFormatting sqref="E7:J54 V7:AB54">
    <cfRule type="cellIs" dxfId="55" priority="55" operator="greaterThan">
      <formula>0</formula>
    </cfRule>
    <cfRule type="cellIs" dxfId="54" priority="56" operator="lessThan">
      <formula>0</formula>
    </cfRule>
  </conditionalFormatting>
  <conditionalFormatting sqref="K6:U54">
    <cfRule type="cellIs" dxfId="53" priority="54" operator="lessThan">
      <formula>0</formula>
    </cfRule>
    <cfRule type="cellIs" dxfId="52" priority="53" operator="greaterThan">
      <formula>0</formula>
    </cfRule>
  </conditionalFormatting>
  <conditionalFormatting sqref="AJ7:AO54 BA7:BG54">
    <cfRule type="cellIs" dxfId="51" priority="52" operator="lessThan">
      <formula>0</formula>
    </cfRule>
    <cfRule type="cellIs" dxfId="50" priority="51" operator="greaterThan">
      <formula>0</formula>
    </cfRule>
  </conditionalFormatting>
  <conditionalFormatting sqref="AP6:AZ54">
    <cfRule type="cellIs" dxfId="49" priority="49" operator="greaterThan">
      <formula>0</formula>
    </cfRule>
    <cfRule type="cellIs" dxfId="48" priority="50" operator="lessThan">
      <formula>0</formula>
    </cfRule>
  </conditionalFormatting>
  <conditionalFormatting sqref="BO7:BT54 CF7:CL54">
    <cfRule type="cellIs" dxfId="47" priority="48" operator="lessThan">
      <formula>0</formula>
    </cfRule>
    <cfRule type="cellIs" dxfId="46" priority="47" operator="greaterThan">
      <formula>0</formula>
    </cfRule>
  </conditionalFormatting>
  <conditionalFormatting sqref="BU6:CE54">
    <cfRule type="cellIs" dxfId="45" priority="46" operator="lessThan">
      <formula>0</formula>
    </cfRule>
    <cfRule type="cellIs" dxfId="44" priority="45" operator="greaterThan">
      <formula>0</formula>
    </cfRule>
  </conditionalFormatting>
  <conditionalFormatting sqref="CU7:CZ54 DL7:DR54">
    <cfRule type="cellIs" dxfId="43" priority="44" operator="lessThan">
      <formula>0</formula>
    </cfRule>
    <cfRule type="cellIs" dxfId="42" priority="43" operator="greaterThan">
      <formula>0</formula>
    </cfRule>
  </conditionalFormatting>
  <conditionalFormatting sqref="DA6:DK54">
    <cfRule type="cellIs" dxfId="41" priority="42" operator="lessThan">
      <formula>0</formula>
    </cfRule>
    <cfRule type="cellIs" dxfId="40" priority="41" operator="greaterThan">
      <formula>0</formula>
    </cfRule>
  </conditionalFormatting>
  <conditionalFormatting sqref="EA7:EF54 ER7:EX54">
    <cfRule type="cellIs" dxfId="39" priority="40" operator="lessThan">
      <formula>0</formula>
    </cfRule>
    <cfRule type="cellIs" dxfId="38" priority="39" operator="greaterThan">
      <formula>0</formula>
    </cfRule>
  </conditionalFormatting>
  <conditionalFormatting sqref="EG6:EQ54">
    <cfRule type="cellIs" dxfId="37" priority="38" operator="lessThan">
      <formula>0</formula>
    </cfRule>
    <cfRule type="cellIs" dxfId="36" priority="37" operator="greaterThan">
      <formula>0</formula>
    </cfRule>
  </conditionalFormatting>
  <conditionalFormatting sqref="FF7:FK54 FW7:GC54">
    <cfRule type="cellIs" dxfId="35" priority="36" operator="lessThan">
      <formula>0</formula>
    </cfRule>
    <cfRule type="cellIs" dxfId="34" priority="35" operator="greaterThan">
      <formula>0</formula>
    </cfRule>
  </conditionalFormatting>
  <conditionalFormatting sqref="FL6:FV54">
    <cfRule type="cellIs" dxfId="33" priority="34" operator="lessThan">
      <formula>0</formula>
    </cfRule>
    <cfRule type="cellIs" dxfId="32" priority="33" operator="greaterThan">
      <formula>0</formula>
    </cfRule>
  </conditionalFormatting>
  <conditionalFormatting sqref="GK7:GP54 HB7:HH54">
    <cfRule type="cellIs" dxfId="31" priority="32" operator="lessThan">
      <formula>0</formula>
    </cfRule>
    <cfRule type="cellIs" dxfId="30" priority="31" operator="greaterThan">
      <formula>0</formula>
    </cfRule>
  </conditionalFormatting>
  <conditionalFormatting sqref="GQ6:HA54">
    <cfRule type="cellIs" dxfId="29" priority="29" operator="greaterThan">
      <formula>0</formula>
    </cfRule>
    <cfRule type="cellIs" dxfId="28" priority="30" operator="lessThan">
      <formula>0</formula>
    </cfRule>
  </conditionalFormatting>
  <conditionalFormatting sqref="HP7:HU54 IG7:IM54">
    <cfRule type="cellIs" dxfId="27" priority="28" operator="lessThan">
      <formula>0</formula>
    </cfRule>
    <cfRule type="cellIs" dxfId="26" priority="27" operator="greaterThan">
      <formula>0</formula>
    </cfRule>
  </conditionalFormatting>
  <conditionalFormatting sqref="HV6:IF54">
    <cfRule type="cellIs" dxfId="25" priority="6" operator="lessThan">
      <formula>0</formula>
    </cfRule>
    <cfRule type="cellIs" dxfId="24" priority="5" operator="greaterThan">
      <formula>0</formula>
    </cfRule>
  </conditionalFormatting>
  <conditionalFormatting sqref="IU7:IZ54 JL7:JR54">
    <cfRule type="cellIs" dxfId="23" priority="26" operator="lessThan">
      <formula>0</formula>
    </cfRule>
    <cfRule type="cellIs" dxfId="22" priority="25" operator="greaterThan">
      <formula>0</formula>
    </cfRule>
  </conditionalFormatting>
  <conditionalFormatting sqref="JA6:JK54">
    <cfRule type="cellIs" dxfId="21" priority="24" operator="lessThan">
      <formula>0</formula>
    </cfRule>
    <cfRule type="cellIs" dxfId="20" priority="23" operator="greaterThan">
      <formula>0</formula>
    </cfRule>
  </conditionalFormatting>
  <conditionalFormatting sqref="JZ7:KE54 KQ7:KW54">
    <cfRule type="cellIs" dxfId="19" priority="22" operator="lessThan">
      <formula>0</formula>
    </cfRule>
    <cfRule type="cellIs" dxfId="18" priority="21" operator="greaterThan">
      <formula>0</formula>
    </cfRule>
  </conditionalFormatting>
  <conditionalFormatting sqref="KF6:KP54">
    <cfRule type="cellIs" dxfId="17" priority="20" operator="lessThan">
      <formula>0</formula>
    </cfRule>
    <cfRule type="cellIs" dxfId="16" priority="19" operator="greaterThan">
      <formula>0</formula>
    </cfRule>
  </conditionalFormatting>
  <conditionalFormatting sqref="LE7:LJ54 LV7:MB54">
    <cfRule type="cellIs" dxfId="15" priority="18" operator="lessThan">
      <formula>0</formula>
    </cfRule>
    <cfRule type="cellIs" dxfId="14" priority="17" operator="greaterThan">
      <formula>0</formula>
    </cfRule>
  </conditionalFormatting>
  <conditionalFormatting sqref="LK6:LU54">
    <cfRule type="cellIs" dxfId="13" priority="15" operator="greaterThan">
      <formula>0</formula>
    </cfRule>
    <cfRule type="cellIs" dxfId="12" priority="16" operator="lessThan">
      <formula>0</formula>
    </cfRule>
  </conditionalFormatting>
  <conditionalFormatting sqref="MJ7:MO54 NA7:NG54">
    <cfRule type="cellIs" dxfId="11" priority="14" operator="lessThan">
      <formula>0</formula>
    </cfRule>
    <cfRule type="cellIs" dxfId="10" priority="13" operator="greaterThan">
      <formula>0</formula>
    </cfRule>
  </conditionalFormatting>
  <conditionalFormatting sqref="MP6:MZ54">
    <cfRule type="cellIs" dxfId="9" priority="12" operator="lessThan">
      <formula>0</formula>
    </cfRule>
    <cfRule type="cellIs" dxfId="8" priority="11" operator="greaterThan">
      <formula>0</formula>
    </cfRule>
  </conditionalFormatting>
  <conditionalFormatting sqref="NO7:NT54 OF7:OL54">
    <cfRule type="cellIs" dxfId="7" priority="10" operator="lessThan">
      <formula>0</formula>
    </cfRule>
    <cfRule type="cellIs" dxfId="6" priority="9" operator="greaterThan">
      <formula>0</formula>
    </cfRule>
  </conditionalFormatting>
  <conditionalFormatting sqref="NU6:OE54">
    <cfRule type="cellIs" dxfId="5" priority="8" operator="lessThan">
      <formula>0</formula>
    </cfRule>
    <cfRule type="cellIs" dxfId="4" priority="7" operator="greaterThan">
      <formula>0</formula>
    </cfRule>
  </conditionalFormatting>
  <conditionalFormatting sqref="OT7:OY54 PK7:PQ54">
    <cfRule type="cellIs" dxfId="3" priority="4" operator="lessThan">
      <formula>0</formula>
    </cfRule>
    <cfRule type="cellIs" dxfId="2" priority="3" operator="greaterThan">
      <formula>0</formula>
    </cfRule>
  </conditionalFormatting>
  <conditionalFormatting sqref="OZ6:PJ54">
    <cfRule type="cellIs" dxfId="1" priority="2" operator="lessThan">
      <formula>0</formula>
    </cfRule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1C66-E38B-4307-AE4B-F962DC1ADAEE}">
  <dimension ref="B1:AA24"/>
  <sheetViews>
    <sheetView showGridLines="0" zoomScale="90" zoomScaleNormal="90" workbookViewId="0">
      <selection activeCell="F10" sqref="F10"/>
    </sheetView>
  </sheetViews>
  <sheetFormatPr baseColWidth="10" defaultRowHeight="14.5" x14ac:dyDescent="0.35"/>
  <cols>
    <col min="2" max="2" width="20.7265625" customWidth="1"/>
    <col min="3" max="3" width="6.81640625" customWidth="1"/>
    <col min="4" max="5" width="5.453125" customWidth="1"/>
    <col min="6" max="6" width="5.453125" style="85" customWidth="1"/>
    <col min="7" max="26" width="5.453125" customWidth="1"/>
    <col min="27" max="27" width="10.1796875" customWidth="1"/>
  </cols>
  <sheetData>
    <row r="1" spans="2:27" x14ac:dyDescent="0.35">
      <c r="B1" s="150" t="s">
        <v>52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</row>
    <row r="2" spans="2:27" x14ac:dyDescent="0.35"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</row>
    <row r="3" spans="2:27" x14ac:dyDescent="0.35">
      <c r="B3" s="46"/>
      <c r="C3" s="46"/>
      <c r="D3" s="46"/>
      <c r="E3" s="46"/>
      <c r="F3" s="87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</row>
    <row r="5" spans="2:27" x14ac:dyDescent="0.35">
      <c r="B5" s="56" t="s">
        <v>53</v>
      </c>
      <c r="C5" s="151" t="s">
        <v>96</v>
      </c>
      <c r="D5" s="152"/>
    </row>
    <row r="6" spans="2:27" x14ac:dyDescent="0.35">
      <c r="B6" s="57" t="s">
        <v>54</v>
      </c>
      <c r="C6" s="153" t="s">
        <v>100</v>
      </c>
      <c r="D6" s="153"/>
      <c r="E6" s="154" t="s">
        <v>55</v>
      </c>
      <c r="F6" s="155"/>
      <c r="G6" s="155"/>
      <c r="H6" s="155"/>
      <c r="I6" s="155"/>
    </row>
    <row r="10" spans="2:27" x14ac:dyDescent="0.35">
      <c r="B10" s="59" t="s">
        <v>99</v>
      </c>
      <c r="C10" s="59" t="s">
        <v>56</v>
      </c>
      <c r="D10" s="59" t="s">
        <v>57</v>
      </c>
      <c r="E10" s="59" t="s">
        <v>58</v>
      </c>
      <c r="F10" s="59" t="s">
        <v>59</v>
      </c>
      <c r="G10" s="59" t="s">
        <v>60</v>
      </c>
      <c r="H10" s="59" t="s">
        <v>61</v>
      </c>
      <c r="I10" s="59" t="s">
        <v>62</v>
      </c>
      <c r="J10" s="82" t="s">
        <v>63</v>
      </c>
      <c r="K10" s="82" t="s">
        <v>64</v>
      </c>
      <c r="L10" s="82" t="s">
        <v>65</v>
      </c>
      <c r="M10" s="82" t="s">
        <v>66</v>
      </c>
      <c r="N10" s="82" t="s">
        <v>67</v>
      </c>
      <c r="O10" s="82" t="s">
        <v>68</v>
      </c>
      <c r="P10" s="82" t="s">
        <v>69</v>
      </c>
      <c r="Q10" s="82" t="s">
        <v>70</v>
      </c>
      <c r="R10" s="82" t="s">
        <v>71</v>
      </c>
      <c r="S10" s="82" t="s">
        <v>72</v>
      </c>
      <c r="T10" s="59" t="s">
        <v>73</v>
      </c>
      <c r="U10" s="59" t="s">
        <v>74</v>
      </c>
      <c r="V10" s="59" t="s">
        <v>75</v>
      </c>
      <c r="W10" s="59" t="s">
        <v>76</v>
      </c>
      <c r="X10" s="59" t="s">
        <v>77</v>
      </c>
      <c r="Y10" s="59" t="s">
        <v>78</v>
      </c>
      <c r="Z10" s="59" t="s">
        <v>79</v>
      </c>
      <c r="AA10" s="59" t="s">
        <v>80</v>
      </c>
    </row>
    <row r="11" spans="2:27" x14ac:dyDescent="0.35">
      <c r="B11" s="13" t="s">
        <v>81</v>
      </c>
      <c r="C11" s="13"/>
      <c r="D11" s="13"/>
      <c r="E11" s="13"/>
      <c r="F11" s="88"/>
      <c r="G11" s="13"/>
      <c r="H11" s="13"/>
      <c r="I11" s="13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13"/>
      <c r="U11" s="13"/>
      <c r="V11" s="13"/>
      <c r="W11" s="13"/>
      <c r="X11" s="13"/>
      <c r="Y11" s="13"/>
      <c r="Z11" s="13"/>
      <c r="AA11" s="58"/>
    </row>
    <row r="12" spans="2:27" x14ac:dyDescent="0.35">
      <c r="B12" s="13" t="s">
        <v>82</v>
      </c>
      <c r="C12" s="13"/>
      <c r="D12" s="13"/>
      <c r="E12" s="13"/>
      <c r="F12" s="88"/>
      <c r="G12" s="13"/>
      <c r="H12" s="13"/>
      <c r="I12" s="13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13"/>
      <c r="U12" s="13"/>
      <c r="V12" s="13"/>
      <c r="W12" s="13"/>
      <c r="X12" s="13"/>
      <c r="Y12" s="13"/>
      <c r="Z12" s="13"/>
      <c r="AA12" s="58"/>
    </row>
    <row r="13" spans="2:27" x14ac:dyDescent="0.35">
      <c r="B13" s="13" t="s">
        <v>83</v>
      </c>
      <c r="C13" s="13"/>
      <c r="D13" s="13"/>
      <c r="E13" s="13"/>
      <c r="F13" s="88"/>
      <c r="G13" s="13"/>
      <c r="H13" s="13"/>
      <c r="I13" s="13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13"/>
      <c r="U13" s="13"/>
      <c r="V13" s="13"/>
      <c r="W13" s="13"/>
      <c r="X13" s="13"/>
      <c r="Y13" s="13"/>
      <c r="Z13" s="13"/>
      <c r="AA13" s="58"/>
    </row>
    <row r="14" spans="2:27" x14ac:dyDescent="0.35">
      <c r="B14" s="13" t="s">
        <v>84</v>
      </c>
      <c r="C14" s="13"/>
      <c r="D14" s="13"/>
      <c r="E14" s="13"/>
      <c r="F14" s="88"/>
      <c r="G14" s="13"/>
      <c r="H14" s="13"/>
      <c r="I14" s="13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13"/>
      <c r="U14" s="13"/>
      <c r="V14" s="13"/>
      <c r="W14" s="13"/>
      <c r="X14" s="13"/>
      <c r="Y14" s="13"/>
      <c r="Z14" s="13"/>
      <c r="AA14" s="58"/>
    </row>
    <row r="15" spans="2:27" x14ac:dyDescent="0.35">
      <c r="B15" s="13" t="s">
        <v>85</v>
      </c>
      <c r="C15" s="13"/>
      <c r="D15" s="13"/>
      <c r="E15" s="13"/>
      <c r="F15" s="88"/>
      <c r="G15" s="13"/>
      <c r="H15" s="13"/>
      <c r="I15" s="13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13"/>
      <c r="U15" s="13"/>
      <c r="V15" s="13"/>
      <c r="W15" s="13"/>
      <c r="X15" s="13"/>
      <c r="Y15" s="13"/>
      <c r="Z15" s="13"/>
      <c r="AA15" s="58"/>
    </row>
    <row r="16" spans="2:27" x14ac:dyDescent="0.35">
      <c r="B16" s="13" t="s">
        <v>86</v>
      </c>
      <c r="C16" s="13"/>
      <c r="D16" s="13"/>
      <c r="E16" s="13"/>
      <c r="F16" s="88"/>
      <c r="G16" s="13"/>
      <c r="H16" s="13"/>
      <c r="I16" s="13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13"/>
      <c r="U16" s="13"/>
      <c r="V16" s="13"/>
      <c r="W16" s="13"/>
      <c r="X16" s="13"/>
      <c r="Y16" s="13"/>
      <c r="Z16" s="13"/>
      <c r="AA16" s="58"/>
    </row>
    <row r="17" spans="2:27" x14ac:dyDescent="0.35">
      <c r="B17" s="13" t="s">
        <v>87</v>
      </c>
      <c r="C17" s="13"/>
      <c r="D17" s="13"/>
      <c r="E17" s="13"/>
      <c r="F17" s="88"/>
      <c r="G17" s="13"/>
      <c r="H17" s="13"/>
      <c r="I17" s="13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13"/>
      <c r="U17" s="13"/>
      <c r="V17" s="13"/>
      <c r="W17" s="13"/>
      <c r="X17" s="13"/>
      <c r="Y17" s="13"/>
      <c r="Z17" s="13"/>
      <c r="AA17" s="58"/>
    </row>
    <row r="18" spans="2:27" x14ac:dyDescent="0.35">
      <c r="B18" s="13" t="s">
        <v>88</v>
      </c>
      <c r="C18" s="13"/>
      <c r="D18" s="13"/>
      <c r="E18" s="13"/>
      <c r="F18" s="88"/>
      <c r="G18" s="13"/>
      <c r="H18" s="13"/>
      <c r="I18" s="13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13"/>
      <c r="U18" s="13"/>
      <c r="V18" s="13"/>
      <c r="W18" s="13"/>
      <c r="X18" s="13"/>
      <c r="Y18" s="13"/>
      <c r="Z18" s="13"/>
      <c r="AA18" s="58"/>
    </row>
    <row r="19" spans="2:27" x14ac:dyDescent="0.35">
      <c r="B19" s="13" t="s">
        <v>89</v>
      </c>
      <c r="C19" s="13"/>
      <c r="D19" s="13"/>
      <c r="E19" s="13"/>
      <c r="F19" s="88"/>
      <c r="G19" s="13"/>
      <c r="H19" s="13"/>
      <c r="I19" s="13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13"/>
      <c r="U19" s="13"/>
      <c r="V19" s="13"/>
      <c r="W19" s="13"/>
      <c r="X19" s="13"/>
      <c r="Y19" s="13"/>
      <c r="Z19" s="13"/>
      <c r="AA19" s="58"/>
    </row>
    <row r="20" spans="2:27" x14ac:dyDescent="0.35">
      <c r="B20" s="13" t="s">
        <v>90</v>
      </c>
      <c r="C20" s="13"/>
      <c r="D20" s="13"/>
      <c r="E20" s="13"/>
      <c r="F20" s="88"/>
      <c r="G20" s="13"/>
      <c r="H20" s="13"/>
      <c r="I20" s="13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13"/>
      <c r="U20" s="13"/>
      <c r="V20" s="13"/>
      <c r="W20" s="13"/>
      <c r="X20" s="13"/>
      <c r="Y20" s="13"/>
      <c r="Z20" s="13"/>
      <c r="AA20" s="58"/>
    </row>
    <row r="21" spans="2:27" x14ac:dyDescent="0.35">
      <c r="B21" s="13" t="s">
        <v>91</v>
      </c>
      <c r="C21" s="13"/>
      <c r="D21" s="13"/>
      <c r="E21" s="13"/>
      <c r="F21" s="88"/>
      <c r="G21" s="13"/>
      <c r="H21" s="13"/>
      <c r="I21" s="13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13"/>
      <c r="U21" s="13"/>
      <c r="V21" s="13"/>
      <c r="W21" s="13"/>
      <c r="X21" s="13"/>
      <c r="Y21" s="13"/>
      <c r="Z21" s="13"/>
      <c r="AA21" s="58"/>
    </row>
    <row r="22" spans="2:27" x14ac:dyDescent="0.35">
      <c r="B22" s="13" t="s">
        <v>92</v>
      </c>
      <c r="C22" s="13"/>
      <c r="D22" s="13"/>
      <c r="E22" s="13"/>
      <c r="F22" s="88"/>
      <c r="G22" s="13"/>
      <c r="H22" s="13"/>
      <c r="I22" s="13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13"/>
      <c r="U22" s="13"/>
      <c r="V22" s="13"/>
      <c r="W22" s="13"/>
      <c r="X22" s="13"/>
      <c r="Y22" s="13"/>
      <c r="Z22" s="13"/>
      <c r="AA22" s="58"/>
    </row>
    <row r="23" spans="2:27" x14ac:dyDescent="0.35">
      <c r="B23" s="13" t="s">
        <v>93</v>
      </c>
      <c r="C23" s="13"/>
      <c r="D23" s="13"/>
      <c r="E23" s="13"/>
      <c r="F23" s="88"/>
      <c r="G23" s="13"/>
      <c r="H23" s="13"/>
      <c r="I23" s="13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13"/>
      <c r="U23" s="13"/>
      <c r="V23" s="13"/>
      <c r="W23" s="13"/>
      <c r="X23" s="13"/>
      <c r="Y23" s="13"/>
      <c r="Z23" s="13"/>
      <c r="AA23" s="58"/>
    </row>
    <row r="24" spans="2:27" x14ac:dyDescent="0.35">
      <c r="B24" s="13" t="s">
        <v>95</v>
      </c>
      <c r="C24" s="13"/>
      <c r="D24" s="13"/>
      <c r="E24" s="13"/>
      <c r="F24" s="88"/>
      <c r="G24" s="13"/>
      <c r="H24" s="13"/>
      <c r="I24" s="13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13"/>
      <c r="U24" s="13"/>
      <c r="V24" s="13"/>
      <c r="W24" s="13"/>
      <c r="X24" s="13"/>
      <c r="Y24" s="13"/>
      <c r="Z24" s="13"/>
      <c r="AA24" s="58"/>
    </row>
  </sheetData>
  <mergeCells count="4">
    <mergeCell ref="B1:AA2"/>
    <mergeCell ref="C5:D5"/>
    <mergeCell ref="C6:D6"/>
    <mergeCell ref="E6:I6"/>
  </mergeCells>
  <phoneticPr fontId="8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OF P1 </vt:lpstr>
      <vt:lpstr>CURVA P1</vt:lpstr>
      <vt:lpstr>OF P2</vt:lpstr>
      <vt:lpstr>CURVA P2</vt:lpstr>
      <vt:lpstr>OF P3</vt:lpstr>
      <vt:lpstr>CURVA P3</vt:lpstr>
      <vt:lpstr>OF P4</vt:lpstr>
      <vt:lpstr>CURVA P4</vt:lpstr>
      <vt:lpstr>OF P5</vt:lpstr>
      <vt:lpstr>CURVA P5</vt:lpstr>
      <vt:lpstr>OF P6</vt:lpstr>
      <vt:lpstr>CURVA P6</vt:lpstr>
      <vt:lpstr>OF P7</vt:lpstr>
      <vt:lpstr>CURVA P7</vt:lpstr>
      <vt:lpstr>Producto 8</vt:lpstr>
      <vt:lpstr>CURVA P8</vt:lpstr>
      <vt:lpstr>tabla distribucion prod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ANTONIO CLAVIJO CACERES</dc:creator>
  <cp:lastModifiedBy>MARCELA VANESSA COLMENARES VILLAMIZAR</cp:lastModifiedBy>
  <dcterms:created xsi:type="dcterms:W3CDTF">2024-08-30T16:40:26Z</dcterms:created>
  <dcterms:modified xsi:type="dcterms:W3CDTF">2025-06-05T22:18:04Z</dcterms:modified>
</cp:coreProperties>
</file>