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RAS ENERGIA AÑO 2025\PROCESOS DE COMPRADE ENERGIA\PROCESO COMPRA ENERGÍA SICEP\AÑO 2025\CP CNSC2025-001\2. PLIEGO EN CONSULTA\CURVAS\"/>
    </mc:Choice>
  </mc:AlternateContent>
  <xr:revisionPtr revIDLastSave="0" documentId="13_ncr:1_{60A433D6-CF95-4B77-AF29-522B8CAA5850}" xr6:coauthVersionLast="47" xr6:coauthVersionMax="47" xr10:uidLastSave="{00000000-0000-0000-0000-000000000000}"/>
  <bookViews>
    <workbookView xWindow="-110" yWindow="-110" windowWidth="19420" windowHeight="10420" activeTab="1" xr2:uid="{D0603849-4D70-4D94-86F2-F3E2C6C23002}"/>
  </bookViews>
  <sheets>
    <sheet name="OF P1 " sheetId="14" r:id="rId1"/>
    <sheet name="CURVA P1" sheetId="15" r:id="rId2"/>
    <sheet name="OF P2" sheetId="16" r:id="rId3"/>
    <sheet name="CURVA P2" sheetId="17" r:id="rId4"/>
    <sheet name="OF P3" sheetId="19" r:id="rId5"/>
    <sheet name="CURVA P3" sheetId="20" r:id="rId6"/>
    <sheet name="OF P4" sheetId="21" r:id="rId7"/>
    <sheet name="CURVA P4" sheetId="2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4" i="22" l="1"/>
  <c r="AC54" i="22" s="1"/>
  <c r="AA53" i="22"/>
  <c r="AC53" i="22" s="1"/>
  <c r="AA52" i="22"/>
  <c r="AC52" i="22" s="1"/>
  <c r="AA51" i="22"/>
  <c r="AC51" i="22" s="1"/>
  <c r="AA50" i="22"/>
  <c r="AC50" i="22" s="1"/>
  <c r="AA49" i="22"/>
  <c r="AC49" i="22" s="1"/>
  <c r="AA48" i="22"/>
  <c r="AC48" i="22" s="1"/>
  <c r="AA47" i="22"/>
  <c r="AC47" i="22" s="1"/>
  <c r="AA46" i="22"/>
  <c r="AC46" i="22" s="1"/>
  <c r="AA45" i="22"/>
  <c r="AC45" i="22" s="1"/>
  <c r="AA44" i="22"/>
  <c r="AC44" i="22" s="1"/>
  <c r="AA43" i="22"/>
  <c r="AC43" i="22" s="1"/>
  <c r="AA42" i="22"/>
  <c r="AC42" i="22" s="1"/>
  <c r="AA41" i="22"/>
  <c r="AC41" i="22" s="1"/>
  <c r="AA40" i="22"/>
  <c r="AC40" i="22" s="1"/>
  <c r="AA39" i="22"/>
  <c r="AC39" i="22" s="1"/>
  <c r="AA38" i="22"/>
  <c r="AC38" i="22" s="1"/>
  <c r="AA37" i="22"/>
  <c r="AC37" i="22" s="1"/>
  <c r="AA36" i="22"/>
  <c r="AC36" i="22" s="1"/>
  <c r="AA35" i="22"/>
  <c r="AC35" i="22" s="1"/>
  <c r="AA34" i="22"/>
  <c r="AC34" i="22" s="1"/>
  <c r="AA33" i="22"/>
  <c r="AC33" i="22" s="1"/>
  <c r="AA32" i="22"/>
  <c r="AC32" i="22" s="1"/>
  <c r="AA31" i="22"/>
  <c r="AC31" i="22" s="1"/>
  <c r="AA30" i="22"/>
  <c r="AC30" i="22" s="1"/>
  <c r="AA29" i="22"/>
  <c r="AC29" i="22" s="1"/>
  <c r="AA28" i="22"/>
  <c r="AC28" i="22" s="1"/>
  <c r="AA27" i="22"/>
  <c r="AC27" i="22" s="1"/>
  <c r="AA26" i="22"/>
  <c r="AC26" i="22" s="1"/>
  <c r="AA25" i="22"/>
  <c r="AC25" i="22" s="1"/>
  <c r="AA24" i="22"/>
  <c r="AC24" i="22" s="1"/>
  <c r="AA23" i="22"/>
  <c r="AC23" i="22" s="1"/>
  <c r="AA22" i="22"/>
  <c r="AC22" i="22" s="1"/>
  <c r="AA21" i="22"/>
  <c r="AC21" i="22" s="1"/>
  <c r="AA20" i="22"/>
  <c r="AC20" i="22" s="1"/>
  <c r="AA19" i="22"/>
  <c r="AC19" i="22" s="1"/>
  <c r="AA18" i="22"/>
  <c r="AC18" i="22" s="1"/>
  <c r="AA17" i="22"/>
  <c r="AC17" i="22" s="1"/>
  <c r="AA16" i="22"/>
  <c r="AC16" i="22" s="1"/>
  <c r="AA15" i="22"/>
  <c r="AC15" i="22" s="1"/>
  <c r="AA14" i="22"/>
  <c r="AC14" i="22" s="1"/>
  <c r="AA13" i="22"/>
  <c r="AC13" i="22" s="1"/>
  <c r="AA12" i="22"/>
  <c r="AC12" i="22" s="1"/>
  <c r="AA11" i="22"/>
  <c r="AC11" i="22" s="1"/>
  <c r="AA10" i="22"/>
  <c r="AC10" i="22" s="1"/>
  <c r="AA9" i="22"/>
  <c r="AC9" i="22" s="1"/>
  <c r="AA8" i="22"/>
  <c r="AC8" i="22" s="1"/>
  <c r="AA7" i="22"/>
  <c r="AC7" i="22" s="1"/>
  <c r="AD43" i="22" l="1"/>
  <c r="D15" i="21" s="1"/>
  <c r="AD31" i="22"/>
  <c r="D12" i="21" s="1"/>
  <c r="AD19" i="22"/>
  <c r="D9" i="21" s="1"/>
  <c r="AD11" i="22"/>
  <c r="D7" i="21" s="1"/>
  <c r="AD23" i="22"/>
  <c r="D10" i="21" s="1"/>
  <c r="AD27" i="22"/>
  <c r="D11" i="21" s="1"/>
  <c r="AD39" i="22"/>
  <c r="D14" i="21" s="1"/>
  <c r="AD47" i="22"/>
  <c r="D16" i="21" s="1"/>
  <c r="AD7" i="22"/>
  <c r="AD15" i="22"/>
  <c r="D8" i="21" s="1"/>
  <c r="AD51" i="22"/>
  <c r="D17" i="21" s="1"/>
  <c r="AD35" i="22"/>
  <c r="D13" i="21" s="1"/>
  <c r="AD55" i="22" l="1"/>
  <c r="C4" i="22" s="1"/>
  <c r="D6" i="21"/>
  <c r="D18" i="21" s="1"/>
  <c r="AA54" i="20" l="1"/>
  <c r="AC54" i="20" s="1"/>
  <c r="AA53" i="20"/>
  <c r="AC53" i="20" s="1"/>
  <c r="AA52" i="20"/>
  <c r="AC52" i="20" s="1"/>
  <c r="AA51" i="20"/>
  <c r="AC51" i="20" s="1"/>
  <c r="AA50" i="20"/>
  <c r="AC50" i="20" s="1"/>
  <c r="AA49" i="20"/>
  <c r="AC49" i="20" s="1"/>
  <c r="AA48" i="20"/>
  <c r="AC48" i="20" s="1"/>
  <c r="AA47" i="20"/>
  <c r="AC47" i="20" s="1"/>
  <c r="AA46" i="20"/>
  <c r="AC46" i="20" s="1"/>
  <c r="AA45" i="20"/>
  <c r="AC45" i="20" s="1"/>
  <c r="AA44" i="20"/>
  <c r="AC44" i="20" s="1"/>
  <c r="AA43" i="20"/>
  <c r="AC43" i="20" s="1"/>
  <c r="AC42" i="20"/>
  <c r="AA41" i="20"/>
  <c r="AC41" i="20" s="1"/>
  <c r="AA40" i="20"/>
  <c r="AC40" i="20" s="1"/>
  <c r="AA39" i="20"/>
  <c r="AC39" i="20" s="1"/>
  <c r="AA38" i="20"/>
  <c r="AC38" i="20" s="1"/>
  <c r="AA37" i="20"/>
  <c r="AC37" i="20" s="1"/>
  <c r="AA36" i="20"/>
  <c r="AC36" i="20" s="1"/>
  <c r="AA35" i="20"/>
  <c r="AC35" i="20" s="1"/>
  <c r="AA34" i="20"/>
  <c r="AC34" i="20" s="1"/>
  <c r="AA33" i="20"/>
  <c r="AC33" i="20" s="1"/>
  <c r="AA32" i="20"/>
  <c r="AC32" i="20" s="1"/>
  <c r="AA31" i="20"/>
  <c r="AC31" i="20" s="1"/>
  <c r="AA30" i="20"/>
  <c r="AC30" i="20" s="1"/>
  <c r="AA29" i="20"/>
  <c r="AC29" i="20" s="1"/>
  <c r="AA28" i="20"/>
  <c r="AC28" i="20" s="1"/>
  <c r="AA27" i="20"/>
  <c r="AC27" i="20" s="1"/>
  <c r="AA26" i="20"/>
  <c r="AC26" i="20" s="1"/>
  <c r="AA25" i="20"/>
  <c r="AC25" i="20" s="1"/>
  <c r="AA24" i="20"/>
  <c r="AC24" i="20" s="1"/>
  <c r="AA23" i="20"/>
  <c r="AC23" i="20" s="1"/>
  <c r="AA22" i="20"/>
  <c r="AC22" i="20" s="1"/>
  <c r="AA21" i="20"/>
  <c r="AC21" i="20" s="1"/>
  <c r="AA20" i="20"/>
  <c r="AC20" i="20" s="1"/>
  <c r="AA19" i="20"/>
  <c r="AC19" i="20" s="1"/>
  <c r="AA18" i="20"/>
  <c r="AC18" i="20" s="1"/>
  <c r="AA17" i="20"/>
  <c r="AC17" i="20" s="1"/>
  <c r="AA16" i="20"/>
  <c r="AC16" i="20" s="1"/>
  <c r="AA15" i="20"/>
  <c r="AC15" i="20" s="1"/>
  <c r="AC14" i="20"/>
  <c r="AA13" i="20"/>
  <c r="AC13" i="20" s="1"/>
  <c r="AA12" i="20"/>
  <c r="AC12" i="20" s="1"/>
  <c r="AA11" i="20"/>
  <c r="AC11" i="20" s="1"/>
  <c r="AA10" i="20"/>
  <c r="AC10" i="20" s="1"/>
  <c r="AA9" i="20"/>
  <c r="AC9" i="20" s="1"/>
  <c r="AA8" i="20"/>
  <c r="AC8" i="20" s="1"/>
  <c r="AA7" i="20"/>
  <c r="AC7" i="20" s="1"/>
  <c r="AD7" i="20" s="1"/>
  <c r="AD11" i="20" l="1"/>
  <c r="D7" i="19" s="1"/>
  <c r="AD39" i="20"/>
  <c r="D14" i="19" s="1"/>
  <c r="AD51" i="20"/>
  <c r="D17" i="19" s="1"/>
  <c r="AD23" i="20"/>
  <c r="D10" i="19" s="1"/>
  <c r="AD47" i="20"/>
  <c r="D16" i="19" s="1"/>
  <c r="AD15" i="20"/>
  <c r="D8" i="19" s="1"/>
  <c r="AD31" i="20"/>
  <c r="D12" i="19" s="1"/>
  <c r="AD43" i="20"/>
  <c r="D15" i="19" s="1"/>
  <c r="D6" i="19"/>
  <c r="AD27" i="20"/>
  <c r="D11" i="19" s="1"/>
  <c r="AD35" i="20"/>
  <c r="D13" i="19" s="1"/>
  <c r="AD19" i="20"/>
  <c r="D9" i="19" s="1"/>
  <c r="D18" i="19" l="1"/>
  <c r="AD55" i="20"/>
  <c r="C4" i="20" s="1"/>
  <c r="AA54" i="17"/>
  <c r="AC54" i="17" s="1"/>
  <c r="AA53" i="17"/>
  <c r="AC53" i="17" s="1"/>
  <c r="AA52" i="17"/>
  <c r="AC52" i="17" s="1"/>
  <c r="AA51" i="17"/>
  <c r="AC51" i="17" s="1"/>
  <c r="AA50" i="17"/>
  <c r="AC50" i="17" s="1"/>
  <c r="AA49" i="17"/>
  <c r="AC49" i="17" s="1"/>
  <c r="AA48" i="17"/>
  <c r="AC48" i="17" s="1"/>
  <c r="AA47" i="17"/>
  <c r="AC47" i="17" s="1"/>
  <c r="AA46" i="17"/>
  <c r="AC46" i="17" s="1"/>
  <c r="AA45" i="17"/>
  <c r="AC45" i="17" s="1"/>
  <c r="AA44" i="17"/>
  <c r="AC44" i="17" s="1"/>
  <c r="AA43" i="17"/>
  <c r="AC43" i="17" s="1"/>
  <c r="AA42" i="17"/>
  <c r="AC42" i="17" s="1"/>
  <c r="AA41" i="17"/>
  <c r="AC41" i="17" s="1"/>
  <c r="AA40" i="17"/>
  <c r="AC40" i="17" s="1"/>
  <c r="AA39" i="17"/>
  <c r="AC39" i="17" s="1"/>
  <c r="AA38" i="17"/>
  <c r="AC38" i="17" s="1"/>
  <c r="AA37" i="17"/>
  <c r="AC37" i="17" s="1"/>
  <c r="AA36" i="17"/>
  <c r="AC36" i="17" s="1"/>
  <c r="AA35" i="17"/>
  <c r="AC35" i="17" s="1"/>
  <c r="AA34" i="17"/>
  <c r="AC34" i="17" s="1"/>
  <c r="AA33" i="17"/>
  <c r="AC33" i="17" s="1"/>
  <c r="AA32" i="17"/>
  <c r="AC32" i="17" s="1"/>
  <c r="AA31" i="17"/>
  <c r="AC31" i="17" s="1"/>
  <c r="AA30" i="17"/>
  <c r="AC30" i="17" s="1"/>
  <c r="AA29" i="17"/>
  <c r="AC29" i="17" s="1"/>
  <c r="AA28" i="17"/>
  <c r="AC28" i="17" s="1"/>
  <c r="AA27" i="17"/>
  <c r="AC27" i="17" s="1"/>
  <c r="AA26" i="17"/>
  <c r="AC26" i="17" s="1"/>
  <c r="AA25" i="17"/>
  <c r="AC25" i="17" s="1"/>
  <c r="AA24" i="17"/>
  <c r="AC24" i="17" s="1"/>
  <c r="AA23" i="17"/>
  <c r="AC23" i="17" s="1"/>
  <c r="AA22" i="17"/>
  <c r="AC22" i="17" s="1"/>
  <c r="AA21" i="17"/>
  <c r="AC21" i="17" s="1"/>
  <c r="AA20" i="17"/>
  <c r="AC20" i="17" s="1"/>
  <c r="AA19" i="17"/>
  <c r="AC19" i="17" s="1"/>
  <c r="AA18" i="17"/>
  <c r="AC18" i="17" s="1"/>
  <c r="AA17" i="17"/>
  <c r="AC17" i="17" s="1"/>
  <c r="AA16" i="17"/>
  <c r="AC16" i="17" s="1"/>
  <c r="AA15" i="17"/>
  <c r="AC15" i="17" s="1"/>
  <c r="AA14" i="17"/>
  <c r="AC14" i="17" s="1"/>
  <c r="AA13" i="17"/>
  <c r="AC13" i="17" s="1"/>
  <c r="AA12" i="17"/>
  <c r="AC12" i="17" s="1"/>
  <c r="AA11" i="17"/>
  <c r="AC11" i="17" s="1"/>
  <c r="AA10" i="17"/>
  <c r="AC10" i="17" s="1"/>
  <c r="AA9" i="17"/>
  <c r="AC9" i="17" s="1"/>
  <c r="AA8" i="17"/>
  <c r="AC8" i="17" s="1"/>
  <c r="AA7" i="17"/>
  <c r="AC7" i="17" s="1"/>
  <c r="AD35" i="17" l="1"/>
  <c r="D13" i="16" s="1"/>
  <c r="AD15" i="17"/>
  <c r="D8" i="16" s="1"/>
  <c r="AD27" i="17"/>
  <c r="D11" i="16" s="1"/>
  <c r="AD7" i="17"/>
  <c r="D6" i="16" s="1"/>
  <c r="AD51" i="17"/>
  <c r="D17" i="16" s="1"/>
  <c r="AD19" i="17"/>
  <c r="D9" i="16" s="1"/>
  <c r="AD43" i="17"/>
  <c r="D15" i="16" s="1"/>
  <c r="AD23" i="17"/>
  <c r="D10" i="16" s="1"/>
  <c r="AD47" i="17"/>
  <c r="D16" i="16" s="1"/>
  <c r="AD39" i="17"/>
  <c r="D14" i="16" s="1"/>
  <c r="AD11" i="17"/>
  <c r="D7" i="16" s="1"/>
  <c r="AD31" i="17"/>
  <c r="D12" i="16" s="1"/>
  <c r="D18" i="16" l="1"/>
  <c r="AD55" i="17"/>
  <c r="C4" i="17" s="1"/>
  <c r="AA54" i="15"/>
  <c r="AC54" i="15" s="1"/>
  <c r="AA53" i="15"/>
  <c r="AC53" i="15" s="1"/>
  <c r="AA52" i="15"/>
  <c r="AC52" i="15" s="1"/>
  <c r="AA51" i="15"/>
  <c r="AC51" i="15" s="1"/>
  <c r="AA50" i="15"/>
  <c r="AC50" i="15" s="1"/>
  <c r="AA49" i="15"/>
  <c r="AC49" i="15" s="1"/>
  <c r="AA48" i="15"/>
  <c r="AC48" i="15" s="1"/>
  <c r="AA47" i="15"/>
  <c r="AC47" i="15" s="1"/>
  <c r="AA46" i="15"/>
  <c r="AC46" i="15" s="1"/>
  <c r="AA45" i="15"/>
  <c r="AC45" i="15" s="1"/>
  <c r="AA44" i="15"/>
  <c r="AC44" i="15" s="1"/>
  <c r="AA43" i="15"/>
  <c r="AC43" i="15" s="1"/>
  <c r="AA42" i="15"/>
  <c r="AC42" i="15" s="1"/>
  <c r="AA41" i="15"/>
  <c r="AC41" i="15" s="1"/>
  <c r="AA40" i="15"/>
  <c r="AC40" i="15" s="1"/>
  <c r="AA39" i="15"/>
  <c r="AC39" i="15" s="1"/>
  <c r="AA38" i="15"/>
  <c r="AC38" i="15" s="1"/>
  <c r="AA37" i="15"/>
  <c r="AC37" i="15" s="1"/>
  <c r="AA36" i="15"/>
  <c r="AC36" i="15" s="1"/>
  <c r="AA35" i="15"/>
  <c r="AC35" i="15" s="1"/>
  <c r="AA33" i="15"/>
  <c r="AC33" i="15" s="1"/>
  <c r="AA32" i="15"/>
  <c r="AC32" i="15" s="1"/>
  <c r="AA31" i="15"/>
  <c r="AC31" i="15" s="1"/>
  <c r="AA30" i="15"/>
  <c r="AC30" i="15" s="1"/>
  <c r="AA29" i="15"/>
  <c r="AC29" i="15" s="1"/>
  <c r="AA28" i="15"/>
  <c r="AC28" i="15" s="1"/>
  <c r="AA27" i="15"/>
  <c r="AC27" i="15" s="1"/>
  <c r="AA26" i="15"/>
  <c r="AC26" i="15" s="1"/>
  <c r="AA25" i="15"/>
  <c r="AC25" i="15" s="1"/>
  <c r="AA24" i="15"/>
  <c r="AC24" i="15" s="1"/>
  <c r="AA23" i="15"/>
  <c r="AC23" i="15" s="1"/>
  <c r="AA22" i="15"/>
  <c r="AC22" i="15" s="1"/>
  <c r="AA21" i="15"/>
  <c r="AC21" i="15" s="1"/>
  <c r="AA20" i="15"/>
  <c r="AC20" i="15" s="1"/>
  <c r="AA19" i="15"/>
  <c r="AC19" i="15" s="1"/>
  <c r="AA18" i="15"/>
  <c r="AC18" i="15" s="1"/>
  <c r="AA17" i="15"/>
  <c r="AC17" i="15" s="1"/>
  <c r="AA16" i="15"/>
  <c r="AC16" i="15" s="1"/>
  <c r="AA15" i="15"/>
  <c r="AC15" i="15" s="1"/>
  <c r="AA14" i="15"/>
  <c r="AC14" i="15" s="1"/>
  <c r="AA13" i="15"/>
  <c r="AC13" i="15" s="1"/>
  <c r="AA12" i="15"/>
  <c r="AC12" i="15" s="1"/>
  <c r="AA11" i="15"/>
  <c r="AC11" i="15" s="1"/>
  <c r="AA10" i="15"/>
  <c r="AC10" i="15" s="1"/>
  <c r="AA9" i="15"/>
  <c r="AC9" i="15" s="1"/>
  <c r="AA8" i="15"/>
  <c r="AC8" i="15" s="1"/>
  <c r="AA7" i="15"/>
  <c r="AC7" i="15" s="1"/>
  <c r="AD7" i="15" l="1"/>
  <c r="C6" i="14" s="1"/>
  <c r="AD15" i="15"/>
  <c r="C8" i="14" s="1"/>
  <c r="AD39" i="15"/>
  <c r="C14" i="14" s="1"/>
  <c r="AD47" i="15"/>
  <c r="C16" i="14" s="1"/>
  <c r="AD27" i="15"/>
  <c r="C11" i="14" s="1"/>
  <c r="AD51" i="15"/>
  <c r="C17" i="14" s="1"/>
  <c r="AD43" i="15"/>
  <c r="C15" i="14" s="1"/>
  <c r="AD19" i="15"/>
  <c r="C9" i="14" s="1"/>
  <c r="AD23" i="15"/>
  <c r="C10" i="14" s="1"/>
  <c r="AD11" i="15"/>
  <c r="C7" i="14" s="1"/>
  <c r="AD35" i="15"/>
  <c r="C13" i="14" s="1"/>
  <c r="AA34" i="15" l="1"/>
  <c r="AC34" i="15" s="1"/>
  <c r="AD31" i="15" s="1"/>
  <c r="C12" i="14" l="1"/>
  <c r="C18" i="14" s="1"/>
  <c r="AD55" i="15"/>
  <c r="C4" i="15" s="1"/>
</calcChain>
</file>

<file path=xl/sharedStrings.xml><?xml version="1.0" encoding="utf-8"?>
<sst xmlns="http://schemas.openxmlformats.org/spreadsheetml/2006/main" count="360" uniqueCount="48">
  <si>
    <t>OFERTA PRODUCTO 1</t>
  </si>
  <si>
    <t>MES</t>
  </si>
  <si>
    <t>ENERGIA  SOLICITADA (kWh)</t>
  </si>
  <si>
    <t>%</t>
  </si>
  <si>
    <t>ENERGIA  OFERTADA (kWh)</t>
  </si>
  <si>
    <t>PRECIO $/kWh</t>
  </si>
  <si>
    <t>$/kWh</t>
  </si>
  <si>
    <t>OFERTA PRODUCTO 2</t>
  </si>
  <si>
    <t>ENERGIA  SOLICITADA (KWh)</t>
  </si>
  <si>
    <t>ENERGIA  OFERTADA (KWh)</t>
  </si>
  <si>
    <t>OFERTA PRODUCTO 3</t>
  </si>
  <si>
    <t>OFERTA PRODUCTO 5</t>
  </si>
  <si>
    <t>Curva de distribucion en kwh</t>
  </si>
  <si>
    <t xml:space="preserve">TOTAL </t>
  </si>
  <si>
    <t>DÍA</t>
  </si>
  <si>
    <t>HORA 01</t>
  </si>
  <si>
    <t>HORA 02</t>
  </si>
  <si>
    <t>HORA 03</t>
  </si>
  <si>
    <t>HORA 04</t>
  </si>
  <si>
    <t>HORA 05</t>
  </si>
  <si>
    <t>HORA 06</t>
  </si>
  <si>
    <t>HORA 07</t>
  </si>
  <si>
    <t>HORA 08</t>
  </si>
  <si>
    <t>HORA 09</t>
  </si>
  <si>
    <t>HORA 10</t>
  </si>
  <si>
    <t>HORA 11</t>
  </si>
  <si>
    <t>HORA 12</t>
  </si>
  <si>
    <t>HORA 13</t>
  </si>
  <si>
    <t>HORA 14</t>
  </si>
  <si>
    <t>HORA 15</t>
  </si>
  <si>
    <t>HORA 16</t>
  </si>
  <si>
    <t>HORA 17</t>
  </si>
  <si>
    <t>HORA 18</t>
  </si>
  <si>
    <t>HORA 19</t>
  </si>
  <si>
    <t>HORA 20</t>
  </si>
  <si>
    <t>HORA 21</t>
  </si>
  <si>
    <t>HORA 22</t>
  </si>
  <si>
    <t>HORA 23</t>
  </si>
  <si>
    <t>HORA 24</t>
  </si>
  <si>
    <t>TOTAL DÍA</t>
  </si>
  <si>
    <t>NUMERO DÍAS</t>
  </si>
  <si>
    <t>TOTAL DÍA MES</t>
  </si>
  <si>
    <t>TOTAL MES</t>
  </si>
  <si>
    <t>Hábil</t>
  </si>
  <si>
    <t>Sábado</t>
  </si>
  <si>
    <t>Domingo</t>
  </si>
  <si>
    <t>Festivo</t>
  </si>
  <si>
    <t>* La energia a ofertar debe ser expresada únicamente en kilovatio (kWh) redondeado a cero decimales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</si>
</sst>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[$-C0A]mmm\-yy;@"/>
    <numFmt numFmtId="167" formatCode="_(* #,##0_);_(* \(#,##0\);_(* &quot;-&quot;??_);_(@_)"/>
    <numFmt numFmtId="168" formatCode="[$-C0A]dd\-mmm\-yy;@"/>
    <numFmt numFmtId="169" formatCode="0_);\(0\)"/>
    <numFmt numFmtId="170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/>
        </stop>
      </gradientFill>
    </fill>
    <fill>
      <patternFill patternType="solid">
        <fgColor theme="6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C5E0B3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indexed="64"/>
      </left>
      <right style="hair">
        <color indexed="64"/>
      </right>
      <top style="dashDotDot">
        <color indexed="64"/>
      </top>
      <bottom/>
      <diagonal/>
    </border>
    <border>
      <left style="hair">
        <color indexed="64"/>
      </left>
      <right style="hair">
        <color indexed="64"/>
      </right>
      <top style="dashDotDot">
        <color auto="1"/>
      </top>
      <bottom style="hair">
        <color indexed="64"/>
      </bottom>
      <diagonal/>
    </border>
    <border>
      <left style="hair">
        <color indexed="64"/>
      </left>
      <right style="dashDotDot">
        <color indexed="64"/>
      </right>
      <top style="dashDotDot">
        <color indexed="64"/>
      </top>
      <bottom style="hair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indexed="64"/>
      </left>
      <right style="hair">
        <color indexed="64"/>
      </right>
      <top/>
      <bottom style="dashDotDot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hair">
        <color indexed="64"/>
      </left>
      <right style="dashDotDot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ashDotDot">
        <color indexed="64"/>
      </right>
      <top style="hair">
        <color indexed="64"/>
      </top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5" fillId="0" borderId="0"/>
    <xf numFmtId="17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7">
    <xf numFmtId="0" fontId="0" fillId="0" borderId="0" xfId="0"/>
    <xf numFmtId="17" fontId="0" fillId="0" borderId="5" xfId="0" applyNumberFormat="1" applyBorder="1" applyAlignment="1">
      <alignment horizontal="left"/>
    </xf>
    <xf numFmtId="43" fontId="0" fillId="0" borderId="6" xfId="1" applyFont="1" applyBorder="1"/>
    <xf numFmtId="2" fontId="0" fillId="0" borderId="6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left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7" fontId="0" fillId="0" borderId="5" xfId="0" applyNumberFormat="1" applyBorder="1" applyAlignment="1">
      <alignment horizontal="center"/>
    </xf>
    <xf numFmtId="164" fontId="0" fillId="0" borderId="6" xfId="1" applyNumberFormat="1" applyFont="1" applyBorder="1"/>
    <xf numFmtId="17" fontId="0" fillId="0" borderId="10" xfId="0" applyNumberFormat="1" applyBorder="1" applyAlignment="1">
      <alignment horizontal="center"/>
    </xf>
    <xf numFmtId="164" fontId="0" fillId="0" borderId="11" xfId="1" applyNumberFormat="1" applyFont="1" applyBorder="1"/>
    <xf numFmtId="0" fontId="0" fillId="0" borderId="11" xfId="0" applyBorder="1"/>
    <xf numFmtId="164" fontId="2" fillId="0" borderId="14" xfId="0" applyNumberFormat="1" applyFont="1" applyBorder="1"/>
    <xf numFmtId="17" fontId="0" fillId="0" borderId="6" xfId="0" applyNumberFormat="1" applyBorder="1" applyAlignment="1">
      <alignment horizontal="center"/>
    </xf>
    <xf numFmtId="0" fontId="0" fillId="0" borderId="6" xfId="0" applyBorder="1"/>
    <xf numFmtId="164" fontId="0" fillId="0" borderId="14" xfId="0" applyNumberFormat="1" applyBorder="1"/>
    <xf numFmtId="164" fontId="0" fillId="0" borderId="0" xfId="0" applyNumberFormat="1"/>
    <xf numFmtId="166" fontId="3" fillId="4" borderId="18" xfId="2" applyNumberFormat="1" applyFont="1" applyFill="1" applyBorder="1" applyAlignment="1">
      <alignment horizontal="center" vertical="center" wrapText="1"/>
    </xf>
    <xf numFmtId="168" fontId="3" fillId="4" borderId="18" xfId="2" applyNumberFormat="1" applyFont="1" applyFill="1" applyBorder="1" applyAlignment="1">
      <alignment horizontal="center" vertical="center" wrapText="1"/>
    </xf>
    <xf numFmtId="166" fontId="3" fillId="0" borderId="18" xfId="2" applyNumberFormat="1" applyFont="1" applyFill="1" applyBorder="1" applyAlignment="1">
      <alignment horizontal="center" vertical="center" wrapText="1"/>
    </xf>
    <xf numFmtId="1" fontId="3" fillId="0" borderId="18" xfId="2" applyNumberFormat="1" applyFont="1" applyFill="1" applyBorder="1" applyAlignment="1">
      <alignment horizontal="center" vertical="center" wrapText="1"/>
    </xf>
    <xf numFmtId="168" fontId="4" fillId="0" borderId="20" xfId="2" applyNumberFormat="1" applyFont="1" applyBorder="1" applyAlignment="1">
      <alignment horizontal="center" vertical="center" wrapText="1"/>
    </xf>
    <xf numFmtId="167" fontId="4" fillId="0" borderId="20" xfId="2" applyNumberFormat="1" applyFont="1" applyBorder="1" applyAlignment="1">
      <alignment vertical="center" wrapText="1"/>
    </xf>
    <xf numFmtId="167" fontId="4" fillId="0" borderId="21" xfId="2" applyNumberFormat="1" applyFont="1" applyBorder="1" applyAlignment="1">
      <alignment vertical="center" wrapText="1"/>
    </xf>
    <xf numFmtId="169" fontId="4" fillId="0" borderId="21" xfId="2" applyNumberFormat="1" applyFont="1" applyBorder="1" applyAlignment="1">
      <alignment horizontal="center" vertical="center" wrapText="1"/>
    </xf>
    <xf numFmtId="168" fontId="4" fillId="0" borderId="24" xfId="2" applyNumberFormat="1" applyFont="1" applyBorder="1" applyAlignment="1">
      <alignment horizontal="center" vertical="center" wrapText="1"/>
    </xf>
    <xf numFmtId="168" fontId="4" fillId="0" borderId="27" xfId="2" applyNumberFormat="1" applyFont="1" applyBorder="1" applyAlignment="1">
      <alignment horizontal="center" vertical="center" wrapText="1"/>
    </xf>
    <xf numFmtId="43" fontId="0" fillId="0" borderId="0" xfId="1" applyFont="1"/>
    <xf numFmtId="43" fontId="0" fillId="0" borderId="0" xfId="0" applyNumberFormat="1"/>
    <xf numFmtId="0" fontId="0" fillId="6" borderId="0" xfId="0" applyFill="1"/>
    <xf numFmtId="166" fontId="3" fillId="6" borderId="18" xfId="2" applyNumberFormat="1" applyFont="1" applyFill="1" applyBorder="1" applyAlignment="1">
      <alignment horizontal="center" vertical="center" wrapText="1"/>
    </xf>
    <xf numFmtId="1" fontId="3" fillId="6" borderId="18" xfId="2" applyNumberFormat="1" applyFont="1" applyFill="1" applyBorder="1" applyAlignment="1">
      <alignment horizontal="center" vertical="center" wrapText="1"/>
    </xf>
    <xf numFmtId="168" fontId="4" fillId="6" borderId="20" xfId="2" applyNumberFormat="1" applyFont="1" applyFill="1" applyBorder="1" applyAlignment="1">
      <alignment horizontal="center" vertical="center" wrapText="1"/>
    </xf>
    <xf numFmtId="167" fontId="4" fillId="6" borderId="21" xfId="2" applyNumberFormat="1" applyFont="1" applyFill="1" applyBorder="1" applyAlignment="1">
      <alignment vertical="center" wrapText="1"/>
    </xf>
    <xf numFmtId="169" fontId="4" fillId="6" borderId="21" xfId="2" applyNumberFormat="1" applyFont="1" applyFill="1" applyBorder="1" applyAlignment="1">
      <alignment horizontal="center" vertical="center" wrapText="1"/>
    </xf>
    <xf numFmtId="168" fontId="4" fillId="6" borderId="24" xfId="2" applyNumberFormat="1" applyFont="1" applyFill="1" applyBorder="1" applyAlignment="1">
      <alignment horizontal="center" vertical="center" wrapText="1"/>
    </xf>
    <xf numFmtId="168" fontId="4" fillId="6" borderId="27" xfId="2" applyNumberFormat="1" applyFont="1" applyFill="1" applyBorder="1" applyAlignment="1">
      <alignment horizontal="center" vertical="center" wrapText="1"/>
    </xf>
    <xf numFmtId="43" fontId="2" fillId="0" borderId="14" xfId="0" applyNumberFormat="1" applyFont="1" applyBorder="1"/>
    <xf numFmtId="169" fontId="4" fillId="0" borderId="29" xfId="2" applyNumberFormat="1" applyFont="1" applyBorder="1" applyAlignment="1">
      <alignment horizontal="center" vertical="center" wrapText="1"/>
    </xf>
    <xf numFmtId="169" fontId="4" fillId="0" borderId="30" xfId="2" applyNumberFormat="1" applyFont="1" applyBorder="1" applyAlignment="1">
      <alignment horizontal="center" vertical="center" wrapText="1"/>
    </xf>
    <xf numFmtId="164" fontId="0" fillId="0" borderId="0" xfId="1" applyNumberFormat="1" applyFont="1"/>
    <xf numFmtId="3" fontId="0" fillId="0" borderId="0" xfId="0" applyNumberFormat="1"/>
    <xf numFmtId="0" fontId="7" fillId="7" borderId="31" xfId="4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43" fontId="0" fillId="0" borderId="11" xfId="1" applyFont="1" applyBorder="1"/>
    <xf numFmtId="167" fontId="2" fillId="3" borderId="0" xfId="0" applyNumberFormat="1" applyFont="1" applyFill="1"/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9" fontId="0" fillId="0" borderId="1" xfId="1" applyNumberFormat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0" fontId="0" fillId="0" borderId="0" xfId="0" applyAlignment="1">
      <alignment horizontal="justify" wrapText="1"/>
    </xf>
    <xf numFmtId="166" fontId="4" fillId="0" borderId="19" xfId="2" applyNumberFormat="1" applyFont="1" applyBorder="1" applyAlignment="1">
      <alignment horizontal="center" vertical="center" wrapText="1"/>
    </xf>
    <xf numFmtId="166" fontId="4" fillId="0" borderId="23" xfId="2" applyNumberFormat="1" applyFont="1" applyBorder="1" applyAlignment="1">
      <alignment horizontal="center" vertical="center" wrapText="1"/>
    </xf>
    <xf numFmtId="166" fontId="4" fillId="0" borderId="26" xfId="2" applyNumberFormat="1" applyFont="1" applyBorder="1" applyAlignment="1">
      <alignment horizontal="center" vertical="center" wrapText="1"/>
    </xf>
    <xf numFmtId="167" fontId="4" fillId="0" borderId="22" xfId="2" applyNumberFormat="1" applyFont="1" applyBorder="1" applyAlignment="1">
      <alignment horizontal="center" vertical="center" wrapText="1"/>
    </xf>
    <xf numFmtId="167" fontId="4" fillId="0" borderId="25" xfId="2" applyNumberFormat="1" applyFont="1" applyBorder="1" applyAlignment="1">
      <alignment horizontal="center" vertical="center" wrapText="1"/>
    </xf>
    <xf numFmtId="167" fontId="4" fillId="0" borderId="28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6" fontId="3" fillId="4" borderId="16" xfId="2" applyNumberFormat="1" applyFont="1" applyFill="1" applyBorder="1" applyAlignment="1">
      <alignment horizontal="center" vertical="center" wrapText="1"/>
    </xf>
    <xf numFmtId="166" fontId="3" fillId="4" borderId="17" xfId="2" applyNumberFormat="1" applyFont="1" applyFill="1" applyBorder="1" applyAlignment="1">
      <alignment horizontal="center" vertical="center" wrapText="1"/>
    </xf>
    <xf numFmtId="167" fontId="3" fillId="5" borderId="16" xfId="2" applyNumberFormat="1" applyFont="1" applyFill="1" applyBorder="1" applyAlignment="1">
      <alignment horizontal="center" vertical="center" wrapText="1"/>
    </xf>
    <xf numFmtId="167" fontId="3" fillId="5" borderId="17" xfId="2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166" fontId="3" fillId="4" borderId="18" xfId="2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43" fontId="0" fillId="0" borderId="15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6" fontId="4" fillId="6" borderId="19" xfId="2" applyNumberFormat="1" applyFont="1" applyFill="1" applyBorder="1" applyAlignment="1">
      <alignment horizontal="center" vertical="center" wrapText="1"/>
    </xf>
    <xf numFmtId="166" fontId="4" fillId="6" borderId="23" xfId="2" applyNumberFormat="1" applyFont="1" applyFill="1" applyBorder="1" applyAlignment="1">
      <alignment horizontal="center" vertical="center" wrapText="1"/>
    </xf>
    <xf numFmtId="166" fontId="4" fillId="6" borderId="26" xfId="2" applyNumberFormat="1" applyFont="1" applyFill="1" applyBorder="1" applyAlignment="1">
      <alignment horizontal="center" vertical="center" wrapText="1"/>
    </xf>
    <xf numFmtId="167" fontId="4" fillId="6" borderId="22" xfId="2" applyNumberFormat="1" applyFont="1" applyFill="1" applyBorder="1" applyAlignment="1">
      <alignment horizontal="center" vertical="center" wrapText="1"/>
    </xf>
    <xf numFmtId="167" fontId="4" fillId="6" borderId="25" xfId="2" applyNumberFormat="1" applyFont="1" applyFill="1" applyBorder="1" applyAlignment="1">
      <alignment horizontal="center" vertical="center" wrapText="1"/>
    </xf>
    <xf numFmtId="167" fontId="4" fillId="6" borderId="28" xfId="2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center"/>
    </xf>
  </cellXfs>
  <cellStyles count="10">
    <cellStyle name="Hipervínculo" xfId="9" xr:uid="{A6C1D0A9-8A59-4ED4-AB42-01F00E4DF0B0}"/>
    <cellStyle name="Millares" xfId="1" builtinId="3"/>
    <cellStyle name="Millares [0] 2" xfId="3" xr:uid="{9AA47B74-586C-4EB3-A64B-1CA2623FD25D}"/>
    <cellStyle name="Millares 2" xfId="8" xr:uid="{519D4CAA-9C02-43A2-9BF2-3E79ADED5710}"/>
    <cellStyle name="Millares 2 2 2" xfId="2" xr:uid="{F3EF14F5-8C09-446A-8A64-95C276110155}"/>
    <cellStyle name="Millares 3" xfId="6" xr:uid="{90FBDCC2-E5A3-4509-8584-0E17DCCEF5AA}"/>
    <cellStyle name="Normal" xfId="0" builtinId="0"/>
    <cellStyle name="Normal 2" xfId="4" xr:uid="{14FFD09C-F474-42A4-87A1-8E5B8BFBC77F}"/>
    <cellStyle name="Normal 2 2 3" xfId="5" xr:uid="{7A8B2A5B-3373-41DF-97EC-0414CC33D333}"/>
    <cellStyle name="Porcentaje 2" xfId="7" xr:uid="{B560073C-CEE0-45AC-B1AA-5081C21E2EB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6C5F6B4-4E91-41A3-94DD-2DFC918A35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61F0-16FB-44F2-999C-74A724C4333F}">
  <dimension ref="B1:K21"/>
  <sheetViews>
    <sheetView showGridLines="0" topLeftCell="A5" zoomScaleNormal="100" workbookViewId="0">
      <selection activeCell="B1" sqref="B1:G18"/>
    </sheetView>
  </sheetViews>
  <sheetFormatPr baseColWidth="10" defaultRowHeight="14.5" x14ac:dyDescent="0.35"/>
  <cols>
    <col min="1" max="1" width="5.54296875" customWidth="1"/>
    <col min="2" max="2" width="10.90625" style="6"/>
    <col min="3" max="3" width="15.1796875" style="17" customWidth="1"/>
    <col min="4" max="4" width="15.1796875" bestFit="1" customWidth="1"/>
    <col min="5" max="5" width="12.54296875" customWidth="1"/>
    <col min="6" max="6" width="8.81640625" style="7" customWidth="1"/>
    <col min="7" max="7" width="5" customWidth="1"/>
    <col min="8" max="8" width="11.7265625" customWidth="1"/>
  </cols>
  <sheetData>
    <row r="1" spans="2:11" ht="14.5" customHeight="1" x14ac:dyDescent="0.35">
      <c r="B1" s="55" t="s">
        <v>47</v>
      </c>
      <c r="C1" s="55"/>
      <c r="D1" s="55"/>
      <c r="E1" s="55"/>
      <c r="F1" s="55"/>
      <c r="G1" s="44"/>
      <c r="H1" s="44"/>
    </row>
    <row r="2" spans="2:11" x14ac:dyDescent="0.35">
      <c r="B2" s="55"/>
      <c r="C2" s="55"/>
      <c r="D2" s="55"/>
      <c r="E2" s="55"/>
      <c r="F2" s="55"/>
    </row>
    <row r="4" spans="2:11" ht="15" thickBot="1" x14ac:dyDescent="0.4">
      <c r="B4" s="48" t="s">
        <v>0</v>
      </c>
      <c r="C4" s="48"/>
      <c r="D4" s="48"/>
      <c r="E4" s="48"/>
      <c r="F4" s="48"/>
    </row>
    <row r="5" spans="2:11" ht="32" thickBot="1" x14ac:dyDescent="0.4">
      <c r="B5" s="43" t="s">
        <v>1</v>
      </c>
      <c r="C5" s="43" t="s">
        <v>2</v>
      </c>
      <c r="D5" s="43" t="s">
        <v>3</v>
      </c>
      <c r="E5" s="43" t="s">
        <v>4</v>
      </c>
      <c r="F5" s="43" t="s">
        <v>5</v>
      </c>
    </row>
    <row r="6" spans="2:11" x14ac:dyDescent="0.35">
      <c r="B6" s="1">
        <v>45658</v>
      </c>
      <c r="C6" s="2">
        <f>+VLOOKUP(B6,'CURVA P1'!$A$7:$AD$56,30,FALSE)</f>
        <v>0</v>
      </c>
      <c r="D6" s="49" t="s">
        <v>3</v>
      </c>
      <c r="E6" s="3"/>
      <c r="F6" s="52" t="s">
        <v>6</v>
      </c>
      <c r="K6" s="17"/>
    </row>
    <row r="7" spans="2:11" x14ac:dyDescent="0.35">
      <c r="B7" s="1">
        <v>45689</v>
      </c>
      <c r="C7" s="9">
        <f>+VLOOKUP(B7,'CURVA P1'!$A$7:$AD$56,30,FALSE)</f>
        <v>0</v>
      </c>
      <c r="D7" s="50"/>
      <c r="E7" s="3"/>
      <c r="F7" s="53"/>
      <c r="K7" s="17"/>
    </row>
    <row r="8" spans="2:11" x14ac:dyDescent="0.35">
      <c r="B8" s="1">
        <v>45717</v>
      </c>
      <c r="C8" s="9">
        <f>+VLOOKUP(B8,'CURVA P1'!$A$7:$AD$56,30,FALSE)</f>
        <v>0</v>
      </c>
      <c r="D8" s="50"/>
      <c r="E8" s="3"/>
      <c r="F8" s="53"/>
      <c r="K8" s="17"/>
    </row>
    <row r="9" spans="2:11" x14ac:dyDescent="0.35">
      <c r="B9" s="1">
        <v>45748</v>
      </c>
      <c r="C9" s="9">
        <f>+VLOOKUP(B9,'CURVA P1'!$A$7:$AD$56,30,FALSE)</f>
        <v>0</v>
      </c>
      <c r="D9" s="50"/>
      <c r="E9" s="3"/>
      <c r="F9" s="53"/>
      <c r="K9" s="17"/>
    </row>
    <row r="10" spans="2:11" x14ac:dyDescent="0.35">
      <c r="B10" s="1">
        <v>45778</v>
      </c>
      <c r="C10" s="9">
        <f>+VLOOKUP(B10,'CURVA P1'!$A$7:$AD$56,30,FALSE)</f>
        <v>0</v>
      </c>
      <c r="D10" s="50"/>
      <c r="E10" s="3"/>
      <c r="F10" s="53"/>
      <c r="K10" s="17"/>
    </row>
    <row r="11" spans="2:11" x14ac:dyDescent="0.35">
      <c r="B11" s="1">
        <v>45809</v>
      </c>
      <c r="C11" s="2">
        <f>+VLOOKUP(B11,'CURVA P1'!$A$7:$AD$56,30,FALSE)</f>
        <v>12840833</v>
      </c>
      <c r="D11" s="50"/>
      <c r="E11" s="3"/>
      <c r="F11" s="53"/>
      <c r="K11" s="17"/>
    </row>
    <row r="12" spans="2:11" x14ac:dyDescent="0.35">
      <c r="B12" s="1">
        <v>45839</v>
      </c>
      <c r="C12" s="2">
        <f>+VLOOKUP(B12,'CURVA P1'!$A$7:$AD$56,30,FALSE)</f>
        <v>10406781</v>
      </c>
      <c r="D12" s="50"/>
      <c r="E12" s="3"/>
      <c r="F12" s="53"/>
      <c r="K12" s="17"/>
    </row>
    <row r="13" spans="2:11" x14ac:dyDescent="0.35">
      <c r="B13" s="1">
        <v>45870</v>
      </c>
      <c r="C13" s="2">
        <f>+VLOOKUP(B13,'CURVA P1'!$A$7:$AD$56,30,FALSE)</f>
        <v>19335230</v>
      </c>
      <c r="D13" s="50"/>
      <c r="E13" s="3"/>
      <c r="F13" s="53"/>
      <c r="K13" s="17"/>
    </row>
    <row r="14" spans="2:11" x14ac:dyDescent="0.35">
      <c r="B14" s="1">
        <v>45901</v>
      </c>
      <c r="C14" s="2">
        <f>+VLOOKUP(B14,'CURVA P1'!$A$7:$AD$56,30,FALSE)</f>
        <v>20046668</v>
      </c>
      <c r="D14" s="50"/>
      <c r="E14" s="3"/>
      <c r="F14" s="53"/>
      <c r="K14" s="17"/>
    </row>
    <row r="15" spans="2:11" x14ac:dyDescent="0.35">
      <c r="B15" s="1">
        <v>45931</v>
      </c>
      <c r="C15" s="2">
        <f>+VLOOKUP(B15,'CURVA P1'!$A$7:$AD$56,30,FALSE)</f>
        <v>19031170</v>
      </c>
      <c r="D15" s="50"/>
      <c r="E15" s="3"/>
      <c r="F15" s="53"/>
      <c r="K15" s="17"/>
    </row>
    <row r="16" spans="2:11" x14ac:dyDescent="0.35">
      <c r="B16" s="1">
        <v>45962</v>
      </c>
      <c r="C16" s="2">
        <f>+VLOOKUP(B16,'CURVA P1'!$A$7:$AD$56,30,FALSE)</f>
        <v>19158612</v>
      </c>
      <c r="D16" s="50"/>
      <c r="E16" s="3"/>
      <c r="F16" s="53"/>
      <c r="K16" s="17"/>
    </row>
    <row r="17" spans="2:11" ht="15" thickBot="1" x14ac:dyDescent="0.4">
      <c r="B17" s="4">
        <v>45992</v>
      </c>
      <c r="C17" s="45">
        <f>+VLOOKUP(B17,'CURVA P1'!$A$7:$AD$56,30,FALSE)</f>
        <v>14734391</v>
      </c>
      <c r="D17" s="51"/>
      <c r="E17" s="5"/>
      <c r="F17" s="54"/>
      <c r="K17" s="17"/>
    </row>
    <row r="18" spans="2:11" ht="15" thickBot="1" x14ac:dyDescent="0.4">
      <c r="C18" s="38">
        <f>+SUM(C6:C17)</f>
        <v>115553685</v>
      </c>
    </row>
    <row r="20" spans="2:11" x14ac:dyDescent="0.35">
      <c r="C20" s="29"/>
    </row>
    <row r="21" spans="2:11" x14ac:dyDescent="0.35">
      <c r="C21" s="29"/>
    </row>
  </sheetData>
  <mergeCells count="4">
    <mergeCell ref="B4:F4"/>
    <mergeCell ref="D6:D17"/>
    <mergeCell ref="F6:F17"/>
    <mergeCell ref="B1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5FE1-D095-476B-99B4-812D0AC11289}">
  <dimension ref="A1:AH55"/>
  <sheetViews>
    <sheetView showGridLines="0" tabSelected="1" zoomScaleNormal="100" workbookViewId="0">
      <selection sqref="A1:L18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10.08984375" bestFit="1" customWidth="1"/>
    <col min="27" max="27" width="10.1796875" customWidth="1"/>
    <col min="28" max="28" width="10.453125" bestFit="1" customWidth="1"/>
    <col min="29" max="29" width="12.1796875" bestFit="1" customWidth="1"/>
    <col min="30" max="30" width="14.54296875" bestFit="1" customWidth="1"/>
    <col min="31" max="31" width="11.08984375" bestFit="1" customWidth="1"/>
    <col min="32" max="32" width="13.54296875" style="28" bestFit="1" customWidth="1"/>
  </cols>
  <sheetData>
    <row r="1" spans="1:30" x14ac:dyDescent="0.35">
      <c r="A1" s="62" t="s">
        <v>12</v>
      </c>
      <c r="B1" s="62"/>
      <c r="C1" s="62"/>
      <c r="D1" s="62"/>
    </row>
    <row r="2" spans="1:30" x14ac:dyDescent="0.35">
      <c r="A2" s="63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4" spans="1:30" x14ac:dyDescent="0.35">
      <c r="A4" s="64" t="s">
        <v>13</v>
      </c>
      <c r="B4" s="65"/>
      <c r="C4" s="66">
        <f>+AD55</f>
        <v>115553685</v>
      </c>
      <c r="D4" s="6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 x14ac:dyDescent="0.35">
      <c r="A5" s="18" t="s">
        <v>1</v>
      </c>
      <c r="B5" s="19" t="s">
        <v>14</v>
      </c>
      <c r="C5" s="18" t="s">
        <v>15</v>
      </c>
      <c r="D5" s="18" t="s">
        <v>16</v>
      </c>
      <c r="E5" s="18" t="s">
        <v>17</v>
      </c>
      <c r="F5" s="18" t="s">
        <v>18</v>
      </c>
      <c r="G5" s="18" t="s">
        <v>19</v>
      </c>
      <c r="H5" s="18" t="s">
        <v>20</v>
      </c>
      <c r="I5" s="18" t="s">
        <v>21</v>
      </c>
      <c r="J5" s="18" t="s">
        <v>22</v>
      </c>
      <c r="K5" s="18" t="s">
        <v>23</v>
      </c>
      <c r="L5" s="18" t="s">
        <v>24</v>
      </c>
      <c r="M5" s="18" t="s">
        <v>25</v>
      </c>
      <c r="N5" s="18" t="s">
        <v>26</v>
      </c>
      <c r="O5" s="18" t="s">
        <v>27</v>
      </c>
      <c r="P5" s="18" t="s">
        <v>28</v>
      </c>
      <c r="Q5" s="18" t="s">
        <v>29</v>
      </c>
      <c r="R5" s="18" t="s">
        <v>30</v>
      </c>
      <c r="S5" s="18" t="s">
        <v>31</v>
      </c>
      <c r="T5" s="18" t="s">
        <v>32</v>
      </c>
      <c r="U5" s="18" t="s">
        <v>33</v>
      </c>
      <c r="V5" s="18" t="s">
        <v>34</v>
      </c>
      <c r="W5" s="18" t="s">
        <v>35</v>
      </c>
      <c r="X5" s="18" t="s">
        <v>36</v>
      </c>
      <c r="Y5" s="18" t="s">
        <v>37</v>
      </c>
      <c r="Z5" s="18" t="s">
        <v>38</v>
      </c>
      <c r="AA5" s="18" t="s">
        <v>39</v>
      </c>
      <c r="AB5" s="18" t="s">
        <v>40</v>
      </c>
      <c r="AC5" s="18" t="s">
        <v>41</v>
      </c>
      <c r="AD5" s="18" t="s">
        <v>42</v>
      </c>
    </row>
    <row r="6" spans="1:30" hidden="1" x14ac:dyDescent="0.35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x14ac:dyDescent="0.35">
      <c r="A7" s="56">
        <v>45658</v>
      </c>
      <c r="B7" s="22" t="s">
        <v>43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4">
        <f>+SUM(C7:Z7)</f>
        <v>0</v>
      </c>
      <c r="AB7" s="25">
        <v>21</v>
      </c>
      <c r="AC7" s="24">
        <f>+AA7*AB7</f>
        <v>0</v>
      </c>
      <c r="AD7" s="59">
        <f>+SUM(AC7:AC10)</f>
        <v>0</v>
      </c>
    </row>
    <row r="8" spans="1:30" x14ac:dyDescent="0.35">
      <c r="A8" s="57"/>
      <c r="B8" s="26" t="s">
        <v>44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4">
        <f t="shared" ref="AA8:AA26" si="0">+SUM(C8:Z8)</f>
        <v>0</v>
      </c>
      <c r="AB8" s="39">
        <v>4</v>
      </c>
      <c r="AC8" s="24">
        <f t="shared" ref="AC8:AC26" si="1">+AA8*AB8</f>
        <v>0</v>
      </c>
      <c r="AD8" s="60"/>
    </row>
    <row r="9" spans="1:30" x14ac:dyDescent="0.35">
      <c r="A9" s="57"/>
      <c r="B9" s="26" t="s">
        <v>45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4">
        <f t="shared" si="0"/>
        <v>0</v>
      </c>
      <c r="AB9" s="39">
        <v>4</v>
      </c>
      <c r="AC9" s="24">
        <f t="shared" si="1"/>
        <v>0</v>
      </c>
      <c r="AD9" s="60"/>
    </row>
    <row r="10" spans="1:30" x14ac:dyDescent="0.35">
      <c r="A10" s="58"/>
      <c r="B10" s="27" t="s">
        <v>46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4">
        <f t="shared" si="0"/>
        <v>0</v>
      </c>
      <c r="AB10" s="40">
        <v>2</v>
      </c>
      <c r="AC10" s="24">
        <f t="shared" si="1"/>
        <v>0</v>
      </c>
      <c r="AD10" s="61"/>
    </row>
    <row r="11" spans="1:30" x14ac:dyDescent="0.35">
      <c r="A11" s="56">
        <v>45689</v>
      </c>
      <c r="B11" s="22" t="s">
        <v>43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4">
        <f t="shared" si="0"/>
        <v>0</v>
      </c>
      <c r="AB11" s="25">
        <v>20</v>
      </c>
      <c r="AC11" s="24">
        <f t="shared" si="1"/>
        <v>0</v>
      </c>
      <c r="AD11" s="59">
        <f>+SUM(AC11:AC14)</f>
        <v>0</v>
      </c>
    </row>
    <row r="12" spans="1:30" x14ac:dyDescent="0.35">
      <c r="A12" s="57"/>
      <c r="B12" s="26" t="s">
        <v>44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4">
        <f t="shared" si="0"/>
        <v>0</v>
      </c>
      <c r="AB12" s="39">
        <v>4</v>
      </c>
      <c r="AC12" s="24">
        <f t="shared" si="1"/>
        <v>0</v>
      </c>
      <c r="AD12" s="60"/>
    </row>
    <row r="13" spans="1:30" x14ac:dyDescent="0.35">
      <c r="A13" s="57"/>
      <c r="B13" s="26" t="s">
        <v>45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4">
        <f t="shared" si="0"/>
        <v>0</v>
      </c>
      <c r="AB13" s="39">
        <v>4</v>
      </c>
      <c r="AC13" s="24">
        <f t="shared" si="1"/>
        <v>0</v>
      </c>
      <c r="AD13" s="60"/>
    </row>
    <row r="14" spans="1:30" x14ac:dyDescent="0.35">
      <c r="A14" s="58"/>
      <c r="B14" s="27" t="s">
        <v>46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4">
        <f t="shared" si="0"/>
        <v>0</v>
      </c>
      <c r="AB14" s="40">
        <v>0</v>
      </c>
      <c r="AC14" s="24">
        <f t="shared" si="1"/>
        <v>0</v>
      </c>
      <c r="AD14" s="61"/>
    </row>
    <row r="15" spans="1:30" x14ac:dyDescent="0.35">
      <c r="A15" s="56">
        <v>45717</v>
      </c>
      <c r="B15" s="22" t="s">
        <v>43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4">
        <f t="shared" si="0"/>
        <v>0</v>
      </c>
      <c r="AB15" s="25">
        <v>20</v>
      </c>
      <c r="AC15" s="24">
        <f t="shared" si="1"/>
        <v>0</v>
      </c>
      <c r="AD15" s="59">
        <f>+SUM(AC15:AC18)</f>
        <v>0</v>
      </c>
    </row>
    <row r="16" spans="1:30" x14ac:dyDescent="0.35">
      <c r="A16" s="57"/>
      <c r="B16" s="26" t="s">
        <v>44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4">
        <f t="shared" si="0"/>
        <v>0</v>
      </c>
      <c r="AB16" s="39">
        <v>5</v>
      </c>
      <c r="AC16" s="24">
        <f t="shared" si="1"/>
        <v>0</v>
      </c>
      <c r="AD16" s="60"/>
    </row>
    <row r="17" spans="1:34" x14ac:dyDescent="0.35">
      <c r="A17" s="57"/>
      <c r="B17" s="26" t="s">
        <v>45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4">
        <f t="shared" si="0"/>
        <v>0</v>
      </c>
      <c r="AB17" s="39">
        <v>5</v>
      </c>
      <c r="AC17" s="24">
        <f t="shared" si="1"/>
        <v>0</v>
      </c>
      <c r="AD17" s="60"/>
    </row>
    <row r="18" spans="1:34" x14ac:dyDescent="0.35">
      <c r="A18" s="58"/>
      <c r="B18" s="27" t="s">
        <v>46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4">
        <f t="shared" si="0"/>
        <v>0</v>
      </c>
      <c r="AB18" s="40">
        <v>1</v>
      </c>
      <c r="AC18" s="24">
        <f t="shared" si="1"/>
        <v>0</v>
      </c>
      <c r="AD18" s="61"/>
    </row>
    <row r="19" spans="1:34" x14ac:dyDescent="0.35">
      <c r="A19" s="56">
        <v>45748</v>
      </c>
      <c r="B19" s="22" t="s">
        <v>43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4">
        <f t="shared" si="0"/>
        <v>0</v>
      </c>
      <c r="AB19" s="25">
        <v>20</v>
      </c>
      <c r="AC19" s="24">
        <f t="shared" si="1"/>
        <v>0</v>
      </c>
      <c r="AD19" s="59">
        <f>+SUM(AC19:AC22)</f>
        <v>0</v>
      </c>
    </row>
    <row r="20" spans="1:34" x14ac:dyDescent="0.35">
      <c r="A20" s="57"/>
      <c r="B20" s="26" t="s">
        <v>44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4">
        <f t="shared" si="0"/>
        <v>0</v>
      </c>
      <c r="AB20" s="39">
        <v>4</v>
      </c>
      <c r="AC20" s="24">
        <f t="shared" si="1"/>
        <v>0</v>
      </c>
      <c r="AD20" s="60"/>
    </row>
    <row r="21" spans="1:34" x14ac:dyDescent="0.35">
      <c r="A21" s="57"/>
      <c r="B21" s="26" t="s">
        <v>45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4">
        <f t="shared" si="0"/>
        <v>0</v>
      </c>
      <c r="AB21" s="39">
        <v>4</v>
      </c>
      <c r="AC21" s="24">
        <f t="shared" si="1"/>
        <v>0</v>
      </c>
      <c r="AD21" s="60"/>
    </row>
    <row r="22" spans="1:34" x14ac:dyDescent="0.35">
      <c r="A22" s="58"/>
      <c r="B22" s="27" t="s">
        <v>46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4">
        <f t="shared" si="0"/>
        <v>0</v>
      </c>
      <c r="AB22" s="40">
        <v>2</v>
      </c>
      <c r="AC22" s="24">
        <f t="shared" si="1"/>
        <v>0</v>
      </c>
      <c r="AD22" s="61"/>
    </row>
    <row r="23" spans="1:34" x14ac:dyDescent="0.35">
      <c r="A23" s="56">
        <v>45778</v>
      </c>
      <c r="B23" s="22" t="s">
        <v>43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4">
        <f t="shared" si="0"/>
        <v>0</v>
      </c>
      <c r="AB23" s="25">
        <v>21</v>
      </c>
      <c r="AC23" s="24">
        <f t="shared" si="1"/>
        <v>0</v>
      </c>
      <c r="AD23" s="59">
        <f>+SUM(AC23:AC26)</f>
        <v>0</v>
      </c>
    </row>
    <row r="24" spans="1:34" x14ac:dyDescent="0.35">
      <c r="A24" s="57"/>
      <c r="B24" s="26" t="s">
        <v>44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4">
        <f t="shared" si="0"/>
        <v>0</v>
      </c>
      <c r="AB24" s="39">
        <v>5</v>
      </c>
      <c r="AC24" s="24">
        <f t="shared" si="1"/>
        <v>0</v>
      </c>
      <c r="AD24" s="60"/>
    </row>
    <row r="25" spans="1:34" x14ac:dyDescent="0.35">
      <c r="A25" s="57"/>
      <c r="B25" s="26" t="s">
        <v>45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4">
        <f t="shared" si="0"/>
        <v>0</v>
      </c>
      <c r="AB25" s="39">
        <v>4</v>
      </c>
      <c r="AC25" s="24">
        <f t="shared" si="1"/>
        <v>0</v>
      </c>
      <c r="AD25" s="60"/>
    </row>
    <row r="26" spans="1:34" x14ac:dyDescent="0.35">
      <c r="A26" s="58"/>
      <c r="B26" s="27" t="s">
        <v>46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4">
        <f t="shared" si="0"/>
        <v>0</v>
      </c>
      <c r="AB26" s="40">
        <v>1</v>
      </c>
      <c r="AC26" s="24">
        <f t="shared" si="1"/>
        <v>0</v>
      </c>
      <c r="AD26" s="61"/>
    </row>
    <row r="27" spans="1:34" x14ac:dyDescent="0.35">
      <c r="A27" s="56">
        <v>45809</v>
      </c>
      <c r="B27" s="22" t="s">
        <v>43</v>
      </c>
      <c r="C27" s="23">
        <v>21320</v>
      </c>
      <c r="D27" s="23">
        <v>19388</v>
      </c>
      <c r="E27" s="23">
        <v>17862</v>
      </c>
      <c r="F27" s="23">
        <v>16855</v>
      </c>
      <c r="G27" s="23">
        <v>16536</v>
      </c>
      <c r="H27" s="23">
        <v>16366</v>
      </c>
      <c r="I27" s="23">
        <v>17810</v>
      </c>
      <c r="J27" s="23">
        <v>12665</v>
      </c>
      <c r="K27" s="23">
        <v>13820</v>
      </c>
      <c r="L27" s="23">
        <v>15239</v>
      </c>
      <c r="M27" s="23">
        <v>16914</v>
      </c>
      <c r="N27" s="23">
        <v>17240</v>
      </c>
      <c r="O27" s="23">
        <v>14363</v>
      </c>
      <c r="P27" s="23">
        <v>18590</v>
      </c>
      <c r="Q27" s="23">
        <v>23693</v>
      </c>
      <c r="R27" s="23">
        <v>25725</v>
      </c>
      <c r="S27" s="23">
        <v>25520</v>
      </c>
      <c r="T27" s="23">
        <v>24697</v>
      </c>
      <c r="U27" s="23">
        <v>24525</v>
      </c>
      <c r="V27" s="23">
        <v>24599</v>
      </c>
      <c r="W27" s="23">
        <v>24400</v>
      </c>
      <c r="X27" s="23">
        <v>23650</v>
      </c>
      <c r="Y27" s="23">
        <v>21598</v>
      </c>
      <c r="Z27" s="23">
        <v>18811</v>
      </c>
      <c r="AA27" s="23">
        <f>+SUM(C27:Z27)</f>
        <v>472186</v>
      </c>
      <c r="AB27" s="25">
        <v>18</v>
      </c>
      <c r="AC27" s="24">
        <f>+AA27*AB27</f>
        <v>8499348</v>
      </c>
      <c r="AD27" s="59">
        <f t="shared" ref="AD27" si="2">+SUM(AC27:AC30)</f>
        <v>12840833</v>
      </c>
      <c r="AE27" s="28"/>
      <c r="AG27" s="28"/>
      <c r="AH27" s="29"/>
    </row>
    <row r="28" spans="1:34" x14ac:dyDescent="0.35">
      <c r="A28" s="57"/>
      <c r="B28" s="26" t="s">
        <v>44</v>
      </c>
      <c r="C28" s="23">
        <v>21247</v>
      </c>
      <c r="D28" s="23">
        <v>19365</v>
      </c>
      <c r="E28" s="23">
        <v>17897</v>
      </c>
      <c r="F28" s="23">
        <v>16761</v>
      </c>
      <c r="G28" s="23">
        <v>16369</v>
      </c>
      <c r="H28" s="23">
        <v>15487</v>
      </c>
      <c r="I28" s="23">
        <v>16968</v>
      </c>
      <c r="J28" s="23">
        <v>11728</v>
      </c>
      <c r="K28" s="23">
        <v>12759</v>
      </c>
      <c r="L28" s="23">
        <v>14230</v>
      </c>
      <c r="M28" s="23">
        <v>15550</v>
      </c>
      <c r="N28" s="23">
        <v>15484</v>
      </c>
      <c r="O28" s="23">
        <v>13936</v>
      </c>
      <c r="P28" s="23">
        <v>14680</v>
      </c>
      <c r="Q28" s="23">
        <v>18065</v>
      </c>
      <c r="R28" s="23">
        <v>20244</v>
      </c>
      <c r="S28" s="23">
        <v>20011</v>
      </c>
      <c r="T28" s="23">
        <v>21393</v>
      </c>
      <c r="U28" s="23">
        <v>22775</v>
      </c>
      <c r="V28" s="23">
        <v>22653</v>
      </c>
      <c r="W28" s="23">
        <v>21792</v>
      </c>
      <c r="X28" s="23">
        <v>20875</v>
      </c>
      <c r="Y28" s="23">
        <v>19681</v>
      </c>
      <c r="Z28" s="23">
        <v>17943</v>
      </c>
      <c r="AA28" s="23">
        <f t="shared" ref="AA28:AA30" si="3">+SUM(C28:Z28)</f>
        <v>427893</v>
      </c>
      <c r="AB28" s="39">
        <v>4</v>
      </c>
      <c r="AC28" s="24">
        <f t="shared" ref="AC28:AC54" si="4">+AA28*AB28</f>
        <v>1711572</v>
      </c>
      <c r="AD28" s="60"/>
      <c r="AE28" s="28"/>
      <c r="AG28" s="28"/>
      <c r="AH28" s="29"/>
    </row>
    <row r="29" spans="1:34" x14ac:dyDescent="0.35">
      <c r="A29" s="57"/>
      <c r="B29" s="26" t="s">
        <v>45</v>
      </c>
      <c r="C29" s="23">
        <v>21115</v>
      </c>
      <c r="D29" s="23">
        <v>19448</v>
      </c>
      <c r="E29" s="23">
        <v>18062</v>
      </c>
      <c r="F29" s="23">
        <v>16856</v>
      </c>
      <c r="G29" s="23">
        <v>16184</v>
      </c>
      <c r="H29" s="23">
        <v>14703</v>
      </c>
      <c r="I29" s="23">
        <v>15035</v>
      </c>
      <c r="J29" s="23">
        <v>7294</v>
      </c>
      <c r="K29" s="23">
        <v>5596</v>
      </c>
      <c r="L29" s="23">
        <v>6369</v>
      </c>
      <c r="M29" s="23">
        <v>6440</v>
      </c>
      <c r="N29" s="23">
        <v>6713</v>
      </c>
      <c r="O29" s="23">
        <v>7513</v>
      </c>
      <c r="P29" s="23">
        <v>8337</v>
      </c>
      <c r="Q29" s="23">
        <v>10647</v>
      </c>
      <c r="R29" s="23">
        <v>12923</v>
      </c>
      <c r="S29" s="23">
        <v>13864</v>
      </c>
      <c r="T29" s="23">
        <v>15995</v>
      </c>
      <c r="U29" s="23">
        <v>18382</v>
      </c>
      <c r="V29" s="23">
        <v>20218</v>
      </c>
      <c r="W29" s="23">
        <v>20592</v>
      </c>
      <c r="X29" s="23">
        <v>21063</v>
      </c>
      <c r="Y29" s="23">
        <v>20129</v>
      </c>
      <c r="Z29" s="23">
        <v>18262</v>
      </c>
      <c r="AA29" s="23">
        <f t="shared" si="3"/>
        <v>341740</v>
      </c>
      <c r="AB29" s="39">
        <v>5</v>
      </c>
      <c r="AC29" s="24">
        <f t="shared" si="4"/>
        <v>1708700</v>
      </c>
      <c r="AD29" s="60"/>
      <c r="AE29" s="28"/>
      <c r="AG29" s="28"/>
      <c r="AH29" s="29"/>
    </row>
    <row r="30" spans="1:34" x14ac:dyDescent="0.35">
      <c r="A30" s="58"/>
      <c r="B30" s="27" t="s">
        <v>46</v>
      </c>
      <c r="C30" s="23">
        <v>17233</v>
      </c>
      <c r="D30" s="23">
        <v>15585</v>
      </c>
      <c r="E30" s="23">
        <v>14370</v>
      </c>
      <c r="F30" s="23">
        <v>13358</v>
      </c>
      <c r="G30" s="23">
        <v>12915</v>
      </c>
      <c r="H30" s="23">
        <v>11846</v>
      </c>
      <c r="I30" s="23">
        <v>12595</v>
      </c>
      <c r="J30" s="23">
        <v>5887</v>
      </c>
      <c r="K30" s="23">
        <v>5688</v>
      </c>
      <c r="L30" s="23">
        <v>7056</v>
      </c>
      <c r="M30" s="23">
        <v>8075</v>
      </c>
      <c r="N30" s="23">
        <v>8299</v>
      </c>
      <c r="O30" s="23">
        <v>8172</v>
      </c>
      <c r="P30" s="23">
        <v>8897</v>
      </c>
      <c r="Q30" s="23">
        <v>10925</v>
      </c>
      <c r="R30" s="23">
        <v>12568</v>
      </c>
      <c r="S30" s="23">
        <v>12656</v>
      </c>
      <c r="T30" s="23">
        <v>14682</v>
      </c>
      <c r="U30" s="23">
        <v>16851</v>
      </c>
      <c r="V30" s="23">
        <v>19280</v>
      </c>
      <c r="W30" s="23">
        <v>19235</v>
      </c>
      <c r="X30" s="23">
        <v>18927</v>
      </c>
      <c r="Y30" s="23">
        <v>17227</v>
      </c>
      <c r="Z30" s="23">
        <v>14744</v>
      </c>
      <c r="AA30" s="23">
        <f t="shared" si="3"/>
        <v>307071</v>
      </c>
      <c r="AB30" s="40">
        <v>3</v>
      </c>
      <c r="AC30" s="24">
        <f t="shared" si="4"/>
        <v>921213</v>
      </c>
      <c r="AD30" s="61"/>
      <c r="AE30" s="28"/>
      <c r="AG30" s="28"/>
      <c r="AH30" s="29"/>
    </row>
    <row r="31" spans="1:34" x14ac:dyDescent="0.35">
      <c r="A31" s="56">
        <v>45839</v>
      </c>
      <c r="B31" s="22" t="s">
        <v>43</v>
      </c>
      <c r="C31" s="23">
        <v>17009</v>
      </c>
      <c r="D31" s="23">
        <v>15144</v>
      </c>
      <c r="E31" s="23">
        <v>13792</v>
      </c>
      <c r="F31" s="23">
        <v>12694</v>
      </c>
      <c r="G31" s="23">
        <v>12344</v>
      </c>
      <c r="H31" s="23">
        <v>12519</v>
      </c>
      <c r="I31" s="23">
        <v>13525</v>
      </c>
      <c r="J31" s="23">
        <v>7935</v>
      </c>
      <c r="K31" s="23">
        <v>8958</v>
      </c>
      <c r="L31" s="23">
        <v>10358</v>
      </c>
      <c r="M31" s="23">
        <v>12020</v>
      </c>
      <c r="N31" s="23">
        <v>11793</v>
      </c>
      <c r="O31" s="23">
        <v>8977</v>
      </c>
      <c r="P31" s="23">
        <v>12941</v>
      </c>
      <c r="Q31" s="23">
        <v>17905</v>
      </c>
      <c r="R31" s="23">
        <v>19863</v>
      </c>
      <c r="S31" s="23">
        <v>19454</v>
      </c>
      <c r="T31" s="23">
        <v>19272</v>
      </c>
      <c r="U31" s="23">
        <v>18925</v>
      </c>
      <c r="V31" s="23">
        <v>19501</v>
      </c>
      <c r="W31" s="23">
        <v>19630</v>
      </c>
      <c r="X31" s="23">
        <v>19052</v>
      </c>
      <c r="Y31" s="23">
        <v>17098</v>
      </c>
      <c r="Z31" s="23">
        <v>14454</v>
      </c>
      <c r="AA31" s="23">
        <f>+SUM(C31:Z31)</f>
        <v>355163</v>
      </c>
      <c r="AB31" s="25">
        <v>23</v>
      </c>
      <c r="AC31" s="24">
        <f t="shared" si="4"/>
        <v>8168749</v>
      </c>
      <c r="AD31" s="59">
        <f t="shared" ref="AD31" si="5">+SUM(AC31:AC34)</f>
        <v>10406781</v>
      </c>
      <c r="AE31" s="28"/>
      <c r="AG31" s="28"/>
      <c r="AH31" s="29"/>
    </row>
    <row r="32" spans="1:34" x14ac:dyDescent="0.35">
      <c r="A32" s="57"/>
      <c r="B32" s="26" t="s">
        <v>44</v>
      </c>
      <c r="C32" s="23">
        <v>15975</v>
      </c>
      <c r="D32" s="23">
        <v>14325</v>
      </c>
      <c r="E32" s="23">
        <v>13062</v>
      </c>
      <c r="F32" s="23">
        <v>12056</v>
      </c>
      <c r="G32" s="23">
        <v>11749</v>
      </c>
      <c r="H32" s="23">
        <v>11057</v>
      </c>
      <c r="I32" s="23">
        <v>12048</v>
      </c>
      <c r="J32" s="23">
        <v>6218</v>
      </c>
      <c r="K32" s="23">
        <v>6930</v>
      </c>
      <c r="L32" s="23">
        <v>8400</v>
      </c>
      <c r="M32" s="23">
        <v>9524</v>
      </c>
      <c r="N32" s="23">
        <v>9860</v>
      </c>
      <c r="O32" s="23">
        <v>8688</v>
      </c>
      <c r="P32" s="23">
        <v>9826</v>
      </c>
      <c r="Q32" s="23">
        <v>12824</v>
      </c>
      <c r="R32" s="23">
        <v>14440</v>
      </c>
      <c r="S32" s="23">
        <v>13991</v>
      </c>
      <c r="T32" s="23">
        <v>15053</v>
      </c>
      <c r="U32" s="23">
        <v>16796</v>
      </c>
      <c r="V32" s="23">
        <v>17912</v>
      </c>
      <c r="W32" s="23">
        <v>17033</v>
      </c>
      <c r="X32" s="23">
        <v>16550</v>
      </c>
      <c r="Y32" s="23">
        <v>15867</v>
      </c>
      <c r="Z32" s="23">
        <v>14522</v>
      </c>
      <c r="AA32" s="23">
        <f t="shared" ref="AA32:AA54" si="6">+SUM(C32:Z32)</f>
        <v>304706</v>
      </c>
      <c r="AB32" s="39">
        <v>4</v>
      </c>
      <c r="AC32" s="24">
        <f t="shared" si="4"/>
        <v>1218824</v>
      </c>
      <c r="AD32" s="60"/>
      <c r="AE32" s="28"/>
      <c r="AG32" s="28"/>
      <c r="AH32" s="29"/>
    </row>
    <row r="33" spans="1:34" x14ac:dyDescent="0.35">
      <c r="A33" s="57"/>
      <c r="B33" s="26" t="s">
        <v>45</v>
      </c>
      <c r="C33" s="23">
        <v>17929</v>
      </c>
      <c r="D33" s="23">
        <v>16204</v>
      </c>
      <c r="E33" s="23">
        <v>14688</v>
      </c>
      <c r="F33" s="23">
        <v>13563</v>
      </c>
      <c r="G33" s="23">
        <v>12789</v>
      </c>
      <c r="H33" s="23">
        <v>11548</v>
      </c>
      <c r="I33" s="23">
        <v>11772</v>
      </c>
      <c r="J33" s="23">
        <v>3204</v>
      </c>
      <c r="K33" s="23">
        <v>1719</v>
      </c>
      <c r="L33" s="23">
        <v>2435</v>
      </c>
      <c r="M33" s="23">
        <v>2718</v>
      </c>
      <c r="N33" s="23">
        <v>2744</v>
      </c>
      <c r="O33" s="23">
        <v>3565</v>
      </c>
      <c r="P33" s="23">
        <v>4550</v>
      </c>
      <c r="Q33" s="23">
        <v>6484</v>
      </c>
      <c r="R33" s="23">
        <v>8810</v>
      </c>
      <c r="S33" s="23">
        <v>9626</v>
      </c>
      <c r="T33" s="23">
        <v>13002</v>
      </c>
      <c r="U33" s="23">
        <v>15033</v>
      </c>
      <c r="V33" s="23">
        <v>16887</v>
      </c>
      <c r="W33" s="23">
        <v>17229</v>
      </c>
      <c r="X33" s="23">
        <v>17468</v>
      </c>
      <c r="Y33" s="23">
        <v>16365</v>
      </c>
      <c r="Z33" s="23">
        <v>14470</v>
      </c>
      <c r="AA33" s="23">
        <f t="shared" si="6"/>
        <v>254802</v>
      </c>
      <c r="AB33" s="39">
        <v>4</v>
      </c>
      <c r="AC33" s="24">
        <f t="shared" si="4"/>
        <v>1019208</v>
      </c>
      <c r="AD33" s="60"/>
      <c r="AE33" s="28"/>
      <c r="AG33" s="28"/>
      <c r="AH33" s="29"/>
    </row>
    <row r="34" spans="1:34" x14ac:dyDescent="0.35">
      <c r="A34" s="58"/>
      <c r="B34" s="27" t="s">
        <v>46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f t="shared" si="6"/>
        <v>0</v>
      </c>
      <c r="AB34" s="40">
        <v>0</v>
      </c>
      <c r="AC34" s="24">
        <f t="shared" si="4"/>
        <v>0</v>
      </c>
      <c r="AD34" s="61"/>
      <c r="AE34" s="28"/>
      <c r="AG34" s="28"/>
      <c r="AH34" s="29"/>
    </row>
    <row r="35" spans="1:34" x14ac:dyDescent="0.35">
      <c r="A35" s="56">
        <v>45870</v>
      </c>
      <c r="B35" s="22" t="s">
        <v>43</v>
      </c>
      <c r="C35" s="23">
        <v>29395</v>
      </c>
      <c r="D35" s="23">
        <v>27394</v>
      </c>
      <c r="E35" s="23">
        <v>25921</v>
      </c>
      <c r="F35" s="23">
        <v>24766</v>
      </c>
      <c r="G35" s="23">
        <v>24351</v>
      </c>
      <c r="H35" s="23">
        <v>24369</v>
      </c>
      <c r="I35" s="23">
        <v>25186</v>
      </c>
      <c r="J35" s="23">
        <v>19821</v>
      </c>
      <c r="K35" s="23">
        <v>20600</v>
      </c>
      <c r="L35" s="23">
        <v>22347</v>
      </c>
      <c r="M35" s="23">
        <v>23970</v>
      </c>
      <c r="N35" s="23">
        <v>24065</v>
      </c>
      <c r="O35" s="23">
        <v>21198</v>
      </c>
      <c r="P35" s="23">
        <v>25790</v>
      </c>
      <c r="Q35" s="23">
        <v>31355</v>
      </c>
      <c r="R35" s="23">
        <v>33374</v>
      </c>
      <c r="S35" s="23">
        <v>33109</v>
      </c>
      <c r="T35" s="23">
        <v>32309</v>
      </c>
      <c r="U35" s="23">
        <v>32128</v>
      </c>
      <c r="V35" s="23">
        <v>32600</v>
      </c>
      <c r="W35" s="23">
        <v>32867</v>
      </c>
      <c r="X35" s="23">
        <v>32625</v>
      </c>
      <c r="Y35" s="23">
        <v>30516</v>
      </c>
      <c r="Z35" s="23">
        <v>27913</v>
      </c>
      <c r="AA35" s="23">
        <f t="shared" si="6"/>
        <v>657969</v>
      </c>
      <c r="AB35" s="25">
        <v>19</v>
      </c>
      <c r="AC35" s="24">
        <f t="shared" si="4"/>
        <v>12501411</v>
      </c>
      <c r="AD35" s="59">
        <f t="shared" ref="AD35" si="7">+SUM(AC35:AC38)</f>
        <v>19335230</v>
      </c>
      <c r="AE35" s="28"/>
      <c r="AG35" s="28"/>
      <c r="AH35" s="29"/>
    </row>
    <row r="36" spans="1:34" x14ac:dyDescent="0.35">
      <c r="A36" s="57"/>
      <c r="B36" s="26" t="s">
        <v>44</v>
      </c>
      <c r="C36" s="23">
        <v>32223</v>
      </c>
      <c r="D36" s="23">
        <v>30064</v>
      </c>
      <c r="E36" s="23">
        <v>28363</v>
      </c>
      <c r="F36" s="23">
        <v>27011</v>
      </c>
      <c r="G36" s="23">
        <v>26328</v>
      </c>
      <c r="H36" s="23">
        <v>25303</v>
      </c>
      <c r="I36" s="23">
        <v>26086</v>
      </c>
      <c r="J36" s="23">
        <v>20696</v>
      </c>
      <c r="K36" s="23">
        <v>21317</v>
      </c>
      <c r="L36" s="23">
        <v>23206</v>
      </c>
      <c r="M36" s="23">
        <v>24150</v>
      </c>
      <c r="N36" s="23">
        <v>24769</v>
      </c>
      <c r="O36" s="23">
        <v>22953</v>
      </c>
      <c r="P36" s="23">
        <v>24156</v>
      </c>
      <c r="Q36" s="23">
        <v>26968</v>
      </c>
      <c r="R36" s="23">
        <v>28562</v>
      </c>
      <c r="S36" s="23">
        <v>28576</v>
      </c>
      <c r="T36" s="23">
        <v>29623</v>
      </c>
      <c r="U36" s="23">
        <v>31514</v>
      </c>
      <c r="V36" s="23">
        <v>31708</v>
      </c>
      <c r="W36" s="23">
        <v>30832</v>
      </c>
      <c r="X36" s="23">
        <v>30891</v>
      </c>
      <c r="Y36" s="23">
        <v>30210</v>
      </c>
      <c r="Z36" s="23">
        <v>28729</v>
      </c>
      <c r="AA36" s="23">
        <f t="shared" si="6"/>
        <v>654238</v>
      </c>
      <c r="AB36" s="39">
        <v>5</v>
      </c>
      <c r="AC36" s="24">
        <f t="shared" si="4"/>
        <v>3271190</v>
      </c>
      <c r="AD36" s="60"/>
      <c r="AE36" s="28"/>
      <c r="AG36" s="28"/>
      <c r="AH36" s="29"/>
    </row>
    <row r="37" spans="1:34" x14ac:dyDescent="0.35">
      <c r="A37" s="57"/>
      <c r="B37" s="26" t="s">
        <v>45</v>
      </c>
      <c r="C37" s="23">
        <v>30512</v>
      </c>
      <c r="D37" s="23">
        <v>28584</v>
      </c>
      <c r="E37" s="23">
        <v>27023</v>
      </c>
      <c r="F37" s="23">
        <v>25757</v>
      </c>
      <c r="G37" s="23">
        <v>24759</v>
      </c>
      <c r="H37" s="23">
        <v>23057</v>
      </c>
      <c r="I37" s="23">
        <v>22880</v>
      </c>
      <c r="J37" s="23">
        <v>14976</v>
      </c>
      <c r="K37" s="23">
        <v>13190</v>
      </c>
      <c r="L37" s="23">
        <v>13016</v>
      </c>
      <c r="M37" s="23">
        <v>13656</v>
      </c>
      <c r="N37" s="23">
        <v>13212</v>
      </c>
      <c r="O37" s="23">
        <v>14203</v>
      </c>
      <c r="P37" s="23">
        <v>16069</v>
      </c>
      <c r="Q37" s="23">
        <v>17969</v>
      </c>
      <c r="R37" s="23">
        <v>20275</v>
      </c>
      <c r="S37" s="23">
        <v>20180</v>
      </c>
      <c r="T37" s="23">
        <v>22906</v>
      </c>
      <c r="U37" s="23">
        <v>25623</v>
      </c>
      <c r="V37" s="23">
        <v>26872</v>
      </c>
      <c r="W37" s="23">
        <v>27288</v>
      </c>
      <c r="X37" s="23">
        <v>27842</v>
      </c>
      <c r="Y37" s="23">
        <v>26747</v>
      </c>
      <c r="Z37" s="23">
        <v>24789</v>
      </c>
      <c r="AA37" s="23">
        <f t="shared" si="6"/>
        <v>521385</v>
      </c>
      <c r="AB37" s="39">
        <v>5</v>
      </c>
      <c r="AC37" s="24">
        <f t="shared" si="4"/>
        <v>2606925</v>
      </c>
      <c r="AD37" s="60"/>
      <c r="AE37" s="28"/>
      <c r="AG37" s="28"/>
      <c r="AH37" s="29"/>
    </row>
    <row r="38" spans="1:34" x14ac:dyDescent="0.35">
      <c r="A38" s="58"/>
      <c r="B38" s="27" t="s">
        <v>46</v>
      </c>
      <c r="C38" s="23">
        <v>23887</v>
      </c>
      <c r="D38" s="23">
        <v>22499</v>
      </c>
      <c r="E38" s="23">
        <v>21284</v>
      </c>
      <c r="F38" s="23">
        <v>20524</v>
      </c>
      <c r="G38" s="23">
        <v>20114</v>
      </c>
      <c r="H38" s="23">
        <v>19429</v>
      </c>
      <c r="I38" s="23">
        <v>19503</v>
      </c>
      <c r="J38" s="23">
        <v>11963</v>
      </c>
      <c r="K38" s="23">
        <v>11062</v>
      </c>
      <c r="L38" s="23">
        <v>12438</v>
      </c>
      <c r="M38" s="23">
        <v>13464</v>
      </c>
      <c r="N38" s="23">
        <v>14069</v>
      </c>
      <c r="O38" s="23">
        <v>14442</v>
      </c>
      <c r="P38" s="23">
        <v>15560</v>
      </c>
      <c r="Q38" s="23">
        <v>17691</v>
      </c>
      <c r="R38" s="23">
        <v>19821</v>
      </c>
      <c r="S38" s="23">
        <v>20075</v>
      </c>
      <c r="T38" s="23">
        <v>22030</v>
      </c>
      <c r="U38" s="23">
        <v>25001</v>
      </c>
      <c r="V38" s="23">
        <v>27081</v>
      </c>
      <c r="W38" s="23">
        <v>27362</v>
      </c>
      <c r="X38" s="23">
        <v>28152</v>
      </c>
      <c r="Y38" s="23">
        <v>26710</v>
      </c>
      <c r="Z38" s="23">
        <v>23691</v>
      </c>
      <c r="AA38" s="23">
        <f t="shared" si="6"/>
        <v>477852</v>
      </c>
      <c r="AB38" s="40">
        <v>2</v>
      </c>
      <c r="AC38" s="24">
        <f t="shared" si="4"/>
        <v>955704</v>
      </c>
      <c r="AD38" s="61"/>
      <c r="AE38" s="28"/>
      <c r="AG38" s="28"/>
      <c r="AH38" s="29"/>
    </row>
    <row r="39" spans="1:34" x14ac:dyDescent="0.35">
      <c r="A39" s="56">
        <v>45901</v>
      </c>
      <c r="B39" s="22" t="s">
        <v>43</v>
      </c>
      <c r="C39" s="23">
        <v>30527</v>
      </c>
      <c r="D39" s="23">
        <v>28341</v>
      </c>
      <c r="E39" s="23">
        <v>26777</v>
      </c>
      <c r="F39" s="23">
        <v>25487</v>
      </c>
      <c r="G39" s="23">
        <v>25033</v>
      </c>
      <c r="H39" s="23">
        <v>25177</v>
      </c>
      <c r="I39" s="23">
        <v>26307</v>
      </c>
      <c r="J39" s="23">
        <v>21029</v>
      </c>
      <c r="K39" s="23">
        <v>22145</v>
      </c>
      <c r="L39" s="23">
        <v>24031</v>
      </c>
      <c r="M39" s="23">
        <v>25782</v>
      </c>
      <c r="N39" s="23">
        <v>25775</v>
      </c>
      <c r="O39" s="23">
        <v>22928</v>
      </c>
      <c r="P39" s="23">
        <v>27909</v>
      </c>
      <c r="Q39" s="23">
        <v>33396</v>
      </c>
      <c r="R39" s="23">
        <v>35396</v>
      </c>
      <c r="S39" s="23">
        <v>34850</v>
      </c>
      <c r="T39" s="23">
        <v>34809</v>
      </c>
      <c r="U39" s="23">
        <v>34533</v>
      </c>
      <c r="V39" s="23">
        <v>33472</v>
      </c>
      <c r="W39" s="23">
        <v>33127</v>
      </c>
      <c r="X39" s="23">
        <v>32622</v>
      </c>
      <c r="Y39" s="23">
        <v>30874</v>
      </c>
      <c r="Z39" s="23">
        <v>28093</v>
      </c>
      <c r="AA39" s="23">
        <f t="shared" si="6"/>
        <v>688420</v>
      </c>
      <c r="AB39" s="25">
        <v>22</v>
      </c>
      <c r="AC39" s="24">
        <f t="shared" si="4"/>
        <v>15145240</v>
      </c>
      <c r="AD39" s="59">
        <f t="shared" ref="AD39" si="8">+SUM(AC39:AC42)</f>
        <v>20046668</v>
      </c>
      <c r="AE39" s="28"/>
      <c r="AG39" s="28"/>
      <c r="AH39" s="29"/>
    </row>
    <row r="40" spans="1:34" x14ac:dyDescent="0.35">
      <c r="A40" s="57"/>
      <c r="B40" s="26" t="s">
        <v>44</v>
      </c>
      <c r="C40" s="23">
        <v>31451</v>
      </c>
      <c r="D40" s="23">
        <v>29532</v>
      </c>
      <c r="E40" s="23">
        <v>27854</v>
      </c>
      <c r="F40" s="23">
        <v>26428</v>
      </c>
      <c r="G40" s="23">
        <v>25697</v>
      </c>
      <c r="H40" s="23">
        <v>24841</v>
      </c>
      <c r="I40" s="23">
        <v>25886</v>
      </c>
      <c r="J40" s="23">
        <v>20766</v>
      </c>
      <c r="K40" s="23">
        <v>22089</v>
      </c>
      <c r="L40" s="23">
        <v>23613</v>
      </c>
      <c r="M40" s="23">
        <v>25300</v>
      </c>
      <c r="N40" s="23">
        <v>25726</v>
      </c>
      <c r="O40" s="23">
        <v>24058</v>
      </c>
      <c r="P40" s="23">
        <v>25284</v>
      </c>
      <c r="Q40" s="23">
        <v>28050</v>
      </c>
      <c r="R40" s="23">
        <v>29798</v>
      </c>
      <c r="S40" s="23">
        <v>29474</v>
      </c>
      <c r="T40" s="23">
        <v>31459</v>
      </c>
      <c r="U40" s="23">
        <v>33269</v>
      </c>
      <c r="V40" s="23">
        <v>32222</v>
      </c>
      <c r="W40" s="23">
        <v>30706</v>
      </c>
      <c r="X40" s="23">
        <v>29688</v>
      </c>
      <c r="Y40" s="23">
        <v>29023</v>
      </c>
      <c r="Z40" s="23">
        <v>27712</v>
      </c>
      <c r="AA40" s="23">
        <f t="shared" si="6"/>
        <v>659926</v>
      </c>
      <c r="AB40" s="39">
        <v>4</v>
      </c>
      <c r="AC40" s="24">
        <f t="shared" si="4"/>
        <v>2639704</v>
      </c>
      <c r="AD40" s="60"/>
      <c r="AE40" s="28"/>
      <c r="AG40" s="28"/>
      <c r="AH40" s="29"/>
    </row>
    <row r="41" spans="1:34" x14ac:dyDescent="0.35">
      <c r="A41" s="57"/>
      <c r="B41" s="26" t="s">
        <v>45</v>
      </c>
      <c r="C41" s="23">
        <v>30306</v>
      </c>
      <c r="D41" s="23">
        <v>28527</v>
      </c>
      <c r="E41" s="23">
        <v>27130</v>
      </c>
      <c r="F41" s="23">
        <v>25989</v>
      </c>
      <c r="G41" s="23">
        <v>25217</v>
      </c>
      <c r="H41" s="23">
        <v>24044</v>
      </c>
      <c r="I41" s="23">
        <v>24401</v>
      </c>
      <c r="J41" s="23">
        <v>16315</v>
      </c>
      <c r="K41" s="23">
        <v>14629</v>
      </c>
      <c r="L41" s="23">
        <v>14579</v>
      </c>
      <c r="M41" s="23">
        <v>15528</v>
      </c>
      <c r="N41" s="23">
        <v>16221</v>
      </c>
      <c r="O41" s="23">
        <v>16611</v>
      </c>
      <c r="P41" s="23">
        <v>18055</v>
      </c>
      <c r="Q41" s="23">
        <v>20843</v>
      </c>
      <c r="R41" s="23">
        <v>22794</v>
      </c>
      <c r="S41" s="23">
        <v>23290</v>
      </c>
      <c r="T41" s="23">
        <v>26523</v>
      </c>
      <c r="U41" s="23">
        <v>29103</v>
      </c>
      <c r="V41" s="23">
        <v>29716</v>
      </c>
      <c r="W41" s="23">
        <v>29761</v>
      </c>
      <c r="X41" s="23">
        <v>30092</v>
      </c>
      <c r="Y41" s="23">
        <v>29053</v>
      </c>
      <c r="Z41" s="23">
        <v>26704</v>
      </c>
      <c r="AA41" s="23">
        <f t="shared" si="6"/>
        <v>565431</v>
      </c>
      <c r="AB41" s="39">
        <v>4</v>
      </c>
      <c r="AC41" s="24">
        <f t="shared" si="4"/>
        <v>2261724</v>
      </c>
      <c r="AD41" s="60"/>
      <c r="AE41" s="28"/>
      <c r="AG41" s="28"/>
      <c r="AH41" s="29"/>
    </row>
    <row r="42" spans="1:34" x14ac:dyDescent="0.35">
      <c r="A42" s="58"/>
      <c r="B42" s="27" t="s">
        <v>46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f t="shared" si="6"/>
        <v>0</v>
      </c>
      <c r="AB42" s="40">
        <v>0</v>
      </c>
      <c r="AC42" s="24">
        <f t="shared" si="4"/>
        <v>0</v>
      </c>
      <c r="AD42" s="61"/>
      <c r="AE42" s="28"/>
      <c r="AG42" s="28"/>
      <c r="AH42" s="29"/>
    </row>
    <row r="43" spans="1:34" x14ac:dyDescent="0.35">
      <c r="A43" s="56">
        <v>45931</v>
      </c>
      <c r="B43" s="22" t="s">
        <v>43</v>
      </c>
      <c r="C43" s="23">
        <v>27548</v>
      </c>
      <c r="D43" s="23">
        <v>25604</v>
      </c>
      <c r="E43" s="23">
        <v>24202</v>
      </c>
      <c r="F43" s="23">
        <v>23258</v>
      </c>
      <c r="G43" s="23">
        <v>22997</v>
      </c>
      <c r="H43" s="23">
        <v>23208</v>
      </c>
      <c r="I43" s="23">
        <v>24535</v>
      </c>
      <c r="J43" s="23">
        <v>19133</v>
      </c>
      <c r="K43" s="23">
        <v>20704</v>
      </c>
      <c r="L43" s="23">
        <v>22681</v>
      </c>
      <c r="M43" s="23">
        <v>24671</v>
      </c>
      <c r="N43" s="23">
        <v>25060</v>
      </c>
      <c r="O43" s="23">
        <v>22415</v>
      </c>
      <c r="P43" s="23">
        <v>26824</v>
      </c>
      <c r="Q43" s="23">
        <v>32250</v>
      </c>
      <c r="R43" s="23">
        <v>33837</v>
      </c>
      <c r="S43" s="23">
        <v>33493</v>
      </c>
      <c r="T43" s="23">
        <v>34690</v>
      </c>
      <c r="U43" s="23">
        <v>33886</v>
      </c>
      <c r="V43" s="23">
        <v>32145</v>
      </c>
      <c r="W43" s="23">
        <v>31089</v>
      </c>
      <c r="X43" s="23">
        <v>29941</v>
      </c>
      <c r="Y43" s="23">
        <v>27895</v>
      </c>
      <c r="Z43" s="23">
        <v>25301</v>
      </c>
      <c r="AA43" s="23">
        <f t="shared" si="6"/>
        <v>647367</v>
      </c>
      <c r="AB43" s="25">
        <v>22</v>
      </c>
      <c r="AC43" s="24">
        <f t="shared" si="4"/>
        <v>14242074</v>
      </c>
      <c r="AD43" s="59">
        <f t="shared" ref="AD43" si="9">+SUM(AC43:AC46)</f>
        <v>19031170</v>
      </c>
      <c r="AE43" s="28"/>
      <c r="AG43" s="28"/>
      <c r="AH43" s="29"/>
    </row>
    <row r="44" spans="1:34" x14ac:dyDescent="0.35">
      <c r="A44" s="57"/>
      <c r="B44" s="26" t="s">
        <v>44</v>
      </c>
      <c r="C44" s="23">
        <v>25991</v>
      </c>
      <c r="D44" s="23">
        <v>24097</v>
      </c>
      <c r="E44" s="23">
        <v>22948</v>
      </c>
      <c r="F44" s="23">
        <v>21912</v>
      </c>
      <c r="G44" s="23">
        <v>21558</v>
      </c>
      <c r="H44" s="23">
        <v>21014</v>
      </c>
      <c r="I44" s="23">
        <v>22073</v>
      </c>
      <c r="J44" s="23">
        <v>16310</v>
      </c>
      <c r="K44" s="23">
        <v>17989</v>
      </c>
      <c r="L44" s="23">
        <v>19946</v>
      </c>
      <c r="M44" s="23">
        <v>21466</v>
      </c>
      <c r="N44" s="23">
        <v>22116</v>
      </c>
      <c r="O44" s="23">
        <v>21079</v>
      </c>
      <c r="P44" s="23">
        <v>21621</v>
      </c>
      <c r="Q44" s="23">
        <v>24258</v>
      </c>
      <c r="R44" s="23">
        <v>25682</v>
      </c>
      <c r="S44" s="23">
        <v>25798</v>
      </c>
      <c r="T44" s="23">
        <v>28748</v>
      </c>
      <c r="U44" s="23">
        <v>30316</v>
      </c>
      <c r="V44" s="23">
        <v>29090</v>
      </c>
      <c r="W44" s="23">
        <v>28026</v>
      </c>
      <c r="X44" s="23">
        <v>26567</v>
      </c>
      <c r="Y44" s="23">
        <v>24714</v>
      </c>
      <c r="Z44" s="23">
        <v>22863</v>
      </c>
      <c r="AA44" s="23">
        <f t="shared" si="6"/>
        <v>566182</v>
      </c>
      <c r="AB44" s="39">
        <v>4</v>
      </c>
      <c r="AC44" s="24">
        <f t="shared" si="4"/>
        <v>2264728</v>
      </c>
      <c r="AD44" s="60"/>
      <c r="AE44" s="28"/>
      <c r="AG44" s="28"/>
      <c r="AH44" s="29"/>
    </row>
    <row r="45" spans="1:34" x14ac:dyDescent="0.35">
      <c r="A45" s="57"/>
      <c r="B45" s="26" t="s">
        <v>45</v>
      </c>
      <c r="C45" s="23">
        <v>26673</v>
      </c>
      <c r="D45" s="23">
        <v>24961</v>
      </c>
      <c r="E45" s="23">
        <v>23775</v>
      </c>
      <c r="F45" s="23">
        <v>22565</v>
      </c>
      <c r="G45" s="23">
        <v>21858</v>
      </c>
      <c r="H45" s="23">
        <v>20986</v>
      </c>
      <c r="I45" s="23">
        <v>21170</v>
      </c>
      <c r="J45" s="23">
        <v>12860</v>
      </c>
      <c r="K45" s="23">
        <v>11466</v>
      </c>
      <c r="L45" s="23">
        <v>12185</v>
      </c>
      <c r="M45" s="23">
        <v>12876</v>
      </c>
      <c r="N45" s="23">
        <v>13684</v>
      </c>
      <c r="O45" s="23">
        <v>14397</v>
      </c>
      <c r="P45" s="23">
        <v>15247</v>
      </c>
      <c r="Q45" s="23">
        <v>17291</v>
      </c>
      <c r="R45" s="23">
        <v>19935</v>
      </c>
      <c r="S45" s="23">
        <v>20815</v>
      </c>
      <c r="T45" s="23">
        <v>24943</v>
      </c>
      <c r="U45" s="23">
        <v>26544</v>
      </c>
      <c r="V45" s="23">
        <v>26606</v>
      </c>
      <c r="W45" s="23">
        <v>26760</v>
      </c>
      <c r="X45" s="23">
        <v>26587</v>
      </c>
      <c r="Y45" s="23">
        <v>25293</v>
      </c>
      <c r="Z45" s="23">
        <v>23135</v>
      </c>
      <c r="AA45" s="23">
        <f t="shared" si="6"/>
        <v>492612</v>
      </c>
      <c r="AB45" s="39">
        <v>4</v>
      </c>
      <c r="AC45" s="24">
        <f t="shared" si="4"/>
        <v>1970448</v>
      </c>
      <c r="AD45" s="60"/>
      <c r="AE45" s="28"/>
      <c r="AG45" s="28"/>
      <c r="AH45" s="29"/>
    </row>
    <row r="46" spans="1:34" x14ac:dyDescent="0.35">
      <c r="A46" s="58"/>
      <c r="B46" s="27" t="s">
        <v>46</v>
      </c>
      <c r="C46" s="23">
        <v>26313</v>
      </c>
      <c r="D46" s="23">
        <v>24559</v>
      </c>
      <c r="E46" s="23">
        <v>23309</v>
      </c>
      <c r="F46" s="23">
        <v>22348</v>
      </c>
      <c r="G46" s="23">
        <v>22087</v>
      </c>
      <c r="H46" s="23">
        <v>20697</v>
      </c>
      <c r="I46" s="23">
        <v>21048</v>
      </c>
      <c r="J46" s="23">
        <v>14519</v>
      </c>
      <c r="K46" s="23">
        <v>14323</v>
      </c>
      <c r="L46" s="23">
        <v>16139</v>
      </c>
      <c r="M46" s="23">
        <v>17491</v>
      </c>
      <c r="N46" s="23">
        <v>17301</v>
      </c>
      <c r="O46" s="23">
        <v>19051</v>
      </c>
      <c r="P46" s="23">
        <v>20340</v>
      </c>
      <c r="Q46" s="23">
        <v>22622</v>
      </c>
      <c r="R46" s="23">
        <v>24327</v>
      </c>
      <c r="S46" s="23">
        <v>24808</v>
      </c>
      <c r="T46" s="23">
        <v>28726</v>
      </c>
      <c r="U46" s="23">
        <v>29833</v>
      </c>
      <c r="V46" s="23">
        <v>30744</v>
      </c>
      <c r="W46" s="23">
        <v>30636</v>
      </c>
      <c r="X46" s="23">
        <v>30076</v>
      </c>
      <c r="Y46" s="23">
        <v>27936</v>
      </c>
      <c r="Z46" s="23">
        <v>24687</v>
      </c>
      <c r="AA46" s="23">
        <f t="shared" si="6"/>
        <v>553920</v>
      </c>
      <c r="AB46" s="40">
        <v>1</v>
      </c>
      <c r="AC46" s="24">
        <f t="shared" si="4"/>
        <v>553920</v>
      </c>
      <c r="AD46" s="61"/>
      <c r="AE46" s="28"/>
      <c r="AG46" s="28"/>
      <c r="AH46" s="29"/>
    </row>
    <row r="47" spans="1:34" x14ac:dyDescent="0.35">
      <c r="A47" s="56">
        <v>45962</v>
      </c>
      <c r="B47" s="22" t="s">
        <v>43</v>
      </c>
      <c r="C47" s="23">
        <v>28042</v>
      </c>
      <c r="D47" s="23">
        <v>26144</v>
      </c>
      <c r="E47" s="23">
        <v>24818</v>
      </c>
      <c r="F47" s="23">
        <v>24016</v>
      </c>
      <c r="G47" s="23">
        <v>23966</v>
      </c>
      <c r="H47" s="23">
        <v>24411</v>
      </c>
      <c r="I47" s="23">
        <v>26295</v>
      </c>
      <c r="J47" s="23">
        <v>21028</v>
      </c>
      <c r="K47" s="23">
        <v>22396</v>
      </c>
      <c r="L47" s="23">
        <v>24101</v>
      </c>
      <c r="M47" s="23">
        <v>25863</v>
      </c>
      <c r="N47" s="23">
        <v>26305</v>
      </c>
      <c r="O47" s="23">
        <v>23480</v>
      </c>
      <c r="P47" s="23">
        <v>27387</v>
      </c>
      <c r="Q47" s="23">
        <v>32672</v>
      </c>
      <c r="R47" s="23">
        <v>34806</v>
      </c>
      <c r="S47" s="23">
        <v>34447</v>
      </c>
      <c r="T47" s="23">
        <v>35726</v>
      </c>
      <c r="U47" s="23">
        <v>35270</v>
      </c>
      <c r="V47" s="23">
        <v>33597</v>
      </c>
      <c r="W47" s="23">
        <v>32483</v>
      </c>
      <c r="X47" s="23">
        <v>31042</v>
      </c>
      <c r="Y47" s="23">
        <v>28690</v>
      </c>
      <c r="Z47" s="23">
        <v>25983</v>
      </c>
      <c r="AA47" s="23">
        <f t="shared" si="6"/>
        <v>672968</v>
      </c>
      <c r="AB47" s="25">
        <v>18</v>
      </c>
      <c r="AC47" s="24">
        <f t="shared" si="4"/>
        <v>12113424</v>
      </c>
      <c r="AD47" s="59">
        <f t="shared" ref="AD47" si="10">+SUM(AC47:AC50)</f>
        <v>19158612</v>
      </c>
      <c r="AE47" s="28"/>
      <c r="AG47" s="28"/>
      <c r="AH47" s="29"/>
    </row>
    <row r="48" spans="1:34" x14ac:dyDescent="0.35">
      <c r="A48" s="57"/>
      <c r="B48" s="26" t="s">
        <v>44</v>
      </c>
      <c r="C48" s="23">
        <v>29019</v>
      </c>
      <c r="D48" s="23">
        <v>27288</v>
      </c>
      <c r="E48" s="23">
        <v>25800</v>
      </c>
      <c r="F48" s="23">
        <v>24654</v>
      </c>
      <c r="G48" s="23">
        <v>24086</v>
      </c>
      <c r="H48" s="23">
        <v>23664</v>
      </c>
      <c r="I48" s="23">
        <v>24830</v>
      </c>
      <c r="J48" s="23">
        <v>19618</v>
      </c>
      <c r="K48" s="23">
        <v>21512</v>
      </c>
      <c r="L48" s="23">
        <v>23772</v>
      </c>
      <c r="M48" s="23">
        <v>25060</v>
      </c>
      <c r="N48" s="23">
        <v>25232</v>
      </c>
      <c r="O48" s="23">
        <v>23529</v>
      </c>
      <c r="P48" s="23">
        <v>24019</v>
      </c>
      <c r="Q48" s="23">
        <v>26591</v>
      </c>
      <c r="R48" s="23">
        <v>28480</v>
      </c>
      <c r="S48" s="23">
        <v>28261</v>
      </c>
      <c r="T48" s="23">
        <v>31428</v>
      </c>
      <c r="U48" s="23">
        <v>32261</v>
      </c>
      <c r="V48" s="23">
        <v>31059</v>
      </c>
      <c r="W48" s="23">
        <v>29754</v>
      </c>
      <c r="X48" s="23">
        <v>28412</v>
      </c>
      <c r="Y48" s="23">
        <v>27071</v>
      </c>
      <c r="Z48" s="23">
        <v>25464</v>
      </c>
      <c r="AA48" s="23">
        <f t="shared" si="6"/>
        <v>630864</v>
      </c>
      <c r="AB48" s="39">
        <v>5</v>
      </c>
      <c r="AC48" s="24">
        <f t="shared" si="4"/>
        <v>3154320</v>
      </c>
      <c r="AD48" s="60"/>
      <c r="AE48" s="28"/>
      <c r="AG48" s="28"/>
      <c r="AH48" s="29"/>
    </row>
    <row r="49" spans="1:34" x14ac:dyDescent="0.35">
      <c r="A49" s="57"/>
      <c r="B49" s="26" t="s">
        <v>45</v>
      </c>
      <c r="C49" s="23">
        <v>28415</v>
      </c>
      <c r="D49" s="23">
        <v>26707</v>
      </c>
      <c r="E49" s="23">
        <v>25336</v>
      </c>
      <c r="F49" s="23">
        <v>24249</v>
      </c>
      <c r="G49" s="23">
        <v>23533</v>
      </c>
      <c r="H49" s="23">
        <v>22551</v>
      </c>
      <c r="I49" s="23">
        <v>23119</v>
      </c>
      <c r="J49" s="23">
        <v>15532</v>
      </c>
      <c r="K49" s="23">
        <v>14937</v>
      </c>
      <c r="L49" s="23">
        <v>15712</v>
      </c>
      <c r="M49" s="23">
        <v>16820</v>
      </c>
      <c r="N49" s="23">
        <v>17211</v>
      </c>
      <c r="O49" s="23">
        <v>18000</v>
      </c>
      <c r="P49" s="23">
        <v>18627</v>
      </c>
      <c r="Q49" s="23">
        <v>20501</v>
      </c>
      <c r="R49" s="23">
        <v>22093</v>
      </c>
      <c r="S49" s="23">
        <v>22687</v>
      </c>
      <c r="T49" s="23">
        <v>27426</v>
      </c>
      <c r="U49" s="23">
        <v>28444</v>
      </c>
      <c r="V49" s="23">
        <v>28403</v>
      </c>
      <c r="W49" s="23">
        <v>27873</v>
      </c>
      <c r="X49" s="23">
        <v>27424</v>
      </c>
      <c r="Y49" s="23">
        <v>26279</v>
      </c>
      <c r="Z49" s="23">
        <v>24269</v>
      </c>
      <c r="AA49" s="23">
        <f t="shared" si="6"/>
        <v>546148</v>
      </c>
      <c r="AB49" s="39">
        <v>5</v>
      </c>
      <c r="AC49" s="24">
        <f t="shared" si="4"/>
        <v>2730740</v>
      </c>
      <c r="AD49" s="60"/>
      <c r="AE49" s="28"/>
      <c r="AG49" s="28"/>
      <c r="AH49" s="29"/>
    </row>
    <row r="50" spans="1:34" x14ac:dyDescent="0.35">
      <c r="A50" s="58"/>
      <c r="B50" s="27" t="s">
        <v>46</v>
      </c>
      <c r="C50" s="23">
        <v>26956</v>
      </c>
      <c r="D50" s="23">
        <v>25200</v>
      </c>
      <c r="E50" s="23">
        <v>24099</v>
      </c>
      <c r="F50" s="23">
        <v>23324</v>
      </c>
      <c r="G50" s="23">
        <v>22946</v>
      </c>
      <c r="H50" s="23">
        <v>22173</v>
      </c>
      <c r="I50" s="23">
        <v>22799</v>
      </c>
      <c r="J50" s="23">
        <v>16515</v>
      </c>
      <c r="K50" s="23">
        <v>16846</v>
      </c>
      <c r="L50" s="23">
        <v>18249</v>
      </c>
      <c r="M50" s="23">
        <v>19704</v>
      </c>
      <c r="N50" s="23">
        <v>20443</v>
      </c>
      <c r="O50" s="23">
        <v>20734</v>
      </c>
      <c r="P50" s="23">
        <v>22114</v>
      </c>
      <c r="Q50" s="23">
        <v>24297</v>
      </c>
      <c r="R50" s="23">
        <v>25777</v>
      </c>
      <c r="S50" s="23">
        <v>26280</v>
      </c>
      <c r="T50" s="23">
        <v>30185</v>
      </c>
      <c r="U50" s="23">
        <v>30956</v>
      </c>
      <c r="V50" s="23">
        <v>30575</v>
      </c>
      <c r="W50" s="23">
        <v>29770</v>
      </c>
      <c r="X50" s="23">
        <v>28808</v>
      </c>
      <c r="Y50" s="23">
        <v>26699</v>
      </c>
      <c r="Z50" s="23">
        <v>24615</v>
      </c>
      <c r="AA50" s="23">
        <f t="shared" si="6"/>
        <v>580064</v>
      </c>
      <c r="AB50" s="40">
        <v>2</v>
      </c>
      <c r="AC50" s="24">
        <f t="shared" si="4"/>
        <v>1160128</v>
      </c>
      <c r="AD50" s="61"/>
      <c r="AE50" s="28"/>
      <c r="AG50" s="28"/>
      <c r="AH50" s="29"/>
    </row>
    <row r="51" spans="1:34" x14ac:dyDescent="0.35">
      <c r="A51" s="56">
        <v>45992</v>
      </c>
      <c r="B51" s="22" t="s">
        <v>43</v>
      </c>
      <c r="C51" s="23">
        <v>22532</v>
      </c>
      <c r="D51" s="23">
        <v>20713</v>
      </c>
      <c r="E51" s="23">
        <v>19411</v>
      </c>
      <c r="F51" s="23">
        <v>18441</v>
      </c>
      <c r="G51" s="23">
        <v>18108</v>
      </c>
      <c r="H51" s="23">
        <v>18057</v>
      </c>
      <c r="I51" s="23">
        <v>18978</v>
      </c>
      <c r="J51" s="23">
        <v>13365</v>
      </c>
      <c r="K51" s="23">
        <v>14413</v>
      </c>
      <c r="L51" s="23">
        <v>16248</v>
      </c>
      <c r="M51" s="23">
        <v>17887</v>
      </c>
      <c r="N51" s="23">
        <v>18306</v>
      </c>
      <c r="O51" s="23">
        <v>16405</v>
      </c>
      <c r="P51" s="23">
        <v>18809</v>
      </c>
      <c r="Q51" s="23">
        <v>23564</v>
      </c>
      <c r="R51" s="23">
        <v>25818</v>
      </c>
      <c r="S51" s="23">
        <v>26113</v>
      </c>
      <c r="T51" s="23">
        <v>27654</v>
      </c>
      <c r="U51" s="23">
        <v>28304</v>
      </c>
      <c r="V51" s="23">
        <v>26630</v>
      </c>
      <c r="W51" s="23">
        <v>24811</v>
      </c>
      <c r="X51" s="23">
        <v>23591</v>
      </c>
      <c r="Y51" s="23">
        <v>22313</v>
      </c>
      <c r="Z51" s="23">
        <v>20404</v>
      </c>
      <c r="AA51" s="23">
        <f t="shared" si="6"/>
        <v>500875</v>
      </c>
      <c r="AB51" s="25">
        <v>21</v>
      </c>
      <c r="AC51" s="24">
        <f t="shared" si="4"/>
        <v>10518375</v>
      </c>
      <c r="AD51" s="59">
        <f>+SUM(AC51:AC54)</f>
        <v>14734391</v>
      </c>
      <c r="AE51" s="28"/>
      <c r="AG51" s="28"/>
      <c r="AH51" s="29"/>
    </row>
    <row r="52" spans="1:34" x14ac:dyDescent="0.35">
      <c r="A52" s="57"/>
      <c r="B52" s="26" t="s">
        <v>44</v>
      </c>
      <c r="C52" s="23">
        <v>23966</v>
      </c>
      <c r="D52" s="23">
        <v>21836</v>
      </c>
      <c r="E52" s="23">
        <v>20296</v>
      </c>
      <c r="F52" s="23">
        <v>19214</v>
      </c>
      <c r="G52" s="23">
        <v>18668</v>
      </c>
      <c r="H52" s="23">
        <v>18440</v>
      </c>
      <c r="I52" s="23">
        <v>18955</v>
      </c>
      <c r="J52" s="23">
        <v>12685</v>
      </c>
      <c r="K52" s="23">
        <v>13612</v>
      </c>
      <c r="L52" s="23">
        <v>15169</v>
      </c>
      <c r="M52" s="23">
        <v>16635</v>
      </c>
      <c r="N52" s="23">
        <v>17006</v>
      </c>
      <c r="O52" s="23">
        <v>16553</v>
      </c>
      <c r="P52" s="23">
        <v>17397</v>
      </c>
      <c r="Q52" s="23">
        <v>20118</v>
      </c>
      <c r="R52" s="23">
        <v>22150</v>
      </c>
      <c r="S52" s="23">
        <v>22396</v>
      </c>
      <c r="T52" s="23">
        <v>25986</v>
      </c>
      <c r="U52" s="23">
        <v>28160</v>
      </c>
      <c r="V52" s="23">
        <v>27023</v>
      </c>
      <c r="W52" s="23">
        <v>24657</v>
      </c>
      <c r="X52" s="23">
        <v>22859</v>
      </c>
      <c r="Y52" s="23">
        <v>21543</v>
      </c>
      <c r="Z52" s="23">
        <v>20354</v>
      </c>
      <c r="AA52" s="23">
        <f t="shared" si="6"/>
        <v>485678</v>
      </c>
      <c r="AB52" s="39">
        <v>4</v>
      </c>
      <c r="AC52" s="24">
        <f t="shared" si="4"/>
        <v>1942712</v>
      </c>
      <c r="AD52" s="60"/>
      <c r="AE52" s="28"/>
      <c r="AG52" s="28"/>
      <c r="AH52" s="29"/>
    </row>
    <row r="53" spans="1:34" x14ac:dyDescent="0.35">
      <c r="A53" s="57"/>
      <c r="B53" s="26" t="s">
        <v>45</v>
      </c>
      <c r="C53" s="23">
        <v>24133</v>
      </c>
      <c r="D53" s="23">
        <v>22338</v>
      </c>
      <c r="E53" s="23">
        <v>20962</v>
      </c>
      <c r="F53" s="23">
        <v>19984</v>
      </c>
      <c r="G53" s="23">
        <v>19219</v>
      </c>
      <c r="H53" s="23">
        <v>17746</v>
      </c>
      <c r="I53" s="23">
        <v>17988</v>
      </c>
      <c r="J53" s="23">
        <v>10060</v>
      </c>
      <c r="K53" s="23">
        <v>8891</v>
      </c>
      <c r="L53" s="23">
        <v>9572</v>
      </c>
      <c r="M53" s="23">
        <v>10524</v>
      </c>
      <c r="N53" s="23">
        <v>11015</v>
      </c>
      <c r="O53" s="23">
        <v>11498</v>
      </c>
      <c r="P53" s="23">
        <v>12099</v>
      </c>
      <c r="Q53" s="23">
        <v>14301</v>
      </c>
      <c r="R53" s="23">
        <v>17010</v>
      </c>
      <c r="S53" s="23">
        <v>17791</v>
      </c>
      <c r="T53" s="23">
        <v>22419</v>
      </c>
      <c r="U53" s="23">
        <v>24357</v>
      </c>
      <c r="V53" s="23">
        <v>23712</v>
      </c>
      <c r="W53" s="23">
        <v>22347</v>
      </c>
      <c r="X53" s="23">
        <v>21177</v>
      </c>
      <c r="Y53" s="23">
        <v>19896</v>
      </c>
      <c r="Z53" s="23">
        <v>18474</v>
      </c>
      <c r="AA53" s="23">
        <f t="shared" si="6"/>
        <v>417513</v>
      </c>
      <c r="AB53" s="39">
        <v>4</v>
      </c>
      <c r="AC53" s="24">
        <f t="shared" si="4"/>
        <v>1670052</v>
      </c>
      <c r="AD53" s="60"/>
      <c r="AE53" s="28"/>
      <c r="AG53" s="28"/>
      <c r="AH53" s="29"/>
    </row>
    <row r="54" spans="1:34" x14ac:dyDescent="0.35">
      <c r="A54" s="58"/>
      <c r="B54" s="27" t="s">
        <v>46</v>
      </c>
      <c r="C54" s="23">
        <v>17793</v>
      </c>
      <c r="D54" s="23">
        <v>17002</v>
      </c>
      <c r="E54" s="23">
        <v>16419</v>
      </c>
      <c r="F54" s="23">
        <v>15954</v>
      </c>
      <c r="G54" s="23">
        <v>15364</v>
      </c>
      <c r="H54" s="23">
        <v>14866</v>
      </c>
      <c r="I54" s="23">
        <v>14506</v>
      </c>
      <c r="J54" s="23">
        <v>6153</v>
      </c>
      <c r="K54" s="23">
        <v>4463</v>
      </c>
      <c r="L54" s="23">
        <v>5064</v>
      </c>
      <c r="M54" s="23">
        <v>5601</v>
      </c>
      <c r="N54" s="23">
        <v>5722</v>
      </c>
      <c r="O54" s="23">
        <v>6279</v>
      </c>
      <c r="P54" s="23">
        <v>7290</v>
      </c>
      <c r="Q54" s="23">
        <v>9129</v>
      </c>
      <c r="R54" s="23">
        <v>10928</v>
      </c>
      <c r="S54" s="23">
        <v>11806</v>
      </c>
      <c r="T54" s="23">
        <v>15317</v>
      </c>
      <c r="U54" s="23">
        <v>17935</v>
      </c>
      <c r="V54" s="23">
        <v>18252</v>
      </c>
      <c r="W54" s="23">
        <v>17461</v>
      </c>
      <c r="X54" s="23">
        <v>17183</v>
      </c>
      <c r="Y54" s="23">
        <v>16364</v>
      </c>
      <c r="Z54" s="23">
        <v>14775</v>
      </c>
      <c r="AA54" s="23">
        <f t="shared" si="6"/>
        <v>301626</v>
      </c>
      <c r="AB54" s="40">
        <v>2</v>
      </c>
      <c r="AC54" s="24">
        <f t="shared" si="4"/>
        <v>603252</v>
      </c>
      <c r="AD54" s="61"/>
      <c r="AE54" s="28"/>
      <c r="AG54" s="28"/>
      <c r="AH54" s="29"/>
    </row>
    <row r="55" spans="1:34" x14ac:dyDescent="0.35">
      <c r="AD55" s="46">
        <f>SUM(AD7:AD54)</f>
        <v>115553685</v>
      </c>
    </row>
  </sheetData>
  <mergeCells count="28">
    <mergeCell ref="AD7:AD10"/>
    <mergeCell ref="A1:D1"/>
    <mergeCell ref="A2:L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55:Z56">
    <cfRule type="cellIs" dxfId="1" priority="3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B2B0-F7D6-4041-A1F1-C02321A83719}">
  <dimension ref="C1:G20"/>
  <sheetViews>
    <sheetView showGridLines="0" workbookViewId="0">
      <selection activeCell="C1" sqref="C1:G18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55" t="s">
        <v>47</v>
      </c>
      <c r="D1" s="55"/>
      <c r="E1" s="55"/>
      <c r="F1" s="55"/>
      <c r="G1" s="55"/>
    </row>
    <row r="2" spans="3:7" x14ac:dyDescent="0.35">
      <c r="C2" s="55"/>
      <c r="D2" s="55"/>
      <c r="E2" s="55"/>
      <c r="F2" s="55"/>
      <c r="G2" s="55"/>
    </row>
    <row r="3" spans="3:7" ht="15" thickBot="1" x14ac:dyDescent="0.4"/>
    <row r="4" spans="3:7" ht="15" thickBot="1" x14ac:dyDescent="0.4">
      <c r="C4" s="68" t="s">
        <v>7</v>
      </c>
      <c r="D4" s="69"/>
      <c r="E4" s="69"/>
      <c r="F4" s="69"/>
      <c r="G4" s="70"/>
    </row>
    <row r="5" spans="3:7" ht="32" thickBot="1" x14ac:dyDescent="0.4">
      <c r="C5" s="43" t="s">
        <v>1</v>
      </c>
      <c r="D5" s="43" t="s">
        <v>8</v>
      </c>
      <c r="E5" s="43" t="s">
        <v>3</v>
      </c>
      <c r="F5" s="43" t="s">
        <v>9</v>
      </c>
      <c r="G5" s="43" t="s">
        <v>5</v>
      </c>
    </row>
    <row r="6" spans="3:7" x14ac:dyDescent="0.35">
      <c r="C6" s="8">
        <v>46023</v>
      </c>
      <c r="D6" s="9">
        <f>+VLOOKUP(C6,'CURVA P2'!$A$4:$AD$55,30,FALSE)</f>
        <v>25867601</v>
      </c>
      <c r="E6" s="71" t="s">
        <v>3</v>
      </c>
      <c r="F6" s="3"/>
      <c r="G6" s="52" t="s">
        <v>6</v>
      </c>
    </row>
    <row r="7" spans="3:7" x14ac:dyDescent="0.35">
      <c r="C7" s="8">
        <v>46054</v>
      </c>
      <c r="D7" s="9">
        <f>+VLOOKUP(C7,'CURVA P2'!$A$4:$AD$55,30,FALSE)</f>
        <v>26647756</v>
      </c>
      <c r="E7" s="50"/>
      <c r="F7" s="3"/>
      <c r="G7" s="53"/>
    </row>
    <row r="8" spans="3:7" x14ac:dyDescent="0.35">
      <c r="C8" s="8">
        <v>46082</v>
      </c>
      <c r="D8" s="9">
        <f>+VLOOKUP(C8,'CURVA P2'!$A$4:$AD$55,30,FALSE)</f>
        <v>25872672</v>
      </c>
      <c r="E8" s="50"/>
      <c r="F8" s="3"/>
      <c r="G8" s="53"/>
    </row>
    <row r="9" spans="3:7" x14ac:dyDescent="0.35">
      <c r="C9" s="8">
        <v>46113</v>
      </c>
      <c r="D9" s="9">
        <f>+VLOOKUP(C9,'CURVA P2'!$A$4:$AD$55,30,FALSE)</f>
        <v>26939490</v>
      </c>
      <c r="E9" s="50"/>
      <c r="F9" s="3"/>
      <c r="G9" s="53"/>
    </row>
    <row r="10" spans="3:7" x14ac:dyDescent="0.35">
      <c r="C10" s="8">
        <v>46143</v>
      </c>
      <c r="D10" s="9">
        <f>+VLOOKUP(C10,'CURVA P2'!$A$4:$AD$55,30,FALSE)</f>
        <v>27532170</v>
      </c>
      <c r="E10" s="50"/>
      <c r="F10" s="3"/>
      <c r="G10" s="53"/>
    </row>
    <row r="11" spans="3:7" x14ac:dyDescent="0.35">
      <c r="C11" s="8">
        <v>46174</v>
      </c>
      <c r="D11" s="9">
        <f>+VLOOKUP(C11,'CURVA P2'!$A$4:$AD$55,30,FALSE)</f>
        <v>27933263</v>
      </c>
      <c r="E11" s="50"/>
      <c r="F11" s="3"/>
      <c r="G11" s="53"/>
    </row>
    <row r="12" spans="3:7" x14ac:dyDescent="0.35">
      <c r="C12" s="8">
        <v>46204</v>
      </c>
      <c r="D12" s="9">
        <f>+VLOOKUP(C12,'CURVA P2'!$A$4:$AD$55,30,FALSE)</f>
        <v>27138331</v>
      </c>
      <c r="E12" s="50"/>
      <c r="F12" s="3"/>
      <c r="G12" s="53"/>
    </row>
    <row r="13" spans="3:7" x14ac:dyDescent="0.35">
      <c r="C13" s="8">
        <v>46235</v>
      </c>
      <c r="D13" s="9">
        <f>+VLOOKUP(C13,'CURVA P2'!$A$4:$AD$55,30,FALSE)</f>
        <v>28204070</v>
      </c>
      <c r="E13" s="50"/>
      <c r="F13" s="3"/>
      <c r="G13" s="53"/>
    </row>
    <row r="14" spans="3:7" x14ac:dyDescent="0.35">
      <c r="C14" s="8">
        <v>46266</v>
      </c>
      <c r="D14" s="9">
        <f>+VLOOKUP(C14,'CURVA P2'!$A$4:$AD$55,30,FALSE)</f>
        <v>28841092</v>
      </c>
      <c r="E14" s="50"/>
      <c r="F14" s="3"/>
      <c r="G14" s="53"/>
    </row>
    <row r="15" spans="3:7" x14ac:dyDescent="0.35">
      <c r="C15" s="8">
        <v>46296</v>
      </c>
      <c r="D15" s="9">
        <f>+VLOOKUP(C15,'CURVA P2'!$A$4:$AD$55,30,FALSE)</f>
        <v>28440193</v>
      </c>
      <c r="E15" s="50"/>
      <c r="F15" s="3"/>
      <c r="G15" s="53"/>
    </row>
    <row r="16" spans="3:7" x14ac:dyDescent="0.35">
      <c r="C16" s="8">
        <v>46327</v>
      </c>
      <c r="D16" s="9">
        <f>+VLOOKUP(C16,'CURVA P2'!$A$4:$AD$55,30,FALSE)</f>
        <v>27960148</v>
      </c>
      <c r="E16" s="50"/>
      <c r="F16" s="3"/>
      <c r="G16" s="53"/>
    </row>
    <row r="17" spans="3:7" ht="15" thickBot="1" x14ac:dyDescent="0.4">
      <c r="C17" s="10">
        <v>46357</v>
      </c>
      <c r="D17" s="11">
        <f>+VLOOKUP(C17,'CURVA P2'!$A$4:$AD$55,30,FALSE)</f>
        <v>27195988</v>
      </c>
      <c r="E17" s="51"/>
      <c r="F17" s="12"/>
      <c r="G17" s="54"/>
    </row>
    <row r="18" spans="3:7" ht="15" thickBot="1" x14ac:dyDescent="0.4">
      <c r="D18" s="38">
        <f>SUM(D6:D17)</f>
        <v>328572774</v>
      </c>
    </row>
    <row r="19" spans="3:7" x14ac:dyDescent="0.35">
      <c r="D19" s="41"/>
    </row>
    <row r="20" spans="3:7" x14ac:dyDescent="0.35">
      <c r="D20" s="41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2752-BC92-4A3C-A7DF-65FA0A38A715}">
  <dimension ref="A1:AD55"/>
  <sheetViews>
    <sheetView showGridLines="0" topLeftCell="M38" workbookViewId="0">
      <selection activeCell="C1" sqref="C1:G18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9" bestFit="1" customWidth="1"/>
    <col min="27" max="27" width="9.81640625" customWidth="1"/>
    <col min="28" max="28" width="10.453125" bestFit="1" customWidth="1"/>
    <col min="29" max="29" width="11" bestFit="1" customWidth="1"/>
    <col min="30" max="30" width="12.54296875" bestFit="1" customWidth="1"/>
  </cols>
  <sheetData>
    <row r="1" spans="1:30" x14ac:dyDescent="0.35">
      <c r="A1" s="62" t="s">
        <v>12</v>
      </c>
      <c r="B1" s="62"/>
      <c r="C1" s="62"/>
      <c r="D1" s="62"/>
    </row>
    <row r="2" spans="1:30" x14ac:dyDescent="0.35">
      <c r="A2" s="63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4" spans="1:30" x14ac:dyDescent="0.35">
      <c r="A4" s="72" t="s">
        <v>13</v>
      </c>
      <c r="B4" s="72"/>
      <c r="C4" s="66">
        <f>+AD55</f>
        <v>328572774</v>
      </c>
      <c r="D4" s="6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 x14ac:dyDescent="0.35">
      <c r="A5" s="18" t="s">
        <v>1</v>
      </c>
      <c r="B5" s="19" t="s">
        <v>14</v>
      </c>
      <c r="C5" s="18" t="s">
        <v>15</v>
      </c>
      <c r="D5" s="18" t="s">
        <v>16</v>
      </c>
      <c r="E5" s="18" t="s">
        <v>17</v>
      </c>
      <c r="F5" s="18" t="s">
        <v>18</v>
      </c>
      <c r="G5" s="18" t="s">
        <v>19</v>
      </c>
      <c r="H5" s="18" t="s">
        <v>20</v>
      </c>
      <c r="I5" s="18" t="s">
        <v>21</v>
      </c>
      <c r="J5" s="18" t="s">
        <v>22</v>
      </c>
      <c r="K5" s="18" t="s">
        <v>23</v>
      </c>
      <c r="L5" s="18" t="s">
        <v>24</v>
      </c>
      <c r="M5" s="18" t="s">
        <v>25</v>
      </c>
      <c r="N5" s="18" t="s">
        <v>26</v>
      </c>
      <c r="O5" s="18" t="s">
        <v>27</v>
      </c>
      <c r="P5" s="18" t="s">
        <v>28</v>
      </c>
      <c r="Q5" s="18" t="s">
        <v>29</v>
      </c>
      <c r="R5" s="18" t="s">
        <v>30</v>
      </c>
      <c r="S5" s="18" t="s">
        <v>31</v>
      </c>
      <c r="T5" s="18" t="s">
        <v>32</v>
      </c>
      <c r="U5" s="18" t="s">
        <v>33</v>
      </c>
      <c r="V5" s="18" t="s">
        <v>34</v>
      </c>
      <c r="W5" s="18" t="s">
        <v>35</v>
      </c>
      <c r="X5" s="18" t="s">
        <v>36</v>
      </c>
      <c r="Y5" s="18" t="s">
        <v>37</v>
      </c>
      <c r="Z5" s="18" t="s">
        <v>38</v>
      </c>
      <c r="AA5" s="18" t="s">
        <v>39</v>
      </c>
      <c r="AB5" s="18" t="s">
        <v>40</v>
      </c>
      <c r="AC5" s="18" t="s">
        <v>41</v>
      </c>
      <c r="AD5" s="18" t="s">
        <v>42</v>
      </c>
    </row>
    <row r="6" spans="1:30" hidden="1" x14ac:dyDescent="0.35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x14ac:dyDescent="0.35">
      <c r="A7" s="56">
        <v>46023</v>
      </c>
      <c r="B7" s="22" t="s">
        <v>43</v>
      </c>
      <c r="C7" s="23">
        <v>36323</v>
      </c>
      <c r="D7" s="23">
        <v>35390</v>
      </c>
      <c r="E7" s="23">
        <v>33981</v>
      </c>
      <c r="F7" s="23">
        <v>32935</v>
      </c>
      <c r="G7" s="23">
        <v>32600</v>
      </c>
      <c r="H7" s="23">
        <v>33173</v>
      </c>
      <c r="I7" s="23">
        <v>33978</v>
      </c>
      <c r="J7" s="23">
        <v>34114</v>
      </c>
      <c r="K7" s="23">
        <v>35656</v>
      </c>
      <c r="L7" s="23">
        <v>37603</v>
      </c>
      <c r="M7" s="23">
        <v>39465</v>
      </c>
      <c r="N7" s="23">
        <v>40444</v>
      </c>
      <c r="O7" s="23">
        <v>38683</v>
      </c>
      <c r="P7" s="23">
        <v>41920</v>
      </c>
      <c r="Q7" s="23">
        <v>46689</v>
      </c>
      <c r="R7" s="23">
        <v>48652</v>
      </c>
      <c r="S7" s="23">
        <v>48413</v>
      </c>
      <c r="T7" s="23">
        <v>32914</v>
      </c>
      <c r="U7" s="23">
        <v>33512</v>
      </c>
      <c r="V7" s="23">
        <v>32457</v>
      </c>
      <c r="W7" s="23">
        <v>31511</v>
      </c>
      <c r="X7" s="23">
        <v>30752</v>
      </c>
      <c r="Y7" s="23">
        <v>29404</v>
      </c>
      <c r="Z7" s="23">
        <v>27545</v>
      </c>
      <c r="AA7" s="24">
        <f>SUM(C7:Z7)</f>
        <v>868114</v>
      </c>
      <c r="AB7" s="25">
        <v>20</v>
      </c>
      <c r="AC7" s="24">
        <f>+AA7*AB7</f>
        <v>17362280</v>
      </c>
      <c r="AD7" s="59">
        <f>+SUM(AC7:AC10)</f>
        <v>25867601</v>
      </c>
    </row>
    <row r="8" spans="1:30" x14ac:dyDescent="0.35">
      <c r="A8" s="57"/>
      <c r="B8" s="26" t="s">
        <v>44</v>
      </c>
      <c r="C8" s="23">
        <v>37198</v>
      </c>
      <c r="D8" s="23">
        <v>35946</v>
      </c>
      <c r="E8" s="23">
        <v>34309</v>
      </c>
      <c r="F8" s="23">
        <v>33141</v>
      </c>
      <c r="G8" s="23">
        <v>32604</v>
      </c>
      <c r="H8" s="23">
        <v>32768</v>
      </c>
      <c r="I8" s="23">
        <v>33275</v>
      </c>
      <c r="J8" s="23">
        <v>33486</v>
      </c>
      <c r="K8" s="23">
        <v>35486</v>
      </c>
      <c r="L8" s="23">
        <v>37627</v>
      </c>
      <c r="M8" s="23">
        <v>39327</v>
      </c>
      <c r="N8" s="23">
        <v>39881</v>
      </c>
      <c r="O8" s="23">
        <v>38795</v>
      </c>
      <c r="P8" s="23">
        <v>39771</v>
      </c>
      <c r="Q8" s="23">
        <v>42374</v>
      </c>
      <c r="R8" s="23">
        <v>43914</v>
      </c>
      <c r="S8" s="23">
        <v>43550</v>
      </c>
      <c r="T8" s="23">
        <v>30804</v>
      </c>
      <c r="U8" s="23">
        <v>32337</v>
      </c>
      <c r="V8" s="23">
        <v>31501</v>
      </c>
      <c r="W8" s="23">
        <v>30458</v>
      </c>
      <c r="X8" s="23">
        <v>29527</v>
      </c>
      <c r="Y8" s="23">
        <v>28495</v>
      </c>
      <c r="Z8" s="23">
        <v>27001</v>
      </c>
      <c r="AA8" s="24">
        <f t="shared" ref="AA8:AA54" si="0">SUM(C8:Z8)</f>
        <v>843575</v>
      </c>
      <c r="AB8" s="25">
        <v>5</v>
      </c>
      <c r="AC8" s="24">
        <f t="shared" ref="AC8:AC54" si="1">+AA8*AB8</f>
        <v>4217875</v>
      </c>
      <c r="AD8" s="60"/>
    </row>
    <row r="9" spans="1:30" x14ac:dyDescent="0.35">
      <c r="A9" s="57"/>
      <c r="B9" s="26" t="s">
        <v>45</v>
      </c>
      <c r="C9" s="23">
        <v>36575</v>
      </c>
      <c r="D9" s="23">
        <v>35494</v>
      </c>
      <c r="E9" s="23">
        <v>33982</v>
      </c>
      <c r="F9" s="23">
        <v>32806</v>
      </c>
      <c r="G9" s="23">
        <v>32116</v>
      </c>
      <c r="H9" s="23">
        <v>31748</v>
      </c>
      <c r="I9" s="23">
        <v>31622</v>
      </c>
      <c r="J9" s="23">
        <v>29322</v>
      </c>
      <c r="K9" s="23">
        <v>28794</v>
      </c>
      <c r="L9" s="23">
        <v>29792</v>
      </c>
      <c r="M9" s="23">
        <v>30537</v>
      </c>
      <c r="N9" s="23">
        <v>31080</v>
      </c>
      <c r="O9" s="23">
        <v>31958</v>
      </c>
      <c r="P9" s="23">
        <v>32675</v>
      </c>
      <c r="Q9" s="23">
        <v>34369</v>
      </c>
      <c r="R9" s="23">
        <v>36101</v>
      </c>
      <c r="S9" s="23">
        <v>36527</v>
      </c>
      <c r="T9" s="23">
        <v>25830</v>
      </c>
      <c r="U9" s="23">
        <v>27763</v>
      </c>
      <c r="V9" s="23">
        <v>28125</v>
      </c>
      <c r="W9" s="23">
        <v>28067</v>
      </c>
      <c r="X9" s="23">
        <v>27830</v>
      </c>
      <c r="Y9" s="23">
        <v>26847</v>
      </c>
      <c r="Z9" s="23">
        <v>25010</v>
      </c>
      <c r="AA9" s="24">
        <f t="shared" si="0"/>
        <v>744970</v>
      </c>
      <c r="AB9" s="25">
        <v>4</v>
      </c>
      <c r="AC9" s="24">
        <f t="shared" si="1"/>
        <v>2979880</v>
      </c>
      <c r="AD9" s="60"/>
    </row>
    <row r="10" spans="1:30" x14ac:dyDescent="0.35">
      <c r="A10" s="58"/>
      <c r="B10" s="27" t="s">
        <v>46</v>
      </c>
      <c r="C10" s="23">
        <v>30938</v>
      </c>
      <c r="D10" s="23">
        <v>29931</v>
      </c>
      <c r="E10" s="23">
        <v>29410</v>
      </c>
      <c r="F10" s="23">
        <v>28687</v>
      </c>
      <c r="G10" s="23">
        <v>28363</v>
      </c>
      <c r="H10" s="23">
        <v>28046</v>
      </c>
      <c r="I10" s="23">
        <v>27531</v>
      </c>
      <c r="J10" s="23">
        <v>25085</v>
      </c>
      <c r="K10" s="23">
        <v>24469</v>
      </c>
      <c r="L10" s="23">
        <v>25423</v>
      </c>
      <c r="M10" s="23">
        <v>26690</v>
      </c>
      <c r="N10" s="23">
        <v>27206</v>
      </c>
      <c r="O10" s="23">
        <v>27849</v>
      </c>
      <c r="P10" s="23">
        <v>28776</v>
      </c>
      <c r="Q10" s="23">
        <v>30465</v>
      </c>
      <c r="R10" s="23">
        <v>32096</v>
      </c>
      <c r="S10" s="23">
        <v>32261</v>
      </c>
      <c r="T10" s="23">
        <v>23109</v>
      </c>
      <c r="U10" s="23">
        <v>25174</v>
      </c>
      <c r="V10" s="23">
        <v>25356</v>
      </c>
      <c r="W10" s="23">
        <v>25241</v>
      </c>
      <c r="X10" s="23">
        <v>24930</v>
      </c>
      <c r="Y10" s="23">
        <v>24026</v>
      </c>
      <c r="Z10" s="23">
        <v>22721</v>
      </c>
      <c r="AA10" s="24">
        <f t="shared" si="0"/>
        <v>653783</v>
      </c>
      <c r="AB10" s="25">
        <v>2</v>
      </c>
      <c r="AC10" s="24">
        <f t="shared" si="1"/>
        <v>1307566</v>
      </c>
      <c r="AD10" s="61"/>
    </row>
    <row r="11" spans="1:30" x14ac:dyDescent="0.35">
      <c r="A11" s="56">
        <v>46054</v>
      </c>
      <c r="B11" s="22" t="s">
        <v>43</v>
      </c>
      <c r="C11" s="23">
        <v>40464</v>
      </c>
      <c r="D11" s="23">
        <v>38453</v>
      </c>
      <c r="E11" s="23">
        <v>36994</v>
      </c>
      <c r="F11" s="23">
        <v>36081</v>
      </c>
      <c r="G11" s="23">
        <v>36160</v>
      </c>
      <c r="H11" s="23">
        <v>38346</v>
      </c>
      <c r="I11" s="23">
        <v>39981</v>
      </c>
      <c r="J11" s="23">
        <v>40784</v>
      </c>
      <c r="K11" s="23">
        <v>42459</v>
      </c>
      <c r="L11" s="23">
        <v>44406</v>
      </c>
      <c r="M11" s="23">
        <v>46471</v>
      </c>
      <c r="N11" s="23">
        <v>46307</v>
      </c>
      <c r="O11" s="23">
        <v>42842</v>
      </c>
      <c r="P11" s="23">
        <v>47739</v>
      </c>
      <c r="Q11" s="23">
        <v>53292</v>
      </c>
      <c r="R11" s="23">
        <v>55364</v>
      </c>
      <c r="S11" s="23">
        <v>54841</v>
      </c>
      <c r="T11" s="23">
        <v>36569</v>
      </c>
      <c r="U11" s="23">
        <v>36748</v>
      </c>
      <c r="V11" s="23">
        <v>36246</v>
      </c>
      <c r="W11" s="23">
        <v>35629</v>
      </c>
      <c r="X11" s="23">
        <v>34194</v>
      </c>
      <c r="Y11" s="23">
        <v>31402</v>
      </c>
      <c r="Z11" s="23">
        <v>28763</v>
      </c>
      <c r="AA11" s="24">
        <f t="shared" si="0"/>
        <v>980535</v>
      </c>
      <c r="AB11" s="25">
        <v>20</v>
      </c>
      <c r="AC11" s="24">
        <f t="shared" si="1"/>
        <v>19610700</v>
      </c>
      <c r="AD11" s="59">
        <f>+SUM(AC11:AC14)</f>
        <v>26647756</v>
      </c>
    </row>
    <row r="12" spans="1:30" x14ac:dyDescent="0.35">
      <c r="A12" s="57"/>
      <c r="B12" s="26" t="s">
        <v>44</v>
      </c>
      <c r="C12" s="23">
        <v>38861</v>
      </c>
      <c r="D12" s="23">
        <v>36966</v>
      </c>
      <c r="E12" s="23">
        <v>35548</v>
      </c>
      <c r="F12" s="23">
        <v>34698</v>
      </c>
      <c r="G12" s="23">
        <v>34280</v>
      </c>
      <c r="H12" s="23">
        <v>34937</v>
      </c>
      <c r="I12" s="23">
        <v>36438</v>
      </c>
      <c r="J12" s="23">
        <v>37945</v>
      </c>
      <c r="K12" s="23">
        <v>40098</v>
      </c>
      <c r="L12" s="23">
        <v>42395</v>
      </c>
      <c r="M12" s="23">
        <v>44040</v>
      </c>
      <c r="N12" s="23">
        <v>44429</v>
      </c>
      <c r="O12" s="23">
        <v>43012</v>
      </c>
      <c r="P12" s="23">
        <v>43599</v>
      </c>
      <c r="Q12" s="23">
        <v>45811</v>
      </c>
      <c r="R12" s="23">
        <v>47397</v>
      </c>
      <c r="S12" s="23">
        <v>46858</v>
      </c>
      <c r="T12" s="23">
        <v>32071</v>
      </c>
      <c r="U12" s="23">
        <v>33872</v>
      </c>
      <c r="V12" s="23">
        <v>33916</v>
      </c>
      <c r="W12" s="23">
        <v>32860</v>
      </c>
      <c r="X12" s="23">
        <v>31720</v>
      </c>
      <c r="Y12" s="23">
        <v>30213</v>
      </c>
      <c r="Z12" s="23">
        <v>28449</v>
      </c>
      <c r="AA12" s="24">
        <f t="shared" si="0"/>
        <v>910413</v>
      </c>
      <c r="AB12" s="25">
        <v>4</v>
      </c>
      <c r="AC12" s="24">
        <f t="shared" si="1"/>
        <v>3641652</v>
      </c>
      <c r="AD12" s="60"/>
    </row>
    <row r="13" spans="1:30" x14ac:dyDescent="0.35">
      <c r="A13" s="57"/>
      <c r="B13" s="26" t="s">
        <v>45</v>
      </c>
      <c r="C13" s="23">
        <v>40050</v>
      </c>
      <c r="D13" s="23">
        <v>38040</v>
      </c>
      <c r="E13" s="23">
        <v>36567</v>
      </c>
      <c r="F13" s="23">
        <v>35319</v>
      </c>
      <c r="G13" s="23">
        <v>34738</v>
      </c>
      <c r="H13" s="23">
        <v>34585</v>
      </c>
      <c r="I13" s="23">
        <v>34846</v>
      </c>
      <c r="J13" s="23">
        <v>33279</v>
      </c>
      <c r="K13" s="23">
        <v>33047</v>
      </c>
      <c r="L13" s="23">
        <v>34499</v>
      </c>
      <c r="M13" s="23">
        <v>35451</v>
      </c>
      <c r="N13" s="23">
        <v>36273</v>
      </c>
      <c r="O13" s="23">
        <v>36998</v>
      </c>
      <c r="P13" s="23">
        <v>37538</v>
      </c>
      <c r="Q13" s="23">
        <v>39546</v>
      </c>
      <c r="R13" s="23">
        <v>41743</v>
      </c>
      <c r="S13" s="23">
        <v>42331</v>
      </c>
      <c r="T13" s="23">
        <v>30058</v>
      </c>
      <c r="U13" s="23">
        <v>32399</v>
      </c>
      <c r="V13" s="23">
        <v>33469</v>
      </c>
      <c r="W13" s="23">
        <v>33581</v>
      </c>
      <c r="X13" s="23">
        <v>33321</v>
      </c>
      <c r="Y13" s="23">
        <v>31788</v>
      </c>
      <c r="Z13" s="23">
        <v>29385</v>
      </c>
      <c r="AA13" s="24">
        <f t="shared" si="0"/>
        <v>848851</v>
      </c>
      <c r="AB13" s="25">
        <v>4</v>
      </c>
      <c r="AC13" s="24">
        <f t="shared" si="1"/>
        <v>3395404</v>
      </c>
      <c r="AD13" s="60"/>
    </row>
    <row r="14" spans="1:30" x14ac:dyDescent="0.35">
      <c r="A14" s="58"/>
      <c r="B14" s="27" t="s">
        <v>46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4">
        <f t="shared" si="0"/>
        <v>0</v>
      </c>
      <c r="AB14" s="25">
        <v>0</v>
      </c>
      <c r="AC14" s="24">
        <f t="shared" si="1"/>
        <v>0</v>
      </c>
      <c r="AD14" s="61"/>
    </row>
    <row r="15" spans="1:30" x14ac:dyDescent="0.35">
      <c r="A15" s="56">
        <v>46082</v>
      </c>
      <c r="B15" s="22" t="s">
        <v>43</v>
      </c>
      <c r="C15" s="23">
        <v>36850</v>
      </c>
      <c r="D15" s="23">
        <v>34912</v>
      </c>
      <c r="E15" s="23">
        <v>33549</v>
      </c>
      <c r="F15" s="23">
        <v>32553</v>
      </c>
      <c r="G15" s="23">
        <v>32445</v>
      </c>
      <c r="H15" s="23">
        <v>33863</v>
      </c>
      <c r="I15" s="23">
        <v>34312</v>
      </c>
      <c r="J15" s="23">
        <v>34496</v>
      </c>
      <c r="K15" s="23">
        <v>35652</v>
      </c>
      <c r="L15" s="23">
        <v>37247</v>
      </c>
      <c r="M15" s="23">
        <v>38949</v>
      </c>
      <c r="N15" s="23">
        <v>39084</v>
      </c>
      <c r="O15" s="23">
        <v>36568</v>
      </c>
      <c r="P15" s="23">
        <v>41137</v>
      </c>
      <c r="Q15" s="23">
        <v>46348</v>
      </c>
      <c r="R15" s="23">
        <v>48250</v>
      </c>
      <c r="S15" s="23">
        <v>47932</v>
      </c>
      <c r="T15" s="23">
        <v>31504</v>
      </c>
      <c r="U15" s="23">
        <v>31708</v>
      </c>
      <c r="V15" s="23">
        <v>31634</v>
      </c>
      <c r="W15" s="23">
        <v>31691</v>
      </c>
      <c r="X15" s="23">
        <v>31154</v>
      </c>
      <c r="Y15" s="23">
        <v>29089</v>
      </c>
      <c r="Z15" s="23">
        <v>26865</v>
      </c>
      <c r="AA15" s="24">
        <f t="shared" si="0"/>
        <v>857792</v>
      </c>
      <c r="AB15" s="25">
        <v>21</v>
      </c>
      <c r="AC15" s="24">
        <f t="shared" si="1"/>
        <v>18013632</v>
      </c>
      <c r="AD15" s="59">
        <f>+SUM(AC15:AC18)</f>
        <v>25872672</v>
      </c>
    </row>
    <row r="16" spans="1:30" x14ac:dyDescent="0.35">
      <c r="A16" s="57"/>
      <c r="B16" s="26" t="s">
        <v>44</v>
      </c>
      <c r="C16" s="23">
        <v>37925</v>
      </c>
      <c r="D16" s="23">
        <v>35970</v>
      </c>
      <c r="E16" s="23">
        <v>34459</v>
      </c>
      <c r="F16" s="23">
        <v>33210</v>
      </c>
      <c r="G16" s="23">
        <v>32557</v>
      </c>
      <c r="H16" s="23">
        <v>32565</v>
      </c>
      <c r="I16" s="23">
        <v>33164</v>
      </c>
      <c r="J16" s="23">
        <v>33892</v>
      </c>
      <c r="K16" s="23">
        <v>35551</v>
      </c>
      <c r="L16" s="23">
        <v>37518</v>
      </c>
      <c r="M16" s="23">
        <v>39140</v>
      </c>
      <c r="N16" s="23">
        <v>39341</v>
      </c>
      <c r="O16" s="23">
        <v>37849</v>
      </c>
      <c r="P16" s="23">
        <v>38833</v>
      </c>
      <c r="Q16" s="23">
        <v>41546</v>
      </c>
      <c r="R16" s="23">
        <v>43165</v>
      </c>
      <c r="S16" s="23">
        <v>42885</v>
      </c>
      <c r="T16" s="23">
        <v>29856</v>
      </c>
      <c r="U16" s="23">
        <v>31166</v>
      </c>
      <c r="V16" s="23">
        <v>31083</v>
      </c>
      <c r="W16" s="23">
        <v>30716</v>
      </c>
      <c r="X16" s="23">
        <v>30444</v>
      </c>
      <c r="Y16" s="23">
        <v>29842</v>
      </c>
      <c r="Z16" s="23">
        <v>28432</v>
      </c>
      <c r="AA16" s="24">
        <f t="shared" si="0"/>
        <v>841109</v>
      </c>
      <c r="AB16" s="25">
        <v>4</v>
      </c>
      <c r="AC16" s="24">
        <f t="shared" si="1"/>
        <v>3364436</v>
      </c>
      <c r="AD16" s="60"/>
    </row>
    <row r="17" spans="1:30" x14ac:dyDescent="0.35">
      <c r="A17" s="57"/>
      <c r="B17" s="26" t="s">
        <v>45</v>
      </c>
      <c r="C17" s="23">
        <v>38635</v>
      </c>
      <c r="D17" s="23">
        <v>36632</v>
      </c>
      <c r="E17" s="23">
        <v>35210</v>
      </c>
      <c r="F17" s="23">
        <v>34050</v>
      </c>
      <c r="G17" s="23">
        <v>33276</v>
      </c>
      <c r="H17" s="23">
        <v>32685</v>
      </c>
      <c r="I17" s="23">
        <v>32276</v>
      </c>
      <c r="J17" s="23">
        <v>29960</v>
      </c>
      <c r="K17" s="23">
        <v>29051</v>
      </c>
      <c r="L17" s="23">
        <v>29556</v>
      </c>
      <c r="M17" s="23">
        <v>29895</v>
      </c>
      <c r="N17" s="23">
        <v>30337</v>
      </c>
      <c r="O17" s="23">
        <v>31428</v>
      </c>
      <c r="P17" s="23">
        <v>32385</v>
      </c>
      <c r="Q17" s="23">
        <v>34430</v>
      </c>
      <c r="R17" s="23">
        <v>36504</v>
      </c>
      <c r="S17" s="23">
        <v>37088</v>
      </c>
      <c r="T17" s="23">
        <v>25978</v>
      </c>
      <c r="U17" s="23">
        <v>27863</v>
      </c>
      <c r="V17" s="23">
        <v>29249</v>
      </c>
      <c r="W17" s="23">
        <v>29822</v>
      </c>
      <c r="X17" s="23">
        <v>30011</v>
      </c>
      <c r="Y17" s="23">
        <v>28322</v>
      </c>
      <c r="Z17" s="23">
        <v>26284</v>
      </c>
      <c r="AA17" s="24">
        <f t="shared" si="0"/>
        <v>760927</v>
      </c>
      <c r="AB17" s="25">
        <v>5</v>
      </c>
      <c r="AC17" s="24">
        <f t="shared" si="1"/>
        <v>3804635</v>
      </c>
      <c r="AD17" s="60"/>
    </row>
    <row r="18" spans="1:30" x14ac:dyDescent="0.35">
      <c r="A18" s="58"/>
      <c r="B18" s="27" t="s">
        <v>46</v>
      </c>
      <c r="C18" s="23">
        <v>31470</v>
      </c>
      <c r="D18" s="23">
        <v>29481</v>
      </c>
      <c r="E18" s="23">
        <v>28259</v>
      </c>
      <c r="F18" s="23">
        <v>27417</v>
      </c>
      <c r="G18" s="23">
        <v>27156</v>
      </c>
      <c r="H18" s="23">
        <v>26911</v>
      </c>
      <c r="I18" s="23">
        <v>27371</v>
      </c>
      <c r="J18" s="23">
        <v>26650</v>
      </c>
      <c r="K18" s="23">
        <v>26846</v>
      </c>
      <c r="L18" s="23">
        <v>28414</v>
      </c>
      <c r="M18" s="23">
        <v>30198</v>
      </c>
      <c r="N18" s="23">
        <v>31335</v>
      </c>
      <c r="O18" s="23">
        <v>31403</v>
      </c>
      <c r="P18" s="23">
        <v>32725</v>
      </c>
      <c r="Q18" s="23">
        <v>34206</v>
      </c>
      <c r="R18" s="23">
        <v>35235</v>
      </c>
      <c r="S18" s="23">
        <v>35240</v>
      </c>
      <c r="T18" s="23">
        <v>23720</v>
      </c>
      <c r="U18" s="23">
        <v>26040</v>
      </c>
      <c r="V18" s="23">
        <v>27378</v>
      </c>
      <c r="W18" s="23">
        <v>27640</v>
      </c>
      <c r="X18" s="23">
        <v>27195</v>
      </c>
      <c r="Y18" s="23">
        <v>24997</v>
      </c>
      <c r="Z18" s="23">
        <v>22682</v>
      </c>
      <c r="AA18" s="24">
        <f t="shared" si="0"/>
        <v>689969</v>
      </c>
      <c r="AB18" s="25">
        <v>1</v>
      </c>
      <c r="AC18" s="24">
        <f t="shared" si="1"/>
        <v>689969</v>
      </c>
      <c r="AD18" s="61"/>
    </row>
    <row r="19" spans="1:30" x14ac:dyDescent="0.35">
      <c r="A19" s="56">
        <v>46113</v>
      </c>
      <c r="B19" s="22" t="s">
        <v>43</v>
      </c>
      <c r="C19" s="23">
        <v>38823</v>
      </c>
      <c r="D19" s="23">
        <v>36792</v>
      </c>
      <c r="E19" s="23">
        <v>35405</v>
      </c>
      <c r="F19" s="23">
        <v>34412</v>
      </c>
      <c r="G19" s="23">
        <v>34411</v>
      </c>
      <c r="H19" s="23">
        <v>35428</v>
      </c>
      <c r="I19" s="23">
        <v>36444</v>
      </c>
      <c r="J19" s="23">
        <v>37702</v>
      </c>
      <c r="K19" s="23">
        <v>39736</v>
      </c>
      <c r="L19" s="23">
        <v>41660</v>
      </c>
      <c r="M19" s="23">
        <v>43906</v>
      </c>
      <c r="N19" s="23">
        <v>44344</v>
      </c>
      <c r="O19" s="23">
        <v>41194</v>
      </c>
      <c r="P19" s="23">
        <v>45815</v>
      </c>
      <c r="Q19" s="23">
        <v>51649</v>
      </c>
      <c r="R19" s="23">
        <v>53409</v>
      </c>
      <c r="S19" s="23">
        <v>52660</v>
      </c>
      <c r="T19" s="23">
        <v>34968</v>
      </c>
      <c r="U19" s="23">
        <v>35397</v>
      </c>
      <c r="V19" s="23">
        <v>34931</v>
      </c>
      <c r="W19" s="23">
        <v>34544</v>
      </c>
      <c r="X19" s="23">
        <v>33716</v>
      </c>
      <c r="Y19" s="23">
        <v>31572</v>
      </c>
      <c r="Z19" s="23">
        <v>29036</v>
      </c>
      <c r="AA19" s="24">
        <f t="shared" si="0"/>
        <v>937954</v>
      </c>
      <c r="AB19" s="25">
        <v>20</v>
      </c>
      <c r="AC19" s="24">
        <f t="shared" si="1"/>
        <v>18759080</v>
      </c>
      <c r="AD19" s="59">
        <f>+SUM(AC19:AC22)</f>
        <v>26939490</v>
      </c>
    </row>
    <row r="20" spans="1:30" x14ac:dyDescent="0.35">
      <c r="A20" s="57"/>
      <c r="B20" s="26" t="s">
        <v>44</v>
      </c>
      <c r="C20" s="23">
        <v>39746</v>
      </c>
      <c r="D20" s="23">
        <v>37821</v>
      </c>
      <c r="E20" s="23">
        <v>36383</v>
      </c>
      <c r="F20" s="23">
        <v>35086</v>
      </c>
      <c r="G20" s="23">
        <v>34623</v>
      </c>
      <c r="H20" s="23">
        <v>34219</v>
      </c>
      <c r="I20" s="23">
        <v>35382</v>
      </c>
      <c r="J20" s="23">
        <v>36304</v>
      </c>
      <c r="K20" s="23">
        <v>38614</v>
      </c>
      <c r="L20" s="23">
        <v>40605</v>
      </c>
      <c r="M20" s="23">
        <v>42605</v>
      </c>
      <c r="N20" s="23">
        <v>43174</v>
      </c>
      <c r="O20" s="23">
        <v>41688</v>
      </c>
      <c r="P20" s="23">
        <v>42491</v>
      </c>
      <c r="Q20" s="23">
        <v>44928</v>
      </c>
      <c r="R20" s="23">
        <v>46392</v>
      </c>
      <c r="S20" s="23">
        <v>45680</v>
      </c>
      <c r="T20" s="23">
        <v>32041</v>
      </c>
      <c r="U20" s="23">
        <v>33388</v>
      </c>
      <c r="V20" s="23">
        <v>32596</v>
      </c>
      <c r="W20" s="23">
        <v>31693</v>
      </c>
      <c r="X20" s="23">
        <v>30693</v>
      </c>
      <c r="Y20" s="23">
        <v>29503</v>
      </c>
      <c r="Z20" s="23">
        <v>28040</v>
      </c>
      <c r="AA20" s="24">
        <f t="shared" si="0"/>
        <v>893695</v>
      </c>
      <c r="AB20" s="25">
        <v>4</v>
      </c>
      <c r="AC20" s="24">
        <f t="shared" si="1"/>
        <v>3574780</v>
      </c>
      <c r="AD20" s="60"/>
    </row>
    <row r="21" spans="1:30" x14ac:dyDescent="0.35">
      <c r="A21" s="57"/>
      <c r="B21" s="26" t="s">
        <v>45</v>
      </c>
      <c r="C21" s="23">
        <v>39666</v>
      </c>
      <c r="D21" s="23">
        <v>37468</v>
      </c>
      <c r="E21" s="23">
        <v>35862</v>
      </c>
      <c r="F21" s="23">
        <v>34619</v>
      </c>
      <c r="G21" s="23">
        <v>33828</v>
      </c>
      <c r="H21" s="23">
        <v>32911</v>
      </c>
      <c r="I21" s="23">
        <v>32907</v>
      </c>
      <c r="J21" s="23">
        <v>31415</v>
      </c>
      <c r="K21" s="23">
        <v>31075</v>
      </c>
      <c r="L21" s="23">
        <v>31863</v>
      </c>
      <c r="M21" s="23">
        <v>32672</v>
      </c>
      <c r="N21" s="23">
        <v>33809</v>
      </c>
      <c r="O21" s="23">
        <v>34629</v>
      </c>
      <c r="P21" s="23">
        <v>35444</v>
      </c>
      <c r="Q21" s="23">
        <v>37506</v>
      </c>
      <c r="R21" s="23">
        <v>39358</v>
      </c>
      <c r="S21" s="23">
        <v>39728</v>
      </c>
      <c r="T21" s="23">
        <v>27703</v>
      </c>
      <c r="U21" s="23">
        <v>29830</v>
      </c>
      <c r="V21" s="23">
        <v>30690</v>
      </c>
      <c r="W21" s="23">
        <v>30142</v>
      </c>
      <c r="X21" s="23">
        <v>30017</v>
      </c>
      <c r="Y21" s="23">
        <v>28553</v>
      </c>
      <c r="Z21" s="23">
        <v>26278</v>
      </c>
      <c r="AA21" s="24">
        <f t="shared" si="0"/>
        <v>797973</v>
      </c>
      <c r="AB21" s="25">
        <v>4</v>
      </c>
      <c r="AC21" s="24">
        <f t="shared" si="1"/>
        <v>3191892</v>
      </c>
      <c r="AD21" s="60"/>
    </row>
    <row r="22" spans="1:30" x14ac:dyDescent="0.35">
      <c r="A22" s="58"/>
      <c r="B22" s="27" t="s">
        <v>46</v>
      </c>
      <c r="C22" s="23">
        <v>37199</v>
      </c>
      <c r="D22" s="23">
        <v>35178</v>
      </c>
      <c r="E22" s="23">
        <v>33678</v>
      </c>
      <c r="F22" s="23">
        <v>32560</v>
      </c>
      <c r="G22" s="23">
        <v>31741</v>
      </c>
      <c r="H22" s="23">
        <v>30838</v>
      </c>
      <c r="I22" s="23">
        <v>30928</v>
      </c>
      <c r="J22" s="23">
        <v>28481</v>
      </c>
      <c r="K22" s="23">
        <v>26920</v>
      </c>
      <c r="L22" s="23">
        <v>26801</v>
      </c>
      <c r="M22" s="23">
        <v>27079</v>
      </c>
      <c r="N22" s="23">
        <v>27996</v>
      </c>
      <c r="O22" s="23">
        <v>28986</v>
      </c>
      <c r="P22" s="23">
        <v>29776</v>
      </c>
      <c r="Q22" s="23">
        <v>31825</v>
      </c>
      <c r="R22" s="23">
        <v>33324</v>
      </c>
      <c r="S22" s="23">
        <v>33627</v>
      </c>
      <c r="T22" s="23">
        <v>23798</v>
      </c>
      <c r="U22" s="23">
        <v>25998</v>
      </c>
      <c r="V22" s="23">
        <v>26836</v>
      </c>
      <c r="W22" s="23">
        <v>26453</v>
      </c>
      <c r="X22" s="23">
        <v>26348</v>
      </c>
      <c r="Y22" s="23">
        <v>25856</v>
      </c>
      <c r="Z22" s="23">
        <v>24643</v>
      </c>
      <c r="AA22" s="24">
        <f t="shared" si="0"/>
        <v>706869</v>
      </c>
      <c r="AB22" s="25">
        <v>2</v>
      </c>
      <c r="AC22" s="24">
        <f t="shared" si="1"/>
        <v>1413738</v>
      </c>
      <c r="AD22" s="61"/>
    </row>
    <row r="23" spans="1:30" x14ac:dyDescent="0.35">
      <c r="A23" s="56">
        <v>46143</v>
      </c>
      <c r="B23" s="22" t="s">
        <v>43</v>
      </c>
      <c r="C23" s="23">
        <v>39653</v>
      </c>
      <c r="D23" s="23">
        <v>37678</v>
      </c>
      <c r="E23" s="23">
        <v>36142</v>
      </c>
      <c r="F23" s="23">
        <v>35050</v>
      </c>
      <c r="G23" s="23">
        <v>34727</v>
      </c>
      <c r="H23" s="23">
        <v>34736</v>
      </c>
      <c r="I23" s="23">
        <v>35671</v>
      </c>
      <c r="J23" s="23">
        <v>36946</v>
      </c>
      <c r="K23" s="23">
        <v>39141</v>
      </c>
      <c r="L23" s="23">
        <v>41255</v>
      </c>
      <c r="M23" s="23">
        <v>43354</v>
      </c>
      <c r="N23" s="23">
        <v>43620</v>
      </c>
      <c r="O23" s="23">
        <v>40581</v>
      </c>
      <c r="P23" s="23">
        <v>45505</v>
      </c>
      <c r="Q23" s="23">
        <v>51225</v>
      </c>
      <c r="R23" s="23">
        <v>52669</v>
      </c>
      <c r="S23" s="23">
        <v>51766</v>
      </c>
      <c r="T23" s="23">
        <v>34915</v>
      </c>
      <c r="U23" s="23">
        <v>34254</v>
      </c>
      <c r="V23" s="23">
        <v>33997</v>
      </c>
      <c r="W23" s="23">
        <v>34267</v>
      </c>
      <c r="X23" s="23">
        <v>33849</v>
      </c>
      <c r="Y23" s="23">
        <v>31999</v>
      </c>
      <c r="Z23" s="23">
        <v>29612</v>
      </c>
      <c r="AA23" s="24">
        <f t="shared" si="0"/>
        <v>932612</v>
      </c>
      <c r="AB23" s="25">
        <v>19</v>
      </c>
      <c r="AC23" s="24">
        <f t="shared" si="1"/>
        <v>17719628</v>
      </c>
      <c r="AD23" s="59">
        <f>+SUM(AC23:AC26)</f>
        <v>27532170</v>
      </c>
    </row>
    <row r="24" spans="1:30" x14ac:dyDescent="0.35">
      <c r="A24" s="57"/>
      <c r="B24" s="26" t="s">
        <v>44</v>
      </c>
      <c r="C24" s="23">
        <v>40397</v>
      </c>
      <c r="D24" s="23">
        <v>38099</v>
      </c>
      <c r="E24" s="23">
        <v>36307</v>
      </c>
      <c r="F24" s="23">
        <v>35074</v>
      </c>
      <c r="G24" s="23">
        <v>34456</v>
      </c>
      <c r="H24" s="23">
        <v>33423</v>
      </c>
      <c r="I24" s="23">
        <v>34909</v>
      </c>
      <c r="J24" s="23">
        <v>35840</v>
      </c>
      <c r="K24" s="23">
        <v>38297</v>
      </c>
      <c r="L24" s="23">
        <v>40764</v>
      </c>
      <c r="M24" s="23">
        <v>42801</v>
      </c>
      <c r="N24" s="23">
        <v>43035</v>
      </c>
      <c r="O24" s="23">
        <v>41527</v>
      </c>
      <c r="P24" s="23">
        <v>42527</v>
      </c>
      <c r="Q24" s="23">
        <v>44889</v>
      </c>
      <c r="R24" s="23">
        <v>45675</v>
      </c>
      <c r="S24" s="23">
        <v>44871</v>
      </c>
      <c r="T24" s="23">
        <v>30654</v>
      </c>
      <c r="U24" s="23">
        <v>31648</v>
      </c>
      <c r="V24" s="23">
        <v>31730</v>
      </c>
      <c r="W24" s="23">
        <v>30929</v>
      </c>
      <c r="X24" s="23">
        <v>30384</v>
      </c>
      <c r="Y24" s="23">
        <v>29575</v>
      </c>
      <c r="Z24" s="23">
        <v>27902</v>
      </c>
      <c r="AA24" s="24">
        <f t="shared" si="0"/>
        <v>885713</v>
      </c>
      <c r="AB24" s="25">
        <v>5</v>
      </c>
      <c r="AC24" s="24">
        <f t="shared" si="1"/>
        <v>4428565</v>
      </c>
      <c r="AD24" s="60"/>
    </row>
    <row r="25" spans="1:30" x14ac:dyDescent="0.35">
      <c r="A25" s="57"/>
      <c r="B25" s="26" t="s">
        <v>45</v>
      </c>
      <c r="C25" s="23">
        <v>39083</v>
      </c>
      <c r="D25" s="23">
        <v>37257</v>
      </c>
      <c r="E25" s="23">
        <v>35751</v>
      </c>
      <c r="F25" s="23">
        <v>34523</v>
      </c>
      <c r="G25" s="23">
        <v>33694</v>
      </c>
      <c r="H25" s="23">
        <v>32123</v>
      </c>
      <c r="I25" s="23">
        <v>32608</v>
      </c>
      <c r="J25" s="23">
        <v>31120</v>
      </c>
      <c r="K25" s="23">
        <v>30569</v>
      </c>
      <c r="L25" s="23">
        <v>31359</v>
      </c>
      <c r="M25" s="23">
        <v>32376</v>
      </c>
      <c r="N25" s="23">
        <v>32864</v>
      </c>
      <c r="O25" s="23">
        <v>32954</v>
      </c>
      <c r="P25" s="23">
        <v>33383</v>
      </c>
      <c r="Q25" s="23">
        <v>35642</v>
      </c>
      <c r="R25" s="23">
        <v>37347</v>
      </c>
      <c r="S25" s="23">
        <v>37803</v>
      </c>
      <c r="T25" s="23">
        <v>26741</v>
      </c>
      <c r="U25" s="23">
        <v>28511</v>
      </c>
      <c r="V25" s="23">
        <v>29341</v>
      </c>
      <c r="W25" s="23">
        <v>29762</v>
      </c>
      <c r="X25" s="23">
        <v>30287</v>
      </c>
      <c r="Y25" s="23">
        <v>29382</v>
      </c>
      <c r="Z25" s="23">
        <v>27519</v>
      </c>
      <c r="AA25" s="24">
        <f t="shared" si="0"/>
        <v>781999</v>
      </c>
      <c r="AB25" s="25">
        <v>5</v>
      </c>
      <c r="AC25" s="24">
        <f t="shared" si="1"/>
        <v>3909995</v>
      </c>
      <c r="AD25" s="60"/>
    </row>
    <row r="26" spans="1:30" x14ac:dyDescent="0.35">
      <c r="A26" s="58"/>
      <c r="B26" s="27" t="s">
        <v>46</v>
      </c>
      <c r="C26" s="23">
        <v>34556</v>
      </c>
      <c r="D26" s="23">
        <v>32740</v>
      </c>
      <c r="E26" s="23">
        <v>31403</v>
      </c>
      <c r="F26" s="23">
        <v>30365</v>
      </c>
      <c r="G26" s="23">
        <v>29856</v>
      </c>
      <c r="H26" s="23">
        <v>28645</v>
      </c>
      <c r="I26" s="23">
        <v>29499</v>
      </c>
      <c r="J26" s="23">
        <v>28411</v>
      </c>
      <c r="K26" s="23">
        <v>28451</v>
      </c>
      <c r="L26" s="23">
        <v>29841</v>
      </c>
      <c r="M26" s="23">
        <v>31251</v>
      </c>
      <c r="N26" s="23">
        <v>32135</v>
      </c>
      <c r="O26" s="23">
        <v>32375</v>
      </c>
      <c r="P26" s="23">
        <v>33468</v>
      </c>
      <c r="Q26" s="23">
        <v>35388</v>
      </c>
      <c r="R26" s="23">
        <v>36993</v>
      </c>
      <c r="S26" s="23">
        <v>36900</v>
      </c>
      <c r="T26" s="23">
        <v>25048</v>
      </c>
      <c r="U26" s="23">
        <v>27267</v>
      </c>
      <c r="V26" s="23">
        <v>29160</v>
      </c>
      <c r="W26" s="23">
        <v>29793</v>
      </c>
      <c r="X26" s="23">
        <v>29861</v>
      </c>
      <c r="Y26" s="23">
        <v>28057</v>
      </c>
      <c r="Z26" s="23">
        <v>25528</v>
      </c>
      <c r="AA26" s="24">
        <f t="shared" si="0"/>
        <v>736991</v>
      </c>
      <c r="AB26" s="25">
        <v>2</v>
      </c>
      <c r="AC26" s="24">
        <f t="shared" si="1"/>
        <v>1473982</v>
      </c>
      <c r="AD26" s="61"/>
    </row>
    <row r="27" spans="1:30" x14ac:dyDescent="0.35">
      <c r="A27" s="56">
        <v>46174</v>
      </c>
      <c r="B27" s="22" t="s">
        <v>43</v>
      </c>
      <c r="C27" s="23">
        <v>41516</v>
      </c>
      <c r="D27" s="23">
        <v>39436</v>
      </c>
      <c r="E27" s="23">
        <v>37790</v>
      </c>
      <c r="F27" s="23">
        <v>36706</v>
      </c>
      <c r="G27" s="23">
        <v>36359</v>
      </c>
      <c r="H27" s="23">
        <v>36180</v>
      </c>
      <c r="I27" s="23">
        <v>37766</v>
      </c>
      <c r="J27" s="23">
        <v>39552</v>
      </c>
      <c r="K27" s="23">
        <v>41903</v>
      </c>
      <c r="L27" s="23">
        <v>43874</v>
      </c>
      <c r="M27" s="23">
        <v>45942</v>
      </c>
      <c r="N27" s="23">
        <v>46519</v>
      </c>
      <c r="O27" s="23">
        <v>43058</v>
      </c>
      <c r="P27" s="23">
        <v>47598</v>
      </c>
      <c r="Q27" s="23">
        <v>52884</v>
      </c>
      <c r="R27" s="23">
        <v>54525</v>
      </c>
      <c r="S27" s="23">
        <v>53861</v>
      </c>
      <c r="T27" s="23">
        <v>35546</v>
      </c>
      <c r="U27" s="23">
        <v>35212</v>
      </c>
      <c r="V27" s="23">
        <v>35135</v>
      </c>
      <c r="W27" s="23">
        <v>35078</v>
      </c>
      <c r="X27" s="23">
        <v>34592</v>
      </c>
      <c r="Y27" s="23">
        <v>32873</v>
      </c>
      <c r="Z27" s="23">
        <v>30512</v>
      </c>
      <c r="AA27" s="24">
        <f t="shared" si="0"/>
        <v>974417</v>
      </c>
      <c r="AB27" s="25">
        <v>19</v>
      </c>
      <c r="AC27" s="24">
        <f t="shared" si="1"/>
        <v>18513923</v>
      </c>
      <c r="AD27" s="59">
        <f>+SUM(AC27:AC30)</f>
        <v>27933263</v>
      </c>
    </row>
    <row r="28" spans="1:30" x14ac:dyDescent="0.35">
      <c r="A28" s="57"/>
      <c r="B28" s="26" t="s">
        <v>44</v>
      </c>
      <c r="C28" s="23">
        <v>41420</v>
      </c>
      <c r="D28" s="23">
        <v>39395</v>
      </c>
      <c r="E28" s="23">
        <v>37812</v>
      </c>
      <c r="F28" s="23">
        <v>36587</v>
      </c>
      <c r="G28" s="23">
        <v>36163</v>
      </c>
      <c r="H28" s="23">
        <v>35214</v>
      </c>
      <c r="I28" s="23">
        <v>36849</v>
      </c>
      <c r="J28" s="23">
        <v>38469</v>
      </c>
      <c r="K28" s="23">
        <v>40681</v>
      </c>
      <c r="L28" s="23">
        <v>42711</v>
      </c>
      <c r="M28" s="23">
        <v>44386</v>
      </c>
      <c r="N28" s="23">
        <v>44530</v>
      </c>
      <c r="O28" s="23">
        <v>42586</v>
      </c>
      <c r="P28" s="23">
        <v>43174</v>
      </c>
      <c r="Q28" s="23">
        <v>46405</v>
      </c>
      <c r="R28" s="23">
        <v>48178</v>
      </c>
      <c r="S28" s="23">
        <v>47492</v>
      </c>
      <c r="T28" s="23">
        <v>32842</v>
      </c>
      <c r="U28" s="23">
        <v>33850</v>
      </c>
      <c r="V28" s="23">
        <v>33399</v>
      </c>
      <c r="W28" s="23">
        <v>32672</v>
      </c>
      <c r="X28" s="23">
        <v>31898</v>
      </c>
      <c r="Y28" s="23">
        <v>30910</v>
      </c>
      <c r="Z28" s="23">
        <v>29434</v>
      </c>
      <c r="AA28" s="24">
        <f t="shared" si="0"/>
        <v>927057</v>
      </c>
      <c r="AB28" s="25">
        <v>4</v>
      </c>
      <c r="AC28" s="24">
        <f t="shared" si="1"/>
        <v>3708228</v>
      </c>
      <c r="AD28" s="60"/>
    </row>
    <row r="29" spans="1:30" x14ac:dyDescent="0.35">
      <c r="A29" s="57"/>
      <c r="B29" s="26" t="s">
        <v>45</v>
      </c>
      <c r="C29" s="23">
        <v>41277</v>
      </c>
      <c r="D29" s="23">
        <v>39489</v>
      </c>
      <c r="E29" s="23">
        <v>37995</v>
      </c>
      <c r="F29" s="23">
        <v>36692</v>
      </c>
      <c r="G29" s="23">
        <v>35969</v>
      </c>
      <c r="H29" s="23">
        <v>34372</v>
      </c>
      <c r="I29" s="23">
        <v>34762</v>
      </c>
      <c r="J29" s="23">
        <v>33406</v>
      </c>
      <c r="K29" s="23">
        <v>32466</v>
      </c>
      <c r="L29" s="23">
        <v>33686</v>
      </c>
      <c r="M29" s="23">
        <v>33935</v>
      </c>
      <c r="N29" s="23">
        <v>34438</v>
      </c>
      <c r="O29" s="23">
        <v>35160</v>
      </c>
      <c r="P29" s="23">
        <v>35839</v>
      </c>
      <c r="Q29" s="23">
        <v>37896</v>
      </c>
      <c r="R29" s="23">
        <v>39780</v>
      </c>
      <c r="S29" s="23">
        <v>40427</v>
      </c>
      <c r="T29" s="23">
        <v>27849</v>
      </c>
      <c r="U29" s="23">
        <v>29747</v>
      </c>
      <c r="V29" s="23">
        <v>31221</v>
      </c>
      <c r="W29" s="23">
        <v>31667</v>
      </c>
      <c r="X29" s="23">
        <v>32404</v>
      </c>
      <c r="Y29" s="23">
        <v>31743</v>
      </c>
      <c r="Z29" s="23">
        <v>30229</v>
      </c>
      <c r="AA29" s="24">
        <f t="shared" si="0"/>
        <v>832449</v>
      </c>
      <c r="AB29" s="25">
        <v>4</v>
      </c>
      <c r="AC29" s="24">
        <f t="shared" si="1"/>
        <v>3329796</v>
      </c>
      <c r="AD29" s="60"/>
    </row>
    <row r="30" spans="1:30" x14ac:dyDescent="0.35">
      <c r="A30" s="58"/>
      <c r="B30" s="27" t="s">
        <v>46</v>
      </c>
      <c r="C30" s="23">
        <v>37055</v>
      </c>
      <c r="D30" s="23">
        <v>35285</v>
      </c>
      <c r="E30" s="23">
        <v>33977</v>
      </c>
      <c r="F30" s="23">
        <v>32887</v>
      </c>
      <c r="G30" s="23">
        <v>32410</v>
      </c>
      <c r="H30" s="23">
        <v>31258</v>
      </c>
      <c r="I30" s="23">
        <v>32102</v>
      </c>
      <c r="J30" s="23">
        <v>31863</v>
      </c>
      <c r="K30" s="23">
        <v>32608</v>
      </c>
      <c r="L30" s="23">
        <v>34497</v>
      </c>
      <c r="M30" s="23">
        <v>35865</v>
      </c>
      <c r="N30" s="23">
        <v>36351</v>
      </c>
      <c r="O30" s="23">
        <v>36040</v>
      </c>
      <c r="P30" s="23">
        <v>36665</v>
      </c>
      <c r="Q30" s="23">
        <v>38431</v>
      </c>
      <c r="R30" s="23">
        <v>39614</v>
      </c>
      <c r="S30" s="23">
        <v>39279</v>
      </c>
      <c r="T30" s="23">
        <v>25974</v>
      </c>
      <c r="U30" s="23">
        <v>27618</v>
      </c>
      <c r="V30" s="23">
        <v>29814</v>
      </c>
      <c r="W30" s="23">
        <v>29826</v>
      </c>
      <c r="X30" s="23">
        <v>29746</v>
      </c>
      <c r="Y30" s="23">
        <v>28365</v>
      </c>
      <c r="Z30" s="23">
        <v>26242</v>
      </c>
      <c r="AA30" s="24">
        <f t="shared" si="0"/>
        <v>793772</v>
      </c>
      <c r="AB30" s="25">
        <v>3</v>
      </c>
      <c r="AC30" s="24">
        <f t="shared" si="1"/>
        <v>2381316</v>
      </c>
      <c r="AD30" s="61"/>
    </row>
    <row r="31" spans="1:30" x14ac:dyDescent="0.35">
      <c r="A31" s="56">
        <v>46204</v>
      </c>
      <c r="B31" s="22" t="s">
        <v>43</v>
      </c>
      <c r="C31" s="23">
        <v>39001</v>
      </c>
      <c r="D31" s="23">
        <v>36978</v>
      </c>
      <c r="E31" s="23">
        <v>35511</v>
      </c>
      <c r="F31" s="23">
        <v>34316</v>
      </c>
      <c r="G31" s="23">
        <v>33934</v>
      </c>
      <c r="H31" s="23">
        <v>34129</v>
      </c>
      <c r="I31" s="23">
        <v>35253</v>
      </c>
      <c r="J31" s="23">
        <v>36449</v>
      </c>
      <c r="K31" s="23">
        <v>38665</v>
      </c>
      <c r="L31" s="23">
        <v>40627</v>
      </c>
      <c r="M31" s="23">
        <v>42686</v>
      </c>
      <c r="N31" s="23">
        <v>42656</v>
      </c>
      <c r="O31" s="23">
        <v>39229</v>
      </c>
      <c r="P31" s="23">
        <v>43519</v>
      </c>
      <c r="Q31" s="23">
        <v>48671</v>
      </c>
      <c r="R31" s="23">
        <v>50245</v>
      </c>
      <c r="S31" s="23">
        <v>49348</v>
      </c>
      <c r="T31" s="23">
        <v>32431</v>
      </c>
      <c r="U31" s="23">
        <v>31971</v>
      </c>
      <c r="V31" s="23">
        <v>32324</v>
      </c>
      <c r="W31" s="23">
        <v>32604</v>
      </c>
      <c r="X31" s="23">
        <v>32208</v>
      </c>
      <c r="Y31" s="23">
        <v>30498</v>
      </c>
      <c r="Z31" s="23">
        <v>28197</v>
      </c>
      <c r="AA31" s="24">
        <f t="shared" si="0"/>
        <v>901450</v>
      </c>
      <c r="AB31" s="25">
        <v>22</v>
      </c>
      <c r="AC31" s="24">
        <f t="shared" si="1"/>
        <v>19831900</v>
      </c>
      <c r="AD31" s="59">
        <f>+SUM(AC31:AC34)</f>
        <v>27138331</v>
      </c>
    </row>
    <row r="32" spans="1:30" x14ac:dyDescent="0.35">
      <c r="A32" s="57"/>
      <c r="B32" s="26" t="s">
        <v>44</v>
      </c>
      <c r="C32" s="23">
        <v>37840</v>
      </c>
      <c r="D32" s="23">
        <v>36057</v>
      </c>
      <c r="E32" s="23">
        <v>34687</v>
      </c>
      <c r="F32" s="23">
        <v>33597</v>
      </c>
      <c r="G32" s="23">
        <v>33265</v>
      </c>
      <c r="H32" s="23">
        <v>32516</v>
      </c>
      <c r="I32" s="23">
        <v>33628</v>
      </c>
      <c r="J32" s="23">
        <v>34511</v>
      </c>
      <c r="K32" s="23">
        <v>36389</v>
      </c>
      <c r="L32" s="23">
        <v>38424</v>
      </c>
      <c r="M32" s="23">
        <v>39871</v>
      </c>
      <c r="N32" s="23">
        <v>40456</v>
      </c>
      <c r="O32" s="23">
        <v>38903</v>
      </c>
      <c r="P32" s="23">
        <v>39933</v>
      </c>
      <c r="Q32" s="23">
        <v>42778</v>
      </c>
      <c r="R32" s="23">
        <v>43940</v>
      </c>
      <c r="S32" s="23">
        <v>43018</v>
      </c>
      <c r="T32" s="23">
        <v>28357</v>
      </c>
      <c r="U32" s="23">
        <v>29889</v>
      </c>
      <c r="V32" s="23">
        <v>30871</v>
      </c>
      <c r="W32" s="23">
        <v>30091</v>
      </c>
      <c r="X32" s="23">
        <v>29830</v>
      </c>
      <c r="Y32" s="23">
        <v>29393</v>
      </c>
      <c r="Z32" s="23">
        <v>28319</v>
      </c>
      <c r="AA32" s="24">
        <f t="shared" si="0"/>
        <v>846563</v>
      </c>
      <c r="AB32" s="25">
        <v>4</v>
      </c>
      <c r="AC32" s="24">
        <f t="shared" si="1"/>
        <v>3386252</v>
      </c>
      <c r="AD32" s="60"/>
    </row>
    <row r="33" spans="1:30" x14ac:dyDescent="0.35">
      <c r="A33" s="57"/>
      <c r="B33" s="26" t="s">
        <v>45</v>
      </c>
      <c r="C33" s="23">
        <v>39996</v>
      </c>
      <c r="D33" s="23">
        <v>38130</v>
      </c>
      <c r="E33" s="23">
        <v>36482</v>
      </c>
      <c r="F33" s="23">
        <v>35259</v>
      </c>
      <c r="G33" s="23">
        <v>34417</v>
      </c>
      <c r="H33" s="23">
        <v>33070</v>
      </c>
      <c r="I33" s="23">
        <v>33353</v>
      </c>
      <c r="J33" s="23">
        <v>30918</v>
      </c>
      <c r="K33" s="23">
        <v>30232</v>
      </c>
      <c r="L33" s="23">
        <v>31345</v>
      </c>
      <c r="M33" s="23">
        <v>31840</v>
      </c>
      <c r="N33" s="23">
        <v>32074</v>
      </c>
      <c r="O33" s="23">
        <v>32847</v>
      </c>
      <c r="P33" s="23">
        <v>33702</v>
      </c>
      <c r="Q33" s="23">
        <v>35362</v>
      </c>
      <c r="R33" s="23">
        <v>37340</v>
      </c>
      <c r="S33" s="23">
        <v>37814</v>
      </c>
      <c r="T33" s="23">
        <v>27340</v>
      </c>
      <c r="U33" s="23">
        <v>29040</v>
      </c>
      <c r="V33" s="23">
        <v>30520</v>
      </c>
      <c r="W33" s="23">
        <v>30821</v>
      </c>
      <c r="X33" s="23">
        <v>31181</v>
      </c>
      <c r="Y33" s="23">
        <v>30316</v>
      </c>
      <c r="Z33" s="23">
        <v>28729</v>
      </c>
      <c r="AA33" s="24">
        <f t="shared" si="0"/>
        <v>792128</v>
      </c>
      <c r="AB33" s="25">
        <v>4</v>
      </c>
      <c r="AC33" s="24">
        <f t="shared" si="1"/>
        <v>3168512</v>
      </c>
      <c r="AD33" s="60"/>
    </row>
    <row r="34" spans="1:30" x14ac:dyDescent="0.35">
      <c r="A34" s="58"/>
      <c r="B34" s="27" t="s">
        <v>46</v>
      </c>
      <c r="C34" s="23">
        <v>36890</v>
      </c>
      <c r="D34" s="23">
        <v>34974</v>
      </c>
      <c r="E34" s="23">
        <v>33441</v>
      </c>
      <c r="F34" s="23">
        <v>32502</v>
      </c>
      <c r="G34" s="23">
        <v>31953</v>
      </c>
      <c r="H34" s="23">
        <v>31031</v>
      </c>
      <c r="I34" s="23">
        <v>31435</v>
      </c>
      <c r="J34" s="23">
        <v>30345</v>
      </c>
      <c r="K34" s="23">
        <v>30349</v>
      </c>
      <c r="L34" s="23">
        <v>31607</v>
      </c>
      <c r="M34" s="23">
        <v>32620</v>
      </c>
      <c r="N34" s="23">
        <v>32853</v>
      </c>
      <c r="O34" s="23">
        <v>32473</v>
      </c>
      <c r="P34" s="23">
        <v>33627</v>
      </c>
      <c r="Q34" s="23">
        <v>35451</v>
      </c>
      <c r="R34" s="23">
        <v>37040</v>
      </c>
      <c r="S34" s="23">
        <v>36953</v>
      </c>
      <c r="T34" s="23">
        <v>24507</v>
      </c>
      <c r="U34" s="23">
        <v>26513</v>
      </c>
      <c r="V34" s="23">
        <v>28260</v>
      </c>
      <c r="W34" s="23">
        <v>28300</v>
      </c>
      <c r="X34" s="23">
        <v>27839</v>
      </c>
      <c r="Y34" s="23">
        <v>26287</v>
      </c>
      <c r="Z34" s="23">
        <v>24417</v>
      </c>
      <c r="AA34" s="24">
        <f t="shared" si="0"/>
        <v>751667</v>
      </c>
      <c r="AB34" s="25">
        <v>1</v>
      </c>
      <c r="AC34" s="24">
        <f t="shared" si="1"/>
        <v>751667</v>
      </c>
      <c r="AD34" s="61"/>
    </row>
    <row r="35" spans="1:30" x14ac:dyDescent="0.35">
      <c r="A35" s="56">
        <v>46235</v>
      </c>
      <c r="B35" s="22" t="s">
        <v>43</v>
      </c>
      <c r="C35" s="23">
        <v>40713</v>
      </c>
      <c r="D35" s="23">
        <v>38552</v>
      </c>
      <c r="E35" s="23">
        <v>36961</v>
      </c>
      <c r="F35" s="23">
        <v>35711</v>
      </c>
      <c r="G35" s="23">
        <v>35262</v>
      </c>
      <c r="H35" s="23">
        <v>35279</v>
      </c>
      <c r="I35" s="23">
        <v>36198</v>
      </c>
      <c r="J35" s="23">
        <v>37635</v>
      </c>
      <c r="K35" s="23">
        <v>39572</v>
      </c>
      <c r="L35" s="23">
        <v>41909</v>
      </c>
      <c r="M35" s="23">
        <v>43938</v>
      </c>
      <c r="N35" s="23">
        <v>44264</v>
      </c>
      <c r="O35" s="23">
        <v>40810</v>
      </c>
      <c r="P35" s="23">
        <v>45786</v>
      </c>
      <c r="Q35" s="23">
        <v>51585</v>
      </c>
      <c r="R35" s="23">
        <v>53213</v>
      </c>
      <c r="S35" s="23">
        <v>52469</v>
      </c>
      <c r="T35" s="23">
        <v>34453</v>
      </c>
      <c r="U35" s="23">
        <v>34072</v>
      </c>
      <c r="V35" s="23">
        <v>34548</v>
      </c>
      <c r="W35" s="23">
        <v>34964</v>
      </c>
      <c r="X35" s="23">
        <v>34988</v>
      </c>
      <c r="Y35" s="23">
        <v>33158</v>
      </c>
      <c r="Z35" s="23">
        <v>30973</v>
      </c>
      <c r="AA35" s="24">
        <f t="shared" si="0"/>
        <v>947013</v>
      </c>
      <c r="AB35" s="25">
        <v>19</v>
      </c>
      <c r="AC35" s="24">
        <f t="shared" si="1"/>
        <v>17993247</v>
      </c>
      <c r="AD35" s="59">
        <f>+SUM(AC35:AC38)</f>
        <v>28204070</v>
      </c>
    </row>
    <row r="36" spans="1:30" x14ac:dyDescent="0.35">
      <c r="A36" s="57"/>
      <c r="B36" s="26" t="s">
        <v>44</v>
      </c>
      <c r="C36" s="23">
        <v>43797</v>
      </c>
      <c r="D36" s="23">
        <v>41466</v>
      </c>
      <c r="E36" s="23">
        <v>39626</v>
      </c>
      <c r="F36" s="23">
        <v>38162</v>
      </c>
      <c r="G36" s="23">
        <v>37423</v>
      </c>
      <c r="H36" s="23">
        <v>36307</v>
      </c>
      <c r="I36" s="23">
        <v>37193</v>
      </c>
      <c r="J36" s="23">
        <v>38503</v>
      </c>
      <c r="K36" s="23">
        <v>40272</v>
      </c>
      <c r="L36" s="23">
        <v>42744</v>
      </c>
      <c r="M36" s="23">
        <v>44004</v>
      </c>
      <c r="N36" s="23">
        <v>44913</v>
      </c>
      <c r="O36" s="23">
        <v>42678</v>
      </c>
      <c r="P36" s="23">
        <v>43808</v>
      </c>
      <c r="Q36" s="23">
        <v>46456</v>
      </c>
      <c r="R36" s="23">
        <v>47611</v>
      </c>
      <c r="S36" s="23">
        <v>47172</v>
      </c>
      <c r="T36" s="23">
        <v>32391</v>
      </c>
      <c r="U36" s="23">
        <v>33923</v>
      </c>
      <c r="V36" s="23">
        <v>34039</v>
      </c>
      <c r="W36" s="23">
        <v>33310</v>
      </c>
      <c r="X36" s="23">
        <v>33646</v>
      </c>
      <c r="Y36" s="23">
        <v>33180</v>
      </c>
      <c r="Z36" s="23">
        <v>32010</v>
      </c>
      <c r="AA36" s="24">
        <f t="shared" si="0"/>
        <v>944634</v>
      </c>
      <c r="AB36" s="25">
        <v>5</v>
      </c>
      <c r="AC36" s="24">
        <f t="shared" si="1"/>
        <v>4723170</v>
      </c>
      <c r="AD36" s="60"/>
    </row>
    <row r="37" spans="1:30" x14ac:dyDescent="0.35">
      <c r="A37" s="57"/>
      <c r="B37" s="26" t="s">
        <v>45</v>
      </c>
      <c r="C37" s="23">
        <v>41920</v>
      </c>
      <c r="D37" s="23">
        <v>39842</v>
      </c>
      <c r="E37" s="23">
        <v>38158</v>
      </c>
      <c r="F37" s="23">
        <v>36789</v>
      </c>
      <c r="G37" s="23">
        <v>35707</v>
      </c>
      <c r="H37" s="23">
        <v>33864</v>
      </c>
      <c r="I37" s="23">
        <v>33712</v>
      </c>
      <c r="J37" s="23">
        <v>32034</v>
      </c>
      <c r="K37" s="23">
        <v>31019</v>
      </c>
      <c r="L37" s="23">
        <v>31204</v>
      </c>
      <c r="M37" s="23">
        <v>32086</v>
      </c>
      <c r="N37" s="23">
        <v>31815</v>
      </c>
      <c r="O37" s="23">
        <v>32768</v>
      </c>
      <c r="P37" s="23">
        <v>34598</v>
      </c>
      <c r="Q37" s="23">
        <v>36228</v>
      </c>
      <c r="R37" s="23">
        <v>38170</v>
      </c>
      <c r="S37" s="23">
        <v>37660</v>
      </c>
      <c r="T37" s="23">
        <v>25895</v>
      </c>
      <c r="U37" s="23">
        <v>28197</v>
      </c>
      <c r="V37" s="23">
        <v>29111</v>
      </c>
      <c r="W37" s="23">
        <v>29473</v>
      </c>
      <c r="X37" s="23">
        <v>30198</v>
      </c>
      <c r="Y37" s="23">
        <v>29294</v>
      </c>
      <c r="Z37" s="23">
        <v>27687</v>
      </c>
      <c r="AA37" s="24">
        <f t="shared" si="0"/>
        <v>797429</v>
      </c>
      <c r="AB37" s="25">
        <v>5</v>
      </c>
      <c r="AC37" s="24">
        <f t="shared" si="1"/>
        <v>3987145</v>
      </c>
      <c r="AD37" s="60"/>
    </row>
    <row r="38" spans="1:30" x14ac:dyDescent="0.35">
      <c r="A38" s="58"/>
      <c r="B38" s="27" t="s">
        <v>46</v>
      </c>
      <c r="C38" s="23">
        <v>34667</v>
      </c>
      <c r="D38" s="23">
        <v>33178</v>
      </c>
      <c r="E38" s="23">
        <v>31873</v>
      </c>
      <c r="F38" s="23">
        <v>31057</v>
      </c>
      <c r="G38" s="23">
        <v>30616</v>
      </c>
      <c r="H38" s="23">
        <v>29881</v>
      </c>
      <c r="I38" s="23">
        <v>29993</v>
      </c>
      <c r="J38" s="23">
        <v>28852</v>
      </c>
      <c r="K38" s="23">
        <v>28871</v>
      </c>
      <c r="L38" s="23">
        <v>30786</v>
      </c>
      <c r="M38" s="23">
        <v>32144</v>
      </c>
      <c r="N38" s="23">
        <v>33043</v>
      </c>
      <c r="O38" s="23">
        <v>33257</v>
      </c>
      <c r="P38" s="23">
        <v>34297</v>
      </c>
      <c r="Q38" s="23">
        <v>36202</v>
      </c>
      <c r="R38" s="23">
        <v>37968</v>
      </c>
      <c r="S38" s="23">
        <v>37804</v>
      </c>
      <c r="T38" s="23">
        <v>24232</v>
      </c>
      <c r="U38" s="23">
        <v>26862</v>
      </c>
      <c r="V38" s="23">
        <v>28972</v>
      </c>
      <c r="W38" s="23">
        <v>29409</v>
      </c>
      <c r="X38" s="23">
        <v>30520</v>
      </c>
      <c r="Y38" s="23">
        <v>29353</v>
      </c>
      <c r="Z38" s="23">
        <v>26417</v>
      </c>
      <c r="AA38" s="24">
        <f t="shared" si="0"/>
        <v>750254</v>
      </c>
      <c r="AB38" s="25">
        <v>2</v>
      </c>
      <c r="AC38" s="24">
        <f t="shared" si="1"/>
        <v>1500508</v>
      </c>
      <c r="AD38" s="61"/>
    </row>
    <row r="39" spans="1:30" x14ac:dyDescent="0.35">
      <c r="A39" s="56">
        <v>46266</v>
      </c>
      <c r="B39" s="22" t="s">
        <v>43</v>
      </c>
      <c r="C39" s="23">
        <v>42386</v>
      </c>
      <c r="D39" s="23">
        <v>40011</v>
      </c>
      <c r="E39" s="23">
        <v>38232</v>
      </c>
      <c r="F39" s="23">
        <v>36841</v>
      </c>
      <c r="G39" s="23">
        <v>36307</v>
      </c>
      <c r="H39" s="23">
        <v>36343</v>
      </c>
      <c r="I39" s="23">
        <v>37458</v>
      </c>
      <c r="J39" s="23">
        <v>39098</v>
      </c>
      <c r="K39" s="23">
        <v>41155</v>
      </c>
      <c r="L39" s="23">
        <v>43580</v>
      </c>
      <c r="M39" s="23">
        <v>45815</v>
      </c>
      <c r="N39" s="23">
        <v>46150</v>
      </c>
      <c r="O39" s="23">
        <v>42919</v>
      </c>
      <c r="P39" s="23">
        <v>48244</v>
      </c>
      <c r="Q39" s="23">
        <v>53587</v>
      </c>
      <c r="R39" s="23">
        <v>55075</v>
      </c>
      <c r="S39" s="23">
        <v>53863</v>
      </c>
      <c r="T39" s="23">
        <v>36063</v>
      </c>
      <c r="U39" s="23">
        <v>36267</v>
      </c>
      <c r="V39" s="23">
        <v>35821</v>
      </c>
      <c r="W39" s="23">
        <v>36141</v>
      </c>
      <c r="X39" s="23">
        <v>36054</v>
      </c>
      <c r="Y39" s="23">
        <v>34295</v>
      </c>
      <c r="Z39" s="23">
        <v>31573</v>
      </c>
      <c r="AA39" s="24">
        <f t="shared" si="0"/>
        <v>983278</v>
      </c>
      <c r="AB39" s="25">
        <v>22</v>
      </c>
      <c r="AC39" s="24">
        <f t="shared" si="1"/>
        <v>21632116</v>
      </c>
      <c r="AD39" s="59">
        <f>+SUM(AC39:AC42)</f>
        <v>28841092</v>
      </c>
    </row>
    <row r="40" spans="1:30" x14ac:dyDescent="0.35">
      <c r="A40" s="57"/>
      <c r="B40" s="26" t="s">
        <v>44</v>
      </c>
      <c r="C40" s="23">
        <v>42663</v>
      </c>
      <c r="D40" s="23">
        <v>40518</v>
      </c>
      <c r="E40" s="23">
        <v>38829</v>
      </c>
      <c r="F40" s="23">
        <v>37515</v>
      </c>
      <c r="G40" s="23">
        <v>36845</v>
      </c>
      <c r="H40" s="23">
        <v>35721</v>
      </c>
      <c r="I40" s="23">
        <v>37100</v>
      </c>
      <c r="J40" s="23">
        <v>38809</v>
      </c>
      <c r="K40" s="23">
        <v>41296</v>
      </c>
      <c r="L40" s="23">
        <v>43378</v>
      </c>
      <c r="M40" s="23">
        <v>45330</v>
      </c>
      <c r="N40" s="23">
        <v>45968</v>
      </c>
      <c r="O40" s="23">
        <v>43882</v>
      </c>
      <c r="P40" s="23">
        <v>45295</v>
      </c>
      <c r="Q40" s="23">
        <v>48232</v>
      </c>
      <c r="R40" s="23">
        <v>49501</v>
      </c>
      <c r="S40" s="23">
        <v>48632</v>
      </c>
      <c r="T40" s="23">
        <v>34505</v>
      </c>
      <c r="U40" s="23">
        <v>36099</v>
      </c>
      <c r="V40" s="23">
        <v>35162</v>
      </c>
      <c r="W40" s="23">
        <v>34173</v>
      </c>
      <c r="X40" s="23">
        <v>33777</v>
      </c>
      <c r="Y40" s="23">
        <v>32852</v>
      </c>
      <c r="Z40" s="23">
        <v>31555</v>
      </c>
      <c r="AA40" s="24">
        <f t="shared" si="0"/>
        <v>957637</v>
      </c>
      <c r="AB40" s="25">
        <v>4</v>
      </c>
      <c r="AC40" s="24">
        <f t="shared" si="1"/>
        <v>3830548</v>
      </c>
      <c r="AD40" s="60"/>
    </row>
    <row r="41" spans="1:30" x14ac:dyDescent="0.35">
      <c r="A41" s="57"/>
      <c r="B41" s="26" t="s">
        <v>45</v>
      </c>
      <c r="C41" s="23">
        <v>42301</v>
      </c>
      <c r="D41" s="23">
        <v>40323</v>
      </c>
      <c r="E41" s="23">
        <v>38820</v>
      </c>
      <c r="F41" s="23">
        <v>37582</v>
      </c>
      <c r="G41" s="23">
        <v>36616</v>
      </c>
      <c r="H41" s="23">
        <v>35367</v>
      </c>
      <c r="I41" s="23">
        <v>35610</v>
      </c>
      <c r="J41" s="23">
        <v>33781</v>
      </c>
      <c r="K41" s="23">
        <v>32792</v>
      </c>
      <c r="L41" s="23">
        <v>32999</v>
      </c>
      <c r="M41" s="23">
        <v>34161</v>
      </c>
      <c r="N41" s="23">
        <v>34914</v>
      </c>
      <c r="O41" s="23">
        <v>34945</v>
      </c>
      <c r="P41" s="23">
        <v>36270</v>
      </c>
      <c r="Q41" s="23">
        <v>38961</v>
      </c>
      <c r="R41" s="23">
        <v>40619</v>
      </c>
      <c r="S41" s="23">
        <v>40753</v>
      </c>
      <c r="T41" s="23">
        <v>28773</v>
      </c>
      <c r="U41" s="23">
        <v>30984</v>
      </c>
      <c r="V41" s="23">
        <v>31912</v>
      </c>
      <c r="W41" s="23">
        <v>32366</v>
      </c>
      <c r="X41" s="23">
        <v>32711</v>
      </c>
      <c r="Y41" s="23">
        <v>31498</v>
      </c>
      <c r="Z41" s="23">
        <v>29549</v>
      </c>
      <c r="AA41" s="24">
        <f t="shared" si="0"/>
        <v>844607</v>
      </c>
      <c r="AB41" s="25">
        <v>4</v>
      </c>
      <c r="AC41" s="24">
        <f t="shared" si="1"/>
        <v>3378428</v>
      </c>
      <c r="AD41" s="60"/>
    </row>
    <row r="42" spans="1:30" x14ac:dyDescent="0.35">
      <c r="A42" s="58"/>
      <c r="B42" s="27" t="s">
        <v>46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4">
        <f t="shared" si="0"/>
        <v>0</v>
      </c>
      <c r="AB42" s="25">
        <v>0</v>
      </c>
      <c r="AC42" s="24">
        <f t="shared" si="1"/>
        <v>0</v>
      </c>
      <c r="AD42" s="61"/>
    </row>
    <row r="43" spans="1:30" x14ac:dyDescent="0.35">
      <c r="A43" s="56">
        <v>46296</v>
      </c>
      <c r="B43" s="22" t="s">
        <v>43</v>
      </c>
      <c r="C43" s="23">
        <v>39730</v>
      </c>
      <c r="D43" s="23">
        <v>37627</v>
      </c>
      <c r="E43" s="23">
        <v>36096</v>
      </c>
      <c r="F43" s="23">
        <v>34995</v>
      </c>
      <c r="G43" s="23">
        <v>34682</v>
      </c>
      <c r="H43" s="23">
        <v>34776</v>
      </c>
      <c r="I43" s="23">
        <v>35967</v>
      </c>
      <c r="J43" s="23">
        <v>37581</v>
      </c>
      <c r="K43" s="23">
        <v>40301</v>
      </c>
      <c r="L43" s="23">
        <v>42816</v>
      </c>
      <c r="M43" s="23">
        <v>45324</v>
      </c>
      <c r="N43" s="23">
        <v>46069</v>
      </c>
      <c r="O43" s="23">
        <v>42908</v>
      </c>
      <c r="P43" s="23">
        <v>47651</v>
      </c>
      <c r="Q43" s="23">
        <v>53170</v>
      </c>
      <c r="R43" s="23">
        <v>54362</v>
      </c>
      <c r="S43" s="23">
        <v>53225</v>
      </c>
      <c r="T43" s="23">
        <v>36549</v>
      </c>
      <c r="U43" s="23">
        <v>35913</v>
      </c>
      <c r="V43" s="23">
        <v>34712</v>
      </c>
      <c r="W43" s="23">
        <v>34098</v>
      </c>
      <c r="X43" s="23">
        <v>33430</v>
      </c>
      <c r="Y43" s="23">
        <v>31438</v>
      </c>
      <c r="Z43" s="23">
        <v>28982</v>
      </c>
      <c r="AA43" s="24">
        <f t="shared" si="0"/>
        <v>952402</v>
      </c>
      <c r="AB43" s="25">
        <v>21</v>
      </c>
      <c r="AC43" s="24">
        <f t="shared" si="1"/>
        <v>20000442</v>
      </c>
      <c r="AD43" s="59">
        <f>+SUM(AC43:AC46)</f>
        <v>28440193</v>
      </c>
    </row>
    <row r="44" spans="1:30" x14ac:dyDescent="0.35">
      <c r="A44" s="57"/>
      <c r="B44" s="26" t="s">
        <v>44</v>
      </c>
      <c r="C44" s="23">
        <v>38482</v>
      </c>
      <c r="D44" s="23">
        <v>36366</v>
      </c>
      <c r="E44" s="23">
        <v>34836</v>
      </c>
      <c r="F44" s="23">
        <v>33635</v>
      </c>
      <c r="G44" s="23">
        <v>33148</v>
      </c>
      <c r="H44" s="23">
        <v>32539</v>
      </c>
      <c r="I44" s="23">
        <v>33607</v>
      </c>
      <c r="J44" s="23">
        <v>34591</v>
      </c>
      <c r="K44" s="23">
        <v>37329</v>
      </c>
      <c r="L44" s="23">
        <v>39867</v>
      </c>
      <c r="M44" s="23">
        <v>41799</v>
      </c>
      <c r="N44" s="23">
        <v>42564</v>
      </c>
      <c r="O44" s="23">
        <v>41210</v>
      </c>
      <c r="P44" s="23">
        <v>41677</v>
      </c>
      <c r="Q44" s="23">
        <v>44077</v>
      </c>
      <c r="R44" s="23">
        <v>45273</v>
      </c>
      <c r="S44" s="23">
        <v>45081</v>
      </c>
      <c r="T44" s="23">
        <v>31636</v>
      </c>
      <c r="U44" s="23">
        <v>33102</v>
      </c>
      <c r="V44" s="23">
        <v>31998</v>
      </c>
      <c r="W44" s="23">
        <v>31185</v>
      </c>
      <c r="X44" s="23">
        <v>30244</v>
      </c>
      <c r="Y44" s="23">
        <v>29097</v>
      </c>
      <c r="Z44" s="23">
        <v>27625</v>
      </c>
      <c r="AA44" s="24">
        <f t="shared" si="0"/>
        <v>870968</v>
      </c>
      <c r="AB44" s="25">
        <v>5</v>
      </c>
      <c r="AC44" s="24">
        <f t="shared" si="1"/>
        <v>4354840</v>
      </c>
      <c r="AD44" s="60"/>
    </row>
    <row r="45" spans="1:30" x14ac:dyDescent="0.35">
      <c r="A45" s="57"/>
      <c r="B45" s="26" t="s">
        <v>45</v>
      </c>
      <c r="C45" s="23">
        <v>39903</v>
      </c>
      <c r="D45" s="23">
        <v>37983</v>
      </c>
      <c r="E45" s="23">
        <v>36483</v>
      </c>
      <c r="F45" s="23">
        <v>35257</v>
      </c>
      <c r="G45" s="23">
        <v>34388</v>
      </c>
      <c r="H45" s="23">
        <v>33162</v>
      </c>
      <c r="I45" s="23">
        <v>33545</v>
      </c>
      <c r="J45" s="23">
        <v>31501</v>
      </c>
      <c r="K45" s="23">
        <v>30851</v>
      </c>
      <c r="L45" s="23">
        <v>31966</v>
      </c>
      <c r="M45" s="23">
        <v>32768</v>
      </c>
      <c r="N45" s="23">
        <v>33790</v>
      </c>
      <c r="O45" s="23">
        <v>34392</v>
      </c>
      <c r="P45" s="23">
        <v>35281</v>
      </c>
      <c r="Q45" s="23">
        <v>37140</v>
      </c>
      <c r="R45" s="23">
        <v>39296</v>
      </c>
      <c r="S45" s="23">
        <v>39803</v>
      </c>
      <c r="T45" s="23">
        <v>28821</v>
      </c>
      <c r="U45" s="23">
        <v>30890</v>
      </c>
      <c r="V45" s="23">
        <v>31336</v>
      </c>
      <c r="W45" s="23">
        <v>31591</v>
      </c>
      <c r="X45" s="23">
        <v>31660</v>
      </c>
      <c r="Y45" s="23">
        <v>30197</v>
      </c>
      <c r="Z45" s="23">
        <v>28290</v>
      </c>
      <c r="AA45" s="24">
        <f t="shared" si="0"/>
        <v>810294</v>
      </c>
      <c r="AB45" s="25">
        <v>4</v>
      </c>
      <c r="AC45" s="24">
        <f t="shared" si="1"/>
        <v>3241176</v>
      </c>
      <c r="AD45" s="60"/>
    </row>
    <row r="46" spans="1:30" x14ac:dyDescent="0.35">
      <c r="A46" s="58"/>
      <c r="B46" s="27" t="s">
        <v>46</v>
      </c>
      <c r="C46" s="23">
        <v>39121</v>
      </c>
      <c r="D46" s="23">
        <v>37184</v>
      </c>
      <c r="E46" s="23">
        <v>35900</v>
      </c>
      <c r="F46" s="23">
        <v>35121</v>
      </c>
      <c r="G46" s="23">
        <v>34699</v>
      </c>
      <c r="H46" s="23">
        <v>33414</v>
      </c>
      <c r="I46" s="23">
        <v>33448</v>
      </c>
      <c r="J46" s="23">
        <v>33154</v>
      </c>
      <c r="K46" s="23">
        <v>33689</v>
      </c>
      <c r="L46" s="23">
        <v>35773</v>
      </c>
      <c r="M46" s="23">
        <v>37158</v>
      </c>
      <c r="N46" s="23">
        <v>37079</v>
      </c>
      <c r="O46" s="23">
        <v>38132</v>
      </c>
      <c r="P46" s="23">
        <v>39208</v>
      </c>
      <c r="Q46" s="23">
        <v>41775</v>
      </c>
      <c r="R46" s="23">
        <v>42701</v>
      </c>
      <c r="S46" s="23">
        <v>42633</v>
      </c>
      <c r="T46" s="23">
        <v>30371</v>
      </c>
      <c r="U46" s="23">
        <v>31952</v>
      </c>
      <c r="V46" s="23">
        <v>31925</v>
      </c>
      <c r="W46" s="23">
        <v>31986</v>
      </c>
      <c r="X46" s="23">
        <v>31137</v>
      </c>
      <c r="Y46" s="23">
        <v>29108</v>
      </c>
      <c r="Z46" s="23">
        <v>27067</v>
      </c>
      <c r="AA46" s="24">
        <f t="shared" si="0"/>
        <v>843735</v>
      </c>
      <c r="AB46" s="25">
        <v>1</v>
      </c>
      <c r="AC46" s="24">
        <f t="shared" si="1"/>
        <v>843735</v>
      </c>
      <c r="AD46" s="61"/>
    </row>
    <row r="47" spans="1:30" x14ac:dyDescent="0.35">
      <c r="A47" s="56">
        <v>46327</v>
      </c>
      <c r="B47" s="22" t="s">
        <v>43</v>
      </c>
      <c r="C47" s="23">
        <v>39748</v>
      </c>
      <c r="D47" s="23">
        <v>37674</v>
      </c>
      <c r="E47" s="23">
        <v>36250</v>
      </c>
      <c r="F47" s="23">
        <v>35308</v>
      </c>
      <c r="G47" s="23">
        <v>35240</v>
      </c>
      <c r="H47" s="23">
        <v>35664</v>
      </c>
      <c r="I47" s="23">
        <v>37323</v>
      </c>
      <c r="J47" s="23">
        <v>39213</v>
      </c>
      <c r="K47" s="23">
        <v>41815</v>
      </c>
      <c r="L47" s="23">
        <v>44103</v>
      </c>
      <c r="M47" s="23">
        <v>46368</v>
      </c>
      <c r="N47" s="23">
        <v>47037</v>
      </c>
      <c r="O47" s="23">
        <v>43778</v>
      </c>
      <c r="P47" s="23">
        <v>47854</v>
      </c>
      <c r="Q47" s="23">
        <v>53014</v>
      </c>
      <c r="R47" s="23">
        <v>54922</v>
      </c>
      <c r="S47" s="23">
        <v>54099</v>
      </c>
      <c r="T47" s="23">
        <v>37945</v>
      </c>
      <c r="U47" s="23">
        <v>37344</v>
      </c>
      <c r="V47" s="23">
        <v>35730</v>
      </c>
      <c r="W47" s="23">
        <v>35046</v>
      </c>
      <c r="X47" s="23">
        <v>33858</v>
      </c>
      <c r="Y47" s="23">
        <v>31626</v>
      </c>
      <c r="Z47" s="23">
        <v>29033</v>
      </c>
      <c r="AA47" s="24">
        <f t="shared" si="0"/>
        <v>969992</v>
      </c>
      <c r="AB47" s="25">
        <v>19</v>
      </c>
      <c r="AC47" s="24">
        <f t="shared" si="1"/>
        <v>18429848</v>
      </c>
      <c r="AD47" s="59">
        <f>+SUM(AC47:AC50)</f>
        <v>27960148</v>
      </c>
    </row>
    <row r="48" spans="1:30" x14ac:dyDescent="0.35">
      <c r="A48" s="57"/>
      <c r="B48" s="26" t="s">
        <v>44</v>
      </c>
      <c r="C48" s="23">
        <v>40312</v>
      </c>
      <c r="D48" s="23">
        <v>38282</v>
      </c>
      <c r="E48" s="23">
        <v>36774</v>
      </c>
      <c r="F48" s="23">
        <v>35689</v>
      </c>
      <c r="G48" s="23">
        <v>35200</v>
      </c>
      <c r="H48" s="23">
        <v>34743</v>
      </c>
      <c r="I48" s="23">
        <v>35975</v>
      </c>
      <c r="J48" s="23">
        <v>37535</v>
      </c>
      <c r="K48" s="23">
        <v>40471</v>
      </c>
      <c r="L48" s="23">
        <v>43211</v>
      </c>
      <c r="M48" s="23">
        <v>44767</v>
      </c>
      <c r="N48" s="23">
        <v>45391</v>
      </c>
      <c r="O48" s="23">
        <v>43417</v>
      </c>
      <c r="P48" s="23">
        <v>43712</v>
      </c>
      <c r="Q48" s="23">
        <v>45775</v>
      </c>
      <c r="R48" s="23">
        <v>46723</v>
      </c>
      <c r="S48" s="23">
        <v>46297</v>
      </c>
      <c r="T48" s="23">
        <v>32876</v>
      </c>
      <c r="U48" s="23">
        <v>33701</v>
      </c>
      <c r="V48" s="23">
        <v>32481</v>
      </c>
      <c r="W48" s="23">
        <v>31339</v>
      </c>
      <c r="X48" s="23">
        <v>30013</v>
      </c>
      <c r="Y48" s="23">
        <v>28936</v>
      </c>
      <c r="Z48" s="23">
        <v>27282</v>
      </c>
      <c r="AA48" s="24">
        <f t="shared" si="0"/>
        <v>910902</v>
      </c>
      <c r="AB48" s="25">
        <v>4</v>
      </c>
      <c r="AC48" s="24">
        <f t="shared" si="1"/>
        <v>3643608</v>
      </c>
      <c r="AD48" s="60"/>
    </row>
    <row r="49" spans="1:30" x14ac:dyDescent="0.35">
      <c r="A49" s="57"/>
      <c r="B49" s="26" t="s">
        <v>45</v>
      </c>
      <c r="C49" s="23">
        <v>39053</v>
      </c>
      <c r="D49" s="23">
        <v>37260</v>
      </c>
      <c r="E49" s="23">
        <v>36056</v>
      </c>
      <c r="F49" s="23">
        <v>34887</v>
      </c>
      <c r="G49" s="23">
        <v>34178</v>
      </c>
      <c r="H49" s="23">
        <v>33298</v>
      </c>
      <c r="I49" s="23">
        <v>33796</v>
      </c>
      <c r="J49" s="23">
        <v>32643</v>
      </c>
      <c r="K49" s="23">
        <v>32823</v>
      </c>
      <c r="L49" s="23">
        <v>34152</v>
      </c>
      <c r="M49" s="23">
        <v>35563</v>
      </c>
      <c r="N49" s="23">
        <v>36261</v>
      </c>
      <c r="O49" s="23">
        <v>36940</v>
      </c>
      <c r="P49" s="23">
        <v>37474</v>
      </c>
      <c r="Q49" s="23">
        <v>39063</v>
      </c>
      <c r="R49" s="23">
        <v>40227</v>
      </c>
      <c r="S49" s="23">
        <v>40492</v>
      </c>
      <c r="T49" s="23">
        <v>29945</v>
      </c>
      <c r="U49" s="23">
        <v>31182</v>
      </c>
      <c r="V49" s="23">
        <v>31125</v>
      </c>
      <c r="W49" s="23">
        <v>30654</v>
      </c>
      <c r="X49" s="23">
        <v>30175</v>
      </c>
      <c r="Y49" s="23">
        <v>29110</v>
      </c>
      <c r="Z49" s="23">
        <v>27283</v>
      </c>
      <c r="AA49" s="24">
        <f t="shared" si="0"/>
        <v>823640</v>
      </c>
      <c r="AB49" s="25">
        <v>5</v>
      </c>
      <c r="AC49" s="24">
        <f t="shared" si="1"/>
        <v>4118200</v>
      </c>
      <c r="AD49" s="60"/>
    </row>
    <row r="50" spans="1:30" x14ac:dyDescent="0.35">
      <c r="A50" s="58"/>
      <c r="B50" s="27" t="s">
        <v>46</v>
      </c>
      <c r="C50" s="23">
        <v>39551</v>
      </c>
      <c r="D50" s="23">
        <v>37604</v>
      </c>
      <c r="E50" s="23">
        <v>36101</v>
      </c>
      <c r="F50" s="23">
        <v>35069</v>
      </c>
      <c r="G50" s="23">
        <v>34680</v>
      </c>
      <c r="H50" s="23">
        <v>33822</v>
      </c>
      <c r="I50" s="23">
        <v>34210</v>
      </c>
      <c r="J50" s="23">
        <v>34075</v>
      </c>
      <c r="K50" s="23">
        <v>34913</v>
      </c>
      <c r="L50" s="23">
        <v>37224</v>
      </c>
      <c r="M50" s="23">
        <v>39208</v>
      </c>
      <c r="N50" s="23">
        <v>40297</v>
      </c>
      <c r="O50" s="23">
        <v>40615</v>
      </c>
      <c r="P50" s="23">
        <v>42114</v>
      </c>
      <c r="Q50" s="23">
        <v>43830</v>
      </c>
      <c r="R50" s="23">
        <v>45020</v>
      </c>
      <c r="S50" s="23">
        <v>45033</v>
      </c>
      <c r="T50" s="23">
        <v>33452</v>
      </c>
      <c r="U50" s="23">
        <v>34777</v>
      </c>
      <c r="V50" s="23">
        <v>34615</v>
      </c>
      <c r="W50" s="23">
        <v>34133</v>
      </c>
      <c r="X50" s="23">
        <v>33242</v>
      </c>
      <c r="Y50" s="23">
        <v>31402</v>
      </c>
      <c r="Z50" s="23">
        <v>29259</v>
      </c>
      <c r="AA50" s="24">
        <f t="shared" si="0"/>
        <v>884246</v>
      </c>
      <c r="AB50" s="25">
        <v>2</v>
      </c>
      <c r="AC50" s="24">
        <f t="shared" si="1"/>
        <v>1768492</v>
      </c>
      <c r="AD50" s="61"/>
    </row>
    <row r="51" spans="1:30" x14ac:dyDescent="0.35">
      <c r="A51" s="56">
        <v>46357</v>
      </c>
      <c r="B51" s="22" t="s">
        <v>43</v>
      </c>
      <c r="C51" s="23">
        <v>38603</v>
      </c>
      <c r="D51" s="23">
        <v>36611</v>
      </c>
      <c r="E51" s="23">
        <v>35223</v>
      </c>
      <c r="F51" s="23">
        <v>34209</v>
      </c>
      <c r="G51" s="23">
        <v>33848</v>
      </c>
      <c r="H51" s="23">
        <v>33846</v>
      </c>
      <c r="I51" s="23">
        <v>34657</v>
      </c>
      <c r="J51" s="23">
        <v>35963</v>
      </c>
      <c r="K51" s="23">
        <v>38120</v>
      </c>
      <c r="L51" s="23">
        <v>40492</v>
      </c>
      <c r="M51" s="23">
        <v>42461</v>
      </c>
      <c r="N51" s="23">
        <v>43213</v>
      </c>
      <c r="O51" s="23">
        <v>40995</v>
      </c>
      <c r="P51" s="23">
        <v>43659</v>
      </c>
      <c r="Q51" s="23">
        <v>48435</v>
      </c>
      <c r="R51" s="23">
        <v>50297</v>
      </c>
      <c r="S51" s="23">
        <v>49987</v>
      </c>
      <c r="T51" s="23">
        <v>34278</v>
      </c>
      <c r="U51" s="23">
        <v>34825</v>
      </c>
      <c r="V51" s="23">
        <v>33535</v>
      </c>
      <c r="W51" s="23">
        <v>32451</v>
      </c>
      <c r="X51" s="23">
        <v>31635</v>
      </c>
      <c r="Y51" s="23">
        <v>30265</v>
      </c>
      <c r="Z51" s="23">
        <v>28324</v>
      </c>
      <c r="AA51" s="24">
        <f t="shared" si="0"/>
        <v>905932</v>
      </c>
      <c r="AB51" s="25">
        <v>21</v>
      </c>
      <c r="AC51" s="24">
        <f t="shared" si="1"/>
        <v>19024572</v>
      </c>
      <c r="AD51" s="59">
        <f>+SUM(AC51:AC54)</f>
        <v>27195988</v>
      </c>
    </row>
    <row r="52" spans="1:30" x14ac:dyDescent="0.35">
      <c r="A52" s="57"/>
      <c r="B52" s="26" t="s">
        <v>44</v>
      </c>
      <c r="C52" s="23">
        <v>39898</v>
      </c>
      <c r="D52" s="23">
        <v>37684</v>
      </c>
      <c r="E52" s="23">
        <v>36108</v>
      </c>
      <c r="F52" s="23">
        <v>34888</v>
      </c>
      <c r="G52" s="23">
        <v>34267</v>
      </c>
      <c r="H52" s="23">
        <v>34086</v>
      </c>
      <c r="I52" s="23">
        <v>34593</v>
      </c>
      <c r="J52" s="23">
        <v>34647</v>
      </c>
      <c r="K52" s="23">
        <v>36445</v>
      </c>
      <c r="L52" s="23">
        <v>38486</v>
      </c>
      <c r="M52" s="23">
        <v>40279</v>
      </c>
      <c r="N52" s="23">
        <v>40930</v>
      </c>
      <c r="O52" s="23">
        <v>40432</v>
      </c>
      <c r="P52" s="23">
        <v>41399</v>
      </c>
      <c r="Q52" s="23">
        <v>43952</v>
      </c>
      <c r="R52" s="23">
        <v>45416</v>
      </c>
      <c r="S52" s="23">
        <v>45165</v>
      </c>
      <c r="T52" s="23">
        <v>32453</v>
      </c>
      <c r="U52" s="23">
        <v>34575</v>
      </c>
      <c r="V52" s="23">
        <v>34053</v>
      </c>
      <c r="W52" s="23">
        <v>32438</v>
      </c>
      <c r="X52" s="23">
        <v>30952</v>
      </c>
      <c r="Y52" s="23">
        <v>29846</v>
      </c>
      <c r="Z52" s="23">
        <v>28442</v>
      </c>
      <c r="AA52" s="24">
        <f t="shared" si="0"/>
        <v>881434</v>
      </c>
      <c r="AB52" s="25">
        <v>4</v>
      </c>
      <c r="AC52" s="24">
        <f t="shared" si="1"/>
        <v>3525736</v>
      </c>
      <c r="AD52" s="60"/>
    </row>
    <row r="53" spans="1:30" x14ac:dyDescent="0.35">
      <c r="A53" s="57"/>
      <c r="B53" s="26" t="s">
        <v>45</v>
      </c>
      <c r="C53" s="23">
        <v>40997</v>
      </c>
      <c r="D53" s="23">
        <v>38917</v>
      </c>
      <c r="E53" s="23">
        <v>37345</v>
      </c>
      <c r="F53" s="23">
        <v>36114</v>
      </c>
      <c r="G53" s="23">
        <v>35360</v>
      </c>
      <c r="H53" s="23">
        <v>33861</v>
      </c>
      <c r="I53" s="23">
        <v>33750</v>
      </c>
      <c r="J53" s="23">
        <v>32083</v>
      </c>
      <c r="K53" s="23">
        <v>31822</v>
      </c>
      <c r="L53" s="23">
        <v>33039</v>
      </c>
      <c r="M53" s="23">
        <v>34068</v>
      </c>
      <c r="N53" s="23">
        <v>34774</v>
      </c>
      <c r="O53" s="23">
        <v>34837</v>
      </c>
      <c r="P53" s="23">
        <v>35548</v>
      </c>
      <c r="Q53" s="23">
        <v>37587</v>
      </c>
      <c r="R53" s="23">
        <v>40007</v>
      </c>
      <c r="S53" s="23">
        <v>40502</v>
      </c>
      <c r="T53" s="23">
        <v>29833</v>
      </c>
      <c r="U53" s="23">
        <v>32434</v>
      </c>
      <c r="V53" s="23">
        <v>31930</v>
      </c>
      <c r="W53" s="23">
        <v>30634</v>
      </c>
      <c r="X53" s="23">
        <v>29204</v>
      </c>
      <c r="Y53" s="23">
        <v>27540</v>
      </c>
      <c r="Z53" s="23">
        <v>25996</v>
      </c>
      <c r="AA53" s="24">
        <f t="shared" si="0"/>
        <v>818182</v>
      </c>
      <c r="AB53" s="25">
        <v>4</v>
      </c>
      <c r="AC53" s="24">
        <f t="shared" si="1"/>
        <v>3272728</v>
      </c>
      <c r="AD53" s="60"/>
    </row>
    <row r="54" spans="1:30" x14ac:dyDescent="0.35">
      <c r="A54" s="58"/>
      <c r="B54" s="27" t="s">
        <v>46</v>
      </c>
      <c r="C54" s="23">
        <v>32650</v>
      </c>
      <c r="D54" s="23">
        <v>31474</v>
      </c>
      <c r="E54" s="23">
        <v>30569</v>
      </c>
      <c r="F54" s="23">
        <v>29696</v>
      </c>
      <c r="G54" s="23">
        <v>29187</v>
      </c>
      <c r="H54" s="23">
        <v>28653</v>
      </c>
      <c r="I54" s="23">
        <v>28420</v>
      </c>
      <c r="J54" s="23">
        <v>26922</v>
      </c>
      <c r="K54" s="23">
        <v>26485</v>
      </c>
      <c r="L54" s="23">
        <v>27801</v>
      </c>
      <c r="M54" s="23">
        <v>28831</v>
      </c>
      <c r="N54" s="23">
        <v>29312</v>
      </c>
      <c r="O54" s="23">
        <v>30049</v>
      </c>
      <c r="P54" s="23">
        <v>30957</v>
      </c>
      <c r="Q54" s="23">
        <v>32516</v>
      </c>
      <c r="R54" s="23">
        <v>34124</v>
      </c>
      <c r="S54" s="23">
        <v>34610</v>
      </c>
      <c r="T54" s="23">
        <v>23717</v>
      </c>
      <c r="U54" s="23">
        <v>26245</v>
      </c>
      <c r="V54" s="23">
        <v>26563</v>
      </c>
      <c r="W54" s="23">
        <v>25888</v>
      </c>
      <c r="X54" s="23">
        <v>25241</v>
      </c>
      <c r="Y54" s="23">
        <v>24188</v>
      </c>
      <c r="Z54" s="23">
        <v>22378</v>
      </c>
      <c r="AA54" s="24">
        <f t="shared" si="0"/>
        <v>686476</v>
      </c>
      <c r="AB54" s="25">
        <v>2</v>
      </c>
      <c r="AC54" s="24">
        <f t="shared" si="1"/>
        <v>1372952</v>
      </c>
      <c r="AD54" s="61"/>
    </row>
    <row r="55" spans="1:30" x14ac:dyDescent="0.35">
      <c r="AD55" s="46">
        <f>SUM(AD7:AD51)</f>
        <v>328572774</v>
      </c>
    </row>
  </sheetData>
  <mergeCells count="28">
    <mergeCell ref="AD7:AD10"/>
    <mergeCell ref="A1:D1"/>
    <mergeCell ref="A2:L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58BA-D0E2-42FF-9F85-303C136E71E4}">
  <dimension ref="C1:G20"/>
  <sheetViews>
    <sheetView showGridLines="0" workbookViewId="0">
      <selection activeCell="C1" sqref="C1:G18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3.90625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55" t="s">
        <v>47</v>
      </c>
      <c r="D1" s="55"/>
      <c r="E1" s="55"/>
      <c r="F1" s="55"/>
      <c r="G1" s="55"/>
    </row>
    <row r="2" spans="3:7" x14ac:dyDescent="0.35">
      <c r="C2" s="55"/>
      <c r="D2" s="55"/>
      <c r="E2" s="55"/>
      <c r="F2" s="55"/>
      <c r="G2" s="55"/>
    </row>
    <row r="3" spans="3:7" x14ac:dyDescent="0.35">
      <c r="C3" s="44"/>
      <c r="D3" s="44"/>
      <c r="E3" s="44"/>
      <c r="F3" s="44"/>
      <c r="G3" s="44"/>
    </row>
    <row r="4" spans="3:7" ht="15" thickBot="1" x14ac:dyDescent="0.4">
      <c r="C4" s="73" t="s">
        <v>10</v>
      </c>
      <c r="D4" s="73"/>
      <c r="E4" s="73"/>
      <c r="F4" s="73"/>
      <c r="G4" s="73"/>
    </row>
    <row r="5" spans="3:7" ht="32" thickBot="1" x14ac:dyDescent="0.4">
      <c r="C5" s="43" t="s">
        <v>1</v>
      </c>
      <c r="D5" s="43" t="s">
        <v>8</v>
      </c>
      <c r="E5" s="43" t="s">
        <v>3</v>
      </c>
      <c r="F5" s="43" t="s">
        <v>9</v>
      </c>
      <c r="G5" s="43" t="s">
        <v>5</v>
      </c>
    </row>
    <row r="6" spans="3:7" x14ac:dyDescent="0.35">
      <c r="C6" s="14">
        <v>46388</v>
      </c>
      <c r="D6" s="9">
        <f>+VLOOKUP(C6,'CURVA P3'!$A$4:$AD$55,30,FALSE)</f>
        <v>26759066</v>
      </c>
      <c r="E6" s="71" t="s">
        <v>3</v>
      </c>
      <c r="F6" s="3"/>
      <c r="G6" s="71" t="s">
        <v>6</v>
      </c>
    </row>
    <row r="7" spans="3:7" x14ac:dyDescent="0.35">
      <c r="C7" s="14">
        <v>46419</v>
      </c>
      <c r="D7" s="9">
        <f>+VLOOKUP(C7,'CURVA P3'!$A$4:$AD$55,30,FALSE)</f>
        <v>27672188</v>
      </c>
      <c r="E7" s="50"/>
      <c r="F7" s="3"/>
      <c r="G7" s="50"/>
    </row>
    <row r="8" spans="3:7" x14ac:dyDescent="0.35">
      <c r="C8" s="14">
        <v>46447</v>
      </c>
      <c r="D8" s="9">
        <f>+VLOOKUP(C8,'CURVA P3'!$A$4:$AD$55,30,FALSE)</f>
        <v>26750823</v>
      </c>
      <c r="E8" s="50"/>
      <c r="F8" s="3"/>
      <c r="G8" s="50"/>
    </row>
    <row r="9" spans="3:7" x14ac:dyDescent="0.35">
      <c r="C9" s="14">
        <v>46478</v>
      </c>
      <c r="D9" s="9">
        <f>+VLOOKUP(C9,'CURVA P3'!$A$4:$AD$55,30,FALSE)</f>
        <v>27930538</v>
      </c>
      <c r="E9" s="50"/>
      <c r="F9" s="3"/>
      <c r="G9" s="50"/>
    </row>
    <row r="10" spans="3:7" x14ac:dyDescent="0.35">
      <c r="C10" s="14">
        <v>46508</v>
      </c>
      <c r="D10" s="9">
        <f>+VLOOKUP(C10,'CURVA P3'!$A$4:$AD$55,30,FALSE)</f>
        <v>28291287</v>
      </c>
      <c r="E10" s="50"/>
      <c r="F10" s="3"/>
      <c r="G10" s="50"/>
    </row>
    <row r="11" spans="3:7" x14ac:dyDescent="0.35">
      <c r="C11" s="14">
        <v>46539</v>
      </c>
      <c r="D11" s="9">
        <f>+VLOOKUP(C11,'CURVA P3'!$A$4:$AD$55,30,FALSE)</f>
        <v>28860123</v>
      </c>
      <c r="E11" s="50"/>
      <c r="F11" s="3"/>
      <c r="G11" s="50"/>
    </row>
    <row r="12" spans="3:7" x14ac:dyDescent="0.35">
      <c r="C12" s="14">
        <v>46569</v>
      </c>
      <c r="D12" s="9">
        <f>+VLOOKUP(C12,'CURVA P3'!$A$4:$AD$55,30,FALSE)</f>
        <v>25495169</v>
      </c>
      <c r="E12" s="50"/>
      <c r="F12" s="3"/>
      <c r="G12" s="50"/>
    </row>
    <row r="13" spans="3:7" x14ac:dyDescent="0.35">
      <c r="C13" s="14">
        <v>46600</v>
      </c>
      <c r="D13" s="9">
        <f>+VLOOKUP(C13,'CURVA P3'!$A$4:$AD$55,30,FALSE)</f>
        <v>27128008</v>
      </c>
      <c r="E13" s="50"/>
      <c r="F13" s="3"/>
      <c r="G13" s="50"/>
    </row>
    <row r="14" spans="3:7" x14ac:dyDescent="0.35">
      <c r="C14" s="14">
        <v>46631</v>
      </c>
      <c r="D14" s="9">
        <f>+VLOOKUP(C14,'CURVA P3'!$A$4:$AD$55,30,FALSE)</f>
        <v>28086126</v>
      </c>
      <c r="E14" s="50"/>
      <c r="F14" s="3"/>
      <c r="G14" s="50"/>
    </row>
    <row r="15" spans="3:7" x14ac:dyDescent="0.35">
      <c r="C15" s="14">
        <v>46661</v>
      </c>
      <c r="D15" s="9">
        <f>+VLOOKUP(C15,'CURVA P3'!$A$4:$AD$55,30,FALSE)</f>
        <v>27667080</v>
      </c>
      <c r="E15" s="50"/>
      <c r="F15" s="3"/>
      <c r="G15" s="50"/>
    </row>
    <row r="16" spans="3:7" x14ac:dyDescent="0.35">
      <c r="C16" s="14">
        <v>46692</v>
      </c>
      <c r="D16" s="9">
        <f>+VLOOKUP(C16,'CURVA P3'!$A$4:$AD$55,30,FALSE)</f>
        <v>27316858</v>
      </c>
      <c r="E16" s="50"/>
      <c r="F16" s="3"/>
      <c r="G16" s="50"/>
    </row>
    <row r="17" spans="3:7" x14ac:dyDescent="0.35">
      <c r="C17" s="14">
        <v>46722</v>
      </c>
      <c r="D17" s="9">
        <f>+VLOOKUP(C17,'CURVA P3'!$A$4:$AD$55,30,FALSE)</f>
        <v>26335359</v>
      </c>
      <c r="E17" s="74"/>
      <c r="F17" s="15"/>
      <c r="G17" s="74"/>
    </row>
    <row r="18" spans="3:7" ht="15" thickBot="1" x14ac:dyDescent="0.4">
      <c r="D18" s="13">
        <f>SUM(D6:D17)</f>
        <v>328292625</v>
      </c>
    </row>
    <row r="19" spans="3:7" x14ac:dyDescent="0.35">
      <c r="D19" s="41"/>
    </row>
    <row r="20" spans="3:7" x14ac:dyDescent="0.35">
      <c r="D20" s="41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7BB0-A16F-4FF9-987E-C253866C9E22}">
  <dimension ref="A1:AD55"/>
  <sheetViews>
    <sheetView showGridLines="0" workbookViewId="0">
      <selection activeCell="C1" sqref="C1:G18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0" width="9" bestFit="1" customWidth="1"/>
    <col min="21" max="26" width="9.90625" bestFit="1" customWidth="1"/>
    <col min="27" max="27" width="9.453125" customWidth="1"/>
    <col min="28" max="28" width="7.81640625" customWidth="1"/>
    <col min="29" max="29" width="11" bestFit="1" customWidth="1"/>
    <col min="30" max="30" width="12" customWidth="1"/>
  </cols>
  <sheetData>
    <row r="1" spans="1:30" x14ac:dyDescent="0.35">
      <c r="A1" s="62" t="s">
        <v>12</v>
      </c>
      <c r="B1" s="62"/>
      <c r="C1" s="62"/>
      <c r="D1" s="62"/>
    </row>
    <row r="2" spans="1:30" x14ac:dyDescent="0.35">
      <c r="A2" s="75" t="s">
        <v>47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4" spans="1:30" x14ac:dyDescent="0.35">
      <c r="A4" s="64" t="s">
        <v>13</v>
      </c>
      <c r="B4" s="65"/>
      <c r="C4" s="66">
        <f>+AD55</f>
        <v>328292625</v>
      </c>
      <c r="D4" s="6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 ht="21" x14ac:dyDescent="0.35">
      <c r="A5" s="18" t="s">
        <v>1</v>
      </c>
      <c r="B5" s="19" t="s">
        <v>14</v>
      </c>
      <c r="C5" s="18" t="s">
        <v>15</v>
      </c>
      <c r="D5" s="18" t="s">
        <v>16</v>
      </c>
      <c r="E5" s="18" t="s">
        <v>17</v>
      </c>
      <c r="F5" s="18" t="s">
        <v>18</v>
      </c>
      <c r="G5" s="18" t="s">
        <v>19</v>
      </c>
      <c r="H5" s="18" t="s">
        <v>20</v>
      </c>
      <c r="I5" s="18" t="s">
        <v>21</v>
      </c>
      <c r="J5" s="18" t="s">
        <v>22</v>
      </c>
      <c r="K5" s="18" t="s">
        <v>23</v>
      </c>
      <c r="L5" s="18" t="s">
        <v>24</v>
      </c>
      <c r="M5" s="18" t="s">
        <v>25</v>
      </c>
      <c r="N5" s="18" t="s">
        <v>26</v>
      </c>
      <c r="O5" s="18" t="s">
        <v>27</v>
      </c>
      <c r="P5" s="18" t="s">
        <v>28</v>
      </c>
      <c r="Q5" s="18" t="s">
        <v>29</v>
      </c>
      <c r="R5" s="18" t="s">
        <v>30</v>
      </c>
      <c r="S5" s="18" t="s">
        <v>31</v>
      </c>
      <c r="T5" s="18" t="s">
        <v>32</v>
      </c>
      <c r="U5" s="18" t="s">
        <v>33</v>
      </c>
      <c r="V5" s="18" t="s">
        <v>34</v>
      </c>
      <c r="W5" s="18" t="s">
        <v>35</v>
      </c>
      <c r="X5" s="18" t="s">
        <v>36</v>
      </c>
      <c r="Y5" s="18" t="s">
        <v>37</v>
      </c>
      <c r="Z5" s="18" t="s">
        <v>38</v>
      </c>
      <c r="AA5" s="18" t="s">
        <v>39</v>
      </c>
      <c r="AB5" s="18" t="s">
        <v>40</v>
      </c>
      <c r="AC5" s="18" t="s">
        <v>41</v>
      </c>
      <c r="AD5" s="18" t="s">
        <v>42</v>
      </c>
    </row>
    <row r="6" spans="1:30" hidden="1" x14ac:dyDescent="0.35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x14ac:dyDescent="0.35">
      <c r="A7" s="56">
        <v>46388</v>
      </c>
      <c r="B7" s="22" t="s">
        <v>43</v>
      </c>
      <c r="C7" s="23">
        <v>41112</v>
      </c>
      <c r="D7" s="23">
        <v>39632</v>
      </c>
      <c r="E7" s="23">
        <v>38174</v>
      </c>
      <c r="F7" s="23">
        <v>37103</v>
      </c>
      <c r="G7" s="23">
        <v>36769</v>
      </c>
      <c r="H7" s="23">
        <v>37415</v>
      </c>
      <c r="I7" s="23">
        <v>38397</v>
      </c>
      <c r="J7" s="23">
        <v>24160</v>
      </c>
      <c r="K7" s="23">
        <v>27742</v>
      </c>
      <c r="L7" s="23">
        <v>30348</v>
      </c>
      <c r="M7" s="23">
        <v>32594</v>
      </c>
      <c r="N7" s="23">
        <v>33930</v>
      </c>
      <c r="O7" s="23">
        <v>31706</v>
      </c>
      <c r="P7" s="23">
        <v>34486</v>
      </c>
      <c r="Q7" s="23">
        <v>38163</v>
      </c>
      <c r="R7" s="23">
        <v>38813</v>
      </c>
      <c r="S7" s="23">
        <v>37654</v>
      </c>
      <c r="T7" s="23">
        <v>44966</v>
      </c>
      <c r="U7" s="23">
        <v>46224</v>
      </c>
      <c r="V7" s="23">
        <v>45403</v>
      </c>
      <c r="W7" s="23">
        <v>44508</v>
      </c>
      <c r="X7" s="23">
        <v>43419</v>
      </c>
      <c r="Y7" s="23">
        <v>41328</v>
      </c>
      <c r="Z7" s="23">
        <v>38530</v>
      </c>
      <c r="AA7" s="24">
        <f>SUM(C7:Z7)</f>
        <v>902576</v>
      </c>
      <c r="AB7" s="25">
        <v>19</v>
      </c>
      <c r="AC7" s="24">
        <f>+AA7*AB7</f>
        <v>17148944</v>
      </c>
      <c r="AD7" s="59">
        <f>+SUM(AC7:AC10)</f>
        <v>26759066</v>
      </c>
    </row>
    <row r="8" spans="1:30" x14ac:dyDescent="0.35">
      <c r="A8" s="57"/>
      <c r="B8" s="26" t="s">
        <v>44</v>
      </c>
      <c r="C8" s="23">
        <v>42081</v>
      </c>
      <c r="D8" s="23">
        <v>40355</v>
      </c>
      <c r="E8" s="23">
        <v>38703</v>
      </c>
      <c r="F8" s="23">
        <v>37499</v>
      </c>
      <c r="G8" s="23">
        <v>36994</v>
      </c>
      <c r="H8" s="23">
        <v>37203</v>
      </c>
      <c r="I8" s="23">
        <v>37807</v>
      </c>
      <c r="J8" s="23">
        <v>23329</v>
      </c>
      <c r="K8" s="23">
        <v>27119</v>
      </c>
      <c r="L8" s="23">
        <v>29780</v>
      </c>
      <c r="M8" s="23">
        <v>31758</v>
      </c>
      <c r="N8" s="23">
        <v>32743</v>
      </c>
      <c r="O8" s="23">
        <v>31367</v>
      </c>
      <c r="P8" s="23">
        <v>31892</v>
      </c>
      <c r="Q8" s="23">
        <v>33308</v>
      </c>
      <c r="R8" s="23">
        <v>33465</v>
      </c>
      <c r="S8" s="23">
        <v>32259</v>
      </c>
      <c r="T8" s="23">
        <v>41805</v>
      </c>
      <c r="U8" s="23">
        <v>44546</v>
      </c>
      <c r="V8" s="23">
        <v>44054</v>
      </c>
      <c r="W8" s="23">
        <v>42849</v>
      </c>
      <c r="X8" s="23">
        <v>41682</v>
      </c>
      <c r="Y8" s="23">
        <v>40181</v>
      </c>
      <c r="Z8" s="23">
        <v>38111</v>
      </c>
      <c r="AA8" s="24">
        <f t="shared" ref="AA8:AA54" si="0">SUM(C8:Z8)</f>
        <v>870890</v>
      </c>
      <c r="AB8" s="25">
        <v>5</v>
      </c>
      <c r="AC8" s="24">
        <f t="shared" ref="AC8:AC54" si="1">+AA8*AB8</f>
        <v>4354450</v>
      </c>
      <c r="AD8" s="60"/>
    </row>
    <row r="9" spans="1:30" x14ac:dyDescent="0.35">
      <c r="A9" s="57"/>
      <c r="B9" s="26" t="s">
        <v>45</v>
      </c>
      <c r="C9" s="23">
        <v>41548</v>
      </c>
      <c r="D9" s="23">
        <v>39969</v>
      </c>
      <c r="E9" s="23">
        <v>38396</v>
      </c>
      <c r="F9" s="23">
        <v>37161</v>
      </c>
      <c r="G9" s="23">
        <v>36451</v>
      </c>
      <c r="H9" s="23">
        <v>36098</v>
      </c>
      <c r="I9" s="23">
        <v>36009</v>
      </c>
      <c r="J9" s="23">
        <v>19189</v>
      </c>
      <c r="K9" s="23">
        <v>20582</v>
      </c>
      <c r="L9" s="23">
        <v>22213</v>
      </c>
      <c r="M9" s="23">
        <v>23216</v>
      </c>
      <c r="N9" s="23">
        <v>24153</v>
      </c>
      <c r="O9" s="23">
        <v>24668</v>
      </c>
      <c r="P9" s="23">
        <v>24904</v>
      </c>
      <c r="Q9" s="23">
        <v>25525</v>
      </c>
      <c r="R9" s="23">
        <v>25985</v>
      </c>
      <c r="S9" s="23">
        <v>25600</v>
      </c>
      <c r="T9" s="23">
        <v>36695</v>
      </c>
      <c r="U9" s="23">
        <v>40022</v>
      </c>
      <c r="V9" s="23">
        <v>40866</v>
      </c>
      <c r="W9" s="23">
        <v>40735</v>
      </c>
      <c r="X9" s="23">
        <v>40253</v>
      </c>
      <c r="Y9" s="23">
        <v>38659</v>
      </c>
      <c r="Z9" s="23">
        <v>36223</v>
      </c>
      <c r="AA9" s="24">
        <f t="shared" si="0"/>
        <v>775120</v>
      </c>
      <c r="AB9" s="25">
        <v>5</v>
      </c>
      <c r="AC9" s="24">
        <f t="shared" si="1"/>
        <v>3875600</v>
      </c>
      <c r="AD9" s="60"/>
    </row>
    <row r="10" spans="1:30" x14ac:dyDescent="0.35">
      <c r="A10" s="58"/>
      <c r="B10" s="27" t="s">
        <v>46</v>
      </c>
      <c r="C10" s="23">
        <v>36092</v>
      </c>
      <c r="D10" s="23">
        <v>35122</v>
      </c>
      <c r="E10" s="23">
        <v>34421</v>
      </c>
      <c r="F10" s="23">
        <v>33627</v>
      </c>
      <c r="G10" s="23">
        <v>33237</v>
      </c>
      <c r="H10" s="23">
        <v>32889</v>
      </c>
      <c r="I10" s="23">
        <v>32414</v>
      </c>
      <c r="J10" s="23">
        <v>15362</v>
      </c>
      <c r="K10" s="23">
        <v>16567</v>
      </c>
      <c r="L10" s="23">
        <v>18173</v>
      </c>
      <c r="M10" s="23">
        <v>19598</v>
      </c>
      <c r="N10" s="23">
        <v>20522</v>
      </c>
      <c r="O10" s="23">
        <v>20967</v>
      </c>
      <c r="P10" s="23">
        <v>21414</v>
      </c>
      <c r="Q10" s="23">
        <v>21964</v>
      </c>
      <c r="R10" s="23">
        <v>22282</v>
      </c>
      <c r="S10" s="23">
        <v>21623</v>
      </c>
      <c r="T10" s="23">
        <v>33964</v>
      </c>
      <c r="U10" s="23">
        <v>37537</v>
      </c>
      <c r="V10" s="23">
        <v>38103</v>
      </c>
      <c r="W10" s="23">
        <v>37775</v>
      </c>
      <c r="X10" s="23">
        <v>37061</v>
      </c>
      <c r="Y10" s="23">
        <v>35616</v>
      </c>
      <c r="Z10" s="23">
        <v>33706</v>
      </c>
      <c r="AA10" s="24">
        <f t="shared" si="0"/>
        <v>690036</v>
      </c>
      <c r="AB10" s="25">
        <v>2</v>
      </c>
      <c r="AC10" s="24">
        <f t="shared" si="1"/>
        <v>1380072</v>
      </c>
      <c r="AD10" s="61"/>
    </row>
    <row r="11" spans="1:30" x14ac:dyDescent="0.35">
      <c r="A11" s="56">
        <v>46419</v>
      </c>
      <c r="B11" s="22" t="s">
        <v>43</v>
      </c>
      <c r="C11" s="23">
        <v>45210</v>
      </c>
      <c r="D11" s="23">
        <v>43052</v>
      </c>
      <c r="E11" s="23">
        <v>41519</v>
      </c>
      <c r="F11" s="23">
        <v>40517</v>
      </c>
      <c r="G11" s="23">
        <v>40530</v>
      </c>
      <c r="H11" s="23">
        <v>42535</v>
      </c>
      <c r="I11" s="23">
        <v>44256</v>
      </c>
      <c r="J11" s="23">
        <v>30504</v>
      </c>
      <c r="K11" s="23">
        <v>34168</v>
      </c>
      <c r="L11" s="23">
        <v>36768</v>
      </c>
      <c r="M11" s="23">
        <v>39163</v>
      </c>
      <c r="N11" s="23">
        <v>39572</v>
      </c>
      <c r="O11" s="23">
        <v>35772</v>
      </c>
      <c r="P11" s="23">
        <v>40076</v>
      </c>
      <c r="Q11" s="23">
        <v>44552</v>
      </c>
      <c r="R11" s="23">
        <v>45321</v>
      </c>
      <c r="S11" s="23">
        <v>43919</v>
      </c>
      <c r="T11" s="23">
        <v>49397</v>
      </c>
      <c r="U11" s="23">
        <v>50001</v>
      </c>
      <c r="V11" s="23">
        <v>49737</v>
      </c>
      <c r="W11" s="23">
        <v>49039</v>
      </c>
      <c r="X11" s="23">
        <v>47517</v>
      </c>
      <c r="Y11" s="23">
        <v>44388</v>
      </c>
      <c r="Z11" s="23">
        <v>40894</v>
      </c>
      <c r="AA11" s="24">
        <f t="shared" si="0"/>
        <v>1018407</v>
      </c>
      <c r="AB11" s="25">
        <v>20</v>
      </c>
      <c r="AC11" s="24">
        <f t="shared" si="1"/>
        <v>20368140</v>
      </c>
      <c r="AD11" s="59">
        <f>+SUM(AC11:AC14)</f>
        <v>27672188</v>
      </c>
    </row>
    <row r="12" spans="1:30" x14ac:dyDescent="0.35">
      <c r="A12" s="57"/>
      <c r="B12" s="26" t="s">
        <v>44</v>
      </c>
      <c r="C12" s="23">
        <v>44005</v>
      </c>
      <c r="D12" s="23">
        <v>41934</v>
      </c>
      <c r="E12" s="23">
        <v>40442</v>
      </c>
      <c r="F12" s="23">
        <v>39459</v>
      </c>
      <c r="G12" s="23">
        <v>39077</v>
      </c>
      <c r="H12" s="23">
        <v>39703</v>
      </c>
      <c r="I12" s="23">
        <v>41237</v>
      </c>
      <c r="J12" s="23">
        <v>27861</v>
      </c>
      <c r="K12" s="23">
        <v>32084</v>
      </c>
      <c r="L12" s="23">
        <v>34905</v>
      </c>
      <c r="M12" s="23">
        <v>36885</v>
      </c>
      <c r="N12" s="23">
        <v>37667</v>
      </c>
      <c r="O12" s="23">
        <v>35639</v>
      </c>
      <c r="P12" s="23">
        <v>35848</v>
      </c>
      <c r="Q12" s="23">
        <v>37197</v>
      </c>
      <c r="R12" s="23">
        <v>37378</v>
      </c>
      <c r="S12" s="23">
        <v>35994</v>
      </c>
      <c r="T12" s="23">
        <v>44240</v>
      </c>
      <c r="U12" s="23">
        <v>46868</v>
      </c>
      <c r="V12" s="23">
        <v>47091</v>
      </c>
      <c r="W12" s="23">
        <v>45848</v>
      </c>
      <c r="X12" s="23">
        <v>44506</v>
      </c>
      <c r="Y12" s="23">
        <v>42758</v>
      </c>
      <c r="Z12" s="23">
        <v>40448</v>
      </c>
      <c r="AA12" s="24">
        <f t="shared" si="0"/>
        <v>949074</v>
      </c>
      <c r="AB12" s="25">
        <v>4</v>
      </c>
      <c r="AC12" s="24">
        <f t="shared" si="1"/>
        <v>3796296</v>
      </c>
      <c r="AD12" s="60"/>
    </row>
    <row r="13" spans="1:30" x14ac:dyDescent="0.35">
      <c r="A13" s="57"/>
      <c r="B13" s="26" t="s">
        <v>45</v>
      </c>
      <c r="C13" s="23">
        <v>44968</v>
      </c>
      <c r="D13" s="23">
        <v>42779</v>
      </c>
      <c r="E13" s="23">
        <v>41228</v>
      </c>
      <c r="F13" s="23">
        <v>39962</v>
      </c>
      <c r="G13" s="23">
        <v>39299</v>
      </c>
      <c r="H13" s="23">
        <v>39119</v>
      </c>
      <c r="I13" s="23">
        <v>39409</v>
      </c>
      <c r="J13" s="23">
        <v>23149</v>
      </c>
      <c r="K13" s="23">
        <v>24747</v>
      </c>
      <c r="L13" s="23">
        <v>26713</v>
      </c>
      <c r="M13" s="23">
        <v>27922</v>
      </c>
      <c r="N13" s="23">
        <v>29074</v>
      </c>
      <c r="O13" s="23">
        <v>29500</v>
      </c>
      <c r="P13" s="23">
        <v>29598</v>
      </c>
      <c r="Q13" s="23">
        <v>30471</v>
      </c>
      <c r="R13" s="23">
        <v>31230</v>
      </c>
      <c r="S13" s="23">
        <v>30955</v>
      </c>
      <c r="T13" s="23">
        <v>40922</v>
      </c>
      <c r="U13" s="23">
        <v>44220</v>
      </c>
      <c r="V13" s="23">
        <v>45867</v>
      </c>
      <c r="W13" s="23">
        <v>46050</v>
      </c>
      <c r="X13" s="23">
        <v>45697</v>
      </c>
      <c r="Y13" s="23">
        <v>43564</v>
      </c>
      <c r="Z13" s="23">
        <v>40495</v>
      </c>
      <c r="AA13" s="24">
        <f t="shared" si="0"/>
        <v>876938</v>
      </c>
      <c r="AB13" s="25">
        <v>4</v>
      </c>
      <c r="AC13" s="24">
        <f t="shared" si="1"/>
        <v>3507752</v>
      </c>
      <c r="AD13" s="60"/>
    </row>
    <row r="14" spans="1:30" x14ac:dyDescent="0.35">
      <c r="A14" s="58"/>
      <c r="B14" s="27" t="s">
        <v>46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4"/>
      <c r="AB14" s="25">
        <v>0</v>
      </c>
      <c r="AC14" s="24">
        <f t="shared" si="1"/>
        <v>0</v>
      </c>
      <c r="AD14" s="61"/>
    </row>
    <row r="15" spans="1:30" x14ac:dyDescent="0.35">
      <c r="A15" s="56">
        <v>46447</v>
      </c>
      <c r="B15" s="22" t="s">
        <v>43</v>
      </c>
      <c r="C15" s="23">
        <v>41360</v>
      </c>
      <c r="D15" s="23">
        <v>39315</v>
      </c>
      <c r="E15" s="23">
        <v>37895</v>
      </c>
      <c r="F15" s="23">
        <v>36869</v>
      </c>
      <c r="G15" s="23">
        <v>36771</v>
      </c>
      <c r="H15" s="23">
        <v>38112</v>
      </c>
      <c r="I15" s="23">
        <v>38916</v>
      </c>
      <c r="J15" s="23">
        <v>24761</v>
      </c>
      <c r="K15" s="23">
        <v>27986</v>
      </c>
      <c r="L15" s="23">
        <v>30211</v>
      </c>
      <c r="M15" s="23">
        <v>32257</v>
      </c>
      <c r="N15" s="23">
        <v>32868</v>
      </c>
      <c r="O15" s="23">
        <v>29896</v>
      </c>
      <c r="P15" s="23">
        <v>33790</v>
      </c>
      <c r="Q15" s="23">
        <v>37867</v>
      </c>
      <c r="R15" s="23">
        <v>38485</v>
      </c>
      <c r="S15" s="23">
        <v>37362</v>
      </c>
      <c r="T15" s="23">
        <v>44071</v>
      </c>
      <c r="U15" s="23">
        <v>44845</v>
      </c>
      <c r="V15" s="23">
        <v>44769</v>
      </c>
      <c r="W15" s="23">
        <v>44445</v>
      </c>
      <c r="X15" s="23">
        <v>43480</v>
      </c>
      <c r="Y15" s="23">
        <v>40989</v>
      </c>
      <c r="Z15" s="23">
        <v>37962</v>
      </c>
      <c r="AA15" s="24">
        <f t="shared" si="0"/>
        <v>895282</v>
      </c>
      <c r="AB15" s="25">
        <v>20</v>
      </c>
      <c r="AC15" s="24">
        <f t="shared" si="1"/>
        <v>17905640</v>
      </c>
      <c r="AD15" s="59">
        <f>+SUM(AC15:AC18)</f>
        <v>26750823</v>
      </c>
    </row>
    <row r="16" spans="1:30" x14ac:dyDescent="0.35">
      <c r="A16" s="57"/>
      <c r="B16" s="26" t="s">
        <v>44</v>
      </c>
      <c r="C16" s="23">
        <v>42388</v>
      </c>
      <c r="D16" s="23">
        <v>40275</v>
      </c>
      <c r="E16" s="23">
        <v>38733</v>
      </c>
      <c r="F16" s="23">
        <v>37484</v>
      </c>
      <c r="G16" s="23">
        <v>36900</v>
      </c>
      <c r="H16" s="23">
        <v>36989</v>
      </c>
      <c r="I16" s="23">
        <v>37839</v>
      </c>
      <c r="J16" s="23">
        <v>24046</v>
      </c>
      <c r="K16" s="23">
        <v>27640</v>
      </c>
      <c r="L16" s="23">
        <v>30072</v>
      </c>
      <c r="M16" s="23">
        <v>31973</v>
      </c>
      <c r="N16" s="23">
        <v>32524</v>
      </c>
      <c r="O16" s="23">
        <v>30600</v>
      </c>
      <c r="P16" s="23">
        <v>31044</v>
      </c>
      <c r="Q16" s="23">
        <v>32534</v>
      </c>
      <c r="R16" s="23">
        <v>32788</v>
      </c>
      <c r="S16" s="23">
        <v>31710</v>
      </c>
      <c r="T16" s="23">
        <v>41035</v>
      </c>
      <c r="U16" s="23">
        <v>43398</v>
      </c>
      <c r="V16" s="23">
        <v>43499</v>
      </c>
      <c r="W16" s="23">
        <v>42711</v>
      </c>
      <c r="X16" s="23">
        <v>41942</v>
      </c>
      <c r="Y16" s="23">
        <v>40804</v>
      </c>
      <c r="Z16" s="23">
        <v>38897</v>
      </c>
      <c r="AA16" s="24">
        <f t="shared" si="0"/>
        <v>867825</v>
      </c>
      <c r="AB16" s="25">
        <v>4</v>
      </c>
      <c r="AC16" s="24">
        <f t="shared" si="1"/>
        <v>3471300</v>
      </c>
      <c r="AD16" s="60"/>
    </row>
    <row r="17" spans="1:30" x14ac:dyDescent="0.35">
      <c r="A17" s="57"/>
      <c r="B17" s="26" t="s">
        <v>45</v>
      </c>
      <c r="C17" s="23">
        <v>42775</v>
      </c>
      <c r="D17" s="23">
        <v>40684</v>
      </c>
      <c r="E17" s="23">
        <v>39204</v>
      </c>
      <c r="F17" s="23">
        <v>38002</v>
      </c>
      <c r="G17" s="23">
        <v>37254</v>
      </c>
      <c r="H17" s="23">
        <v>36752</v>
      </c>
      <c r="I17" s="23">
        <v>36495</v>
      </c>
      <c r="J17" s="23">
        <v>19784</v>
      </c>
      <c r="K17" s="23">
        <v>20934</v>
      </c>
      <c r="L17" s="23">
        <v>22177</v>
      </c>
      <c r="M17" s="23">
        <v>22843</v>
      </c>
      <c r="N17" s="23">
        <v>23818</v>
      </c>
      <c r="O17" s="23">
        <v>24459</v>
      </c>
      <c r="P17" s="23">
        <v>24830</v>
      </c>
      <c r="Q17" s="23">
        <v>25764</v>
      </c>
      <c r="R17" s="23">
        <v>26410</v>
      </c>
      <c r="S17" s="23">
        <v>26157</v>
      </c>
      <c r="T17" s="23">
        <v>36928</v>
      </c>
      <c r="U17" s="23">
        <v>39919</v>
      </c>
      <c r="V17" s="23">
        <v>41602</v>
      </c>
      <c r="W17" s="23">
        <v>42048</v>
      </c>
      <c r="X17" s="23">
        <v>41964</v>
      </c>
      <c r="Y17" s="23">
        <v>39942</v>
      </c>
      <c r="Z17" s="23">
        <v>37293</v>
      </c>
      <c r="AA17" s="24">
        <f t="shared" si="0"/>
        <v>788038</v>
      </c>
      <c r="AB17" s="25">
        <v>4</v>
      </c>
      <c r="AC17" s="24">
        <f t="shared" si="1"/>
        <v>3152152</v>
      </c>
      <c r="AD17" s="60"/>
    </row>
    <row r="18" spans="1:30" x14ac:dyDescent="0.35">
      <c r="A18" s="58"/>
      <c r="B18" s="27" t="s">
        <v>46</v>
      </c>
      <c r="C18" s="23">
        <v>37367</v>
      </c>
      <c r="D18" s="23">
        <v>35263</v>
      </c>
      <c r="E18" s="23">
        <v>33932</v>
      </c>
      <c r="F18" s="23">
        <v>33023</v>
      </c>
      <c r="G18" s="23">
        <v>32635</v>
      </c>
      <c r="H18" s="23">
        <v>32471</v>
      </c>
      <c r="I18" s="23">
        <v>33004</v>
      </c>
      <c r="J18" s="23">
        <v>17680</v>
      </c>
      <c r="K18" s="23">
        <v>19808</v>
      </c>
      <c r="L18" s="23">
        <v>22003</v>
      </c>
      <c r="M18" s="23">
        <v>23930</v>
      </c>
      <c r="N18" s="23">
        <v>25228</v>
      </c>
      <c r="O18" s="23">
        <v>24755</v>
      </c>
      <c r="P18" s="23">
        <v>25550</v>
      </c>
      <c r="Q18" s="23">
        <v>26074</v>
      </c>
      <c r="R18" s="23">
        <v>25920</v>
      </c>
      <c r="S18" s="23">
        <v>25038</v>
      </c>
      <c r="T18" s="23">
        <v>35505</v>
      </c>
      <c r="U18" s="23">
        <v>38939</v>
      </c>
      <c r="V18" s="23">
        <v>40582</v>
      </c>
      <c r="W18" s="23">
        <v>40673</v>
      </c>
      <c r="X18" s="23">
        <v>39856</v>
      </c>
      <c r="Y18" s="23">
        <v>37125</v>
      </c>
      <c r="Z18" s="23">
        <v>34216</v>
      </c>
      <c r="AA18" s="24">
        <f t="shared" si="0"/>
        <v>740577</v>
      </c>
      <c r="AB18" s="25">
        <v>3</v>
      </c>
      <c r="AC18" s="24">
        <f t="shared" si="1"/>
        <v>2221731</v>
      </c>
      <c r="AD18" s="61"/>
    </row>
    <row r="19" spans="1:30" x14ac:dyDescent="0.35">
      <c r="A19" s="56">
        <v>46478</v>
      </c>
      <c r="B19" s="22" t="s">
        <v>43</v>
      </c>
      <c r="C19" s="23">
        <v>42913</v>
      </c>
      <c r="D19" s="23">
        <v>40771</v>
      </c>
      <c r="E19" s="23">
        <v>39307</v>
      </c>
      <c r="F19" s="23">
        <v>38274</v>
      </c>
      <c r="G19" s="23">
        <v>38208</v>
      </c>
      <c r="H19" s="23">
        <v>38948</v>
      </c>
      <c r="I19" s="23">
        <v>40186</v>
      </c>
      <c r="J19" s="23">
        <v>26813</v>
      </c>
      <c r="K19" s="23">
        <v>30811</v>
      </c>
      <c r="L19" s="23">
        <v>33416</v>
      </c>
      <c r="M19" s="23">
        <v>35921</v>
      </c>
      <c r="N19" s="23">
        <v>36823</v>
      </c>
      <c r="O19" s="23">
        <v>33378</v>
      </c>
      <c r="P19" s="23">
        <v>37364</v>
      </c>
      <c r="Q19" s="23">
        <v>41912</v>
      </c>
      <c r="R19" s="23">
        <v>42371</v>
      </c>
      <c r="S19" s="23">
        <v>40833</v>
      </c>
      <c r="T19" s="23">
        <v>47018</v>
      </c>
      <c r="U19" s="23">
        <v>47734</v>
      </c>
      <c r="V19" s="23">
        <v>47381</v>
      </c>
      <c r="W19" s="23">
        <v>46946</v>
      </c>
      <c r="X19" s="23">
        <v>45815</v>
      </c>
      <c r="Y19" s="23">
        <v>43218</v>
      </c>
      <c r="Z19" s="23">
        <v>39922</v>
      </c>
      <c r="AA19" s="24">
        <f t="shared" si="0"/>
        <v>956283</v>
      </c>
      <c r="AB19" s="25">
        <v>22</v>
      </c>
      <c r="AC19" s="24">
        <f t="shared" si="1"/>
        <v>21038226</v>
      </c>
      <c r="AD19" s="59">
        <f>+SUM(AC19:AC22)</f>
        <v>27930538</v>
      </c>
    </row>
    <row r="20" spans="1:30" x14ac:dyDescent="0.35">
      <c r="A20" s="57"/>
      <c r="B20" s="26" t="s">
        <v>44</v>
      </c>
      <c r="C20" s="23">
        <v>43647</v>
      </c>
      <c r="D20" s="23">
        <v>41540</v>
      </c>
      <c r="E20" s="23">
        <v>39984</v>
      </c>
      <c r="F20" s="23">
        <v>38732</v>
      </c>
      <c r="G20" s="23">
        <v>38251</v>
      </c>
      <c r="H20" s="23">
        <v>37727</v>
      </c>
      <c r="I20" s="23">
        <v>39013</v>
      </c>
      <c r="J20" s="23">
        <v>25248</v>
      </c>
      <c r="K20" s="23">
        <v>29461</v>
      </c>
      <c r="L20" s="23">
        <v>32141</v>
      </c>
      <c r="M20" s="23">
        <v>34261</v>
      </c>
      <c r="N20" s="23">
        <v>35186</v>
      </c>
      <c r="O20" s="23">
        <v>33394</v>
      </c>
      <c r="P20" s="23">
        <v>33847</v>
      </c>
      <c r="Q20" s="23">
        <v>35265</v>
      </c>
      <c r="R20" s="23">
        <v>35332</v>
      </c>
      <c r="S20" s="23">
        <v>33833</v>
      </c>
      <c r="T20" s="23">
        <v>43004</v>
      </c>
      <c r="U20" s="23">
        <v>45227</v>
      </c>
      <c r="V20" s="23">
        <v>44692</v>
      </c>
      <c r="W20" s="23">
        <v>43641</v>
      </c>
      <c r="X20" s="23">
        <v>42493</v>
      </c>
      <c r="Y20" s="23">
        <v>41021</v>
      </c>
      <c r="Z20" s="23">
        <v>39086</v>
      </c>
      <c r="AA20" s="24">
        <f t="shared" si="0"/>
        <v>906026</v>
      </c>
      <c r="AB20" s="25">
        <v>4</v>
      </c>
      <c r="AC20" s="24">
        <f t="shared" si="1"/>
        <v>3624104</v>
      </c>
      <c r="AD20" s="60"/>
    </row>
    <row r="21" spans="1:30" x14ac:dyDescent="0.35">
      <c r="A21" s="57"/>
      <c r="B21" s="26" t="s">
        <v>45</v>
      </c>
      <c r="C21" s="23">
        <v>43710</v>
      </c>
      <c r="D21" s="23">
        <v>41435</v>
      </c>
      <c r="E21" s="23">
        <v>39777</v>
      </c>
      <c r="F21" s="23">
        <v>38473</v>
      </c>
      <c r="G21" s="23">
        <v>37698</v>
      </c>
      <c r="H21" s="23">
        <v>36700</v>
      </c>
      <c r="I21" s="23">
        <v>36907</v>
      </c>
      <c r="J21" s="23">
        <v>20699</v>
      </c>
      <c r="K21" s="23">
        <v>22184</v>
      </c>
      <c r="L21" s="23">
        <v>23712</v>
      </c>
      <c r="M21" s="23">
        <v>24863</v>
      </c>
      <c r="N21" s="23">
        <v>26304</v>
      </c>
      <c r="O21" s="23">
        <v>26781</v>
      </c>
      <c r="P21" s="23">
        <v>27128</v>
      </c>
      <c r="Q21" s="23">
        <v>28096</v>
      </c>
      <c r="R21" s="23">
        <v>28585</v>
      </c>
      <c r="S21" s="23">
        <v>28070</v>
      </c>
      <c r="T21" s="23">
        <v>38487</v>
      </c>
      <c r="U21" s="23">
        <v>41524</v>
      </c>
      <c r="V21" s="23">
        <v>42755</v>
      </c>
      <c r="W21" s="23">
        <v>42503</v>
      </c>
      <c r="X21" s="23">
        <v>42333</v>
      </c>
      <c r="Y21" s="23">
        <v>40551</v>
      </c>
      <c r="Z21" s="23">
        <v>37777</v>
      </c>
      <c r="AA21" s="24">
        <f t="shared" si="0"/>
        <v>817052</v>
      </c>
      <c r="AB21" s="25">
        <v>4</v>
      </c>
      <c r="AC21" s="24">
        <f t="shared" si="1"/>
        <v>3268208</v>
      </c>
      <c r="AD21" s="60"/>
    </row>
    <row r="22" spans="1:30" x14ac:dyDescent="0.35">
      <c r="A22" s="58"/>
      <c r="B22" s="27" t="s">
        <v>46</v>
      </c>
      <c r="C22" s="23">
        <v>63321</v>
      </c>
      <c r="D22" s="23">
        <v>60330</v>
      </c>
      <c r="E22" s="23">
        <v>58232</v>
      </c>
      <c r="F22" s="23">
        <v>56747</v>
      </c>
      <c r="G22" s="23">
        <v>55815</v>
      </c>
      <c r="H22" s="23">
        <v>54264</v>
      </c>
      <c r="I22" s="23">
        <v>54860</v>
      </c>
      <c r="J22" s="23">
        <v>56451</v>
      </c>
      <c r="K22" s="23">
        <v>58312</v>
      </c>
      <c r="L22" s="23">
        <v>59544</v>
      </c>
      <c r="M22" s="23">
        <v>60667</v>
      </c>
      <c r="N22" s="23">
        <v>62232</v>
      </c>
      <c r="O22" s="23">
        <v>63013</v>
      </c>
      <c r="P22" s="23">
        <v>63264</v>
      </c>
      <c r="Q22" s="23">
        <v>63966</v>
      </c>
      <c r="R22" s="23">
        <v>63315</v>
      </c>
      <c r="S22" s="23">
        <v>62463</v>
      </c>
      <c r="T22" s="23">
        <v>62887</v>
      </c>
      <c r="U22" s="23">
        <v>69236</v>
      </c>
      <c r="V22" s="23">
        <v>71122</v>
      </c>
      <c r="W22" s="23">
        <v>70841</v>
      </c>
      <c r="X22" s="23">
        <v>70142</v>
      </c>
      <c r="Y22" s="23">
        <v>68086</v>
      </c>
      <c r="Z22" s="23">
        <v>64794</v>
      </c>
      <c r="AA22" s="24">
        <f t="shared" si="0"/>
        <v>1493904</v>
      </c>
      <c r="AB22" s="25">
        <v>0</v>
      </c>
      <c r="AC22" s="24">
        <f t="shared" si="1"/>
        <v>0</v>
      </c>
      <c r="AD22" s="61"/>
    </row>
    <row r="23" spans="1:30" x14ac:dyDescent="0.35">
      <c r="A23" s="56">
        <v>46508</v>
      </c>
      <c r="B23" s="22" t="s">
        <v>43</v>
      </c>
      <c r="C23" s="23">
        <v>43778</v>
      </c>
      <c r="D23" s="23">
        <v>41701</v>
      </c>
      <c r="E23" s="23">
        <v>40141</v>
      </c>
      <c r="F23" s="23">
        <v>39041</v>
      </c>
      <c r="G23" s="23">
        <v>38743</v>
      </c>
      <c r="H23" s="23">
        <v>38606</v>
      </c>
      <c r="I23" s="23">
        <v>39941</v>
      </c>
      <c r="J23" s="23">
        <v>26784</v>
      </c>
      <c r="K23" s="23">
        <v>31034</v>
      </c>
      <c r="L23" s="23">
        <v>33814</v>
      </c>
      <c r="M23" s="23">
        <v>36205</v>
      </c>
      <c r="N23" s="23">
        <v>36942</v>
      </c>
      <c r="O23" s="23">
        <v>33566</v>
      </c>
      <c r="P23" s="23">
        <v>37674</v>
      </c>
      <c r="Q23" s="23">
        <v>42137</v>
      </c>
      <c r="R23" s="23">
        <v>42304</v>
      </c>
      <c r="S23" s="23">
        <v>40616</v>
      </c>
      <c r="T23" s="23">
        <v>46827</v>
      </c>
      <c r="U23" s="23">
        <v>46929</v>
      </c>
      <c r="V23" s="23">
        <v>46839</v>
      </c>
      <c r="W23" s="23">
        <v>46848</v>
      </c>
      <c r="X23" s="23">
        <v>46036</v>
      </c>
      <c r="Y23" s="23">
        <v>43639</v>
      </c>
      <c r="Z23" s="23">
        <v>40511</v>
      </c>
      <c r="AA23" s="24">
        <f t="shared" si="0"/>
        <v>960656</v>
      </c>
      <c r="AB23" s="25">
        <v>19</v>
      </c>
      <c r="AC23" s="24">
        <f t="shared" si="1"/>
        <v>18252464</v>
      </c>
      <c r="AD23" s="59">
        <f>+SUM(AC23:AC26)</f>
        <v>28291287</v>
      </c>
    </row>
    <row r="24" spans="1:30" x14ac:dyDescent="0.35">
      <c r="A24" s="57"/>
      <c r="B24" s="26" t="s">
        <v>44</v>
      </c>
      <c r="C24" s="23">
        <v>45007</v>
      </c>
      <c r="D24" s="23">
        <v>42640</v>
      </c>
      <c r="E24" s="23">
        <v>40865</v>
      </c>
      <c r="F24" s="23">
        <v>39545</v>
      </c>
      <c r="G24" s="23">
        <v>38964</v>
      </c>
      <c r="H24" s="23">
        <v>37872</v>
      </c>
      <c r="I24" s="23">
        <v>39353</v>
      </c>
      <c r="J24" s="23">
        <v>25702</v>
      </c>
      <c r="K24" s="23">
        <v>30131</v>
      </c>
      <c r="L24" s="23">
        <v>33147</v>
      </c>
      <c r="M24" s="23">
        <v>35310</v>
      </c>
      <c r="N24" s="23">
        <v>35908</v>
      </c>
      <c r="O24" s="23">
        <v>33953</v>
      </c>
      <c r="P24" s="23">
        <v>34434</v>
      </c>
      <c r="Q24" s="23">
        <v>35678</v>
      </c>
      <c r="R24" s="23">
        <v>35463</v>
      </c>
      <c r="S24" s="23">
        <v>33858</v>
      </c>
      <c r="T24" s="23">
        <v>42243</v>
      </c>
      <c r="U24" s="23">
        <v>44192</v>
      </c>
      <c r="V24" s="23">
        <v>44448</v>
      </c>
      <c r="W24" s="23">
        <v>43564</v>
      </c>
      <c r="X24" s="23">
        <v>42773</v>
      </c>
      <c r="Y24" s="23">
        <v>41544</v>
      </c>
      <c r="Z24" s="23">
        <v>39519</v>
      </c>
      <c r="AA24" s="24">
        <f t="shared" si="0"/>
        <v>916113</v>
      </c>
      <c r="AB24" s="25">
        <v>4</v>
      </c>
      <c r="AC24" s="24">
        <f t="shared" si="1"/>
        <v>3664452</v>
      </c>
      <c r="AD24" s="60"/>
    </row>
    <row r="25" spans="1:30" x14ac:dyDescent="0.35">
      <c r="A25" s="57"/>
      <c r="B25" s="26" t="s">
        <v>45</v>
      </c>
      <c r="C25" s="23">
        <v>43744</v>
      </c>
      <c r="D25" s="23">
        <v>41757</v>
      </c>
      <c r="E25" s="23">
        <v>40199</v>
      </c>
      <c r="F25" s="23">
        <v>38921</v>
      </c>
      <c r="G25" s="23">
        <v>38088</v>
      </c>
      <c r="H25" s="23">
        <v>36428</v>
      </c>
      <c r="I25" s="23">
        <v>37107</v>
      </c>
      <c r="J25" s="23">
        <v>20854</v>
      </c>
      <c r="K25" s="23">
        <v>22236</v>
      </c>
      <c r="L25" s="23">
        <v>23766</v>
      </c>
      <c r="M25" s="23">
        <v>25063</v>
      </c>
      <c r="N25" s="23">
        <v>25959</v>
      </c>
      <c r="O25" s="23">
        <v>25792</v>
      </c>
      <c r="P25" s="23">
        <v>25830</v>
      </c>
      <c r="Q25" s="23">
        <v>26971</v>
      </c>
      <c r="R25" s="23">
        <v>27310</v>
      </c>
      <c r="S25" s="23">
        <v>26866</v>
      </c>
      <c r="T25" s="23">
        <v>37566</v>
      </c>
      <c r="U25" s="23">
        <v>40392</v>
      </c>
      <c r="V25" s="23">
        <v>41735</v>
      </c>
      <c r="W25" s="23">
        <v>42108</v>
      </c>
      <c r="X25" s="23">
        <v>42364</v>
      </c>
      <c r="Y25" s="23">
        <v>41023</v>
      </c>
      <c r="Z25" s="23">
        <v>38586</v>
      </c>
      <c r="AA25" s="24">
        <f t="shared" si="0"/>
        <v>810665</v>
      </c>
      <c r="AB25" s="25">
        <v>5</v>
      </c>
      <c r="AC25" s="24">
        <f t="shared" si="1"/>
        <v>4053325</v>
      </c>
      <c r="AD25" s="60"/>
    </row>
    <row r="26" spans="1:30" x14ac:dyDescent="0.35">
      <c r="A26" s="58"/>
      <c r="B26" s="27" t="s">
        <v>46</v>
      </c>
      <c r="C26" s="23">
        <v>39404</v>
      </c>
      <c r="D26" s="23">
        <v>37439</v>
      </c>
      <c r="E26" s="23">
        <v>36022</v>
      </c>
      <c r="F26" s="23">
        <v>34965</v>
      </c>
      <c r="G26" s="23">
        <v>34466</v>
      </c>
      <c r="H26" s="23">
        <v>33293</v>
      </c>
      <c r="I26" s="23">
        <v>34294</v>
      </c>
      <c r="J26" s="23">
        <v>18690</v>
      </c>
      <c r="K26" s="23">
        <v>20706</v>
      </c>
      <c r="L26" s="23">
        <v>22827</v>
      </c>
      <c r="M26" s="23">
        <v>24612</v>
      </c>
      <c r="N26" s="23">
        <v>25829</v>
      </c>
      <c r="O26" s="23">
        <v>25595</v>
      </c>
      <c r="P26" s="23">
        <v>26227</v>
      </c>
      <c r="Q26" s="23">
        <v>27182</v>
      </c>
      <c r="R26" s="23">
        <v>27421</v>
      </c>
      <c r="S26" s="23">
        <v>26460</v>
      </c>
      <c r="T26" s="23">
        <v>36509</v>
      </c>
      <c r="U26" s="23">
        <v>39640</v>
      </c>
      <c r="V26" s="23">
        <v>41679</v>
      </c>
      <c r="W26" s="23">
        <v>42098</v>
      </c>
      <c r="X26" s="23">
        <v>41819</v>
      </c>
      <c r="Y26" s="23">
        <v>39692</v>
      </c>
      <c r="Z26" s="23">
        <v>36813</v>
      </c>
      <c r="AA26" s="24">
        <f t="shared" si="0"/>
        <v>773682</v>
      </c>
      <c r="AB26" s="25">
        <v>3</v>
      </c>
      <c r="AC26" s="24">
        <f t="shared" si="1"/>
        <v>2321046</v>
      </c>
      <c r="AD26" s="61"/>
    </row>
    <row r="27" spans="1:30" x14ac:dyDescent="0.35">
      <c r="A27" s="56">
        <v>46539</v>
      </c>
      <c r="B27" s="22" t="s">
        <v>43</v>
      </c>
      <c r="C27" s="23">
        <v>45211</v>
      </c>
      <c r="D27" s="23">
        <v>43027</v>
      </c>
      <c r="E27" s="23">
        <v>41374</v>
      </c>
      <c r="F27" s="23">
        <v>40258</v>
      </c>
      <c r="G27" s="23">
        <v>39949</v>
      </c>
      <c r="H27" s="23">
        <v>39653</v>
      </c>
      <c r="I27" s="23">
        <v>41528</v>
      </c>
      <c r="J27" s="23">
        <v>28765</v>
      </c>
      <c r="K27" s="23">
        <v>33123</v>
      </c>
      <c r="L27" s="23">
        <v>35776</v>
      </c>
      <c r="M27" s="23">
        <v>38126</v>
      </c>
      <c r="N27" s="23">
        <v>39098</v>
      </c>
      <c r="O27" s="23">
        <v>35354</v>
      </c>
      <c r="P27" s="23">
        <v>39189</v>
      </c>
      <c r="Q27" s="23">
        <v>43375</v>
      </c>
      <c r="R27" s="23">
        <v>43712</v>
      </c>
      <c r="S27" s="23">
        <v>42238</v>
      </c>
      <c r="T27" s="23">
        <v>47775</v>
      </c>
      <c r="U27" s="23">
        <v>47755</v>
      </c>
      <c r="V27" s="23">
        <v>47961</v>
      </c>
      <c r="W27" s="23">
        <v>47646</v>
      </c>
      <c r="X27" s="23">
        <v>46688</v>
      </c>
      <c r="Y27" s="23">
        <v>44402</v>
      </c>
      <c r="Z27" s="23">
        <v>41318</v>
      </c>
      <c r="AA27" s="24">
        <f t="shared" si="0"/>
        <v>993301</v>
      </c>
      <c r="AB27" s="25">
        <v>21</v>
      </c>
      <c r="AC27" s="24">
        <f t="shared" si="1"/>
        <v>20859321</v>
      </c>
      <c r="AD27" s="59">
        <f>+SUM(AC27:AC30)</f>
        <v>28860123</v>
      </c>
    </row>
    <row r="28" spans="1:30" x14ac:dyDescent="0.35">
      <c r="A28" s="57"/>
      <c r="B28" s="26" t="s">
        <v>44</v>
      </c>
      <c r="C28" s="23">
        <v>45576</v>
      </c>
      <c r="D28" s="23">
        <v>43447</v>
      </c>
      <c r="E28" s="23">
        <v>41823</v>
      </c>
      <c r="F28" s="23">
        <v>40596</v>
      </c>
      <c r="G28" s="23">
        <v>40175</v>
      </c>
      <c r="H28" s="23">
        <v>39156</v>
      </c>
      <c r="I28" s="23">
        <v>40950</v>
      </c>
      <c r="J28" s="23">
        <v>27645</v>
      </c>
      <c r="K28" s="23">
        <v>31877</v>
      </c>
      <c r="L28" s="23">
        <v>34592</v>
      </c>
      <c r="M28" s="23">
        <v>36592</v>
      </c>
      <c r="N28" s="23">
        <v>37196</v>
      </c>
      <c r="O28" s="23">
        <v>34939</v>
      </c>
      <c r="P28" s="23">
        <v>34993</v>
      </c>
      <c r="Q28" s="23">
        <v>36828</v>
      </c>
      <c r="R28" s="23">
        <v>37158</v>
      </c>
      <c r="S28" s="23">
        <v>35700</v>
      </c>
      <c r="T28" s="23">
        <v>44048</v>
      </c>
      <c r="U28" s="23">
        <v>45721</v>
      </c>
      <c r="V28" s="23">
        <v>45892</v>
      </c>
      <c r="W28" s="23">
        <v>44937</v>
      </c>
      <c r="X28" s="23">
        <v>43925</v>
      </c>
      <c r="Y28" s="23">
        <v>42584</v>
      </c>
      <c r="Z28" s="23">
        <v>40666</v>
      </c>
      <c r="AA28" s="24">
        <f t="shared" si="0"/>
        <v>947016</v>
      </c>
      <c r="AB28" s="25">
        <v>4</v>
      </c>
      <c r="AC28" s="24">
        <f t="shared" si="1"/>
        <v>3788064</v>
      </c>
      <c r="AD28" s="60"/>
    </row>
    <row r="29" spans="1:30" x14ac:dyDescent="0.35">
      <c r="A29" s="57"/>
      <c r="B29" s="26" t="s">
        <v>45</v>
      </c>
      <c r="C29" s="23">
        <v>45364</v>
      </c>
      <c r="D29" s="23">
        <v>43384</v>
      </c>
      <c r="E29" s="23">
        <v>41848</v>
      </c>
      <c r="F29" s="23">
        <v>40570</v>
      </c>
      <c r="G29" s="23">
        <v>39830</v>
      </c>
      <c r="H29" s="23">
        <v>38212</v>
      </c>
      <c r="I29" s="23">
        <v>38816</v>
      </c>
      <c r="J29" s="23">
        <v>22702</v>
      </c>
      <c r="K29" s="23">
        <v>23713</v>
      </c>
      <c r="L29" s="23">
        <v>25583</v>
      </c>
      <c r="M29" s="23">
        <v>26194</v>
      </c>
      <c r="N29" s="23">
        <v>27041</v>
      </c>
      <c r="O29" s="23">
        <v>27339</v>
      </c>
      <c r="P29" s="23">
        <v>27471</v>
      </c>
      <c r="Q29" s="23">
        <v>28347</v>
      </c>
      <c r="R29" s="23">
        <v>28793</v>
      </c>
      <c r="S29" s="23">
        <v>28607</v>
      </c>
      <c r="T29" s="23">
        <v>38452</v>
      </c>
      <c r="U29" s="23">
        <v>41205</v>
      </c>
      <c r="V29" s="23">
        <v>43307</v>
      </c>
      <c r="W29" s="23">
        <v>43609</v>
      </c>
      <c r="X29" s="23">
        <v>43837</v>
      </c>
      <c r="Y29" s="23">
        <v>42695</v>
      </c>
      <c r="Z29" s="23">
        <v>40568</v>
      </c>
      <c r="AA29" s="24">
        <f t="shared" si="0"/>
        <v>847487</v>
      </c>
      <c r="AB29" s="25">
        <v>4</v>
      </c>
      <c r="AC29" s="24">
        <f t="shared" si="1"/>
        <v>3389948</v>
      </c>
      <c r="AD29" s="60"/>
    </row>
    <row r="30" spans="1:30" x14ac:dyDescent="0.35">
      <c r="A30" s="58"/>
      <c r="B30" s="27" t="s">
        <v>46</v>
      </c>
      <c r="C30" s="23">
        <v>41476</v>
      </c>
      <c r="D30" s="23">
        <v>39541</v>
      </c>
      <c r="E30" s="23">
        <v>38171</v>
      </c>
      <c r="F30" s="23">
        <v>37056</v>
      </c>
      <c r="G30" s="23">
        <v>36611</v>
      </c>
      <c r="H30" s="23">
        <v>35427</v>
      </c>
      <c r="I30" s="23">
        <v>36429</v>
      </c>
      <c r="J30" s="23">
        <v>21444</v>
      </c>
      <c r="K30" s="23">
        <v>24014</v>
      </c>
      <c r="L30" s="23">
        <v>26513</v>
      </c>
      <c r="M30" s="23">
        <v>28335</v>
      </c>
      <c r="N30" s="23">
        <v>29308</v>
      </c>
      <c r="O30" s="23">
        <v>28683</v>
      </c>
      <c r="P30" s="23">
        <v>28975</v>
      </c>
      <c r="Q30" s="23">
        <v>29676</v>
      </c>
      <c r="R30" s="23">
        <v>29509</v>
      </c>
      <c r="S30" s="23">
        <v>28337</v>
      </c>
      <c r="T30" s="23">
        <v>37644</v>
      </c>
      <c r="U30" s="23">
        <v>40214</v>
      </c>
      <c r="V30" s="23">
        <v>42781</v>
      </c>
      <c r="W30" s="23">
        <v>42687</v>
      </c>
      <c r="X30" s="23">
        <v>42186</v>
      </c>
      <c r="Y30" s="23">
        <v>40251</v>
      </c>
      <c r="Z30" s="23">
        <v>37522</v>
      </c>
      <c r="AA30" s="24">
        <f t="shared" si="0"/>
        <v>822790</v>
      </c>
      <c r="AB30" s="25">
        <v>1</v>
      </c>
      <c r="AC30" s="24">
        <f t="shared" si="1"/>
        <v>822790</v>
      </c>
      <c r="AD30" s="61"/>
    </row>
    <row r="31" spans="1:30" x14ac:dyDescent="0.35">
      <c r="A31" s="56">
        <v>46569</v>
      </c>
      <c r="B31" s="22" t="s">
        <v>43</v>
      </c>
      <c r="C31" s="23">
        <v>39583</v>
      </c>
      <c r="D31" s="23">
        <v>37451</v>
      </c>
      <c r="E31" s="23">
        <v>35918</v>
      </c>
      <c r="F31" s="23">
        <v>34716</v>
      </c>
      <c r="G31" s="23">
        <v>34346</v>
      </c>
      <c r="H31" s="23">
        <v>34418</v>
      </c>
      <c r="I31" s="23">
        <v>35895</v>
      </c>
      <c r="J31" s="23">
        <v>21903</v>
      </c>
      <c r="K31" s="23">
        <v>26115</v>
      </c>
      <c r="L31" s="23">
        <v>28761</v>
      </c>
      <c r="M31" s="23">
        <v>31083</v>
      </c>
      <c r="N31" s="23">
        <v>31547</v>
      </c>
      <c r="O31" s="23">
        <v>27760</v>
      </c>
      <c r="P31" s="23">
        <v>31475</v>
      </c>
      <c r="Q31" s="23">
        <v>35565</v>
      </c>
      <c r="R31" s="23">
        <v>35898</v>
      </c>
      <c r="S31" s="23">
        <v>34235</v>
      </c>
      <c r="T31" s="23">
        <v>43847</v>
      </c>
      <c r="U31" s="23">
        <v>43605</v>
      </c>
      <c r="V31" s="23">
        <v>44385</v>
      </c>
      <c r="W31" s="23">
        <v>44382</v>
      </c>
      <c r="X31" s="23">
        <v>43643</v>
      </c>
      <c r="Y31" s="23">
        <v>41470</v>
      </c>
      <c r="Z31" s="23">
        <v>38517</v>
      </c>
      <c r="AA31" s="24">
        <f t="shared" si="0"/>
        <v>856518</v>
      </c>
      <c r="AB31" s="25">
        <v>20</v>
      </c>
      <c r="AC31" s="24">
        <f t="shared" si="1"/>
        <v>17130360</v>
      </c>
      <c r="AD31" s="59">
        <f>+SUM(AC31:AC34)</f>
        <v>25495169</v>
      </c>
    </row>
    <row r="32" spans="1:30" x14ac:dyDescent="0.35">
      <c r="A32" s="57"/>
      <c r="B32" s="26" t="s">
        <v>44</v>
      </c>
      <c r="C32" s="23">
        <v>38940</v>
      </c>
      <c r="D32" s="23">
        <v>36945</v>
      </c>
      <c r="E32" s="23">
        <v>35508</v>
      </c>
      <c r="F32" s="23">
        <v>34355</v>
      </c>
      <c r="G32" s="23">
        <v>33950</v>
      </c>
      <c r="H32" s="23">
        <v>33164</v>
      </c>
      <c r="I32" s="23">
        <v>34510</v>
      </c>
      <c r="J32" s="23">
        <v>20136</v>
      </c>
      <c r="K32" s="23">
        <v>24079</v>
      </c>
      <c r="L32" s="23">
        <v>26773</v>
      </c>
      <c r="M32" s="23">
        <v>28516</v>
      </c>
      <c r="N32" s="23">
        <v>29465</v>
      </c>
      <c r="O32" s="23">
        <v>27478</v>
      </c>
      <c r="P32" s="23">
        <v>27929</v>
      </c>
      <c r="Q32" s="23">
        <v>29568</v>
      </c>
      <c r="R32" s="23">
        <v>29438</v>
      </c>
      <c r="S32" s="23">
        <v>27822</v>
      </c>
      <c r="T32" s="23">
        <v>39492</v>
      </c>
      <c r="U32" s="23">
        <v>41427</v>
      </c>
      <c r="V32" s="23">
        <v>42662</v>
      </c>
      <c r="W32" s="23">
        <v>41695</v>
      </c>
      <c r="X32" s="23">
        <v>41013</v>
      </c>
      <c r="Y32" s="23">
        <v>40110</v>
      </c>
      <c r="Z32" s="23">
        <v>38520</v>
      </c>
      <c r="AA32" s="24">
        <f t="shared" si="0"/>
        <v>803495</v>
      </c>
      <c r="AB32" s="25">
        <v>5</v>
      </c>
      <c r="AC32" s="24">
        <f t="shared" si="1"/>
        <v>4017475</v>
      </c>
      <c r="AD32" s="60"/>
    </row>
    <row r="33" spans="1:30" x14ac:dyDescent="0.35">
      <c r="A33" s="57"/>
      <c r="B33" s="26" t="s">
        <v>45</v>
      </c>
      <c r="C33" s="23">
        <v>40438</v>
      </c>
      <c r="D33" s="23">
        <v>38364</v>
      </c>
      <c r="E33" s="23">
        <v>36721</v>
      </c>
      <c r="F33" s="23">
        <v>35501</v>
      </c>
      <c r="G33" s="23">
        <v>34677</v>
      </c>
      <c r="H33" s="23">
        <v>33300</v>
      </c>
      <c r="I33" s="23">
        <v>33726</v>
      </c>
      <c r="J33" s="23">
        <v>16119</v>
      </c>
      <c r="K33" s="23">
        <v>17385</v>
      </c>
      <c r="L33" s="23">
        <v>18980</v>
      </c>
      <c r="M33" s="23">
        <v>19819</v>
      </c>
      <c r="N33" s="23">
        <v>20444</v>
      </c>
      <c r="O33" s="23">
        <v>20890</v>
      </c>
      <c r="P33" s="23">
        <v>21166</v>
      </c>
      <c r="Q33" s="23">
        <v>21778</v>
      </c>
      <c r="R33" s="23">
        <v>22445</v>
      </c>
      <c r="S33" s="23">
        <v>22016</v>
      </c>
      <c r="T33" s="23">
        <v>36511</v>
      </c>
      <c r="U33" s="23">
        <v>38842</v>
      </c>
      <c r="V33" s="23">
        <v>41030</v>
      </c>
      <c r="W33" s="23">
        <v>41409</v>
      </c>
      <c r="X33" s="23">
        <v>41539</v>
      </c>
      <c r="Y33" s="23">
        <v>40224</v>
      </c>
      <c r="Z33" s="23">
        <v>38054</v>
      </c>
      <c r="AA33" s="24">
        <f t="shared" si="0"/>
        <v>731378</v>
      </c>
      <c r="AB33" s="25">
        <v>4</v>
      </c>
      <c r="AC33" s="24">
        <f t="shared" si="1"/>
        <v>2925512</v>
      </c>
      <c r="AD33" s="60"/>
    </row>
    <row r="34" spans="1:30" x14ac:dyDescent="0.35">
      <c r="A34" s="58"/>
      <c r="B34" s="27" t="s">
        <v>46</v>
      </c>
      <c r="C34" s="23">
        <v>37641</v>
      </c>
      <c r="D34" s="23">
        <v>35608</v>
      </c>
      <c r="E34" s="23">
        <v>34048</v>
      </c>
      <c r="F34" s="23">
        <v>33048</v>
      </c>
      <c r="G34" s="23">
        <v>32523</v>
      </c>
      <c r="H34" s="23">
        <v>31571</v>
      </c>
      <c r="I34" s="23">
        <v>32234</v>
      </c>
      <c r="J34" s="23">
        <v>15930</v>
      </c>
      <c r="K34" s="23">
        <v>17958</v>
      </c>
      <c r="L34" s="23">
        <v>19909</v>
      </c>
      <c r="M34" s="23">
        <v>21259</v>
      </c>
      <c r="N34" s="23">
        <v>21925</v>
      </c>
      <c r="O34" s="23">
        <v>21140</v>
      </c>
      <c r="P34" s="23">
        <v>21864</v>
      </c>
      <c r="Q34" s="23">
        <v>22704</v>
      </c>
      <c r="R34" s="23">
        <v>23013</v>
      </c>
      <c r="S34" s="23">
        <v>22090</v>
      </c>
      <c r="T34" s="23">
        <v>35066</v>
      </c>
      <c r="U34" s="23">
        <v>37701</v>
      </c>
      <c r="V34" s="23">
        <v>40323</v>
      </c>
      <c r="W34" s="23">
        <v>40348</v>
      </c>
      <c r="X34" s="23">
        <v>39803</v>
      </c>
      <c r="Y34" s="23">
        <v>37916</v>
      </c>
      <c r="Z34" s="23">
        <v>35289</v>
      </c>
      <c r="AA34" s="24">
        <f t="shared" si="0"/>
        <v>710911</v>
      </c>
      <c r="AB34" s="25">
        <v>2</v>
      </c>
      <c r="AC34" s="24">
        <f t="shared" si="1"/>
        <v>1421822</v>
      </c>
      <c r="AD34" s="61"/>
    </row>
    <row r="35" spans="1:30" x14ac:dyDescent="0.35">
      <c r="A35" s="56">
        <v>46600</v>
      </c>
      <c r="B35" s="22" t="s">
        <v>43</v>
      </c>
      <c r="C35" s="23">
        <v>41829</v>
      </c>
      <c r="D35" s="23">
        <v>39621</v>
      </c>
      <c r="E35" s="23">
        <v>37970</v>
      </c>
      <c r="F35" s="23">
        <v>36705</v>
      </c>
      <c r="G35" s="23">
        <v>36271</v>
      </c>
      <c r="H35" s="23">
        <v>36282</v>
      </c>
      <c r="I35" s="23">
        <v>37457</v>
      </c>
      <c r="J35" s="23">
        <v>23736</v>
      </c>
      <c r="K35" s="23">
        <v>27748</v>
      </c>
      <c r="L35" s="23">
        <v>30726</v>
      </c>
      <c r="M35" s="23">
        <v>33102</v>
      </c>
      <c r="N35" s="23">
        <v>33875</v>
      </c>
      <c r="O35" s="23">
        <v>30136</v>
      </c>
      <c r="P35" s="23">
        <v>34454</v>
      </c>
      <c r="Q35" s="23">
        <v>39087</v>
      </c>
      <c r="R35" s="23">
        <v>39420</v>
      </c>
      <c r="S35" s="23">
        <v>37832</v>
      </c>
      <c r="T35" s="23">
        <v>46063</v>
      </c>
      <c r="U35" s="23">
        <v>46064</v>
      </c>
      <c r="V35" s="23">
        <v>46525</v>
      </c>
      <c r="W35" s="23">
        <v>46662</v>
      </c>
      <c r="X35" s="23">
        <v>46193</v>
      </c>
      <c r="Y35" s="23">
        <v>43878</v>
      </c>
      <c r="Z35" s="23">
        <v>40952</v>
      </c>
      <c r="AA35" s="24">
        <f t="shared" si="0"/>
        <v>912588</v>
      </c>
      <c r="AB35" s="25">
        <v>21</v>
      </c>
      <c r="AC35" s="24">
        <f t="shared" si="1"/>
        <v>19164348</v>
      </c>
      <c r="AD35" s="59">
        <f>+SUM(AC35:AC38)</f>
        <v>27128008</v>
      </c>
    </row>
    <row r="36" spans="1:30" x14ac:dyDescent="0.35">
      <c r="A36" s="57"/>
      <c r="B36" s="26" t="s">
        <v>44</v>
      </c>
      <c r="C36" s="23">
        <v>44425</v>
      </c>
      <c r="D36" s="23">
        <v>42040</v>
      </c>
      <c r="E36" s="23">
        <v>40194</v>
      </c>
      <c r="F36" s="23">
        <v>38748</v>
      </c>
      <c r="G36" s="23">
        <v>38000</v>
      </c>
      <c r="H36" s="23">
        <v>37015</v>
      </c>
      <c r="I36" s="23">
        <v>38071</v>
      </c>
      <c r="J36" s="23">
        <v>24106</v>
      </c>
      <c r="K36" s="23">
        <v>27992</v>
      </c>
      <c r="L36" s="23">
        <v>31008</v>
      </c>
      <c r="M36" s="23">
        <v>32659</v>
      </c>
      <c r="N36" s="23">
        <v>33939</v>
      </c>
      <c r="O36" s="23">
        <v>31461</v>
      </c>
      <c r="P36" s="23">
        <v>32109</v>
      </c>
      <c r="Q36" s="23">
        <v>33624</v>
      </c>
      <c r="R36" s="23">
        <v>33539</v>
      </c>
      <c r="S36" s="23">
        <v>32189</v>
      </c>
      <c r="T36" s="23">
        <v>42883</v>
      </c>
      <c r="U36" s="23">
        <v>45058</v>
      </c>
      <c r="V36" s="23">
        <v>45317</v>
      </c>
      <c r="W36" s="23">
        <v>44332</v>
      </c>
      <c r="X36" s="23">
        <v>44146</v>
      </c>
      <c r="Y36" s="23">
        <v>43292</v>
      </c>
      <c r="Z36" s="23">
        <v>41561</v>
      </c>
      <c r="AA36" s="24">
        <f t="shared" si="0"/>
        <v>897708</v>
      </c>
      <c r="AB36" s="25">
        <v>3</v>
      </c>
      <c r="AC36" s="24">
        <f t="shared" si="1"/>
        <v>2693124</v>
      </c>
      <c r="AD36" s="60"/>
    </row>
    <row r="37" spans="1:30" x14ac:dyDescent="0.35">
      <c r="A37" s="57"/>
      <c r="B37" s="26" t="s">
        <v>45</v>
      </c>
      <c r="C37" s="23">
        <v>43077</v>
      </c>
      <c r="D37" s="23">
        <v>40870</v>
      </c>
      <c r="E37" s="23">
        <v>39102</v>
      </c>
      <c r="F37" s="23">
        <v>37716</v>
      </c>
      <c r="G37" s="23">
        <v>36669</v>
      </c>
      <c r="H37" s="23">
        <v>34852</v>
      </c>
      <c r="I37" s="23">
        <v>34855</v>
      </c>
      <c r="J37" s="23">
        <v>18003</v>
      </c>
      <c r="K37" s="23">
        <v>19035</v>
      </c>
      <c r="L37" s="23">
        <v>20074</v>
      </c>
      <c r="M37" s="23">
        <v>21233</v>
      </c>
      <c r="N37" s="23">
        <v>21496</v>
      </c>
      <c r="O37" s="23">
        <v>22064</v>
      </c>
      <c r="P37" s="23">
        <v>23186</v>
      </c>
      <c r="Q37" s="23">
        <v>23805</v>
      </c>
      <c r="R37" s="23">
        <v>24390</v>
      </c>
      <c r="S37" s="23">
        <v>23179</v>
      </c>
      <c r="T37" s="23">
        <v>36078</v>
      </c>
      <c r="U37" s="23">
        <v>39117</v>
      </c>
      <c r="V37" s="23">
        <v>40642</v>
      </c>
      <c r="W37" s="23">
        <v>41098</v>
      </c>
      <c r="X37" s="23">
        <v>41498</v>
      </c>
      <c r="Y37" s="23">
        <v>40255</v>
      </c>
      <c r="Z37" s="23">
        <v>38020</v>
      </c>
      <c r="AA37" s="24">
        <f t="shared" si="0"/>
        <v>760314</v>
      </c>
      <c r="AB37" s="25">
        <v>5</v>
      </c>
      <c r="AC37" s="24">
        <f t="shared" si="1"/>
        <v>3801570</v>
      </c>
      <c r="AD37" s="60"/>
    </row>
    <row r="38" spans="1:30" x14ac:dyDescent="0.35">
      <c r="A38" s="58"/>
      <c r="B38" s="27" t="s">
        <v>46</v>
      </c>
      <c r="C38" s="23">
        <v>37130</v>
      </c>
      <c r="D38" s="23">
        <v>35403</v>
      </c>
      <c r="E38" s="23">
        <v>33978</v>
      </c>
      <c r="F38" s="23">
        <v>33040</v>
      </c>
      <c r="G38" s="23">
        <v>32570</v>
      </c>
      <c r="H38" s="23">
        <v>31711</v>
      </c>
      <c r="I38" s="23">
        <v>32091</v>
      </c>
      <c r="J38" s="23">
        <v>15874</v>
      </c>
      <c r="K38" s="23">
        <v>17993</v>
      </c>
      <c r="L38" s="23">
        <v>20572</v>
      </c>
      <c r="M38" s="23">
        <v>22324</v>
      </c>
      <c r="N38" s="23">
        <v>23635</v>
      </c>
      <c r="O38" s="23">
        <v>23354</v>
      </c>
      <c r="P38" s="23">
        <v>23934</v>
      </c>
      <c r="Q38" s="23">
        <v>24862</v>
      </c>
      <c r="R38" s="23">
        <v>25368</v>
      </c>
      <c r="S38" s="23">
        <v>24299</v>
      </c>
      <c r="T38" s="23">
        <v>35894</v>
      </c>
      <c r="U38" s="23">
        <v>39115</v>
      </c>
      <c r="V38" s="23">
        <v>41133</v>
      </c>
      <c r="W38" s="23">
        <v>41269</v>
      </c>
      <c r="X38" s="23">
        <v>41764</v>
      </c>
      <c r="Y38" s="23">
        <v>40105</v>
      </c>
      <c r="Z38" s="23">
        <v>37065</v>
      </c>
      <c r="AA38" s="24">
        <f t="shared" si="0"/>
        <v>734483</v>
      </c>
      <c r="AB38" s="25">
        <v>2</v>
      </c>
      <c r="AC38" s="24">
        <f t="shared" si="1"/>
        <v>1468966</v>
      </c>
      <c r="AD38" s="61"/>
    </row>
    <row r="39" spans="1:30" x14ac:dyDescent="0.35">
      <c r="A39" s="56">
        <v>46631</v>
      </c>
      <c r="B39" s="22" t="s">
        <v>43</v>
      </c>
      <c r="C39" s="23">
        <v>43815</v>
      </c>
      <c r="D39" s="23">
        <v>41386</v>
      </c>
      <c r="E39" s="23">
        <v>39584</v>
      </c>
      <c r="F39" s="23">
        <v>38188</v>
      </c>
      <c r="G39" s="23">
        <v>37676</v>
      </c>
      <c r="H39" s="23">
        <v>37617</v>
      </c>
      <c r="I39" s="23">
        <v>39003</v>
      </c>
      <c r="J39" s="23">
        <v>25599</v>
      </c>
      <c r="K39" s="23">
        <v>29813</v>
      </c>
      <c r="L39" s="23">
        <v>32916</v>
      </c>
      <c r="M39" s="23">
        <v>35479</v>
      </c>
      <c r="N39" s="23">
        <v>36295</v>
      </c>
      <c r="O39" s="23">
        <v>32719</v>
      </c>
      <c r="P39" s="23">
        <v>37369</v>
      </c>
      <c r="Q39" s="23">
        <v>41718</v>
      </c>
      <c r="R39" s="23">
        <v>41904</v>
      </c>
      <c r="S39" s="23">
        <v>39872</v>
      </c>
      <c r="T39" s="23">
        <v>48256</v>
      </c>
      <c r="U39" s="23">
        <v>48784</v>
      </c>
      <c r="V39" s="23">
        <v>48083</v>
      </c>
      <c r="W39" s="23">
        <v>48086</v>
      </c>
      <c r="X39" s="23">
        <v>47611</v>
      </c>
      <c r="Y39" s="23">
        <v>45350</v>
      </c>
      <c r="Z39" s="23">
        <v>41998</v>
      </c>
      <c r="AA39" s="24">
        <f t="shared" si="0"/>
        <v>959121</v>
      </c>
      <c r="AB39" s="25">
        <v>22</v>
      </c>
      <c r="AC39" s="24">
        <f t="shared" si="1"/>
        <v>21100662</v>
      </c>
      <c r="AD39" s="59">
        <f>+SUM(AC39:AC42)</f>
        <v>28086126</v>
      </c>
    </row>
    <row r="40" spans="1:30" x14ac:dyDescent="0.35">
      <c r="A40" s="57"/>
      <c r="B40" s="26" t="s">
        <v>44</v>
      </c>
      <c r="C40" s="23">
        <v>44530</v>
      </c>
      <c r="D40" s="23">
        <v>42302</v>
      </c>
      <c r="E40" s="23">
        <v>40544</v>
      </c>
      <c r="F40" s="23">
        <v>39103</v>
      </c>
      <c r="G40" s="23">
        <v>38395</v>
      </c>
      <c r="H40" s="23">
        <v>37321</v>
      </c>
      <c r="I40" s="23">
        <v>38724</v>
      </c>
      <c r="J40" s="23">
        <v>25187</v>
      </c>
      <c r="K40" s="23">
        <v>29650</v>
      </c>
      <c r="L40" s="23">
        <v>32461</v>
      </c>
      <c r="M40" s="23">
        <v>34778</v>
      </c>
      <c r="N40" s="23">
        <v>35769</v>
      </c>
      <c r="O40" s="23">
        <v>33481</v>
      </c>
      <c r="P40" s="23">
        <v>34311</v>
      </c>
      <c r="Q40" s="23">
        <v>36031</v>
      </c>
      <c r="R40" s="23">
        <v>35911</v>
      </c>
      <c r="S40" s="23">
        <v>34133</v>
      </c>
      <c r="T40" s="23">
        <v>45340</v>
      </c>
      <c r="U40" s="23">
        <v>47773</v>
      </c>
      <c r="V40" s="23">
        <v>46907</v>
      </c>
      <c r="W40" s="23">
        <v>45644</v>
      </c>
      <c r="X40" s="23">
        <v>44864</v>
      </c>
      <c r="Y40" s="23">
        <v>43750</v>
      </c>
      <c r="Z40" s="23">
        <v>42013</v>
      </c>
      <c r="AA40" s="24">
        <f t="shared" si="0"/>
        <v>928922</v>
      </c>
      <c r="AB40" s="25">
        <v>4</v>
      </c>
      <c r="AC40" s="24">
        <f t="shared" si="1"/>
        <v>3715688</v>
      </c>
      <c r="AD40" s="60"/>
    </row>
    <row r="41" spans="1:30" x14ac:dyDescent="0.35">
      <c r="A41" s="57"/>
      <c r="B41" s="26" t="s">
        <v>45</v>
      </c>
      <c r="C41" s="23">
        <v>44049</v>
      </c>
      <c r="D41" s="23">
        <v>41932</v>
      </c>
      <c r="E41" s="23">
        <v>40314</v>
      </c>
      <c r="F41" s="23">
        <v>39009</v>
      </c>
      <c r="G41" s="23">
        <v>38065</v>
      </c>
      <c r="H41" s="23">
        <v>36730</v>
      </c>
      <c r="I41" s="23">
        <v>37111</v>
      </c>
      <c r="J41" s="23">
        <v>20159</v>
      </c>
      <c r="K41" s="23">
        <v>21166</v>
      </c>
      <c r="L41" s="23">
        <v>22239</v>
      </c>
      <c r="M41" s="23">
        <v>23613</v>
      </c>
      <c r="N41" s="23">
        <v>24819</v>
      </c>
      <c r="O41" s="23">
        <v>24693</v>
      </c>
      <c r="P41" s="23">
        <v>25515</v>
      </c>
      <c r="Q41" s="23">
        <v>26960</v>
      </c>
      <c r="R41" s="23">
        <v>27244</v>
      </c>
      <c r="S41" s="23">
        <v>26519</v>
      </c>
      <c r="T41" s="23">
        <v>39273</v>
      </c>
      <c r="U41" s="23">
        <v>42545</v>
      </c>
      <c r="V41" s="23">
        <v>43610</v>
      </c>
      <c r="W41" s="23">
        <v>44175</v>
      </c>
      <c r="X41" s="23">
        <v>44482</v>
      </c>
      <c r="Y41" s="23">
        <v>42932</v>
      </c>
      <c r="Z41" s="23">
        <v>40290</v>
      </c>
      <c r="AA41" s="24">
        <f t="shared" si="0"/>
        <v>817444</v>
      </c>
      <c r="AB41" s="25">
        <v>4</v>
      </c>
      <c r="AC41" s="24">
        <f t="shared" si="1"/>
        <v>3269776</v>
      </c>
      <c r="AD41" s="60"/>
    </row>
    <row r="42" spans="1:30" x14ac:dyDescent="0.35">
      <c r="A42" s="58"/>
      <c r="B42" s="27" t="s">
        <v>46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4"/>
      <c r="AB42" s="25">
        <v>0</v>
      </c>
      <c r="AC42" s="24">
        <f t="shared" si="1"/>
        <v>0</v>
      </c>
      <c r="AD42" s="61"/>
    </row>
    <row r="43" spans="1:30" x14ac:dyDescent="0.35">
      <c r="A43" s="56">
        <v>46661</v>
      </c>
      <c r="B43" s="22" t="s">
        <v>43</v>
      </c>
      <c r="C43" s="23">
        <v>41637</v>
      </c>
      <c r="D43" s="23">
        <v>39427</v>
      </c>
      <c r="E43" s="23">
        <v>37838</v>
      </c>
      <c r="F43" s="23">
        <v>36725</v>
      </c>
      <c r="G43" s="23">
        <v>36413</v>
      </c>
      <c r="H43" s="23">
        <v>36391</v>
      </c>
      <c r="I43" s="23">
        <v>37888</v>
      </c>
      <c r="J43" s="23">
        <v>24450</v>
      </c>
      <c r="K43" s="23">
        <v>29147</v>
      </c>
      <c r="L43" s="23">
        <v>32317</v>
      </c>
      <c r="M43" s="23">
        <v>35034</v>
      </c>
      <c r="N43" s="23">
        <v>36158</v>
      </c>
      <c r="O43" s="23">
        <v>32655</v>
      </c>
      <c r="P43" s="23">
        <v>36859</v>
      </c>
      <c r="Q43" s="23">
        <v>41256</v>
      </c>
      <c r="R43" s="23">
        <v>41192</v>
      </c>
      <c r="S43" s="23">
        <v>39279</v>
      </c>
      <c r="T43" s="23">
        <v>49042</v>
      </c>
      <c r="U43" s="23">
        <v>48788</v>
      </c>
      <c r="V43" s="23">
        <v>47264</v>
      </c>
      <c r="W43" s="23">
        <v>46418</v>
      </c>
      <c r="X43" s="23">
        <v>45359</v>
      </c>
      <c r="Y43" s="23">
        <v>42859</v>
      </c>
      <c r="Z43" s="23">
        <v>39743</v>
      </c>
      <c r="AA43" s="24">
        <f t="shared" si="0"/>
        <v>934139</v>
      </c>
      <c r="AB43" s="25">
        <v>20</v>
      </c>
      <c r="AC43" s="24">
        <f t="shared" si="1"/>
        <v>18682780</v>
      </c>
      <c r="AD43" s="59">
        <f>+SUM(AC43:AC46)</f>
        <v>27667080</v>
      </c>
    </row>
    <row r="44" spans="1:30" x14ac:dyDescent="0.35">
      <c r="A44" s="57"/>
      <c r="B44" s="26" t="s">
        <v>44</v>
      </c>
      <c r="C44" s="23">
        <v>40655</v>
      </c>
      <c r="D44" s="23">
        <v>38440</v>
      </c>
      <c r="E44" s="23">
        <v>36879</v>
      </c>
      <c r="F44" s="23">
        <v>35636</v>
      </c>
      <c r="G44" s="23">
        <v>35136</v>
      </c>
      <c r="H44" s="23">
        <v>34446</v>
      </c>
      <c r="I44" s="23">
        <v>35743</v>
      </c>
      <c r="J44" s="23">
        <v>21667</v>
      </c>
      <c r="K44" s="23">
        <v>26392</v>
      </c>
      <c r="L44" s="23">
        <v>29552</v>
      </c>
      <c r="M44" s="23">
        <v>31827</v>
      </c>
      <c r="N44" s="23">
        <v>32946</v>
      </c>
      <c r="O44" s="23">
        <v>31167</v>
      </c>
      <c r="P44" s="23">
        <v>31252</v>
      </c>
      <c r="Q44" s="23">
        <v>32590</v>
      </c>
      <c r="R44" s="23">
        <v>32282</v>
      </c>
      <c r="S44" s="23">
        <v>31049</v>
      </c>
      <c r="T44" s="23">
        <v>43316</v>
      </c>
      <c r="U44" s="23">
        <v>45150</v>
      </c>
      <c r="V44" s="23">
        <v>43930</v>
      </c>
      <c r="W44" s="23">
        <v>42817</v>
      </c>
      <c r="X44" s="23">
        <v>41566</v>
      </c>
      <c r="Y44" s="23">
        <v>40033</v>
      </c>
      <c r="Z44" s="23">
        <v>38070</v>
      </c>
      <c r="AA44" s="24">
        <f t="shared" si="0"/>
        <v>852541</v>
      </c>
      <c r="AB44" s="25">
        <v>5</v>
      </c>
      <c r="AC44" s="24">
        <f t="shared" si="1"/>
        <v>4262705</v>
      </c>
      <c r="AD44" s="60"/>
    </row>
    <row r="45" spans="1:30" x14ac:dyDescent="0.35">
      <c r="A45" s="57"/>
      <c r="B45" s="26" t="s">
        <v>45</v>
      </c>
      <c r="C45" s="23">
        <v>41618</v>
      </c>
      <c r="D45" s="23">
        <v>39590</v>
      </c>
      <c r="E45" s="23">
        <v>38030</v>
      </c>
      <c r="F45" s="23">
        <v>36712</v>
      </c>
      <c r="G45" s="23">
        <v>35844</v>
      </c>
      <c r="H45" s="23">
        <v>34578</v>
      </c>
      <c r="I45" s="23">
        <v>35082</v>
      </c>
      <c r="J45" s="23">
        <v>17924</v>
      </c>
      <c r="K45" s="23">
        <v>19254</v>
      </c>
      <c r="L45" s="23">
        <v>21115</v>
      </c>
      <c r="M45" s="23">
        <v>22295</v>
      </c>
      <c r="N45" s="23">
        <v>23694</v>
      </c>
      <c r="O45" s="23">
        <v>23974</v>
      </c>
      <c r="P45" s="23">
        <v>24325</v>
      </c>
      <c r="Q45" s="23">
        <v>25140</v>
      </c>
      <c r="R45" s="23">
        <v>25914</v>
      </c>
      <c r="S45" s="23">
        <v>25446</v>
      </c>
      <c r="T45" s="23">
        <v>39468</v>
      </c>
      <c r="U45" s="23">
        <v>42128</v>
      </c>
      <c r="V45" s="23">
        <v>42572</v>
      </c>
      <c r="W45" s="23">
        <v>42774</v>
      </c>
      <c r="X45" s="23">
        <v>42655</v>
      </c>
      <c r="Y45" s="23">
        <v>40915</v>
      </c>
      <c r="Z45" s="23">
        <v>38480</v>
      </c>
      <c r="AA45" s="24">
        <f t="shared" si="0"/>
        <v>779527</v>
      </c>
      <c r="AB45" s="25">
        <v>5</v>
      </c>
      <c r="AC45" s="24">
        <f t="shared" si="1"/>
        <v>3897635</v>
      </c>
      <c r="AD45" s="60"/>
    </row>
    <row r="46" spans="1:30" x14ac:dyDescent="0.35">
      <c r="A46" s="58"/>
      <c r="B46" s="27" t="s">
        <v>46</v>
      </c>
      <c r="C46" s="23">
        <v>41017</v>
      </c>
      <c r="D46" s="23">
        <v>38961</v>
      </c>
      <c r="E46" s="23">
        <v>37521</v>
      </c>
      <c r="F46" s="23">
        <v>36518</v>
      </c>
      <c r="G46" s="23">
        <v>36034</v>
      </c>
      <c r="H46" s="23">
        <v>34603</v>
      </c>
      <c r="I46" s="23">
        <v>35044</v>
      </c>
      <c r="J46" s="23">
        <v>19655</v>
      </c>
      <c r="K46" s="23">
        <v>22219</v>
      </c>
      <c r="L46" s="23">
        <v>24993</v>
      </c>
      <c r="M46" s="23">
        <v>26785</v>
      </c>
      <c r="N46" s="23">
        <v>27286</v>
      </c>
      <c r="O46" s="23">
        <v>27801</v>
      </c>
      <c r="P46" s="23">
        <v>28524</v>
      </c>
      <c r="Q46" s="23">
        <v>30021</v>
      </c>
      <c r="R46" s="23">
        <v>29735</v>
      </c>
      <c r="S46" s="23">
        <v>28741</v>
      </c>
      <c r="T46" s="23">
        <v>41763</v>
      </c>
      <c r="U46" s="23">
        <v>44150</v>
      </c>
      <c r="V46" s="23">
        <v>44594</v>
      </c>
      <c r="W46" s="23">
        <v>44556</v>
      </c>
      <c r="X46" s="23">
        <v>43692</v>
      </c>
      <c r="Y46" s="23">
        <v>41322</v>
      </c>
      <c r="Z46" s="23">
        <v>38425</v>
      </c>
      <c r="AA46" s="24">
        <f t="shared" si="0"/>
        <v>823960</v>
      </c>
      <c r="AB46" s="25">
        <v>1</v>
      </c>
      <c r="AC46" s="24">
        <f t="shared" si="1"/>
        <v>823960</v>
      </c>
      <c r="AD46" s="61"/>
    </row>
    <row r="47" spans="1:30" x14ac:dyDescent="0.35">
      <c r="A47" s="56">
        <v>46692</v>
      </c>
      <c r="B47" s="22" t="s">
        <v>43</v>
      </c>
      <c r="C47" s="23">
        <v>41280</v>
      </c>
      <c r="D47" s="23">
        <v>39128</v>
      </c>
      <c r="E47" s="23">
        <v>37621</v>
      </c>
      <c r="F47" s="23">
        <v>36646</v>
      </c>
      <c r="G47" s="23">
        <v>36552</v>
      </c>
      <c r="H47" s="23">
        <v>36909</v>
      </c>
      <c r="I47" s="23">
        <v>38904</v>
      </c>
      <c r="J47" s="23">
        <v>25654</v>
      </c>
      <c r="K47" s="23">
        <v>30206</v>
      </c>
      <c r="L47" s="23">
        <v>33148</v>
      </c>
      <c r="M47" s="23">
        <v>35729</v>
      </c>
      <c r="N47" s="23">
        <v>36833</v>
      </c>
      <c r="O47" s="23">
        <v>33224</v>
      </c>
      <c r="P47" s="23">
        <v>36799</v>
      </c>
      <c r="Q47" s="23">
        <v>40900</v>
      </c>
      <c r="R47" s="23">
        <v>41399</v>
      </c>
      <c r="S47" s="23">
        <v>39734</v>
      </c>
      <c r="T47" s="23">
        <v>50348</v>
      </c>
      <c r="U47" s="23">
        <v>50026</v>
      </c>
      <c r="V47" s="23">
        <v>48147</v>
      </c>
      <c r="W47" s="23">
        <v>47104</v>
      </c>
      <c r="X47" s="23">
        <v>45495</v>
      </c>
      <c r="Y47" s="23">
        <v>42756</v>
      </c>
      <c r="Z47" s="23">
        <v>39492</v>
      </c>
      <c r="AA47" s="24">
        <f t="shared" si="0"/>
        <v>944034</v>
      </c>
      <c r="AB47" s="25">
        <v>20</v>
      </c>
      <c r="AC47" s="24">
        <f t="shared" si="1"/>
        <v>18880680</v>
      </c>
      <c r="AD47" s="59">
        <f>+SUM(AC47:AC50)</f>
        <v>27316858</v>
      </c>
    </row>
    <row r="48" spans="1:30" x14ac:dyDescent="0.35">
      <c r="A48" s="57"/>
      <c r="B48" s="26" t="s">
        <v>44</v>
      </c>
      <c r="C48" s="23">
        <v>42009</v>
      </c>
      <c r="D48" s="23">
        <v>39859</v>
      </c>
      <c r="E48" s="23">
        <v>38300</v>
      </c>
      <c r="F48" s="23">
        <v>37101</v>
      </c>
      <c r="G48" s="23">
        <v>36621</v>
      </c>
      <c r="H48" s="23">
        <v>36097</v>
      </c>
      <c r="I48" s="23">
        <v>37591</v>
      </c>
      <c r="J48" s="23">
        <v>24029</v>
      </c>
      <c r="K48" s="23">
        <v>28944</v>
      </c>
      <c r="L48" s="23">
        <v>32377</v>
      </c>
      <c r="M48" s="23">
        <v>34323</v>
      </c>
      <c r="N48" s="23">
        <v>35325</v>
      </c>
      <c r="O48" s="23">
        <v>33035</v>
      </c>
      <c r="P48" s="23">
        <v>33025</v>
      </c>
      <c r="Q48" s="23">
        <v>34110</v>
      </c>
      <c r="R48" s="23">
        <v>33757</v>
      </c>
      <c r="S48" s="23">
        <v>32412</v>
      </c>
      <c r="T48" s="23">
        <v>45136</v>
      </c>
      <c r="U48" s="23">
        <v>46430</v>
      </c>
      <c r="V48" s="23">
        <v>45032</v>
      </c>
      <c r="W48" s="23">
        <v>43625</v>
      </c>
      <c r="X48" s="23">
        <v>41990</v>
      </c>
      <c r="Y48" s="23">
        <v>40418</v>
      </c>
      <c r="Z48" s="23">
        <v>38389</v>
      </c>
      <c r="AA48" s="24">
        <f t="shared" si="0"/>
        <v>889935</v>
      </c>
      <c r="AB48" s="25">
        <v>4</v>
      </c>
      <c r="AC48" s="24">
        <f t="shared" si="1"/>
        <v>3559740</v>
      </c>
      <c r="AD48" s="60"/>
    </row>
    <row r="49" spans="1:30" x14ac:dyDescent="0.35">
      <c r="A49" s="57"/>
      <c r="B49" s="26" t="s">
        <v>45</v>
      </c>
      <c r="C49" s="23">
        <v>41195</v>
      </c>
      <c r="D49" s="23">
        <v>39226</v>
      </c>
      <c r="E49" s="23">
        <v>37788</v>
      </c>
      <c r="F49" s="23">
        <v>36569</v>
      </c>
      <c r="G49" s="23">
        <v>35815</v>
      </c>
      <c r="H49" s="23">
        <v>34849</v>
      </c>
      <c r="I49" s="23">
        <v>35523</v>
      </c>
      <c r="J49" s="23">
        <v>19158</v>
      </c>
      <c r="K49" s="23">
        <v>21199</v>
      </c>
      <c r="L49" s="23">
        <v>23168</v>
      </c>
      <c r="M49" s="23">
        <v>24870</v>
      </c>
      <c r="N49" s="23">
        <v>25939</v>
      </c>
      <c r="O49" s="23">
        <v>26325</v>
      </c>
      <c r="P49" s="23">
        <v>26411</v>
      </c>
      <c r="Q49" s="23">
        <v>26949</v>
      </c>
      <c r="R49" s="23">
        <v>26842</v>
      </c>
      <c r="S49" s="23">
        <v>26240</v>
      </c>
      <c r="T49" s="23">
        <v>41013</v>
      </c>
      <c r="U49" s="23">
        <v>42988</v>
      </c>
      <c r="V49" s="23">
        <v>42987</v>
      </c>
      <c r="W49" s="23">
        <v>42504</v>
      </c>
      <c r="X49" s="23">
        <v>41852</v>
      </c>
      <c r="Y49" s="23">
        <v>40342</v>
      </c>
      <c r="Z49" s="23">
        <v>37974</v>
      </c>
      <c r="AA49" s="24">
        <f t="shared" si="0"/>
        <v>797726</v>
      </c>
      <c r="AB49" s="25">
        <v>4</v>
      </c>
      <c r="AC49" s="24">
        <f t="shared" si="1"/>
        <v>3190904</v>
      </c>
      <c r="AD49" s="60"/>
    </row>
    <row r="50" spans="1:30" x14ac:dyDescent="0.35">
      <c r="A50" s="58"/>
      <c r="B50" s="27" t="s">
        <v>46</v>
      </c>
      <c r="C50" s="23">
        <v>40636</v>
      </c>
      <c r="D50" s="23">
        <v>38542</v>
      </c>
      <c r="E50" s="23">
        <v>37082</v>
      </c>
      <c r="F50" s="23">
        <v>36051</v>
      </c>
      <c r="G50" s="23">
        <v>35657</v>
      </c>
      <c r="H50" s="23">
        <v>34809</v>
      </c>
      <c r="I50" s="23">
        <v>35502</v>
      </c>
      <c r="J50" s="23">
        <v>20229</v>
      </c>
      <c r="K50" s="23">
        <v>22984</v>
      </c>
      <c r="L50" s="23">
        <v>25935</v>
      </c>
      <c r="M50" s="23">
        <v>28229</v>
      </c>
      <c r="N50" s="23">
        <v>29670</v>
      </c>
      <c r="O50" s="23">
        <v>29409</v>
      </c>
      <c r="P50" s="23">
        <v>30430</v>
      </c>
      <c r="Q50" s="23">
        <v>31116</v>
      </c>
      <c r="R50" s="23">
        <v>30968</v>
      </c>
      <c r="S50" s="23">
        <v>30096</v>
      </c>
      <c r="T50" s="23">
        <v>44078</v>
      </c>
      <c r="U50" s="23">
        <v>46012</v>
      </c>
      <c r="V50" s="23">
        <v>45862</v>
      </c>
      <c r="W50" s="23">
        <v>45182</v>
      </c>
      <c r="X50" s="23">
        <v>43968</v>
      </c>
      <c r="Y50" s="23">
        <v>41551</v>
      </c>
      <c r="Z50" s="23">
        <v>38769</v>
      </c>
      <c r="AA50" s="24">
        <f t="shared" si="0"/>
        <v>842767</v>
      </c>
      <c r="AB50" s="25">
        <v>2</v>
      </c>
      <c r="AC50" s="24">
        <f t="shared" si="1"/>
        <v>1685534</v>
      </c>
      <c r="AD50" s="61"/>
    </row>
    <row r="51" spans="1:30" x14ac:dyDescent="0.35">
      <c r="A51" s="56">
        <v>46722</v>
      </c>
      <c r="B51" s="22" t="s">
        <v>43</v>
      </c>
      <c r="C51" s="23">
        <v>40196</v>
      </c>
      <c r="D51" s="23">
        <v>38089</v>
      </c>
      <c r="E51" s="23">
        <v>36629</v>
      </c>
      <c r="F51" s="23">
        <v>35559</v>
      </c>
      <c r="G51" s="23">
        <v>35212</v>
      </c>
      <c r="H51" s="23">
        <v>35255</v>
      </c>
      <c r="I51" s="23">
        <v>36335</v>
      </c>
      <c r="J51" s="23">
        <v>22424</v>
      </c>
      <c r="K51" s="23">
        <v>26558</v>
      </c>
      <c r="L51" s="23">
        <v>29509</v>
      </c>
      <c r="M51" s="23">
        <v>31772</v>
      </c>
      <c r="N51" s="23">
        <v>32889</v>
      </c>
      <c r="O51" s="23">
        <v>30230</v>
      </c>
      <c r="P51" s="23">
        <v>32450</v>
      </c>
      <c r="Q51" s="23">
        <v>36104</v>
      </c>
      <c r="R51" s="23">
        <v>36636</v>
      </c>
      <c r="S51" s="23">
        <v>35520</v>
      </c>
      <c r="T51" s="23">
        <v>46310</v>
      </c>
      <c r="U51" s="23">
        <v>47449</v>
      </c>
      <c r="V51" s="23">
        <v>45849</v>
      </c>
      <c r="W51" s="23">
        <v>44393</v>
      </c>
      <c r="X51" s="23">
        <v>43140</v>
      </c>
      <c r="Y51" s="23">
        <v>41222</v>
      </c>
      <c r="Z51" s="23">
        <v>38678</v>
      </c>
      <c r="AA51" s="24">
        <f t="shared" si="0"/>
        <v>878408</v>
      </c>
      <c r="AB51" s="25">
        <v>22</v>
      </c>
      <c r="AC51" s="24">
        <f t="shared" si="1"/>
        <v>19324976</v>
      </c>
      <c r="AD51" s="59">
        <f>+SUM(AC51:AC54)</f>
        <v>26335359</v>
      </c>
    </row>
    <row r="52" spans="1:30" x14ac:dyDescent="0.35">
      <c r="A52" s="57"/>
      <c r="B52" s="26" t="s">
        <v>44</v>
      </c>
      <c r="C52" s="23">
        <v>41190</v>
      </c>
      <c r="D52" s="23">
        <v>38910</v>
      </c>
      <c r="E52" s="23">
        <v>37266</v>
      </c>
      <c r="F52" s="23">
        <v>36034</v>
      </c>
      <c r="G52" s="23">
        <v>35450</v>
      </c>
      <c r="H52" s="23">
        <v>35268</v>
      </c>
      <c r="I52" s="23">
        <v>36051</v>
      </c>
      <c r="J52" s="23">
        <v>21152</v>
      </c>
      <c r="K52" s="23">
        <v>24995</v>
      </c>
      <c r="L52" s="23">
        <v>27697</v>
      </c>
      <c r="M52" s="23">
        <v>29793</v>
      </c>
      <c r="N52" s="23">
        <v>30813</v>
      </c>
      <c r="O52" s="23">
        <v>29758</v>
      </c>
      <c r="P52" s="23">
        <v>30213</v>
      </c>
      <c r="Q52" s="23">
        <v>31599</v>
      </c>
      <c r="R52" s="23">
        <v>31654</v>
      </c>
      <c r="S52" s="23">
        <v>30529</v>
      </c>
      <c r="T52" s="23">
        <v>43685</v>
      </c>
      <c r="U52" s="23">
        <v>46419</v>
      </c>
      <c r="V52" s="23">
        <v>45590</v>
      </c>
      <c r="W52" s="23">
        <v>43679</v>
      </c>
      <c r="X52" s="23">
        <v>41918</v>
      </c>
      <c r="Y52" s="23">
        <v>40335</v>
      </c>
      <c r="Z52" s="23">
        <v>38493</v>
      </c>
      <c r="AA52" s="24">
        <f t="shared" si="0"/>
        <v>848491</v>
      </c>
      <c r="AB52" s="25">
        <v>3</v>
      </c>
      <c r="AC52" s="24">
        <f t="shared" si="1"/>
        <v>2545473</v>
      </c>
      <c r="AD52" s="60"/>
    </row>
    <row r="53" spans="1:30" x14ac:dyDescent="0.35">
      <c r="A53" s="57"/>
      <c r="B53" s="26" t="s">
        <v>45</v>
      </c>
      <c r="C53" s="23">
        <v>41819</v>
      </c>
      <c r="D53" s="23">
        <v>39692</v>
      </c>
      <c r="E53" s="23">
        <v>38064</v>
      </c>
      <c r="F53" s="23">
        <v>36819</v>
      </c>
      <c r="G53" s="23">
        <v>36046</v>
      </c>
      <c r="H53" s="23">
        <v>34627</v>
      </c>
      <c r="I53" s="23">
        <v>34727</v>
      </c>
      <c r="J53" s="23">
        <v>17970</v>
      </c>
      <c r="K53" s="23">
        <v>19689</v>
      </c>
      <c r="L53" s="23">
        <v>21671</v>
      </c>
      <c r="M53" s="23">
        <v>23066</v>
      </c>
      <c r="N53" s="23">
        <v>24170</v>
      </c>
      <c r="O53" s="23">
        <v>24212</v>
      </c>
      <c r="P53" s="23">
        <v>24479</v>
      </c>
      <c r="Q53" s="23">
        <v>25407</v>
      </c>
      <c r="R53" s="23">
        <v>26344</v>
      </c>
      <c r="S53" s="23">
        <v>25909</v>
      </c>
      <c r="T53" s="23">
        <v>40428</v>
      </c>
      <c r="U53" s="23">
        <v>43751</v>
      </c>
      <c r="V53" s="23">
        <v>43326</v>
      </c>
      <c r="W53" s="23">
        <v>42110</v>
      </c>
      <c r="X53" s="23">
        <v>40708</v>
      </c>
      <c r="Y53" s="23">
        <v>38787</v>
      </c>
      <c r="Z53" s="23">
        <v>36708</v>
      </c>
      <c r="AA53" s="24">
        <f t="shared" si="0"/>
        <v>780529</v>
      </c>
      <c r="AB53" s="25">
        <v>4</v>
      </c>
      <c r="AC53" s="24">
        <f t="shared" si="1"/>
        <v>3122116</v>
      </c>
      <c r="AD53" s="60"/>
    </row>
    <row r="54" spans="1:30" x14ac:dyDescent="0.35">
      <c r="A54" s="58"/>
      <c r="B54" s="27" t="s">
        <v>46</v>
      </c>
      <c r="C54" s="23">
        <v>35323</v>
      </c>
      <c r="D54" s="23">
        <v>34161</v>
      </c>
      <c r="E54" s="23">
        <v>33242</v>
      </c>
      <c r="F54" s="23">
        <v>32345</v>
      </c>
      <c r="G54" s="23">
        <v>31775</v>
      </c>
      <c r="H54" s="23">
        <v>31164</v>
      </c>
      <c r="I54" s="23">
        <v>30997</v>
      </c>
      <c r="J54" s="23">
        <v>14157</v>
      </c>
      <c r="K54" s="23">
        <v>15515</v>
      </c>
      <c r="L54" s="23">
        <v>17342</v>
      </c>
      <c r="M54" s="23">
        <v>18616</v>
      </c>
      <c r="N54" s="23">
        <v>19431</v>
      </c>
      <c r="O54" s="23">
        <v>19738</v>
      </c>
      <c r="P54" s="23">
        <v>20201</v>
      </c>
      <c r="Q54" s="23">
        <v>20707</v>
      </c>
      <c r="R54" s="23">
        <v>20948</v>
      </c>
      <c r="S54" s="23">
        <v>20587</v>
      </c>
      <c r="T54" s="23">
        <v>34798</v>
      </c>
      <c r="U54" s="23">
        <v>38128</v>
      </c>
      <c r="V54" s="23">
        <v>38485</v>
      </c>
      <c r="W54" s="23">
        <v>37749</v>
      </c>
      <c r="X54" s="23">
        <v>36973</v>
      </c>
      <c r="Y54" s="23">
        <v>35588</v>
      </c>
      <c r="Z54" s="23">
        <v>33427</v>
      </c>
      <c r="AA54" s="24">
        <f t="shared" si="0"/>
        <v>671397</v>
      </c>
      <c r="AB54" s="25">
        <v>2</v>
      </c>
      <c r="AC54" s="24">
        <f t="shared" si="1"/>
        <v>1342794</v>
      </c>
      <c r="AD54" s="61"/>
    </row>
    <row r="55" spans="1:30" x14ac:dyDescent="0.35">
      <c r="AD55" s="46">
        <f>SUM(AD7:AD51)</f>
        <v>328292625</v>
      </c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7:Z5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D3BE-2344-4CF8-A6A2-7E222511A6FE}">
  <dimension ref="C1:I22"/>
  <sheetViews>
    <sheetView showGridLines="0" workbookViewId="0">
      <selection activeCell="C1" sqref="C1:G18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55" t="s">
        <v>47</v>
      </c>
      <c r="D1" s="55"/>
      <c r="E1" s="55"/>
      <c r="F1" s="55"/>
      <c r="G1" s="55"/>
    </row>
    <row r="2" spans="3:7" x14ac:dyDescent="0.35">
      <c r="C2" s="55"/>
      <c r="D2" s="55"/>
      <c r="E2" s="55"/>
      <c r="F2" s="55"/>
      <c r="G2" s="55"/>
    </row>
    <row r="3" spans="3:7" ht="15" thickBot="1" x14ac:dyDescent="0.4"/>
    <row r="4" spans="3:7" ht="15" thickBot="1" x14ac:dyDescent="0.4">
      <c r="C4" s="76" t="s">
        <v>11</v>
      </c>
      <c r="D4" s="77"/>
      <c r="E4" s="77"/>
      <c r="F4" s="77"/>
      <c r="G4" s="78"/>
    </row>
    <row r="5" spans="3:7" ht="32" thickBot="1" x14ac:dyDescent="0.4">
      <c r="C5" s="43" t="s">
        <v>1</v>
      </c>
      <c r="D5" s="43" t="s">
        <v>8</v>
      </c>
      <c r="E5" s="43" t="s">
        <v>3</v>
      </c>
      <c r="F5" s="43" t="s">
        <v>9</v>
      </c>
      <c r="G5" s="43" t="s">
        <v>5</v>
      </c>
    </row>
    <row r="6" spans="3:7" x14ac:dyDescent="0.35">
      <c r="C6" s="8">
        <v>46753</v>
      </c>
      <c r="D6" s="9">
        <f>+VLOOKUP(C6,'CURVA P4'!$A$4:$AD$55,30,FALSE)</f>
        <v>5794097</v>
      </c>
      <c r="E6" s="71" t="s">
        <v>3</v>
      </c>
      <c r="F6" s="3"/>
      <c r="G6" s="52" t="s">
        <v>6</v>
      </c>
    </row>
    <row r="7" spans="3:7" x14ac:dyDescent="0.35">
      <c r="C7" s="8">
        <v>46784</v>
      </c>
      <c r="D7" s="9">
        <f>+VLOOKUP(C7,'CURVA P4'!$A$4:$AD$55,30,FALSE)</f>
        <v>5931416</v>
      </c>
      <c r="E7" s="50"/>
      <c r="F7" s="3"/>
      <c r="G7" s="53"/>
    </row>
    <row r="8" spans="3:7" x14ac:dyDescent="0.35">
      <c r="C8" s="8">
        <v>46813</v>
      </c>
      <c r="D8" s="9">
        <f>+VLOOKUP(C8,'CURVA P4'!$A$4:$AD$55,30,FALSE)</f>
        <v>5682804</v>
      </c>
      <c r="E8" s="50"/>
      <c r="F8" s="3"/>
      <c r="G8" s="53"/>
    </row>
    <row r="9" spans="3:7" x14ac:dyDescent="0.35">
      <c r="C9" s="8">
        <v>46844</v>
      </c>
      <c r="D9" s="9">
        <f>+VLOOKUP(C9,'CURVA P4'!$A$4:$AD$55,30,FALSE)</f>
        <v>6148462</v>
      </c>
      <c r="E9" s="50"/>
      <c r="F9" s="3"/>
      <c r="G9" s="53"/>
    </row>
    <row r="10" spans="3:7" x14ac:dyDescent="0.35">
      <c r="C10" s="8">
        <v>46874</v>
      </c>
      <c r="D10" s="9">
        <f>+VLOOKUP(C10,'CURVA P4'!$A$4:$AD$55,30,FALSE)</f>
        <v>6166980</v>
      </c>
      <c r="E10" s="50"/>
      <c r="F10" s="3"/>
      <c r="G10" s="53"/>
    </row>
    <row r="11" spans="3:7" x14ac:dyDescent="0.35">
      <c r="C11" s="8">
        <v>46905</v>
      </c>
      <c r="D11" s="9">
        <f>+VLOOKUP(C11,'CURVA P4'!$A$4:$AD$55,30,FALSE)</f>
        <v>6227362</v>
      </c>
      <c r="E11" s="50"/>
      <c r="F11" s="3"/>
      <c r="G11" s="53"/>
    </row>
    <row r="12" spans="3:7" x14ac:dyDescent="0.35">
      <c r="C12" s="8">
        <v>46935</v>
      </c>
      <c r="D12" s="9">
        <f>+VLOOKUP(C12,'CURVA P4'!$A$4:$AD$55,30,FALSE)</f>
        <v>5905820</v>
      </c>
      <c r="E12" s="50"/>
      <c r="F12" s="3"/>
      <c r="G12" s="53"/>
    </row>
    <row r="13" spans="3:7" x14ac:dyDescent="0.35">
      <c r="C13" s="8">
        <v>46966</v>
      </c>
      <c r="D13" s="9">
        <f>+VLOOKUP(C13,'CURVA P4'!$A$4:$AD$55,30,FALSE)</f>
        <v>6338427</v>
      </c>
      <c r="E13" s="50"/>
      <c r="F13" s="3"/>
      <c r="G13" s="53"/>
    </row>
    <row r="14" spans="3:7" x14ac:dyDescent="0.35">
      <c r="C14" s="8">
        <v>46997</v>
      </c>
      <c r="D14" s="9">
        <f>+VLOOKUP(C14,'CURVA P4'!$A$4:$AD$55,30,FALSE)</f>
        <v>6725972</v>
      </c>
      <c r="E14" s="50"/>
      <c r="F14" s="3"/>
      <c r="G14" s="53"/>
    </row>
    <row r="15" spans="3:7" x14ac:dyDescent="0.35">
      <c r="C15" s="8">
        <v>47027</v>
      </c>
      <c r="D15" s="9">
        <f>+VLOOKUP(C15,'CURVA P4'!$A$4:$AD$55,30,FALSE)</f>
        <v>6598849</v>
      </c>
      <c r="E15" s="50"/>
      <c r="F15" s="3"/>
      <c r="G15" s="53"/>
    </row>
    <row r="16" spans="3:7" x14ac:dyDescent="0.35">
      <c r="C16" s="8">
        <v>47058</v>
      </c>
      <c r="D16" s="9">
        <f>+VLOOKUP(C16,'CURVA P4'!$A$4:$AD$55,30,FALSE)</f>
        <v>6537352</v>
      </c>
      <c r="E16" s="50"/>
      <c r="F16" s="3"/>
      <c r="G16" s="53"/>
    </row>
    <row r="17" spans="3:9" ht="15" thickBot="1" x14ac:dyDescent="0.4">
      <c r="C17" s="8">
        <v>47088</v>
      </c>
      <c r="D17" s="11">
        <f>+VLOOKUP(C17,'CURVA P4'!$A$4:$AD$55,30,FALSE)</f>
        <v>6255105</v>
      </c>
      <c r="E17" s="51"/>
      <c r="F17" s="12"/>
      <c r="G17" s="54"/>
    </row>
    <row r="18" spans="3:9" ht="15" thickBot="1" x14ac:dyDescent="0.4">
      <c r="D18" s="16">
        <f>SUM(D6:D17)</f>
        <v>74312646</v>
      </c>
    </row>
    <row r="19" spans="3:9" x14ac:dyDescent="0.35">
      <c r="D19" s="41"/>
      <c r="I19" s="42"/>
    </row>
    <row r="20" spans="3:9" x14ac:dyDescent="0.35">
      <c r="D20" s="41"/>
      <c r="I20" s="42"/>
    </row>
    <row r="21" spans="3:9" x14ac:dyDescent="0.35">
      <c r="I21" s="42"/>
    </row>
    <row r="22" spans="3:9" x14ac:dyDescent="0.35">
      <c r="I22" s="17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ignoredErrors>
    <ignoredError sqref="D6:D17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906C-A357-40EB-8F46-CB28082B8AD3}">
  <dimension ref="A1:AD58"/>
  <sheetViews>
    <sheetView showGridLines="0" topLeftCell="A41" zoomScaleNormal="100" workbookViewId="0">
      <selection activeCell="C1" sqref="C1:G18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85" t="s">
        <v>12</v>
      </c>
      <c r="B1" s="85"/>
      <c r="C1" s="85"/>
      <c r="D1" s="85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x14ac:dyDescent="0.35">
      <c r="A2" s="86" t="s">
        <v>47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x14ac:dyDescent="0.3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x14ac:dyDescent="0.35">
      <c r="A4" s="72" t="s">
        <v>13</v>
      </c>
      <c r="B4" s="72"/>
      <c r="C4" s="66">
        <f>+AD55</f>
        <v>74312646</v>
      </c>
      <c r="D4" s="6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 x14ac:dyDescent="0.35">
      <c r="A5" s="18" t="s">
        <v>1</v>
      </c>
      <c r="B5" s="19" t="s">
        <v>14</v>
      </c>
      <c r="C5" s="18" t="s">
        <v>15</v>
      </c>
      <c r="D5" s="18" t="s">
        <v>16</v>
      </c>
      <c r="E5" s="18" t="s">
        <v>17</v>
      </c>
      <c r="F5" s="18" t="s">
        <v>18</v>
      </c>
      <c r="G5" s="18" t="s">
        <v>19</v>
      </c>
      <c r="H5" s="18" t="s">
        <v>20</v>
      </c>
      <c r="I5" s="18" t="s">
        <v>21</v>
      </c>
      <c r="J5" s="18" t="s">
        <v>22</v>
      </c>
      <c r="K5" s="18" t="s">
        <v>23</v>
      </c>
      <c r="L5" s="18" t="s">
        <v>24</v>
      </c>
      <c r="M5" s="18" t="s">
        <v>25</v>
      </c>
      <c r="N5" s="18" t="s">
        <v>26</v>
      </c>
      <c r="O5" s="18" t="s">
        <v>27</v>
      </c>
      <c r="P5" s="18" t="s">
        <v>28</v>
      </c>
      <c r="Q5" s="18" t="s">
        <v>29</v>
      </c>
      <c r="R5" s="18" t="s">
        <v>30</v>
      </c>
      <c r="S5" s="18" t="s">
        <v>31</v>
      </c>
      <c r="T5" s="18" t="s">
        <v>32</v>
      </c>
      <c r="U5" s="18" t="s">
        <v>33</v>
      </c>
      <c r="V5" s="18" t="s">
        <v>34</v>
      </c>
      <c r="W5" s="18" t="s">
        <v>35</v>
      </c>
      <c r="X5" s="18" t="s">
        <v>36</v>
      </c>
      <c r="Y5" s="18" t="s">
        <v>37</v>
      </c>
      <c r="Z5" s="18" t="s">
        <v>38</v>
      </c>
      <c r="AA5" s="18" t="s">
        <v>39</v>
      </c>
      <c r="AB5" s="18" t="s">
        <v>40</v>
      </c>
      <c r="AC5" s="18" t="s">
        <v>41</v>
      </c>
      <c r="AD5" s="18" t="s">
        <v>42</v>
      </c>
    </row>
    <row r="6" spans="1:30" hidden="1" x14ac:dyDescent="0.35">
      <c r="A6" s="31"/>
      <c r="B6" s="32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x14ac:dyDescent="0.35">
      <c r="A7" s="79">
        <v>46753</v>
      </c>
      <c r="B7" s="33" t="s">
        <v>43</v>
      </c>
      <c r="C7" s="34">
        <v>9740</v>
      </c>
      <c r="D7" s="34">
        <v>9284</v>
      </c>
      <c r="E7" s="34">
        <v>8882</v>
      </c>
      <c r="F7" s="34">
        <v>8571</v>
      </c>
      <c r="G7" s="34">
        <v>8456</v>
      </c>
      <c r="H7" s="34">
        <v>8574</v>
      </c>
      <c r="I7" s="34">
        <v>2275</v>
      </c>
      <c r="J7" s="34">
        <v>3168</v>
      </c>
      <c r="K7" s="34">
        <v>2531</v>
      </c>
      <c r="L7" s="34">
        <v>2765</v>
      </c>
      <c r="M7" s="34">
        <v>3212</v>
      </c>
      <c r="N7" s="34">
        <v>3247</v>
      </c>
      <c r="O7" s="34">
        <v>2889</v>
      </c>
      <c r="P7" s="34">
        <v>4396</v>
      </c>
      <c r="Q7" s="34">
        <v>6826</v>
      </c>
      <c r="R7" s="34">
        <v>8522</v>
      </c>
      <c r="S7" s="34">
        <v>15387</v>
      </c>
      <c r="T7" s="34">
        <v>12795</v>
      </c>
      <c r="U7" s="34">
        <v>13186</v>
      </c>
      <c r="V7" s="34">
        <v>13025</v>
      </c>
      <c r="W7" s="34">
        <v>12880</v>
      </c>
      <c r="X7" s="34">
        <v>12636</v>
      </c>
      <c r="Y7" s="34">
        <v>12023</v>
      </c>
      <c r="Z7" s="34">
        <v>11182</v>
      </c>
      <c r="AA7" s="34">
        <f>SUM(C7:Z7)</f>
        <v>196452</v>
      </c>
      <c r="AB7" s="35">
        <v>20</v>
      </c>
      <c r="AC7" s="34">
        <f>+AA7*AB7</f>
        <v>3929040</v>
      </c>
      <c r="AD7" s="82">
        <f>+SUM(AC7:AC10)</f>
        <v>5794097</v>
      </c>
    </row>
    <row r="8" spans="1:30" x14ac:dyDescent="0.35">
      <c r="A8" s="80"/>
      <c r="B8" s="36" t="s">
        <v>44</v>
      </c>
      <c r="C8" s="34">
        <v>9869</v>
      </c>
      <c r="D8" s="34">
        <v>9350</v>
      </c>
      <c r="E8" s="34">
        <v>8900</v>
      </c>
      <c r="F8" s="34">
        <v>8577</v>
      </c>
      <c r="G8" s="34">
        <v>8415</v>
      </c>
      <c r="H8" s="34">
        <v>8430</v>
      </c>
      <c r="I8" s="34">
        <v>2047</v>
      </c>
      <c r="J8" s="34">
        <v>2832</v>
      </c>
      <c r="K8" s="34">
        <v>2271</v>
      </c>
      <c r="L8" s="34">
        <v>2493</v>
      </c>
      <c r="M8" s="34">
        <v>2843</v>
      </c>
      <c r="N8" s="34">
        <v>2751</v>
      </c>
      <c r="O8" s="34">
        <v>2659</v>
      </c>
      <c r="P8" s="34">
        <v>3401</v>
      </c>
      <c r="Q8" s="34">
        <v>5102</v>
      </c>
      <c r="R8" s="34">
        <v>6651</v>
      </c>
      <c r="S8" s="34">
        <v>13529</v>
      </c>
      <c r="T8" s="34">
        <v>11821</v>
      </c>
      <c r="U8" s="34">
        <v>12662</v>
      </c>
      <c r="V8" s="34">
        <v>12556</v>
      </c>
      <c r="W8" s="34">
        <v>12238</v>
      </c>
      <c r="X8" s="34">
        <v>11948</v>
      </c>
      <c r="Y8" s="34">
        <v>11555</v>
      </c>
      <c r="Z8" s="34">
        <v>10949</v>
      </c>
      <c r="AA8" s="34">
        <f t="shared" ref="AA8:AA54" si="0">SUM(C8:Z8)</f>
        <v>183849</v>
      </c>
      <c r="AB8" s="35">
        <v>4</v>
      </c>
      <c r="AC8" s="34">
        <f t="shared" ref="AC8:AC54" si="1">+AA8*AB8</f>
        <v>735396</v>
      </c>
      <c r="AD8" s="83"/>
    </row>
    <row r="9" spans="1:30" x14ac:dyDescent="0.35">
      <c r="A9" s="80"/>
      <c r="B9" s="36" t="s">
        <v>45</v>
      </c>
      <c r="C9" s="34">
        <v>9713</v>
      </c>
      <c r="D9" s="34">
        <v>9236</v>
      </c>
      <c r="E9" s="34">
        <v>8805</v>
      </c>
      <c r="F9" s="34">
        <v>8469</v>
      </c>
      <c r="G9" s="34">
        <v>8272</v>
      </c>
      <c r="H9" s="34">
        <v>8149</v>
      </c>
      <c r="I9" s="34">
        <v>1600</v>
      </c>
      <c r="J9" s="34">
        <v>1525</v>
      </c>
      <c r="K9" s="34">
        <v>127</v>
      </c>
      <c r="L9" s="34">
        <v>3</v>
      </c>
      <c r="M9" s="34">
        <v>32</v>
      </c>
      <c r="N9" s="34">
        <v>491</v>
      </c>
      <c r="O9" s="34">
        <v>461</v>
      </c>
      <c r="P9" s="34">
        <v>1113</v>
      </c>
      <c r="Q9" s="34">
        <v>2572</v>
      </c>
      <c r="R9" s="34">
        <v>4251</v>
      </c>
      <c r="S9" s="34">
        <v>11394</v>
      </c>
      <c r="T9" s="34">
        <v>10444</v>
      </c>
      <c r="U9" s="34">
        <v>11458</v>
      </c>
      <c r="V9" s="34">
        <v>11771</v>
      </c>
      <c r="W9" s="34">
        <v>11790</v>
      </c>
      <c r="X9" s="34">
        <v>11702</v>
      </c>
      <c r="Y9" s="34">
        <v>11238</v>
      </c>
      <c r="Z9" s="34">
        <v>10501</v>
      </c>
      <c r="AA9" s="34">
        <f t="shared" si="0"/>
        <v>155117</v>
      </c>
      <c r="AB9" s="35">
        <v>5</v>
      </c>
      <c r="AC9" s="34">
        <f t="shared" si="1"/>
        <v>775585</v>
      </c>
      <c r="AD9" s="83"/>
    </row>
    <row r="10" spans="1:30" x14ac:dyDescent="0.35">
      <c r="A10" s="81"/>
      <c r="B10" s="37" t="s">
        <v>46</v>
      </c>
      <c r="C10" s="34">
        <v>7676</v>
      </c>
      <c r="D10" s="34">
        <v>7449</v>
      </c>
      <c r="E10" s="34">
        <v>7255</v>
      </c>
      <c r="F10" s="34">
        <v>7054</v>
      </c>
      <c r="G10" s="34">
        <v>6952</v>
      </c>
      <c r="H10" s="34">
        <v>6863</v>
      </c>
      <c r="I10" s="34">
        <v>282</v>
      </c>
      <c r="J10" s="34">
        <v>63</v>
      </c>
      <c r="K10" s="34">
        <v>9822</v>
      </c>
      <c r="L10" s="34">
        <v>10808</v>
      </c>
      <c r="M10" s="34">
        <v>10024</v>
      </c>
      <c r="N10" s="34">
        <v>10744</v>
      </c>
      <c r="O10" s="34">
        <v>7354</v>
      </c>
      <c r="P10" s="34">
        <v>2996</v>
      </c>
      <c r="Q10" s="34">
        <v>919</v>
      </c>
      <c r="R10" s="34">
        <v>2520</v>
      </c>
      <c r="S10" s="34">
        <v>9601</v>
      </c>
      <c r="T10" s="34">
        <v>9061</v>
      </c>
      <c r="U10" s="34">
        <v>10209</v>
      </c>
      <c r="V10" s="34">
        <v>10417</v>
      </c>
      <c r="W10" s="34">
        <v>10299</v>
      </c>
      <c r="X10" s="34">
        <v>10051</v>
      </c>
      <c r="Y10" s="34">
        <v>9599</v>
      </c>
      <c r="Z10" s="34">
        <v>9020</v>
      </c>
      <c r="AA10" s="34">
        <f t="shared" si="0"/>
        <v>177038</v>
      </c>
      <c r="AB10" s="35">
        <v>2</v>
      </c>
      <c r="AC10" s="34">
        <f t="shared" si="1"/>
        <v>354076</v>
      </c>
      <c r="AD10" s="84"/>
    </row>
    <row r="11" spans="1:30" x14ac:dyDescent="0.35">
      <c r="A11" s="79">
        <v>46784</v>
      </c>
      <c r="B11" s="33" t="s">
        <v>43</v>
      </c>
      <c r="C11" s="34">
        <v>10223</v>
      </c>
      <c r="D11" s="34">
        <v>9657</v>
      </c>
      <c r="E11" s="34">
        <v>9246</v>
      </c>
      <c r="F11" s="34">
        <v>8970</v>
      </c>
      <c r="G11" s="34">
        <v>8947</v>
      </c>
      <c r="H11" s="34">
        <v>9376</v>
      </c>
      <c r="I11" s="34">
        <v>3272</v>
      </c>
      <c r="J11" s="34">
        <v>4460</v>
      </c>
      <c r="K11" s="34">
        <v>3712</v>
      </c>
      <c r="L11" s="34">
        <v>3850</v>
      </c>
      <c r="M11" s="34">
        <v>4289</v>
      </c>
      <c r="N11" s="34">
        <v>3952</v>
      </c>
      <c r="O11" s="34">
        <v>3161</v>
      </c>
      <c r="P11" s="34">
        <v>5125</v>
      </c>
      <c r="Q11" s="34">
        <v>7870</v>
      </c>
      <c r="R11" s="34">
        <v>9682</v>
      </c>
      <c r="S11" s="34">
        <v>16553</v>
      </c>
      <c r="T11" s="34">
        <v>13533</v>
      </c>
      <c r="U11" s="34">
        <v>13682</v>
      </c>
      <c r="V11" s="34">
        <v>13641</v>
      </c>
      <c r="W11" s="34">
        <v>13558</v>
      </c>
      <c r="X11" s="34">
        <v>13209</v>
      </c>
      <c r="Y11" s="34">
        <v>12391</v>
      </c>
      <c r="Z11" s="34">
        <v>11417</v>
      </c>
      <c r="AA11" s="34">
        <f t="shared" si="0"/>
        <v>213776</v>
      </c>
      <c r="AB11" s="35">
        <v>21</v>
      </c>
      <c r="AC11" s="34">
        <f t="shared" si="1"/>
        <v>4489296</v>
      </c>
      <c r="AD11" s="82">
        <f>+SUM(AC11:AC14)</f>
        <v>5931416</v>
      </c>
    </row>
    <row r="12" spans="1:30" x14ac:dyDescent="0.35">
      <c r="A12" s="80"/>
      <c r="B12" s="36" t="s">
        <v>44</v>
      </c>
      <c r="C12" s="34">
        <v>9684</v>
      </c>
      <c r="D12" s="34">
        <v>9183</v>
      </c>
      <c r="E12" s="34">
        <v>8801</v>
      </c>
      <c r="F12" s="34">
        <v>8560</v>
      </c>
      <c r="G12" s="34">
        <v>8476</v>
      </c>
      <c r="H12" s="34">
        <v>8619</v>
      </c>
      <c r="I12" s="34">
        <v>2439</v>
      </c>
      <c r="J12" s="34">
        <v>3553</v>
      </c>
      <c r="K12" s="34">
        <v>2985</v>
      </c>
      <c r="L12" s="34">
        <v>3163</v>
      </c>
      <c r="M12" s="34">
        <v>3471</v>
      </c>
      <c r="N12" s="34">
        <v>3286</v>
      </c>
      <c r="O12" s="34">
        <v>2964</v>
      </c>
      <c r="P12" s="34">
        <v>3612</v>
      </c>
      <c r="Q12" s="34">
        <v>5381</v>
      </c>
      <c r="R12" s="34">
        <v>7024</v>
      </c>
      <c r="S12" s="34">
        <v>13931</v>
      </c>
      <c r="T12" s="34">
        <v>12048</v>
      </c>
      <c r="U12" s="34">
        <v>12805</v>
      </c>
      <c r="V12" s="34">
        <v>12868</v>
      </c>
      <c r="W12" s="34">
        <v>12584</v>
      </c>
      <c r="X12" s="34">
        <v>12281</v>
      </c>
      <c r="Y12" s="34">
        <v>11860</v>
      </c>
      <c r="Z12" s="34">
        <v>11216</v>
      </c>
      <c r="AA12" s="34">
        <f t="shared" si="0"/>
        <v>190794</v>
      </c>
      <c r="AB12" s="35">
        <v>4</v>
      </c>
      <c r="AC12" s="34">
        <f t="shared" si="1"/>
        <v>763176</v>
      </c>
      <c r="AD12" s="83"/>
    </row>
    <row r="13" spans="1:30" x14ac:dyDescent="0.35">
      <c r="A13" s="80"/>
      <c r="B13" s="36" t="s">
        <v>45</v>
      </c>
      <c r="C13" s="34">
        <v>10015</v>
      </c>
      <c r="D13" s="34">
        <v>9455</v>
      </c>
      <c r="E13" s="34">
        <v>9050</v>
      </c>
      <c r="F13" s="34">
        <v>8715</v>
      </c>
      <c r="G13" s="34">
        <v>8539</v>
      </c>
      <c r="H13" s="34">
        <v>8454</v>
      </c>
      <c r="I13" s="34">
        <v>1971</v>
      </c>
      <c r="J13" s="34">
        <v>2081</v>
      </c>
      <c r="K13" s="34">
        <v>601</v>
      </c>
      <c r="L13" s="34">
        <v>553</v>
      </c>
      <c r="M13" s="34">
        <v>651</v>
      </c>
      <c r="N13" s="34">
        <v>625</v>
      </c>
      <c r="O13" s="34">
        <v>1166</v>
      </c>
      <c r="P13" s="34">
        <v>1769</v>
      </c>
      <c r="Q13" s="34">
        <v>3347</v>
      </c>
      <c r="R13" s="34">
        <v>5179</v>
      </c>
      <c r="S13" s="34">
        <v>12426</v>
      </c>
      <c r="T13" s="34">
        <v>11200</v>
      </c>
      <c r="U13" s="34">
        <v>12154</v>
      </c>
      <c r="V13" s="34">
        <v>12665</v>
      </c>
      <c r="W13" s="34">
        <v>12812</v>
      </c>
      <c r="X13" s="34">
        <v>12788</v>
      </c>
      <c r="Y13" s="34">
        <v>12204</v>
      </c>
      <c r="Z13" s="34">
        <v>11316</v>
      </c>
      <c r="AA13" s="34">
        <f t="shared" si="0"/>
        <v>169736</v>
      </c>
      <c r="AB13" s="35">
        <v>4</v>
      </c>
      <c r="AC13" s="34">
        <f t="shared" si="1"/>
        <v>678944</v>
      </c>
      <c r="AD13" s="83"/>
    </row>
    <row r="14" spans="1:30" x14ac:dyDescent="0.35">
      <c r="A14" s="81"/>
      <c r="B14" s="37" t="s">
        <v>46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f t="shared" si="0"/>
        <v>0</v>
      </c>
      <c r="AB14" s="35">
        <v>0</v>
      </c>
      <c r="AC14" s="34">
        <f t="shared" si="1"/>
        <v>0</v>
      </c>
      <c r="AD14" s="84"/>
    </row>
    <row r="15" spans="1:30" x14ac:dyDescent="0.35">
      <c r="A15" s="79">
        <v>46813</v>
      </c>
      <c r="B15" s="33" t="s">
        <v>43</v>
      </c>
      <c r="C15" s="34">
        <v>9653</v>
      </c>
      <c r="D15" s="34">
        <v>9091</v>
      </c>
      <c r="E15" s="34">
        <v>8689</v>
      </c>
      <c r="F15" s="34">
        <v>8384</v>
      </c>
      <c r="G15" s="34">
        <v>8309</v>
      </c>
      <c r="H15" s="34">
        <v>8524</v>
      </c>
      <c r="I15" s="34">
        <v>2258</v>
      </c>
      <c r="J15" s="34">
        <v>3199</v>
      </c>
      <c r="K15" s="34">
        <v>2440</v>
      </c>
      <c r="L15" s="34">
        <v>2506</v>
      </c>
      <c r="M15" s="34">
        <v>2868</v>
      </c>
      <c r="N15" s="34">
        <v>2649</v>
      </c>
      <c r="O15" s="34">
        <v>2102</v>
      </c>
      <c r="P15" s="34">
        <v>3913</v>
      </c>
      <c r="Q15" s="34">
        <v>6419</v>
      </c>
      <c r="R15" s="34">
        <v>8082</v>
      </c>
      <c r="S15" s="34">
        <v>14977</v>
      </c>
      <c r="T15" s="34">
        <v>12326</v>
      </c>
      <c r="U15" s="34">
        <v>12560</v>
      </c>
      <c r="V15" s="34">
        <v>12567</v>
      </c>
      <c r="W15" s="34">
        <v>12573</v>
      </c>
      <c r="X15" s="34">
        <v>12404</v>
      </c>
      <c r="Y15" s="34">
        <v>11795</v>
      </c>
      <c r="Z15" s="34">
        <v>10952</v>
      </c>
      <c r="AA15" s="34">
        <f t="shared" si="0"/>
        <v>189240</v>
      </c>
      <c r="AB15" s="35">
        <v>22</v>
      </c>
      <c r="AC15" s="34">
        <f t="shared" si="1"/>
        <v>4163280</v>
      </c>
      <c r="AD15" s="82">
        <f>+SUM(AC15:AC18)</f>
        <v>5682804</v>
      </c>
    </row>
    <row r="16" spans="1:30" x14ac:dyDescent="0.35">
      <c r="A16" s="80"/>
      <c r="B16" s="36" t="s">
        <v>44</v>
      </c>
      <c r="C16" s="34">
        <v>10013</v>
      </c>
      <c r="D16" s="34">
        <v>9426</v>
      </c>
      <c r="E16" s="34">
        <v>8986</v>
      </c>
      <c r="F16" s="34">
        <v>8632</v>
      </c>
      <c r="G16" s="34">
        <v>8446</v>
      </c>
      <c r="H16" s="34">
        <v>8411</v>
      </c>
      <c r="I16" s="34">
        <v>2115</v>
      </c>
      <c r="J16" s="34">
        <v>3000</v>
      </c>
      <c r="K16" s="34">
        <v>2357</v>
      </c>
      <c r="L16" s="34">
        <v>2463</v>
      </c>
      <c r="M16" s="34">
        <v>2783</v>
      </c>
      <c r="N16" s="34">
        <v>2515</v>
      </c>
      <c r="O16" s="34">
        <v>2257</v>
      </c>
      <c r="P16" s="34">
        <v>3008</v>
      </c>
      <c r="Q16" s="34">
        <v>4752</v>
      </c>
      <c r="R16" s="34">
        <v>6313</v>
      </c>
      <c r="S16" s="34">
        <v>13216</v>
      </c>
      <c r="T16" s="34">
        <v>11612</v>
      </c>
      <c r="U16" s="34">
        <v>12294</v>
      </c>
      <c r="V16" s="34">
        <v>12331</v>
      </c>
      <c r="W16" s="34">
        <v>12142</v>
      </c>
      <c r="X16" s="34">
        <v>12009</v>
      </c>
      <c r="Y16" s="34">
        <v>11742</v>
      </c>
      <c r="Z16" s="34">
        <v>11203</v>
      </c>
      <c r="AA16" s="34">
        <f t="shared" si="0"/>
        <v>182026</v>
      </c>
      <c r="AB16" s="35">
        <v>4</v>
      </c>
      <c r="AC16" s="34">
        <f t="shared" si="1"/>
        <v>728104</v>
      </c>
      <c r="AD16" s="83"/>
    </row>
    <row r="17" spans="1:30" x14ac:dyDescent="0.35">
      <c r="A17" s="80"/>
      <c r="B17" s="36" t="s">
        <v>45</v>
      </c>
      <c r="C17" s="34">
        <v>10070</v>
      </c>
      <c r="D17" s="34">
        <v>9530</v>
      </c>
      <c r="E17" s="34">
        <v>9119</v>
      </c>
      <c r="F17" s="34">
        <v>8792</v>
      </c>
      <c r="G17" s="34">
        <v>8581</v>
      </c>
      <c r="H17" s="34">
        <v>8388</v>
      </c>
      <c r="I17" s="34">
        <v>1803</v>
      </c>
      <c r="J17" s="34">
        <v>1636</v>
      </c>
      <c r="K17" s="34">
        <v>154</v>
      </c>
      <c r="L17" s="34">
        <v>577</v>
      </c>
      <c r="M17" s="34">
        <v>953</v>
      </c>
      <c r="N17" s="34">
        <v>1384</v>
      </c>
      <c r="O17" s="34">
        <v>346</v>
      </c>
      <c r="P17" s="34">
        <v>1039</v>
      </c>
      <c r="Q17" s="34">
        <v>2631</v>
      </c>
      <c r="R17" s="34">
        <v>4327</v>
      </c>
      <c r="S17" s="34">
        <v>11483</v>
      </c>
      <c r="T17" s="34">
        <v>10572</v>
      </c>
      <c r="U17" s="34">
        <v>11402</v>
      </c>
      <c r="V17" s="34">
        <v>11938</v>
      </c>
      <c r="W17" s="34">
        <v>12206</v>
      </c>
      <c r="X17" s="34">
        <v>12318</v>
      </c>
      <c r="Y17" s="34">
        <v>11804</v>
      </c>
      <c r="Z17" s="34">
        <v>11013</v>
      </c>
      <c r="AA17" s="34">
        <f t="shared" si="0"/>
        <v>162066</v>
      </c>
      <c r="AB17" s="35">
        <v>4</v>
      </c>
      <c r="AC17" s="34">
        <f t="shared" si="1"/>
        <v>648264</v>
      </c>
      <c r="AD17" s="83"/>
    </row>
    <row r="18" spans="1:30" x14ac:dyDescent="0.35">
      <c r="A18" s="81"/>
      <c r="B18" s="37" t="s">
        <v>46</v>
      </c>
      <c r="C18" s="34">
        <v>7738</v>
      </c>
      <c r="D18" s="34">
        <v>7231</v>
      </c>
      <c r="E18" s="34">
        <v>6906</v>
      </c>
      <c r="F18" s="34">
        <v>6685</v>
      </c>
      <c r="G18" s="34">
        <v>6577</v>
      </c>
      <c r="H18" s="34">
        <v>6550</v>
      </c>
      <c r="I18" s="34">
        <v>211</v>
      </c>
      <c r="J18" s="34">
        <v>555</v>
      </c>
      <c r="K18" s="34">
        <v>4053</v>
      </c>
      <c r="L18" s="34">
        <v>3939</v>
      </c>
      <c r="M18" s="34">
        <v>2194</v>
      </c>
      <c r="N18" s="34">
        <v>2543</v>
      </c>
      <c r="O18" s="34">
        <v>1551</v>
      </c>
      <c r="P18" s="34">
        <v>533</v>
      </c>
      <c r="Q18" s="34">
        <v>1949</v>
      </c>
      <c r="R18" s="34">
        <v>3431</v>
      </c>
      <c r="S18" s="34">
        <v>10433</v>
      </c>
      <c r="T18" s="34">
        <v>9266</v>
      </c>
      <c r="U18" s="34">
        <v>10279</v>
      </c>
      <c r="V18" s="34">
        <v>10726</v>
      </c>
      <c r="W18" s="34">
        <v>10720</v>
      </c>
      <c r="X18" s="34">
        <v>10460</v>
      </c>
      <c r="Y18" s="34">
        <v>9713</v>
      </c>
      <c r="Z18" s="34">
        <v>8913</v>
      </c>
      <c r="AA18" s="34">
        <f t="shared" si="0"/>
        <v>143156</v>
      </c>
      <c r="AB18" s="35">
        <v>1</v>
      </c>
      <c r="AC18" s="34">
        <f t="shared" si="1"/>
        <v>143156</v>
      </c>
      <c r="AD18" s="84"/>
    </row>
    <row r="19" spans="1:30" x14ac:dyDescent="0.35">
      <c r="A19" s="79">
        <v>46844</v>
      </c>
      <c r="B19" s="33" t="s">
        <v>43</v>
      </c>
      <c r="C19" s="34">
        <v>10337</v>
      </c>
      <c r="D19" s="34">
        <v>9746</v>
      </c>
      <c r="E19" s="34">
        <v>9337</v>
      </c>
      <c r="F19" s="34">
        <v>9039</v>
      </c>
      <c r="G19" s="34">
        <v>8998</v>
      </c>
      <c r="H19" s="34">
        <v>9151</v>
      </c>
      <c r="I19" s="34">
        <v>2970</v>
      </c>
      <c r="J19" s="34">
        <v>4373</v>
      </c>
      <c r="K19" s="34">
        <v>3891</v>
      </c>
      <c r="L19" s="34">
        <v>4078</v>
      </c>
      <c r="M19" s="34">
        <v>4607</v>
      </c>
      <c r="N19" s="34">
        <v>4464</v>
      </c>
      <c r="O19" s="34">
        <v>3653</v>
      </c>
      <c r="P19" s="34">
        <v>5567</v>
      </c>
      <c r="Q19" s="34">
        <v>8347</v>
      </c>
      <c r="R19" s="34">
        <v>10036</v>
      </c>
      <c r="S19" s="34">
        <v>16814</v>
      </c>
      <c r="T19" s="34">
        <v>13602</v>
      </c>
      <c r="U19" s="34">
        <v>13806</v>
      </c>
      <c r="V19" s="34">
        <v>13744</v>
      </c>
      <c r="W19" s="34">
        <v>13733</v>
      </c>
      <c r="X19" s="34">
        <v>13469</v>
      </c>
      <c r="Y19" s="34">
        <v>12729</v>
      </c>
      <c r="Z19" s="34">
        <v>11756</v>
      </c>
      <c r="AA19" s="34">
        <f t="shared" si="0"/>
        <v>218247</v>
      </c>
      <c r="AB19" s="35">
        <v>18</v>
      </c>
      <c r="AC19" s="34">
        <f t="shared" si="1"/>
        <v>3928446</v>
      </c>
      <c r="AD19" s="82">
        <f>+SUM(AC19:AC22)</f>
        <v>6148462</v>
      </c>
    </row>
    <row r="20" spans="1:30" x14ac:dyDescent="0.35">
      <c r="A20" s="80"/>
      <c r="B20" s="36" t="s">
        <v>44</v>
      </c>
      <c r="C20" s="34">
        <v>10436</v>
      </c>
      <c r="D20" s="34">
        <v>9855</v>
      </c>
      <c r="E20" s="34">
        <v>9442</v>
      </c>
      <c r="F20" s="34">
        <v>9098</v>
      </c>
      <c r="G20" s="34">
        <v>8937</v>
      </c>
      <c r="H20" s="34">
        <v>8764</v>
      </c>
      <c r="I20" s="34">
        <v>2584</v>
      </c>
      <c r="J20" s="34">
        <v>3743</v>
      </c>
      <c r="K20" s="34">
        <v>3312</v>
      </c>
      <c r="L20" s="34">
        <v>3527</v>
      </c>
      <c r="M20" s="34">
        <v>3886</v>
      </c>
      <c r="N20" s="34">
        <v>3820</v>
      </c>
      <c r="O20" s="34">
        <v>3561</v>
      </c>
      <c r="P20" s="34">
        <v>4327</v>
      </c>
      <c r="Q20" s="34">
        <v>6087</v>
      </c>
      <c r="R20" s="34">
        <v>7643</v>
      </c>
      <c r="S20" s="34">
        <v>14424</v>
      </c>
      <c r="T20" s="34">
        <v>12338</v>
      </c>
      <c r="U20" s="34">
        <v>12989</v>
      </c>
      <c r="V20" s="34">
        <v>12879</v>
      </c>
      <c r="W20" s="34">
        <v>12639</v>
      </c>
      <c r="X20" s="34">
        <v>12369</v>
      </c>
      <c r="Y20" s="34">
        <v>11967</v>
      </c>
      <c r="Z20" s="34">
        <v>11377</v>
      </c>
      <c r="AA20" s="34">
        <f t="shared" si="0"/>
        <v>200004</v>
      </c>
      <c r="AB20" s="35">
        <v>5</v>
      </c>
      <c r="AC20" s="34">
        <f t="shared" si="1"/>
        <v>1000020</v>
      </c>
      <c r="AD20" s="83"/>
    </row>
    <row r="21" spans="1:30" x14ac:dyDescent="0.35">
      <c r="A21" s="80"/>
      <c r="B21" s="36" t="s">
        <v>45</v>
      </c>
      <c r="C21" s="34">
        <v>10394</v>
      </c>
      <c r="D21" s="34">
        <v>9795</v>
      </c>
      <c r="E21" s="34">
        <v>9358</v>
      </c>
      <c r="F21" s="34">
        <v>8999</v>
      </c>
      <c r="G21" s="34">
        <v>8779</v>
      </c>
      <c r="H21" s="34">
        <v>8476</v>
      </c>
      <c r="I21" s="34">
        <v>2024</v>
      </c>
      <c r="J21" s="34">
        <v>2232</v>
      </c>
      <c r="K21" s="34">
        <v>834</v>
      </c>
      <c r="L21" s="34">
        <v>703</v>
      </c>
      <c r="M21" s="34">
        <v>785</v>
      </c>
      <c r="N21" s="34">
        <v>815</v>
      </c>
      <c r="O21" s="34">
        <v>1361</v>
      </c>
      <c r="P21" s="34">
        <v>2072</v>
      </c>
      <c r="Q21" s="34">
        <v>3671</v>
      </c>
      <c r="R21" s="34">
        <v>5352</v>
      </c>
      <c r="S21" s="34">
        <v>12454</v>
      </c>
      <c r="T21" s="34">
        <v>11084</v>
      </c>
      <c r="U21" s="34">
        <v>12020</v>
      </c>
      <c r="V21" s="34">
        <v>12434</v>
      </c>
      <c r="W21" s="34">
        <v>12457</v>
      </c>
      <c r="X21" s="34">
        <v>12478</v>
      </c>
      <c r="Y21" s="34">
        <v>11970</v>
      </c>
      <c r="Z21" s="34">
        <v>11109</v>
      </c>
      <c r="AA21" s="34">
        <f t="shared" si="0"/>
        <v>171656</v>
      </c>
      <c r="AB21" s="35">
        <v>5</v>
      </c>
      <c r="AC21" s="34">
        <f t="shared" si="1"/>
        <v>858280</v>
      </c>
      <c r="AD21" s="83"/>
    </row>
    <row r="22" spans="1:30" x14ac:dyDescent="0.35">
      <c r="A22" s="81"/>
      <c r="B22" s="37" t="s">
        <v>46</v>
      </c>
      <c r="C22" s="34">
        <v>8876</v>
      </c>
      <c r="D22" s="34">
        <v>8349</v>
      </c>
      <c r="E22" s="34">
        <v>7972</v>
      </c>
      <c r="F22" s="34">
        <v>7702</v>
      </c>
      <c r="G22" s="34">
        <v>7524</v>
      </c>
      <c r="H22" s="34">
        <v>7261</v>
      </c>
      <c r="I22" s="34">
        <v>881</v>
      </c>
      <c r="J22" s="34">
        <v>737</v>
      </c>
      <c r="K22" s="34">
        <v>6611</v>
      </c>
      <c r="L22" s="34">
        <v>9826</v>
      </c>
      <c r="M22" s="34">
        <v>10435</v>
      </c>
      <c r="N22" s="34">
        <v>10936</v>
      </c>
      <c r="O22" s="34">
        <v>7065</v>
      </c>
      <c r="P22" s="34">
        <v>2720</v>
      </c>
      <c r="Q22" s="34">
        <v>1161</v>
      </c>
      <c r="R22" s="34">
        <v>2737</v>
      </c>
      <c r="S22" s="34">
        <v>9950</v>
      </c>
      <c r="T22" s="34">
        <v>9152</v>
      </c>
      <c r="U22" s="34">
        <v>10187</v>
      </c>
      <c r="V22" s="34">
        <v>10506</v>
      </c>
      <c r="W22" s="34">
        <v>10443</v>
      </c>
      <c r="X22" s="34">
        <v>10337</v>
      </c>
      <c r="Y22" s="34">
        <v>10016</v>
      </c>
      <c r="Z22" s="34">
        <v>9474</v>
      </c>
      <c r="AA22" s="34">
        <f t="shared" si="0"/>
        <v>180858</v>
      </c>
      <c r="AB22" s="35">
        <v>2</v>
      </c>
      <c r="AC22" s="34">
        <f t="shared" si="1"/>
        <v>361716</v>
      </c>
      <c r="AD22" s="84"/>
    </row>
    <row r="23" spans="1:30" x14ac:dyDescent="0.35">
      <c r="A23" s="79">
        <v>46874</v>
      </c>
      <c r="B23" s="33" t="s">
        <v>43</v>
      </c>
      <c r="C23" s="34">
        <v>10233</v>
      </c>
      <c r="D23" s="34">
        <v>9690</v>
      </c>
      <c r="E23" s="34">
        <v>9275</v>
      </c>
      <c r="F23" s="34">
        <v>8988</v>
      </c>
      <c r="G23" s="34">
        <v>8900</v>
      </c>
      <c r="H23" s="34">
        <v>8827</v>
      </c>
      <c r="I23" s="34">
        <v>2697</v>
      </c>
      <c r="J23" s="34">
        <v>4043</v>
      </c>
      <c r="K23" s="34">
        <v>3640</v>
      </c>
      <c r="L23" s="34">
        <v>3882</v>
      </c>
      <c r="M23" s="34">
        <v>4341</v>
      </c>
      <c r="N23" s="34">
        <v>4171</v>
      </c>
      <c r="O23" s="34">
        <v>3441</v>
      </c>
      <c r="P23" s="34">
        <v>5260</v>
      </c>
      <c r="Q23" s="34">
        <v>7945</v>
      </c>
      <c r="R23" s="34">
        <v>9498</v>
      </c>
      <c r="S23" s="34">
        <v>16222</v>
      </c>
      <c r="T23" s="34">
        <v>13153</v>
      </c>
      <c r="U23" s="34">
        <v>13322</v>
      </c>
      <c r="V23" s="34">
        <v>13347</v>
      </c>
      <c r="W23" s="34">
        <v>13365</v>
      </c>
      <c r="X23" s="34">
        <v>13157</v>
      </c>
      <c r="Y23" s="34">
        <v>12498</v>
      </c>
      <c r="Z23" s="34">
        <v>11579</v>
      </c>
      <c r="AA23" s="34">
        <f t="shared" si="0"/>
        <v>211474</v>
      </c>
      <c r="AB23" s="35">
        <v>21</v>
      </c>
      <c r="AC23" s="34">
        <f t="shared" si="1"/>
        <v>4440954</v>
      </c>
      <c r="AD23" s="82">
        <f>+SUM(AC23:AC26)</f>
        <v>6166980</v>
      </c>
    </row>
    <row r="24" spans="1:30" x14ac:dyDescent="0.35">
      <c r="A24" s="80"/>
      <c r="B24" s="36" t="s">
        <v>44</v>
      </c>
      <c r="C24" s="34">
        <v>10633</v>
      </c>
      <c r="D24" s="34">
        <v>9984</v>
      </c>
      <c r="E24" s="34">
        <v>9489</v>
      </c>
      <c r="F24" s="34">
        <v>9132</v>
      </c>
      <c r="G24" s="34">
        <v>8968</v>
      </c>
      <c r="H24" s="34">
        <v>8688</v>
      </c>
      <c r="I24" s="34">
        <v>2536</v>
      </c>
      <c r="J24" s="34">
        <v>3637</v>
      </c>
      <c r="K24" s="34">
        <v>3285</v>
      </c>
      <c r="L24" s="34">
        <v>3607</v>
      </c>
      <c r="M24" s="34">
        <v>3951</v>
      </c>
      <c r="N24" s="34">
        <v>3691</v>
      </c>
      <c r="O24" s="34">
        <v>3345</v>
      </c>
      <c r="P24" s="34">
        <v>4029</v>
      </c>
      <c r="Q24" s="34">
        <v>5646</v>
      </c>
      <c r="R24" s="34">
        <v>7131</v>
      </c>
      <c r="S24" s="34">
        <v>13920</v>
      </c>
      <c r="T24" s="34">
        <v>11786</v>
      </c>
      <c r="U24" s="34">
        <v>12511</v>
      </c>
      <c r="V24" s="34">
        <v>12611</v>
      </c>
      <c r="W24" s="34">
        <v>12386</v>
      </c>
      <c r="X24" s="34">
        <v>12181</v>
      </c>
      <c r="Y24" s="34">
        <v>11837</v>
      </c>
      <c r="Z24" s="34">
        <v>11264</v>
      </c>
      <c r="AA24" s="34">
        <f t="shared" si="0"/>
        <v>196248</v>
      </c>
      <c r="AB24" s="35">
        <v>4</v>
      </c>
      <c r="AC24" s="34">
        <f t="shared" si="1"/>
        <v>784992</v>
      </c>
      <c r="AD24" s="83"/>
    </row>
    <row r="25" spans="1:30" x14ac:dyDescent="0.35">
      <c r="A25" s="80"/>
      <c r="B25" s="36" t="s">
        <v>45</v>
      </c>
      <c r="C25" s="34">
        <v>10180</v>
      </c>
      <c r="D25" s="34">
        <v>9664</v>
      </c>
      <c r="E25" s="34">
        <v>9269</v>
      </c>
      <c r="F25" s="34">
        <v>8927</v>
      </c>
      <c r="G25" s="34">
        <v>8698</v>
      </c>
      <c r="H25" s="34">
        <v>8278</v>
      </c>
      <c r="I25" s="34">
        <v>1938</v>
      </c>
      <c r="J25" s="34">
        <v>2071</v>
      </c>
      <c r="K25" s="34">
        <v>675</v>
      </c>
      <c r="L25" s="34">
        <v>472</v>
      </c>
      <c r="M25" s="34">
        <v>601</v>
      </c>
      <c r="N25" s="34">
        <v>472</v>
      </c>
      <c r="O25" s="34">
        <v>794</v>
      </c>
      <c r="P25" s="34">
        <v>1309</v>
      </c>
      <c r="Q25" s="34">
        <v>2895</v>
      </c>
      <c r="R25" s="34">
        <v>4476</v>
      </c>
      <c r="S25" s="34">
        <v>11587</v>
      </c>
      <c r="T25" s="34">
        <v>10344</v>
      </c>
      <c r="U25" s="34">
        <v>11296</v>
      </c>
      <c r="V25" s="34">
        <v>11747</v>
      </c>
      <c r="W25" s="34">
        <v>11879</v>
      </c>
      <c r="X25" s="34">
        <v>11964</v>
      </c>
      <c r="Y25" s="34">
        <v>11577</v>
      </c>
      <c r="Z25" s="34">
        <v>10850</v>
      </c>
      <c r="AA25" s="34">
        <f t="shared" si="0"/>
        <v>161963</v>
      </c>
      <c r="AB25" s="35">
        <v>4</v>
      </c>
      <c r="AC25" s="34">
        <f t="shared" si="1"/>
        <v>647852</v>
      </c>
      <c r="AD25" s="83"/>
    </row>
    <row r="26" spans="1:30" x14ac:dyDescent="0.35">
      <c r="A26" s="81"/>
      <c r="B26" s="37" t="s">
        <v>46</v>
      </c>
      <c r="C26" s="34">
        <v>8665</v>
      </c>
      <c r="D26" s="34">
        <v>8165</v>
      </c>
      <c r="E26" s="34">
        <v>7809</v>
      </c>
      <c r="F26" s="34">
        <v>7549</v>
      </c>
      <c r="G26" s="34">
        <v>7430</v>
      </c>
      <c r="H26" s="34">
        <v>7150</v>
      </c>
      <c r="I26" s="34">
        <v>941</v>
      </c>
      <c r="J26" s="34">
        <v>1232</v>
      </c>
      <c r="K26" s="34">
        <v>41</v>
      </c>
      <c r="L26" s="34">
        <v>76</v>
      </c>
      <c r="M26" s="34">
        <v>367</v>
      </c>
      <c r="N26" s="34">
        <v>335</v>
      </c>
      <c r="O26" s="34">
        <v>576</v>
      </c>
      <c r="P26" s="34">
        <v>1317</v>
      </c>
      <c r="Q26" s="34">
        <v>2873</v>
      </c>
      <c r="R26" s="34">
        <v>4435</v>
      </c>
      <c r="S26" s="34">
        <v>11406</v>
      </c>
      <c r="T26" s="34">
        <v>9992</v>
      </c>
      <c r="U26" s="34">
        <v>10941</v>
      </c>
      <c r="V26" s="34">
        <v>11478</v>
      </c>
      <c r="W26" s="34">
        <v>11545</v>
      </c>
      <c r="X26" s="34">
        <v>11412</v>
      </c>
      <c r="Y26" s="34">
        <v>10820</v>
      </c>
      <c r="Z26" s="34">
        <v>10036</v>
      </c>
      <c r="AA26" s="34">
        <f t="shared" si="0"/>
        <v>146591</v>
      </c>
      <c r="AB26" s="35">
        <v>2</v>
      </c>
      <c r="AC26" s="34">
        <f t="shared" si="1"/>
        <v>293182</v>
      </c>
      <c r="AD26" s="84"/>
    </row>
    <row r="27" spans="1:30" x14ac:dyDescent="0.35">
      <c r="A27" s="79">
        <v>46905</v>
      </c>
      <c r="B27" s="33" t="s">
        <v>43</v>
      </c>
      <c r="C27" s="34">
        <v>10526</v>
      </c>
      <c r="D27" s="34">
        <v>9945</v>
      </c>
      <c r="E27" s="34">
        <v>9506</v>
      </c>
      <c r="F27" s="34">
        <v>9209</v>
      </c>
      <c r="G27" s="34">
        <v>9114</v>
      </c>
      <c r="H27" s="34">
        <v>8996</v>
      </c>
      <c r="I27" s="34">
        <v>2989</v>
      </c>
      <c r="J27" s="34">
        <v>4530</v>
      </c>
      <c r="K27" s="34">
        <v>4156</v>
      </c>
      <c r="L27" s="34">
        <v>4334</v>
      </c>
      <c r="M27" s="34">
        <v>4763</v>
      </c>
      <c r="N27" s="34">
        <v>4644</v>
      </c>
      <c r="O27" s="34">
        <v>3759</v>
      </c>
      <c r="P27" s="34">
        <v>5526</v>
      </c>
      <c r="Q27" s="34">
        <v>8147</v>
      </c>
      <c r="R27" s="34">
        <v>9777</v>
      </c>
      <c r="S27" s="34">
        <v>16612</v>
      </c>
      <c r="T27" s="34">
        <v>13474</v>
      </c>
      <c r="U27" s="34">
        <v>13580</v>
      </c>
      <c r="V27" s="34">
        <v>13679</v>
      </c>
      <c r="W27" s="34">
        <v>13620</v>
      </c>
      <c r="X27" s="34">
        <v>13374</v>
      </c>
      <c r="Y27" s="34">
        <v>12724</v>
      </c>
      <c r="Z27" s="34">
        <v>11815</v>
      </c>
      <c r="AA27" s="34">
        <f t="shared" si="0"/>
        <v>218799</v>
      </c>
      <c r="AB27" s="35">
        <v>20</v>
      </c>
      <c r="AC27" s="34">
        <f t="shared" si="1"/>
        <v>4375980</v>
      </c>
      <c r="AD27" s="82">
        <f>+SUM(AC27:AC30)</f>
        <v>6227362</v>
      </c>
    </row>
    <row r="28" spans="1:30" x14ac:dyDescent="0.35">
      <c r="A28" s="80"/>
      <c r="B28" s="36" t="s">
        <v>44</v>
      </c>
      <c r="C28" s="34">
        <v>10738</v>
      </c>
      <c r="D28" s="34">
        <v>10185</v>
      </c>
      <c r="E28" s="34">
        <v>9737</v>
      </c>
      <c r="F28" s="34">
        <v>9413</v>
      </c>
      <c r="G28" s="34">
        <v>9290</v>
      </c>
      <c r="H28" s="34">
        <v>9011</v>
      </c>
      <c r="I28" s="34">
        <v>3002</v>
      </c>
      <c r="J28" s="34">
        <v>4277</v>
      </c>
      <c r="K28" s="34">
        <v>3828</v>
      </c>
      <c r="L28" s="34">
        <v>3988</v>
      </c>
      <c r="M28" s="34">
        <v>4349</v>
      </c>
      <c r="N28" s="34">
        <v>4126</v>
      </c>
      <c r="O28" s="34">
        <v>3717</v>
      </c>
      <c r="P28" s="34">
        <v>4227</v>
      </c>
      <c r="Q28" s="34">
        <v>6103</v>
      </c>
      <c r="R28" s="34">
        <v>7764</v>
      </c>
      <c r="S28" s="34">
        <v>14575</v>
      </c>
      <c r="T28" s="34">
        <v>12565</v>
      </c>
      <c r="U28" s="34">
        <v>13095</v>
      </c>
      <c r="V28" s="34">
        <v>13197</v>
      </c>
      <c r="W28" s="34">
        <v>12924</v>
      </c>
      <c r="X28" s="34">
        <v>12683</v>
      </c>
      <c r="Y28" s="34">
        <v>12322</v>
      </c>
      <c r="Z28" s="34">
        <v>11772</v>
      </c>
      <c r="AA28" s="34">
        <f t="shared" si="0"/>
        <v>206888</v>
      </c>
      <c r="AB28" s="35">
        <v>4</v>
      </c>
      <c r="AC28" s="34">
        <f t="shared" si="1"/>
        <v>827552</v>
      </c>
      <c r="AD28" s="83"/>
    </row>
    <row r="29" spans="1:30" x14ac:dyDescent="0.35">
      <c r="A29" s="80"/>
      <c r="B29" s="36" t="s">
        <v>45</v>
      </c>
      <c r="C29" s="34">
        <v>10606</v>
      </c>
      <c r="D29" s="34">
        <v>10080</v>
      </c>
      <c r="E29" s="34">
        <v>9675</v>
      </c>
      <c r="F29" s="34">
        <v>9336</v>
      </c>
      <c r="G29" s="34">
        <v>9141</v>
      </c>
      <c r="H29" s="34">
        <v>8707</v>
      </c>
      <c r="I29" s="34">
        <v>2359</v>
      </c>
      <c r="J29" s="34">
        <v>2616</v>
      </c>
      <c r="K29" s="34">
        <v>1014</v>
      </c>
      <c r="L29" s="34">
        <v>1009</v>
      </c>
      <c r="M29" s="34">
        <v>833</v>
      </c>
      <c r="N29" s="34">
        <v>728</v>
      </c>
      <c r="O29" s="34">
        <v>1213</v>
      </c>
      <c r="P29" s="34">
        <v>1843</v>
      </c>
      <c r="Q29" s="34">
        <v>3427</v>
      </c>
      <c r="R29" s="34">
        <v>5107</v>
      </c>
      <c r="S29" s="34">
        <v>12365</v>
      </c>
      <c r="T29" s="34">
        <v>11090</v>
      </c>
      <c r="U29" s="34">
        <v>12004</v>
      </c>
      <c r="V29" s="34">
        <v>12620</v>
      </c>
      <c r="W29" s="34">
        <v>12712</v>
      </c>
      <c r="X29" s="34">
        <v>12795</v>
      </c>
      <c r="Y29" s="34">
        <v>12499</v>
      </c>
      <c r="Z29" s="34">
        <v>11872</v>
      </c>
      <c r="AA29" s="34">
        <f t="shared" si="0"/>
        <v>175651</v>
      </c>
      <c r="AB29" s="35">
        <v>4</v>
      </c>
      <c r="AC29" s="34">
        <f t="shared" si="1"/>
        <v>702604</v>
      </c>
      <c r="AD29" s="83"/>
    </row>
    <row r="30" spans="1:30" x14ac:dyDescent="0.35">
      <c r="A30" s="81"/>
      <c r="B30" s="37" t="s">
        <v>46</v>
      </c>
      <c r="C30" s="34">
        <v>9142</v>
      </c>
      <c r="D30" s="34">
        <v>8637</v>
      </c>
      <c r="E30" s="34">
        <v>8288</v>
      </c>
      <c r="F30" s="34">
        <v>8008</v>
      </c>
      <c r="G30" s="34">
        <v>7903</v>
      </c>
      <c r="H30" s="34">
        <v>7604</v>
      </c>
      <c r="I30" s="34">
        <v>1400</v>
      </c>
      <c r="J30" s="34">
        <v>1931</v>
      </c>
      <c r="K30" s="34">
        <v>861</v>
      </c>
      <c r="L30" s="34">
        <v>986</v>
      </c>
      <c r="M30" s="34">
        <v>1310</v>
      </c>
      <c r="N30" s="34">
        <v>1230</v>
      </c>
      <c r="O30" s="34">
        <v>1388</v>
      </c>
      <c r="P30" s="34">
        <v>2067</v>
      </c>
      <c r="Q30" s="34">
        <v>3560</v>
      </c>
      <c r="R30" s="34">
        <v>5040</v>
      </c>
      <c r="S30" s="34">
        <v>11971</v>
      </c>
      <c r="T30" s="34">
        <v>10499</v>
      </c>
      <c r="U30" s="34">
        <v>11326</v>
      </c>
      <c r="V30" s="34">
        <v>12050</v>
      </c>
      <c r="W30" s="34">
        <v>12007</v>
      </c>
      <c r="X30" s="34">
        <v>11802</v>
      </c>
      <c r="Y30" s="34">
        <v>11206</v>
      </c>
      <c r="Z30" s="34">
        <v>10397</v>
      </c>
      <c r="AA30" s="34">
        <f t="shared" si="0"/>
        <v>160613</v>
      </c>
      <c r="AB30" s="35">
        <v>2</v>
      </c>
      <c r="AC30" s="34">
        <f t="shared" si="1"/>
        <v>321226</v>
      </c>
      <c r="AD30" s="84"/>
    </row>
    <row r="31" spans="1:30" x14ac:dyDescent="0.35">
      <c r="A31" s="79">
        <v>46935</v>
      </c>
      <c r="B31" s="33" t="s">
        <v>43</v>
      </c>
      <c r="C31" s="34">
        <v>10126</v>
      </c>
      <c r="D31" s="34">
        <v>9562</v>
      </c>
      <c r="E31" s="34">
        <v>9149</v>
      </c>
      <c r="F31" s="34">
        <v>8830</v>
      </c>
      <c r="G31" s="34">
        <v>8712</v>
      </c>
      <c r="H31" s="34">
        <v>8693</v>
      </c>
      <c r="I31" s="34">
        <v>2631</v>
      </c>
      <c r="J31" s="34">
        <v>3886</v>
      </c>
      <c r="K31" s="34">
        <v>3467</v>
      </c>
      <c r="L31" s="34">
        <v>3642</v>
      </c>
      <c r="M31" s="34">
        <v>4097</v>
      </c>
      <c r="N31" s="34">
        <v>3825</v>
      </c>
      <c r="O31" s="34">
        <v>2919</v>
      </c>
      <c r="P31" s="34">
        <v>4697</v>
      </c>
      <c r="Q31" s="34">
        <v>7331</v>
      </c>
      <c r="R31" s="34">
        <v>8935</v>
      </c>
      <c r="S31" s="34">
        <v>15609</v>
      </c>
      <c r="T31" s="34">
        <v>12819</v>
      </c>
      <c r="U31" s="34">
        <v>12826</v>
      </c>
      <c r="V31" s="34">
        <v>13123</v>
      </c>
      <c r="W31" s="34">
        <v>13136</v>
      </c>
      <c r="X31" s="34">
        <v>12955</v>
      </c>
      <c r="Y31" s="34">
        <v>12340</v>
      </c>
      <c r="Z31" s="34">
        <v>11451</v>
      </c>
      <c r="AA31" s="34">
        <f t="shared" si="0"/>
        <v>204761</v>
      </c>
      <c r="AB31" s="35">
        <v>19</v>
      </c>
      <c r="AC31" s="34">
        <f t="shared" si="1"/>
        <v>3890459</v>
      </c>
      <c r="AD31" s="82">
        <f>+SUM(AC31:AC34)</f>
        <v>5905820</v>
      </c>
    </row>
    <row r="32" spans="1:30" x14ac:dyDescent="0.35">
      <c r="A32" s="80"/>
      <c r="B32" s="36" t="s">
        <v>44</v>
      </c>
      <c r="C32" s="34">
        <v>9706</v>
      </c>
      <c r="D32" s="34">
        <v>9196</v>
      </c>
      <c r="E32" s="34">
        <v>8825</v>
      </c>
      <c r="F32" s="34">
        <v>8527</v>
      </c>
      <c r="G32" s="34">
        <v>8414</v>
      </c>
      <c r="H32" s="34">
        <v>8224</v>
      </c>
      <c r="I32" s="34">
        <v>2098</v>
      </c>
      <c r="J32" s="34">
        <v>3169</v>
      </c>
      <c r="K32" s="34">
        <v>2636</v>
      </c>
      <c r="L32" s="34">
        <v>2829</v>
      </c>
      <c r="M32" s="34">
        <v>3063</v>
      </c>
      <c r="N32" s="34">
        <v>2991</v>
      </c>
      <c r="O32" s="34">
        <v>2668</v>
      </c>
      <c r="P32" s="34">
        <v>3345</v>
      </c>
      <c r="Q32" s="34">
        <v>5148</v>
      </c>
      <c r="R32" s="34">
        <v>6540</v>
      </c>
      <c r="S32" s="34">
        <v>13271</v>
      </c>
      <c r="T32" s="34">
        <v>11416</v>
      </c>
      <c r="U32" s="34">
        <v>12042</v>
      </c>
      <c r="V32" s="34">
        <v>12402</v>
      </c>
      <c r="W32" s="34">
        <v>12146</v>
      </c>
      <c r="X32" s="34">
        <v>11933</v>
      </c>
      <c r="Y32" s="34">
        <v>11641</v>
      </c>
      <c r="Z32" s="34">
        <v>11133</v>
      </c>
      <c r="AA32" s="34">
        <f t="shared" si="0"/>
        <v>183363</v>
      </c>
      <c r="AB32" s="35">
        <v>5</v>
      </c>
      <c r="AC32" s="34">
        <f t="shared" si="1"/>
        <v>916815</v>
      </c>
      <c r="AD32" s="83"/>
    </row>
    <row r="33" spans="1:30" x14ac:dyDescent="0.35">
      <c r="A33" s="80"/>
      <c r="B33" s="36" t="s">
        <v>45</v>
      </c>
      <c r="C33" s="34">
        <v>10024</v>
      </c>
      <c r="D33" s="34">
        <v>9498</v>
      </c>
      <c r="E33" s="34">
        <v>9093</v>
      </c>
      <c r="F33" s="34">
        <v>8781</v>
      </c>
      <c r="G33" s="34">
        <v>8569</v>
      </c>
      <c r="H33" s="34">
        <v>8236</v>
      </c>
      <c r="I33" s="34">
        <v>1900</v>
      </c>
      <c r="J33" s="34">
        <v>1867</v>
      </c>
      <c r="K33" s="34">
        <v>452</v>
      </c>
      <c r="L33" s="34">
        <v>292</v>
      </c>
      <c r="M33" s="34">
        <v>265</v>
      </c>
      <c r="N33" s="34">
        <v>27</v>
      </c>
      <c r="O33" s="34">
        <v>561</v>
      </c>
      <c r="P33" s="34">
        <v>1168</v>
      </c>
      <c r="Q33" s="34">
        <v>2563</v>
      </c>
      <c r="R33" s="34">
        <v>4294</v>
      </c>
      <c r="S33" s="34">
        <v>11328</v>
      </c>
      <c r="T33" s="34">
        <v>10407</v>
      </c>
      <c r="U33" s="34">
        <v>11157</v>
      </c>
      <c r="V33" s="34">
        <v>11825</v>
      </c>
      <c r="W33" s="34">
        <v>11923</v>
      </c>
      <c r="X33" s="34">
        <v>11947</v>
      </c>
      <c r="Y33" s="34">
        <v>11562</v>
      </c>
      <c r="Z33" s="34">
        <v>10947</v>
      </c>
      <c r="AA33" s="34">
        <f t="shared" si="0"/>
        <v>158686</v>
      </c>
      <c r="AB33" s="35">
        <v>5</v>
      </c>
      <c r="AC33" s="34">
        <f t="shared" si="1"/>
        <v>793430</v>
      </c>
      <c r="AD33" s="83"/>
    </row>
    <row r="34" spans="1:30" x14ac:dyDescent="0.35">
      <c r="A34" s="81"/>
      <c r="B34" s="37" t="s">
        <v>46</v>
      </c>
      <c r="C34" s="34">
        <v>9105</v>
      </c>
      <c r="D34" s="34">
        <v>8579</v>
      </c>
      <c r="E34" s="34">
        <v>8187</v>
      </c>
      <c r="F34" s="34">
        <v>7933</v>
      </c>
      <c r="G34" s="34">
        <v>7806</v>
      </c>
      <c r="H34" s="34">
        <v>7573</v>
      </c>
      <c r="I34" s="34">
        <v>1320</v>
      </c>
      <c r="J34" s="34">
        <v>1696</v>
      </c>
      <c r="K34" s="34">
        <v>575</v>
      </c>
      <c r="L34" s="34">
        <v>559</v>
      </c>
      <c r="M34" s="34">
        <v>714</v>
      </c>
      <c r="N34" s="34">
        <v>531</v>
      </c>
      <c r="O34" s="34">
        <v>570</v>
      </c>
      <c r="P34" s="34">
        <v>1380</v>
      </c>
      <c r="Q34" s="34">
        <v>2939</v>
      </c>
      <c r="R34" s="34">
        <v>4548</v>
      </c>
      <c r="S34" s="34">
        <v>11528</v>
      </c>
      <c r="T34" s="34">
        <v>10201</v>
      </c>
      <c r="U34" s="34">
        <v>10915</v>
      </c>
      <c r="V34" s="34">
        <v>11677</v>
      </c>
      <c r="W34" s="34">
        <v>11665</v>
      </c>
      <c r="X34" s="34">
        <v>11489</v>
      </c>
      <c r="Y34" s="34">
        <v>10933</v>
      </c>
      <c r="Z34" s="34">
        <v>10135</v>
      </c>
      <c r="AA34" s="34">
        <f t="shared" si="0"/>
        <v>152558</v>
      </c>
      <c r="AB34" s="35">
        <v>2</v>
      </c>
      <c r="AC34" s="34">
        <f>+AA34*AB34</f>
        <v>305116</v>
      </c>
      <c r="AD34" s="84"/>
    </row>
    <row r="35" spans="1:30" x14ac:dyDescent="0.35">
      <c r="A35" s="79">
        <v>46966</v>
      </c>
      <c r="B35" s="33" t="s">
        <v>43</v>
      </c>
      <c r="C35" s="34">
        <v>10478</v>
      </c>
      <c r="D35" s="34">
        <v>9900</v>
      </c>
      <c r="E35" s="34">
        <v>9460</v>
      </c>
      <c r="F35" s="34">
        <v>9117</v>
      </c>
      <c r="G35" s="34">
        <v>8990</v>
      </c>
      <c r="H35" s="34">
        <v>8959</v>
      </c>
      <c r="I35" s="34">
        <v>2865</v>
      </c>
      <c r="J35" s="34">
        <v>4276</v>
      </c>
      <c r="K35" s="34">
        <v>3746</v>
      </c>
      <c r="L35" s="34">
        <v>4057</v>
      </c>
      <c r="M35" s="34">
        <v>4516</v>
      </c>
      <c r="N35" s="34">
        <v>4372</v>
      </c>
      <c r="O35" s="34">
        <v>3474</v>
      </c>
      <c r="P35" s="34">
        <v>5408</v>
      </c>
      <c r="Q35" s="34">
        <v>8143</v>
      </c>
      <c r="R35" s="34">
        <v>9718</v>
      </c>
      <c r="S35" s="34">
        <v>16461</v>
      </c>
      <c r="T35" s="34">
        <v>13164</v>
      </c>
      <c r="U35" s="34">
        <v>13261</v>
      </c>
      <c r="V35" s="34">
        <v>13406</v>
      </c>
      <c r="W35" s="34">
        <v>13467</v>
      </c>
      <c r="X35" s="34">
        <v>13326</v>
      </c>
      <c r="Y35" s="34">
        <v>12692</v>
      </c>
      <c r="Z35" s="34">
        <v>11817</v>
      </c>
      <c r="AA35" s="34">
        <f t="shared" si="0"/>
        <v>215073</v>
      </c>
      <c r="AB35" s="35">
        <v>21</v>
      </c>
      <c r="AC35" s="34">
        <f t="shared" si="1"/>
        <v>4516533</v>
      </c>
      <c r="AD35" s="82">
        <f>+SUM(AC35:AC38)</f>
        <v>6338427</v>
      </c>
    </row>
    <row r="36" spans="1:30" x14ac:dyDescent="0.35">
      <c r="A36" s="80"/>
      <c r="B36" s="36" t="s">
        <v>44</v>
      </c>
      <c r="C36" s="34">
        <v>11102</v>
      </c>
      <c r="D36" s="34">
        <v>10505</v>
      </c>
      <c r="E36" s="34">
        <v>10012</v>
      </c>
      <c r="F36" s="34">
        <v>9637</v>
      </c>
      <c r="G36" s="34">
        <v>9429</v>
      </c>
      <c r="H36" s="34">
        <v>9165</v>
      </c>
      <c r="I36" s="34">
        <v>2999</v>
      </c>
      <c r="J36" s="34">
        <v>4344</v>
      </c>
      <c r="K36" s="34">
        <v>3783</v>
      </c>
      <c r="L36" s="34">
        <v>4106</v>
      </c>
      <c r="M36" s="34">
        <v>4264</v>
      </c>
      <c r="N36" s="34">
        <v>4374</v>
      </c>
      <c r="O36" s="34">
        <v>3804</v>
      </c>
      <c r="P36" s="34">
        <v>4588</v>
      </c>
      <c r="Q36" s="34">
        <v>6317</v>
      </c>
      <c r="R36" s="34">
        <v>7810</v>
      </c>
      <c r="S36" s="34">
        <v>14714</v>
      </c>
      <c r="T36" s="34">
        <v>12281</v>
      </c>
      <c r="U36" s="34">
        <v>12978</v>
      </c>
      <c r="V36" s="34">
        <v>13077</v>
      </c>
      <c r="W36" s="34">
        <v>12840</v>
      </c>
      <c r="X36" s="34">
        <v>12739</v>
      </c>
      <c r="Y36" s="34">
        <v>12482</v>
      </c>
      <c r="Z36" s="34">
        <v>11968</v>
      </c>
      <c r="AA36" s="34">
        <f t="shared" si="0"/>
        <v>209318</v>
      </c>
      <c r="AB36" s="35">
        <v>4</v>
      </c>
      <c r="AC36" s="34">
        <f t="shared" si="1"/>
        <v>837272</v>
      </c>
      <c r="AD36" s="83"/>
    </row>
    <row r="37" spans="1:30" x14ac:dyDescent="0.35">
      <c r="A37" s="80"/>
      <c r="B37" s="36" t="s">
        <v>45</v>
      </c>
      <c r="C37" s="34">
        <v>10827</v>
      </c>
      <c r="D37" s="34">
        <v>10261</v>
      </c>
      <c r="E37" s="34">
        <v>9810</v>
      </c>
      <c r="F37" s="34">
        <v>9445</v>
      </c>
      <c r="G37" s="34">
        <v>9135</v>
      </c>
      <c r="H37" s="34">
        <v>8663</v>
      </c>
      <c r="I37" s="34">
        <v>2244</v>
      </c>
      <c r="J37" s="34">
        <v>2451</v>
      </c>
      <c r="K37" s="34">
        <v>917</v>
      </c>
      <c r="L37" s="34">
        <v>535</v>
      </c>
      <c r="M37" s="34">
        <v>658</v>
      </c>
      <c r="N37" s="34">
        <v>293</v>
      </c>
      <c r="O37" s="34">
        <v>808</v>
      </c>
      <c r="P37" s="34">
        <v>1705</v>
      </c>
      <c r="Q37" s="34">
        <v>3085</v>
      </c>
      <c r="R37" s="34">
        <v>4832</v>
      </c>
      <c r="S37" s="34">
        <v>11693</v>
      </c>
      <c r="T37" s="34">
        <v>10333</v>
      </c>
      <c r="U37" s="34">
        <v>11298</v>
      </c>
      <c r="V37" s="34">
        <v>11841</v>
      </c>
      <c r="W37" s="34">
        <v>11973</v>
      </c>
      <c r="X37" s="34">
        <v>12116</v>
      </c>
      <c r="Y37" s="34">
        <v>11762</v>
      </c>
      <c r="Z37" s="34">
        <v>11076</v>
      </c>
      <c r="AA37" s="34">
        <f t="shared" si="0"/>
        <v>167761</v>
      </c>
      <c r="AB37" s="35">
        <v>4</v>
      </c>
      <c r="AC37" s="34">
        <f t="shared" si="1"/>
        <v>671044</v>
      </c>
      <c r="AD37" s="83"/>
    </row>
    <row r="38" spans="1:30" x14ac:dyDescent="0.35">
      <c r="A38" s="81"/>
      <c r="B38" s="37" t="s">
        <v>46</v>
      </c>
      <c r="C38" s="34">
        <v>8983</v>
      </c>
      <c r="D38" s="34">
        <v>8526</v>
      </c>
      <c r="E38" s="34">
        <v>8160</v>
      </c>
      <c r="F38" s="34">
        <v>7913</v>
      </c>
      <c r="G38" s="34">
        <v>7794</v>
      </c>
      <c r="H38" s="34">
        <v>7565</v>
      </c>
      <c r="I38" s="34">
        <v>1224</v>
      </c>
      <c r="J38" s="34">
        <v>1613</v>
      </c>
      <c r="K38" s="34">
        <v>501</v>
      </c>
      <c r="L38" s="34">
        <v>675</v>
      </c>
      <c r="M38" s="34">
        <v>964</v>
      </c>
      <c r="N38" s="34">
        <v>984</v>
      </c>
      <c r="O38" s="34">
        <v>1204</v>
      </c>
      <c r="P38" s="34">
        <v>1928</v>
      </c>
      <c r="Q38" s="34">
        <v>3473</v>
      </c>
      <c r="R38" s="34">
        <v>5147</v>
      </c>
      <c r="S38" s="34">
        <v>12072</v>
      </c>
      <c r="T38" s="34">
        <v>10275</v>
      </c>
      <c r="U38" s="34">
        <v>11193</v>
      </c>
      <c r="V38" s="34">
        <v>11686</v>
      </c>
      <c r="W38" s="34">
        <v>11666</v>
      </c>
      <c r="X38" s="34">
        <v>11681</v>
      </c>
      <c r="Y38" s="34">
        <v>11174</v>
      </c>
      <c r="Z38" s="34">
        <v>10388</v>
      </c>
      <c r="AA38" s="34">
        <f t="shared" si="0"/>
        <v>156789</v>
      </c>
      <c r="AB38" s="35">
        <v>2</v>
      </c>
      <c r="AC38" s="34">
        <f t="shared" si="1"/>
        <v>313578</v>
      </c>
      <c r="AD38" s="84"/>
    </row>
    <row r="39" spans="1:30" x14ac:dyDescent="0.35">
      <c r="A39" s="79">
        <v>46997</v>
      </c>
      <c r="B39" s="33" t="s">
        <v>43</v>
      </c>
      <c r="C39" s="34">
        <v>11129</v>
      </c>
      <c r="D39" s="34">
        <v>10493</v>
      </c>
      <c r="E39" s="34">
        <v>10009</v>
      </c>
      <c r="F39" s="34">
        <v>9633</v>
      </c>
      <c r="G39" s="34">
        <v>9493</v>
      </c>
      <c r="H39" s="34">
        <v>9476</v>
      </c>
      <c r="I39" s="34">
        <v>3381</v>
      </c>
      <c r="J39" s="34">
        <v>5015</v>
      </c>
      <c r="K39" s="34">
        <v>4527</v>
      </c>
      <c r="L39" s="34">
        <v>4859</v>
      </c>
      <c r="M39" s="34">
        <v>5371</v>
      </c>
      <c r="N39" s="34">
        <v>5194</v>
      </c>
      <c r="O39" s="34">
        <v>4353</v>
      </c>
      <c r="P39" s="34">
        <v>6432</v>
      </c>
      <c r="Q39" s="34">
        <v>9146</v>
      </c>
      <c r="R39" s="34">
        <v>10785</v>
      </c>
      <c r="S39" s="34">
        <v>17366</v>
      </c>
      <c r="T39" s="34">
        <v>13990</v>
      </c>
      <c r="U39" s="34">
        <v>14252</v>
      </c>
      <c r="V39" s="34">
        <v>14052</v>
      </c>
      <c r="W39" s="34">
        <v>14083</v>
      </c>
      <c r="X39" s="34">
        <v>13954</v>
      </c>
      <c r="Y39" s="34">
        <v>13290</v>
      </c>
      <c r="Z39" s="34">
        <v>12324</v>
      </c>
      <c r="AA39" s="34">
        <f t="shared" si="0"/>
        <v>232607</v>
      </c>
      <c r="AB39" s="35">
        <v>21</v>
      </c>
      <c r="AC39" s="34">
        <f t="shared" si="1"/>
        <v>4884747</v>
      </c>
      <c r="AD39" s="82">
        <f>+SUM(AC39:AC42)</f>
        <v>6725972</v>
      </c>
    </row>
    <row r="40" spans="1:30" x14ac:dyDescent="0.35">
      <c r="A40" s="80"/>
      <c r="B40" s="36" t="s">
        <v>44</v>
      </c>
      <c r="C40" s="34">
        <v>11107</v>
      </c>
      <c r="D40" s="34">
        <v>10543</v>
      </c>
      <c r="E40" s="34">
        <v>10087</v>
      </c>
      <c r="F40" s="34">
        <v>9709</v>
      </c>
      <c r="G40" s="34">
        <v>9533</v>
      </c>
      <c r="H40" s="34">
        <v>9281</v>
      </c>
      <c r="I40" s="34">
        <v>3187</v>
      </c>
      <c r="J40" s="34">
        <v>4785</v>
      </c>
      <c r="K40" s="34">
        <v>4335</v>
      </c>
      <c r="L40" s="34">
        <v>4504</v>
      </c>
      <c r="M40" s="34">
        <v>4970</v>
      </c>
      <c r="N40" s="34">
        <v>4897</v>
      </c>
      <c r="O40" s="34">
        <v>4487</v>
      </c>
      <c r="P40" s="34">
        <v>5342</v>
      </c>
      <c r="Q40" s="34">
        <v>7173</v>
      </c>
      <c r="R40" s="34">
        <v>8643</v>
      </c>
      <c r="S40" s="34">
        <v>15359</v>
      </c>
      <c r="T40" s="34">
        <v>13015</v>
      </c>
      <c r="U40" s="34">
        <v>13824</v>
      </c>
      <c r="V40" s="34">
        <v>13584</v>
      </c>
      <c r="W40" s="34">
        <v>13262</v>
      </c>
      <c r="X40" s="34">
        <v>13020</v>
      </c>
      <c r="Y40" s="34">
        <v>12711</v>
      </c>
      <c r="Z40" s="34">
        <v>12175</v>
      </c>
      <c r="AA40" s="34">
        <f t="shared" si="0"/>
        <v>219533</v>
      </c>
      <c r="AB40" s="35">
        <v>5</v>
      </c>
      <c r="AC40" s="34">
        <f t="shared" si="1"/>
        <v>1097665</v>
      </c>
      <c r="AD40" s="83"/>
    </row>
    <row r="41" spans="1:30" x14ac:dyDescent="0.35">
      <c r="A41" s="80"/>
      <c r="B41" s="36" t="s">
        <v>45</v>
      </c>
      <c r="C41" s="34">
        <v>11153</v>
      </c>
      <c r="D41" s="34">
        <v>10600</v>
      </c>
      <c r="E41" s="34">
        <v>10167</v>
      </c>
      <c r="F41" s="34">
        <v>9814</v>
      </c>
      <c r="G41" s="34">
        <v>9584</v>
      </c>
      <c r="H41" s="34">
        <v>9223</v>
      </c>
      <c r="I41" s="34">
        <v>2863</v>
      </c>
      <c r="J41" s="34">
        <v>3180</v>
      </c>
      <c r="K41" s="34">
        <v>1572</v>
      </c>
      <c r="L41" s="34">
        <v>1165</v>
      </c>
      <c r="M41" s="34">
        <v>1336</v>
      </c>
      <c r="N41" s="34">
        <v>1292</v>
      </c>
      <c r="O41" s="34">
        <v>1567</v>
      </c>
      <c r="P41" s="34">
        <v>2446</v>
      </c>
      <c r="Q41" s="34">
        <v>4201</v>
      </c>
      <c r="R41" s="34">
        <v>5825</v>
      </c>
      <c r="S41" s="34">
        <v>12915</v>
      </c>
      <c r="T41" s="34">
        <v>11401</v>
      </c>
      <c r="U41" s="34">
        <v>12451</v>
      </c>
      <c r="V41" s="34">
        <v>12757</v>
      </c>
      <c r="W41" s="34">
        <v>12958</v>
      </c>
      <c r="X41" s="34">
        <v>13045</v>
      </c>
      <c r="Y41" s="34">
        <v>12589</v>
      </c>
      <c r="Z41" s="34">
        <v>11786</v>
      </c>
      <c r="AA41" s="34">
        <f t="shared" si="0"/>
        <v>185890</v>
      </c>
      <c r="AB41" s="35">
        <v>4</v>
      </c>
      <c r="AC41" s="34">
        <f t="shared" si="1"/>
        <v>743560</v>
      </c>
      <c r="AD41" s="83"/>
    </row>
    <row r="42" spans="1:30" x14ac:dyDescent="0.35">
      <c r="A42" s="81"/>
      <c r="B42" s="37" t="s">
        <v>46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f t="shared" si="0"/>
        <v>0</v>
      </c>
      <c r="AB42" s="35">
        <v>0</v>
      </c>
      <c r="AC42" s="34">
        <f t="shared" si="1"/>
        <v>0</v>
      </c>
      <c r="AD42" s="84"/>
    </row>
    <row r="43" spans="1:30" x14ac:dyDescent="0.35">
      <c r="A43" s="79">
        <v>47027</v>
      </c>
      <c r="B43" s="33" t="s">
        <v>43</v>
      </c>
      <c r="C43" s="34">
        <v>10616</v>
      </c>
      <c r="D43" s="34">
        <v>10025</v>
      </c>
      <c r="E43" s="34">
        <v>9582</v>
      </c>
      <c r="F43" s="34">
        <v>9263</v>
      </c>
      <c r="G43" s="34">
        <v>9140</v>
      </c>
      <c r="H43" s="34">
        <v>9062</v>
      </c>
      <c r="I43" s="34">
        <v>2926</v>
      </c>
      <c r="J43" s="34">
        <v>4536</v>
      </c>
      <c r="K43" s="34">
        <v>4312</v>
      </c>
      <c r="L43" s="34">
        <v>4713</v>
      </c>
      <c r="M43" s="34">
        <v>5327</v>
      </c>
      <c r="N43" s="34">
        <v>5312</v>
      </c>
      <c r="O43" s="34">
        <v>4482</v>
      </c>
      <c r="P43" s="34">
        <v>6470</v>
      </c>
      <c r="Q43" s="34">
        <v>9212</v>
      </c>
      <c r="R43" s="34">
        <v>10666</v>
      </c>
      <c r="S43" s="34">
        <v>17278</v>
      </c>
      <c r="T43" s="34">
        <v>14242</v>
      </c>
      <c r="U43" s="34">
        <v>14126</v>
      </c>
      <c r="V43" s="34">
        <v>13725</v>
      </c>
      <c r="W43" s="34">
        <v>13552</v>
      </c>
      <c r="X43" s="34">
        <v>13316</v>
      </c>
      <c r="Y43" s="34">
        <v>12616</v>
      </c>
      <c r="Z43" s="34">
        <v>11712</v>
      </c>
      <c r="AA43" s="34">
        <f t="shared" si="0"/>
        <v>226211</v>
      </c>
      <c r="AB43" s="35">
        <v>21</v>
      </c>
      <c r="AC43" s="34">
        <f t="shared" si="1"/>
        <v>4750431</v>
      </c>
      <c r="AD43" s="82">
        <f>+SUM(AC43:AC46)</f>
        <v>6598849</v>
      </c>
    </row>
    <row r="44" spans="1:30" x14ac:dyDescent="0.35">
      <c r="A44" s="80"/>
      <c r="B44" s="36" t="s">
        <v>44</v>
      </c>
      <c r="C44" s="34">
        <v>10169</v>
      </c>
      <c r="D44" s="34">
        <v>9614</v>
      </c>
      <c r="E44" s="34">
        <v>9189</v>
      </c>
      <c r="F44" s="34">
        <v>8864</v>
      </c>
      <c r="G44" s="34">
        <v>8713</v>
      </c>
      <c r="H44" s="34">
        <v>8511</v>
      </c>
      <c r="I44" s="34">
        <v>2297</v>
      </c>
      <c r="J44" s="34">
        <v>3530</v>
      </c>
      <c r="K44" s="34">
        <v>3301</v>
      </c>
      <c r="L44" s="34">
        <v>3680</v>
      </c>
      <c r="M44" s="34">
        <v>4108</v>
      </c>
      <c r="N44" s="34">
        <v>4068</v>
      </c>
      <c r="O44" s="34">
        <v>3824</v>
      </c>
      <c r="P44" s="34">
        <v>4372</v>
      </c>
      <c r="Q44" s="34">
        <v>6089</v>
      </c>
      <c r="R44" s="34">
        <v>7473</v>
      </c>
      <c r="S44" s="34">
        <v>14364</v>
      </c>
      <c r="T44" s="34">
        <v>12386</v>
      </c>
      <c r="U44" s="34">
        <v>12839</v>
      </c>
      <c r="V44" s="34">
        <v>12485</v>
      </c>
      <c r="W44" s="34">
        <v>12229</v>
      </c>
      <c r="X44" s="34">
        <v>11969</v>
      </c>
      <c r="Y44" s="34">
        <v>11612</v>
      </c>
      <c r="Z44" s="34">
        <v>11066</v>
      </c>
      <c r="AA44" s="34">
        <f t="shared" si="0"/>
        <v>196752</v>
      </c>
      <c r="AB44" s="35">
        <v>4</v>
      </c>
      <c r="AC44" s="34">
        <f t="shared" si="1"/>
        <v>787008</v>
      </c>
      <c r="AD44" s="83"/>
    </row>
    <row r="45" spans="1:30" x14ac:dyDescent="0.35">
      <c r="A45" s="80"/>
      <c r="B45" s="36" t="s">
        <v>45</v>
      </c>
      <c r="C45" s="34">
        <v>10657</v>
      </c>
      <c r="D45" s="34">
        <v>10115</v>
      </c>
      <c r="E45" s="34">
        <v>9715</v>
      </c>
      <c r="F45" s="34">
        <v>9380</v>
      </c>
      <c r="G45" s="34">
        <v>9134</v>
      </c>
      <c r="H45" s="34">
        <v>8772</v>
      </c>
      <c r="I45" s="34">
        <v>2368</v>
      </c>
      <c r="J45" s="34">
        <v>2420</v>
      </c>
      <c r="K45" s="34">
        <v>933</v>
      </c>
      <c r="L45" s="34">
        <v>823</v>
      </c>
      <c r="M45" s="34">
        <v>852</v>
      </c>
      <c r="N45" s="34">
        <v>918</v>
      </c>
      <c r="O45" s="34">
        <v>1314</v>
      </c>
      <c r="P45" s="34">
        <v>2002</v>
      </c>
      <c r="Q45" s="34">
        <v>3517</v>
      </c>
      <c r="R45" s="34">
        <v>5329</v>
      </c>
      <c r="S45" s="34">
        <v>12462</v>
      </c>
      <c r="T45" s="34">
        <v>11264</v>
      </c>
      <c r="U45" s="34">
        <v>12045</v>
      </c>
      <c r="V45" s="34">
        <v>12223</v>
      </c>
      <c r="W45" s="34">
        <v>12392</v>
      </c>
      <c r="X45" s="34">
        <v>12470</v>
      </c>
      <c r="Y45" s="34">
        <v>12005</v>
      </c>
      <c r="Z45" s="34">
        <v>11304</v>
      </c>
      <c r="AA45" s="34">
        <f t="shared" si="0"/>
        <v>174414</v>
      </c>
      <c r="AB45" s="35">
        <v>5</v>
      </c>
      <c r="AC45" s="34">
        <f t="shared" si="1"/>
        <v>872070</v>
      </c>
      <c r="AD45" s="83"/>
    </row>
    <row r="46" spans="1:30" x14ac:dyDescent="0.35">
      <c r="A46" s="81"/>
      <c r="B46" s="37" t="s">
        <v>46</v>
      </c>
      <c r="C46" s="34">
        <v>10401</v>
      </c>
      <c r="D46" s="34">
        <v>9812</v>
      </c>
      <c r="E46" s="34">
        <v>9428</v>
      </c>
      <c r="F46" s="34">
        <v>9173</v>
      </c>
      <c r="G46" s="34">
        <v>9019</v>
      </c>
      <c r="H46" s="34">
        <v>8595</v>
      </c>
      <c r="I46" s="34">
        <v>2117</v>
      </c>
      <c r="J46" s="34">
        <v>2927</v>
      </c>
      <c r="K46" s="34">
        <v>1934</v>
      </c>
      <c r="L46" s="34">
        <v>2205</v>
      </c>
      <c r="M46" s="34">
        <v>2396</v>
      </c>
      <c r="N46" s="34">
        <v>2024</v>
      </c>
      <c r="O46" s="34">
        <v>2719</v>
      </c>
      <c r="P46" s="34">
        <v>3568</v>
      </c>
      <c r="Q46" s="34">
        <v>5385</v>
      </c>
      <c r="R46" s="34">
        <v>6681</v>
      </c>
      <c r="S46" s="34">
        <v>13574</v>
      </c>
      <c r="T46" s="34">
        <v>11925</v>
      </c>
      <c r="U46" s="34">
        <v>12682</v>
      </c>
      <c r="V46" s="34">
        <v>12881</v>
      </c>
      <c r="W46" s="34">
        <v>13026</v>
      </c>
      <c r="X46" s="34">
        <v>12987</v>
      </c>
      <c r="Y46" s="34">
        <v>12360</v>
      </c>
      <c r="Z46" s="34">
        <v>11521</v>
      </c>
      <c r="AA46" s="34">
        <f t="shared" si="0"/>
        <v>189340</v>
      </c>
      <c r="AB46" s="35">
        <v>1</v>
      </c>
      <c r="AC46" s="34">
        <f t="shared" si="1"/>
        <v>189340</v>
      </c>
      <c r="AD46" s="84"/>
    </row>
    <row r="47" spans="1:30" x14ac:dyDescent="0.35">
      <c r="A47" s="56">
        <v>47058</v>
      </c>
      <c r="B47" s="22" t="s">
        <v>43</v>
      </c>
      <c r="C47" s="34">
        <v>10569</v>
      </c>
      <c r="D47" s="34">
        <v>10000</v>
      </c>
      <c r="E47" s="34">
        <v>9601</v>
      </c>
      <c r="F47" s="34">
        <v>9319</v>
      </c>
      <c r="G47" s="34">
        <v>9268</v>
      </c>
      <c r="H47" s="34">
        <v>9280</v>
      </c>
      <c r="I47" s="34">
        <v>3238</v>
      </c>
      <c r="J47" s="34">
        <v>4930</v>
      </c>
      <c r="K47" s="34">
        <v>4594</v>
      </c>
      <c r="L47" s="34">
        <v>4873</v>
      </c>
      <c r="M47" s="34">
        <v>5418</v>
      </c>
      <c r="N47" s="34">
        <v>5352</v>
      </c>
      <c r="O47" s="34">
        <v>4538</v>
      </c>
      <c r="P47" s="34">
        <v>6347</v>
      </c>
      <c r="Q47" s="34">
        <v>8985</v>
      </c>
      <c r="R47" s="34">
        <v>10709</v>
      </c>
      <c r="S47" s="34">
        <v>17473</v>
      </c>
      <c r="T47" s="34">
        <v>14653</v>
      </c>
      <c r="U47" s="34">
        <v>14536</v>
      </c>
      <c r="V47" s="34">
        <v>14051</v>
      </c>
      <c r="W47" s="34">
        <v>13835</v>
      </c>
      <c r="X47" s="34">
        <v>13424</v>
      </c>
      <c r="Y47" s="34">
        <v>12670</v>
      </c>
      <c r="Z47" s="34">
        <v>11745</v>
      </c>
      <c r="AA47" s="24">
        <f t="shared" si="0"/>
        <v>229408</v>
      </c>
      <c r="AB47" s="25">
        <v>20</v>
      </c>
      <c r="AC47" s="24">
        <f t="shared" si="1"/>
        <v>4588160</v>
      </c>
      <c r="AD47" s="59">
        <f>+SUM(AC47:AC50)</f>
        <v>6537352</v>
      </c>
    </row>
    <row r="48" spans="1:30" x14ac:dyDescent="0.35">
      <c r="A48" s="57"/>
      <c r="B48" s="26" t="s">
        <v>44</v>
      </c>
      <c r="C48" s="34">
        <v>10720</v>
      </c>
      <c r="D48" s="34">
        <v>10142</v>
      </c>
      <c r="E48" s="34">
        <v>9726</v>
      </c>
      <c r="F48" s="34">
        <v>9424</v>
      </c>
      <c r="G48" s="34">
        <v>9291</v>
      </c>
      <c r="H48" s="34">
        <v>9127</v>
      </c>
      <c r="I48" s="34">
        <v>2931</v>
      </c>
      <c r="J48" s="34">
        <v>4376</v>
      </c>
      <c r="K48" s="34">
        <v>4111</v>
      </c>
      <c r="L48" s="34">
        <v>4533</v>
      </c>
      <c r="M48" s="34">
        <v>4769</v>
      </c>
      <c r="N48" s="34">
        <v>4683</v>
      </c>
      <c r="O48" s="34">
        <v>4277</v>
      </c>
      <c r="P48" s="34">
        <v>4886</v>
      </c>
      <c r="Q48" s="34">
        <v>6582</v>
      </c>
      <c r="R48" s="34">
        <v>8037</v>
      </c>
      <c r="S48" s="34">
        <v>14925</v>
      </c>
      <c r="T48" s="34">
        <v>13052</v>
      </c>
      <c r="U48" s="34">
        <v>13479</v>
      </c>
      <c r="V48" s="34">
        <v>13068</v>
      </c>
      <c r="W48" s="34">
        <v>12664</v>
      </c>
      <c r="X48" s="34">
        <v>12263</v>
      </c>
      <c r="Y48" s="34">
        <v>11884</v>
      </c>
      <c r="Z48" s="34">
        <v>11298</v>
      </c>
      <c r="AA48" s="24">
        <f t="shared" si="0"/>
        <v>210248</v>
      </c>
      <c r="AB48" s="25">
        <v>4</v>
      </c>
      <c r="AC48" s="24">
        <f t="shared" si="1"/>
        <v>840992</v>
      </c>
      <c r="AD48" s="60"/>
    </row>
    <row r="49" spans="1:30" x14ac:dyDescent="0.35">
      <c r="A49" s="57"/>
      <c r="B49" s="26" t="s">
        <v>45</v>
      </c>
      <c r="C49" s="34">
        <v>10406</v>
      </c>
      <c r="D49" s="34">
        <v>9906</v>
      </c>
      <c r="E49" s="34">
        <v>9542</v>
      </c>
      <c r="F49" s="34">
        <v>9201</v>
      </c>
      <c r="G49" s="34">
        <v>9004</v>
      </c>
      <c r="H49" s="34">
        <v>8725</v>
      </c>
      <c r="I49" s="34">
        <v>2359</v>
      </c>
      <c r="J49" s="34">
        <v>2750</v>
      </c>
      <c r="K49" s="34">
        <v>1450</v>
      </c>
      <c r="L49" s="34">
        <v>1351</v>
      </c>
      <c r="M49" s="34">
        <v>1624</v>
      </c>
      <c r="N49" s="34">
        <v>1511</v>
      </c>
      <c r="O49" s="34">
        <v>2012</v>
      </c>
      <c r="P49" s="34">
        <v>2633</v>
      </c>
      <c r="Q49" s="34">
        <v>4143</v>
      </c>
      <c r="R49" s="34">
        <v>5714</v>
      </c>
      <c r="S49" s="34">
        <v>12822</v>
      </c>
      <c r="T49" s="34">
        <v>11832</v>
      </c>
      <c r="U49" s="34">
        <v>12393</v>
      </c>
      <c r="V49" s="34">
        <v>12434</v>
      </c>
      <c r="W49" s="34">
        <v>12336</v>
      </c>
      <c r="X49" s="34">
        <v>12186</v>
      </c>
      <c r="Y49" s="34">
        <v>11814</v>
      </c>
      <c r="Z49" s="34">
        <v>11146</v>
      </c>
      <c r="AA49" s="24">
        <f t="shared" si="0"/>
        <v>179294</v>
      </c>
      <c r="AB49" s="25">
        <v>4</v>
      </c>
      <c r="AC49" s="24">
        <f t="shared" si="1"/>
        <v>717176</v>
      </c>
      <c r="AD49" s="60"/>
    </row>
    <row r="50" spans="1:30" x14ac:dyDescent="0.35">
      <c r="A50" s="58"/>
      <c r="B50" s="27" t="s">
        <v>46</v>
      </c>
      <c r="C50" s="34">
        <v>10437</v>
      </c>
      <c r="D50" s="34">
        <v>9885</v>
      </c>
      <c r="E50" s="34">
        <v>9487</v>
      </c>
      <c r="F50" s="34">
        <v>9195</v>
      </c>
      <c r="G50" s="34">
        <v>9055</v>
      </c>
      <c r="H50" s="34">
        <v>8797</v>
      </c>
      <c r="I50" s="34">
        <v>2368</v>
      </c>
      <c r="J50" s="34">
        <v>3139</v>
      </c>
      <c r="K50" s="34">
        <v>2110</v>
      </c>
      <c r="L50" s="34">
        <v>2348</v>
      </c>
      <c r="M50" s="34">
        <v>2736</v>
      </c>
      <c r="N50" s="34">
        <v>2767</v>
      </c>
      <c r="O50" s="34">
        <v>3106</v>
      </c>
      <c r="P50" s="34">
        <v>4011</v>
      </c>
      <c r="Q50" s="34">
        <v>5509</v>
      </c>
      <c r="R50" s="34">
        <v>7016</v>
      </c>
      <c r="S50" s="34">
        <v>14066</v>
      </c>
      <c r="T50" s="34">
        <v>12626</v>
      </c>
      <c r="U50" s="34">
        <v>13220</v>
      </c>
      <c r="V50" s="34">
        <v>13286</v>
      </c>
      <c r="W50" s="34">
        <v>13275</v>
      </c>
      <c r="X50" s="34">
        <v>13061</v>
      </c>
      <c r="Y50" s="34">
        <v>12423</v>
      </c>
      <c r="Z50" s="34">
        <v>11589</v>
      </c>
      <c r="AA50" s="24">
        <f t="shared" si="0"/>
        <v>195512</v>
      </c>
      <c r="AB50" s="25">
        <v>2</v>
      </c>
      <c r="AC50" s="24">
        <f t="shared" si="1"/>
        <v>391024</v>
      </c>
      <c r="AD50" s="61"/>
    </row>
    <row r="51" spans="1:30" x14ac:dyDescent="0.35">
      <c r="A51" s="56">
        <v>47088</v>
      </c>
      <c r="B51" s="22" t="s">
        <v>43</v>
      </c>
      <c r="C51" s="34">
        <v>10387</v>
      </c>
      <c r="D51" s="34">
        <v>9846</v>
      </c>
      <c r="E51" s="34">
        <v>9452</v>
      </c>
      <c r="F51" s="34">
        <v>9153</v>
      </c>
      <c r="G51" s="34">
        <v>9039</v>
      </c>
      <c r="H51" s="34">
        <v>8992</v>
      </c>
      <c r="I51" s="34">
        <v>2741</v>
      </c>
      <c r="J51" s="34">
        <v>4068</v>
      </c>
      <c r="K51" s="34">
        <v>3595</v>
      </c>
      <c r="L51" s="34">
        <v>3902</v>
      </c>
      <c r="M51" s="34">
        <v>4328</v>
      </c>
      <c r="N51" s="34">
        <v>4245</v>
      </c>
      <c r="O51" s="34">
        <v>3719</v>
      </c>
      <c r="P51" s="34">
        <v>5075</v>
      </c>
      <c r="Q51" s="34">
        <v>7521</v>
      </c>
      <c r="R51" s="34">
        <v>9139</v>
      </c>
      <c r="S51" s="34">
        <v>16050</v>
      </c>
      <c r="T51" s="34">
        <v>13492</v>
      </c>
      <c r="U51" s="34">
        <v>13779</v>
      </c>
      <c r="V51" s="34">
        <v>13337</v>
      </c>
      <c r="W51" s="34">
        <v>13011</v>
      </c>
      <c r="X51" s="34">
        <v>12718</v>
      </c>
      <c r="Y51" s="34">
        <v>12231</v>
      </c>
      <c r="Z51" s="34">
        <v>11530</v>
      </c>
      <c r="AA51" s="24">
        <f t="shared" si="0"/>
        <v>211350</v>
      </c>
      <c r="AB51" s="25">
        <v>19</v>
      </c>
      <c r="AC51" s="24">
        <f t="shared" si="1"/>
        <v>4015650</v>
      </c>
      <c r="AD51" s="59">
        <f>+SUM(AC51:AC54)</f>
        <v>6255105</v>
      </c>
    </row>
    <row r="52" spans="1:30" x14ac:dyDescent="0.35">
      <c r="A52" s="57"/>
      <c r="B52" s="26" t="s">
        <v>44</v>
      </c>
      <c r="C52" s="34">
        <v>10717</v>
      </c>
      <c r="D52" s="34">
        <v>10157</v>
      </c>
      <c r="E52" s="34">
        <v>9690</v>
      </c>
      <c r="F52" s="34">
        <v>9339</v>
      </c>
      <c r="G52" s="34">
        <v>9163</v>
      </c>
      <c r="H52" s="34">
        <v>9112</v>
      </c>
      <c r="I52" s="34">
        <v>2738</v>
      </c>
      <c r="J52" s="34">
        <v>3721</v>
      </c>
      <c r="K52" s="34">
        <v>3210</v>
      </c>
      <c r="L52" s="34">
        <v>3439</v>
      </c>
      <c r="M52" s="34">
        <v>3774</v>
      </c>
      <c r="N52" s="34">
        <v>3669</v>
      </c>
      <c r="O52" s="34">
        <v>3654</v>
      </c>
      <c r="P52" s="34">
        <v>4385</v>
      </c>
      <c r="Q52" s="34">
        <v>6082</v>
      </c>
      <c r="R52" s="34">
        <v>7567</v>
      </c>
      <c r="S52" s="34">
        <v>14488</v>
      </c>
      <c r="T52" s="34">
        <v>12905</v>
      </c>
      <c r="U52" s="34">
        <v>13625</v>
      </c>
      <c r="V52" s="34">
        <v>13310</v>
      </c>
      <c r="W52" s="34">
        <v>12890</v>
      </c>
      <c r="X52" s="34">
        <v>12596</v>
      </c>
      <c r="Y52" s="34">
        <v>12339</v>
      </c>
      <c r="Z52" s="34">
        <v>11855</v>
      </c>
      <c r="AA52" s="24">
        <f t="shared" si="0"/>
        <v>204425</v>
      </c>
      <c r="AB52" s="25">
        <v>5</v>
      </c>
      <c r="AC52" s="24">
        <f t="shared" si="1"/>
        <v>1022125</v>
      </c>
      <c r="AD52" s="60"/>
    </row>
    <row r="53" spans="1:30" x14ac:dyDescent="0.35">
      <c r="A53" s="57"/>
      <c r="B53" s="26" t="s">
        <v>45</v>
      </c>
      <c r="C53" s="34">
        <v>11142</v>
      </c>
      <c r="D53" s="34">
        <v>10540</v>
      </c>
      <c r="E53" s="34">
        <v>10079</v>
      </c>
      <c r="F53" s="34">
        <v>9734</v>
      </c>
      <c r="G53" s="34">
        <v>9501</v>
      </c>
      <c r="H53" s="34">
        <v>8976</v>
      </c>
      <c r="I53" s="34">
        <v>2453</v>
      </c>
      <c r="J53" s="34">
        <v>2615</v>
      </c>
      <c r="K53" s="34">
        <v>1281</v>
      </c>
      <c r="L53" s="34">
        <v>1202</v>
      </c>
      <c r="M53" s="34">
        <v>1306</v>
      </c>
      <c r="N53" s="34">
        <v>1306</v>
      </c>
      <c r="O53" s="34">
        <v>1701</v>
      </c>
      <c r="P53" s="34">
        <v>2415</v>
      </c>
      <c r="Q53" s="34">
        <v>4051</v>
      </c>
      <c r="R53" s="34">
        <v>5983</v>
      </c>
      <c r="S53" s="34">
        <v>13164</v>
      </c>
      <c r="T53" s="34">
        <v>12175</v>
      </c>
      <c r="U53" s="34">
        <v>13233</v>
      </c>
      <c r="V53" s="34">
        <v>13117</v>
      </c>
      <c r="W53" s="34">
        <v>12701</v>
      </c>
      <c r="X53" s="34">
        <v>12194</v>
      </c>
      <c r="Y53" s="34">
        <v>11613</v>
      </c>
      <c r="Z53" s="34">
        <v>11038</v>
      </c>
      <c r="AA53" s="24">
        <f t="shared" si="0"/>
        <v>183520</v>
      </c>
      <c r="AB53" s="25">
        <v>5</v>
      </c>
      <c r="AC53" s="24">
        <f t="shared" si="1"/>
        <v>917600</v>
      </c>
      <c r="AD53" s="60"/>
    </row>
    <row r="54" spans="1:30" x14ac:dyDescent="0.35">
      <c r="A54" s="58"/>
      <c r="B54" s="27" t="s">
        <v>46</v>
      </c>
      <c r="C54" s="34">
        <v>8353</v>
      </c>
      <c r="D54" s="34">
        <v>8076</v>
      </c>
      <c r="E54" s="34">
        <v>7853</v>
      </c>
      <c r="F54" s="34">
        <v>7635</v>
      </c>
      <c r="G54" s="34">
        <v>7489</v>
      </c>
      <c r="H54" s="34">
        <v>7332</v>
      </c>
      <c r="I54" s="34">
        <v>828</v>
      </c>
      <c r="J54" s="34">
        <v>1032</v>
      </c>
      <c r="K54" s="34">
        <v>2655</v>
      </c>
      <c r="L54" s="34">
        <v>3371</v>
      </c>
      <c r="M54" s="34">
        <v>2757</v>
      </c>
      <c r="N54" s="34">
        <v>3799</v>
      </c>
      <c r="O54" s="34">
        <v>1044</v>
      </c>
      <c r="P54" s="34">
        <v>527</v>
      </c>
      <c r="Q54" s="34">
        <v>1917</v>
      </c>
      <c r="R54" s="34">
        <v>3480</v>
      </c>
      <c r="S54" s="34">
        <v>10651</v>
      </c>
      <c r="T54" s="34">
        <v>9660</v>
      </c>
      <c r="U54" s="34">
        <v>10623</v>
      </c>
      <c r="V54" s="34">
        <v>10719</v>
      </c>
      <c r="W54" s="34">
        <v>10526</v>
      </c>
      <c r="X54" s="34">
        <v>10312</v>
      </c>
      <c r="Y54" s="34">
        <v>9911</v>
      </c>
      <c r="Z54" s="34">
        <v>9315</v>
      </c>
      <c r="AA54" s="24">
        <f t="shared" si="0"/>
        <v>149865</v>
      </c>
      <c r="AB54" s="25">
        <v>2</v>
      </c>
      <c r="AC54" s="24">
        <f t="shared" si="1"/>
        <v>299730</v>
      </c>
      <c r="AD54" s="61"/>
    </row>
    <row r="55" spans="1:30" x14ac:dyDescent="0.35">
      <c r="AD55" s="46">
        <f>+SUM(AD7:AD54)</f>
        <v>74312646</v>
      </c>
    </row>
    <row r="58" spans="1:30" x14ac:dyDescent="0.35"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OF P1 </vt:lpstr>
      <vt:lpstr>CURVA P1</vt:lpstr>
      <vt:lpstr>OF P2</vt:lpstr>
      <vt:lpstr>CURVA P2</vt:lpstr>
      <vt:lpstr>OF P3</vt:lpstr>
      <vt:lpstr>CURVA P3</vt:lpstr>
      <vt:lpstr>OF P4</vt:lpstr>
      <vt:lpstr>CURVA 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ANTONIO CLAVIJO CACERES</dc:creator>
  <cp:lastModifiedBy>MARCELA VANESSA COLMENARES VILLAMIZAR</cp:lastModifiedBy>
  <dcterms:created xsi:type="dcterms:W3CDTF">2024-08-30T16:40:26Z</dcterms:created>
  <dcterms:modified xsi:type="dcterms:W3CDTF">2025-02-11T17:50:29Z</dcterms:modified>
</cp:coreProperties>
</file>