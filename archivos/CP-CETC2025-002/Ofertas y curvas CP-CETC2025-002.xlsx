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TSA/Licitacion/2025/002/Prepliegos/"/>
    </mc:Choice>
  </mc:AlternateContent>
  <xr:revisionPtr revIDLastSave="4" documentId="13_ncr:1_{AE1D325C-085B-42D8-BDAD-0050A579F3D5}" xr6:coauthVersionLast="47" xr6:coauthVersionMax="47" xr10:uidLastSave="{FC4A1855-CCBC-4F68-AF85-1C03D8C72383}"/>
  <bookViews>
    <workbookView xWindow="20370" yWindow="-120" windowWidth="29040" windowHeight="15720" activeTab="3" xr2:uid="{AE04A264-B901-4B34-A8A6-2C5B58A0F334}"/>
  </bookViews>
  <sheets>
    <sheet name="Anexo 1" sheetId="59" r:id="rId1"/>
    <sheet name="Anexo 3" sheetId="26" r:id="rId2"/>
    <sheet name="Cantidades Ofertadas Prod 1" sheetId="27" r:id="rId3"/>
    <sheet name="Anexo2" sheetId="67" r:id="rId4"/>
    <sheet name="Anexo 4" sheetId="68" r:id="rId5"/>
    <sheet name="Cantidades Ofertadas Prod 2" sheetId="6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8" i="69" l="1"/>
  <c r="Q38" i="69"/>
  <c r="P38" i="69"/>
  <c r="O38" i="69"/>
  <c r="N38" i="69"/>
  <c r="M38" i="69"/>
  <c r="L38" i="69"/>
  <c r="K38" i="69"/>
  <c r="J38" i="69"/>
  <c r="I38" i="69"/>
  <c r="R37" i="69"/>
  <c r="Q37" i="69"/>
  <c r="P37" i="69"/>
  <c r="O37" i="69"/>
  <c r="N37" i="69"/>
  <c r="M37" i="69"/>
  <c r="L37" i="69"/>
  <c r="K37" i="69"/>
  <c r="J37" i="69"/>
  <c r="I37" i="69"/>
  <c r="R36" i="69"/>
  <c r="Q36" i="69"/>
  <c r="P36" i="69"/>
  <c r="O36" i="69"/>
  <c r="N36" i="69"/>
  <c r="M36" i="69"/>
  <c r="L36" i="69"/>
  <c r="K36" i="69"/>
  <c r="J36" i="69"/>
  <c r="I36" i="69"/>
  <c r="R35" i="69"/>
  <c r="Q35" i="69"/>
  <c r="P35" i="69"/>
  <c r="O35" i="69"/>
  <c r="N35" i="69"/>
  <c r="M35" i="69"/>
  <c r="L35" i="69"/>
  <c r="K35" i="69"/>
  <c r="J35" i="69"/>
  <c r="I35" i="69"/>
  <c r="R34" i="69"/>
  <c r="Q34" i="69"/>
  <c r="P34" i="69"/>
  <c r="O34" i="69"/>
  <c r="N34" i="69"/>
  <c r="M34" i="69"/>
  <c r="L34" i="69"/>
  <c r="K34" i="69"/>
  <c r="J34" i="69"/>
  <c r="I34" i="69"/>
  <c r="R33" i="69"/>
  <c r="Q33" i="69"/>
  <c r="P33" i="69"/>
  <c r="O33" i="69"/>
  <c r="N33" i="69"/>
  <c r="M33" i="69"/>
  <c r="L33" i="69"/>
  <c r="K33" i="69"/>
  <c r="J33" i="69"/>
  <c r="I33" i="69"/>
  <c r="R32" i="69"/>
  <c r="Q32" i="69"/>
  <c r="P32" i="69"/>
  <c r="O32" i="69"/>
  <c r="N32" i="69"/>
  <c r="M32" i="69"/>
  <c r="L32" i="69"/>
  <c r="K32" i="69"/>
  <c r="J32" i="69"/>
  <c r="I32" i="69"/>
  <c r="R31" i="69"/>
  <c r="Q31" i="69"/>
  <c r="P31" i="69"/>
  <c r="O31" i="69"/>
  <c r="N31" i="69"/>
  <c r="M31" i="69"/>
  <c r="L31" i="69"/>
  <c r="K31" i="69"/>
  <c r="J31" i="69"/>
  <c r="I31" i="69"/>
  <c r="R30" i="69"/>
  <c r="Q30" i="69"/>
  <c r="P30" i="69"/>
  <c r="O30" i="69"/>
  <c r="N30" i="69"/>
  <c r="M30" i="69"/>
  <c r="L30" i="69"/>
  <c r="K30" i="69"/>
  <c r="J30" i="69"/>
  <c r="I30" i="69"/>
  <c r="R29" i="69"/>
  <c r="Q29" i="69"/>
  <c r="P29" i="69"/>
  <c r="O29" i="69"/>
  <c r="N29" i="69"/>
  <c r="M29" i="69"/>
  <c r="L29" i="69"/>
  <c r="K29" i="69"/>
  <c r="J29" i="69"/>
  <c r="I29" i="69"/>
  <c r="R28" i="69"/>
  <c r="Q28" i="69"/>
  <c r="P28" i="69"/>
  <c r="O28" i="69"/>
  <c r="N28" i="69"/>
  <c r="M28" i="69"/>
  <c r="L28" i="69"/>
  <c r="K28" i="69"/>
  <c r="J28" i="69"/>
  <c r="I28" i="69"/>
  <c r="R27" i="69"/>
  <c r="Q27" i="69"/>
  <c r="P27" i="69"/>
  <c r="O27" i="69"/>
  <c r="N27" i="69"/>
  <c r="M27" i="69"/>
  <c r="L27" i="69"/>
  <c r="K27" i="69"/>
  <c r="J27" i="69"/>
  <c r="I27" i="69"/>
  <c r="R26" i="69"/>
  <c r="Q26" i="69"/>
  <c r="P26" i="69"/>
  <c r="O26" i="69"/>
  <c r="N26" i="69"/>
  <c r="M26" i="69"/>
  <c r="L26" i="69"/>
  <c r="K26" i="69"/>
  <c r="J26" i="69"/>
  <c r="I26" i="69"/>
  <c r="R25" i="69"/>
  <c r="Q25" i="69"/>
  <c r="P25" i="69"/>
  <c r="O25" i="69"/>
  <c r="N25" i="69"/>
  <c r="M25" i="69"/>
  <c r="L25" i="69"/>
  <c r="K25" i="69"/>
  <c r="J25" i="69"/>
  <c r="I25" i="69"/>
  <c r="R24" i="69"/>
  <c r="Q24" i="69"/>
  <c r="P24" i="69"/>
  <c r="O24" i="69"/>
  <c r="N24" i="69"/>
  <c r="M24" i="69"/>
  <c r="L24" i="69"/>
  <c r="K24" i="69"/>
  <c r="J24" i="69"/>
  <c r="I24" i="69"/>
  <c r="R23" i="69"/>
  <c r="Q23" i="69"/>
  <c r="P23" i="69"/>
  <c r="O23" i="69"/>
  <c r="N23" i="69"/>
  <c r="M23" i="69"/>
  <c r="L23" i="69"/>
  <c r="K23" i="69"/>
  <c r="J23" i="69"/>
  <c r="I23" i="69"/>
  <c r="R22" i="69"/>
  <c r="Q22" i="69"/>
  <c r="P22" i="69"/>
  <c r="O22" i="69"/>
  <c r="N22" i="69"/>
  <c r="M22" i="69"/>
  <c r="L22" i="69"/>
  <c r="K22" i="69"/>
  <c r="J22" i="69"/>
  <c r="I22" i="69"/>
  <c r="R21" i="69"/>
  <c r="Q21" i="69"/>
  <c r="P21" i="69"/>
  <c r="O21" i="69"/>
  <c r="N21" i="69"/>
  <c r="M21" i="69"/>
  <c r="L21" i="69"/>
  <c r="K21" i="69"/>
  <c r="J21" i="69"/>
  <c r="I21" i="69"/>
  <c r="R20" i="69"/>
  <c r="Q20" i="69"/>
  <c r="P20" i="69"/>
  <c r="O20" i="69"/>
  <c r="N20" i="69"/>
  <c r="M20" i="69"/>
  <c r="L20" i="69"/>
  <c r="K20" i="69"/>
  <c r="J20" i="69"/>
  <c r="I20" i="69"/>
  <c r="R19" i="69"/>
  <c r="Q19" i="69"/>
  <c r="P19" i="69"/>
  <c r="O19" i="69"/>
  <c r="N19" i="69"/>
  <c r="M19" i="69"/>
  <c r="L19" i="69"/>
  <c r="K19" i="69"/>
  <c r="J19" i="69"/>
  <c r="I19" i="69"/>
  <c r="R18" i="69"/>
  <c r="Q18" i="69"/>
  <c r="P18" i="69"/>
  <c r="O18" i="69"/>
  <c r="N18" i="69"/>
  <c r="M18" i="69"/>
  <c r="L18" i="69"/>
  <c r="K18" i="69"/>
  <c r="J18" i="69"/>
  <c r="I18" i="69"/>
  <c r="R17" i="69"/>
  <c r="Q17" i="69"/>
  <c r="P17" i="69"/>
  <c r="O17" i="69"/>
  <c r="N17" i="69"/>
  <c r="M17" i="69"/>
  <c r="L17" i="69"/>
  <c r="K17" i="69"/>
  <c r="J17" i="69"/>
  <c r="I17" i="69"/>
  <c r="R16" i="69"/>
  <c r="Q16" i="69"/>
  <c r="P16" i="69"/>
  <c r="O16" i="69"/>
  <c r="N16" i="69"/>
  <c r="M16" i="69"/>
  <c r="L16" i="69"/>
  <c r="K16" i="69"/>
  <c r="J16" i="69"/>
  <c r="I16" i="69"/>
  <c r="R15" i="69"/>
  <c r="Q15" i="69"/>
  <c r="P15" i="69"/>
  <c r="O15" i="69"/>
  <c r="N15" i="69"/>
  <c r="M15" i="69"/>
  <c r="L15" i="69"/>
  <c r="K15" i="69"/>
  <c r="J15" i="69"/>
  <c r="I15" i="69"/>
  <c r="R14" i="69"/>
  <c r="Q14" i="69"/>
  <c r="P14" i="69"/>
  <c r="O14" i="69"/>
  <c r="N14" i="69"/>
  <c r="M14" i="69"/>
  <c r="L14" i="69"/>
  <c r="K14" i="69"/>
  <c r="J14" i="69"/>
  <c r="I14" i="69"/>
  <c r="R13" i="69"/>
  <c r="Q13" i="69"/>
  <c r="P13" i="69"/>
  <c r="O13" i="69"/>
  <c r="N13" i="69"/>
  <c r="M13" i="69"/>
  <c r="L13" i="69"/>
  <c r="K13" i="69"/>
  <c r="J13" i="69"/>
  <c r="I13" i="69"/>
  <c r="R12" i="69"/>
  <c r="Q12" i="69"/>
  <c r="P12" i="69"/>
  <c r="O12" i="69"/>
  <c r="N12" i="69"/>
  <c r="M12" i="69"/>
  <c r="L12" i="69"/>
  <c r="K12" i="69"/>
  <c r="J12" i="69"/>
  <c r="I12" i="69"/>
  <c r="R11" i="69"/>
  <c r="Q11" i="69"/>
  <c r="P11" i="69"/>
  <c r="O11" i="69"/>
  <c r="N11" i="69"/>
  <c r="M11" i="69"/>
  <c r="L11" i="69"/>
  <c r="K11" i="69"/>
  <c r="J11" i="69"/>
  <c r="I11" i="69"/>
  <c r="R10" i="69"/>
  <c r="Q10" i="69"/>
  <c r="P10" i="69"/>
  <c r="O10" i="69"/>
  <c r="N10" i="69"/>
  <c r="M10" i="69"/>
  <c r="L10" i="69"/>
  <c r="K10" i="69"/>
  <c r="J10" i="69"/>
  <c r="I10" i="69"/>
  <c r="R9" i="69"/>
  <c r="Q9" i="69"/>
  <c r="P9" i="69"/>
  <c r="O9" i="69"/>
  <c r="N9" i="69"/>
  <c r="M9" i="69"/>
  <c r="L9" i="69"/>
  <c r="K9" i="69"/>
  <c r="J9" i="69"/>
  <c r="I9" i="69"/>
  <c r="R8" i="69"/>
  <c r="Q8" i="69"/>
  <c r="P8" i="69"/>
  <c r="O8" i="69"/>
  <c r="N8" i="69"/>
  <c r="M8" i="69"/>
  <c r="L8" i="69"/>
  <c r="K8" i="69"/>
  <c r="J8" i="69"/>
  <c r="I8" i="69"/>
  <c r="R7" i="69"/>
  <c r="Q7" i="69"/>
  <c r="P7" i="69"/>
  <c r="O7" i="69"/>
  <c r="N7" i="69"/>
  <c r="M7" i="69"/>
  <c r="L7" i="69"/>
  <c r="K7" i="69"/>
  <c r="J7" i="69"/>
  <c r="I7" i="69"/>
  <c r="R6" i="69"/>
  <c r="Q6" i="69"/>
  <c r="P6" i="69"/>
  <c r="O6" i="69"/>
  <c r="N6" i="69"/>
  <c r="M6" i="69"/>
  <c r="L6" i="69"/>
  <c r="K6" i="69"/>
  <c r="J6" i="69"/>
  <c r="I6" i="69"/>
  <c r="E11" i="67"/>
  <c r="E12" i="67"/>
  <c r="E13" i="67"/>
  <c r="E14" i="67"/>
  <c r="E15" i="67"/>
  <c r="E16" i="67"/>
  <c r="E17" i="67"/>
  <c r="E18" i="67"/>
  <c r="E19" i="67"/>
  <c r="E20" i="67"/>
  <c r="AB39" i="69"/>
  <c r="Z39" i="69"/>
  <c r="Y39" i="69"/>
  <c r="X39" i="69"/>
  <c r="W39" i="69"/>
  <c r="V39" i="69"/>
  <c r="U39" i="69"/>
  <c r="T39" i="69"/>
  <c r="S39" i="69"/>
  <c r="H39" i="69"/>
  <c r="G39" i="69"/>
  <c r="F39" i="69"/>
  <c r="E39" i="69"/>
  <c r="D39" i="69"/>
  <c r="C39" i="69"/>
  <c r="C20" i="67"/>
  <c r="C19" i="67"/>
  <c r="C18" i="67"/>
  <c r="C17" i="67"/>
  <c r="C16" i="67"/>
  <c r="C15" i="67"/>
  <c r="C14" i="67"/>
  <c r="C13" i="67"/>
  <c r="C12" i="67"/>
  <c r="C11" i="67"/>
  <c r="E10" i="67"/>
  <c r="C10" i="67"/>
  <c r="AB39" i="68"/>
  <c r="Z39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C39" i="68"/>
  <c r="AA38" i="68"/>
  <c r="AA37" i="68"/>
  <c r="AA36" i="68"/>
  <c r="AC36" i="68" s="1"/>
  <c r="AA35" i="68"/>
  <c r="AA34" i="68"/>
  <c r="AA33" i="68"/>
  <c r="AC33" i="68" s="1"/>
  <c r="AA32" i="68"/>
  <c r="AA31" i="68"/>
  <c r="AA30" i="68"/>
  <c r="AA29" i="68"/>
  <c r="AA28" i="68"/>
  <c r="AC27" i="68" s="1"/>
  <c r="AA27" i="68"/>
  <c r="AA26" i="68"/>
  <c r="AA25" i="68"/>
  <c r="AA24" i="68"/>
  <c r="AA23" i="68"/>
  <c r="AA22" i="68"/>
  <c r="AA21" i="68"/>
  <c r="AA20" i="68"/>
  <c r="AA19" i="68"/>
  <c r="AA18" i="68"/>
  <c r="AA17" i="68"/>
  <c r="AA16" i="68"/>
  <c r="AA15" i="68"/>
  <c r="AA14" i="68"/>
  <c r="AA13" i="68"/>
  <c r="AA12" i="68"/>
  <c r="AC12" i="68" s="1"/>
  <c r="AA11" i="68"/>
  <c r="AA10" i="68"/>
  <c r="AA9" i="68"/>
  <c r="AA8" i="68"/>
  <c r="AA7" i="68"/>
  <c r="AA6" i="68"/>
  <c r="F21" i="6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E10" i="59"/>
  <c r="N39" i="69" l="1"/>
  <c r="L39" i="69"/>
  <c r="M39" i="69"/>
  <c r="Q39" i="69"/>
  <c r="K39" i="69"/>
  <c r="J39" i="69"/>
  <c r="R39" i="69"/>
  <c r="I39" i="69"/>
  <c r="O39" i="69"/>
  <c r="P39" i="69"/>
  <c r="AA6" i="69"/>
  <c r="AA7" i="69"/>
  <c r="AA8" i="69"/>
  <c r="AA9" i="69"/>
  <c r="AA10" i="69"/>
  <c r="AA11" i="69"/>
  <c r="AA12" i="69"/>
  <c r="AA13" i="69"/>
  <c r="AA14" i="69"/>
  <c r="AA15" i="69"/>
  <c r="AA16" i="69"/>
  <c r="AA17" i="69"/>
  <c r="AA18" i="69"/>
  <c r="AA19" i="69"/>
  <c r="AA20" i="69"/>
  <c r="AA21" i="69"/>
  <c r="AA22" i="69"/>
  <c r="AA23" i="69"/>
  <c r="AA24" i="69"/>
  <c r="AA25" i="69"/>
  <c r="AA26" i="69"/>
  <c r="AA27" i="69"/>
  <c r="AA28" i="69"/>
  <c r="AA29" i="69"/>
  <c r="AA30" i="69"/>
  <c r="AA31" i="69"/>
  <c r="AA32" i="69"/>
  <c r="AA33" i="69"/>
  <c r="AA34" i="69"/>
  <c r="AA35" i="69"/>
  <c r="AA36" i="69"/>
  <c r="AA37" i="69"/>
  <c r="AA38" i="69"/>
  <c r="E21" i="67"/>
  <c r="C21" i="67"/>
  <c r="AC18" i="68"/>
  <c r="AC6" i="68"/>
  <c r="AC15" i="68"/>
  <c r="AC24" i="68"/>
  <c r="AC9" i="68"/>
  <c r="AC21" i="68"/>
  <c r="AC30" i="68"/>
  <c r="AC39" i="68"/>
  <c r="AA39" i="68"/>
  <c r="AC27" i="69" l="1"/>
  <c r="AC33" i="69"/>
  <c r="AC18" i="69"/>
  <c r="AC9" i="69"/>
  <c r="AC15" i="69"/>
  <c r="AC30" i="69"/>
  <c r="AC6" i="69"/>
  <c r="AC24" i="69"/>
  <c r="AC21" i="69"/>
  <c r="AC36" i="69"/>
  <c r="AC12" i="69"/>
  <c r="AA39" i="69"/>
  <c r="AC39" i="69" l="1"/>
  <c r="F21" i="59" l="1"/>
  <c r="E20" i="59"/>
  <c r="E19" i="59"/>
  <c r="E18" i="59"/>
  <c r="E17" i="59"/>
  <c r="E16" i="59"/>
  <c r="E15" i="59"/>
  <c r="E14" i="59"/>
  <c r="E13" i="59"/>
  <c r="E12" i="59"/>
  <c r="E11" i="59"/>
  <c r="E21" i="59" l="1"/>
  <c r="C39" i="26" l="1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S39" i="27" l="1"/>
  <c r="P39" i="27"/>
  <c r="J39" i="27"/>
  <c r="H39" i="27"/>
  <c r="AB39" i="27"/>
  <c r="X39" i="27"/>
  <c r="AB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A23" i="26"/>
  <c r="AA22" i="26"/>
  <c r="AA21" i="26"/>
  <c r="AA20" i="26"/>
  <c r="AA19" i="26"/>
  <c r="AA18" i="26"/>
  <c r="AA17" i="26"/>
  <c r="AA16" i="26"/>
  <c r="AA15" i="26"/>
  <c r="AA14" i="26"/>
  <c r="AA13" i="26"/>
  <c r="AA12" i="26"/>
  <c r="AA11" i="26"/>
  <c r="AA10" i="26"/>
  <c r="AA9" i="26"/>
  <c r="AA8" i="26"/>
  <c r="AA7" i="26"/>
  <c r="AA6" i="26"/>
  <c r="Y39" i="27" l="1"/>
  <c r="K39" i="27"/>
  <c r="R39" i="27"/>
  <c r="D39" i="27"/>
  <c r="AC30" i="26"/>
  <c r="C18" i="59" s="1"/>
  <c r="V39" i="27"/>
  <c r="T39" i="27"/>
  <c r="N39" i="27"/>
  <c r="G39" i="27"/>
  <c r="I39" i="27"/>
  <c r="F39" i="27"/>
  <c r="U39" i="27"/>
  <c r="E39" i="27"/>
  <c r="AC12" i="26"/>
  <c r="C12" i="59" s="1"/>
  <c r="W39" i="27"/>
  <c r="AC24" i="26"/>
  <c r="C16" i="59" s="1"/>
  <c r="AC18" i="26"/>
  <c r="C14" i="59" s="1"/>
  <c r="AC33" i="26"/>
  <c r="C19" i="59" s="1"/>
  <c r="AC6" i="26"/>
  <c r="C10" i="59" s="1"/>
  <c r="AC21" i="26"/>
  <c r="C15" i="59" s="1"/>
  <c r="AC36" i="26"/>
  <c r="C20" i="59" s="1"/>
  <c r="O39" i="27"/>
  <c r="Q39" i="27"/>
  <c r="L39" i="27"/>
  <c r="M39" i="27"/>
  <c r="Z39" i="27"/>
  <c r="C39" i="27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C27" i="26"/>
  <c r="C17" i="59" s="1"/>
  <c r="AC15" i="26"/>
  <c r="C13" i="59" s="1"/>
  <c r="AC9" i="26"/>
  <c r="C11" i="59" s="1"/>
  <c r="AA39" i="26"/>
  <c r="C21" i="59" l="1"/>
  <c r="AC39" i="26"/>
  <c r="AC30" i="27"/>
  <c r="AC27" i="27"/>
  <c r="AC15" i="27"/>
  <c r="AC18" i="27"/>
  <c r="AC24" i="27"/>
  <c r="AC9" i="27"/>
  <c r="AC6" i="27"/>
  <c r="AC21" i="27"/>
  <c r="AC33" i="27"/>
  <c r="AC36" i="27"/>
  <c r="AC12" i="27"/>
  <c r="AA39" i="27"/>
  <c r="AC39" i="27" l="1"/>
</calcChain>
</file>

<file path=xl/sharedStrings.xml><?xml version="1.0" encoding="utf-8"?>
<sst xmlns="http://schemas.openxmlformats.org/spreadsheetml/2006/main" count="292" uniqueCount="57">
  <si>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</si>
  <si>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</si>
  <si>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</si>
  <si>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</si>
  <si>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</si>
  <si>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</si>
  <si>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</si>
  <si>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</si>
  <si>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</si>
  <si>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</si>
  <si>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</si>
  <si>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</si>
  <si>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</si>
  <si>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</si>
  <si>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</si>
  <si>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</si>
  <si>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</si>
  <si>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</si>
  <si>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</si>
  <si>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</si>
  <si>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</si>
  <si>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</si>
  <si>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</si>
  <si>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</si>
  <si>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</si>
  <si>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</si>
  <si>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</si>
  <si>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</si>
  <si>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</si>
  <si>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</si>
  <si>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</si>
  <si>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</si>
  <si>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</si>
  <si>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</si>
  <si>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</si>
  <si>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</si>
  <si>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OFERTADA kWh/MES</t>
  </si>
  <si>
    <t>PAGUE LO CONTRATADO AÑO 2026</t>
  </si>
  <si>
    <t>PRECIO OFERTADO ANUAL $/kWh</t>
  </si>
  <si>
    <t>* Se debe ofertar un unico precio por producto.</t>
  </si>
  <si>
    <t>CURVAS REQUERIDAS PRODUCTO 1 AÑO 2026 MODALIDAD PAGUE LO CONTRATADO - kWh</t>
  </si>
  <si>
    <t>CANTIDADES OFERTADAS PRODUCTO 1 AÑO 2026 MODALIDAD PAGUE LO CONTRATADO - kWh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</si>
  <si>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</si>
  <si>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</si>
  <si>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</si>
  <si>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</si>
  <si>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*Solo se debe ingresar valores en las celdas en color Naranja</t>
  </si>
  <si>
    <t>kWh OFERTADO</t>
  </si>
  <si>
    <t>ANEXO No  1 - PRODUCTO No. 1 - OFERTA PLANA</t>
  </si>
  <si>
    <t>PRECIO OFERTADO EN $ / kWh DE OCTUBRE DE 2025</t>
  </si>
  <si>
    <t>ANEXO No  2 - PRODUCTO No.2 - OFERTA PLANA BLOQUE 2</t>
  </si>
  <si>
    <t>CANTIDADES OFERTADAS PRODUCTO 2 AÑO 2026 MODALIDAD PAGUE LO CONTRATADO - kWh</t>
  </si>
  <si>
    <t>CURVAS REQUERIDAS PRODUCTO 2 AÑO 2026 MODALIDAD PAGUE LO CONTRATADO - kWh</t>
  </si>
  <si>
    <t>*  La energia ofertada se calcula de manera automatica en la hoja "Cantidades Ofertadas Prod1"</t>
  </si>
  <si>
    <t>*  La energia ofertada se calcula de manera automatica en la hoja "Cantidades Ofertadas Prod2"</t>
  </si>
  <si>
    <t>* Se debe oferta un valor de kWh el cual se aplica para todas las horas del año, con un tope horario de 2.650 kWh</t>
  </si>
  <si>
    <t>* Se debe oferta un valor de kWh el cual se aplica para todas las horas del bloque 2  del año, con un tope horario de 2.650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</si>
</sst>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7" fontId="7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0" xfId="0" applyFont="1"/>
    <xf numFmtId="0" fontId="7" fillId="0" borderId="0" xfId="0" applyFont="1"/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" fontId="10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vertical="center"/>
    </xf>
    <xf numFmtId="17" fontId="10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7" fontId="10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8" fillId="0" borderId="0" xfId="2" applyNumberFormat="1" applyFont="1" applyBorder="1" applyAlignment="1">
      <alignment vertical="center"/>
    </xf>
    <xf numFmtId="166" fontId="10" fillId="0" borderId="4" xfId="2" applyNumberFormat="1" applyFont="1" applyBorder="1" applyAlignment="1">
      <alignment horizontal="center" vertical="center"/>
    </xf>
    <xf numFmtId="166" fontId="7" fillId="0" borderId="0" xfId="2" applyNumberFormat="1" applyFont="1" applyFill="1" applyBorder="1" applyAlignment="1">
      <alignment vertical="center"/>
    </xf>
    <xf numFmtId="166" fontId="11" fillId="0" borderId="16" xfId="2" applyNumberFormat="1" applyFont="1" applyBorder="1" applyAlignment="1">
      <alignment horizontal="center" vertical="center"/>
    </xf>
    <xf numFmtId="166" fontId="11" fillId="0" borderId="15" xfId="2" applyNumberFormat="1" applyFont="1" applyBorder="1" applyAlignment="1">
      <alignment horizontal="center" vertical="center"/>
    </xf>
    <xf numFmtId="166" fontId="11" fillId="0" borderId="14" xfId="2" applyNumberFormat="1" applyFont="1" applyBorder="1" applyAlignment="1">
      <alignment horizontal="center" vertical="center"/>
    </xf>
    <xf numFmtId="166" fontId="11" fillId="0" borderId="12" xfId="2" applyNumberFormat="1" applyFont="1" applyBorder="1" applyAlignment="1">
      <alignment horizontal="center" vertical="center"/>
    </xf>
    <xf numFmtId="166" fontId="11" fillId="0" borderId="11" xfId="2" applyNumberFormat="1" applyFont="1" applyBorder="1" applyAlignment="1">
      <alignment horizontal="center" vertical="center"/>
    </xf>
    <xf numFmtId="166" fontId="11" fillId="0" borderId="3" xfId="2" applyNumberFormat="1" applyFont="1" applyBorder="1" applyAlignment="1">
      <alignment horizontal="center" vertical="center"/>
    </xf>
    <xf numFmtId="166" fontId="11" fillId="0" borderId="8" xfId="2" applyNumberFormat="1" applyFont="1" applyBorder="1" applyAlignment="1">
      <alignment horizontal="center" vertical="center"/>
    </xf>
    <xf numFmtId="166" fontId="11" fillId="0" borderId="7" xfId="2" applyNumberFormat="1" applyFont="1" applyBorder="1" applyAlignment="1">
      <alignment horizontal="center" vertical="center"/>
    </xf>
    <xf numFmtId="166" fontId="11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7" fillId="0" borderId="3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0" fillId="0" borderId="6" xfId="2" applyNumberFormat="1" applyFont="1" applyBorder="1" applyAlignment="1">
      <alignment horizontal="center" vertical="center"/>
    </xf>
    <xf numFmtId="166" fontId="11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8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166" fontId="13" fillId="0" borderId="0" xfId="0" applyNumberFormat="1" applyFont="1"/>
    <xf numFmtId="43" fontId="8" fillId="0" borderId="1" xfId="2" applyFont="1" applyBorder="1" applyAlignment="1">
      <alignment vertical="center"/>
    </xf>
    <xf numFmtId="166" fontId="8" fillId="0" borderId="1" xfId="2" applyNumberFormat="1" applyFont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0" fontId="1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/>
    <xf numFmtId="166" fontId="7" fillId="2" borderId="5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166" fontId="7" fillId="2" borderId="4" xfId="2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" fontId="12" fillId="0" borderId="1" xfId="0" applyNumberFormat="1" applyFont="1" applyBorder="1" applyAlignment="1">
      <alignment horizontal="center" vertical="center"/>
    </xf>
    <xf numFmtId="3" fontId="11" fillId="0" borderId="13" xfId="2" applyNumberFormat="1" applyFont="1" applyBorder="1" applyAlignment="1">
      <alignment horizontal="center" vertical="center"/>
    </xf>
    <xf numFmtId="3" fontId="11" fillId="0" borderId="10" xfId="2" applyNumberFormat="1" applyFont="1" applyBorder="1" applyAlignment="1">
      <alignment horizontal="center" vertical="center"/>
    </xf>
    <xf numFmtId="3" fontId="11" fillId="0" borderId="6" xfId="2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D120-84DB-4BBF-BD4D-59DEB68C1426}">
  <sheetPr>
    <tabColor rgb="FFFF0000"/>
  </sheetPr>
  <dimension ref="A1:H33"/>
  <sheetViews>
    <sheetView showGridLines="0" zoomScaleNormal="100" zoomScaleSheetLayoutView="140" workbookViewId="0">
      <selection activeCell="D10" sqref="D10:D20"/>
    </sheetView>
  </sheetViews>
  <sheetFormatPr baseColWidth="10" defaultColWidth="0" defaultRowHeight="15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61" t="s">
        <v>48</v>
      </c>
      <c r="C3" s="61"/>
      <c r="D3" s="61"/>
      <c r="E3" s="61"/>
      <c r="F3" s="61"/>
      <c r="G3" s="24"/>
    </row>
    <row r="4" spans="1:8" x14ac:dyDescent="0.25">
      <c r="B4" s="61" t="s">
        <v>37</v>
      </c>
      <c r="C4" s="61"/>
      <c r="D4" s="61"/>
      <c r="E4" s="61"/>
      <c r="F4" s="61"/>
      <c r="G4" s="24"/>
    </row>
    <row r="5" spans="1:8" x14ac:dyDescent="0.25">
      <c r="B5" s="61" t="s">
        <v>49</v>
      </c>
      <c r="C5" s="61"/>
      <c r="D5" s="61"/>
      <c r="E5" s="61"/>
      <c r="F5" s="61"/>
      <c r="G5" s="24"/>
    </row>
    <row r="6" spans="1:8" x14ac:dyDescent="0.25">
      <c r="B6" s="2"/>
      <c r="C6" s="2"/>
      <c r="D6" s="2"/>
      <c r="E6" s="2"/>
      <c r="F6" s="2"/>
      <c r="G6" s="2"/>
    </row>
    <row r="7" spans="1:8" x14ac:dyDescent="0.25"/>
    <row r="8" spans="1:8" ht="15" customHeight="1" x14ac:dyDescent="0.25">
      <c r="B8" s="62" t="s">
        <v>1</v>
      </c>
      <c r="C8" s="62" t="s">
        <v>45</v>
      </c>
      <c r="D8" s="62" t="s">
        <v>47</v>
      </c>
      <c r="E8" s="62" t="s">
        <v>36</v>
      </c>
      <c r="F8" s="62" t="s">
        <v>38</v>
      </c>
      <c r="G8" s="23"/>
    </row>
    <row r="9" spans="1:8" ht="23.25" customHeight="1" x14ac:dyDescent="0.25">
      <c r="A9" s="53">
        <v>500</v>
      </c>
      <c r="B9" s="63"/>
      <c r="C9" s="63"/>
      <c r="D9" s="63"/>
      <c r="E9" s="63"/>
      <c r="F9" s="63"/>
      <c r="G9" s="23"/>
    </row>
    <row r="10" spans="1:8" ht="15.75" thickBot="1" x14ac:dyDescent="0.3">
      <c r="A10" s="50">
        <v>28</v>
      </c>
      <c r="B10" s="5">
        <v>46054</v>
      </c>
      <c r="C10" s="38">
        <f>+'Anexo 3'!AC6</f>
        <v>1780800</v>
      </c>
      <c r="D10" s="54"/>
      <c r="E10" s="49">
        <f t="shared" ref="E10:E20" si="0">+$D$10*A10*24</f>
        <v>0</v>
      </c>
      <c r="F10" s="57"/>
      <c r="G10" s="27"/>
      <c r="H10" s="45"/>
    </row>
    <row r="11" spans="1:8" ht="15.75" thickBot="1" x14ac:dyDescent="0.3">
      <c r="A11" s="50">
        <v>31</v>
      </c>
      <c r="B11" s="5">
        <v>46082</v>
      </c>
      <c r="C11" s="38">
        <f>+'Anexo 3'!AC9</f>
        <v>1971600</v>
      </c>
      <c r="D11" s="55"/>
      <c r="E11" s="49">
        <f t="shared" si="0"/>
        <v>0</v>
      </c>
      <c r="F11" s="58"/>
      <c r="G11" s="27"/>
      <c r="H11" s="45"/>
    </row>
    <row r="12" spans="1:8" ht="15.75" thickBot="1" x14ac:dyDescent="0.3">
      <c r="A12" s="50">
        <v>30</v>
      </c>
      <c r="B12" s="5">
        <v>46113</v>
      </c>
      <c r="C12" s="38">
        <f>+'Anexo 3'!AC12</f>
        <v>1908000</v>
      </c>
      <c r="D12" s="55"/>
      <c r="E12" s="49">
        <f t="shared" si="0"/>
        <v>0</v>
      </c>
      <c r="F12" s="58"/>
      <c r="G12" s="27"/>
      <c r="H12" s="45"/>
    </row>
    <row r="13" spans="1:8" ht="15.75" thickBot="1" x14ac:dyDescent="0.3">
      <c r="A13" s="50">
        <v>31</v>
      </c>
      <c r="B13" s="5">
        <v>46143</v>
      </c>
      <c r="C13" s="38">
        <f>+'Anexo 3'!AC15</f>
        <v>1971600</v>
      </c>
      <c r="D13" s="55"/>
      <c r="E13" s="49">
        <f t="shared" si="0"/>
        <v>0</v>
      </c>
      <c r="F13" s="58"/>
      <c r="G13" s="27"/>
      <c r="H13" s="45"/>
    </row>
    <row r="14" spans="1:8" ht="15.75" thickBot="1" x14ac:dyDescent="0.3">
      <c r="A14" s="50">
        <v>30</v>
      </c>
      <c r="B14" s="5">
        <v>46174</v>
      </c>
      <c r="C14" s="38">
        <f>+'Anexo 3'!AC18</f>
        <v>1908000</v>
      </c>
      <c r="D14" s="55"/>
      <c r="E14" s="49">
        <f t="shared" si="0"/>
        <v>0</v>
      </c>
      <c r="F14" s="58"/>
      <c r="G14" s="27"/>
      <c r="H14" s="45"/>
    </row>
    <row r="15" spans="1:8" ht="15.75" thickBot="1" x14ac:dyDescent="0.3">
      <c r="A15" s="50">
        <v>31</v>
      </c>
      <c r="B15" s="5">
        <v>46204</v>
      </c>
      <c r="C15" s="38">
        <f>+'Anexo 3'!AC21</f>
        <v>1971600</v>
      </c>
      <c r="D15" s="55"/>
      <c r="E15" s="49">
        <f t="shared" si="0"/>
        <v>0</v>
      </c>
      <c r="F15" s="58"/>
      <c r="G15" s="27"/>
      <c r="H15" s="45"/>
    </row>
    <row r="16" spans="1:8" ht="15.75" thickBot="1" x14ac:dyDescent="0.3">
      <c r="A16" s="50">
        <v>31</v>
      </c>
      <c r="B16" s="5">
        <v>46235</v>
      </c>
      <c r="C16" s="38">
        <f>+'Anexo 3'!AC24</f>
        <v>1971600</v>
      </c>
      <c r="D16" s="55"/>
      <c r="E16" s="49">
        <f t="shared" si="0"/>
        <v>0</v>
      </c>
      <c r="F16" s="58"/>
      <c r="G16" s="27"/>
      <c r="H16" s="45"/>
    </row>
    <row r="17" spans="1:8" ht="15.75" thickBot="1" x14ac:dyDescent="0.3">
      <c r="A17" s="50">
        <v>30</v>
      </c>
      <c r="B17" s="5">
        <v>46266</v>
      </c>
      <c r="C17" s="38">
        <f>+'Anexo 3'!AC27</f>
        <v>1908000</v>
      </c>
      <c r="D17" s="55"/>
      <c r="E17" s="49">
        <f t="shared" si="0"/>
        <v>0</v>
      </c>
      <c r="F17" s="58"/>
      <c r="G17" s="27"/>
      <c r="H17" s="45"/>
    </row>
    <row r="18" spans="1:8" ht="15.75" thickBot="1" x14ac:dyDescent="0.3">
      <c r="A18" s="50">
        <v>31</v>
      </c>
      <c r="B18" s="5">
        <v>46296</v>
      </c>
      <c r="C18" s="38">
        <f>+'Anexo 3'!AC30</f>
        <v>1971600</v>
      </c>
      <c r="D18" s="55"/>
      <c r="E18" s="49">
        <f t="shared" si="0"/>
        <v>0</v>
      </c>
      <c r="F18" s="58"/>
      <c r="G18" s="27"/>
      <c r="H18" s="45"/>
    </row>
    <row r="19" spans="1:8" ht="15.75" thickBot="1" x14ac:dyDescent="0.3">
      <c r="A19" s="50">
        <v>30</v>
      </c>
      <c r="B19" s="5">
        <v>46327</v>
      </c>
      <c r="C19" s="38">
        <f>+'Anexo 3'!AC33</f>
        <v>1908000</v>
      </c>
      <c r="D19" s="55"/>
      <c r="E19" s="49">
        <f t="shared" si="0"/>
        <v>0</v>
      </c>
      <c r="F19" s="58"/>
      <c r="G19" s="27"/>
      <c r="H19" s="45"/>
    </row>
    <row r="20" spans="1:8" ht="15.75" thickBot="1" x14ac:dyDescent="0.3">
      <c r="A20" s="50">
        <v>31</v>
      </c>
      <c r="B20" s="5">
        <v>46357</v>
      </c>
      <c r="C20" s="38">
        <f>+'Anexo 3'!AC36</f>
        <v>1971600</v>
      </c>
      <c r="D20" s="56"/>
      <c r="E20" s="49">
        <f t="shared" si="0"/>
        <v>0</v>
      </c>
      <c r="F20" s="59"/>
      <c r="G20" s="27"/>
      <c r="H20" s="45"/>
    </row>
    <row r="21" spans="1:8" ht="28.5" customHeight="1" x14ac:dyDescent="0.25">
      <c r="B21" s="6" t="s">
        <v>0</v>
      </c>
      <c r="C21" s="7">
        <f>+SUM(C10:C20)</f>
        <v>21242400</v>
      </c>
      <c r="D21" s="8"/>
      <c r="E21" s="48">
        <f>SUM(E10:E20)</f>
        <v>0</v>
      </c>
      <c r="F21" s="47">
        <f>+F10</f>
        <v>0</v>
      </c>
      <c r="G21" s="44"/>
      <c r="H21" s="37"/>
    </row>
    <row r="22" spans="1:8" ht="19.5" customHeight="1" x14ac:dyDescent="0.25">
      <c r="B22" s="4" t="s">
        <v>46</v>
      </c>
      <c r="C22" s="21"/>
      <c r="D22" s="25"/>
      <c r="E22" s="21"/>
      <c r="F22" s="22"/>
      <c r="G22" s="22"/>
      <c r="H22" s="37"/>
    </row>
    <row r="23" spans="1:8" x14ac:dyDescent="0.25">
      <c r="B23" s="4" t="s">
        <v>55</v>
      </c>
      <c r="C23" s="4"/>
      <c r="D23" s="4"/>
      <c r="E23" s="4"/>
      <c r="F23" s="4"/>
      <c r="G23" s="4"/>
      <c r="H23" s="37"/>
    </row>
    <row r="24" spans="1:8" ht="15" customHeight="1" x14ac:dyDescent="0.25">
      <c r="B24" s="4" t="s">
        <v>39</v>
      </c>
      <c r="H24" s="37"/>
    </row>
    <row r="25" spans="1:8" ht="15.75" x14ac:dyDescent="0.25">
      <c r="A25" s="1"/>
      <c r="B25" s="60" t="s">
        <v>53</v>
      </c>
      <c r="C25" s="60"/>
      <c r="D25" s="60"/>
      <c r="E25" s="60"/>
      <c r="F25" s="60"/>
      <c r="G25" s="60"/>
      <c r="H25" s="37"/>
    </row>
    <row r="26" spans="1:8" ht="15" customHeight="1" x14ac:dyDescent="0.25">
      <c r="A26" s="1"/>
      <c r="C26" s="42"/>
      <c r="H26" s="37"/>
    </row>
    <row r="27" spans="1:8" x14ac:dyDescent="0.25"/>
    <row r="28" spans="1:8" x14ac:dyDescent="0.25">
      <c r="B28" s="51" t="s">
        <v>42</v>
      </c>
      <c r="C28" s="51"/>
      <c r="D28" s="51"/>
      <c r="E28" s="51"/>
    </row>
    <row r="29" spans="1:8" x14ac:dyDescent="0.25">
      <c r="B29" s="52" t="s">
        <v>43</v>
      </c>
      <c r="C29" s="52"/>
      <c r="D29" s="52"/>
      <c r="E29" s="52"/>
    </row>
    <row r="30" spans="1:8" x14ac:dyDescent="0.25">
      <c r="B30" s="52" t="s">
        <v>44</v>
      </c>
    </row>
    <row r="31" spans="1:8" x14ac:dyDescent="0.25"/>
    <row r="32" spans="1:8" x14ac:dyDescent="0.25"/>
    <row r="33" ht="15" customHeight="1" x14ac:dyDescent="0.25"/>
  </sheetData>
  <mergeCells count="11">
    <mergeCell ref="D10:D20"/>
    <mergeCell ref="F10:F20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2650 kWh" sqref="D10:D20" xr:uid="{CD31F1C1-6F55-4942-9E19-CDB18B5EE86D}">
      <formula1>0</formula1>
      <formula2>2650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DF7-6557-4880-83A6-C35257F7B616}">
  <sheetPr>
    <tabColor rgb="FFFF0000"/>
  </sheetPr>
  <dimension ref="A1:AD43"/>
  <sheetViews>
    <sheetView showGridLines="0" zoomScale="115" zoomScaleNormal="115" zoomScaleSheetLayoutView="110" workbookViewId="0">
      <pane xSplit="2" ySplit="5" topLeftCell="C17" activePane="bottomRight" state="frozen"/>
      <selection pane="topRight" activeCell="C1" sqref="C1"/>
      <selection pane="bottomLeft" activeCell="A6" sqref="A6"/>
      <selection pane="bottomRight" activeCell="A4" sqref="A4:AC39"/>
    </sheetView>
  </sheetViews>
  <sheetFormatPr baseColWidth="10" defaultColWidth="0" defaultRowHeight="0" customHeight="1" zeroHeight="1" x14ac:dyDescent="0.25"/>
  <cols>
    <col min="1" max="1" width="6.42578125" customWidth="1"/>
    <col min="2" max="2" width="8.7109375" bestFit="1" customWidth="1"/>
    <col min="3" max="5" width="7.7109375" bestFit="1" customWidth="1"/>
    <col min="6" max="6" width="7.42578125" bestFit="1" customWidth="1"/>
    <col min="7" max="7" width="7.7109375" bestFit="1" customWidth="1"/>
    <col min="8" max="9" width="7.42578125" bestFit="1" customWidth="1"/>
    <col min="10" max="12" width="7.7109375" bestFit="1" customWidth="1"/>
    <col min="13" max="13" width="7.42578125" bestFit="1" customWidth="1"/>
    <col min="14" max="16" width="7.7109375" bestFit="1" customWidth="1"/>
    <col min="17" max="17" width="7.42578125" bestFit="1" customWidth="1"/>
    <col min="18" max="18" width="7.7109375" bestFit="1" customWidth="1"/>
    <col min="19" max="19" width="7.42578125" bestFit="1" customWidth="1"/>
    <col min="20" max="20" width="7.140625" bestFit="1" customWidth="1"/>
    <col min="21" max="22" width="7.7109375" bestFit="1" customWidth="1"/>
    <col min="23" max="23" width="7.7109375" customWidth="1"/>
    <col min="24" max="25" width="7.42578125" bestFit="1" customWidth="1"/>
    <col min="26" max="26" width="7.14062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66" t="s">
        <v>40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8"/>
    </row>
    <row r="2" spans="1:30" ht="15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1"/>
    </row>
    <row r="3" spans="1:30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30" ht="15" x14ac:dyDescent="0.25">
      <c r="A4" s="72" t="s">
        <v>35</v>
      </c>
      <c r="B4" s="72" t="s">
        <v>34</v>
      </c>
      <c r="C4" s="64" t="s">
        <v>33</v>
      </c>
      <c r="D4" s="64" t="s">
        <v>32</v>
      </c>
      <c r="E4" s="64" t="s">
        <v>31</v>
      </c>
      <c r="F4" s="64" t="s">
        <v>30</v>
      </c>
      <c r="G4" s="64" t="s">
        <v>29</v>
      </c>
      <c r="H4" s="64" t="s">
        <v>28</v>
      </c>
      <c r="I4" s="64" t="s">
        <v>27</v>
      </c>
      <c r="J4" s="64" t="s">
        <v>26</v>
      </c>
      <c r="K4" s="64" t="s">
        <v>25</v>
      </c>
      <c r="L4" s="64" t="s">
        <v>24</v>
      </c>
      <c r="M4" s="64" t="s">
        <v>23</v>
      </c>
      <c r="N4" s="64" t="s">
        <v>22</v>
      </c>
      <c r="O4" s="64" t="s">
        <v>21</v>
      </c>
      <c r="P4" s="64" t="s">
        <v>20</v>
      </c>
      <c r="Q4" s="64" t="s">
        <v>19</v>
      </c>
      <c r="R4" s="64" t="s">
        <v>18</v>
      </c>
      <c r="S4" s="64" t="s">
        <v>17</v>
      </c>
      <c r="T4" s="64" t="s">
        <v>16</v>
      </c>
      <c r="U4" s="64" t="s">
        <v>15</v>
      </c>
      <c r="V4" s="64" t="s">
        <v>14</v>
      </c>
      <c r="W4" s="64" t="s">
        <v>13</v>
      </c>
      <c r="X4" s="64" t="s">
        <v>12</v>
      </c>
      <c r="Y4" s="64" t="s">
        <v>11</v>
      </c>
      <c r="Z4" s="64" t="s">
        <v>10</v>
      </c>
      <c r="AA4" s="11" t="s">
        <v>9</v>
      </c>
      <c r="AB4" s="12" t="s">
        <v>8</v>
      </c>
      <c r="AC4" s="73" t="s">
        <v>7</v>
      </c>
    </row>
    <row r="5" spans="1:30" ht="15" x14ac:dyDescent="0.25">
      <c r="A5" s="72"/>
      <c r="B5" s="72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13"/>
      <c r="AB5" s="14" t="s">
        <v>6</v>
      </c>
      <c r="AC5" s="74"/>
    </row>
    <row r="6" spans="1:30" ht="15.75" thickBot="1" x14ac:dyDescent="0.3">
      <c r="A6" s="75">
        <v>46054</v>
      </c>
      <c r="B6" s="15" t="s">
        <v>5</v>
      </c>
      <c r="C6" s="28">
        <v>2650</v>
      </c>
      <c r="D6" s="28">
        <v>2650</v>
      </c>
      <c r="E6" s="28">
        <v>2650</v>
      </c>
      <c r="F6" s="28">
        <v>2650</v>
      </c>
      <c r="G6" s="28">
        <v>2650</v>
      </c>
      <c r="H6" s="28">
        <v>2650</v>
      </c>
      <c r="I6" s="28">
        <v>2650</v>
      </c>
      <c r="J6" s="28">
        <v>2650</v>
      </c>
      <c r="K6" s="28">
        <v>2650</v>
      </c>
      <c r="L6" s="28">
        <v>2650</v>
      </c>
      <c r="M6" s="28">
        <v>2650</v>
      </c>
      <c r="N6" s="28">
        <v>2650</v>
      </c>
      <c r="O6" s="28">
        <v>2650</v>
      </c>
      <c r="P6" s="28">
        <v>2650</v>
      </c>
      <c r="Q6" s="28">
        <v>2650</v>
      </c>
      <c r="R6" s="28">
        <v>2650</v>
      </c>
      <c r="S6" s="28">
        <v>2650</v>
      </c>
      <c r="T6" s="28">
        <v>2650</v>
      </c>
      <c r="U6" s="28">
        <v>2650</v>
      </c>
      <c r="V6" s="28">
        <v>2650</v>
      </c>
      <c r="W6" s="28">
        <v>2650</v>
      </c>
      <c r="X6" s="28">
        <v>2650</v>
      </c>
      <c r="Y6" s="28">
        <v>2650</v>
      </c>
      <c r="Z6" s="29">
        <v>2650</v>
      </c>
      <c r="AA6" s="30">
        <f t="shared" ref="AA6:AA38" si="0">SUM(C6:Z6)</f>
        <v>63600</v>
      </c>
      <c r="AB6" s="16">
        <v>20</v>
      </c>
      <c r="AC6" s="76">
        <f>+AA6*AB6+AA7*AB7+AA8*AB8</f>
        <v>1780800</v>
      </c>
    </row>
    <row r="7" spans="1:30" ht="15.75" thickBot="1" x14ac:dyDescent="0.3">
      <c r="A7" s="75"/>
      <c r="B7" s="17" t="s">
        <v>4</v>
      </c>
      <c r="C7" s="31">
        <v>2650</v>
      </c>
      <c r="D7" s="31">
        <v>2650</v>
      </c>
      <c r="E7" s="31">
        <v>2650</v>
      </c>
      <c r="F7" s="31">
        <v>2650</v>
      </c>
      <c r="G7" s="31">
        <v>2650</v>
      </c>
      <c r="H7" s="31">
        <v>2650</v>
      </c>
      <c r="I7" s="31">
        <v>2650</v>
      </c>
      <c r="J7" s="31">
        <v>2650</v>
      </c>
      <c r="K7" s="31">
        <v>2650</v>
      </c>
      <c r="L7" s="31">
        <v>2650</v>
      </c>
      <c r="M7" s="31">
        <v>2650</v>
      </c>
      <c r="N7" s="31">
        <v>2650</v>
      </c>
      <c r="O7" s="31">
        <v>2650</v>
      </c>
      <c r="P7" s="31">
        <v>2650</v>
      </c>
      <c r="Q7" s="31">
        <v>2650</v>
      </c>
      <c r="R7" s="31">
        <v>2650</v>
      </c>
      <c r="S7" s="31">
        <v>2650</v>
      </c>
      <c r="T7" s="31">
        <v>2650</v>
      </c>
      <c r="U7" s="31">
        <v>2650</v>
      </c>
      <c r="V7" s="31">
        <v>2650</v>
      </c>
      <c r="W7" s="31">
        <v>2650</v>
      </c>
      <c r="X7" s="31">
        <v>2650</v>
      </c>
      <c r="Y7" s="31">
        <v>2650</v>
      </c>
      <c r="Z7" s="32">
        <v>2650</v>
      </c>
      <c r="AA7" s="33">
        <f t="shared" si="0"/>
        <v>63600</v>
      </c>
      <c r="AB7" s="18">
        <v>4</v>
      </c>
      <c r="AC7" s="77"/>
      <c r="AD7" s="41"/>
    </row>
    <row r="8" spans="1:30" ht="15" x14ac:dyDescent="0.25">
      <c r="A8" s="75"/>
      <c r="B8" s="19" t="s">
        <v>3</v>
      </c>
      <c r="C8" s="34">
        <v>2650</v>
      </c>
      <c r="D8" s="34">
        <v>2650</v>
      </c>
      <c r="E8" s="34">
        <v>2650</v>
      </c>
      <c r="F8" s="34">
        <v>2650</v>
      </c>
      <c r="G8" s="34">
        <v>2650</v>
      </c>
      <c r="H8" s="34">
        <v>2650</v>
      </c>
      <c r="I8" s="34">
        <v>2650</v>
      </c>
      <c r="J8" s="34">
        <v>2650</v>
      </c>
      <c r="K8" s="34">
        <v>2650</v>
      </c>
      <c r="L8" s="34">
        <v>2650</v>
      </c>
      <c r="M8" s="34">
        <v>2650</v>
      </c>
      <c r="N8" s="34">
        <v>2650</v>
      </c>
      <c r="O8" s="34">
        <v>2650</v>
      </c>
      <c r="P8" s="34">
        <v>2650</v>
      </c>
      <c r="Q8" s="34">
        <v>2650</v>
      </c>
      <c r="R8" s="34">
        <v>2650</v>
      </c>
      <c r="S8" s="34">
        <v>2650</v>
      </c>
      <c r="T8" s="34">
        <v>2650</v>
      </c>
      <c r="U8" s="34">
        <v>2650</v>
      </c>
      <c r="V8" s="34">
        <v>2650</v>
      </c>
      <c r="W8" s="34">
        <v>2650</v>
      </c>
      <c r="X8" s="34">
        <v>2650</v>
      </c>
      <c r="Y8" s="34">
        <v>2650</v>
      </c>
      <c r="Z8" s="35">
        <v>2650</v>
      </c>
      <c r="AA8" s="36">
        <f t="shared" si="0"/>
        <v>63600</v>
      </c>
      <c r="AB8" s="20">
        <v>4</v>
      </c>
      <c r="AC8" s="78"/>
      <c r="AD8" s="42"/>
    </row>
    <row r="9" spans="1:30" ht="15.75" thickBot="1" x14ac:dyDescent="0.3">
      <c r="A9" s="75">
        <v>46082</v>
      </c>
      <c r="B9" s="15" t="s">
        <v>5</v>
      </c>
      <c r="C9" s="28">
        <v>2650</v>
      </c>
      <c r="D9" s="28">
        <v>2650</v>
      </c>
      <c r="E9" s="28">
        <v>2650</v>
      </c>
      <c r="F9" s="28">
        <v>2650</v>
      </c>
      <c r="G9" s="28">
        <v>2650</v>
      </c>
      <c r="H9" s="28">
        <v>2650</v>
      </c>
      <c r="I9" s="28">
        <v>2650</v>
      </c>
      <c r="J9" s="28">
        <v>2650</v>
      </c>
      <c r="K9" s="28">
        <v>2650</v>
      </c>
      <c r="L9" s="28">
        <v>2650</v>
      </c>
      <c r="M9" s="28">
        <v>2650</v>
      </c>
      <c r="N9" s="28">
        <v>2650</v>
      </c>
      <c r="O9" s="28">
        <v>2650</v>
      </c>
      <c r="P9" s="28">
        <v>2650</v>
      </c>
      <c r="Q9" s="28">
        <v>2650</v>
      </c>
      <c r="R9" s="28">
        <v>2650</v>
      </c>
      <c r="S9" s="28">
        <v>2650</v>
      </c>
      <c r="T9" s="28">
        <v>2650</v>
      </c>
      <c r="U9" s="28">
        <v>2650</v>
      </c>
      <c r="V9" s="28">
        <v>2650</v>
      </c>
      <c r="W9" s="28">
        <v>2650</v>
      </c>
      <c r="X9" s="28">
        <v>2650</v>
      </c>
      <c r="Y9" s="28">
        <v>2650</v>
      </c>
      <c r="Z9" s="29">
        <v>2650</v>
      </c>
      <c r="AA9" s="30">
        <f t="shared" si="0"/>
        <v>63600</v>
      </c>
      <c r="AB9" s="16">
        <v>21</v>
      </c>
      <c r="AC9" s="76">
        <f>+AA9*AB9+AA10*AB10+AA11*AB11</f>
        <v>1971600</v>
      </c>
    </row>
    <row r="10" spans="1:30" ht="15.75" thickBot="1" x14ac:dyDescent="0.3">
      <c r="A10" s="75"/>
      <c r="B10" s="17" t="s">
        <v>4</v>
      </c>
      <c r="C10" s="31">
        <v>2650</v>
      </c>
      <c r="D10" s="31">
        <v>2650</v>
      </c>
      <c r="E10" s="31">
        <v>2650</v>
      </c>
      <c r="F10" s="31">
        <v>2650</v>
      </c>
      <c r="G10" s="31">
        <v>2650</v>
      </c>
      <c r="H10" s="31">
        <v>2650</v>
      </c>
      <c r="I10" s="31">
        <v>2650</v>
      </c>
      <c r="J10" s="31">
        <v>2650</v>
      </c>
      <c r="K10" s="31">
        <v>2650</v>
      </c>
      <c r="L10" s="31">
        <v>2650</v>
      </c>
      <c r="M10" s="31">
        <v>2650</v>
      </c>
      <c r="N10" s="31">
        <v>2650</v>
      </c>
      <c r="O10" s="31">
        <v>2650</v>
      </c>
      <c r="P10" s="31">
        <v>2650</v>
      </c>
      <c r="Q10" s="31">
        <v>2650</v>
      </c>
      <c r="R10" s="31">
        <v>2650</v>
      </c>
      <c r="S10" s="31">
        <v>2650</v>
      </c>
      <c r="T10" s="31">
        <v>2650</v>
      </c>
      <c r="U10" s="31">
        <v>2650</v>
      </c>
      <c r="V10" s="31">
        <v>2650</v>
      </c>
      <c r="W10" s="31">
        <v>2650</v>
      </c>
      <c r="X10" s="31">
        <v>2650</v>
      </c>
      <c r="Y10" s="31">
        <v>2650</v>
      </c>
      <c r="Z10" s="32">
        <v>2650</v>
      </c>
      <c r="AA10" s="33">
        <f t="shared" si="0"/>
        <v>63600</v>
      </c>
      <c r="AB10" s="18">
        <v>4</v>
      </c>
      <c r="AC10" s="77"/>
      <c r="AD10" s="41"/>
    </row>
    <row r="11" spans="1:30" ht="15" x14ac:dyDescent="0.25">
      <c r="A11" s="75"/>
      <c r="B11" s="19" t="s">
        <v>3</v>
      </c>
      <c r="C11" s="34">
        <v>2650</v>
      </c>
      <c r="D11" s="34">
        <v>2650</v>
      </c>
      <c r="E11" s="34">
        <v>2650</v>
      </c>
      <c r="F11" s="34">
        <v>2650</v>
      </c>
      <c r="G11" s="34">
        <v>2650</v>
      </c>
      <c r="H11" s="34">
        <v>2650</v>
      </c>
      <c r="I11" s="34">
        <v>2650</v>
      </c>
      <c r="J11" s="34">
        <v>2650</v>
      </c>
      <c r="K11" s="34">
        <v>2650</v>
      </c>
      <c r="L11" s="34">
        <v>2650</v>
      </c>
      <c r="M11" s="34">
        <v>2650</v>
      </c>
      <c r="N11" s="34">
        <v>2650</v>
      </c>
      <c r="O11" s="34">
        <v>2650</v>
      </c>
      <c r="P11" s="34">
        <v>2650</v>
      </c>
      <c r="Q11" s="34">
        <v>2650</v>
      </c>
      <c r="R11" s="34">
        <v>2650</v>
      </c>
      <c r="S11" s="34">
        <v>2650</v>
      </c>
      <c r="T11" s="34">
        <v>2650</v>
      </c>
      <c r="U11" s="34">
        <v>2650</v>
      </c>
      <c r="V11" s="34">
        <v>2650</v>
      </c>
      <c r="W11" s="34">
        <v>2650</v>
      </c>
      <c r="X11" s="34">
        <v>2650</v>
      </c>
      <c r="Y11" s="34">
        <v>2650</v>
      </c>
      <c r="Z11" s="35">
        <v>2650</v>
      </c>
      <c r="AA11" s="36">
        <f t="shared" si="0"/>
        <v>63600</v>
      </c>
      <c r="AB11" s="20">
        <v>6</v>
      </c>
      <c r="AC11" s="78"/>
      <c r="AD11" s="39"/>
    </row>
    <row r="12" spans="1:30" ht="15.75" thickBot="1" x14ac:dyDescent="0.3">
      <c r="A12" s="75">
        <v>46113</v>
      </c>
      <c r="B12" s="15" t="s">
        <v>5</v>
      </c>
      <c r="C12" s="28">
        <v>2650</v>
      </c>
      <c r="D12" s="28">
        <v>2650</v>
      </c>
      <c r="E12" s="28">
        <v>2650</v>
      </c>
      <c r="F12" s="28">
        <v>2650</v>
      </c>
      <c r="G12" s="28">
        <v>2650</v>
      </c>
      <c r="H12" s="28">
        <v>2650</v>
      </c>
      <c r="I12" s="28">
        <v>2650</v>
      </c>
      <c r="J12" s="28">
        <v>2650</v>
      </c>
      <c r="K12" s="28">
        <v>2650</v>
      </c>
      <c r="L12" s="28">
        <v>2650</v>
      </c>
      <c r="M12" s="28">
        <v>2650</v>
      </c>
      <c r="N12" s="28">
        <v>2650</v>
      </c>
      <c r="O12" s="28">
        <v>2650</v>
      </c>
      <c r="P12" s="28">
        <v>2650</v>
      </c>
      <c r="Q12" s="28">
        <v>2650</v>
      </c>
      <c r="R12" s="28">
        <v>2650</v>
      </c>
      <c r="S12" s="28">
        <v>2650</v>
      </c>
      <c r="T12" s="28">
        <v>2650</v>
      </c>
      <c r="U12" s="28">
        <v>2650</v>
      </c>
      <c r="V12" s="28">
        <v>2650</v>
      </c>
      <c r="W12" s="28">
        <v>2650</v>
      </c>
      <c r="X12" s="28">
        <v>2650</v>
      </c>
      <c r="Y12" s="28">
        <v>2650</v>
      </c>
      <c r="Z12" s="29">
        <v>2650</v>
      </c>
      <c r="AA12" s="30">
        <f t="shared" si="0"/>
        <v>63600</v>
      </c>
      <c r="AB12" s="16">
        <v>20</v>
      </c>
      <c r="AC12" s="76">
        <f>+AA12*AB12+AA13*AB13+AA14*AB14</f>
        <v>1908000</v>
      </c>
    </row>
    <row r="13" spans="1:30" ht="15.75" thickBot="1" x14ac:dyDescent="0.3">
      <c r="A13" s="75"/>
      <c r="B13" s="17" t="s">
        <v>4</v>
      </c>
      <c r="C13" s="31">
        <v>2650</v>
      </c>
      <c r="D13" s="31">
        <v>2650</v>
      </c>
      <c r="E13" s="31">
        <v>2650</v>
      </c>
      <c r="F13" s="31">
        <v>2650</v>
      </c>
      <c r="G13" s="31">
        <v>2650</v>
      </c>
      <c r="H13" s="31">
        <v>2650</v>
      </c>
      <c r="I13" s="31">
        <v>2650</v>
      </c>
      <c r="J13" s="31">
        <v>2650</v>
      </c>
      <c r="K13" s="31">
        <v>2650</v>
      </c>
      <c r="L13" s="31">
        <v>2650</v>
      </c>
      <c r="M13" s="31">
        <v>2650</v>
      </c>
      <c r="N13" s="31">
        <v>2650</v>
      </c>
      <c r="O13" s="31">
        <v>2650</v>
      </c>
      <c r="P13" s="31">
        <v>2650</v>
      </c>
      <c r="Q13" s="31">
        <v>2650</v>
      </c>
      <c r="R13" s="31">
        <v>2650</v>
      </c>
      <c r="S13" s="31">
        <v>2650</v>
      </c>
      <c r="T13" s="31">
        <v>2650</v>
      </c>
      <c r="U13" s="31">
        <v>2650</v>
      </c>
      <c r="V13" s="31">
        <v>2650</v>
      </c>
      <c r="W13" s="31">
        <v>2650</v>
      </c>
      <c r="X13" s="31">
        <v>2650</v>
      </c>
      <c r="Y13" s="31">
        <v>2650</v>
      </c>
      <c r="Z13" s="32">
        <v>2650</v>
      </c>
      <c r="AA13" s="33">
        <f t="shared" si="0"/>
        <v>63600</v>
      </c>
      <c r="AB13" s="18">
        <v>4</v>
      </c>
      <c r="AC13" s="77"/>
      <c r="AD13" s="41"/>
    </row>
    <row r="14" spans="1:30" ht="15" x14ac:dyDescent="0.25">
      <c r="A14" s="75"/>
      <c r="B14" s="19" t="s">
        <v>3</v>
      </c>
      <c r="C14" s="34">
        <v>2650</v>
      </c>
      <c r="D14" s="34">
        <v>2650</v>
      </c>
      <c r="E14" s="34">
        <v>2650</v>
      </c>
      <c r="F14" s="34">
        <v>2650</v>
      </c>
      <c r="G14" s="34">
        <v>2650</v>
      </c>
      <c r="H14" s="34">
        <v>2650</v>
      </c>
      <c r="I14" s="34">
        <v>2650</v>
      </c>
      <c r="J14" s="34">
        <v>2650</v>
      </c>
      <c r="K14" s="34">
        <v>2650</v>
      </c>
      <c r="L14" s="34">
        <v>2650</v>
      </c>
      <c r="M14" s="34">
        <v>2650</v>
      </c>
      <c r="N14" s="34">
        <v>2650</v>
      </c>
      <c r="O14" s="34">
        <v>2650</v>
      </c>
      <c r="P14" s="34">
        <v>2650</v>
      </c>
      <c r="Q14" s="34">
        <v>2650</v>
      </c>
      <c r="R14" s="34">
        <v>2650</v>
      </c>
      <c r="S14" s="34">
        <v>2650</v>
      </c>
      <c r="T14" s="34">
        <v>2650</v>
      </c>
      <c r="U14" s="34">
        <v>2650</v>
      </c>
      <c r="V14" s="34">
        <v>2650</v>
      </c>
      <c r="W14" s="34">
        <v>2650</v>
      </c>
      <c r="X14" s="34">
        <v>2650</v>
      </c>
      <c r="Y14" s="34">
        <v>2650</v>
      </c>
      <c r="Z14" s="35">
        <v>2650</v>
      </c>
      <c r="AA14" s="36">
        <f t="shared" si="0"/>
        <v>63600</v>
      </c>
      <c r="AB14" s="20">
        <v>6</v>
      </c>
      <c r="AC14" s="78"/>
      <c r="AD14" s="42"/>
    </row>
    <row r="15" spans="1:30" ht="15.75" thickBot="1" x14ac:dyDescent="0.3">
      <c r="A15" s="75">
        <v>46143</v>
      </c>
      <c r="B15" s="15" t="s">
        <v>5</v>
      </c>
      <c r="C15" s="28">
        <v>2650</v>
      </c>
      <c r="D15" s="28">
        <v>2650</v>
      </c>
      <c r="E15" s="28">
        <v>2650</v>
      </c>
      <c r="F15" s="28">
        <v>2650</v>
      </c>
      <c r="G15" s="28">
        <v>2650</v>
      </c>
      <c r="H15" s="28">
        <v>2650</v>
      </c>
      <c r="I15" s="28">
        <v>2650</v>
      </c>
      <c r="J15" s="28">
        <v>2650</v>
      </c>
      <c r="K15" s="28">
        <v>2650</v>
      </c>
      <c r="L15" s="28">
        <v>2650</v>
      </c>
      <c r="M15" s="28">
        <v>2650</v>
      </c>
      <c r="N15" s="28">
        <v>2650</v>
      </c>
      <c r="O15" s="28">
        <v>2650</v>
      </c>
      <c r="P15" s="28">
        <v>2650</v>
      </c>
      <c r="Q15" s="28">
        <v>2650</v>
      </c>
      <c r="R15" s="28">
        <v>2650</v>
      </c>
      <c r="S15" s="28">
        <v>2650</v>
      </c>
      <c r="T15" s="28">
        <v>2650</v>
      </c>
      <c r="U15" s="28">
        <v>2650</v>
      </c>
      <c r="V15" s="28">
        <v>2650</v>
      </c>
      <c r="W15" s="28">
        <v>2650</v>
      </c>
      <c r="X15" s="28">
        <v>2650</v>
      </c>
      <c r="Y15" s="28">
        <v>2650</v>
      </c>
      <c r="Z15" s="29">
        <v>2650</v>
      </c>
      <c r="AA15" s="30">
        <f t="shared" si="0"/>
        <v>63600</v>
      </c>
      <c r="AB15" s="16">
        <v>19</v>
      </c>
      <c r="AC15" s="76">
        <f>+AA15*AB15+AA16*AB16+AA17*AB17</f>
        <v>1971600</v>
      </c>
    </row>
    <row r="16" spans="1:30" ht="15.75" thickBot="1" x14ac:dyDescent="0.3">
      <c r="A16" s="75"/>
      <c r="B16" s="17" t="s">
        <v>4</v>
      </c>
      <c r="C16" s="31">
        <v>2650</v>
      </c>
      <c r="D16" s="31">
        <v>2650</v>
      </c>
      <c r="E16" s="31">
        <v>2650</v>
      </c>
      <c r="F16" s="31">
        <v>2650</v>
      </c>
      <c r="G16" s="31">
        <v>2650</v>
      </c>
      <c r="H16" s="31">
        <v>2650</v>
      </c>
      <c r="I16" s="31">
        <v>2650</v>
      </c>
      <c r="J16" s="31">
        <v>2650</v>
      </c>
      <c r="K16" s="31">
        <v>2650</v>
      </c>
      <c r="L16" s="31">
        <v>2650</v>
      </c>
      <c r="M16" s="31">
        <v>2650</v>
      </c>
      <c r="N16" s="31">
        <v>2650</v>
      </c>
      <c r="O16" s="31">
        <v>2650</v>
      </c>
      <c r="P16" s="31">
        <v>2650</v>
      </c>
      <c r="Q16" s="31">
        <v>2650</v>
      </c>
      <c r="R16" s="31">
        <v>2650</v>
      </c>
      <c r="S16" s="31">
        <v>2650</v>
      </c>
      <c r="T16" s="31">
        <v>2650</v>
      </c>
      <c r="U16" s="31">
        <v>2650</v>
      </c>
      <c r="V16" s="31">
        <v>2650</v>
      </c>
      <c r="W16" s="31">
        <v>2650</v>
      </c>
      <c r="X16" s="31">
        <v>2650</v>
      </c>
      <c r="Y16" s="31">
        <v>2650</v>
      </c>
      <c r="Z16" s="32">
        <v>2650</v>
      </c>
      <c r="AA16" s="33">
        <f t="shared" si="0"/>
        <v>63600</v>
      </c>
      <c r="AB16" s="18">
        <v>5</v>
      </c>
      <c r="AC16" s="77"/>
      <c r="AD16" s="41"/>
    </row>
    <row r="17" spans="1:30" ht="15" x14ac:dyDescent="0.25">
      <c r="A17" s="75"/>
      <c r="B17" s="19" t="s">
        <v>3</v>
      </c>
      <c r="C17" s="34">
        <v>2650</v>
      </c>
      <c r="D17" s="34">
        <v>2650</v>
      </c>
      <c r="E17" s="34">
        <v>2650</v>
      </c>
      <c r="F17" s="34">
        <v>2650</v>
      </c>
      <c r="G17" s="34">
        <v>2650</v>
      </c>
      <c r="H17" s="34">
        <v>2650</v>
      </c>
      <c r="I17" s="34">
        <v>2650</v>
      </c>
      <c r="J17" s="34">
        <v>2650</v>
      </c>
      <c r="K17" s="34">
        <v>2650</v>
      </c>
      <c r="L17" s="34">
        <v>2650</v>
      </c>
      <c r="M17" s="34">
        <v>2650</v>
      </c>
      <c r="N17" s="34">
        <v>2650</v>
      </c>
      <c r="O17" s="34">
        <v>2650</v>
      </c>
      <c r="P17" s="34">
        <v>2650</v>
      </c>
      <c r="Q17" s="34">
        <v>2650</v>
      </c>
      <c r="R17" s="34">
        <v>2650</v>
      </c>
      <c r="S17" s="34">
        <v>2650</v>
      </c>
      <c r="T17" s="34">
        <v>2650</v>
      </c>
      <c r="U17" s="34">
        <v>2650</v>
      </c>
      <c r="V17" s="34">
        <v>2650</v>
      </c>
      <c r="W17" s="34">
        <v>2650</v>
      </c>
      <c r="X17" s="34">
        <v>2650</v>
      </c>
      <c r="Y17" s="34">
        <v>2650</v>
      </c>
      <c r="Z17" s="35">
        <v>2650</v>
      </c>
      <c r="AA17" s="36">
        <f t="shared" si="0"/>
        <v>63600</v>
      </c>
      <c r="AB17" s="20">
        <v>7</v>
      </c>
      <c r="AC17" s="78"/>
      <c r="AD17" s="42"/>
    </row>
    <row r="18" spans="1:30" ht="15.75" thickBot="1" x14ac:dyDescent="0.3">
      <c r="A18" s="75">
        <v>46174</v>
      </c>
      <c r="B18" s="15" t="s">
        <v>5</v>
      </c>
      <c r="C18" s="28">
        <v>2650</v>
      </c>
      <c r="D18" s="28">
        <v>2650</v>
      </c>
      <c r="E18" s="28">
        <v>2650</v>
      </c>
      <c r="F18" s="28">
        <v>2650</v>
      </c>
      <c r="G18" s="28">
        <v>2650</v>
      </c>
      <c r="H18" s="28">
        <v>2650</v>
      </c>
      <c r="I18" s="28">
        <v>2650</v>
      </c>
      <c r="J18" s="28">
        <v>2650</v>
      </c>
      <c r="K18" s="28">
        <v>2650</v>
      </c>
      <c r="L18" s="28">
        <v>2650</v>
      </c>
      <c r="M18" s="28">
        <v>2650</v>
      </c>
      <c r="N18" s="28">
        <v>2650</v>
      </c>
      <c r="O18" s="28">
        <v>2650</v>
      </c>
      <c r="P18" s="28">
        <v>2650</v>
      </c>
      <c r="Q18" s="28">
        <v>2650</v>
      </c>
      <c r="R18" s="28">
        <v>2650</v>
      </c>
      <c r="S18" s="28">
        <v>2650</v>
      </c>
      <c r="T18" s="28">
        <v>2650</v>
      </c>
      <c r="U18" s="28">
        <v>2650</v>
      </c>
      <c r="V18" s="28">
        <v>2650</v>
      </c>
      <c r="W18" s="28">
        <v>2650</v>
      </c>
      <c r="X18" s="28">
        <v>2650</v>
      </c>
      <c r="Y18" s="28">
        <v>2650</v>
      </c>
      <c r="Z18" s="29">
        <v>2650</v>
      </c>
      <c r="AA18" s="30">
        <f t="shared" si="0"/>
        <v>63600</v>
      </c>
      <c r="AB18" s="16">
        <v>19</v>
      </c>
      <c r="AC18" s="76">
        <f>+AA18*AB18+AA19*AB19+AA20*AB20</f>
        <v>1908000</v>
      </c>
    </row>
    <row r="19" spans="1:30" ht="15.75" thickBot="1" x14ac:dyDescent="0.3">
      <c r="A19" s="75"/>
      <c r="B19" s="17" t="s">
        <v>4</v>
      </c>
      <c r="C19" s="31">
        <v>2650</v>
      </c>
      <c r="D19" s="31">
        <v>2650</v>
      </c>
      <c r="E19" s="31">
        <v>2650</v>
      </c>
      <c r="F19" s="31">
        <v>2650</v>
      </c>
      <c r="G19" s="31">
        <v>2650</v>
      </c>
      <c r="H19" s="31">
        <v>2650</v>
      </c>
      <c r="I19" s="31">
        <v>2650</v>
      </c>
      <c r="J19" s="31">
        <v>2650</v>
      </c>
      <c r="K19" s="31">
        <v>2650</v>
      </c>
      <c r="L19" s="31">
        <v>2650</v>
      </c>
      <c r="M19" s="31">
        <v>2650</v>
      </c>
      <c r="N19" s="31">
        <v>2650</v>
      </c>
      <c r="O19" s="31">
        <v>2650</v>
      </c>
      <c r="P19" s="31">
        <v>2650</v>
      </c>
      <c r="Q19" s="31">
        <v>2650</v>
      </c>
      <c r="R19" s="31">
        <v>2650</v>
      </c>
      <c r="S19" s="31">
        <v>2650</v>
      </c>
      <c r="T19" s="31">
        <v>2650</v>
      </c>
      <c r="U19" s="31">
        <v>2650</v>
      </c>
      <c r="V19" s="31">
        <v>2650</v>
      </c>
      <c r="W19" s="31">
        <v>2650</v>
      </c>
      <c r="X19" s="31">
        <v>2650</v>
      </c>
      <c r="Y19" s="31">
        <v>2650</v>
      </c>
      <c r="Z19" s="32">
        <v>2650</v>
      </c>
      <c r="AA19" s="33">
        <f t="shared" si="0"/>
        <v>63600</v>
      </c>
      <c r="AB19" s="18">
        <v>4</v>
      </c>
      <c r="AC19" s="77"/>
      <c r="AD19" s="41"/>
    </row>
    <row r="20" spans="1:30" ht="15" x14ac:dyDescent="0.25">
      <c r="A20" s="75"/>
      <c r="B20" s="19" t="s">
        <v>3</v>
      </c>
      <c r="C20" s="34">
        <v>2650</v>
      </c>
      <c r="D20" s="34">
        <v>2650</v>
      </c>
      <c r="E20" s="34">
        <v>2650</v>
      </c>
      <c r="F20" s="34">
        <v>2650</v>
      </c>
      <c r="G20" s="34">
        <v>2650</v>
      </c>
      <c r="H20" s="34">
        <v>2650</v>
      </c>
      <c r="I20" s="34">
        <v>2650</v>
      </c>
      <c r="J20" s="34">
        <v>2650</v>
      </c>
      <c r="K20" s="34">
        <v>2650</v>
      </c>
      <c r="L20" s="34">
        <v>2650</v>
      </c>
      <c r="M20" s="34">
        <v>2650</v>
      </c>
      <c r="N20" s="34">
        <v>2650</v>
      </c>
      <c r="O20" s="34">
        <v>2650</v>
      </c>
      <c r="P20" s="34">
        <v>2650</v>
      </c>
      <c r="Q20" s="34">
        <v>2650</v>
      </c>
      <c r="R20" s="34">
        <v>2650</v>
      </c>
      <c r="S20" s="34">
        <v>2650</v>
      </c>
      <c r="T20" s="34">
        <v>2650</v>
      </c>
      <c r="U20" s="34">
        <v>2650</v>
      </c>
      <c r="V20" s="34">
        <v>2650</v>
      </c>
      <c r="W20" s="34">
        <v>2650</v>
      </c>
      <c r="X20" s="34">
        <v>2650</v>
      </c>
      <c r="Y20" s="34">
        <v>2650</v>
      </c>
      <c r="Z20" s="35">
        <v>2650</v>
      </c>
      <c r="AA20" s="36">
        <f t="shared" si="0"/>
        <v>63600</v>
      </c>
      <c r="AB20" s="20">
        <v>7</v>
      </c>
      <c r="AC20" s="78"/>
      <c r="AD20" s="42"/>
    </row>
    <row r="21" spans="1:30" ht="15.75" thickBot="1" x14ac:dyDescent="0.3">
      <c r="A21" s="75">
        <v>46204</v>
      </c>
      <c r="B21" s="15" t="s">
        <v>5</v>
      </c>
      <c r="C21" s="28">
        <v>2650</v>
      </c>
      <c r="D21" s="28">
        <v>2650</v>
      </c>
      <c r="E21" s="28">
        <v>2650</v>
      </c>
      <c r="F21" s="28">
        <v>2650</v>
      </c>
      <c r="G21" s="28">
        <v>2650</v>
      </c>
      <c r="H21" s="28">
        <v>2650</v>
      </c>
      <c r="I21" s="28">
        <v>2650</v>
      </c>
      <c r="J21" s="28">
        <v>2650</v>
      </c>
      <c r="K21" s="28">
        <v>2650</v>
      </c>
      <c r="L21" s="28">
        <v>2650</v>
      </c>
      <c r="M21" s="28">
        <v>2650</v>
      </c>
      <c r="N21" s="28">
        <v>2650</v>
      </c>
      <c r="O21" s="28">
        <v>2650</v>
      </c>
      <c r="P21" s="28">
        <v>2650</v>
      </c>
      <c r="Q21" s="28">
        <v>2650</v>
      </c>
      <c r="R21" s="28">
        <v>2650</v>
      </c>
      <c r="S21" s="28">
        <v>2650</v>
      </c>
      <c r="T21" s="28">
        <v>2650</v>
      </c>
      <c r="U21" s="28">
        <v>2650</v>
      </c>
      <c r="V21" s="28">
        <v>2650</v>
      </c>
      <c r="W21" s="28">
        <v>2650</v>
      </c>
      <c r="X21" s="28">
        <v>2650</v>
      </c>
      <c r="Y21" s="28">
        <v>2650</v>
      </c>
      <c r="Z21" s="29">
        <v>2650</v>
      </c>
      <c r="AA21" s="30">
        <f t="shared" si="0"/>
        <v>63600</v>
      </c>
      <c r="AB21" s="16">
        <v>22</v>
      </c>
      <c r="AC21" s="76">
        <f>+AA21*AB21+AA22*AB22+AA23*AB23</f>
        <v>1971600</v>
      </c>
    </row>
    <row r="22" spans="1:30" ht="15.75" thickBot="1" x14ac:dyDescent="0.3">
      <c r="A22" s="75"/>
      <c r="B22" s="17" t="s">
        <v>4</v>
      </c>
      <c r="C22" s="31">
        <v>2650</v>
      </c>
      <c r="D22" s="31">
        <v>2650</v>
      </c>
      <c r="E22" s="31">
        <v>2650</v>
      </c>
      <c r="F22" s="31">
        <v>2650</v>
      </c>
      <c r="G22" s="31">
        <v>2650</v>
      </c>
      <c r="H22" s="31">
        <v>2650</v>
      </c>
      <c r="I22" s="31">
        <v>2650</v>
      </c>
      <c r="J22" s="31">
        <v>2650</v>
      </c>
      <c r="K22" s="31">
        <v>2650</v>
      </c>
      <c r="L22" s="31">
        <v>2650</v>
      </c>
      <c r="M22" s="31">
        <v>2650</v>
      </c>
      <c r="N22" s="31">
        <v>2650</v>
      </c>
      <c r="O22" s="31">
        <v>2650</v>
      </c>
      <c r="P22" s="31">
        <v>2650</v>
      </c>
      <c r="Q22" s="31">
        <v>2650</v>
      </c>
      <c r="R22" s="31">
        <v>2650</v>
      </c>
      <c r="S22" s="31">
        <v>2650</v>
      </c>
      <c r="T22" s="31">
        <v>2650</v>
      </c>
      <c r="U22" s="31">
        <v>2650</v>
      </c>
      <c r="V22" s="31">
        <v>2650</v>
      </c>
      <c r="W22" s="31">
        <v>2650</v>
      </c>
      <c r="X22" s="31">
        <v>2650</v>
      </c>
      <c r="Y22" s="31">
        <v>2650</v>
      </c>
      <c r="Z22" s="32">
        <v>2650</v>
      </c>
      <c r="AA22" s="33">
        <f t="shared" si="0"/>
        <v>63600</v>
      </c>
      <c r="AB22" s="18">
        <v>4</v>
      </c>
      <c r="AC22" s="77"/>
      <c r="AD22" s="41"/>
    </row>
    <row r="23" spans="1:30" ht="15" x14ac:dyDescent="0.25">
      <c r="A23" s="75"/>
      <c r="B23" s="19" t="s">
        <v>3</v>
      </c>
      <c r="C23" s="34">
        <v>2650</v>
      </c>
      <c r="D23" s="34">
        <v>2650</v>
      </c>
      <c r="E23" s="34">
        <v>2650</v>
      </c>
      <c r="F23" s="34">
        <v>2650</v>
      </c>
      <c r="G23" s="34">
        <v>2650</v>
      </c>
      <c r="H23" s="34">
        <v>2650</v>
      </c>
      <c r="I23" s="34">
        <v>2650</v>
      </c>
      <c r="J23" s="34">
        <v>2650</v>
      </c>
      <c r="K23" s="34">
        <v>2650</v>
      </c>
      <c r="L23" s="34">
        <v>2650</v>
      </c>
      <c r="M23" s="34">
        <v>2650</v>
      </c>
      <c r="N23" s="34">
        <v>2650</v>
      </c>
      <c r="O23" s="34">
        <v>2650</v>
      </c>
      <c r="P23" s="34">
        <v>2650</v>
      </c>
      <c r="Q23" s="34">
        <v>2650</v>
      </c>
      <c r="R23" s="34">
        <v>2650</v>
      </c>
      <c r="S23" s="34">
        <v>2650</v>
      </c>
      <c r="T23" s="34">
        <v>2650</v>
      </c>
      <c r="U23" s="34">
        <v>2650</v>
      </c>
      <c r="V23" s="34">
        <v>2650</v>
      </c>
      <c r="W23" s="34">
        <v>2650</v>
      </c>
      <c r="X23" s="34">
        <v>2650</v>
      </c>
      <c r="Y23" s="34">
        <v>2650</v>
      </c>
      <c r="Z23" s="35">
        <v>2650</v>
      </c>
      <c r="AA23" s="36">
        <f t="shared" si="0"/>
        <v>63600</v>
      </c>
      <c r="AB23" s="20">
        <v>5</v>
      </c>
      <c r="AC23" s="78"/>
      <c r="AD23" s="42"/>
    </row>
    <row r="24" spans="1:30" ht="15.75" thickBot="1" x14ac:dyDescent="0.3">
      <c r="A24" s="75">
        <v>46235</v>
      </c>
      <c r="B24" s="15" t="s">
        <v>5</v>
      </c>
      <c r="C24" s="28">
        <v>2650</v>
      </c>
      <c r="D24" s="28">
        <v>2650</v>
      </c>
      <c r="E24" s="28">
        <v>2650</v>
      </c>
      <c r="F24" s="28">
        <v>2650</v>
      </c>
      <c r="G24" s="28">
        <v>2650</v>
      </c>
      <c r="H24" s="28">
        <v>2650</v>
      </c>
      <c r="I24" s="28">
        <v>2650</v>
      </c>
      <c r="J24" s="28">
        <v>2650</v>
      </c>
      <c r="K24" s="28">
        <v>2650</v>
      </c>
      <c r="L24" s="28">
        <v>2650</v>
      </c>
      <c r="M24" s="28">
        <v>2650</v>
      </c>
      <c r="N24" s="28">
        <v>2650</v>
      </c>
      <c r="O24" s="28">
        <v>2650</v>
      </c>
      <c r="P24" s="28">
        <v>2650</v>
      </c>
      <c r="Q24" s="28">
        <v>2650</v>
      </c>
      <c r="R24" s="28">
        <v>2650</v>
      </c>
      <c r="S24" s="28">
        <v>2650</v>
      </c>
      <c r="T24" s="28">
        <v>2650</v>
      </c>
      <c r="U24" s="28">
        <v>2650</v>
      </c>
      <c r="V24" s="28">
        <v>2650</v>
      </c>
      <c r="W24" s="28">
        <v>2650</v>
      </c>
      <c r="X24" s="28">
        <v>2650</v>
      </c>
      <c r="Y24" s="28">
        <v>2650</v>
      </c>
      <c r="Z24" s="29">
        <v>2650</v>
      </c>
      <c r="AA24" s="30">
        <f t="shared" si="0"/>
        <v>63600</v>
      </c>
      <c r="AB24" s="16">
        <v>19</v>
      </c>
      <c r="AC24" s="76">
        <f>+AA24*AB24+AA25*AB25+AA26*AB26</f>
        <v>1971600</v>
      </c>
    </row>
    <row r="25" spans="1:30" ht="15.75" thickBot="1" x14ac:dyDescent="0.3">
      <c r="A25" s="75"/>
      <c r="B25" s="17" t="s">
        <v>4</v>
      </c>
      <c r="C25" s="31">
        <v>2650</v>
      </c>
      <c r="D25" s="31">
        <v>2650</v>
      </c>
      <c r="E25" s="31">
        <v>2650</v>
      </c>
      <c r="F25" s="31">
        <v>2650</v>
      </c>
      <c r="G25" s="31">
        <v>2650</v>
      </c>
      <c r="H25" s="31">
        <v>2650</v>
      </c>
      <c r="I25" s="31">
        <v>2650</v>
      </c>
      <c r="J25" s="31">
        <v>2650</v>
      </c>
      <c r="K25" s="31">
        <v>2650</v>
      </c>
      <c r="L25" s="31">
        <v>2650</v>
      </c>
      <c r="M25" s="31">
        <v>2650</v>
      </c>
      <c r="N25" s="31">
        <v>2650</v>
      </c>
      <c r="O25" s="31">
        <v>2650</v>
      </c>
      <c r="P25" s="31">
        <v>2650</v>
      </c>
      <c r="Q25" s="31">
        <v>2650</v>
      </c>
      <c r="R25" s="31">
        <v>2650</v>
      </c>
      <c r="S25" s="31">
        <v>2650</v>
      </c>
      <c r="T25" s="31">
        <v>2650</v>
      </c>
      <c r="U25" s="31">
        <v>2650</v>
      </c>
      <c r="V25" s="31">
        <v>2650</v>
      </c>
      <c r="W25" s="31">
        <v>2650</v>
      </c>
      <c r="X25" s="31">
        <v>2650</v>
      </c>
      <c r="Y25" s="31">
        <v>2650</v>
      </c>
      <c r="Z25" s="32">
        <v>2650</v>
      </c>
      <c r="AA25" s="33">
        <f t="shared" si="0"/>
        <v>63600</v>
      </c>
      <c r="AB25" s="18">
        <v>5</v>
      </c>
      <c r="AC25" s="77"/>
      <c r="AD25" s="41"/>
    </row>
    <row r="26" spans="1:30" ht="15" x14ac:dyDescent="0.25">
      <c r="A26" s="75"/>
      <c r="B26" s="19" t="s">
        <v>3</v>
      </c>
      <c r="C26" s="34">
        <v>2650</v>
      </c>
      <c r="D26" s="34">
        <v>2650</v>
      </c>
      <c r="E26" s="34">
        <v>2650</v>
      </c>
      <c r="F26" s="34">
        <v>2650</v>
      </c>
      <c r="G26" s="34">
        <v>2650</v>
      </c>
      <c r="H26" s="34">
        <v>2650</v>
      </c>
      <c r="I26" s="34">
        <v>2650</v>
      </c>
      <c r="J26" s="34">
        <v>2650</v>
      </c>
      <c r="K26" s="34">
        <v>2650</v>
      </c>
      <c r="L26" s="34">
        <v>2650</v>
      </c>
      <c r="M26" s="34">
        <v>2650</v>
      </c>
      <c r="N26" s="34">
        <v>2650</v>
      </c>
      <c r="O26" s="34">
        <v>2650</v>
      </c>
      <c r="P26" s="34">
        <v>2650</v>
      </c>
      <c r="Q26" s="34">
        <v>2650</v>
      </c>
      <c r="R26" s="34">
        <v>2650</v>
      </c>
      <c r="S26" s="34">
        <v>2650</v>
      </c>
      <c r="T26" s="34">
        <v>2650</v>
      </c>
      <c r="U26" s="34">
        <v>2650</v>
      </c>
      <c r="V26" s="34">
        <v>2650</v>
      </c>
      <c r="W26" s="34">
        <v>2650</v>
      </c>
      <c r="X26" s="34">
        <v>2650</v>
      </c>
      <c r="Y26" s="34">
        <v>2650</v>
      </c>
      <c r="Z26" s="35">
        <v>2650</v>
      </c>
      <c r="AA26" s="36">
        <f t="shared" si="0"/>
        <v>63600</v>
      </c>
      <c r="AB26" s="20">
        <v>7</v>
      </c>
      <c r="AC26" s="78"/>
      <c r="AD26" s="43"/>
    </row>
    <row r="27" spans="1:30" ht="15.75" thickBot="1" x14ac:dyDescent="0.3">
      <c r="A27" s="75">
        <v>46266</v>
      </c>
      <c r="B27" s="15" t="s">
        <v>5</v>
      </c>
      <c r="C27" s="28">
        <v>2650</v>
      </c>
      <c r="D27" s="28">
        <v>2650</v>
      </c>
      <c r="E27" s="28">
        <v>2650</v>
      </c>
      <c r="F27" s="28">
        <v>2650</v>
      </c>
      <c r="G27" s="28">
        <v>2650</v>
      </c>
      <c r="H27" s="28">
        <v>2650</v>
      </c>
      <c r="I27" s="28">
        <v>2650</v>
      </c>
      <c r="J27" s="28">
        <v>2650</v>
      </c>
      <c r="K27" s="28">
        <v>2650</v>
      </c>
      <c r="L27" s="28">
        <v>2650</v>
      </c>
      <c r="M27" s="28">
        <v>2650</v>
      </c>
      <c r="N27" s="28">
        <v>2650</v>
      </c>
      <c r="O27" s="28">
        <v>2650</v>
      </c>
      <c r="P27" s="28">
        <v>2650</v>
      </c>
      <c r="Q27" s="28">
        <v>2650</v>
      </c>
      <c r="R27" s="28">
        <v>2650</v>
      </c>
      <c r="S27" s="28">
        <v>2650</v>
      </c>
      <c r="T27" s="28">
        <v>2650</v>
      </c>
      <c r="U27" s="28">
        <v>2650</v>
      </c>
      <c r="V27" s="28">
        <v>2650</v>
      </c>
      <c r="W27" s="28">
        <v>2650</v>
      </c>
      <c r="X27" s="28">
        <v>2650</v>
      </c>
      <c r="Y27" s="28">
        <v>2650</v>
      </c>
      <c r="Z27" s="29">
        <v>2650</v>
      </c>
      <c r="AA27" s="30">
        <f t="shared" si="0"/>
        <v>63600</v>
      </c>
      <c r="AB27" s="16">
        <v>22</v>
      </c>
      <c r="AC27" s="76">
        <f>+AA27*AB27+AA28*AB28+AA29*AB29</f>
        <v>1908000</v>
      </c>
    </row>
    <row r="28" spans="1:30" ht="15.75" thickBot="1" x14ac:dyDescent="0.3">
      <c r="A28" s="75"/>
      <c r="B28" s="17" t="s">
        <v>4</v>
      </c>
      <c r="C28" s="31">
        <v>2650</v>
      </c>
      <c r="D28" s="31">
        <v>2650</v>
      </c>
      <c r="E28" s="31">
        <v>2650</v>
      </c>
      <c r="F28" s="31">
        <v>2650</v>
      </c>
      <c r="G28" s="31">
        <v>2650</v>
      </c>
      <c r="H28" s="31">
        <v>2650</v>
      </c>
      <c r="I28" s="31">
        <v>2650</v>
      </c>
      <c r="J28" s="31">
        <v>2650</v>
      </c>
      <c r="K28" s="31">
        <v>2650</v>
      </c>
      <c r="L28" s="31">
        <v>2650</v>
      </c>
      <c r="M28" s="31">
        <v>2650</v>
      </c>
      <c r="N28" s="31">
        <v>2650</v>
      </c>
      <c r="O28" s="31">
        <v>2650</v>
      </c>
      <c r="P28" s="31">
        <v>2650</v>
      </c>
      <c r="Q28" s="31">
        <v>2650</v>
      </c>
      <c r="R28" s="31">
        <v>2650</v>
      </c>
      <c r="S28" s="31">
        <v>2650</v>
      </c>
      <c r="T28" s="31">
        <v>2650</v>
      </c>
      <c r="U28" s="31">
        <v>2650</v>
      </c>
      <c r="V28" s="31">
        <v>2650</v>
      </c>
      <c r="W28" s="31">
        <v>2650</v>
      </c>
      <c r="X28" s="31">
        <v>2650</v>
      </c>
      <c r="Y28" s="31">
        <v>2650</v>
      </c>
      <c r="Z28" s="32">
        <v>2650</v>
      </c>
      <c r="AA28" s="33">
        <f t="shared" si="0"/>
        <v>63600</v>
      </c>
      <c r="AB28" s="18">
        <v>4</v>
      </c>
      <c r="AC28" s="77"/>
      <c r="AD28" s="41"/>
    </row>
    <row r="29" spans="1:30" ht="15" x14ac:dyDescent="0.25">
      <c r="A29" s="75"/>
      <c r="B29" s="19" t="s">
        <v>3</v>
      </c>
      <c r="C29" s="34">
        <v>2650</v>
      </c>
      <c r="D29" s="34">
        <v>2650</v>
      </c>
      <c r="E29" s="34">
        <v>2650</v>
      </c>
      <c r="F29" s="34">
        <v>2650</v>
      </c>
      <c r="G29" s="34">
        <v>2650</v>
      </c>
      <c r="H29" s="34">
        <v>2650</v>
      </c>
      <c r="I29" s="34">
        <v>2650</v>
      </c>
      <c r="J29" s="34">
        <v>2650</v>
      </c>
      <c r="K29" s="34">
        <v>2650</v>
      </c>
      <c r="L29" s="34">
        <v>2650</v>
      </c>
      <c r="M29" s="34">
        <v>2650</v>
      </c>
      <c r="N29" s="34">
        <v>2650</v>
      </c>
      <c r="O29" s="34">
        <v>2650</v>
      </c>
      <c r="P29" s="34">
        <v>2650</v>
      </c>
      <c r="Q29" s="34">
        <v>2650</v>
      </c>
      <c r="R29" s="34">
        <v>2650</v>
      </c>
      <c r="S29" s="34">
        <v>2650</v>
      </c>
      <c r="T29" s="34">
        <v>2650</v>
      </c>
      <c r="U29" s="34">
        <v>2650</v>
      </c>
      <c r="V29" s="34">
        <v>2650</v>
      </c>
      <c r="W29" s="34">
        <v>2650</v>
      </c>
      <c r="X29" s="34">
        <v>2650</v>
      </c>
      <c r="Y29" s="34">
        <v>2650</v>
      </c>
      <c r="Z29" s="35">
        <v>2650</v>
      </c>
      <c r="AA29" s="36">
        <f t="shared" si="0"/>
        <v>63600</v>
      </c>
      <c r="AB29" s="20">
        <v>4</v>
      </c>
      <c r="AC29" s="78"/>
      <c r="AD29" s="42"/>
    </row>
    <row r="30" spans="1:30" ht="15.75" thickBot="1" x14ac:dyDescent="0.3">
      <c r="A30" s="75">
        <v>46296</v>
      </c>
      <c r="B30" s="15" t="s">
        <v>5</v>
      </c>
      <c r="C30" s="28">
        <v>2650</v>
      </c>
      <c r="D30" s="28">
        <v>2650</v>
      </c>
      <c r="E30" s="28">
        <v>2650</v>
      </c>
      <c r="F30" s="28">
        <v>2650</v>
      </c>
      <c r="G30" s="28">
        <v>2650</v>
      </c>
      <c r="H30" s="28">
        <v>2650</v>
      </c>
      <c r="I30" s="28">
        <v>2650</v>
      </c>
      <c r="J30" s="28">
        <v>2650</v>
      </c>
      <c r="K30" s="28">
        <v>2650</v>
      </c>
      <c r="L30" s="28">
        <v>2650</v>
      </c>
      <c r="M30" s="28">
        <v>2650</v>
      </c>
      <c r="N30" s="28">
        <v>2650</v>
      </c>
      <c r="O30" s="28">
        <v>2650</v>
      </c>
      <c r="P30" s="28">
        <v>2650</v>
      </c>
      <c r="Q30" s="28">
        <v>2650</v>
      </c>
      <c r="R30" s="28">
        <v>2650</v>
      </c>
      <c r="S30" s="28">
        <v>2650</v>
      </c>
      <c r="T30" s="28">
        <v>2650</v>
      </c>
      <c r="U30" s="28">
        <v>2650</v>
      </c>
      <c r="V30" s="28">
        <v>2650</v>
      </c>
      <c r="W30" s="28">
        <v>2650</v>
      </c>
      <c r="X30" s="28">
        <v>2650</v>
      </c>
      <c r="Y30" s="28">
        <v>2650</v>
      </c>
      <c r="Z30" s="29">
        <v>2650</v>
      </c>
      <c r="AA30" s="30">
        <f t="shared" si="0"/>
        <v>63600</v>
      </c>
      <c r="AB30" s="16">
        <v>21</v>
      </c>
      <c r="AC30" s="76">
        <f>+AA30*AB30+AA31*AB31+AA32*AB32</f>
        <v>1971600</v>
      </c>
    </row>
    <row r="31" spans="1:30" ht="15.75" thickBot="1" x14ac:dyDescent="0.3">
      <c r="A31" s="75"/>
      <c r="B31" s="17" t="s">
        <v>4</v>
      </c>
      <c r="C31" s="31">
        <v>2650</v>
      </c>
      <c r="D31" s="31">
        <v>2650</v>
      </c>
      <c r="E31" s="31">
        <v>2650</v>
      </c>
      <c r="F31" s="31">
        <v>2650</v>
      </c>
      <c r="G31" s="31">
        <v>2650</v>
      </c>
      <c r="H31" s="31">
        <v>2650</v>
      </c>
      <c r="I31" s="31">
        <v>2650</v>
      </c>
      <c r="J31" s="31">
        <v>2650</v>
      </c>
      <c r="K31" s="31">
        <v>2650</v>
      </c>
      <c r="L31" s="31">
        <v>2650</v>
      </c>
      <c r="M31" s="31">
        <v>2650</v>
      </c>
      <c r="N31" s="31">
        <v>2650</v>
      </c>
      <c r="O31" s="31">
        <v>2650</v>
      </c>
      <c r="P31" s="31">
        <v>2650</v>
      </c>
      <c r="Q31" s="31">
        <v>2650</v>
      </c>
      <c r="R31" s="31">
        <v>2650</v>
      </c>
      <c r="S31" s="31">
        <v>2650</v>
      </c>
      <c r="T31" s="31">
        <v>2650</v>
      </c>
      <c r="U31" s="31">
        <v>2650</v>
      </c>
      <c r="V31" s="31">
        <v>2650</v>
      </c>
      <c r="W31" s="31">
        <v>2650</v>
      </c>
      <c r="X31" s="31">
        <v>2650</v>
      </c>
      <c r="Y31" s="31">
        <v>2650</v>
      </c>
      <c r="Z31" s="32">
        <v>2650</v>
      </c>
      <c r="AA31" s="33">
        <f t="shared" si="0"/>
        <v>63600</v>
      </c>
      <c r="AB31" s="18">
        <v>5</v>
      </c>
      <c r="AC31" s="77"/>
      <c r="AD31" s="41"/>
    </row>
    <row r="32" spans="1:30" ht="15" x14ac:dyDescent="0.25">
      <c r="A32" s="75"/>
      <c r="B32" s="19" t="s">
        <v>3</v>
      </c>
      <c r="C32" s="34">
        <v>2650</v>
      </c>
      <c r="D32" s="34">
        <v>2650</v>
      </c>
      <c r="E32" s="34">
        <v>2650</v>
      </c>
      <c r="F32" s="34">
        <v>2650</v>
      </c>
      <c r="G32" s="34">
        <v>2650</v>
      </c>
      <c r="H32" s="34">
        <v>2650</v>
      </c>
      <c r="I32" s="34">
        <v>2650</v>
      </c>
      <c r="J32" s="34">
        <v>2650</v>
      </c>
      <c r="K32" s="34">
        <v>2650</v>
      </c>
      <c r="L32" s="34">
        <v>2650</v>
      </c>
      <c r="M32" s="34">
        <v>2650</v>
      </c>
      <c r="N32" s="34">
        <v>2650</v>
      </c>
      <c r="O32" s="34">
        <v>2650</v>
      </c>
      <c r="P32" s="34">
        <v>2650</v>
      </c>
      <c r="Q32" s="34">
        <v>2650</v>
      </c>
      <c r="R32" s="34">
        <v>2650</v>
      </c>
      <c r="S32" s="34">
        <v>2650</v>
      </c>
      <c r="T32" s="34">
        <v>2650</v>
      </c>
      <c r="U32" s="34">
        <v>2650</v>
      </c>
      <c r="V32" s="34">
        <v>2650</v>
      </c>
      <c r="W32" s="34">
        <v>2650</v>
      </c>
      <c r="X32" s="34">
        <v>2650</v>
      </c>
      <c r="Y32" s="34">
        <v>2650</v>
      </c>
      <c r="Z32" s="35">
        <v>2650</v>
      </c>
      <c r="AA32" s="36">
        <f t="shared" si="0"/>
        <v>63600</v>
      </c>
      <c r="AB32" s="20">
        <v>5</v>
      </c>
      <c r="AC32" s="78"/>
      <c r="AD32" s="42"/>
    </row>
    <row r="33" spans="1:30" ht="15.75" thickBot="1" x14ac:dyDescent="0.3">
      <c r="A33" s="75">
        <v>46327</v>
      </c>
      <c r="B33" s="15" t="s">
        <v>5</v>
      </c>
      <c r="C33" s="28">
        <v>2650</v>
      </c>
      <c r="D33" s="28">
        <v>2650</v>
      </c>
      <c r="E33" s="28">
        <v>2650</v>
      </c>
      <c r="F33" s="28">
        <v>2650</v>
      </c>
      <c r="G33" s="28">
        <v>2650</v>
      </c>
      <c r="H33" s="28">
        <v>2650</v>
      </c>
      <c r="I33" s="28">
        <v>2650</v>
      </c>
      <c r="J33" s="28">
        <v>2650</v>
      </c>
      <c r="K33" s="28">
        <v>2650</v>
      </c>
      <c r="L33" s="28">
        <v>2650</v>
      </c>
      <c r="M33" s="28">
        <v>2650</v>
      </c>
      <c r="N33" s="28">
        <v>2650</v>
      </c>
      <c r="O33" s="28">
        <v>2650</v>
      </c>
      <c r="P33" s="28">
        <v>2650</v>
      </c>
      <c r="Q33" s="28">
        <v>2650</v>
      </c>
      <c r="R33" s="28">
        <v>2650</v>
      </c>
      <c r="S33" s="28">
        <v>2650</v>
      </c>
      <c r="T33" s="28">
        <v>2650</v>
      </c>
      <c r="U33" s="28">
        <v>2650</v>
      </c>
      <c r="V33" s="28">
        <v>2650</v>
      </c>
      <c r="W33" s="28">
        <v>2650</v>
      </c>
      <c r="X33" s="28">
        <v>2650</v>
      </c>
      <c r="Y33" s="28">
        <v>2650</v>
      </c>
      <c r="Z33" s="29">
        <v>2650</v>
      </c>
      <c r="AA33" s="30">
        <f t="shared" si="0"/>
        <v>63600</v>
      </c>
      <c r="AB33" s="16">
        <v>19</v>
      </c>
      <c r="AC33" s="76">
        <f>+AA33*AB33+AA34*AB34+AA35*AB35</f>
        <v>1908000</v>
      </c>
    </row>
    <row r="34" spans="1:30" ht="15.75" thickBot="1" x14ac:dyDescent="0.3">
      <c r="A34" s="75"/>
      <c r="B34" s="17" t="s">
        <v>4</v>
      </c>
      <c r="C34" s="31">
        <v>2650</v>
      </c>
      <c r="D34" s="31">
        <v>2650</v>
      </c>
      <c r="E34" s="31">
        <v>2650</v>
      </c>
      <c r="F34" s="31">
        <v>2650</v>
      </c>
      <c r="G34" s="31">
        <v>2650</v>
      </c>
      <c r="H34" s="31">
        <v>2650</v>
      </c>
      <c r="I34" s="31">
        <v>2650</v>
      </c>
      <c r="J34" s="31">
        <v>2650</v>
      </c>
      <c r="K34" s="31">
        <v>2650</v>
      </c>
      <c r="L34" s="31">
        <v>2650</v>
      </c>
      <c r="M34" s="31">
        <v>2650</v>
      </c>
      <c r="N34" s="31">
        <v>2650</v>
      </c>
      <c r="O34" s="31">
        <v>2650</v>
      </c>
      <c r="P34" s="31">
        <v>2650</v>
      </c>
      <c r="Q34" s="31">
        <v>2650</v>
      </c>
      <c r="R34" s="31">
        <v>2650</v>
      </c>
      <c r="S34" s="31">
        <v>2650</v>
      </c>
      <c r="T34" s="31">
        <v>2650</v>
      </c>
      <c r="U34" s="31">
        <v>2650</v>
      </c>
      <c r="V34" s="31">
        <v>2650</v>
      </c>
      <c r="W34" s="31">
        <v>2650</v>
      </c>
      <c r="X34" s="31">
        <v>2650</v>
      </c>
      <c r="Y34" s="31">
        <v>2650</v>
      </c>
      <c r="Z34" s="32">
        <v>2650</v>
      </c>
      <c r="AA34" s="33">
        <f t="shared" si="0"/>
        <v>63600</v>
      </c>
      <c r="AB34" s="18">
        <v>4</v>
      </c>
      <c r="AC34" s="77"/>
      <c r="AD34" s="41"/>
    </row>
    <row r="35" spans="1:30" ht="15" x14ac:dyDescent="0.25">
      <c r="A35" s="75"/>
      <c r="B35" s="19" t="s">
        <v>3</v>
      </c>
      <c r="C35" s="34">
        <v>2650</v>
      </c>
      <c r="D35" s="34">
        <v>2650</v>
      </c>
      <c r="E35" s="34">
        <v>2650</v>
      </c>
      <c r="F35" s="34">
        <v>2650</v>
      </c>
      <c r="G35" s="34">
        <v>2650</v>
      </c>
      <c r="H35" s="34">
        <v>2650</v>
      </c>
      <c r="I35" s="34">
        <v>2650</v>
      </c>
      <c r="J35" s="34">
        <v>2650</v>
      </c>
      <c r="K35" s="34">
        <v>2650</v>
      </c>
      <c r="L35" s="34">
        <v>2650</v>
      </c>
      <c r="M35" s="34">
        <v>2650</v>
      </c>
      <c r="N35" s="34">
        <v>2650</v>
      </c>
      <c r="O35" s="34">
        <v>2650</v>
      </c>
      <c r="P35" s="34">
        <v>2650</v>
      </c>
      <c r="Q35" s="34">
        <v>2650</v>
      </c>
      <c r="R35" s="34">
        <v>2650</v>
      </c>
      <c r="S35" s="34">
        <v>2650</v>
      </c>
      <c r="T35" s="34">
        <v>2650</v>
      </c>
      <c r="U35" s="34">
        <v>2650</v>
      </c>
      <c r="V35" s="34">
        <v>2650</v>
      </c>
      <c r="W35" s="34">
        <v>2650</v>
      </c>
      <c r="X35" s="34">
        <v>2650</v>
      </c>
      <c r="Y35" s="34">
        <v>2650</v>
      </c>
      <c r="Z35" s="35">
        <v>2650</v>
      </c>
      <c r="AA35" s="36">
        <f t="shared" si="0"/>
        <v>63600</v>
      </c>
      <c r="AB35" s="20">
        <v>7</v>
      </c>
      <c r="AC35" s="78"/>
      <c r="AD35" s="43"/>
    </row>
    <row r="36" spans="1:30" ht="15.75" thickBot="1" x14ac:dyDescent="0.3">
      <c r="A36" s="75">
        <v>46357</v>
      </c>
      <c r="B36" s="15" t="s">
        <v>5</v>
      </c>
      <c r="C36" s="28">
        <v>2650</v>
      </c>
      <c r="D36" s="28">
        <v>2650</v>
      </c>
      <c r="E36" s="28">
        <v>2650</v>
      </c>
      <c r="F36" s="28">
        <v>2650</v>
      </c>
      <c r="G36" s="28">
        <v>2650</v>
      </c>
      <c r="H36" s="28">
        <v>2650</v>
      </c>
      <c r="I36" s="28">
        <v>2650</v>
      </c>
      <c r="J36" s="28">
        <v>2650</v>
      </c>
      <c r="K36" s="28">
        <v>2650</v>
      </c>
      <c r="L36" s="28">
        <v>2650</v>
      </c>
      <c r="M36" s="28">
        <v>2650</v>
      </c>
      <c r="N36" s="28">
        <v>2650</v>
      </c>
      <c r="O36" s="28">
        <v>2650</v>
      </c>
      <c r="P36" s="28">
        <v>2650</v>
      </c>
      <c r="Q36" s="28">
        <v>2650</v>
      </c>
      <c r="R36" s="28">
        <v>2650</v>
      </c>
      <c r="S36" s="28">
        <v>2650</v>
      </c>
      <c r="T36" s="28">
        <v>2650</v>
      </c>
      <c r="U36" s="28">
        <v>2650</v>
      </c>
      <c r="V36" s="28">
        <v>2650</v>
      </c>
      <c r="W36" s="28">
        <v>2650</v>
      </c>
      <c r="X36" s="28">
        <v>2650</v>
      </c>
      <c r="Y36" s="28">
        <v>2650</v>
      </c>
      <c r="Z36" s="29">
        <v>2650</v>
      </c>
      <c r="AA36" s="30">
        <f t="shared" si="0"/>
        <v>63600</v>
      </c>
      <c r="AB36" s="16">
        <v>21</v>
      </c>
      <c r="AC36" s="76">
        <f>+AA36*AB36+AA37*AB37+AA38*AB38</f>
        <v>1971600</v>
      </c>
    </row>
    <row r="37" spans="1:30" ht="15.75" thickBot="1" x14ac:dyDescent="0.3">
      <c r="A37" s="75"/>
      <c r="B37" s="17" t="s">
        <v>4</v>
      </c>
      <c r="C37" s="31">
        <v>2650</v>
      </c>
      <c r="D37" s="31">
        <v>2650</v>
      </c>
      <c r="E37" s="31">
        <v>2650</v>
      </c>
      <c r="F37" s="31">
        <v>2650</v>
      </c>
      <c r="G37" s="31">
        <v>2650</v>
      </c>
      <c r="H37" s="31">
        <v>2650</v>
      </c>
      <c r="I37" s="31">
        <v>2650</v>
      </c>
      <c r="J37" s="31">
        <v>2650</v>
      </c>
      <c r="K37" s="31">
        <v>2650</v>
      </c>
      <c r="L37" s="31">
        <v>2650</v>
      </c>
      <c r="M37" s="31">
        <v>2650</v>
      </c>
      <c r="N37" s="31">
        <v>2650</v>
      </c>
      <c r="O37" s="31">
        <v>2650</v>
      </c>
      <c r="P37" s="31">
        <v>2650</v>
      </c>
      <c r="Q37" s="31">
        <v>2650</v>
      </c>
      <c r="R37" s="31">
        <v>2650</v>
      </c>
      <c r="S37" s="31">
        <v>2650</v>
      </c>
      <c r="T37" s="31">
        <v>2650</v>
      </c>
      <c r="U37" s="31">
        <v>2650</v>
      </c>
      <c r="V37" s="31">
        <v>2650</v>
      </c>
      <c r="W37" s="31">
        <v>2650</v>
      </c>
      <c r="X37" s="31">
        <v>2650</v>
      </c>
      <c r="Y37" s="31">
        <v>2650</v>
      </c>
      <c r="Z37" s="32">
        <v>2650</v>
      </c>
      <c r="AA37" s="33">
        <f t="shared" si="0"/>
        <v>63600</v>
      </c>
      <c r="AB37" s="18">
        <v>4</v>
      </c>
      <c r="AC37" s="77"/>
      <c r="AD37" s="41"/>
    </row>
    <row r="38" spans="1:30" ht="15" x14ac:dyDescent="0.25">
      <c r="A38" s="75"/>
      <c r="B38" s="19" t="s">
        <v>3</v>
      </c>
      <c r="C38" s="34">
        <v>2650</v>
      </c>
      <c r="D38" s="34">
        <v>2650</v>
      </c>
      <c r="E38" s="34">
        <v>2650</v>
      </c>
      <c r="F38" s="34">
        <v>2650</v>
      </c>
      <c r="G38" s="34">
        <v>2650</v>
      </c>
      <c r="H38" s="34">
        <v>2650</v>
      </c>
      <c r="I38" s="34">
        <v>2650</v>
      </c>
      <c r="J38" s="34">
        <v>2650</v>
      </c>
      <c r="K38" s="34">
        <v>2650</v>
      </c>
      <c r="L38" s="34">
        <v>2650</v>
      </c>
      <c r="M38" s="34">
        <v>2650</v>
      </c>
      <c r="N38" s="34">
        <v>2650</v>
      </c>
      <c r="O38" s="34">
        <v>2650</v>
      </c>
      <c r="P38" s="34">
        <v>2650</v>
      </c>
      <c r="Q38" s="34">
        <v>2650</v>
      </c>
      <c r="R38" s="34">
        <v>2650</v>
      </c>
      <c r="S38" s="34">
        <v>2650</v>
      </c>
      <c r="T38" s="34">
        <v>2650</v>
      </c>
      <c r="U38" s="34">
        <v>2650</v>
      </c>
      <c r="V38" s="34">
        <v>2650</v>
      </c>
      <c r="W38" s="34">
        <v>2650</v>
      </c>
      <c r="X38" s="34">
        <v>2650</v>
      </c>
      <c r="Y38" s="34">
        <v>2650</v>
      </c>
      <c r="Z38" s="35">
        <v>2650</v>
      </c>
      <c r="AA38" s="36">
        <f t="shared" si="0"/>
        <v>63600</v>
      </c>
      <c r="AB38" s="20">
        <v>6</v>
      </c>
      <c r="AC38" s="78"/>
      <c r="AD38" s="37"/>
    </row>
    <row r="39" spans="1:30" ht="15" x14ac:dyDescent="0.25">
      <c r="A39" s="79" t="s">
        <v>2</v>
      </c>
      <c r="B39" s="80"/>
      <c r="C39" s="26">
        <f t="shared" ref="C39:AC39" si="1">+SUM(C6:C38)</f>
        <v>87450</v>
      </c>
      <c r="D39" s="26">
        <f t="shared" si="1"/>
        <v>87450</v>
      </c>
      <c r="E39" s="26">
        <f t="shared" si="1"/>
        <v>87450</v>
      </c>
      <c r="F39" s="26">
        <f t="shared" si="1"/>
        <v>87450</v>
      </c>
      <c r="G39" s="26">
        <f t="shared" si="1"/>
        <v>87450</v>
      </c>
      <c r="H39" s="26">
        <f t="shared" si="1"/>
        <v>87450</v>
      </c>
      <c r="I39" s="26">
        <f t="shared" si="1"/>
        <v>87450</v>
      </c>
      <c r="J39" s="26">
        <f t="shared" si="1"/>
        <v>87450</v>
      </c>
      <c r="K39" s="26">
        <f t="shared" si="1"/>
        <v>87450</v>
      </c>
      <c r="L39" s="26">
        <f t="shared" si="1"/>
        <v>87450</v>
      </c>
      <c r="M39" s="26">
        <f t="shared" si="1"/>
        <v>87450</v>
      </c>
      <c r="N39" s="26">
        <f t="shared" si="1"/>
        <v>87450</v>
      </c>
      <c r="O39" s="26">
        <f t="shared" si="1"/>
        <v>87450</v>
      </c>
      <c r="P39" s="26">
        <f t="shared" si="1"/>
        <v>87450</v>
      </c>
      <c r="Q39" s="26">
        <f t="shared" si="1"/>
        <v>87450</v>
      </c>
      <c r="R39" s="26">
        <f t="shared" si="1"/>
        <v>87450</v>
      </c>
      <c r="S39" s="26">
        <f t="shared" si="1"/>
        <v>87450</v>
      </c>
      <c r="T39" s="26">
        <f t="shared" si="1"/>
        <v>87450</v>
      </c>
      <c r="U39" s="26">
        <f t="shared" si="1"/>
        <v>87450</v>
      </c>
      <c r="V39" s="26">
        <f t="shared" si="1"/>
        <v>87450</v>
      </c>
      <c r="W39" s="26">
        <f t="shared" si="1"/>
        <v>87450</v>
      </c>
      <c r="X39" s="26">
        <f t="shared" si="1"/>
        <v>87450</v>
      </c>
      <c r="Y39" s="26">
        <f t="shared" si="1"/>
        <v>87450</v>
      </c>
      <c r="Z39" s="26">
        <f t="shared" si="1"/>
        <v>87450</v>
      </c>
      <c r="AA39" s="26">
        <f t="shared" si="1"/>
        <v>2098800</v>
      </c>
      <c r="AB39" s="26">
        <f t="shared" si="1"/>
        <v>334</v>
      </c>
      <c r="AC39" s="40">
        <f t="shared" si="1"/>
        <v>21242400</v>
      </c>
    </row>
    <row r="40" spans="1:30" ht="15" x14ac:dyDescent="0.25">
      <c r="AB40" s="3"/>
      <c r="AC40" s="3"/>
    </row>
    <row r="41" spans="1:30" ht="15" x14ac:dyDescent="0.25">
      <c r="C41" s="43"/>
    </row>
    <row r="42" spans="1:30" ht="15" x14ac:dyDescent="0.25"/>
    <row r="43" spans="1:30" ht="15" x14ac:dyDescent="0.25"/>
  </sheetData>
  <mergeCells count="51">
    <mergeCell ref="A24:A26"/>
    <mergeCell ref="AC24:AC26"/>
    <mergeCell ref="A27:A29"/>
    <mergeCell ref="AC27:AC29"/>
    <mergeCell ref="A39:B39"/>
    <mergeCell ref="A30:A32"/>
    <mergeCell ref="AC30:AC32"/>
    <mergeCell ref="A33:A35"/>
    <mergeCell ref="AC33:AC35"/>
    <mergeCell ref="A36:A38"/>
    <mergeCell ref="AC36:AC38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209-1201-4C03-97AC-25DB61F1D400}">
  <sheetPr>
    <tabColor rgb="FFFF0000"/>
  </sheetPr>
  <dimension ref="A1:AD43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13" bestFit="1" customWidth="1"/>
    <col min="4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66" t="s">
        <v>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8"/>
    </row>
    <row r="2" spans="1:30" ht="15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1"/>
    </row>
    <row r="3" spans="1:30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30" ht="18" x14ac:dyDescent="0.25">
      <c r="A4" s="72" t="s">
        <v>35</v>
      </c>
      <c r="B4" s="72" t="s">
        <v>34</v>
      </c>
      <c r="C4" s="64" t="s">
        <v>33</v>
      </c>
      <c r="D4" s="64" t="s">
        <v>32</v>
      </c>
      <c r="E4" s="64" t="s">
        <v>31</v>
      </c>
      <c r="F4" s="64" t="s">
        <v>30</v>
      </c>
      <c r="G4" s="64" t="s">
        <v>29</v>
      </c>
      <c r="H4" s="64" t="s">
        <v>28</v>
      </c>
      <c r="I4" s="64" t="s">
        <v>27</v>
      </c>
      <c r="J4" s="64" t="s">
        <v>26</v>
      </c>
      <c r="K4" s="64" t="s">
        <v>25</v>
      </c>
      <c r="L4" s="64" t="s">
        <v>24</v>
      </c>
      <c r="M4" s="64" t="s">
        <v>23</v>
      </c>
      <c r="N4" s="64" t="s">
        <v>22</v>
      </c>
      <c r="O4" s="64" t="s">
        <v>21</v>
      </c>
      <c r="P4" s="64" t="s">
        <v>20</v>
      </c>
      <c r="Q4" s="64" t="s">
        <v>19</v>
      </c>
      <c r="R4" s="64" t="s">
        <v>18</v>
      </c>
      <c r="S4" s="64" t="s">
        <v>17</v>
      </c>
      <c r="T4" s="64" t="s">
        <v>16</v>
      </c>
      <c r="U4" s="64" t="s">
        <v>15</v>
      </c>
      <c r="V4" s="64" t="s">
        <v>14</v>
      </c>
      <c r="W4" s="64" t="s">
        <v>13</v>
      </c>
      <c r="X4" s="64" t="s">
        <v>12</v>
      </c>
      <c r="Y4" s="64" t="s">
        <v>11</v>
      </c>
      <c r="Z4" s="64" t="s">
        <v>10</v>
      </c>
      <c r="AA4" s="11" t="s">
        <v>9</v>
      </c>
      <c r="AB4" s="12" t="s">
        <v>8</v>
      </c>
      <c r="AC4" s="73" t="s">
        <v>7</v>
      </c>
    </row>
    <row r="5" spans="1:30" ht="15" x14ac:dyDescent="0.25">
      <c r="A5" s="72"/>
      <c r="B5" s="72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13"/>
      <c r="AB5" s="14" t="s">
        <v>6</v>
      </c>
      <c r="AC5" s="74"/>
    </row>
    <row r="6" spans="1:30" ht="15.75" thickBot="1" x14ac:dyDescent="0.3">
      <c r="A6" s="75">
        <v>46054</v>
      </c>
      <c r="B6" s="15" t="s">
        <v>5</v>
      </c>
      <c r="C6" s="28">
        <f>+'Anexo 1'!$D$10</f>
        <v>0</v>
      </c>
      <c r="D6" s="28">
        <f>+'Anexo 1'!$D$10</f>
        <v>0</v>
      </c>
      <c r="E6" s="28">
        <f>+'Anexo 1'!$D$10</f>
        <v>0</v>
      </c>
      <c r="F6" s="28">
        <f>+'Anexo 1'!$D$10</f>
        <v>0</v>
      </c>
      <c r="G6" s="28">
        <f>+'Anexo 1'!$D$10</f>
        <v>0</v>
      </c>
      <c r="H6" s="28">
        <f>+'Anexo 1'!$D$10</f>
        <v>0</v>
      </c>
      <c r="I6" s="28">
        <f>+'Anexo 1'!$D$10</f>
        <v>0</v>
      </c>
      <c r="J6" s="28">
        <f>+'Anexo 1'!$D$10</f>
        <v>0</v>
      </c>
      <c r="K6" s="28">
        <f>+'Anexo 1'!$D$10</f>
        <v>0</v>
      </c>
      <c r="L6" s="28">
        <f>+'Anexo 1'!$D$10</f>
        <v>0</v>
      </c>
      <c r="M6" s="28">
        <f>+'Anexo 1'!$D$10</f>
        <v>0</v>
      </c>
      <c r="N6" s="28">
        <f>+'Anexo 1'!$D$10</f>
        <v>0</v>
      </c>
      <c r="O6" s="28">
        <f>+'Anexo 1'!$D$10</f>
        <v>0</v>
      </c>
      <c r="P6" s="28">
        <f>+'Anexo 1'!$D$10</f>
        <v>0</v>
      </c>
      <c r="Q6" s="28">
        <f>+'Anexo 1'!$D$10</f>
        <v>0</v>
      </c>
      <c r="R6" s="28">
        <f>+'Anexo 1'!$D$10</f>
        <v>0</v>
      </c>
      <c r="S6" s="28">
        <f>+'Anexo 1'!$D$10</f>
        <v>0</v>
      </c>
      <c r="T6" s="28">
        <f>+'Anexo 1'!$D$10</f>
        <v>0</v>
      </c>
      <c r="U6" s="28">
        <f>+'Anexo 1'!$D$10</f>
        <v>0</v>
      </c>
      <c r="V6" s="28">
        <f>+'Anexo 1'!$D$10</f>
        <v>0</v>
      </c>
      <c r="W6" s="28">
        <f>+'Anexo 1'!$D$10</f>
        <v>0</v>
      </c>
      <c r="X6" s="28">
        <f>+'Anexo 1'!$D$10</f>
        <v>0</v>
      </c>
      <c r="Y6" s="28">
        <f>+'Anexo 1'!$D$10</f>
        <v>0</v>
      </c>
      <c r="Z6" s="29">
        <f>+'Anexo 1'!$D$10</f>
        <v>0</v>
      </c>
      <c r="AA6" s="30">
        <f t="shared" ref="AA6:AA38" si="0">SUM(C6:Z6)</f>
        <v>0</v>
      </c>
      <c r="AB6" s="16">
        <v>20</v>
      </c>
      <c r="AC6" s="76">
        <f>+AA6*AB6+AA7*AB7+AA8*AB8</f>
        <v>0</v>
      </c>
      <c r="AD6" s="43"/>
    </row>
    <row r="7" spans="1:30" ht="15.75" thickBot="1" x14ac:dyDescent="0.3">
      <c r="A7" s="75"/>
      <c r="B7" s="17" t="s">
        <v>4</v>
      </c>
      <c r="C7" s="31">
        <f>+'Anexo 1'!$D$10</f>
        <v>0</v>
      </c>
      <c r="D7" s="31">
        <f>+'Anexo 1'!$D$10</f>
        <v>0</v>
      </c>
      <c r="E7" s="31">
        <f>+'Anexo 1'!$D$10</f>
        <v>0</v>
      </c>
      <c r="F7" s="31">
        <f>+'Anexo 1'!$D$10</f>
        <v>0</v>
      </c>
      <c r="G7" s="31">
        <f>+'Anexo 1'!$D$10</f>
        <v>0</v>
      </c>
      <c r="H7" s="31">
        <f>+'Anexo 1'!$D$10</f>
        <v>0</v>
      </c>
      <c r="I7" s="31">
        <f>+'Anexo 1'!$D$10</f>
        <v>0</v>
      </c>
      <c r="J7" s="31">
        <f>+'Anexo 1'!$D$10</f>
        <v>0</v>
      </c>
      <c r="K7" s="31">
        <f>+'Anexo 1'!$D$10</f>
        <v>0</v>
      </c>
      <c r="L7" s="31">
        <f>+'Anexo 1'!$D$10</f>
        <v>0</v>
      </c>
      <c r="M7" s="31">
        <f>+'Anexo 1'!$D$10</f>
        <v>0</v>
      </c>
      <c r="N7" s="31">
        <f>+'Anexo 1'!$D$10</f>
        <v>0</v>
      </c>
      <c r="O7" s="31">
        <f>+'Anexo 1'!$D$10</f>
        <v>0</v>
      </c>
      <c r="P7" s="31">
        <f>+'Anexo 1'!$D$10</f>
        <v>0</v>
      </c>
      <c r="Q7" s="31">
        <f>+'Anexo 1'!$D$10</f>
        <v>0</v>
      </c>
      <c r="R7" s="31">
        <f>+'Anexo 1'!$D$10</f>
        <v>0</v>
      </c>
      <c r="S7" s="31">
        <f>+'Anexo 1'!$D$10</f>
        <v>0</v>
      </c>
      <c r="T7" s="31">
        <f>+'Anexo 1'!$D$10</f>
        <v>0</v>
      </c>
      <c r="U7" s="31">
        <f>+'Anexo 1'!$D$10</f>
        <v>0</v>
      </c>
      <c r="V7" s="31">
        <f>+'Anexo 1'!$D$10</f>
        <v>0</v>
      </c>
      <c r="W7" s="31">
        <f>+'Anexo 1'!$D$10</f>
        <v>0</v>
      </c>
      <c r="X7" s="31">
        <f>+'Anexo 1'!$D$10</f>
        <v>0</v>
      </c>
      <c r="Y7" s="31">
        <f>+'Anexo 1'!$D$10</f>
        <v>0</v>
      </c>
      <c r="Z7" s="32">
        <f>+'Anexo 1'!$D$10</f>
        <v>0</v>
      </c>
      <c r="AA7" s="33">
        <f t="shared" si="0"/>
        <v>0</v>
      </c>
      <c r="AB7" s="18">
        <v>4</v>
      </c>
      <c r="AC7" s="77"/>
      <c r="AD7" s="43"/>
    </row>
    <row r="8" spans="1:30" ht="15" x14ac:dyDescent="0.25">
      <c r="A8" s="75"/>
      <c r="B8" s="19" t="s">
        <v>3</v>
      </c>
      <c r="C8" s="34">
        <f>+'Anexo 1'!$D$10</f>
        <v>0</v>
      </c>
      <c r="D8" s="34">
        <f>+'Anexo 1'!$D$10</f>
        <v>0</v>
      </c>
      <c r="E8" s="34">
        <f>+'Anexo 1'!$D$10</f>
        <v>0</v>
      </c>
      <c r="F8" s="34">
        <f>+'Anexo 1'!$D$10</f>
        <v>0</v>
      </c>
      <c r="G8" s="34">
        <f>+'Anexo 1'!$D$10</f>
        <v>0</v>
      </c>
      <c r="H8" s="34">
        <f>+'Anexo 1'!$D$10</f>
        <v>0</v>
      </c>
      <c r="I8" s="34">
        <f>+'Anexo 1'!$D$10</f>
        <v>0</v>
      </c>
      <c r="J8" s="34">
        <f>+'Anexo 1'!$D$10</f>
        <v>0</v>
      </c>
      <c r="K8" s="34">
        <f>+'Anexo 1'!$D$10</f>
        <v>0</v>
      </c>
      <c r="L8" s="34">
        <f>+'Anexo 1'!$D$10</f>
        <v>0</v>
      </c>
      <c r="M8" s="34">
        <f>+'Anexo 1'!$D$10</f>
        <v>0</v>
      </c>
      <c r="N8" s="34">
        <f>+'Anexo 1'!$D$10</f>
        <v>0</v>
      </c>
      <c r="O8" s="34">
        <f>+'Anexo 1'!$D$10</f>
        <v>0</v>
      </c>
      <c r="P8" s="34">
        <f>+'Anexo 1'!$D$10</f>
        <v>0</v>
      </c>
      <c r="Q8" s="34">
        <f>+'Anexo 1'!$D$10</f>
        <v>0</v>
      </c>
      <c r="R8" s="34">
        <f>+'Anexo 1'!$D$10</f>
        <v>0</v>
      </c>
      <c r="S8" s="34">
        <f>+'Anexo 1'!$D$10</f>
        <v>0</v>
      </c>
      <c r="T8" s="34">
        <f>+'Anexo 1'!$D$10</f>
        <v>0</v>
      </c>
      <c r="U8" s="34">
        <f>+'Anexo 1'!$D$10</f>
        <v>0</v>
      </c>
      <c r="V8" s="34">
        <f>+'Anexo 1'!$D$10</f>
        <v>0</v>
      </c>
      <c r="W8" s="34">
        <f>+'Anexo 1'!$D$10</f>
        <v>0</v>
      </c>
      <c r="X8" s="34">
        <f>+'Anexo 1'!$D$10</f>
        <v>0</v>
      </c>
      <c r="Y8" s="34">
        <f>+'Anexo 1'!$D$10</f>
        <v>0</v>
      </c>
      <c r="Z8" s="35">
        <f>+'Anexo 1'!$D$10</f>
        <v>0</v>
      </c>
      <c r="AA8" s="36">
        <f t="shared" si="0"/>
        <v>0</v>
      </c>
      <c r="AB8" s="20">
        <v>4</v>
      </c>
      <c r="AC8" s="78"/>
      <c r="AD8" s="43"/>
    </row>
    <row r="9" spans="1:30" ht="15.75" thickBot="1" x14ac:dyDescent="0.3">
      <c r="A9" s="75">
        <v>46082</v>
      </c>
      <c r="B9" s="15" t="s">
        <v>5</v>
      </c>
      <c r="C9" s="28">
        <f>+'Anexo 1'!$D$10</f>
        <v>0</v>
      </c>
      <c r="D9" s="28">
        <f>+'Anexo 1'!$D$10</f>
        <v>0</v>
      </c>
      <c r="E9" s="28">
        <f>+'Anexo 1'!$D$10</f>
        <v>0</v>
      </c>
      <c r="F9" s="28">
        <f>+'Anexo 1'!$D$10</f>
        <v>0</v>
      </c>
      <c r="G9" s="28">
        <f>+'Anexo 1'!$D$10</f>
        <v>0</v>
      </c>
      <c r="H9" s="28">
        <f>+'Anexo 1'!$D$10</f>
        <v>0</v>
      </c>
      <c r="I9" s="28">
        <f>+'Anexo 1'!$D$10</f>
        <v>0</v>
      </c>
      <c r="J9" s="28">
        <f>+'Anexo 1'!$D$10</f>
        <v>0</v>
      </c>
      <c r="K9" s="28">
        <f>+'Anexo 1'!$D$10</f>
        <v>0</v>
      </c>
      <c r="L9" s="28">
        <f>+'Anexo 1'!$D$10</f>
        <v>0</v>
      </c>
      <c r="M9" s="28">
        <f>+'Anexo 1'!$D$10</f>
        <v>0</v>
      </c>
      <c r="N9" s="28">
        <f>+'Anexo 1'!$D$10</f>
        <v>0</v>
      </c>
      <c r="O9" s="28">
        <f>+'Anexo 1'!$D$10</f>
        <v>0</v>
      </c>
      <c r="P9" s="28">
        <f>+'Anexo 1'!$D$10</f>
        <v>0</v>
      </c>
      <c r="Q9" s="28">
        <f>+'Anexo 1'!$D$10</f>
        <v>0</v>
      </c>
      <c r="R9" s="28">
        <f>+'Anexo 1'!$D$10</f>
        <v>0</v>
      </c>
      <c r="S9" s="28">
        <f>+'Anexo 1'!$D$10</f>
        <v>0</v>
      </c>
      <c r="T9" s="28">
        <f>+'Anexo 1'!$D$10</f>
        <v>0</v>
      </c>
      <c r="U9" s="28">
        <f>+'Anexo 1'!$D$10</f>
        <v>0</v>
      </c>
      <c r="V9" s="28">
        <f>+'Anexo 1'!$D$10</f>
        <v>0</v>
      </c>
      <c r="W9" s="28">
        <f>+'Anexo 1'!$D$10</f>
        <v>0</v>
      </c>
      <c r="X9" s="28">
        <f>+'Anexo 1'!$D$10</f>
        <v>0</v>
      </c>
      <c r="Y9" s="28">
        <f>+'Anexo 1'!$D$10</f>
        <v>0</v>
      </c>
      <c r="Z9" s="29">
        <f>+'Anexo 1'!$D$10</f>
        <v>0</v>
      </c>
      <c r="AA9" s="30">
        <f t="shared" si="0"/>
        <v>0</v>
      </c>
      <c r="AB9" s="16">
        <v>21</v>
      </c>
      <c r="AC9" s="76">
        <f>+AA9*AB9+AA10*AB10+AA11*AB11</f>
        <v>0</v>
      </c>
      <c r="AD9" s="43"/>
    </row>
    <row r="10" spans="1:30" ht="15.75" thickBot="1" x14ac:dyDescent="0.3">
      <c r="A10" s="75"/>
      <c r="B10" s="17" t="s">
        <v>4</v>
      </c>
      <c r="C10" s="31">
        <f>+'Anexo 1'!$D$10</f>
        <v>0</v>
      </c>
      <c r="D10" s="31">
        <f>+'Anexo 1'!$D$10</f>
        <v>0</v>
      </c>
      <c r="E10" s="31">
        <f>+'Anexo 1'!$D$10</f>
        <v>0</v>
      </c>
      <c r="F10" s="31">
        <f>+'Anexo 1'!$D$10</f>
        <v>0</v>
      </c>
      <c r="G10" s="31">
        <f>+'Anexo 1'!$D$10</f>
        <v>0</v>
      </c>
      <c r="H10" s="31">
        <f>+'Anexo 1'!$D$10</f>
        <v>0</v>
      </c>
      <c r="I10" s="31">
        <f>+'Anexo 1'!$D$10</f>
        <v>0</v>
      </c>
      <c r="J10" s="31">
        <f>+'Anexo 1'!$D$10</f>
        <v>0</v>
      </c>
      <c r="K10" s="31">
        <f>+'Anexo 1'!$D$10</f>
        <v>0</v>
      </c>
      <c r="L10" s="31">
        <f>+'Anexo 1'!$D$10</f>
        <v>0</v>
      </c>
      <c r="M10" s="31">
        <f>+'Anexo 1'!$D$10</f>
        <v>0</v>
      </c>
      <c r="N10" s="31">
        <f>+'Anexo 1'!$D$10</f>
        <v>0</v>
      </c>
      <c r="O10" s="31">
        <f>+'Anexo 1'!$D$10</f>
        <v>0</v>
      </c>
      <c r="P10" s="31">
        <f>+'Anexo 1'!$D$10</f>
        <v>0</v>
      </c>
      <c r="Q10" s="31">
        <f>+'Anexo 1'!$D$10</f>
        <v>0</v>
      </c>
      <c r="R10" s="31">
        <f>+'Anexo 1'!$D$10</f>
        <v>0</v>
      </c>
      <c r="S10" s="31">
        <f>+'Anexo 1'!$D$10</f>
        <v>0</v>
      </c>
      <c r="T10" s="31">
        <f>+'Anexo 1'!$D$10</f>
        <v>0</v>
      </c>
      <c r="U10" s="31">
        <f>+'Anexo 1'!$D$10</f>
        <v>0</v>
      </c>
      <c r="V10" s="31">
        <f>+'Anexo 1'!$D$10</f>
        <v>0</v>
      </c>
      <c r="W10" s="31">
        <f>+'Anexo 1'!$D$10</f>
        <v>0</v>
      </c>
      <c r="X10" s="31">
        <f>+'Anexo 1'!$D$10</f>
        <v>0</v>
      </c>
      <c r="Y10" s="31">
        <f>+'Anexo 1'!$D$10</f>
        <v>0</v>
      </c>
      <c r="Z10" s="32">
        <f>+'Anexo 1'!$D$10</f>
        <v>0</v>
      </c>
      <c r="AA10" s="33">
        <f t="shared" si="0"/>
        <v>0</v>
      </c>
      <c r="AB10" s="18">
        <v>4</v>
      </c>
      <c r="AC10" s="77"/>
      <c r="AD10" s="43"/>
    </row>
    <row r="11" spans="1:30" ht="15" x14ac:dyDescent="0.25">
      <c r="A11" s="75"/>
      <c r="B11" s="19" t="s">
        <v>3</v>
      </c>
      <c r="C11" s="34">
        <f>+'Anexo 1'!$D$10</f>
        <v>0</v>
      </c>
      <c r="D11" s="34">
        <f>+'Anexo 1'!$D$10</f>
        <v>0</v>
      </c>
      <c r="E11" s="34">
        <f>+'Anexo 1'!$D$10</f>
        <v>0</v>
      </c>
      <c r="F11" s="34">
        <f>+'Anexo 1'!$D$10</f>
        <v>0</v>
      </c>
      <c r="G11" s="34">
        <f>+'Anexo 1'!$D$10</f>
        <v>0</v>
      </c>
      <c r="H11" s="34">
        <f>+'Anexo 1'!$D$10</f>
        <v>0</v>
      </c>
      <c r="I11" s="34">
        <f>+'Anexo 1'!$D$10</f>
        <v>0</v>
      </c>
      <c r="J11" s="34">
        <f>+'Anexo 1'!$D$10</f>
        <v>0</v>
      </c>
      <c r="K11" s="34">
        <f>+'Anexo 1'!$D$10</f>
        <v>0</v>
      </c>
      <c r="L11" s="34">
        <f>+'Anexo 1'!$D$10</f>
        <v>0</v>
      </c>
      <c r="M11" s="34">
        <f>+'Anexo 1'!$D$10</f>
        <v>0</v>
      </c>
      <c r="N11" s="34">
        <f>+'Anexo 1'!$D$10</f>
        <v>0</v>
      </c>
      <c r="O11" s="34">
        <f>+'Anexo 1'!$D$10</f>
        <v>0</v>
      </c>
      <c r="P11" s="34">
        <f>+'Anexo 1'!$D$10</f>
        <v>0</v>
      </c>
      <c r="Q11" s="34">
        <f>+'Anexo 1'!$D$10</f>
        <v>0</v>
      </c>
      <c r="R11" s="34">
        <f>+'Anexo 1'!$D$10</f>
        <v>0</v>
      </c>
      <c r="S11" s="34">
        <f>+'Anexo 1'!$D$10</f>
        <v>0</v>
      </c>
      <c r="T11" s="34">
        <f>+'Anexo 1'!$D$10</f>
        <v>0</v>
      </c>
      <c r="U11" s="34">
        <f>+'Anexo 1'!$D$10</f>
        <v>0</v>
      </c>
      <c r="V11" s="34">
        <f>+'Anexo 1'!$D$10</f>
        <v>0</v>
      </c>
      <c r="W11" s="34">
        <f>+'Anexo 1'!$D$10</f>
        <v>0</v>
      </c>
      <c r="X11" s="34">
        <f>+'Anexo 1'!$D$10</f>
        <v>0</v>
      </c>
      <c r="Y11" s="34">
        <f>+'Anexo 1'!$D$10</f>
        <v>0</v>
      </c>
      <c r="Z11" s="35">
        <f>+'Anexo 1'!$D$10</f>
        <v>0</v>
      </c>
      <c r="AA11" s="36">
        <f t="shared" si="0"/>
        <v>0</v>
      </c>
      <c r="AB11" s="20">
        <v>6</v>
      </c>
      <c r="AC11" s="78"/>
      <c r="AD11" s="43"/>
    </row>
    <row r="12" spans="1:30" ht="15.75" thickBot="1" x14ac:dyDescent="0.3">
      <c r="A12" s="75">
        <v>46113</v>
      </c>
      <c r="B12" s="15" t="s">
        <v>5</v>
      </c>
      <c r="C12" s="28">
        <f>+'Anexo 1'!$D$10</f>
        <v>0</v>
      </c>
      <c r="D12" s="28">
        <f>+'Anexo 1'!$D$10</f>
        <v>0</v>
      </c>
      <c r="E12" s="28">
        <f>+'Anexo 1'!$D$10</f>
        <v>0</v>
      </c>
      <c r="F12" s="28">
        <f>+'Anexo 1'!$D$10</f>
        <v>0</v>
      </c>
      <c r="G12" s="28">
        <f>+'Anexo 1'!$D$10</f>
        <v>0</v>
      </c>
      <c r="H12" s="28">
        <f>+'Anexo 1'!$D$10</f>
        <v>0</v>
      </c>
      <c r="I12" s="28">
        <f>+'Anexo 1'!$D$10</f>
        <v>0</v>
      </c>
      <c r="J12" s="28">
        <f>+'Anexo 1'!$D$10</f>
        <v>0</v>
      </c>
      <c r="K12" s="28">
        <f>+'Anexo 1'!$D$10</f>
        <v>0</v>
      </c>
      <c r="L12" s="28">
        <f>+'Anexo 1'!$D$10</f>
        <v>0</v>
      </c>
      <c r="M12" s="28">
        <f>+'Anexo 1'!$D$10</f>
        <v>0</v>
      </c>
      <c r="N12" s="28">
        <f>+'Anexo 1'!$D$10</f>
        <v>0</v>
      </c>
      <c r="O12" s="28">
        <f>+'Anexo 1'!$D$10</f>
        <v>0</v>
      </c>
      <c r="P12" s="28">
        <f>+'Anexo 1'!$D$10</f>
        <v>0</v>
      </c>
      <c r="Q12" s="28">
        <f>+'Anexo 1'!$D$10</f>
        <v>0</v>
      </c>
      <c r="R12" s="28">
        <f>+'Anexo 1'!$D$10</f>
        <v>0</v>
      </c>
      <c r="S12" s="28">
        <f>+'Anexo 1'!$D$10</f>
        <v>0</v>
      </c>
      <c r="T12" s="28">
        <f>+'Anexo 1'!$D$10</f>
        <v>0</v>
      </c>
      <c r="U12" s="28">
        <f>+'Anexo 1'!$D$10</f>
        <v>0</v>
      </c>
      <c r="V12" s="28">
        <f>+'Anexo 1'!$D$10</f>
        <v>0</v>
      </c>
      <c r="W12" s="28">
        <f>+'Anexo 1'!$D$10</f>
        <v>0</v>
      </c>
      <c r="X12" s="28">
        <f>+'Anexo 1'!$D$10</f>
        <v>0</v>
      </c>
      <c r="Y12" s="28">
        <f>+'Anexo 1'!$D$10</f>
        <v>0</v>
      </c>
      <c r="Z12" s="29">
        <f>+'Anexo 1'!$D$10</f>
        <v>0</v>
      </c>
      <c r="AA12" s="30">
        <f t="shared" si="0"/>
        <v>0</v>
      </c>
      <c r="AB12" s="16">
        <v>20</v>
      </c>
      <c r="AC12" s="76">
        <f>+AA12*AB12+AA13*AB13+AA14*AB14</f>
        <v>0</v>
      </c>
      <c r="AD12" s="43"/>
    </row>
    <row r="13" spans="1:30" ht="15.75" thickBot="1" x14ac:dyDescent="0.3">
      <c r="A13" s="75"/>
      <c r="B13" s="17" t="s">
        <v>4</v>
      </c>
      <c r="C13" s="31">
        <f>+'Anexo 1'!$D$10</f>
        <v>0</v>
      </c>
      <c r="D13" s="31">
        <f>+'Anexo 1'!$D$10</f>
        <v>0</v>
      </c>
      <c r="E13" s="31">
        <f>+'Anexo 1'!$D$10</f>
        <v>0</v>
      </c>
      <c r="F13" s="31">
        <f>+'Anexo 1'!$D$10</f>
        <v>0</v>
      </c>
      <c r="G13" s="31">
        <f>+'Anexo 1'!$D$10</f>
        <v>0</v>
      </c>
      <c r="H13" s="31">
        <f>+'Anexo 1'!$D$10</f>
        <v>0</v>
      </c>
      <c r="I13" s="31">
        <f>+'Anexo 1'!$D$10</f>
        <v>0</v>
      </c>
      <c r="J13" s="31">
        <f>+'Anexo 1'!$D$10</f>
        <v>0</v>
      </c>
      <c r="K13" s="31">
        <f>+'Anexo 1'!$D$10</f>
        <v>0</v>
      </c>
      <c r="L13" s="31">
        <f>+'Anexo 1'!$D$10</f>
        <v>0</v>
      </c>
      <c r="M13" s="31">
        <f>+'Anexo 1'!$D$10</f>
        <v>0</v>
      </c>
      <c r="N13" s="31">
        <f>+'Anexo 1'!$D$10</f>
        <v>0</v>
      </c>
      <c r="O13" s="31">
        <f>+'Anexo 1'!$D$10</f>
        <v>0</v>
      </c>
      <c r="P13" s="31">
        <f>+'Anexo 1'!$D$10</f>
        <v>0</v>
      </c>
      <c r="Q13" s="31">
        <f>+'Anexo 1'!$D$10</f>
        <v>0</v>
      </c>
      <c r="R13" s="31">
        <f>+'Anexo 1'!$D$10</f>
        <v>0</v>
      </c>
      <c r="S13" s="31">
        <f>+'Anexo 1'!$D$10</f>
        <v>0</v>
      </c>
      <c r="T13" s="31">
        <f>+'Anexo 1'!$D$10</f>
        <v>0</v>
      </c>
      <c r="U13" s="31">
        <f>+'Anexo 1'!$D$10</f>
        <v>0</v>
      </c>
      <c r="V13" s="31">
        <f>+'Anexo 1'!$D$10</f>
        <v>0</v>
      </c>
      <c r="W13" s="31">
        <f>+'Anexo 1'!$D$10</f>
        <v>0</v>
      </c>
      <c r="X13" s="31">
        <f>+'Anexo 1'!$D$10</f>
        <v>0</v>
      </c>
      <c r="Y13" s="31">
        <f>+'Anexo 1'!$D$10</f>
        <v>0</v>
      </c>
      <c r="Z13" s="32">
        <f>+'Anexo 1'!$D$10</f>
        <v>0</v>
      </c>
      <c r="AA13" s="33">
        <f t="shared" si="0"/>
        <v>0</v>
      </c>
      <c r="AB13" s="18">
        <v>4</v>
      </c>
      <c r="AC13" s="77"/>
      <c r="AD13" s="43"/>
    </row>
    <row r="14" spans="1:30" ht="15" x14ac:dyDescent="0.25">
      <c r="A14" s="75"/>
      <c r="B14" s="19" t="s">
        <v>3</v>
      </c>
      <c r="C14" s="34">
        <f>+'Anexo 1'!$D$10</f>
        <v>0</v>
      </c>
      <c r="D14" s="34">
        <f>+'Anexo 1'!$D$10</f>
        <v>0</v>
      </c>
      <c r="E14" s="34">
        <f>+'Anexo 1'!$D$10</f>
        <v>0</v>
      </c>
      <c r="F14" s="34">
        <f>+'Anexo 1'!$D$10</f>
        <v>0</v>
      </c>
      <c r="G14" s="34">
        <f>+'Anexo 1'!$D$10</f>
        <v>0</v>
      </c>
      <c r="H14" s="34">
        <f>+'Anexo 1'!$D$10</f>
        <v>0</v>
      </c>
      <c r="I14" s="34">
        <f>+'Anexo 1'!$D$10</f>
        <v>0</v>
      </c>
      <c r="J14" s="34">
        <f>+'Anexo 1'!$D$10</f>
        <v>0</v>
      </c>
      <c r="K14" s="34">
        <f>+'Anexo 1'!$D$10</f>
        <v>0</v>
      </c>
      <c r="L14" s="34">
        <f>+'Anexo 1'!$D$10</f>
        <v>0</v>
      </c>
      <c r="M14" s="34">
        <f>+'Anexo 1'!$D$10</f>
        <v>0</v>
      </c>
      <c r="N14" s="34">
        <f>+'Anexo 1'!$D$10</f>
        <v>0</v>
      </c>
      <c r="O14" s="34">
        <f>+'Anexo 1'!$D$10</f>
        <v>0</v>
      </c>
      <c r="P14" s="34">
        <f>+'Anexo 1'!$D$10</f>
        <v>0</v>
      </c>
      <c r="Q14" s="34">
        <f>+'Anexo 1'!$D$10</f>
        <v>0</v>
      </c>
      <c r="R14" s="34">
        <f>+'Anexo 1'!$D$10</f>
        <v>0</v>
      </c>
      <c r="S14" s="34">
        <f>+'Anexo 1'!$D$10</f>
        <v>0</v>
      </c>
      <c r="T14" s="34">
        <f>+'Anexo 1'!$D$10</f>
        <v>0</v>
      </c>
      <c r="U14" s="34">
        <f>+'Anexo 1'!$D$10</f>
        <v>0</v>
      </c>
      <c r="V14" s="34">
        <f>+'Anexo 1'!$D$10</f>
        <v>0</v>
      </c>
      <c r="W14" s="34">
        <f>+'Anexo 1'!$D$10</f>
        <v>0</v>
      </c>
      <c r="X14" s="34">
        <f>+'Anexo 1'!$D$10</f>
        <v>0</v>
      </c>
      <c r="Y14" s="34">
        <f>+'Anexo 1'!$D$10</f>
        <v>0</v>
      </c>
      <c r="Z14" s="35">
        <f>+'Anexo 1'!$D$10</f>
        <v>0</v>
      </c>
      <c r="AA14" s="36">
        <f t="shared" si="0"/>
        <v>0</v>
      </c>
      <c r="AB14" s="20">
        <v>6</v>
      </c>
      <c r="AC14" s="78"/>
      <c r="AD14" s="43"/>
    </row>
    <row r="15" spans="1:30" ht="15.75" thickBot="1" x14ac:dyDescent="0.3">
      <c r="A15" s="75">
        <v>46143</v>
      </c>
      <c r="B15" s="15" t="s">
        <v>5</v>
      </c>
      <c r="C15" s="28">
        <f>+'Anexo 1'!$D$10</f>
        <v>0</v>
      </c>
      <c r="D15" s="28">
        <f>+'Anexo 1'!$D$10</f>
        <v>0</v>
      </c>
      <c r="E15" s="28">
        <f>+'Anexo 1'!$D$10</f>
        <v>0</v>
      </c>
      <c r="F15" s="28">
        <f>+'Anexo 1'!$D$10</f>
        <v>0</v>
      </c>
      <c r="G15" s="28">
        <f>+'Anexo 1'!$D$10</f>
        <v>0</v>
      </c>
      <c r="H15" s="28">
        <f>+'Anexo 1'!$D$10</f>
        <v>0</v>
      </c>
      <c r="I15" s="28">
        <f>+'Anexo 1'!$D$10</f>
        <v>0</v>
      </c>
      <c r="J15" s="28">
        <f>+'Anexo 1'!$D$10</f>
        <v>0</v>
      </c>
      <c r="K15" s="28">
        <f>+'Anexo 1'!$D$10</f>
        <v>0</v>
      </c>
      <c r="L15" s="28">
        <f>+'Anexo 1'!$D$10</f>
        <v>0</v>
      </c>
      <c r="M15" s="28">
        <f>+'Anexo 1'!$D$10</f>
        <v>0</v>
      </c>
      <c r="N15" s="28">
        <f>+'Anexo 1'!$D$10</f>
        <v>0</v>
      </c>
      <c r="O15" s="28">
        <f>+'Anexo 1'!$D$10</f>
        <v>0</v>
      </c>
      <c r="P15" s="28">
        <f>+'Anexo 1'!$D$10</f>
        <v>0</v>
      </c>
      <c r="Q15" s="28">
        <f>+'Anexo 1'!$D$10</f>
        <v>0</v>
      </c>
      <c r="R15" s="28">
        <f>+'Anexo 1'!$D$10</f>
        <v>0</v>
      </c>
      <c r="S15" s="28">
        <f>+'Anexo 1'!$D$10</f>
        <v>0</v>
      </c>
      <c r="T15" s="28">
        <f>+'Anexo 1'!$D$10</f>
        <v>0</v>
      </c>
      <c r="U15" s="28">
        <f>+'Anexo 1'!$D$10</f>
        <v>0</v>
      </c>
      <c r="V15" s="28">
        <f>+'Anexo 1'!$D$10</f>
        <v>0</v>
      </c>
      <c r="W15" s="28">
        <f>+'Anexo 1'!$D$10</f>
        <v>0</v>
      </c>
      <c r="X15" s="28">
        <f>+'Anexo 1'!$D$10</f>
        <v>0</v>
      </c>
      <c r="Y15" s="28">
        <f>+'Anexo 1'!$D$10</f>
        <v>0</v>
      </c>
      <c r="Z15" s="29">
        <f>+'Anexo 1'!$D$10</f>
        <v>0</v>
      </c>
      <c r="AA15" s="30">
        <f t="shared" si="0"/>
        <v>0</v>
      </c>
      <c r="AB15" s="16">
        <v>19</v>
      </c>
      <c r="AC15" s="76">
        <f>+AA15*AB15+AA16*AB16+AA17*AB17</f>
        <v>0</v>
      </c>
      <c r="AD15" s="43"/>
    </row>
    <row r="16" spans="1:30" ht="15.75" thickBot="1" x14ac:dyDescent="0.3">
      <c r="A16" s="75"/>
      <c r="B16" s="17" t="s">
        <v>4</v>
      </c>
      <c r="C16" s="31">
        <f>+'Anexo 1'!$D$10</f>
        <v>0</v>
      </c>
      <c r="D16" s="31">
        <f>+'Anexo 1'!$D$10</f>
        <v>0</v>
      </c>
      <c r="E16" s="31">
        <f>+'Anexo 1'!$D$10</f>
        <v>0</v>
      </c>
      <c r="F16" s="31">
        <f>+'Anexo 1'!$D$10</f>
        <v>0</v>
      </c>
      <c r="G16" s="31">
        <f>+'Anexo 1'!$D$10</f>
        <v>0</v>
      </c>
      <c r="H16" s="31">
        <f>+'Anexo 1'!$D$10</f>
        <v>0</v>
      </c>
      <c r="I16" s="31">
        <f>+'Anexo 1'!$D$10</f>
        <v>0</v>
      </c>
      <c r="J16" s="31">
        <f>+'Anexo 1'!$D$10</f>
        <v>0</v>
      </c>
      <c r="K16" s="31">
        <f>+'Anexo 1'!$D$10</f>
        <v>0</v>
      </c>
      <c r="L16" s="31">
        <f>+'Anexo 1'!$D$10</f>
        <v>0</v>
      </c>
      <c r="M16" s="31">
        <f>+'Anexo 1'!$D$10</f>
        <v>0</v>
      </c>
      <c r="N16" s="31">
        <f>+'Anexo 1'!$D$10</f>
        <v>0</v>
      </c>
      <c r="O16" s="31">
        <f>+'Anexo 1'!$D$10</f>
        <v>0</v>
      </c>
      <c r="P16" s="31">
        <f>+'Anexo 1'!$D$10</f>
        <v>0</v>
      </c>
      <c r="Q16" s="31">
        <f>+'Anexo 1'!$D$10</f>
        <v>0</v>
      </c>
      <c r="R16" s="31">
        <f>+'Anexo 1'!$D$10</f>
        <v>0</v>
      </c>
      <c r="S16" s="31">
        <f>+'Anexo 1'!$D$10</f>
        <v>0</v>
      </c>
      <c r="T16" s="31">
        <f>+'Anexo 1'!$D$10</f>
        <v>0</v>
      </c>
      <c r="U16" s="31">
        <f>+'Anexo 1'!$D$10</f>
        <v>0</v>
      </c>
      <c r="V16" s="31">
        <f>+'Anexo 1'!$D$10</f>
        <v>0</v>
      </c>
      <c r="W16" s="31">
        <f>+'Anexo 1'!$D$10</f>
        <v>0</v>
      </c>
      <c r="X16" s="31">
        <f>+'Anexo 1'!$D$10</f>
        <v>0</v>
      </c>
      <c r="Y16" s="31">
        <f>+'Anexo 1'!$D$10</f>
        <v>0</v>
      </c>
      <c r="Z16" s="32">
        <f>+'Anexo 1'!$D$10</f>
        <v>0</v>
      </c>
      <c r="AA16" s="33">
        <f t="shared" si="0"/>
        <v>0</v>
      </c>
      <c r="AB16" s="18">
        <v>5</v>
      </c>
      <c r="AC16" s="77"/>
      <c r="AD16" s="43"/>
    </row>
    <row r="17" spans="1:30" ht="15" x14ac:dyDescent="0.25">
      <c r="A17" s="75"/>
      <c r="B17" s="19" t="s">
        <v>3</v>
      </c>
      <c r="C17" s="34">
        <f>+'Anexo 1'!$D$10</f>
        <v>0</v>
      </c>
      <c r="D17" s="34">
        <f>+'Anexo 1'!$D$10</f>
        <v>0</v>
      </c>
      <c r="E17" s="34">
        <f>+'Anexo 1'!$D$10</f>
        <v>0</v>
      </c>
      <c r="F17" s="34">
        <f>+'Anexo 1'!$D$10</f>
        <v>0</v>
      </c>
      <c r="G17" s="34">
        <f>+'Anexo 1'!$D$10</f>
        <v>0</v>
      </c>
      <c r="H17" s="34">
        <f>+'Anexo 1'!$D$10</f>
        <v>0</v>
      </c>
      <c r="I17" s="34">
        <f>+'Anexo 1'!$D$10</f>
        <v>0</v>
      </c>
      <c r="J17" s="34">
        <f>+'Anexo 1'!$D$10</f>
        <v>0</v>
      </c>
      <c r="K17" s="34">
        <f>+'Anexo 1'!$D$10</f>
        <v>0</v>
      </c>
      <c r="L17" s="34">
        <f>+'Anexo 1'!$D$10</f>
        <v>0</v>
      </c>
      <c r="M17" s="34">
        <f>+'Anexo 1'!$D$10</f>
        <v>0</v>
      </c>
      <c r="N17" s="34">
        <f>+'Anexo 1'!$D$10</f>
        <v>0</v>
      </c>
      <c r="O17" s="34">
        <f>+'Anexo 1'!$D$10</f>
        <v>0</v>
      </c>
      <c r="P17" s="34">
        <f>+'Anexo 1'!$D$10</f>
        <v>0</v>
      </c>
      <c r="Q17" s="34">
        <f>+'Anexo 1'!$D$10</f>
        <v>0</v>
      </c>
      <c r="R17" s="34">
        <f>+'Anexo 1'!$D$10</f>
        <v>0</v>
      </c>
      <c r="S17" s="34">
        <f>+'Anexo 1'!$D$10</f>
        <v>0</v>
      </c>
      <c r="T17" s="34">
        <f>+'Anexo 1'!$D$10</f>
        <v>0</v>
      </c>
      <c r="U17" s="34">
        <f>+'Anexo 1'!$D$10</f>
        <v>0</v>
      </c>
      <c r="V17" s="34">
        <f>+'Anexo 1'!$D$10</f>
        <v>0</v>
      </c>
      <c r="W17" s="34">
        <f>+'Anexo 1'!$D$10</f>
        <v>0</v>
      </c>
      <c r="X17" s="34">
        <f>+'Anexo 1'!$D$10</f>
        <v>0</v>
      </c>
      <c r="Y17" s="34">
        <f>+'Anexo 1'!$D$10</f>
        <v>0</v>
      </c>
      <c r="Z17" s="35">
        <f>+'Anexo 1'!$D$10</f>
        <v>0</v>
      </c>
      <c r="AA17" s="36">
        <f t="shared" si="0"/>
        <v>0</v>
      </c>
      <c r="AB17" s="20">
        <v>7</v>
      </c>
      <c r="AC17" s="78"/>
      <c r="AD17" s="43"/>
    </row>
    <row r="18" spans="1:30" ht="15.75" thickBot="1" x14ac:dyDescent="0.3">
      <c r="A18" s="75">
        <v>46174</v>
      </c>
      <c r="B18" s="15" t="s">
        <v>5</v>
      </c>
      <c r="C18" s="28">
        <f>+'Anexo 1'!$D$10</f>
        <v>0</v>
      </c>
      <c r="D18" s="28">
        <f>+'Anexo 1'!$D$10</f>
        <v>0</v>
      </c>
      <c r="E18" s="28">
        <f>+'Anexo 1'!$D$10</f>
        <v>0</v>
      </c>
      <c r="F18" s="28">
        <f>+'Anexo 1'!$D$10</f>
        <v>0</v>
      </c>
      <c r="G18" s="28">
        <f>+'Anexo 1'!$D$10</f>
        <v>0</v>
      </c>
      <c r="H18" s="28">
        <f>+'Anexo 1'!$D$10</f>
        <v>0</v>
      </c>
      <c r="I18" s="28">
        <f>+'Anexo 1'!$D$10</f>
        <v>0</v>
      </c>
      <c r="J18" s="28">
        <f>+'Anexo 1'!$D$10</f>
        <v>0</v>
      </c>
      <c r="K18" s="28">
        <f>+'Anexo 1'!$D$10</f>
        <v>0</v>
      </c>
      <c r="L18" s="28">
        <f>+'Anexo 1'!$D$10</f>
        <v>0</v>
      </c>
      <c r="M18" s="28">
        <f>+'Anexo 1'!$D$10</f>
        <v>0</v>
      </c>
      <c r="N18" s="28">
        <f>+'Anexo 1'!$D$10</f>
        <v>0</v>
      </c>
      <c r="O18" s="28">
        <f>+'Anexo 1'!$D$10</f>
        <v>0</v>
      </c>
      <c r="P18" s="28">
        <f>+'Anexo 1'!$D$10</f>
        <v>0</v>
      </c>
      <c r="Q18" s="28">
        <f>+'Anexo 1'!$D$10</f>
        <v>0</v>
      </c>
      <c r="R18" s="28">
        <f>+'Anexo 1'!$D$10</f>
        <v>0</v>
      </c>
      <c r="S18" s="28">
        <f>+'Anexo 1'!$D$10</f>
        <v>0</v>
      </c>
      <c r="T18" s="28">
        <f>+'Anexo 1'!$D$10</f>
        <v>0</v>
      </c>
      <c r="U18" s="28">
        <f>+'Anexo 1'!$D$10</f>
        <v>0</v>
      </c>
      <c r="V18" s="28">
        <f>+'Anexo 1'!$D$10</f>
        <v>0</v>
      </c>
      <c r="W18" s="28">
        <f>+'Anexo 1'!$D$10</f>
        <v>0</v>
      </c>
      <c r="X18" s="28">
        <f>+'Anexo 1'!$D$10</f>
        <v>0</v>
      </c>
      <c r="Y18" s="28">
        <f>+'Anexo 1'!$D$10</f>
        <v>0</v>
      </c>
      <c r="Z18" s="29">
        <f>+'Anexo 1'!$D$10</f>
        <v>0</v>
      </c>
      <c r="AA18" s="30">
        <f t="shared" si="0"/>
        <v>0</v>
      </c>
      <c r="AB18" s="16">
        <v>19</v>
      </c>
      <c r="AC18" s="76">
        <f>+AA18*AB18+AA19*AB19+AA20*AB20</f>
        <v>0</v>
      </c>
      <c r="AD18" s="43"/>
    </row>
    <row r="19" spans="1:30" ht="15.75" thickBot="1" x14ac:dyDescent="0.3">
      <c r="A19" s="75"/>
      <c r="B19" s="17" t="s">
        <v>4</v>
      </c>
      <c r="C19" s="31">
        <f>+'Anexo 1'!$D$10</f>
        <v>0</v>
      </c>
      <c r="D19" s="31">
        <f>+'Anexo 1'!$D$10</f>
        <v>0</v>
      </c>
      <c r="E19" s="31">
        <f>+'Anexo 1'!$D$10</f>
        <v>0</v>
      </c>
      <c r="F19" s="31">
        <f>+'Anexo 1'!$D$10</f>
        <v>0</v>
      </c>
      <c r="G19" s="31">
        <f>+'Anexo 1'!$D$10</f>
        <v>0</v>
      </c>
      <c r="H19" s="31">
        <f>+'Anexo 1'!$D$10</f>
        <v>0</v>
      </c>
      <c r="I19" s="31">
        <f>+'Anexo 1'!$D$10</f>
        <v>0</v>
      </c>
      <c r="J19" s="31">
        <f>+'Anexo 1'!$D$10</f>
        <v>0</v>
      </c>
      <c r="K19" s="31">
        <f>+'Anexo 1'!$D$10</f>
        <v>0</v>
      </c>
      <c r="L19" s="31">
        <f>+'Anexo 1'!$D$10</f>
        <v>0</v>
      </c>
      <c r="M19" s="31">
        <f>+'Anexo 1'!$D$10</f>
        <v>0</v>
      </c>
      <c r="N19" s="31">
        <f>+'Anexo 1'!$D$10</f>
        <v>0</v>
      </c>
      <c r="O19" s="31">
        <f>+'Anexo 1'!$D$10</f>
        <v>0</v>
      </c>
      <c r="P19" s="31">
        <f>+'Anexo 1'!$D$10</f>
        <v>0</v>
      </c>
      <c r="Q19" s="31">
        <f>+'Anexo 1'!$D$10</f>
        <v>0</v>
      </c>
      <c r="R19" s="31">
        <f>+'Anexo 1'!$D$10</f>
        <v>0</v>
      </c>
      <c r="S19" s="31">
        <f>+'Anexo 1'!$D$10</f>
        <v>0</v>
      </c>
      <c r="T19" s="31">
        <f>+'Anexo 1'!$D$10</f>
        <v>0</v>
      </c>
      <c r="U19" s="31">
        <f>+'Anexo 1'!$D$10</f>
        <v>0</v>
      </c>
      <c r="V19" s="31">
        <f>+'Anexo 1'!$D$10</f>
        <v>0</v>
      </c>
      <c r="W19" s="31">
        <f>+'Anexo 1'!$D$10</f>
        <v>0</v>
      </c>
      <c r="X19" s="31">
        <f>+'Anexo 1'!$D$10</f>
        <v>0</v>
      </c>
      <c r="Y19" s="31">
        <f>+'Anexo 1'!$D$10</f>
        <v>0</v>
      </c>
      <c r="Z19" s="32">
        <f>+'Anexo 1'!$D$10</f>
        <v>0</v>
      </c>
      <c r="AA19" s="33">
        <f t="shared" si="0"/>
        <v>0</v>
      </c>
      <c r="AB19" s="18">
        <v>4</v>
      </c>
      <c r="AC19" s="77"/>
      <c r="AD19" s="43"/>
    </row>
    <row r="20" spans="1:30" ht="15" x14ac:dyDescent="0.25">
      <c r="A20" s="75"/>
      <c r="B20" s="19" t="s">
        <v>3</v>
      </c>
      <c r="C20" s="34">
        <f>+'Anexo 1'!$D$10</f>
        <v>0</v>
      </c>
      <c r="D20" s="34">
        <f>+'Anexo 1'!$D$10</f>
        <v>0</v>
      </c>
      <c r="E20" s="34">
        <f>+'Anexo 1'!$D$10</f>
        <v>0</v>
      </c>
      <c r="F20" s="34">
        <f>+'Anexo 1'!$D$10</f>
        <v>0</v>
      </c>
      <c r="G20" s="34">
        <f>+'Anexo 1'!$D$10</f>
        <v>0</v>
      </c>
      <c r="H20" s="34">
        <f>+'Anexo 1'!$D$10</f>
        <v>0</v>
      </c>
      <c r="I20" s="34">
        <f>+'Anexo 1'!$D$10</f>
        <v>0</v>
      </c>
      <c r="J20" s="34">
        <f>+'Anexo 1'!$D$10</f>
        <v>0</v>
      </c>
      <c r="K20" s="34">
        <f>+'Anexo 1'!$D$10</f>
        <v>0</v>
      </c>
      <c r="L20" s="34">
        <f>+'Anexo 1'!$D$10</f>
        <v>0</v>
      </c>
      <c r="M20" s="34">
        <f>+'Anexo 1'!$D$10</f>
        <v>0</v>
      </c>
      <c r="N20" s="34">
        <f>+'Anexo 1'!$D$10</f>
        <v>0</v>
      </c>
      <c r="O20" s="34">
        <f>+'Anexo 1'!$D$10</f>
        <v>0</v>
      </c>
      <c r="P20" s="34">
        <f>+'Anexo 1'!$D$10</f>
        <v>0</v>
      </c>
      <c r="Q20" s="34">
        <f>+'Anexo 1'!$D$10</f>
        <v>0</v>
      </c>
      <c r="R20" s="34">
        <f>+'Anexo 1'!$D$10</f>
        <v>0</v>
      </c>
      <c r="S20" s="34">
        <f>+'Anexo 1'!$D$10</f>
        <v>0</v>
      </c>
      <c r="T20" s="34">
        <f>+'Anexo 1'!$D$10</f>
        <v>0</v>
      </c>
      <c r="U20" s="34">
        <f>+'Anexo 1'!$D$10</f>
        <v>0</v>
      </c>
      <c r="V20" s="34">
        <f>+'Anexo 1'!$D$10</f>
        <v>0</v>
      </c>
      <c r="W20" s="34">
        <f>+'Anexo 1'!$D$10</f>
        <v>0</v>
      </c>
      <c r="X20" s="34">
        <f>+'Anexo 1'!$D$10</f>
        <v>0</v>
      </c>
      <c r="Y20" s="34">
        <f>+'Anexo 1'!$D$10</f>
        <v>0</v>
      </c>
      <c r="Z20" s="35">
        <f>+'Anexo 1'!$D$10</f>
        <v>0</v>
      </c>
      <c r="AA20" s="36">
        <f t="shared" si="0"/>
        <v>0</v>
      </c>
      <c r="AB20" s="20">
        <v>7</v>
      </c>
      <c r="AC20" s="78"/>
      <c r="AD20" s="43"/>
    </row>
    <row r="21" spans="1:30" ht="15.75" thickBot="1" x14ac:dyDescent="0.3">
      <c r="A21" s="75">
        <v>46204</v>
      </c>
      <c r="B21" s="15" t="s">
        <v>5</v>
      </c>
      <c r="C21" s="28">
        <f>+'Anexo 1'!$D$10</f>
        <v>0</v>
      </c>
      <c r="D21" s="28">
        <f>+'Anexo 1'!$D$10</f>
        <v>0</v>
      </c>
      <c r="E21" s="28">
        <f>+'Anexo 1'!$D$10</f>
        <v>0</v>
      </c>
      <c r="F21" s="28">
        <f>+'Anexo 1'!$D$10</f>
        <v>0</v>
      </c>
      <c r="G21" s="28">
        <f>+'Anexo 1'!$D$10</f>
        <v>0</v>
      </c>
      <c r="H21" s="28">
        <f>+'Anexo 1'!$D$10</f>
        <v>0</v>
      </c>
      <c r="I21" s="28">
        <f>+'Anexo 1'!$D$10</f>
        <v>0</v>
      </c>
      <c r="J21" s="28">
        <f>+'Anexo 1'!$D$10</f>
        <v>0</v>
      </c>
      <c r="K21" s="28">
        <f>+'Anexo 1'!$D$10</f>
        <v>0</v>
      </c>
      <c r="L21" s="28">
        <f>+'Anexo 1'!$D$10</f>
        <v>0</v>
      </c>
      <c r="M21" s="28">
        <f>+'Anexo 1'!$D$10</f>
        <v>0</v>
      </c>
      <c r="N21" s="28">
        <f>+'Anexo 1'!$D$10</f>
        <v>0</v>
      </c>
      <c r="O21" s="28">
        <f>+'Anexo 1'!$D$10</f>
        <v>0</v>
      </c>
      <c r="P21" s="28">
        <f>+'Anexo 1'!$D$10</f>
        <v>0</v>
      </c>
      <c r="Q21" s="28">
        <f>+'Anexo 1'!$D$10</f>
        <v>0</v>
      </c>
      <c r="R21" s="28">
        <f>+'Anexo 1'!$D$10</f>
        <v>0</v>
      </c>
      <c r="S21" s="28">
        <f>+'Anexo 1'!$D$10</f>
        <v>0</v>
      </c>
      <c r="T21" s="28">
        <f>+'Anexo 1'!$D$10</f>
        <v>0</v>
      </c>
      <c r="U21" s="28">
        <f>+'Anexo 1'!$D$10</f>
        <v>0</v>
      </c>
      <c r="V21" s="28">
        <f>+'Anexo 1'!$D$10</f>
        <v>0</v>
      </c>
      <c r="W21" s="28">
        <f>+'Anexo 1'!$D$10</f>
        <v>0</v>
      </c>
      <c r="X21" s="28">
        <f>+'Anexo 1'!$D$10</f>
        <v>0</v>
      </c>
      <c r="Y21" s="28">
        <f>+'Anexo 1'!$D$10</f>
        <v>0</v>
      </c>
      <c r="Z21" s="29">
        <f>+'Anexo 1'!$D$10</f>
        <v>0</v>
      </c>
      <c r="AA21" s="30">
        <f t="shared" si="0"/>
        <v>0</v>
      </c>
      <c r="AB21" s="16">
        <v>22</v>
      </c>
      <c r="AC21" s="76">
        <f>+AA21*AB21+AA22*AB22+AA23*AB23</f>
        <v>0</v>
      </c>
      <c r="AD21" s="43"/>
    </row>
    <row r="22" spans="1:30" ht="15.75" thickBot="1" x14ac:dyDescent="0.3">
      <c r="A22" s="75"/>
      <c r="B22" s="17" t="s">
        <v>4</v>
      </c>
      <c r="C22" s="31">
        <f>+'Anexo 1'!$D$10</f>
        <v>0</v>
      </c>
      <c r="D22" s="31">
        <f>+'Anexo 1'!$D$10</f>
        <v>0</v>
      </c>
      <c r="E22" s="31">
        <f>+'Anexo 1'!$D$10</f>
        <v>0</v>
      </c>
      <c r="F22" s="31">
        <f>+'Anexo 1'!$D$10</f>
        <v>0</v>
      </c>
      <c r="G22" s="31">
        <f>+'Anexo 1'!$D$10</f>
        <v>0</v>
      </c>
      <c r="H22" s="31">
        <f>+'Anexo 1'!$D$10</f>
        <v>0</v>
      </c>
      <c r="I22" s="31">
        <f>+'Anexo 1'!$D$10</f>
        <v>0</v>
      </c>
      <c r="J22" s="31">
        <f>+'Anexo 1'!$D$10</f>
        <v>0</v>
      </c>
      <c r="K22" s="31">
        <f>+'Anexo 1'!$D$10</f>
        <v>0</v>
      </c>
      <c r="L22" s="31">
        <f>+'Anexo 1'!$D$10</f>
        <v>0</v>
      </c>
      <c r="M22" s="31">
        <f>+'Anexo 1'!$D$10</f>
        <v>0</v>
      </c>
      <c r="N22" s="31">
        <f>+'Anexo 1'!$D$10</f>
        <v>0</v>
      </c>
      <c r="O22" s="31">
        <f>+'Anexo 1'!$D$10</f>
        <v>0</v>
      </c>
      <c r="P22" s="31">
        <f>+'Anexo 1'!$D$10</f>
        <v>0</v>
      </c>
      <c r="Q22" s="31">
        <f>+'Anexo 1'!$D$10</f>
        <v>0</v>
      </c>
      <c r="R22" s="31">
        <f>+'Anexo 1'!$D$10</f>
        <v>0</v>
      </c>
      <c r="S22" s="31">
        <f>+'Anexo 1'!$D$10</f>
        <v>0</v>
      </c>
      <c r="T22" s="31">
        <f>+'Anexo 1'!$D$10</f>
        <v>0</v>
      </c>
      <c r="U22" s="31">
        <f>+'Anexo 1'!$D$10</f>
        <v>0</v>
      </c>
      <c r="V22" s="31">
        <f>+'Anexo 1'!$D$10</f>
        <v>0</v>
      </c>
      <c r="W22" s="31">
        <f>+'Anexo 1'!$D$10</f>
        <v>0</v>
      </c>
      <c r="X22" s="31">
        <f>+'Anexo 1'!$D$10</f>
        <v>0</v>
      </c>
      <c r="Y22" s="31">
        <f>+'Anexo 1'!$D$10</f>
        <v>0</v>
      </c>
      <c r="Z22" s="32">
        <f>+'Anexo 1'!$D$10</f>
        <v>0</v>
      </c>
      <c r="AA22" s="33">
        <f t="shared" si="0"/>
        <v>0</v>
      </c>
      <c r="AB22" s="18">
        <v>4</v>
      </c>
      <c r="AC22" s="77"/>
      <c r="AD22" s="43"/>
    </row>
    <row r="23" spans="1:30" ht="15" x14ac:dyDescent="0.25">
      <c r="A23" s="75"/>
      <c r="B23" s="19" t="s">
        <v>3</v>
      </c>
      <c r="C23" s="34">
        <f>+'Anexo 1'!$D$10</f>
        <v>0</v>
      </c>
      <c r="D23" s="34">
        <f>+'Anexo 1'!$D$10</f>
        <v>0</v>
      </c>
      <c r="E23" s="34">
        <f>+'Anexo 1'!$D$10</f>
        <v>0</v>
      </c>
      <c r="F23" s="34">
        <f>+'Anexo 1'!$D$10</f>
        <v>0</v>
      </c>
      <c r="G23" s="34">
        <f>+'Anexo 1'!$D$10</f>
        <v>0</v>
      </c>
      <c r="H23" s="34">
        <f>+'Anexo 1'!$D$10</f>
        <v>0</v>
      </c>
      <c r="I23" s="34">
        <f>+'Anexo 1'!$D$10</f>
        <v>0</v>
      </c>
      <c r="J23" s="34">
        <f>+'Anexo 1'!$D$10</f>
        <v>0</v>
      </c>
      <c r="K23" s="34">
        <f>+'Anexo 1'!$D$10</f>
        <v>0</v>
      </c>
      <c r="L23" s="34">
        <f>+'Anexo 1'!$D$10</f>
        <v>0</v>
      </c>
      <c r="M23" s="34">
        <f>+'Anexo 1'!$D$10</f>
        <v>0</v>
      </c>
      <c r="N23" s="34">
        <f>+'Anexo 1'!$D$10</f>
        <v>0</v>
      </c>
      <c r="O23" s="34">
        <f>+'Anexo 1'!$D$10</f>
        <v>0</v>
      </c>
      <c r="P23" s="34">
        <f>+'Anexo 1'!$D$10</f>
        <v>0</v>
      </c>
      <c r="Q23" s="34">
        <f>+'Anexo 1'!$D$10</f>
        <v>0</v>
      </c>
      <c r="R23" s="34">
        <f>+'Anexo 1'!$D$10</f>
        <v>0</v>
      </c>
      <c r="S23" s="34">
        <f>+'Anexo 1'!$D$10</f>
        <v>0</v>
      </c>
      <c r="T23" s="34">
        <f>+'Anexo 1'!$D$10</f>
        <v>0</v>
      </c>
      <c r="U23" s="34">
        <f>+'Anexo 1'!$D$10</f>
        <v>0</v>
      </c>
      <c r="V23" s="34">
        <f>+'Anexo 1'!$D$10</f>
        <v>0</v>
      </c>
      <c r="W23" s="34">
        <f>+'Anexo 1'!$D$10</f>
        <v>0</v>
      </c>
      <c r="X23" s="34">
        <f>+'Anexo 1'!$D$10</f>
        <v>0</v>
      </c>
      <c r="Y23" s="34">
        <f>+'Anexo 1'!$D$10</f>
        <v>0</v>
      </c>
      <c r="Z23" s="35">
        <f>+'Anexo 1'!$D$10</f>
        <v>0</v>
      </c>
      <c r="AA23" s="36">
        <f t="shared" si="0"/>
        <v>0</v>
      </c>
      <c r="AB23" s="20">
        <v>5</v>
      </c>
      <c r="AC23" s="78"/>
      <c r="AD23" s="43"/>
    </row>
    <row r="24" spans="1:30" ht="15.75" thickBot="1" x14ac:dyDescent="0.3">
      <c r="A24" s="75">
        <v>46235</v>
      </c>
      <c r="B24" s="15" t="s">
        <v>5</v>
      </c>
      <c r="C24" s="28">
        <f>+'Anexo 1'!$D$10</f>
        <v>0</v>
      </c>
      <c r="D24" s="28">
        <f>+'Anexo 1'!$D$10</f>
        <v>0</v>
      </c>
      <c r="E24" s="28">
        <f>+'Anexo 1'!$D$10</f>
        <v>0</v>
      </c>
      <c r="F24" s="28">
        <f>+'Anexo 1'!$D$10</f>
        <v>0</v>
      </c>
      <c r="G24" s="28">
        <f>+'Anexo 1'!$D$10</f>
        <v>0</v>
      </c>
      <c r="H24" s="28">
        <f>+'Anexo 1'!$D$10</f>
        <v>0</v>
      </c>
      <c r="I24" s="28">
        <f>+'Anexo 1'!$D$10</f>
        <v>0</v>
      </c>
      <c r="J24" s="28">
        <f>+'Anexo 1'!$D$10</f>
        <v>0</v>
      </c>
      <c r="K24" s="28">
        <f>+'Anexo 1'!$D$10</f>
        <v>0</v>
      </c>
      <c r="L24" s="28">
        <f>+'Anexo 1'!$D$10</f>
        <v>0</v>
      </c>
      <c r="M24" s="28">
        <f>+'Anexo 1'!$D$10</f>
        <v>0</v>
      </c>
      <c r="N24" s="28">
        <f>+'Anexo 1'!$D$10</f>
        <v>0</v>
      </c>
      <c r="O24" s="28">
        <f>+'Anexo 1'!$D$10</f>
        <v>0</v>
      </c>
      <c r="P24" s="28">
        <f>+'Anexo 1'!$D$10</f>
        <v>0</v>
      </c>
      <c r="Q24" s="28">
        <f>+'Anexo 1'!$D$10</f>
        <v>0</v>
      </c>
      <c r="R24" s="28">
        <f>+'Anexo 1'!$D$10</f>
        <v>0</v>
      </c>
      <c r="S24" s="28">
        <f>+'Anexo 1'!$D$10</f>
        <v>0</v>
      </c>
      <c r="T24" s="28">
        <f>+'Anexo 1'!$D$10</f>
        <v>0</v>
      </c>
      <c r="U24" s="28">
        <f>+'Anexo 1'!$D$10</f>
        <v>0</v>
      </c>
      <c r="V24" s="28">
        <f>+'Anexo 1'!$D$10</f>
        <v>0</v>
      </c>
      <c r="W24" s="28">
        <f>+'Anexo 1'!$D$10</f>
        <v>0</v>
      </c>
      <c r="X24" s="28">
        <f>+'Anexo 1'!$D$10</f>
        <v>0</v>
      </c>
      <c r="Y24" s="28">
        <f>+'Anexo 1'!$D$10</f>
        <v>0</v>
      </c>
      <c r="Z24" s="29">
        <f>+'Anexo 1'!$D$10</f>
        <v>0</v>
      </c>
      <c r="AA24" s="30">
        <f t="shared" si="0"/>
        <v>0</v>
      </c>
      <c r="AB24" s="16">
        <v>19</v>
      </c>
      <c r="AC24" s="76">
        <f>+AA24*AB24+AA25*AB25+AA26*AB26</f>
        <v>0</v>
      </c>
      <c r="AD24" s="43"/>
    </row>
    <row r="25" spans="1:30" ht="15.75" thickBot="1" x14ac:dyDescent="0.3">
      <c r="A25" s="75"/>
      <c r="B25" s="17" t="s">
        <v>4</v>
      </c>
      <c r="C25" s="31">
        <f>+'Anexo 1'!$D$10</f>
        <v>0</v>
      </c>
      <c r="D25" s="31">
        <f>+'Anexo 1'!$D$10</f>
        <v>0</v>
      </c>
      <c r="E25" s="31">
        <f>+'Anexo 1'!$D$10</f>
        <v>0</v>
      </c>
      <c r="F25" s="31">
        <f>+'Anexo 1'!$D$10</f>
        <v>0</v>
      </c>
      <c r="G25" s="31">
        <f>+'Anexo 1'!$D$10</f>
        <v>0</v>
      </c>
      <c r="H25" s="31">
        <f>+'Anexo 1'!$D$10</f>
        <v>0</v>
      </c>
      <c r="I25" s="31">
        <f>+'Anexo 1'!$D$10</f>
        <v>0</v>
      </c>
      <c r="J25" s="31">
        <f>+'Anexo 1'!$D$10</f>
        <v>0</v>
      </c>
      <c r="K25" s="31">
        <f>+'Anexo 1'!$D$10</f>
        <v>0</v>
      </c>
      <c r="L25" s="31">
        <f>+'Anexo 1'!$D$10</f>
        <v>0</v>
      </c>
      <c r="M25" s="31">
        <f>+'Anexo 1'!$D$10</f>
        <v>0</v>
      </c>
      <c r="N25" s="31">
        <f>+'Anexo 1'!$D$10</f>
        <v>0</v>
      </c>
      <c r="O25" s="31">
        <f>+'Anexo 1'!$D$10</f>
        <v>0</v>
      </c>
      <c r="P25" s="31">
        <f>+'Anexo 1'!$D$10</f>
        <v>0</v>
      </c>
      <c r="Q25" s="31">
        <f>+'Anexo 1'!$D$10</f>
        <v>0</v>
      </c>
      <c r="R25" s="31">
        <f>+'Anexo 1'!$D$10</f>
        <v>0</v>
      </c>
      <c r="S25" s="31">
        <f>+'Anexo 1'!$D$10</f>
        <v>0</v>
      </c>
      <c r="T25" s="31">
        <f>+'Anexo 1'!$D$10</f>
        <v>0</v>
      </c>
      <c r="U25" s="31">
        <f>+'Anexo 1'!$D$10</f>
        <v>0</v>
      </c>
      <c r="V25" s="31">
        <f>+'Anexo 1'!$D$10</f>
        <v>0</v>
      </c>
      <c r="W25" s="31">
        <f>+'Anexo 1'!$D$10</f>
        <v>0</v>
      </c>
      <c r="X25" s="31">
        <f>+'Anexo 1'!$D$10</f>
        <v>0</v>
      </c>
      <c r="Y25" s="31">
        <f>+'Anexo 1'!$D$10</f>
        <v>0</v>
      </c>
      <c r="Z25" s="32">
        <f>+'Anexo 1'!$D$10</f>
        <v>0</v>
      </c>
      <c r="AA25" s="33">
        <f t="shared" si="0"/>
        <v>0</v>
      </c>
      <c r="AB25" s="18">
        <v>5</v>
      </c>
      <c r="AC25" s="77"/>
      <c r="AD25" s="43"/>
    </row>
    <row r="26" spans="1:30" ht="15" x14ac:dyDescent="0.25">
      <c r="A26" s="75"/>
      <c r="B26" s="19" t="s">
        <v>3</v>
      </c>
      <c r="C26" s="34">
        <f>+'Anexo 1'!$D$10</f>
        <v>0</v>
      </c>
      <c r="D26" s="34">
        <f>+'Anexo 1'!$D$10</f>
        <v>0</v>
      </c>
      <c r="E26" s="34">
        <f>+'Anexo 1'!$D$10</f>
        <v>0</v>
      </c>
      <c r="F26" s="34">
        <f>+'Anexo 1'!$D$10</f>
        <v>0</v>
      </c>
      <c r="G26" s="34">
        <f>+'Anexo 1'!$D$10</f>
        <v>0</v>
      </c>
      <c r="H26" s="34">
        <f>+'Anexo 1'!$D$10</f>
        <v>0</v>
      </c>
      <c r="I26" s="34">
        <f>+'Anexo 1'!$D$10</f>
        <v>0</v>
      </c>
      <c r="J26" s="34">
        <f>+'Anexo 1'!$D$10</f>
        <v>0</v>
      </c>
      <c r="K26" s="34">
        <f>+'Anexo 1'!$D$10</f>
        <v>0</v>
      </c>
      <c r="L26" s="34">
        <f>+'Anexo 1'!$D$10</f>
        <v>0</v>
      </c>
      <c r="M26" s="34">
        <f>+'Anexo 1'!$D$10</f>
        <v>0</v>
      </c>
      <c r="N26" s="34">
        <f>+'Anexo 1'!$D$10</f>
        <v>0</v>
      </c>
      <c r="O26" s="34">
        <f>+'Anexo 1'!$D$10</f>
        <v>0</v>
      </c>
      <c r="P26" s="34">
        <f>+'Anexo 1'!$D$10</f>
        <v>0</v>
      </c>
      <c r="Q26" s="34">
        <f>+'Anexo 1'!$D$10</f>
        <v>0</v>
      </c>
      <c r="R26" s="34">
        <f>+'Anexo 1'!$D$10</f>
        <v>0</v>
      </c>
      <c r="S26" s="34">
        <f>+'Anexo 1'!$D$10</f>
        <v>0</v>
      </c>
      <c r="T26" s="34">
        <f>+'Anexo 1'!$D$10</f>
        <v>0</v>
      </c>
      <c r="U26" s="34">
        <f>+'Anexo 1'!$D$10</f>
        <v>0</v>
      </c>
      <c r="V26" s="34">
        <f>+'Anexo 1'!$D$10</f>
        <v>0</v>
      </c>
      <c r="W26" s="34">
        <f>+'Anexo 1'!$D$10</f>
        <v>0</v>
      </c>
      <c r="X26" s="34">
        <f>+'Anexo 1'!$D$10</f>
        <v>0</v>
      </c>
      <c r="Y26" s="34">
        <f>+'Anexo 1'!$D$10</f>
        <v>0</v>
      </c>
      <c r="Z26" s="35">
        <f>+'Anexo 1'!$D$10</f>
        <v>0</v>
      </c>
      <c r="AA26" s="36">
        <f t="shared" si="0"/>
        <v>0</v>
      </c>
      <c r="AB26" s="20">
        <v>7</v>
      </c>
      <c r="AC26" s="78"/>
      <c r="AD26" s="43"/>
    </row>
    <row r="27" spans="1:30" ht="15.75" thickBot="1" x14ac:dyDescent="0.3">
      <c r="A27" s="75">
        <v>46266</v>
      </c>
      <c r="B27" s="15" t="s">
        <v>5</v>
      </c>
      <c r="C27" s="28">
        <f>+'Anexo 1'!$D$10</f>
        <v>0</v>
      </c>
      <c r="D27" s="28">
        <f>+'Anexo 1'!$D$10</f>
        <v>0</v>
      </c>
      <c r="E27" s="28">
        <f>+'Anexo 1'!$D$10</f>
        <v>0</v>
      </c>
      <c r="F27" s="28">
        <f>+'Anexo 1'!$D$10</f>
        <v>0</v>
      </c>
      <c r="G27" s="28">
        <f>+'Anexo 1'!$D$10</f>
        <v>0</v>
      </c>
      <c r="H27" s="28">
        <f>+'Anexo 1'!$D$10</f>
        <v>0</v>
      </c>
      <c r="I27" s="28">
        <f>+'Anexo 1'!$D$10</f>
        <v>0</v>
      </c>
      <c r="J27" s="28">
        <f>+'Anexo 1'!$D$10</f>
        <v>0</v>
      </c>
      <c r="K27" s="28">
        <f>+'Anexo 1'!$D$10</f>
        <v>0</v>
      </c>
      <c r="L27" s="28">
        <f>+'Anexo 1'!$D$10</f>
        <v>0</v>
      </c>
      <c r="M27" s="28">
        <f>+'Anexo 1'!$D$10</f>
        <v>0</v>
      </c>
      <c r="N27" s="28">
        <f>+'Anexo 1'!$D$10</f>
        <v>0</v>
      </c>
      <c r="O27" s="28">
        <f>+'Anexo 1'!$D$10</f>
        <v>0</v>
      </c>
      <c r="P27" s="28">
        <f>+'Anexo 1'!$D$10</f>
        <v>0</v>
      </c>
      <c r="Q27" s="28">
        <f>+'Anexo 1'!$D$10</f>
        <v>0</v>
      </c>
      <c r="R27" s="28">
        <f>+'Anexo 1'!$D$10</f>
        <v>0</v>
      </c>
      <c r="S27" s="28">
        <f>+'Anexo 1'!$D$10</f>
        <v>0</v>
      </c>
      <c r="T27" s="28">
        <f>+'Anexo 1'!$D$10</f>
        <v>0</v>
      </c>
      <c r="U27" s="28">
        <f>+'Anexo 1'!$D$10</f>
        <v>0</v>
      </c>
      <c r="V27" s="28">
        <f>+'Anexo 1'!$D$10</f>
        <v>0</v>
      </c>
      <c r="W27" s="28">
        <f>+'Anexo 1'!$D$10</f>
        <v>0</v>
      </c>
      <c r="X27" s="28">
        <f>+'Anexo 1'!$D$10</f>
        <v>0</v>
      </c>
      <c r="Y27" s="28">
        <f>+'Anexo 1'!$D$10</f>
        <v>0</v>
      </c>
      <c r="Z27" s="29">
        <f>+'Anexo 1'!$D$10</f>
        <v>0</v>
      </c>
      <c r="AA27" s="30">
        <f t="shared" si="0"/>
        <v>0</v>
      </c>
      <c r="AB27" s="16">
        <v>22</v>
      </c>
      <c r="AC27" s="76">
        <f>+AA27*AB27+AA28*AB28+AA29*AB29</f>
        <v>0</v>
      </c>
      <c r="AD27" s="43"/>
    </row>
    <row r="28" spans="1:30" ht="15.75" thickBot="1" x14ac:dyDescent="0.3">
      <c r="A28" s="75"/>
      <c r="B28" s="17" t="s">
        <v>4</v>
      </c>
      <c r="C28" s="31">
        <f>+'Anexo 1'!$D$10</f>
        <v>0</v>
      </c>
      <c r="D28" s="31">
        <f>+'Anexo 1'!$D$10</f>
        <v>0</v>
      </c>
      <c r="E28" s="31">
        <f>+'Anexo 1'!$D$10</f>
        <v>0</v>
      </c>
      <c r="F28" s="31">
        <f>+'Anexo 1'!$D$10</f>
        <v>0</v>
      </c>
      <c r="G28" s="31">
        <f>+'Anexo 1'!$D$10</f>
        <v>0</v>
      </c>
      <c r="H28" s="31">
        <f>+'Anexo 1'!$D$10</f>
        <v>0</v>
      </c>
      <c r="I28" s="31">
        <f>+'Anexo 1'!$D$10</f>
        <v>0</v>
      </c>
      <c r="J28" s="31">
        <f>+'Anexo 1'!$D$10</f>
        <v>0</v>
      </c>
      <c r="K28" s="31">
        <f>+'Anexo 1'!$D$10</f>
        <v>0</v>
      </c>
      <c r="L28" s="31">
        <f>+'Anexo 1'!$D$10</f>
        <v>0</v>
      </c>
      <c r="M28" s="31">
        <f>+'Anexo 1'!$D$10</f>
        <v>0</v>
      </c>
      <c r="N28" s="31">
        <f>+'Anexo 1'!$D$10</f>
        <v>0</v>
      </c>
      <c r="O28" s="31">
        <f>+'Anexo 1'!$D$10</f>
        <v>0</v>
      </c>
      <c r="P28" s="31">
        <f>+'Anexo 1'!$D$10</f>
        <v>0</v>
      </c>
      <c r="Q28" s="31">
        <f>+'Anexo 1'!$D$10</f>
        <v>0</v>
      </c>
      <c r="R28" s="31">
        <f>+'Anexo 1'!$D$10</f>
        <v>0</v>
      </c>
      <c r="S28" s="31">
        <f>+'Anexo 1'!$D$10</f>
        <v>0</v>
      </c>
      <c r="T28" s="31">
        <f>+'Anexo 1'!$D$10</f>
        <v>0</v>
      </c>
      <c r="U28" s="31">
        <f>+'Anexo 1'!$D$10</f>
        <v>0</v>
      </c>
      <c r="V28" s="31">
        <f>+'Anexo 1'!$D$10</f>
        <v>0</v>
      </c>
      <c r="W28" s="31">
        <f>+'Anexo 1'!$D$10</f>
        <v>0</v>
      </c>
      <c r="X28" s="31">
        <f>+'Anexo 1'!$D$10</f>
        <v>0</v>
      </c>
      <c r="Y28" s="31">
        <f>+'Anexo 1'!$D$10</f>
        <v>0</v>
      </c>
      <c r="Z28" s="32">
        <f>+'Anexo 1'!$D$10</f>
        <v>0</v>
      </c>
      <c r="AA28" s="33">
        <f t="shared" si="0"/>
        <v>0</v>
      </c>
      <c r="AB28" s="18">
        <v>4</v>
      </c>
      <c r="AC28" s="77"/>
      <c r="AD28" s="43"/>
    </row>
    <row r="29" spans="1:30" ht="15" x14ac:dyDescent="0.25">
      <c r="A29" s="75"/>
      <c r="B29" s="19" t="s">
        <v>3</v>
      </c>
      <c r="C29" s="34">
        <f>+'Anexo 1'!$D$10</f>
        <v>0</v>
      </c>
      <c r="D29" s="34">
        <f>+'Anexo 1'!$D$10</f>
        <v>0</v>
      </c>
      <c r="E29" s="34">
        <f>+'Anexo 1'!$D$10</f>
        <v>0</v>
      </c>
      <c r="F29" s="34">
        <f>+'Anexo 1'!$D$10</f>
        <v>0</v>
      </c>
      <c r="G29" s="34">
        <f>+'Anexo 1'!$D$10</f>
        <v>0</v>
      </c>
      <c r="H29" s="34">
        <f>+'Anexo 1'!$D$10</f>
        <v>0</v>
      </c>
      <c r="I29" s="34">
        <f>+'Anexo 1'!$D$10</f>
        <v>0</v>
      </c>
      <c r="J29" s="34">
        <f>+'Anexo 1'!$D$10</f>
        <v>0</v>
      </c>
      <c r="K29" s="34">
        <f>+'Anexo 1'!$D$10</f>
        <v>0</v>
      </c>
      <c r="L29" s="34">
        <f>+'Anexo 1'!$D$10</f>
        <v>0</v>
      </c>
      <c r="M29" s="34">
        <f>+'Anexo 1'!$D$10</f>
        <v>0</v>
      </c>
      <c r="N29" s="34">
        <f>+'Anexo 1'!$D$10</f>
        <v>0</v>
      </c>
      <c r="O29" s="34">
        <f>+'Anexo 1'!$D$10</f>
        <v>0</v>
      </c>
      <c r="P29" s="34">
        <f>+'Anexo 1'!$D$10</f>
        <v>0</v>
      </c>
      <c r="Q29" s="34">
        <f>+'Anexo 1'!$D$10</f>
        <v>0</v>
      </c>
      <c r="R29" s="34">
        <f>+'Anexo 1'!$D$10</f>
        <v>0</v>
      </c>
      <c r="S29" s="34">
        <f>+'Anexo 1'!$D$10</f>
        <v>0</v>
      </c>
      <c r="T29" s="34">
        <f>+'Anexo 1'!$D$10</f>
        <v>0</v>
      </c>
      <c r="U29" s="34">
        <f>+'Anexo 1'!$D$10</f>
        <v>0</v>
      </c>
      <c r="V29" s="34">
        <f>+'Anexo 1'!$D$10</f>
        <v>0</v>
      </c>
      <c r="W29" s="34">
        <f>+'Anexo 1'!$D$10</f>
        <v>0</v>
      </c>
      <c r="X29" s="34">
        <f>+'Anexo 1'!$D$10</f>
        <v>0</v>
      </c>
      <c r="Y29" s="34">
        <f>+'Anexo 1'!$D$10</f>
        <v>0</v>
      </c>
      <c r="Z29" s="35">
        <f>+'Anexo 1'!$D$10</f>
        <v>0</v>
      </c>
      <c r="AA29" s="36">
        <f t="shared" si="0"/>
        <v>0</v>
      </c>
      <c r="AB29" s="20">
        <v>4</v>
      </c>
      <c r="AC29" s="78"/>
      <c r="AD29" s="43"/>
    </row>
    <row r="30" spans="1:30" ht="15.75" thickBot="1" x14ac:dyDescent="0.3">
      <c r="A30" s="75">
        <v>46296</v>
      </c>
      <c r="B30" s="15" t="s">
        <v>5</v>
      </c>
      <c r="C30" s="28">
        <f>+'Anexo 1'!$D$10</f>
        <v>0</v>
      </c>
      <c r="D30" s="28">
        <f>+'Anexo 1'!$D$10</f>
        <v>0</v>
      </c>
      <c r="E30" s="28">
        <f>+'Anexo 1'!$D$10</f>
        <v>0</v>
      </c>
      <c r="F30" s="28">
        <f>+'Anexo 1'!$D$10</f>
        <v>0</v>
      </c>
      <c r="G30" s="28">
        <f>+'Anexo 1'!$D$10</f>
        <v>0</v>
      </c>
      <c r="H30" s="28">
        <f>+'Anexo 1'!$D$10</f>
        <v>0</v>
      </c>
      <c r="I30" s="28">
        <f>+'Anexo 1'!$D$10</f>
        <v>0</v>
      </c>
      <c r="J30" s="28">
        <f>+'Anexo 1'!$D$10</f>
        <v>0</v>
      </c>
      <c r="K30" s="28">
        <f>+'Anexo 1'!$D$10</f>
        <v>0</v>
      </c>
      <c r="L30" s="28">
        <f>+'Anexo 1'!$D$10</f>
        <v>0</v>
      </c>
      <c r="M30" s="28">
        <f>+'Anexo 1'!$D$10</f>
        <v>0</v>
      </c>
      <c r="N30" s="28">
        <f>+'Anexo 1'!$D$10</f>
        <v>0</v>
      </c>
      <c r="O30" s="28">
        <f>+'Anexo 1'!$D$10</f>
        <v>0</v>
      </c>
      <c r="P30" s="28">
        <f>+'Anexo 1'!$D$10</f>
        <v>0</v>
      </c>
      <c r="Q30" s="28">
        <f>+'Anexo 1'!$D$10</f>
        <v>0</v>
      </c>
      <c r="R30" s="28">
        <f>+'Anexo 1'!$D$10</f>
        <v>0</v>
      </c>
      <c r="S30" s="28">
        <f>+'Anexo 1'!$D$10</f>
        <v>0</v>
      </c>
      <c r="T30" s="28">
        <f>+'Anexo 1'!$D$10</f>
        <v>0</v>
      </c>
      <c r="U30" s="28">
        <f>+'Anexo 1'!$D$10</f>
        <v>0</v>
      </c>
      <c r="V30" s="28">
        <f>+'Anexo 1'!$D$10</f>
        <v>0</v>
      </c>
      <c r="W30" s="28">
        <f>+'Anexo 1'!$D$10</f>
        <v>0</v>
      </c>
      <c r="X30" s="28">
        <f>+'Anexo 1'!$D$10</f>
        <v>0</v>
      </c>
      <c r="Y30" s="28">
        <f>+'Anexo 1'!$D$10</f>
        <v>0</v>
      </c>
      <c r="Z30" s="29">
        <f>+'Anexo 1'!$D$10</f>
        <v>0</v>
      </c>
      <c r="AA30" s="30">
        <f t="shared" si="0"/>
        <v>0</v>
      </c>
      <c r="AB30" s="16">
        <v>21</v>
      </c>
      <c r="AC30" s="76">
        <f>+AA30*AB30+AA31*AB31+AA32*AB32</f>
        <v>0</v>
      </c>
      <c r="AD30" s="43"/>
    </row>
    <row r="31" spans="1:30" ht="15.75" thickBot="1" x14ac:dyDescent="0.3">
      <c r="A31" s="75"/>
      <c r="B31" s="17" t="s">
        <v>4</v>
      </c>
      <c r="C31" s="31">
        <f>+'Anexo 1'!$D$10</f>
        <v>0</v>
      </c>
      <c r="D31" s="31">
        <f>+'Anexo 1'!$D$10</f>
        <v>0</v>
      </c>
      <c r="E31" s="31">
        <f>+'Anexo 1'!$D$10</f>
        <v>0</v>
      </c>
      <c r="F31" s="31">
        <f>+'Anexo 1'!$D$10</f>
        <v>0</v>
      </c>
      <c r="G31" s="31">
        <f>+'Anexo 1'!$D$10</f>
        <v>0</v>
      </c>
      <c r="H31" s="31">
        <f>+'Anexo 1'!$D$10</f>
        <v>0</v>
      </c>
      <c r="I31" s="31">
        <f>+'Anexo 1'!$D$10</f>
        <v>0</v>
      </c>
      <c r="J31" s="31">
        <f>+'Anexo 1'!$D$10</f>
        <v>0</v>
      </c>
      <c r="K31" s="31">
        <f>+'Anexo 1'!$D$10</f>
        <v>0</v>
      </c>
      <c r="L31" s="31">
        <f>+'Anexo 1'!$D$10</f>
        <v>0</v>
      </c>
      <c r="M31" s="31">
        <f>+'Anexo 1'!$D$10</f>
        <v>0</v>
      </c>
      <c r="N31" s="31">
        <f>+'Anexo 1'!$D$10</f>
        <v>0</v>
      </c>
      <c r="O31" s="31">
        <f>+'Anexo 1'!$D$10</f>
        <v>0</v>
      </c>
      <c r="P31" s="31">
        <f>+'Anexo 1'!$D$10</f>
        <v>0</v>
      </c>
      <c r="Q31" s="31">
        <f>+'Anexo 1'!$D$10</f>
        <v>0</v>
      </c>
      <c r="R31" s="31">
        <f>+'Anexo 1'!$D$10</f>
        <v>0</v>
      </c>
      <c r="S31" s="31">
        <f>+'Anexo 1'!$D$10</f>
        <v>0</v>
      </c>
      <c r="T31" s="31">
        <f>+'Anexo 1'!$D$10</f>
        <v>0</v>
      </c>
      <c r="U31" s="31">
        <f>+'Anexo 1'!$D$10</f>
        <v>0</v>
      </c>
      <c r="V31" s="31">
        <f>+'Anexo 1'!$D$10</f>
        <v>0</v>
      </c>
      <c r="W31" s="31">
        <f>+'Anexo 1'!$D$10</f>
        <v>0</v>
      </c>
      <c r="X31" s="31">
        <f>+'Anexo 1'!$D$10</f>
        <v>0</v>
      </c>
      <c r="Y31" s="31">
        <f>+'Anexo 1'!$D$10</f>
        <v>0</v>
      </c>
      <c r="Z31" s="32">
        <f>+'Anexo 1'!$D$10</f>
        <v>0</v>
      </c>
      <c r="AA31" s="33">
        <f t="shared" si="0"/>
        <v>0</v>
      </c>
      <c r="AB31" s="18">
        <v>5</v>
      </c>
      <c r="AC31" s="77"/>
      <c r="AD31" s="43"/>
    </row>
    <row r="32" spans="1:30" ht="15" x14ac:dyDescent="0.25">
      <c r="A32" s="75"/>
      <c r="B32" s="19" t="s">
        <v>3</v>
      </c>
      <c r="C32" s="34">
        <f>+'Anexo 1'!$D$10</f>
        <v>0</v>
      </c>
      <c r="D32" s="34">
        <f>+'Anexo 1'!$D$10</f>
        <v>0</v>
      </c>
      <c r="E32" s="34">
        <f>+'Anexo 1'!$D$10</f>
        <v>0</v>
      </c>
      <c r="F32" s="34">
        <f>+'Anexo 1'!$D$10</f>
        <v>0</v>
      </c>
      <c r="G32" s="34">
        <f>+'Anexo 1'!$D$10</f>
        <v>0</v>
      </c>
      <c r="H32" s="34">
        <f>+'Anexo 1'!$D$10</f>
        <v>0</v>
      </c>
      <c r="I32" s="34">
        <f>+'Anexo 1'!$D$10</f>
        <v>0</v>
      </c>
      <c r="J32" s="34">
        <f>+'Anexo 1'!$D$10</f>
        <v>0</v>
      </c>
      <c r="K32" s="34">
        <f>+'Anexo 1'!$D$10</f>
        <v>0</v>
      </c>
      <c r="L32" s="34">
        <f>+'Anexo 1'!$D$10</f>
        <v>0</v>
      </c>
      <c r="M32" s="34">
        <f>+'Anexo 1'!$D$10</f>
        <v>0</v>
      </c>
      <c r="N32" s="34">
        <f>+'Anexo 1'!$D$10</f>
        <v>0</v>
      </c>
      <c r="O32" s="34">
        <f>+'Anexo 1'!$D$10</f>
        <v>0</v>
      </c>
      <c r="P32" s="34">
        <f>+'Anexo 1'!$D$10</f>
        <v>0</v>
      </c>
      <c r="Q32" s="34">
        <f>+'Anexo 1'!$D$10</f>
        <v>0</v>
      </c>
      <c r="R32" s="34">
        <f>+'Anexo 1'!$D$10</f>
        <v>0</v>
      </c>
      <c r="S32" s="34">
        <f>+'Anexo 1'!$D$10</f>
        <v>0</v>
      </c>
      <c r="T32" s="34">
        <f>+'Anexo 1'!$D$10</f>
        <v>0</v>
      </c>
      <c r="U32" s="34">
        <f>+'Anexo 1'!$D$10</f>
        <v>0</v>
      </c>
      <c r="V32" s="34">
        <f>+'Anexo 1'!$D$10</f>
        <v>0</v>
      </c>
      <c r="W32" s="34">
        <f>+'Anexo 1'!$D$10</f>
        <v>0</v>
      </c>
      <c r="X32" s="34">
        <f>+'Anexo 1'!$D$10</f>
        <v>0</v>
      </c>
      <c r="Y32" s="34">
        <f>+'Anexo 1'!$D$10</f>
        <v>0</v>
      </c>
      <c r="Z32" s="35">
        <f>+'Anexo 1'!$D$10</f>
        <v>0</v>
      </c>
      <c r="AA32" s="36">
        <f t="shared" si="0"/>
        <v>0</v>
      </c>
      <c r="AB32" s="20">
        <v>5</v>
      </c>
      <c r="AC32" s="78"/>
      <c r="AD32" s="43"/>
    </row>
    <row r="33" spans="1:30" ht="15.75" thickBot="1" x14ac:dyDescent="0.3">
      <c r="A33" s="75">
        <v>46327</v>
      </c>
      <c r="B33" s="15" t="s">
        <v>5</v>
      </c>
      <c r="C33" s="28">
        <f>+'Anexo 1'!$D$10</f>
        <v>0</v>
      </c>
      <c r="D33" s="28">
        <f>+'Anexo 1'!$D$10</f>
        <v>0</v>
      </c>
      <c r="E33" s="28">
        <f>+'Anexo 1'!$D$10</f>
        <v>0</v>
      </c>
      <c r="F33" s="28">
        <f>+'Anexo 1'!$D$10</f>
        <v>0</v>
      </c>
      <c r="G33" s="28">
        <f>+'Anexo 1'!$D$10</f>
        <v>0</v>
      </c>
      <c r="H33" s="28">
        <f>+'Anexo 1'!$D$10</f>
        <v>0</v>
      </c>
      <c r="I33" s="28">
        <f>+'Anexo 1'!$D$10</f>
        <v>0</v>
      </c>
      <c r="J33" s="28">
        <f>+'Anexo 1'!$D$10</f>
        <v>0</v>
      </c>
      <c r="K33" s="28">
        <f>+'Anexo 1'!$D$10</f>
        <v>0</v>
      </c>
      <c r="L33" s="28">
        <f>+'Anexo 1'!$D$10</f>
        <v>0</v>
      </c>
      <c r="M33" s="28">
        <f>+'Anexo 1'!$D$10</f>
        <v>0</v>
      </c>
      <c r="N33" s="28">
        <f>+'Anexo 1'!$D$10</f>
        <v>0</v>
      </c>
      <c r="O33" s="28">
        <f>+'Anexo 1'!$D$10</f>
        <v>0</v>
      </c>
      <c r="P33" s="28">
        <f>+'Anexo 1'!$D$10</f>
        <v>0</v>
      </c>
      <c r="Q33" s="28">
        <f>+'Anexo 1'!$D$10</f>
        <v>0</v>
      </c>
      <c r="R33" s="28">
        <f>+'Anexo 1'!$D$10</f>
        <v>0</v>
      </c>
      <c r="S33" s="28">
        <f>+'Anexo 1'!$D$10</f>
        <v>0</v>
      </c>
      <c r="T33" s="28">
        <f>+'Anexo 1'!$D$10</f>
        <v>0</v>
      </c>
      <c r="U33" s="28">
        <f>+'Anexo 1'!$D$10</f>
        <v>0</v>
      </c>
      <c r="V33" s="28">
        <f>+'Anexo 1'!$D$10</f>
        <v>0</v>
      </c>
      <c r="W33" s="28">
        <f>+'Anexo 1'!$D$10</f>
        <v>0</v>
      </c>
      <c r="X33" s="28">
        <f>+'Anexo 1'!$D$10</f>
        <v>0</v>
      </c>
      <c r="Y33" s="28">
        <f>+'Anexo 1'!$D$10</f>
        <v>0</v>
      </c>
      <c r="Z33" s="29">
        <f>+'Anexo 1'!$D$10</f>
        <v>0</v>
      </c>
      <c r="AA33" s="30">
        <f t="shared" si="0"/>
        <v>0</v>
      </c>
      <c r="AB33" s="16">
        <v>19</v>
      </c>
      <c r="AC33" s="76">
        <f>+AA33*AB33+AA34*AB34+AA35*AB35</f>
        <v>0</v>
      </c>
      <c r="AD33" s="43"/>
    </row>
    <row r="34" spans="1:30" ht="15.75" thickBot="1" x14ac:dyDescent="0.3">
      <c r="A34" s="75"/>
      <c r="B34" s="17" t="s">
        <v>4</v>
      </c>
      <c r="C34" s="31">
        <f>+'Anexo 1'!$D$10</f>
        <v>0</v>
      </c>
      <c r="D34" s="31">
        <f>+'Anexo 1'!$D$10</f>
        <v>0</v>
      </c>
      <c r="E34" s="31">
        <f>+'Anexo 1'!$D$10</f>
        <v>0</v>
      </c>
      <c r="F34" s="31">
        <f>+'Anexo 1'!$D$10</f>
        <v>0</v>
      </c>
      <c r="G34" s="31">
        <f>+'Anexo 1'!$D$10</f>
        <v>0</v>
      </c>
      <c r="H34" s="31">
        <f>+'Anexo 1'!$D$10</f>
        <v>0</v>
      </c>
      <c r="I34" s="31">
        <f>+'Anexo 1'!$D$10</f>
        <v>0</v>
      </c>
      <c r="J34" s="31">
        <f>+'Anexo 1'!$D$10</f>
        <v>0</v>
      </c>
      <c r="K34" s="31">
        <f>+'Anexo 1'!$D$10</f>
        <v>0</v>
      </c>
      <c r="L34" s="31">
        <f>+'Anexo 1'!$D$10</f>
        <v>0</v>
      </c>
      <c r="M34" s="31">
        <f>+'Anexo 1'!$D$10</f>
        <v>0</v>
      </c>
      <c r="N34" s="31">
        <f>+'Anexo 1'!$D$10</f>
        <v>0</v>
      </c>
      <c r="O34" s="31">
        <f>+'Anexo 1'!$D$10</f>
        <v>0</v>
      </c>
      <c r="P34" s="31">
        <f>+'Anexo 1'!$D$10</f>
        <v>0</v>
      </c>
      <c r="Q34" s="31">
        <f>+'Anexo 1'!$D$10</f>
        <v>0</v>
      </c>
      <c r="R34" s="31">
        <f>+'Anexo 1'!$D$10</f>
        <v>0</v>
      </c>
      <c r="S34" s="31">
        <f>+'Anexo 1'!$D$10</f>
        <v>0</v>
      </c>
      <c r="T34" s="31">
        <f>+'Anexo 1'!$D$10</f>
        <v>0</v>
      </c>
      <c r="U34" s="31">
        <f>+'Anexo 1'!$D$10</f>
        <v>0</v>
      </c>
      <c r="V34" s="31">
        <f>+'Anexo 1'!$D$10</f>
        <v>0</v>
      </c>
      <c r="W34" s="31">
        <f>+'Anexo 1'!$D$10</f>
        <v>0</v>
      </c>
      <c r="X34" s="31">
        <f>+'Anexo 1'!$D$10</f>
        <v>0</v>
      </c>
      <c r="Y34" s="31">
        <f>+'Anexo 1'!$D$10</f>
        <v>0</v>
      </c>
      <c r="Z34" s="32">
        <f>+'Anexo 1'!$D$10</f>
        <v>0</v>
      </c>
      <c r="AA34" s="33">
        <f t="shared" si="0"/>
        <v>0</v>
      </c>
      <c r="AB34" s="18">
        <v>4</v>
      </c>
      <c r="AC34" s="77"/>
      <c r="AD34" s="43"/>
    </row>
    <row r="35" spans="1:30" ht="15" x14ac:dyDescent="0.25">
      <c r="A35" s="75"/>
      <c r="B35" s="19" t="s">
        <v>3</v>
      </c>
      <c r="C35" s="34">
        <f>+'Anexo 1'!$D$10</f>
        <v>0</v>
      </c>
      <c r="D35" s="34">
        <f>+'Anexo 1'!$D$10</f>
        <v>0</v>
      </c>
      <c r="E35" s="34">
        <f>+'Anexo 1'!$D$10</f>
        <v>0</v>
      </c>
      <c r="F35" s="34">
        <f>+'Anexo 1'!$D$10</f>
        <v>0</v>
      </c>
      <c r="G35" s="34">
        <f>+'Anexo 1'!$D$10</f>
        <v>0</v>
      </c>
      <c r="H35" s="34">
        <f>+'Anexo 1'!$D$10</f>
        <v>0</v>
      </c>
      <c r="I35" s="34">
        <f>+'Anexo 1'!$D$10</f>
        <v>0</v>
      </c>
      <c r="J35" s="34">
        <f>+'Anexo 1'!$D$10</f>
        <v>0</v>
      </c>
      <c r="K35" s="34">
        <f>+'Anexo 1'!$D$10</f>
        <v>0</v>
      </c>
      <c r="L35" s="34">
        <f>+'Anexo 1'!$D$10</f>
        <v>0</v>
      </c>
      <c r="M35" s="34">
        <f>+'Anexo 1'!$D$10</f>
        <v>0</v>
      </c>
      <c r="N35" s="34">
        <f>+'Anexo 1'!$D$10</f>
        <v>0</v>
      </c>
      <c r="O35" s="34">
        <f>+'Anexo 1'!$D$10</f>
        <v>0</v>
      </c>
      <c r="P35" s="34">
        <f>+'Anexo 1'!$D$10</f>
        <v>0</v>
      </c>
      <c r="Q35" s="34">
        <f>+'Anexo 1'!$D$10</f>
        <v>0</v>
      </c>
      <c r="R35" s="34">
        <f>+'Anexo 1'!$D$10</f>
        <v>0</v>
      </c>
      <c r="S35" s="34">
        <f>+'Anexo 1'!$D$10</f>
        <v>0</v>
      </c>
      <c r="T35" s="34">
        <f>+'Anexo 1'!$D$10</f>
        <v>0</v>
      </c>
      <c r="U35" s="34">
        <f>+'Anexo 1'!$D$10</f>
        <v>0</v>
      </c>
      <c r="V35" s="34">
        <f>+'Anexo 1'!$D$10</f>
        <v>0</v>
      </c>
      <c r="W35" s="34">
        <f>+'Anexo 1'!$D$10</f>
        <v>0</v>
      </c>
      <c r="X35" s="34">
        <f>+'Anexo 1'!$D$10</f>
        <v>0</v>
      </c>
      <c r="Y35" s="34">
        <f>+'Anexo 1'!$D$10</f>
        <v>0</v>
      </c>
      <c r="Z35" s="35">
        <f>+'Anexo 1'!$D$10</f>
        <v>0</v>
      </c>
      <c r="AA35" s="36">
        <f t="shared" si="0"/>
        <v>0</v>
      </c>
      <c r="AB35" s="20">
        <v>7</v>
      </c>
      <c r="AC35" s="78"/>
      <c r="AD35" s="43"/>
    </row>
    <row r="36" spans="1:30" ht="15.75" thickBot="1" x14ac:dyDescent="0.3">
      <c r="A36" s="75">
        <v>46357</v>
      </c>
      <c r="B36" s="15" t="s">
        <v>5</v>
      </c>
      <c r="C36" s="28">
        <f>+'Anexo 1'!$D$10</f>
        <v>0</v>
      </c>
      <c r="D36" s="28">
        <f>+'Anexo 1'!$D$10</f>
        <v>0</v>
      </c>
      <c r="E36" s="28">
        <f>+'Anexo 1'!$D$10</f>
        <v>0</v>
      </c>
      <c r="F36" s="28">
        <f>+'Anexo 1'!$D$10</f>
        <v>0</v>
      </c>
      <c r="G36" s="28">
        <f>+'Anexo 1'!$D$10</f>
        <v>0</v>
      </c>
      <c r="H36" s="28">
        <f>+'Anexo 1'!$D$10</f>
        <v>0</v>
      </c>
      <c r="I36" s="28">
        <f>+'Anexo 1'!$D$10</f>
        <v>0</v>
      </c>
      <c r="J36" s="28">
        <f>+'Anexo 1'!$D$10</f>
        <v>0</v>
      </c>
      <c r="K36" s="28">
        <f>+'Anexo 1'!$D$10</f>
        <v>0</v>
      </c>
      <c r="L36" s="28">
        <f>+'Anexo 1'!$D$10</f>
        <v>0</v>
      </c>
      <c r="M36" s="28">
        <f>+'Anexo 1'!$D$10</f>
        <v>0</v>
      </c>
      <c r="N36" s="28">
        <f>+'Anexo 1'!$D$10</f>
        <v>0</v>
      </c>
      <c r="O36" s="28">
        <f>+'Anexo 1'!$D$10</f>
        <v>0</v>
      </c>
      <c r="P36" s="28">
        <f>+'Anexo 1'!$D$10</f>
        <v>0</v>
      </c>
      <c r="Q36" s="28">
        <f>+'Anexo 1'!$D$10</f>
        <v>0</v>
      </c>
      <c r="R36" s="28">
        <f>+'Anexo 1'!$D$10</f>
        <v>0</v>
      </c>
      <c r="S36" s="28">
        <f>+'Anexo 1'!$D$10</f>
        <v>0</v>
      </c>
      <c r="T36" s="28">
        <f>+'Anexo 1'!$D$10</f>
        <v>0</v>
      </c>
      <c r="U36" s="28">
        <f>+'Anexo 1'!$D$10</f>
        <v>0</v>
      </c>
      <c r="V36" s="28">
        <f>+'Anexo 1'!$D$10</f>
        <v>0</v>
      </c>
      <c r="W36" s="28">
        <f>+'Anexo 1'!$D$10</f>
        <v>0</v>
      </c>
      <c r="X36" s="28">
        <f>+'Anexo 1'!$D$10</f>
        <v>0</v>
      </c>
      <c r="Y36" s="28">
        <f>+'Anexo 1'!$D$10</f>
        <v>0</v>
      </c>
      <c r="Z36" s="29">
        <f>+'Anexo 1'!$D$10</f>
        <v>0</v>
      </c>
      <c r="AA36" s="30">
        <f t="shared" si="0"/>
        <v>0</v>
      </c>
      <c r="AB36" s="16">
        <v>21</v>
      </c>
      <c r="AC36" s="76">
        <f>+AA36*AB36+AA37*AB37+AA38*AB38</f>
        <v>0</v>
      </c>
      <c r="AD36" s="43"/>
    </row>
    <row r="37" spans="1:30" ht="15.75" thickBot="1" x14ac:dyDescent="0.3">
      <c r="A37" s="75"/>
      <c r="B37" s="17" t="s">
        <v>4</v>
      </c>
      <c r="C37" s="31">
        <f>+'Anexo 1'!$D$10</f>
        <v>0</v>
      </c>
      <c r="D37" s="31">
        <f>+'Anexo 1'!$D$10</f>
        <v>0</v>
      </c>
      <c r="E37" s="31">
        <f>+'Anexo 1'!$D$10</f>
        <v>0</v>
      </c>
      <c r="F37" s="31">
        <f>+'Anexo 1'!$D$10</f>
        <v>0</v>
      </c>
      <c r="G37" s="31">
        <f>+'Anexo 1'!$D$10</f>
        <v>0</v>
      </c>
      <c r="H37" s="31">
        <f>+'Anexo 1'!$D$10</f>
        <v>0</v>
      </c>
      <c r="I37" s="31">
        <f>+'Anexo 1'!$D$10</f>
        <v>0</v>
      </c>
      <c r="J37" s="31">
        <f>+'Anexo 1'!$D$10</f>
        <v>0</v>
      </c>
      <c r="K37" s="31">
        <f>+'Anexo 1'!$D$10</f>
        <v>0</v>
      </c>
      <c r="L37" s="31">
        <f>+'Anexo 1'!$D$10</f>
        <v>0</v>
      </c>
      <c r="M37" s="31">
        <f>+'Anexo 1'!$D$10</f>
        <v>0</v>
      </c>
      <c r="N37" s="31">
        <f>+'Anexo 1'!$D$10</f>
        <v>0</v>
      </c>
      <c r="O37" s="31">
        <f>+'Anexo 1'!$D$10</f>
        <v>0</v>
      </c>
      <c r="P37" s="31">
        <f>+'Anexo 1'!$D$10</f>
        <v>0</v>
      </c>
      <c r="Q37" s="31">
        <f>+'Anexo 1'!$D$10</f>
        <v>0</v>
      </c>
      <c r="R37" s="31">
        <f>+'Anexo 1'!$D$10</f>
        <v>0</v>
      </c>
      <c r="S37" s="31">
        <f>+'Anexo 1'!$D$10</f>
        <v>0</v>
      </c>
      <c r="T37" s="31">
        <f>+'Anexo 1'!$D$10</f>
        <v>0</v>
      </c>
      <c r="U37" s="31">
        <f>+'Anexo 1'!$D$10</f>
        <v>0</v>
      </c>
      <c r="V37" s="31">
        <f>+'Anexo 1'!$D$10</f>
        <v>0</v>
      </c>
      <c r="W37" s="31">
        <f>+'Anexo 1'!$D$10</f>
        <v>0</v>
      </c>
      <c r="X37" s="31">
        <f>+'Anexo 1'!$D$10</f>
        <v>0</v>
      </c>
      <c r="Y37" s="31">
        <f>+'Anexo 1'!$D$10</f>
        <v>0</v>
      </c>
      <c r="Z37" s="32">
        <f>+'Anexo 1'!$D$10</f>
        <v>0</v>
      </c>
      <c r="AA37" s="33">
        <f t="shared" si="0"/>
        <v>0</v>
      </c>
      <c r="AB37" s="18">
        <v>4</v>
      </c>
      <c r="AC37" s="77"/>
      <c r="AD37" s="43"/>
    </row>
    <row r="38" spans="1:30" ht="15" x14ac:dyDescent="0.25">
      <c r="A38" s="75"/>
      <c r="B38" s="19" t="s">
        <v>3</v>
      </c>
      <c r="C38" s="34">
        <f>+'Anexo 1'!$D$10</f>
        <v>0</v>
      </c>
      <c r="D38" s="34">
        <f>+'Anexo 1'!$D$10</f>
        <v>0</v>
      </c>
      <c r="E38" s="34">
        <f>+'Anexo 1'!$D$10</f>
        <v>0</v>
      </c>
      <c r="F38" s="34">
        <f>+'Anexo 1'!$D$10</f>
        <v>0</v>
      </c>
      <c r="G38" s="34">
        <f>+'Anexo 1'!$D$10</f>
        <v>0</v>
      </c>
      <c r="H38" s="34">
        <f>+'Anexo 1'!$D$10</f>
        <v>0</v>
      </c>
      <c r="I38" s="34">
        <f>+'Anexo 1'!$D$10</f>
        <v>0</v>
      </c>
      <c r="J38" s="34">
        <f>+'Anexo 1'!$D$10</f>
        <v>0</v>
      </c>
      <c r="K38" s="34">
        <f>+'Anexo 1'!$D$10</f>
        <v>0</v>
      </c>
      <c r="L38" s="34">
        <f>+'Anexo 1'!$D$10</f>
        <v>0</v>
      </c>
      <c r="M38" s="34">
        <f>+'Anexo 1'!$D$10</f>
        <v>0</v>
      </c>
      <c r="N38" s="34">
        <f>+'Anexo 1'!$D$10</f>
        <v>0</v>
      </c>
      <c r="O38" s="34">
        <f>+'Anexo 1'!$D$10</f>
        <v>0</v>
      </c>
      <c r="P38" s="34">
        <f>+'Anexo 1'!$D$10</f>
        <v>0</v>
      </c>
      <c r="Q38" s="34">
        <f>+'Anexo 1'!$D$10</f>
        <v>0</v>
      </c>
      <c r="R38" s="34">
        <f>+'Anexo 1'!$D$10</f>
        <v>0</v>
      </c>
      <c r="S38" s="34">
        <f>+'Anexo 1'!$D$10</f>
        <v>0</v>
      </c>
      <c r="T38" s="34">
        <f>+'Anexo 1'!$D$10</f>
        <v>0</v>
      </c>
      <c r="U38" s="34">
        <f>+'Anexo 1'!$D$10</f>
        <v>0</v>
      </c>
      <c r="V38" s="34">
        <f>+'Anexo 1'!$D$10</f>
        <v>0</v>
      </c>
      <c r="W38" s="34">
        <f>+'Anexo 1'!$D$10</f>
        <v>0</v>
      </c>
      <c r="X38" s="34">
        <f>+'Anexo 1'!$D$10</f>
        <v>0</v>
      </c>
      <c r="Y38" s="34">
        <f>+'Anexo 1'!$D$10</f>
        <v>0</v>
      </c>
      <c r="Z38" s="35">
        <f>+'Anexo 1'!$D$10</f>
        <v>0</v>
      </c>
      <c r="AA38" s="36">
        <f t="shared" si="0"/>
        <v>0</v>
      </c>
      <c r="AB38" s="20">
        <v>6</v>
      </c>
      <c r="AC38" s="78"/>
      <c r="AD38" s="43"/>
    </row>
    <row r="39" spans="1:30" ht="15" x14ac:dyDescent="0.25">
      <c r="A39" s="79" t="s">
        <v>2</v>
      </c>
      <c r="B39" s="80"/>
      <c r="C39" s="26">
        <f t="shared" ref="C39:AC39" si="1">+SUM(C6:C38)</f>
        <v>0</v>
      </c>
      <c r="D39" s="26">
        <f t="shared" si="1"/>
        <v>0</v>
      </c>
      <c r="E39" s="26">
        <f t="shared" si="1"/>
        <v>0</v>
      </c>
      <c r="F39" s="26">
        <f t="shared" si="1"/>
        <v>0</v>
      </c>
      <c r="G39" s="26">
        <f t="shared" si="1"/>
        <v>0</v>
      </c>
      <c r="H39" s="26">
        <f t="shared" si="1"/>
        <v>0</v>
      </c>
      <c r="I39" s="26">
        <f t="shared" si="1"/>
        <v>0</v>
      </c>
      <c r="J39" s="26">
        <f t="shared" si="1"/>
        <v>0</v>
      </c>
      <c r="K39" s="26">
        <f t="shared" si="1"/>
        <v>0</v>
      </c>
      <c r="L39" s="26">
        <f t="shared" si="1"/>
        <v>0</v>
      </c>
      <c r="M39" s="26">
        <f t="shared" si="1"/>
        <v>0</v>
      </c>
      <c r="N39" s="26">
        <f t="shared" si="1"/>
        <v>0</v>
      </c>
      <c r="O39" s="26">
        <f t="shared" si="1"/>
        <v>0</v>
      </c>
      <c r="P39" s="26">
        <f t="shared" si="1"/>
        <v>0</v>
      </c>
      <c r="Q39" s="26">
        <f t="shared" si="1"/>
        <v>0</v>
      </c>
      <c r="R39" s="26">
        <f t="shared" si="1"/>
        <v>0</v>
      </c>
      <c r="S39" s="26">
        <f t="shared" si="1"/>
        <v>0</v>
      </c>
      <c r="T39" s="26">
        <f t="shared" si="1"/>
        <v>0</v>
      </c>
      <c r="U39" s="26">
        <f t="shared" si="1"/>
        <v>0</v>
      </c>
      <c r="V39" s="26">
        <f t="shared" si="1"/>
        <v>0</v>
      </c>
      <c r="W39" s="26">
        <f t="shared" si="1"/>
        <v>0</v>
      </c>
      <c r="X39" s="26">
        <f t="shared" si="1"/>
        <v>0</v>
      </c>
      <c r="Y39" s="26">
        <f t="shared" si="1"/>
        <v>0</v>
      </c>
      <c r="Z39" s="26">
        <f t="shared" si="1"/>
        <v>0</v>
      </c>
      <c r="AA39" s="26">
        <f t="shared" si="1"/>
        <v>0</v>
      </c>
      <c r="AB39" s="26">
        <f t="shared" si="1"/>
        <v>334</v>
      </c>
      <c r="AC39" s="40">
        <f t="shared" si="1"/>
        <v>0</v>
      </c>
      <c r="AD39" s="43"/>
    </row>
    <row r="40" spans="1:30" ht="15" x14ac:dyDescent="0.25">
      <c r="N40" s="43"/>
      <c r="AB40" s="3"/>
      <c r="AC40" s="3"/>
    </row>
    <row r="41" spans="1:30" ht="15" x14ac:dyDescent="0.25">
      <c r="AA41" s="46"/>
      <c r="AC41" s="45"/>
    </row>
    <row r="42" spans="1:30" ht="15" x14ac:dyDescent="0.25"/>
    <row r="43" spans="1:30" ht="15" x14ac:dyDescent="0.25"/>
  </sheetData>
  <mergeCells count="51">
    <mergeCell ref="A24:A26"/>
    <mergeCell ref="AC24:AC26"/>
    <mergeCell ref="A27:A29"/>
    <mergeCell ref="AC27:AC29"/>
    <mergeCell ref="A39:B39"/>
    <mergeCell ref="A30:A32"/>
    <mergeCell ref="AC30:AC32"/>
    <mergeCell ref="A33:A35"/>
    <mergeCell ref="AC33:AC35"/>
    <mergeCell ref="A36:A38"/>
    <mergeCell ref="AC36:AC38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A250-7535-412F-8411-2F62006A461C}">
  <sheetPr>
    <tabColor rgb="FFFFFF00"/>
  </sheetPr>
  <dimension ref="A1:H33"/>
  <sheetViews>
    <sheetView showGridLines="0" tabSelected="1" zoomScaleNormal="100" zoomScaleSheetLayoutView="140" workbookViewId="0">
      <selection activeCell="H12" sqref="H12"/>
    </sheetView>
  </sheetViews>
  <sheetFormatPr baseColWidth="10" defaultColWidth="0" defaultRowHeight="0" customHeight="1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ht="15" x14ac:dyDescent="0.25"/>
    <row r="2" spans="1:8" ht="15" x14ac:dyDescent="0.25"/>
    <row r="3" spans="1:8" ht="15" x14ac:dyDescent="0.25">
      <c r="B3" s="61" t="s">
        <v>50</v>
      </c>
      <c r="C3" s="61"/>
      <c r="D3" s="61"/>
      <c r="E3" s="61"/>
      <c r="F3" s="61"/>
      <c r="G3" s="24"/>
    </row>
    <row r="4" spans="1:8" ht="15" x14ac:dyDescent="0.25">
      <c r="B4" s="61" t="s">
        <v>37</v>
      </c>
      <c r="C4" s="61"/>
      <c r="D4" s="61"/>
      <c r="E4" s="61"/>
      <c r="F4" s="61"/>
      <c r="G4" s="24"/>
    </row>
    <row r="5" spans="1:8" ht="15" x14ac:dyDescent="0.25">
      <c r="B5" s="61" t="s">
        <v>49</v>
      </c>
      <c r="C5" s="61"/>
      <c r="D5" s="61"/>
      <c r="E5" s="61"/>
      <c r="F5" s="61"/>
      <c r="G5" s="24"/>
    </row>
    <row r="6" spans="1:8" ht="15" x14ac:dyDescent="0.25">
      <c r="B6" s="2"/>
      <c r="C6" s="2"/>
      <c r="D6" s="2"/>
      <c r="E6" s="2"/>
      <c r="F6" s="2"/>
      <c r="G6" s="2"/>
    </row>
    <row r="7" spans="1:8" ht="15" x14ac:dyDescent="0.25"/>
    <row r="8" spans="1:8" ht="15" customHeight="1" x14ac:dyDescent="0.25">
      <c r="B8" s="62" t="s">
        <v>1</v>
      </c>
      <c r="C8" s="62" t="s">
        <v>45</v>
      </c>
      <c r="D8" s="62" t="s">
        <v>47</v>
      </c>
      <c r="E8" s="62" t="s">
        <v>36</v>
      </c>
      <c r="F8" s="62" t="s">
        <v>38</v>
      </c>
      <c r="G8" s="23"/>
    </row>
    <row r="9" spans="1:8" ht="23.25" customHeight="1" x14ac:dyDescent="0.25">
      <c r="A9" s="53">
        <v>500</v>
      </c>
      <c r="B9" s="63"/>
      <c r="C9" s="63"/>
      <c r="D9" s="63"/>
      <c r="E9" s="63"/>
      <c r="F9" s="63"/>
      <c r="G9" s="23"/>
    </row>
    <row r="10" spans="1:8" ht="15.75" thickBot="1" x14ac:dyDescent="0.3">
      <c r="A10" s="50">
        <v>28</v>
      </c>
      <c r="B10" s="5">
        <v>46054</v>
      </c>
      <c r="C10" s="38">
        <f>+'Anexo 4'!AC6</f>
        <v>742000</v>
      </c>
      <c r="D10" s="54"/>
      <c r="E10" s="49">
        <f>+$D$10*A10*10</f>
        <v>0</v>
      </c>
      <c r="F10" s="57"/>
      <c r="G10" s="27"/>
      <c r="H10" s="45"/>
    </row>
    <row r="11" spans="1:8" ht="15.75" thickBot="1" x14ac:dyDescent="0.3">
      <c r="A11" s="50">
        <v>31</v>
      </c>
      <c r="B11" s="5">
        <v>46082</v>
      </c>
      <c r="C11" s="38">
        <f>+'Anexo 4'!AC9</f>
        <v>821500</v>
      </c>
      <c r="D11" s="55"/>
      <c r="E11" s="49">
        <f t="shared" ref="E11:E20" si="0">+$D$10*A11*10</f>
        <v>0</v>
      </c>
      <c r="F11" s="58"/>
      <c r="G11" s="27"/>
      <c r="H11" s="45"/>
    </row>
    <row r="12" spans="1:8" ht="15.75" thickBot="1" x14ac:dyDescent="0.3">
      <c r="A12" s="50">
        <v>30</v>
      </c>
      <c r="B12" s="5">
        <v>46113</v>
      </c>
      <c r="C12" s="38">
        <f>+'Anexo 4'!AC12</f>
        <v>795000</v>
      </c>
      <c r="D12" s="55"/>
      <c r="E12" s="49">
        <f t="shared" si="0"/>
        <v>0</v>
      </c>
      <c r="F12" s="58"/>
      <c r="G12" s="27"/>
      <c r="H12" s="45"/>
    </row>
    <row r="13" spans="1:8" ht="15.75" thickBot="1" x14ac:dyDescent="0.3">
      <c r="A13" s="50">
        <v>31</v>
      </c>
      <c r="B13" s="5">
        <v>46143</v>
      </c>
      <c r="C13" s="38">
        <f>+'Anexo 4'!AC15</f>
        <v>821500</v>
      </c>
      <c r="D13" s="55"/>
      <c r="E13" s="49">
        <f t="shared" si="0"/>
        <v>0</v>
      </c>
      <c r="F13" s="58"/>
      <c r="G13" s="27"/>
      <c r="H13" s="45"/>
    </row>
    <row r="14" spans="1:8" ht="15.75" thickBot="1" x14ac:dyDescent="0.3">
      <c r="A14" s="50">
        <v>30</v>
      </c>
      <c r="B14" s="5">
        <v>46174</v>
      </c>
      <c r="C14" s="38">
        <f>+'Anexo 4'!AC18</f>
        <v>795000</v>
      </c>
      <c r="D14" s="55"/>
      <c r="E14" s="49">
        <f t="shared" si="0"/>
        <v>0</v>
      </c>
      <c r="F14" s="58"/>
      <c r="G14" s="27"/>
      <c r="H14" s="45"/>
    </row>
    <row r="15" spans="1:8" ht="15.75" thickBot="1" x14ac:dyDescent="0.3">
      <c r="A15" s="50">
        <v>31</v>
      </c>
      <c r="B15" s="5">
        <v>46204</v>
      </c>
      <c r="C15" s="38">
        <f>+'Anexo 4'!AC21</f>
        <v>821500</v>
      </c>
      <c r="D15" s="55"/>
      <c r="E15" s="49">
        <f t="shared" si="0"/>
        <v>0</v>
      </c>
      <c r="F15" s="58"/>
      <c r="G15" s="27"/>
      <c r="H15" s="45"/>
    </row>
    <row r="16" spans="1:8" ht="15.75" thickBot="1" x14ac:dyDescent="0.3">
      <c r="A16" s="50">
        <v>31</v>
      </c>
      <c r="B16" s="5">
        <v>46235</v>
      </c>
      <c r="C16" s="38">
        <f>+'Anexo 4'!AC24</f>
        <v>821500</v>
      </c>
      <c r="D16" s="55"/>
      <c r="E16" s="49">
        <f t="shared" si="0"/>
        <v>0</v>
      </c>
      <c r="F16" s="58"/>
      <c r="G16" s="27"/>
      <c r="H16" s="45"/>
    </row>
    <row r="17" spans="1:8" ht="15.75" thickBot="1" x14ac:dyDescent="0.3">
      <c r="A17" s="50">
        <v>30</v>
      </c>
      <c r="B17" s="5">
        <v>46266</v>
      </c>
      <c r="C17" s="38">
        <f>+'Anexo 4'!AC27</f>
        <v>795000</v>
      </c>
      <c r="D17" s="55"/>
      <c r="E17" s="49">
        <f t="shared" si="0"/>
        <v>0</v>
      </c>
      <c r="F17" s="58"/>
      <c r="G17" s="27"/>
      <c r="H17" s="45"/>
    </row>
    <row r="18" spans="1:8" ht="15.75" thickBot="1" x14ac:dyDescent="0.3">
      <c r="A18" s="50">
        <v>31</v>
      </c>
      <c r="B18" s="5">
        <v>46296</v>
      </c>
      <c r="C18" s="38">
        <f>+'Anexo 4'!AC30</f>
        <v>821500</v>
      </c>
      <c r="D18" s="55"/>
      <c r="E18" s="49">
        <f t="shared" si="0"/>
        <v>0</v>
      </c>
      <c r="F18" s="58"/>
      <c r="G18" s="27"/>
      <c r="H18" s="45"/>
    </row>
    <row r="19" spans="1:8" ht="15.75" thickBot="1" x14ac:dyDescent="0.3">
      <c r="A19" s="50">
        <v>30</v>
      </c>
      <c r="B19" s="5">
        <v>46327</v>
      </c>
      <c r="C19" s="38">
        <f>+'Anexo 4'!AC33</f>
        <v>795000</v>
      </c>
      <c r="D19" s="55"/>
      <c r="E19" s="49">
        <f t="shared" si="0"/>
        <v>0</v>
      </c>
      <c r="F19" s="58"/>
      <c r="G19" s="27"/>
      <c r="H19" s="45"/>
    </row>
    <row r="20" spans="1:8" ht="15.75" thickBot="1" x14ac:dyDescent="0.3">
      <c r="A20" s="50">
        <v>31</v>
      </c>
      <c r="B20" s="5">
        <v>46357</v>
      </c>
      <c r="C20" s="38">
        <f>+'Anexo 4'!AC36</f>
        <v>821500</v>
      </c>
      <c r="D20" s="56"/>
      <c r="E20" s="49">
        <f t="shared" si="0"/>
        <v>0</v>
      </c>
      <c r="F20" s="59"/>
      <c r="G20" s="27"/>
      <c r="H20" s="45"/>
    </row>
    <row r="21" spans="1:8" ht="28.5" customHeight="1" x14ac:dyDescent="0.25">
      <c r="B21" s="6" t="s">
        <v>0</v>
      </c>
      <c r="C21" s="7">
        <f>+SUM(C10:C20)</f>
        <v>8851000</v>
      </c>
      <c r="D21" s="8"/>
      <c r="E21" s="48">
        <f>SUM(E10:E20)</f>
        <v>0</v>
      </c>
      <c r="F21" s="47">
        <f>+F10</f>
        <v>0</v>
      </c>
      <c r="G21" s="44"/>
      <c r="H21" s="37"/>
    </row>
    <row r="22" spans="1:8" ht="19.5" customHeight="1" x14ac:dyDescent="0.25">
      <c r="B22" s="4" t="s">
        <v>46</v>
      </c>
      <c r="C22" s="21"/>
      <c r="D22" s="25"/>
      <c r="E22" s="21"/>
      <c r="F22" s="22"/>
      <c r="G22" s="22"/>
      <c r="H22" s="37"/>
    </row>
    <row r="23" spans="1:8" ht="15" x14ac:dyDescent="0.25">
      <c r="B23" s="4" t="s">
        <v>56</v>
      </c>
      <c r="C23" s="4"/>
      <c r="D23" s="4"/>
      <c r="E23" s="4"/>
      <c r="F23" s="4"/>
      <c r="G23" s="4"/>
      <c r="H23" s="37"/>
    </row>
    <row r="24" spans="1:8" ht="15" customHeight="1" x14ac:dyDescent="0.25">
      <c r="B24" s="4" t="s">
        <v>39</v>
      </c>
      <c r="H24" s="37"/>
    </row>
    <row r="25" spans="1:8" ht="15.75" x14ac:dyDescent="0.25">
      <c r="A25" s="1"/>
      <c r="B25" s="60" t="s">
        <v>54</v>
      </c>
      <c r="C25" s="60"/>
      <c r="D25" s="60"/>
      <c r="E25" s="60"/>
      <c r="F25" s="60"/>
      <c r="G25" s="60"/>
      <c r="H25" s="37"/>
    </row>
    <row r="26" spans="1:8" ht="15" customHeight="1" x14ac:dyDescent="0.25">
      <c r="A26" s="1"/>
      <c r="H26" s="37"/>
    </row>
    <row r="27" spans="1:8" ht="15" x14ac:dyDescent="0.25"/>
    <row r="28" spans="1:8" ht="15" x14ac:dyDescent="0.25">
      <c r="B28" s="51" t="s">
        <v>42</v>
      </c>
      <c r="C28" s="51"/>
      <c r="D28" s="51"/>
      <c r="E28" s="51"/>
    </row>
    <row r="29" spans="1:8" ht="15" x14ac:dyDescent="0.25">
      <c r="B29" s="52" t="s">
        <v>43</v>
      </c>
      <c r="C29" s="52"/>
      <c r="D29" s="52"/>
      <c r="E29" s="52"/>
    </row>
    <row r="30" spans="1:8" ht="15" x14ac:dyDescent="0.25">
      <c r="B30" s="52" t="s">
        <v>44</v>
      </c>
    </row>
    <row r="31" spans="1:8" ht="15" x14ac:dyDescent="0.25"/>
    <row r="32" spans="1:8" ht="15" x14ac:dyDescent="0.25"/>
    <row r="33" ht="15" customHeight="1" x14ac:dyDescent="0.25"/>
  </sheetData>
  <mergeCells count="11">
    <mergeCell ref="D10:D20"/>
    <mergeCell ref="F10:F20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500" prompt="debe ofertar maximo 2650 kWh" sqref="D10:D20" xr:uid="{F2DB6348-917B-4325-A6F1-88059B2E8691}">
      <formula1>0</formula1>
      <formula2>2650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15C9-2C56-4BCC-975C-E332178C8D85}">
  <sheetPr>
    <tabColor rgb="FFFFFF00"/>
  </sheetPr>
  <dimension ref="A1:AD43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C2"/>
    </sheetView>
  </sheetViews>
  <sheetFormatPr baseColWidth="10" defaultColWidth="0" defaultRowHeight="0" customHeight="1" zeroHeight="1" x14ac:dyDescent="0.25"/>
  <cols>
    <col min="1" max="1" width="6.42578125" customWidth="1"/>
    <col min="2" max="2" width="8.7109375" bestFit="1" customWidth="1"/>
    <col min="3" max="9" width="4.7109375" bestFit="1" customWidth="1"/>
    <col min="10" max="12" width="7.7109375" bestFit="1" customWidth="1"/>
    <col min="13" max="13" width="7.42578125" bestFit="1" customWidth="1"/>
    <col min="14" max="16" width="7.7109375" bestFit="1" customWidth="1"/>
    <col min="17" max="17" width="7.42578125" bestFit="1" customWidth="1"/>
    <col min="18" max="18" width="7.7109375" bestFit="1" customWidth="1"/>
    <col min="19" max="19" width="7.42578125" bestFit="1" customWidth="1"/>
    <col min="20" max="26" width="4.7109375" bestFit="1" customWidth="1"/>
    <col min="27" max="27" width="9.57031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66" t="s">
        <v>52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8"/>
    </row>
    <row r="2" spans="1:30" ht="15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1"/>
    </row>
    <row r="3" spans="1:30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30" ht="15" x14ac:dyDescent="0.25">
      <c r="A4" s="72" t="s">
        <v>35</v>
      </c>
      <c r="B4" s="72" t="s">
        <v>34</v>
      </c>
      <c r="C4" s="64" t="s">
        <v>33</v>
      </c>
      <c r="D4" s="64" t="s">
        <v>32</v>
      </c>
      <c r="E4" s="64" t="s">
        <v>31</v>
      </c>
      <c r="F4" s="64" t="s">
        <v>30</v>
      </c>
      <c r="G4" s="64" t="s">
        <v>29</v>
      </c>
      <c r="H4" s="64" t="s">
        <v>28</v>
      </c>
      <c r="I4" s="64" t="s">
        <v>27</v>
      </c>
      <c r="J4" s="64" t="s">
        <v>26</v>
      </c>
      <c r="K4" s="64" t="s">
        <v>25</v>
      </c>
      <c r="L4" s="64" t="s">
        <v>24</v>
      </c>
      <c r="M4" s="64" t="s">
        <v>23</v>
      </c>
      <c r="N4" s="64" t="s">
        <v>22</v>
      </c>
      <c r="O4" s="64" t="s">
        <v>21</v>
      </c>
      <c r="P4" s="64" t="s">
        <v>20</v>
      </c>
      <c r="Q4" s="64" t="s">
        <v>19</v>
      </c>
      <c r="R4" s="64" t="s">
        <v>18</v>
      </c>
      <c r="S4" s="64" t="s">
        <v>17</v>
      </c>
      <c r="T4" s="64" t="s">
        <v>16</v>
      </c>
      <c r="U4" s="64" t="s">
        <v>15</v>
      </c>
      <c r="V4" s="64" t="s">
        <v>14</v>
      </c>
      <c r="W4" s="64" t="s">
        <v>13</v>
      </c>
      <c r="X4" s="64" t="s">
        <v>12</v>
      </c>
      <c r="Y4" s="64" t="s">
        <v>11</v>
      </c>
      <c r="Z4" s="64" t="s">
        <v>10</v>
      </c>
      <c r="AA4" s="11" t="s">
        <v>9</v>
      </c>
      <c r="AB4" s="12" t="s">
        <v>8</v>
      </c>
      <c r="AC4" s="73" t="s">
        <v>7</v>
      </c>
    </row>
    <row r="5" spans="1:30" ht="15" x14ac:dyDescent="0.25">
      <c r="A5" s="72"/>
      <c r="B5" s="72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13"/>
      <c r="AB5" s="14" t="s">
        <v>6</v>
      </c>
      <c r="AC5" s="74"/>
    </row>
    <row r="6" spans="1:30" ht="15.75" thickBot="1" x14ac:dyDescent="0.3">
      <c r="A6" s="75">
        <v>46054</v>
      </c>
      <c r="B6" s="15" t="s">
        <v>5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2650</v>
      </c>
      <c r="K6" s="28">
        <v>2650</v>
      </c>
      <c r="L6" s="28">
        <v>2650</v>
      </c>
      <c r="M6" s="28">
        <v>2650</v>
      </c>
      <c r="N6" s="28">
        <v>2650</v>
      </c>
      <c r="O6" s="28">
        <v>2650</v>
      </c>
      <c r="P6" s="28">
        <v>2650</v>
      </c>
      <c r="Q6" s="28">
        <v>2650</v>
      </c>
      <c r="R6" s="28">
        <v>2650</v>
      </c>
      <c r="S6" s="28">
        <v>2650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9">
        <v>0</v>
      </c>
      <c r="AA6" s="30">
        <f t="shared" ref="AA6:AA38" si="0">SUM(C6:Z6)</f>
        <v>26500</v>
      </c>
      <c r="AB6" s="16">
        <v>20</v>
      </c>
      <c r="AC6" s="76">
        <f>+AA6*AB6+AA7*AB7+AA8*AB8</f>
        <v>742000</v>
      </c>
    </row>
    <row r="7" spans="1:30" ht="15.75" thickBot="1" x14ac:dyDescent="0.3">
      <c r="A7" s="75"/>
      <c r="B7" s="17" t="s">
        <v>4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2650</v>
      </c>
      <c r="K7" s="31">
        <v>2650</v>
      </c>
      <c r="L7" s="31">
        <v>2650</v>
      </c>
      <c r="M7" s="31">
        <v>2650</v>
      </c>
      <c r="N7" s="31">
        <v>2650</v>
      </c>
      <c r="O7" s="31">
        <v>2650</v>
      </c>
      <c r="P7" s="31">
        <v>2650</v>
      </c>
      <c r="Q7" s="31">
        <v>2650</v>
      </c>
      <c r="R7" s="31">
        <v>2650</v>
      </c>
      <c r="S7" s="31">
        <v>2650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2">
        <v>0</v>
      </c>
      <c r="AA7" s="33">
        <f t="shared" si="0"/>
        <v>26500</v>
      </c>
      <c r="AB7" s="18">
        <v>4</v>
      </c>
      <c r="AC7" s="77"/>
      <c r="AD7" s="41"/>
    </row>
    <row r="8" spans="1:30" ht="15" x14ac:dyDescent="0.25">
      <c r="A8" s="75"/>
      <c r="B8" s="19" t="s">
        <v>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2650</v>
      </c>
      <c r="K8" s="34">
        <v>2650</v>
      </c>
      <c r="L8" s="34">
        <v>2650</v>
      </c>
      <c r="M8" s="34">
        <v>2650</v>
      </c>
      <c r="N8" s="34">
        <v>2650</v>
      </c>
      <c r="O8" s="34">
        <v>2650</v>
      </c>
      <c r="P8" s="34">
        <v>2650</v>
      </c>
      <c r="Q8" s="34">
        <v>2650</v>
      </c>
      <c r="R8" s="34">
        <v>2650</v>
      </c>
      <c r="S8" s="34">
        <v>2650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5">
        <v>0</v>
      </c>
      <c r="AA8" s="36">
        <f t="shared" si="0"/>
        <v>26500</v>
      </c>
      <c r="AB8" s="20">
        <v>4</v>
      </c>
      <c r="AC8" s="78"/>
      <c r="AD8" s="42"/>
    </row>
    <row r="9" spans="1:30" ht="15.75" thickBot="1" x14ac:dyDescent="0.3">
      <c r="A9" s="75">
        <v>46082</v>
      </c>
      <c r="B9" s="15" t="s">
        <v>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2650</v>
      </c>
      <c r="K9" s="28">
        <v>2650</v>
      </c>
      <c r="L9" s="28">
        <v>2650</v>
      </c>
      <c r="M9" s="28">
        <v>2650</v>
      </c>
      <c r="N9" s="28">
        <v>2650</v>
      </c>
      <c r="O9" s="28">
        <v>2650</v>
      </c>
      <c r="P9" s="28">
        <v>2650</v>
      </c>
      <c r="Q9" s="28">
        <v>2650</v>
      </c>
      <c r="R9" s="28">
        <v>2650</v>
      </c>
      <c r="S9" s="28">
        <v>2650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9">
        <v>0</v>
      </c>
      <c r="AA9" s="30">
        <f t="shared" si="0"/>
        <v>26500</v>
      </c>
      <c r="AB9" s="16">
        <v>21</v>
      </c>
      <c r="AC9" s="76">
        <f>+AA9*AB9+AA10*AB10+AA11*AB11</f>
        <v>821500</v>
      </c>
    </row>
    <row r="10" spans="1:30" ht="15.75" thickBot="1" x14ac:dyDescent="0.3">
      <c r="A10" s="75"/>
      <c r="B10" s="17" t="s">
        <v>4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2650</v>
      </c>
      <c r="K10" s="31">
        <v>2650</v>
      </c>
      <c r="L10" s="31">
        <v>2650</v>
      </c>
      <c r="M10" s="31">
        <v>2650</v>
      </c>
      <c r="N10" s="31">
        <v>2650</v>
      </c>
      <c r="O10" s="31">
        <v>2650</v>
      </c>
      <c r="P10" s="31">
        <v>2650</v>
      </c>
      <c r="Q10" s="31">
        <v>2650</v>
      </c>
      <c r="R10" s="31">
        <v>2650</v>
      </c>
      <c r="S10" s="31">
        <v>2650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2">
        <v>0</v>
      </c>
      <c r="AA10" s="33">
        <f t="shared" si="0"/>
        <v>26500</v>
      </c>
      <c r="AB10" s="18">
        <v>4</v>
      </c>
      <c r="AC10" s="77"/>
      <c r="AD10" s="41"/>
    </row>
    <row r="11" spans="1:30" ht="15" x14ac:dyDescent="0.25">
      <c r="A11" s="75"/>
      <c r="B11" s="19" t="s">
        <v>3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2650</v>
      </c>
      <c r="K11" s="34">
        <v>2650</v>
      </c>
      <c r="L11" s="34">
        <v>2650</v>
      </c>
      <c r="M11" s="34">
        <v>2650</v>
      </c>
      <c r="N11" s="34">
        <v>2650</v>
      </c>
      <c r="O11" s="34">
        <v>2650</v>
      </c>
      <c r="P11" s="34">
        <v>2650</v>
      </c>
      <c r="Q11" s="34">
        <v>2650</v>
      </c>
      <c r="R11" s="34">
        <v>2650</v>
      </c>
      <c r="S11" s="34">
        <v>2650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5">
        <v>0</v>
      </c>
      <c r="AA11" s="36">
        <f t="shared" si="0"/>
        <v>26500</v>
      </c>
      <c r="AB11" s="20">
        <v>6</v>
      </c>
      <c r="AC11" s="78"/>
      <c r="AD11" s="39"/>
    </row>
    <row r="12" spans="1:30" ht="15.75" thickBot="1" x14ac:dyDescent="0.3">
      <c r="A12" s="75">
        <v>46113</v>
      </c>
      <c r="B12" s="15" t="s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2650</v>
      </c>
      <c r="K12" s="28">
        <v>2650</v>
      </c>
      <c r="L12" s="28">
        <v>2650</v>
      </c>
      <c r="M12" s="28">
        <v>2650</v>
      </c>
      <c r="N12" s="28">
        <v>2650</v>
      </c>
      <c r="O12" s="28">
        <v>2650</v>
      </c>
      <c r="P12" s="28">
        <v>2650</v>
      </c>
      <c r="Q12" s="28">
        <v>2650</v>
      </c>
      <c r="R12" s="28">
        <v>2650</v>
      </c>
      <c r="S12" s="28">
        <v>2650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9">
        <v>0</v>
      </c>
      <c r="AA12" s="30">
        <f t="shared" si="0"/>
        <v>26500</v>
      </c>
      <c r="AB12" s="16">
        <v>20</v>
      </c>
      <c r="AC12" s="76">
        <f>+AA12*AB12+AA13*AB13+AA14*AB14</f>
        <v>795000</v>
      </c>
    </row>
    <row r="13" spans="1:30" ht="15.75" thickBot="1" x14ac:dyDescent="0.3">
      <c r="A13" s="75"/>
      <c r="B13" s="17" t="s">
        <v>4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2650</v>
      </c>
      <c r="K13" s="31">
        <v>2650</v>
      </c>
      <c r="L13" s="31">
        <v>2650</v>
      </c>
      <c r="M13" s="31">
        <v>2650</v>
      </c>
      <c r="N13" s="31">
        <v>2650</v>
      </c>
      <c r="O13" s="31">
        <v>2650</v>
      </c>
      <c r="P13" s="31">
        <v>2650</v>
      </c>
      <c r="Q13" s="31">
        <v>2650</v>
      </c>
      <c r="R13" s="31">
        <v>2650</v>
      </c>
      <c r="S13" s="31">
        <v>2650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2">
        <v>0</v>
      </c>
      <c r="AA13" s="33">
        <f t="shared" si="0"/>
        <v>26500</v>
      </c>
      <c r="AB13" s="18">
        <v>4</v>
      </c>
      <c r="AC13" s="77"/>
      <c r="AD13" s="41"/>
    </row>
    <row r="14" spans="1:30" ht="15" x14ac:dyDescent="0.25">
      <c r="A14" s="75"/>
      <c r="B14" s="19" t="s">
        <v>3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2650</v>
      </c>
      <c r="K14" s="34">
        <v>2650</v>
      </c>
      <c r="L14" s="34">
        <v>2650</v>
      </c>
      <c r="M14" s="34">
        <v>2650</v>
      </c>
      <c r="N14" s="34">
        <v>2650</v>
      </c>
      <c r="O14" s="34">
        <v>2650</v>
      </c>
      <c r="P14" s="34">
        <v>2650</v>
      </c>
      <c r="Q14" s="34">
        <v>2650</v>
      </c>
      <c r="R14" s="34">
        <v>2650</v>
      </c>
      <c r="S14" s="34">
        <v>2650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5">
        <v>0</v>
      </c>
      <c r="AA14" s="36">
        <f t="shared" si="0"/>
        <v>26500</v>
      </c>
      <c r="AB14" s="20">
        <v>6</v>
      </c>
      <c r="AC14" s="78"/>
      <c r="AD14" s="42"/>
    </row>
    <row r="15" spans="1:30" ht="15.75" thickBot="1" x14ac:dyDescent="0.3">
      <c r="A15" s="75">
        <v>46143</v>
      </c>
      <c r="B15" s="15" t="s">
        <v>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2650</v>
      </c>
      <c r="K15" s="28">
        <v>2650</v>
      </c>
      <c r="L15" s="28">
        <v>2650</v>
      </c>
      <c r="M15" s="28">
        <v>2650</v>
      </c>
      <c r="N15" s="28">
        <v>2650</v>
      </c>
      <c r="O15" s="28">
        <v>2650</v>
      </c>
      <c r="P15" s="28">
        <v>2650</v>
      </c>
      <c r="Q15" s="28">
        <v>2650</v>
      </c>
      <c r="R15" s="28">
        <v>2650</v>
      </c>
      <c r="S15" s="28">
        <v>2650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9">
        <v>0</v>
      </c>
      <c r="AA15" s="30">
        <f t="shared" si="0"/>
        <v>26500</v>
      </c>
      <c r="AB15" s="16">
        <v>19</v>
      </c>
      <c r="AC15" s="76">
        <f>+AA15*AB15+AA16*AB16+AA17*AB17</f>
        <v>821500</v>
      </c>
    </row>
    <row r="16" spans="1:30" ht="15.75" thickBot="1" x14ac:dyDescent="0.3">
      <c r="A16" s="75"/>
      <c r="B16" s="17" t="s">
        <v>4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2650</v>
      </c>
      <c r="K16" s="31">
        <v>2650</v>
      </c>
      <c r="L16" s="31">
        <v>2650</v>
      </c>
      <c r="M16" s="31">
        <v>2650</v>
      </c>
      <c r="N16" s="31">
        <v>2650</v>
      </c>
      <c r="O16" s="31">
        <v>2650</v>
      </c>
      <c r="P16" s="31">
        <v>2650</v>
      </c>
      <c r="Q16" s="31">
        <v>2650</v>
      </c>
      <c r="R16" s="31">
        <v>2650</v>
      </c>
      <c r="S16" s="31">
        <v>2650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2">
        <v>0</v>
      </c>
      <c r="AA16" s="33">
        <f t="shared" si="0"/>
        <v>26500</v>
      </c>
      <c r="AB16" s="18">
        <v>5</v>
      </c>
      <c r="AC16" s="77"/>
      <c r="AD16" s="41"/>
    </row>
    <row r="17" spans="1:30" ht="15" x14ac:dyDescent="0.25">
      <c r="A17" s="75"/>
      <c r="B17" s="19" t="s">
        <v>3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2650</v>
      </c>
      <c r="K17" s="34">
        <v>2650</v>
      </c>
      <c r="L17" s="34">
        <v>2650</v>
      </c>
      <c r="M17" s="34">
        <v>2650</v>
      </c>
      <c r="N17" s="34">
        <v>2650</v>
      </c>
      <c r="O17" s="34">
        <v>2650</v>
      </c>
      <c r="P17" s="34">
        <v>2650</v>
      </c>
      <c r="Q17" s="34">
        <v>2650</v>
      </c>
      <c r="R17" s="34">
        <v>2650</v>
      </c>
      <c r="S17" s="34">
        <v>2650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5">
        <v>0</v>
      </c>
      <c r="AA17" s="36">
        <f t="shared" si="0"/>
        <v>26500</v>
      </c>
      <c r="AB17" s="20">
        <v>7</v>
      </c>
      <c r="AC17" s="78"/>
      <c r="AD17" s="42"/>
    </row>
    <row r="18" spans="1:30" ht="15.75" thickBot="1" x14ac:dyDescent="0.3">
      <c r="A18" s="75">
        <v>46174</v>
      </c>
      <c r="B18" s="15" t="s">
        <v>5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2650</v>
      </c>
      <c r="K18" s="28">
        <v>2650</v>
      </c>
      <c r="L18" s="28">
        <v>2650</v>
      </c>
      <c r="M18" s="28">
        <v>2650</v>
      </c>
      <c r="N18" s="28">
        <v>2650</v>
      </c>
      <c r="O18" s="28">
        <v>2650</v>
      </c>
      <c r="P18" s="28">
        <v>2650</v>
      </c>
      <c r="Q18" s="28">
        <v>2650</v>
      </c>
      <c r="R18" s="28">
        <v>2650</v>
      </c>
      <c r="S18" s="28">
        <v>2650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9">
        <v>0</v>
      </c>
      <c r="AA18" s="30">
        <f t="shared" si="0"/>
        <v>26500</v>
      </c>
      <c r="AB18" s="16">
        <v>19</v>
      </c>
      <c r="AC18" s="76">
        <f>+AA18*AB18+AA19*AB19+AA20*AB20</f>
        <v>795000</v>
      </c>
    </row>
    <row r="19" spans="1:30" ht="15.75" thickBot="1" x14ac:dyDescent="0.3">
      <c r="A19" s="75"/>
      <c r="B19" s="17" t="s">
        <v>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2650</v>
      </c>
      <c r="K19" s="31">
        <v>2650</v>
      </c>
      <c r="L19" s="31">
        <v>2650</v>
      </c>
      <c r="M19" s="31">
        <v>2650</v>
      </c>
      <c r="N19" s="31">
        <v>2650</v>
      </c>
      <c r="O19" s="31">
        <v>2650</v>
      </c>
      <c r="P19" s="31">
        <v>2650</v>
      </c>
      <c r="Q19" s="31">
        <v>2650</v>
      </c>
      <c r="R19" s="31">
        <v>2650</v>
      </c>
      <c r="S19" s="31">
        <v>2650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2">
        <v>0</v>
      </c>
      <c r="AA19" s="33">
        <f t="shared" si="0"/>
        <v>26500</v>
      </c>
      <c r="AB19" s="18">
        <v>4</v>
      </c>
      <c r="AC19" s="77"/>
      <c r="AD19" s="41"/>
    </row>
    <row r="20" spans="1:30" ht="15" x14ac:dyDescent="0.25">
      <c r="A20" s="75"/>
      <c r="B20" s="19" t="s">
        <v>3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2650</v>
      </c>
      <c r="K20" s="34">
        <v>2650</v>
      </c>
      <c r="L20" s="34">
        <v>2650</v>
      </c>
      <c r="M20" s="34">
        <v>2650</v>
      </c>
      <c r="N20" s="34">
        <v>2650</v>
      </c>
      <c r="O20" s="34">
        <v>2650</v>
      </c>
      <c r="P20" s="34">
        <v>2650</v>
      </c>
      <c r="Q20" s="34">
        <v>2650</v>
      </c>
      <c r="R20" s="34">
        <v>2650</v>
      </c>
      <c r="S20" s="34">
        <v>2650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5">
        <v>0</v>
      </c>
      <c r="AA20" s="36">
        <f t="shared" si="0"/>
        <v>26500</v>
      </c>
      <c r="AB20" s="20">
        <v>7</v>
      </c>
      <c r="AC20" s="78"/>
      <c r="AD20" s="42"/>
    </row>
    <row r="21" spans="1:30" ht="15.75" thickBot="1" x14ac:dyDescent="0.3">
      <c r="A21" s="75">
        <v>46204</v>
      </c>
      <c r="B21" s="15" t="s">
        <v>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2650</v>
      </c>
      <c r="K21" s="28">
        <v>2650</v>
      </c>
      <c r="L21" s="28">
        <v>2650</v>
      </c>
      <c r="M21" s="28">
        <v>2650</v>
      </c>
      <c r="N21" s="28">
        <v>2650</v>
      </c>
      <c r="O21" s="28">
        <v>2650</v>
      </c>
      <c r="P21" s="28">
        <v>2650</v>
      </c>
      <c r="Q21" s="28">
        <v>2650</v>
      </c>
      <c r="R21" s="28">
        <v>2650</v>
      </c>
      <c r="S21" s="28">
        <v>2650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9">
        <v>0</v>
      </c>
      <c r="AA21" s="30">
        <f t="shared" si="0"/>
        <v>26500</v>
      </c>
      <c r="AB21" s="16">
        <v>22</v>
      </c>
      <c r="AC21" s="76">
        <f>+AA21*AB21+AA22*AB22+AA23*AB23</f>
        <v>821500</v>
      </c>
    </row>
    <row r="22" spans="1:30" ht="15.75" thickBot="1" x14ac:dyDescent="0.3">
      <c r="A22" s="75"/>
      <c r="B22" s="17" t="s">
        <v>4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2650</v>
      </c>
      <c r="K22" s="31">
        <v>2650</v>
      </c>
      <c r="L22" s="31">
        <v>2650</v>
      </c>
      <c r="M22" s="31">
        <v>2650</v>
      </c>
      <c r="N22" s="31">
        <v>2650</v>
      </c>
      <c r="O22" s="31">
        <v>2650</v>
      </c>
      <c r="P22" s="31">
        <v>2650</v>
      </c>
      <c r="Q22" s="31">
        <v>2650</v>
      </c>
      <c r="R22" s="31">
        <v>2650</v>
      </c>
      <c r="S22" s="31">
        <v>2650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2">
        <v>0</v>
      </c>
      <c r="AA22" s="33">
        <f t="shared" si="0"/>
        <v>26500</v>
      </c>
      <c r="AB22" s="18">
        <v>4</v>
      </c>
      <c r="AC22" s="77"/>
      <c r="AD22" s="41"/>
    </row>
    <row r="23" spans="1:30" ht="15" x14ac:dyDescent="0.25">
      <c r="A23" s="75"/>
      <c r="B23" s="19" t="s">
        <v>3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2650</v>
      </c>
      <c r="K23" s="34">
        <v>2650</v>
      </c>
      <c r="L23" s="34">
        <v>2650</v>
      </c>
      <c r="M23" s="34">
        <v>2650</v>
      </c>
      <c r="N23" s="34">
        <v>2650</v>
      </c>
      <c r="O23" s="34">
        <v>2650</v>
      </c>
      <c r="P23" s="34">
        <v>2650</v>
      </c>
      <c r="Q23" s="34">
        <v>2650</v>
      </c>
      <c r="R23" s="34">
        <v>2650</v>
      </c>
      <c r="S23" s="34">
        <v>2650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5">
        <v>0</v>
      </c>
      <c r="AA23" s="36">
        <f t="shared" si="0"/>
        <v>26500</v>
      </c>
      <c r="AB23" s="20">
        <v>5</v>
      </c>
      <c r="AC23" s="78"/>
      <c r="AD23" s="42"/>
    </row>
    <row r="24" spans="1:30" ht="15.75" thickBot="1" x14ac:dyDescent="0.3">
      <c r="A24" s="75">
        <v>46235</v>
      </c>
      <c r="B24" s="15" t="s">
        <v>5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2650</v>
      </c>
      <c r="K24" s="28">
        <v>2650</v>
      </c>
      <c r="L24" s="28">
        <v>2650</v>
      </c>
      <c r="M24" s="28">
        <v>2650</v>
      </c>
      <c r="N24" s="28">
        <v>2650</v>
      </c>
      <c r="O24" s="28">
        <v>2650</v>
      </c>
      <c r="P24" s="28">
        <v>2650</v>
      </c>
      <c r="Q24" s="28">
        <v>2650</v>
      </c>
      <c r="R24" s="28">
        <v>2650</v>
      </c>
      <c r="S24" s="28">
        <v>2650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9">
        <v>0</v>
      </c>
      <c r="AA24" s="30">
        <f t="shared" si="0"/>
        <v>26500</v>
      </c>
      <c r="AB24" s="16">
        <v>19</v>
      </c>
      <c r="AC24" s="76">
        <f>+AA24*AB24+AA25*AB25+AA26*AB26</f>
        <v>821500</v>
      </c>
    </row>
    <row r="25" spans="1:30" ht="15.75" thickBot="1" x14ac:dyDescent="0.3">
      <c r="A25" s="75"/>
      <c r="B25" s="17" t="s">
        <v>4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2650</v>
      </c>
      <c r="K25" s="31">
        <v>2650</v>
      </c>
      <c r="L25" s="31">
        <v>2650</v>
      </c>
      <c r="M25" s="31">
        <v>2650</v>
      </c>
      <c r="N25" s="31">
        <v>2650</v>
      </c>
      <c r="O25" s="31">
        <v>2650</v>
      </c>
      <c r="P25" s="31">
        <v>2650</v>
      </c>
      <c r="Q25" s="31">
        <v>2650</v>
      </c>
      <c r="R25" s="31">
        <v>2650</v>
      </c>
      <c r="S25" s="31">
        <v>2650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2">
        <v>0</v>
      </c>
      <c r="AA25" s="33">
        <f t="shared" si="0"/>
        <v>26500</v>
      </c>
      <c r="AB25" s="18">
        <v>5</v>
      </c>
      <c r="AC25" s="77"/>
      <c r="AD25" s="41"/>
    </row>
    <row r="26" spans="1:30" ht="15" x14ac:dyDescent="0.25">
      <c r="A26" s="75"/>
      <c r="B26" s="19" t="s">
        <v>3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2650</v>
      </c>
      <c r="K26" s="34">
        <v>2650</v>
      </c>
      <c r="L26" s="34">
        <v>2650</v>
      </c>
      <c r="M26" s="34">
        <v>2650</v>
      </c>
      <c r="N26" s="34">
        <v>2650</v>
      </c>
      <c r="O26" s="34">
        <v>2650</v>
      </c>
      <c r="P26" s="34">
        <v>2650</v>
      </c>
      <c r="Q26" s="34">
        <v>2650</v>
      </c>
      <c r="R26" s="34">
        <v>2650</v>
      </c>
      <c r="S26" s="34">
        <v>2650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5">
        <v>0</v>
      </c>
      <c r="AA26" s="36">
        <f t="shared" si="0"/>
        <v>26500</v>
      </c>
      <c r="AB26" s="20">
        <v>7</v>
      </c>
      <c r="AC26" s="78"/>
      <c r="AD26" s="43"/>
    </row>
    <row r="27" spans="1:30" ht="15.75" thickBot="1" x14ac:dyDescent="0.3">
      <c r="A27" s="75">
        <v>46266</v>
      </c>
      <c r="B27" s="15" t="s">
        <v>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2650</v>
      </c>
      <c r="K27" s="28">
        <v>2650</v>
      </c>
      <c r="L27" s="28">
        <v>2650</v>
      </c>
      <c r="M27" s="28">
        <v>2650</v>
      </c>
      <c r="N27" s="28">
        <v>2650</v>
      </c>
      <c r="O27" s="28">
        <v>2650</v>
      </c>
      <c r="P27" s="28">
        <v>2650</v>
      </c>
      <c r="Q27" s="28">
        <v>2650</v>
      </c>
      <c r="R27" s="28">
        <v>2650</v>
      </c>
      <c r="S27" s="28">
        <v>2650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9">
        <v>0</v>
      </c>
      <c r="AA27" s="30">
        <f t="shared" si="0"/>
        <v>26500</v>
      </c>
      <c r="AB27" s="16">
        <v>22</v>
      </c>
      <c r="AC27" s="76">
        <f>+AA27*AB27+AA28*AB28+AA29*AB29</f>
        <v>795000</v>
      </c>
    </row>
    <row r="28" spans="1:30" ht="15.75" thickBot="1" x14ac:dyDescent="0.3">
      <c r="A28" s="75"/>
      <c r="B28" s="17" t="s">
        <v>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2650</v>
      </c>
      <c r="K28" s="31">
        <v>2650</v>
      </c>
      <c r="L28" s="31">
        <v>2650</v>
      </c>
      <c r="M28" s="31">
        <v>2650</v>
      </c>
      <c r="N28" s="31">
        <v>2650</v>
      </c>
      <c r="O28" s="31">
        <v>2650</v>
      </c>
      <c r="P28" s="31">
        <v>2650</v>
      </c>
      <c r="Q28" s="31">
        <v>2650</v>
      </c>
      <c r="R28" s="31">
        <v>2650</v>
      </c>
      <c r="S28" s="31">
        <v>2650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2">
        <v>0</v>
      </c>
      <c r="AA28" s="33">
        <f t="shared" si="0"/>
        <v>26500</v>
      </c>
      <c r="AB28" s="18">
        <v>4</v>
      </c>
      <c r="AC28" s="77"/>
      <c r="AD28" s="41"/>
    </row>
    <row r="29" spans="1:30" ht="15" x14ac:dyDescent="0.25">
      <c r="A29" s="75"/>
      <c r="B29" s="19" t="s">
        <v>3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2650</v>
      </c>
      <c r="K29" s="34">
        <v>2650</v>
      </c>
      <c r="L29" s="34">
        <v>2650</v>
      </c>
      <c r="M29" s="34">
        <v>2650</v>
      </c>
      <c r="N29" s="34">
        <v>2650</v>
      </c>
      <c r="O29" s="34">
        <v>2650</v>
      </c>
      <c r="P29" s="34">
        <v>2650</v>
      </c>
      <c r="Q29" s="34">
        <v>2650</v>
      </c>
      <c r="R29" s="34">
        <v>2650</v>
      </c>
      <c r="S29" s="34">
        <v>2650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5">
        <v>0</v>
      </c>
      <c r="AA29" s="36">
        <f t="shared" si="0"/>
        <v>26500</v>
      </c>
      <c r="AB29" s="20">
        <v>4</v>
      </c>
      <c r="AC29" s="78"/>
      <c r="AD29" s="42"/>
    </row>
    <row r="30" spans="1:30" ht="15.75" thickBot="1" x14ac:dyDescent="0.3">
      <c r="A30" s="75">
        <v>46296</v>
      </c>
      <c r="B30" s="15" t="s">
        <v>5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2650</v>
      </c>
      <c r="K30" s="28">
        <v>2650</v>
      </c>
      <c r="L30" s="28">
        <v>2650</v>
      </c>
      <c r="M30" s="28">
        <v>2650</v>
      </c>
      <c r="N30" s="28">
        <v>2650</v>
      </c>
      <c r="O30" s="28">
        <v>2650</v>
      </c>
      <c r="P30" s="28">
        <v>2650</v>
      </c>
      <c r="Q30" s="28">
        <v>2650</v>
      </c>
      <c r="R30" s="28">
        <v>2650</v>
      </c>
      <c r="S30" s="28">
        <v>2650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9">
        <v>0</v>
      </c>
      <c r="AA30" s="30">
        <f t="shared" si="0"/>
        <v>26500</v>
      </c>
      <c r="AB30" s="16">
        <v>21</v>
      </c>
      <c r="AC30" s="76">
        <f>+AA30*AB30+AA31*AB31+AA32*AB32</f>
        <v>821500</v>
      </c>
    </row>
    <row r="31" spans="1:30" ht="15.75" thickBot="1" x14ac:dyDescent="0.3">
      <c r="A31" s="75"/>
      <c r="B31" s="17" t="s">
        <v>4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2650</v>
      </c>
      <c r="K31" s="31">
        <v>2650</v>
      </c>
      <c r="L31" s="31">
        <v>2650</v>
      </c>
      <c r="M31" s="31">
        <v>2650</v>
      </c>
      <c r="N31" s="31">
        <v>2650</v>
      </c>
      <c r="O31" s="31">
        <v>2650</v>
      </c>
      <c r="P31" s="31">
        <v>2650</v>
      </c>
      <c r="Q31" s="31">
        <v>2650</v>
      </c>
      <c r="R31" s="31">
        <v>2650</v>
      </c>
      <c r="S31" s="31">
        <v>2650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2">
        <v>0</v>
      </c>
      <c r="AA31" s="33">
        <f t="shared" si="0"/>
        <v>26500</v>
      </c>
      <c r="AB31" s="18">
        <v>5</v>
      </c>
      <c r="AC31" s="77"/>
      <c r="AD31" s="41"/>
    </row>
    <row r="32" spans="1:30" ht="15" x14ac:dyDescent="0.25">
      <c r="A32" s="75"/>
      <c r="B32" s="19" t="s">
        <v>3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2650</v>
      </c>
      <c r="K32" s="34">
        <v>2650</v>
      </c>
      <c r="L32" s="34">
        <v>2650</v>
      </c>
      <c r="M32" s="34">
        <v>2650</v>
      </c>
      <c r="N32" s="34">
        <v>2650</v>
      </c>
      <c r="O32" s="34">
        <v>2650</v>
      </c>
      <c r="P32" s="34">
        <v>2650</v>
      </c>
      <c r="Q32" s="34">
        <v>2650</v>
      </c>
      <c r="R32" s="34">
        <v>2650</v>
      </c>
      <c r="S32" s="34">
        <v>2650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5">
        <v>0</v>
      </c>
      <c r="AA32" s="36">
        <f t="shared" si="0"/>
        <v>26500</v>
      </c>
      <c r="AB32" s="20">
        <v>5</v>
      </c>
      <c r="AC32" s="78"/>
      <c r="AD32" s="42"/>
    </row>
    <row r="33" spans="1:30" ht="15.75" thickBot="1" x14ac:dyDescent="0.3">
      <c r="A33" s="75">
        <v>46327</v>
      </c>
      <c r="B33" s="15" t="s">
        <v>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2650</v>
      </c>
      <c r="K33" s="28">
        <v>2650</v>
      </c>
      <c r="L33" s="28">
        <v>2650</v>
      </c>
      <c r="M33" s="28">
        <v>2650</v>
      </c>
      <c r="N33" s="28">
        <v>2650</v>
      </c>
      <c r="O33" s="28">
        <v>2650</v>
      </c>
      <c r="P33" s="28">
        <v>2650</v>
      </c>
      <c r="Q33" s="28">
        <v>2650</v>
      </c>
      <c r="R33" s="28">
        <v>2650</v>
      </c>
      <c r="S33" s="28">
        <v>2650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9">
        <v>0</v>
      </c>
      <c r="AA33" s="30">
        <f t="shared" si="0"/>
        <v>26500</v>
      </c>
      <c r="AB33" s="16">
        <v>19</v>
      </c>
      <c r="AC33" s="76">
        <f>+AA33*AB33+AA34*AB34+AA35*AB35</f>
        <v>795000</v>
      </c>
    </row>
    <row r="34" spans="1:30" ht="15.75" thickBot="1" x14ac:dyDescent="0.3">
      <c r="A34" s="75"/>
      <c r="B34" s="17" t="s">
        <v>4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2650</v>
      </c>
      <c r="K34" s="31">
        <v>2650</v>
      </c>
      <c r="L34" s="31">
        <v>2650</v>
      </c>
      <c r="M34" s="31">
        <v>2650</v>
      </c>
      <c r="N34" s="31">
        <v>2650</v>
      </c>
      <c r="O34" s="31">
        <v>2650</v>
      </c>
      <c r="P34" s="31">
        <v>2650</v>
      </c>
      <c r="Q34" s="31">
        <v>2650</v>
      </c>
      <c r="R34" s="31">
        <v>2650</v>
      </c>
      <c r="S34" s="31">
        <v>2650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2">
        <v>0</v>
      </c>
      <c r="AA34" s="33">
        <f t="shared" si="0"/>
        <v>26500</v>
      </c>
      <c r="AB34" s="18">
        <v>4</v>
      </c>
      <c r="AC34" s="77"/>
      <c r="AD34" s="41"/>
    </row>
    <row r="35" spans="1:30" ht="15" x14ac:dyDescent="0.25">
      <c r="A35" s="75"/>
      <c r="B35" s="19" t="s">
        <v>3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2650</v>
      </c>
      <c r="K35" s="34">
        <v>2650</v>
      </c>
      <c r="L35" s="34">
        <v>2650</v>
      </c>
      <c r="M35" s="34">
        <v>2650</v>
      </c>
      <c r="N35" s="34">
        <v>2650</v>
      </c>
      <c r="O35" s="34">
        <v>2650</v>
      </c>
      <c r="P35" s="34">
        <v>2650</v>
      </c>
      <c r="Q35" s="34">
        <v>2650</v>
      </c>
      <c r="R35" s="34">
        <v>2650</v>
      </c>
      <c r="S35" s="34">
        <v>2650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5">
        <v>0</v>
      </c>
      <c r="AA35" s="36">
        <f t="shared" si="0"/>
        <v>26500</v>
      </c>
      <c r="AB35" s="20">
        <v>7</v>
      </c>
      <c r="AC35" s="78"/>
      <c r="AD35" s="43"/>
    </row>
    <row r="36" spans="1:30" ht="15.75" thickBot="1" x14ac:dyDescent="0.3">
      <c r="A36" s="75">
        <v>46357</v>
      </c>
      <c r="B36" s="15" t="s">
        <v>5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2650</v>
      </c>
      <c r="K36" s="28">
        <v>2650</v>
      </c>
      <c r="L36" s="28">
        <v>2650</v>
      </c>
      <c r="M36" s="28">
        <v>2650</v>
      </c>
      <c r="N36" s="28">
        <v>2650</v>
      </c>
      <c r="O36" s="28">
        <v>2650</v>
      </c>
      <c r="P36" s="28">
        <v>2650</v>
      </c>
      <c r="Q36" s="28">
        <v>2650</v>
      </c>
      <c r="R36" s="28">
        <v>2650</v>
      </c>
      <c r="S36" s="28">
        <v>2650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9">
        <v>0</v>
      </c>
      <c r="AA36" s="30">
        <f t="shared" si="0"/>
        <v>26500</v>
      </c>
      <c r="AB36" s="16">
        <v>21</v>
      </c>
      <c r="AC36" s="76">
        <f>+AA36*AB36+AA37*AB37+AA38*AB38</f>
        <v>821500</v>
      </c>
    </row>
    <row r="37" spans="1:30" ht="15.75" thickBot="1" x14ac:dyDescent="0.3">
      <c r="A37" s="75"/>
      <c r="B37" s="17" t="s">
        <v>4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2650</v>
      </c>
      <c r="K37" s="31">
        <v>2650</v>
      </c>
      <c r="L37" s="31">
        <v>2650</v>
      </c>
      <c r="M37" s="31">
        <v>2650</v>
      </c>
      <c r="N37" s="31">
        <v>2650</v>
      </c>
      <c r="O37" s="31">
        <v>2650</v>
      </c>
      <c r="P37" s="31">
        <v>2650</v>
      </c>
      <c r="Q37" s="31">
        <v>2650</v>
      </c>
      <c r="R37" s="31">
        <v>2650</v>
      </c>
      <c r="S37" s="31">
        <v>2650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2">
        <v>0</v>
      </c>
      <c r="AA37" s="33">
        <f t="shared" si="0"/>
        <v>26500</v>
      </c>
      <c r="AB37" s="18">
        <v>4</v>
      </c>
      <c r="AC37" s="77"/>
      <c r="AD37" s="41"/>
    </row>
    <row r="38" spans="1:30" ht="15" x14ac:dyDescent="0.25">
      <c r="A38" s="75"/>
      <c r="B38" s="19" t="s">
        <v>3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2650</v>
      </c>
      <c r="K38" s="34">
        <v>2650</v>
      </c>
      <c r="L38" s="34">
        <v>2650</v>
      </c>
      <c r="M38" s="34">
        <v>2650</v>
      </c>
      <c r="N38" s="34">
        <v>2650</v>
      </c>
      <c r="O38" s="34">
        <v>2650</v>
      </c>
      <c r="P38" s="34">
        <v>2650</v>
      </c>
      <c r="Q38" s="34">
        <v>2650</v>
      </c>
      <c r="R38" s="34">
        <v>2650</v>
      </c>
      <c r="S38" s="34">
        <v>2650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5">
        <v>0</v>
      </c>
      <c r="AA38" s="36">
        <f t="shared" si="0"/>
        <v>26500</v>
      </c>
      <c r="AB38" s="20">
        <v>6</v>
      </c>
      <c r="AC38" s="78"/>
      <c r="AD38" s="37"/>
    </row>
    <row r="39" spans="1:30" ht="15" x14ac:dyDescent="0.25">
      <c r="A39" s="79" t="s">
        <v>2</v>
      </c>
      <c r="B39" s="80"/>
      <c r="C39" s="26">
        <f t="shared" ref="C39:AC39" si="1">+SUM(C6:C38)</f>
        <v>0</v>
      </c>
      <c r="D39" s="26">
        <f t="shared" si="1"/>
        <v>0</v>
      </c>
      <c r="E39" s="26">
        <f t="shared" si="1"/>
        <v>0</v>
      </c>
      <c r="F39" s="26">
        <f t="shared" si="1"/>
        <v>0</v>
      </c>
      <c r="G39" s="26">
        <f t="shared" si="1"/>
        <v>0</v>
      </c>
      <c r="H39" s="26">
        <f t="shared" si="1"/>
        <v>0</v>
      </c>
      <c r="I39" s="26">
        <f t="shared" si="1"/>
        <v>0</v>
      </c>
      <c r="J39" s="26">
        <f t="shared" si="1"/>
        <v>87450</v>
      </c>
      <c r="K39" s="26">
        <f t="shared" si="1"/>
        <v>87450</v>
      </c>
      <c r="L39" s="26">
        <f t="shared" si="1"/>
        <v>87450</v>
      </c>
      <c r="M39" s="26">
        <f t="shared" si="1"/>
        <v>87450</v>
      </c>
      <c r="N39" s="26">
        <f t="shared" si="1"/>
        <v>87450</v>
      </c>
      <c r="O39" s="26">
        <f t="shared" si="1"/>
        <v>87450</v>
      </c>
      <c r="P39" s="26">
        <f t="shared" si="1"/>
        <v>87450</v>
      </c>
      <c r="Q39" s="26">
        <f t="shared" si="1"/>
        <v>87450</v>
      </c>
      <c r="R39" s="26">
        <f t="shared" si="1"/>
        <v>87450</v>
      </c>
      <c r="S39" s="26">
        <f t="shared" si="1"/>
        <v>87450</v>
      </c>
      <c r="T39" s="26">
        <f t="shared" si="1"/>
        <v>0</v>
      </c>
      <c r="U39" s="26">
        <f t="shared" si="1"/>
        <v>0</v>
      </c>
      <c r="V39" s="26">
        <f t="shared" si="1"/>
        <v>0</v>
      </c>
      <c r="W39" s="26">
        <f t="shared" si="1"/>
        <v>0</v>
      </c>
      <c r="X39" s="26">
        <f t="shared" si="1"/>
        <v>0</v>
      </c>
      <c r="Y39" s="26">
        <f t="shared" si="1"/>
        <v>0</v>
      </c>
      <c r="Z39" s="26">
        <f t="shared" si="1"/>
        <v>0</v>
      </c>
      <c r="AA39" s="26">
        <f t="shared" si="1"/>
        <v>874500</v>
      </c>
      <c r="AB39" s="26">
        <f t="shared" si="1"/>
        <v>334</v>
      </c>
      <c r="AC39" s="40">
        <f t="shared" si="1"/>
        <v>8851000</v>
      </c>
    </row>
    <row r="40" spans="1:30" ht="15" x14ac:dyDescent="0.25">
      <c r="AB40" s="3"/>
      <c r="AC40" s="3"/>
    </row>
    <row r="41" spans="1:30" ht="15" x14ac:dyDescent="0.25">
      <c r="C41" s="43"/>
    </row>
    <row r="42" spans="1:30" ht="15" x14ac:dyDescent="0.25"/>
    <row r="43" spans="1:30" ht="15" x14ac:dyDescent="0.25"/>
  </sheetData>
  <mergeCells count="51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33:A35"/>
    <mergeCell ref="AC33:AC35"/>
    <mergeCell ref="A36:A38"/>
    <mergeCell ref="AC36:AC38"/>
    <mergeCell ref="A39:B39"/>
  </mergeCells>
  <pageMargins left="0.7" right="0.7" top="0.75" bottom="0.75" header="0.3" footer="0.3"/>
  <pageSetup scale="32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B698-85A3-4A43-B329-7EFD41146415}">
  <sheetPr>
    <tabColor rgb="FFFFFF00"/>
  </sheetPr>
  <dimension ref="A1:AD43"/>
  <sheetViews>
    <sheetView showGridLines="0" zoomScale="115" zoomScaleNormal="115" zoomScaleSheetLayoutView="110"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13" bestFit="1" customWidth="1"/>
    <col min="4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66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8"/>
    </row>
    <row r="2" spans="1:30" ht="15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1"/>
    </row>
    <row r="3" spans="1:30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30" ht="18" x14ac:dyDescent="0.25">
      <c r="A4" s="72" t="s">
        <v>35</v>
      </c>
      <c r="B4" s="72" t="s">
        <v>34</v>
      </c>
      <c r="C4" s="64" t="s">
        <v>33</v>
      </c>
      <c r="D4" s="64" t="s">
        <v>32</v>
      </c>
      <c r="E4" s="64" t="s">
        <v>31</v>
      </c>
      <c r="F4" s="64" t="s">
        <v>30</v>
      </c>
      <c r="G4" s="64" t="s">
        <v>29</v>
      </c>
      <c r="H4" s="64" t="s">
        <v>28</v>
      </c>
      <c r="I4" s="64" t="s">
        <v>27</v>
      </c>
      <c r="J4" s="64" t="s">
        <v>26</v>
      </c>
      <c r="K4" s="64" t="s">
        <v>25</v>
      </c>
      <c r="L4" s="64" t="s">
        <v>24</v>
      </c>
      <c r="M4" s="64" t="s">
        <v>23</v>
      </c>
      <c r="N4" s="64" t="s">
        <v>22</v>
      </c>
      <c r="O4" s="64" t="s">
        <v>21</v>
      </c>
      <c r="P4" s="64" t="s">
        <v>20</v>
      </c>
      <c r="Q4" s="64" t="s">
        <v>19</v>
      </c>
      <c r="R4" s="64" t="s">
        <v>18</v>
      </c>
      <c r="S4" s="64" t="s">
        <v>17</v>
      </c>
      <c r="T4" s="64" t="s">
        <v>16</v>
      </c>
      <c r="U4" s="64" t="s">
        <v>15</v>
      </c>
      <c r="V4" s="64" t="s">
        <v>14</v>
      </c>
      <c r="W4" s="64" t="s">
        <v>13</v>
      </c>
      <c r="X4" s="64" t="s">
        <v>12</v>
      </c>
      <c r="Y4" s="64" t="s">
        <v>11</v>
      </c>
      <c r="Z4" s="64" t="s">
        <v>10</v>
      </c>
      <c r="AA4" s="11" t="s">
        <v>9</v>
      </c>
      <c r="AB4" s="12" t="s">
        <v>8</v>
      </c>
      <c r="AC4" s="73" t="s">
        <v>7</v>
      </c>
    </row>
    <row r="5" spans="1:30" ht="15" x14ac:dyDescent="0.25">
      <c r="A5" s="72"/>
      <c r="B5" s="72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13"/>
      <c r="AB5" s="14" t="s">
        <v>6</v>
      </c>
      <c r="AC5" s="74"/>
    </row>
    <row r="6" spans="1:30" ht="15.75" thickBot="1" x14ac:dyDescent="0.3">
      <c r="A6" s="75">
        <v>46054</v>
      </c>
      <c r="B6" s="15" t="s">
        <v>5</v>
      </c>
      <c r="C6" s="28"/>
      <c r="D6" s="28"/>
      <c r="E6" s="28"/>
      <c r="F6" s="28"/>
      <c r="G6" s="28"/>
      <c r="H6" s="28"/>
      <c r="I6" s="28">
        <f>+Anexo2!$D$10</f>
        <v>0</v>
      </c>
      <c r="J6" s="28">
        <f>+Anexo2!$D$10</f>
        <v>0</v>
      </c>
      <c r="K6" s="28">
        <f>+Anexo2!$D$10</f>
        <v>0</v>
      </c>
      <c r="L6" s="28">
        <f>+Anexo2!$D$10</f>
        <v>0</v>
      </c>
      <c r="M6" s="28">
        <f>+Anexo2!$D$10</f>
        <v>0</v>
      </c>
      <c r="N6" s="28">
        <f>+Anexo2!$D$10</f>
        <v>0</v>
      </c>
      <c r="O6" s="28">
        <f>+Anexo2!$D$10</f>
        <v>0</v>
      </c>
      <c r="P6" s="28">
        <f>+Anexo2!$D$10</f>
        <v>0</v>
      </c>
      <c r="Q6" s="28">
        <f>+Anexo2!$D$10</f>
        <v>0</v>
      </c>
      <c r="R6" s="28">
        <f>+Anexo2!$D$10</f>
        <v>0</v>
      </c>
      <c r="S6" s="28"/>
      <c r="T6" s="28"/>
      <c r="U6" s="28"/>
      <c r="V6" s="28"/>
      <c r="W6" s="28"/>
      <c r="X6" s="28"/>
      <c r="Y6" s="28"/>
      <c r="Z6" s="29"/>
      <c r="AA6" s="30">
        <f t="shared" ref="AA6:AA38" si="0">SUM(C6:Z6)</f>
        <v>0</v>
      </c>
      <c r="AB6" s="16">
        <v>20</v>
      </c>
      <c r="AC6" s="76">
        <f>+AA6*AB6+AA7*AB7+AA8*AB8</f>
        <v>0</v>
      </c>
      <c r="AD6" s="43"/>
    </row>
    <row r="7" spans="1:30" ht="15.75" thickBot="1" x14ac:dyDescent="0.3">
      <c r="A7" s="75"/>
      <c r="B7" s="17" t="s">
        <v>4</v>
      </c>
      <c r="C7" s="31"/>
      <c r="D7" s="31"/>
      <c r="E7" s="31"/>
      <c r="F7" s="31"/>
      <c r="G7" s="31"/>
      <c r="H7" s="31"/>
      <c r="I7" s="31">
        <f>+Anexo2!$D$10</f>
        <v>0</v>
      </c>
      <c r="J7" s="31">
        <f>+Anexo2!$D$10</f>
        <v>0</v>
      </c>
      <c r="K7" s="31">
        <f>+Anexo2!$D$10</f>
        <v>0</v>
      </c>
      <c r="L7" s="31">
        <f>+Anexo2!$D$10</f>
        <v>0</v>
      </c>
      <c r="M7" s="31">
        <f>+Anexo2!$D$10</f>
        <v>0</v>
      </c>
      <c r="N7" s="31">
        <f>+Anexo2!$D$10</f>
        <v>0</v>
      </c>
      <c r="O7" s="31">
        <f>+Anexo2!$D$10</f>
        <v>0</v>
      </c>
      <c r="P7" s="31">
        <f>+Anexo2!$D$10</f>
        <v>0</v>
      </c>
      <c r="Q7" s="31">
        <f>+Anexo2!$D$10</f>
        <v>0</v>
      </c>
      <c r="R7" s="31">
        <f>+Anexo2!$D$10</f>
        <v>0</v>
      </c>
      <c r="S7" s="31"/>
      <c r="T7" s="31"/>
      <c r="U7" s="31"/>
      <c r="V7" s="31"/>
      <c r="W7" s="31"/>
      <c r="X7" s="31"/>
      <c r="Y7" s="31"/>
      <c r="Z7" s="32"/>
      <c r="AA7" s="33">
        <f t="shared" si="0"/>
        <v>0</v>
      </c>
      <c r="AB7" s="18">
        <v>4</v>
      </c>
      <c r="AC7" s="77"/>
      <c r="AD7" s="43"/>
    </row>
    <row r="8" spans="1:30" ht="15" x14ac:dyDescent="0.25">
      <c r="A8" s="75"/>
      <c r="B8" s="19" t="s">
        <v>3</v>
      </c>
      <c r="C8" s="34"/>
      <c r="D8" s="34"/>
      <c r="E8" s="34"/>
      <c r="F8" s="34"/>
      <c r="G8" s="34"/>
      <c r="H8" s="34"/>
      <c r="I8" s="34">
        <f>+Anexo2!$D$10</f>
        <v>0</v>
      </c>
      <c r="J8" s="34">
        <f>+Anexo2!$D$10</f>
        <v>0</v>
      </c>
      <c r="K8" s="34">
        <f>+Anexo2!$D$10</f>
        <v>0</v>
      </c>
      <c r="L8" s="34">
        <f>+Anexo2!$D$10</f>
        <v>0</v>
      </c>
      <c r="M8" s="34">
        <f>+Anexo2!$D$10</f>
        <v>0</v>
      </c>
      <c r="N8" s="34">
        <f>+Anexo2!$D$10</f>
        <v>0</v>
      </c>
      <c r="O8" s="34">
        <f>+Anexo2!$D$10</f>
        <v>0</v>
      </c>
      <c r="P8" s="34">
        <f>+Anexo2!$D$10</f>
        <v>0</v>
      </c>
      <c r="Q8" s="34">
        <f>+Anexo2!$D$10</f>
        <v>0</v>
      </c>
      <c r="R8" s="34">
        <f>+Anexo2!$D$10</f>
        <v>0</v>
      </c>
      <c r="S8" s="34"/>
      <c r="T8" s="34"/>
      <c r="U8" s="34"/>
      <c r="V8" s="34"/>
      <c r="W8" s="34"/>
      <c r="X8" s="34"/>
      <c r="Y8" s="34"/>
      <c r="Z8" s="35"/>
      <c r="AA8" s="36">
        <f t="shared" si="0"/>
        <v>0</v>
      </c>
      <c r="AB8" s="20">
        <v>4</v>
      </c>
      <c r="AC8" s="78"/>
      <c r="AD8" s="43"/>
    </row>
    <row r="9" spans="1:30" ht="15.75" thickBot="1" x14ac:dyDescent="0.3">
      <c r="A9" s="75">
        <v>46082</v>
      </c>
      <c r="B9" s="15" t="s">
        <v>5</v>
      </c>
      <c r="C9" s="28"/>
      <c r="D9" s="28"/>
      <c r="E9" s="28"/>
      <c r="F9" s="28"/>
      <c r="G9" s="28"/>
      <c r="H9" s="28"/>
      <c r="I9" s="28">
        <f>+Anexo2!$D$10</f>
        <v>0</v>
      </c>
      <c r="J9" s="28">
        <f>+Anexo2!$D$10</f>
        <v>0</v>
      </c>
      <c r="K9" s="28">
        <f>+Anexo2!$D$10</f>
        <v>0</v>
      </c>
      <c r="L9" s="28">
        <f>+Anexo2!$D$10</f>
        <v>0</v>
      </c>
      <c r="M9" s="28">
        <f>+Anexo2!$D$10</f>
        <v>0</v>
      </c>
      <c r="N9" s="28">
        <f>+Anexo2!$D$10</f>
        <v>0</v>
      </c>
      <c r="O9" s="28">
        <f>+Anexo2!$D$10</f>
        <v>0</v>
      </c>
      <c r="P9" s="28">
        <f>+Anexo2!$D$10</f>
        <v>0</v>
      </c>
      <c r="Q9" s="28">
        <f>+Anexo2!$D$10</f>
        <v>0</v>
      </c>
      <c r="R9" s="28">
        <f>+Anexo2!$D$10</f>
        <v>0</v>
      </c>
      <c r="S9" s="28"/>
      <c r="T9" s="28"/>
      <c r="U9" s="28"/>
      <c r="V9" s="28"/>
      <c r="W9" s="28"/>
      <c r="X9" s="28"/>
      <c r="Y9" s="28"/>
      <c r="Z9" s="29"/>
      <c r="AA9" s="30">
        <f t="shared" si="0"/>
        <v>0</v>
      </c>
      <c r="AB9" s="16">
        <v>21</v>
      </c>
      <c r="AC9" s="76">
        <f>+AA9*AB9+AA10*AB10+AA11*AB11</f>
        <v>0</v>
      </c>
      <c r="AD9" s="43"/>
    </row>
    <row r="10" spans="1:30" ht="15.75" thickBot="1" x14ac:dyDescent="0.3">
      <c r="A10" s="75"/>
      <c r="B10" s="17" t="s">
        <v>4</v>
      </c>
      <c r="C10" s="31"/>
      <c r="D10" s="31"/>
      <c r="E10" s="31"/>
      <c r="F10" s="31"/>
      <c r="G10" s="31"/>
      <c r="H10" s="31"/>
      <c r="I10" s="31">
        <f>+Anexo2!$D$10</f>
        <v>0</v>
      </c>
      <c r="J10" s="31">
        <f>+Anexo2!$D$10</f>
        <v>0</v>
      </c>
      <c r="K10" s="31">
        <f>+Anexo2!$D$10</f>
        <v>0</v>
      </c>
      <c r="L10" s="31">
        <f>+Anexo2!$D$10</f>
        <v>0</v>
      </c>
      <c r="M10" s="31">
        <f>+Anexo2!$D$10</f>
        <v>0</v>
      </c>
      <c r="N10" s="31">
        <f>+Anexo2!$D$10</f>
        <v>0</v>
      </c>
      <c r="O10" s="31">
        <f>+Anexo2!$D$10</f>
        <v>0</v>
      </c>
      <c r="P10" s="31">
        <f>+Anexo2!$D$10</f>
        <v>0</v>
      </c>
      <c r="Q10" s="31">
        <f>+Anexo2!$D$10</f>
        <v>0</v>
      </c>
      <c r="R10" s="31">
        <f>+Anexo2!$D$10</f>
        <v>0</v>
      </c>
      <c r="S10" s="31"/>
      <c r="T10" s="31"/>
      <c r="U10" s="31"/>
      <c r="V10" s="31"/>
      <c r="W10" s="31"/>
      <c r="X10" s="31"/>
      <c r="Y10" s="31"/>
      <c r="Z10" s="32"/>
      <c r="AA10" s="33">
        <f t="shared" si="0"/>
        <v>0</v>
      </c>
      <c r="AB10" s="18">
        <v>4</v>
      </c>
      <c r="AC10" s="77"/>
      <c r="AD10" s="43"/>
    </row>
    <row r="11" spans="1:30" ht="15" x14ac:dyDescent="0.25">
      <c r="A11" s="75"/>
      <c r="B11" s="19" t="s">
        <v>3</v>
      </c>
      <c r="C11" s="34"/>
      <c r="D11" s="34"/>
      <c r="E11" s="34"/>
      <c r="F11" s="34"/>
      <c r="G11" s="34"/>
      <c r="H11" s="34"/>
      <c r="I11" s="34">
        <f>+Anexo2!$D$10</f>
        <v>0</v>
      </c>
      <c r="J11" s="34">
        <f>+Anexo2!$D$10</f>
        <v>0</v>
      </c>
      <c r="K11" s="34">
        <f>+Anexo2!$D$10</f>
        <v>0</v>
      </c>
      <c r="L11" s="34">
        <f>+Anexo2!$D$10</f>
        <v>0</v>
      </c>
      <c r="M11" s="34">
        <f>+Anexo2!$D$10</f>
        <v>0</v>
      </c>
      <c r="N11" s="34">
        <f>+Anexo2!$D$10</f>
        <v>0</v>
      </c>
      <c r="O11" s="34">
        <f>+Anexo2!$D$10</f>
        <v>0</v>
      </c>
      <c r="P11" s="34">
        <f>+Anexo2!$D$10</f>
        <v>0</v>
      </c>
      <c r="Q11" s="34">
        <f>+Anexo2!$D$10</f>
        <v>0</v>
      </c>
      <c r="R11" s="34">
        <f>+Anexo2!$D$10</f>
        <v>0</v>
      </c>
      <c r="S11" s="34"/>
      <c r="T11" s="34"/>
      <c r="U11" s="34"/>
      <c r="V11" s="34"/>
      <c r="W11" s="34"/>
      <c r="X11" s="34"/>
      <c r="Y11" s="34"/>
      <c r="Z11" s="35"/>
      <c r="AA11" s="36">
        <f t="shared" si="0"/>
        <v>0</v>
      </c>
      <c r="AB11" s="20">
        <v>6</v>
      </c>
      <c r="AC11" s="78"/>
      <c r="AD11" s="43"/>
    </row>
    <row r="12" spans="1:30" ht="15.75" thickBot="1" x14ac:dyDescent="0.3">
      <c r="A12" s="75">
        <v>46113</v>
      </c>
      <c r="B12" s="15" t="s">
        <v>5</v>
      </c>
      <c r="C12" s="28"/>
      <c r="D12" s="28"/>
      <c r="E12" s="28"/>
      <c r="F12" s="28"/>
      <c r="G12" s="28"/>
      <c r="H12" s="28"/>
      <c r="I12" s="28">
        <f>+Anexo2!$D$10</f>
        <v>0</v>
      </c>
      <c r="J12" s="28">
        <f>+Anexo2!$D$10</f>
        <v>0</v>
      </c>
      <c r="K12" s="28">
        <f>+Anexo2!$D$10</f>
        <v>0</v>
      </c>
      <c r="L12" s="28">
        <f>+Anexo2!$D$10</f>
        <v>0</v>
      </c>
      <c r="M12" s="28">
        <f>+Anexo2!$D$10</f>
        <v>0</v>
      </c>
      <c r="N12" s="28">
        <f>+Anexo2!$D$10</f>
        <v>0</v>
      </c>
      <c r="O12" s="28">
        <f>+Anexo2!$D$10</f>
        <v>0</v>
      </c>
      <c r="P12" s="28">
        <f>+Anexo2!$D$10</f>
        <v>0</v>
      </c>
      <c r="Q12" s="28">
        <f>+Anexo2!$D$10</f>
        <v>0</v>
      </c>
      <c r="R12" s="28">
        <f>+Anexo2!$D$10</f>
        <v>0</v>
      </c>
      <c r="S12" s="28"/>
      <c r="T12" s="28"/>
      <c r="U12" s="28"/>
      <c r="V12" s="28"/>
      <c r="W12" s="28"/>
      <c r="X12" s="28"/>
      <c r="Y12" s="28"/>
      <c r="Z12" s="29"/>
      <c r="AA12" s="30">
        <f t="shared" si="0"/>
        <v>0</v>
      </c>
      <c r="AB12" s="16">
        <v>20</v>
      </c>
      <c r="AC12" s="76">
        <f>+AA12*AB12+AA13*AB13+AA14*AB14</f>
        <v>0</v>
      </c>
      <c r="AD12" s="43"/>
    </row>
    <row r="13" spans="1:30" ht="15.75" thickBot="1" x14ac:dyDescent="0.3">
      <c r="A13" s="75"/>
      <c r="B13" s="17" t="s">
        <v>4</v>
      </c>
      <c r="C13" s="31"/>
      <c r="D13" s="31"/>
      <c r="E13" s="31"/>
      <c r="F13" s="31"/>
      <c r="G13" s="31"/>
      <c r="H13" s="31"/>
      <c r="I13" s="31">
        <f>+Anexo2!$D$10</f>
        <v>0</v>
      </c>
      <c r="J13" s="31">
        <f>+Anexo2!$D$10</f>
        <v>0</v>
      </c>
      <c r="K13" s="31">
        <f>+Anexo2!$D$10</f>
        <v>0</v>
      </c>
      <c r="L13" s="31">
        <f>+Anexo2!$D$10</f>
        <v>0</v>
      </c>
      <c r="M13" s="31">
        <f>+Anexo2!$D$10</f>
        <v>0</v>
      </c>
      <c r="N13" s="31">
        <f>+Anexo2!$D$10</f>
        <v>0</v>
      </c>
      <c r="O13" s="31">
        <f>+Anexo2!$D$10</f>
        <v>0</v>
      </c>
      <c r="P13" s="31">
        <f>+Anexo2!$D$10</f>
        <v>0</v>
      </c>
      <c r="Q13" s="31">
        <f>+Anexo2!$D$10</f>
        <v>0</v>
      </c>
      <c r="R13" s="31">
        <f>+Anexo2!$D$10</f>
        <v>0</v>
      </c>
      <c r="S13" s="31"/>
      <c r="T13" s="31"/>
      <c r="U13" s="31"/>
      <c r="V13" s="31"/>
      <c r="W13" s="31"/>
      <c r="X13" s="31"/>
      <c r="Y13" s="31"/>
      <c r="Z13" s="32"/>
      <c r="AA13" s="33">
        <f t="shared" si="0"/>
        <v>0</v>
      </c>
      <c r="AB13" s="18">
        <v>4</v>
      </c>
      <c r="AC13" s="77"/>
      <c r="AD13" s="43"/>
    </row>
    <row r="14" spans="1:30" ht="15" x14ac:dyDescent="0.25">
      <c r="A14" s="75"/>
      <c r="B14" s="19" t="s">
        <v>3</v>
      </c>
      <c r="C14" s="34"/>
      <c r="D14" s="34"/>
      <c r="E14" s="34"/>
      <c r="F14" s="34"/>
      <c r="G14" s="34"/>
      <c r="H14" s="34"/>
      <c r="I14" s="34">
        <f>+Anexo2!$D$10</f>
        <v>0</v>
      </c>
      <c r="J14" s="34">
        <f>+Anexo2!$D$10</f>
        <v>0</v>
      </c>
      <c r="K14" s="34">
        <f>+Anexo2!$D$10</f>
        <v>0</v>
      </c>
      <c r="L14" s="34">
        <f>+Anexo2!$D$10</f>
        <v>0</v>
      </c>
      <c r="M14" s="34">
        <f>+Anexo2!$D$10</f>
        <v>0</v>
      </c>
      <c r="N14" s="34">
        <f>+Anexo2!$D$10</f>
        <v>0</v>
      </c>
      <c r="O14" s="34">
        <f>+Anexo2!$D$10</f>
        <v>0</v>
      </c>
      <c r="P14" s="34">
        <f>+Anexo2!$D$10</f>
        <v>0</v>
      </c>
      <c r="Q14" s="34">
        <f>+Anexo2!$D$10</f>
        <v>0</v>
      </c>
      <c r="R14" s="34">
        <f>+Anexo2!$D$10</f>
        <v>0</v>
      </c>
      <c r="S14" s="34"/>
      <c r="T14" s="34"/>
      <c r="U14" s="34"/>
      <c r="V14" s="34"/>
      <c r="W14" s="34"/>
      <c r="X14" s="34"/>
      <c r="Y14" s="34"/>
      <c r="Z14" s="35"/>
      <c r="AA14" s="36">
        <f t="shared" si="0"/>
        <v>0</v>
      </c>
      <c r="AB14" s="20">
        <v>6</v>
      </c>
      <c r="AC14" s="78"/>
      <c r="AD14" s="43"/>
    </row>
    <row r="15" spans="1:30" ht="15.75" thickBot="1" x14ac:dyDescent="0.3">
      <c r="A15" s="75">
        <v>46143</v>
      </c>
      <c r="B15" s="15" t="s">
        <v>5</v>
      </c>
      <c r="C15" s="28"/>
      <c r="D15" s="28"/>
      <c r="E15" s="28"/>
      <c r="F15" s="28"/>
      <c r="G15" s="28"/>
      <c r="H15" s="28"/>
      <c r="I15" s="28">
        <f>+Anexo2!$D$10</f>
        <v>0</v>
      </c>
      <c r="J15" s="28">
        <f>+Anexo2!$D$10</f>
        <v>0</v>
      </c>
      <c r="K15" s="28">
        <f>+Anexo2!$D$10</f>
        <v>0</v>
      </c>
      <c r="L15" s="28">
        <f>+Anexo2!$D$10</f>
        <v>0</v>
      </c>
      <c r="M15" s="28">
        <f>+Anexo2!$D$10</f>
        <v>0</v>
      </c>
      <c r="N15" s="28">
        <f>+Anexo2!$D$10</f>
        <v>0</v>
      </c>
      <c r="O15" s="28">
        <f>+Anexo2!$D$10</f>
        <v>0</v>
      </c>
      <c r="P15" s="28">
        <f>+Anexo2!$D$10</f>
        <v>0</v>
      </c>
      <c r="Q15" s="28">
        <f>+Anexo2!$D$10</f>
        <v>0</v>
      </c>
      <c r="R15" s="28">
        <f>+Anexo2!$D$10</f>
        <v>0</v>
      </c>
      <c r="S15" s="28"/>
      <c r="T15" s="28"/>
      <c r="U15" s="28"/>
      <c r="V15" s="28"/>
      <c r="W15" s="28"/>
      <c r="X15" s="28"/>
      <c r="Y15" s="28"/>
      <c r="Z15" s="29"/>
      <c r="AA15" s="30">
        <f t="shared" si="0"/>
        <v>0</v>
      </c>
      <c r="AB15" s="16">
        <v>19</v>
      </c>
      <c r="AC15" s="76">
        <f>+AA15*AB15+AA16*AB16+AA17*AB17</f>
        <v>0</v>
      </c>
      <c r="AD15" s="43"/>
    </row>
    <row r="16" spans="1:30" ht="15.75" thickBot="1" x14ac:dyDescent="0.3">
      <c r="A16" s="75"/>
      <c r="B16" s="17" t="s">
        <v>4</v>
      </c>
      <c r="C16" s="31"/>
      <c r="D16" s="31"/>
      <c r="E16" s="31"/>
      <c r="F16" s="31"/>
      <c r="G16" s="31"/>
      <c r="H16" s="31"/>
      <c r="I16" s="31">
        <f>+Anexo2!$D$10</f>
        <v>0</v>
      </c>
      <c r="J16" s="31">
        <f>+Anexo2!$D$10</f>
        <v>0</v>
      </c>
      <c r="K16" s="31">
        <f>+Anexo2!$D$10</f>
        <v>0</v>
      </c>
      <c r="L16" s="31">
        <f>+Anexo2!$D$10</f>
        <v>0</v>
      </c>
      <c r="M16" s="31">
        <f>+Anexo2!$D$10</f>
        <v>0</v>
      </c>
      <c r="N16" s="31">
        <f>+Anexo2!$D$10</f>
        <v>0</v>
      </c>
      <c r="O16" s="31">
        <f>+Anexo2!$D$10</f>
        <v>0</v>
      </c>
      <c r="P16" s="31">
        <f>+Anexo2!$D$10</f>
        <v>0</v>
      </c>
      <c r="Q16" s="31">
        <f>+Anexo2!$D$10</f>
        <v>0</v>
      </c>
      <c r="R16" s="31">
        <f>+Anexo2!$D$10</f>
        <v>0</v>
      </c>
      <c r="S16" s="31"/>
      <c r="T16" s="31"/>
      <c r="U16" s="31"/>
      <c r="V16" s="31"/>
      <c r="W16" s="31"/>
      <c r="X16" s="31"/>
      <c r="Y16" s="31"/>
      <c r="Z16" s="32"/>
      <c r="AA16" s="33">
        <f t="shared" si="0"/>
        <v>0</v>
      </c>
      <c r="AB16" s="18">
        <v>5</v>
      </c>
      <c r="AC16" s="77"/>
      <c r="AD16" s="43"/>
    </row>
    <row r="17" spans="1:30" ht="15" x14ac:dyDescent="0.25">
      <c r="A17" s="75"/>
      <c r="B17" s="19" t="s">
        <v>3</v>
      </c>
      <c r="C17" s="34"/>
      <c r="D17" s="34"/>
      <c r="E17" s="34"/>
      <c r="F17" s="34"/>
      <c r="G17" s="34"/>
      <c r="H17" s="34"/>
      <c r="I17" s="34">
        <f>+Anexo2!$D$10</f>
        <v>0</v>
      </c>
      <c r="J17" s="34">
        <f>+Anexo2!$D$10</f>
        <v>0</v>
      </c>
      <c r="K17" s="34">
        <f>+Anexo2!$D$10</f>
        <v>0</v>
      </c>
      <c r="L17" s="34">
        <f>+Anexo2!$D$10</f>
        <v>0</v>
      </c>
      <c r="M17" s="34">
        <f>+Anexo2!$D$10</f>
        <v>0</v>
      </c>
      <c r="N17" s="34">
        <f>+Anexo2!$D$10</f>
        <v>0</v>
      </c>
      <c r="O17" s="34">
        <f>+Anexo2!$D$10</f>
        <v>0</v>
      </c>
      <c r="P17" s="34">
        <f>+Anexo2!$D$10</f>
        <v>0</v>
      </c>
      <c r="Q17" s="34">
        <f>+Anexo2!$D$10</f>
        <v>0</v>
      </c>
      <c r="R17" s="34">
        <f>+Anexo2!$D$10</f>
        <v>0</v>
      </c>
      <c r="S17" s="34"/>
      <c r="T17" s="34"/>
      <c r="U17" s="34"/>
      <c r="V17" s="34"/>
      <c r="W17" s="34"/>
      <c r="X17" s="34"/>
      <c r="Y17" s="34"/>
      <c r="Z17" s="35"/>
      <c r="AA17" s="36">
        <f t="shared" si="0"/>
        <v>0</v>
      </c>
      <c r="AB17" s="20">
        <v>7</v>
      </c>
      <c r="AC17" s="78"/>
      <c r="AD17" s="43"/>
    </row>
    <row r="18" spans="1:30" ht="15.75" thickBot="1" x14ac:dyDescent="0.3">
      <c r="A18" s="75">
        <v>46174</v>
      </c>
      <c r="B18" s="15" t="s">
        <v>5</v>
      </c>
      <c r="C18" s="28"/>
      <c r="D18" s="28"/>
      <c r="E18" s="28"/>
      <c r="F18" s="28"/>
      <c r="G18" s="28"/>
      <c r="H18" s="28"/>
      <c r="I18" s="28">
        <f>+Anexo2!$D$10</f>
        <v>0</v>
      </c>
      <c r="J18" s="28">
        <f>+Anexo2!$D$10</f>
        <v>0</v>
      </c>
      <c r="K18" s="28">
        <f>+Anexo2!$D$10</f>
        <v>0</v>
      </c>
      <c r="L18" s="28">
        <f>+Anexo2!$D$10</f>
        <v>0</v>
      </c>
      <c r="M18" s="28">
        <f>+Anexo2!$D$10</f>
        <v>0</v>
      </c>
      <c r="N18" s="28">
        <f>+Anexo2!$D$10</f>
        <v>0</v>
      </c>
      <c r="O18" s="28">
        <f>+Anexo2!$D$10</f>
        <v>0</v>
      </c>
      <c r="P18" s="28">
        <f>+Anexo2!$D$10</f>
        <v>0</v>
      </c>
      <c r="Q18" s="28">
        <f>+Anexo2!$D$10</f>
        <v>0</v>
      </c>
      <c r="R18" s="28">
        <f>+Anexo2!$D$10</f>
        <v>0</v>
      </c>
      <c r="S18" s="28"/>
      <c r="T18" s="28"/>
      <c r="U18" s="28"/>
      <c r="V18" s="28"/>
      <c r="W18" s="28"/>
      <c r="X18" s="28"/>
      <c r="Y18" s="28"/>
      <c r="Z18" s="29"/>
      <c r="AA18" s="30">
        <f t="shared" si="0"/>
        <v>0</v>
      </c>
      <c r="AB18" s="16">
        <v>19</v>
      </c>
      <c r="AC18" s="76">
        <f>+AA18*AB18+AA19*AB19+AA20*AB20</f>
        <v>0</v>
      </c>
      <c r="AD18" s="43"/>
    </row>
    <row r="19" spans="1:30" ht="15.75" thickBot="1" x14ac:dyDescent="0.3">
      <c r="A19" s="75"/>
      <c r="B19" s="17" t="s">
        <v>4</v>
      </c>
      <c r="C19" s="31"/>
      <c r="D19" s="31"/>
      <c r="E19" s="31"/>
      <c r="F19" s="31"/>
      <c r="G19" s="31"/>
      <c r="H19" s="31"/>
      <c r="I19" s="31">
        <f>+Anexo2!$D$10</f>
        <v>0</v>
      </c>
      <c r="J19" s="31">
        <f>+Anexo2!$D$10</f>
        <v>0</v>
      </c>
      <c r="K19" s="31">
        <f>+Anexo2!$D$10</f>
        <v>0</v>
      </c>
      <c r="L19" s="31">
        <f>+Anexo2!$D$10</f>
        <v>0</v>
      </c>
      <c r="M19" s="31">
        <f>+Anexo2!$D$10</f>
        <v>0</v>
      </c>
      <c r="N19" s="31">
        <f>+Anexo2!$D$10</f>
        <v>0</v>
      </c>
      <c r="O19" s="31">
        <f>+Anexo2!$D$10</f>
        <v>0</v>
      </c>
      <c r="P19" s="31">
        <f>+Anexo2!$D$10</f>
        <v>0</v>
      </c>
      <c r="Q19" s="31">
        <f>+Anexo2!$D$10</f>
        <v>0</v>
      </c>
      <c r="R19" s="31">
        <f>+Anexo2!$D$10</f>
        <v>0</v>
      </c>
      <c r="S19" s="31"/>
      <c r="T19" s="31"/>
      <c r="U19" s="31"/>
      <c r="V19" s="31"/>
      <c r="W19" s="31"/>
      <c r="X19" s="31"/>
      <c r="Y19" s="31"/>
      <c r="Z19" s="32"/>
      <c r="AA19" s="33">
        <f t="shared" si="0"/>
        <v>0</v>
      </c>
      <c r="AB19" s="18">
        <v>4</v>
      </c>
      <c r="AC19" s="77"/>
      <c r="AD19" s="43"/>
    </row>
    <row r="20" spans="1:30" ht="15" x14ac:dyDescent="0.25">
      <c r="A20" s="75"/>
      <c r="B20" s="19" t="s">
        <v>3</v>
      </c>
      <c r="C20" s="34"/>
      <c r="D20" s="34"/>
      <c r="E20" s="34"/>
      <c r="F20" s="34"/>
      <c r="G20" s="34"/>
      <c r="H20" s="34"/>
      <c r="I20" s="34">
        <f>+Anexo2!$D$10</f>
        <v>0</v>
      </c>
      <c r="J20" s="34">
        <f>+Anexo2!$D$10</f>
        <v>0</v>
      </c>
      <c r="K20" s="34">
        <f>+Anexo2!$D$10</f>
        <v>0</v>
      </c>
      <c r="L20" s="34">
        <f>+Anexo2!$D$10</f>
        <v>0</v>
      </c>
      <c r="M20" s="34">
        <f>+Anexo2!$D$10</f>
        <v>0</v>
      </c>
      <c r="N20" s="34">
        <f>+Anexo2!$D$10</f>
        <v>0</v>
      </c>
      <c r="O20" s="34">
        <f>+Anexo2!$D$10</f>
        <v>0</v>
      </c>
      <c r="P20" s="34">
        <f>+Anexo2!$D$10</f>
        <v>0</v>
      </c>
      <c r="Q20" s="34">
        <f>+Anexo2!$D$10</f>
        <v>0</v>
      </c>
      <c r="R20" s="34">
        <f>+Anexo2!$D$10</f>
        <v>0</v>
      </c>
      <c r="S20" s="34"/>
      <c r="T20" s="34"/>
      <c r="U20" s="34"/>
      <c r="V20" s="34"/>
      <c r="W20" s="34"/>
      <c r="X20" s="34"/>
      <c r="Y20" s="34"/>
      <c r="Z20" s="35"/>
      <c r="AA20" s="36">
        <f t="shared" si="0"/>
        <v>0</v>
      </c>
      <c r="AB20" s="20">
        <v>7</v>
      </c>
      <c r="AC20" s="78"/>
      <c r="AD20" s="43"/>
    </row>
    <row r="21" spans="1:30" ht="15.75" thickBot="1" x14ac:dyDescent="0.3">
      <c r="A21" s="75">
        <v>46204</v>
      </c>
      <c r="B21" s="15" t="s">
        <v>5</v>
      </c>
      <c r="C21" s="28"/>
      <c r="D21" s="28"/>
      <c r="E21" s="28"/>
      <c r="F21" s="28"/>
      <c r="G21" s="28"/>
      <c r="H21" s="28"/>
      <c r="I21" s="28">
        <f>+Anexo2!$D$10</f>
        <v>0</v>
      </c>
      <c r="J21" s="28">
        <f>+Anexo2!$D$10</f>
        <v>0</v>
      </c>
      <c r="K21" s="28">
        <f>+Anexo2!$D$10</f>
        <v>0</v>
      </c>
      <c r="L21" s="28">
        <f>+Anexo2!$D$10</f>
        <v>0</v>
      </c>
      <c r="M21" s="28">
        <f>+Anexo2!$D$10</f>
        <v>0</v>
      </c>
      <c r="N21" s="28">
        <f>+Anexo2!$D$10</f>
        <v>0</v>
      </c>
      <c r="O21" s="28">
        <f>+Anexo2!$D$10</f>
        <v>0</v>
      </c>
      <c r="P21" s="28">
        <f>+Anexo2!$D$10</f>
        <v>0</v>
      </c>
      <c r="Q21" s="28">
        <f>+Anexo2!$D$10</f>
        <v>0</v>
      </c>
      <c r="R21" s="28">
        <f>+Anexo2!$D$10</f>
        <v>0</v>
      </c>
      <c r="S21" s="28"/>
      <c r="T21" s="28"/>
      <c r="U21" s="28"/>
      <c r="V21" s="28"/>
      <c r="W21" s="28"/>
      <c r="X21" s="28"/>
      <c r="Y21" s="28"/>
      <c r="Z21" s="29"/>
      <c r="AA21" s="30">
        <f t="shared" si="0"/>
        <v>0</v>
      </c>
      <c r="AB21" s="16">
        <v>22</v>
      </c>
      <c r="AC21" s="76">
        <f>+AA21*AB21+AA22*AB22+AA23*AB23</f>
        <v>0</v>
      </c>
      <c r="AD21" s="43"/>
    </row>
    <row r="22" spans="1:30" ht="15.75" thickBot="1" x14ac:dyDescent="0.3">
      <c r="A22" s="75"/>
      <c r="B22" s="17" t="s">
        <v>4</v>
      </c>
      <c r="C22" s="31"/>
      <c r="D22" s="31"/>
      <c r="E22" s="31"/>
      <c r="F22" s="31"/>
      <c r="G22" s="31"/>
      <c r="H22" s="31"/>
      <c r="I22" s="31">
        <f>+Anexo2!$D$10</f>
        <v>0</v>
      </c>
      <c r="J22" s="31">
        <f>+Anexo2!$D$10</f>
        <v>0</v>
      </c>
      <c r="K22" s="31">
        <f>+Anexo2!$D$10</f>
        <v>0</v>
      </c>
      <c r="L22" s="31">
        <f>+Anexo2!$D$10</f>
        <v>0</v>
      </c>
      <c r="M22" s="31">
        <f>+Anexo2!$D$10</f>
        <v>0</v>
      </c>
      <c r="N22" s="31">
        <f>+Anexo2!$D$10</f>
        <v>0</v>
      </c>
      <c r="O22" s="31">
        <f>+Anexo2!$D$10</f>
        <v>0</v>
      </c>
      <c r="P22" s="31">
        <f>+Anexo2!$D$10</f>
        <v>0</v>
      </c>
      <c r="Q22" s="31">
        <f>+Anexo2!$D$10</f>
        <v>0</v>
      </c>
      <c r="R22" s="31">
        <f>+Anexo2!$D$10</f>
        <v>0</v>
      </c>
      <c r="S22" s="31"/>
      <c r="T22" s="31"/>
      <c r="U22" s="31"/>
      <c r="V22" s="31"/>
      <c r="W22" s="31"/>
      <c r="X22" s="31"/>
      <c r="Y22" s="31"/>
      <c r="Z22" s="32"/>
      <c r="AA22" s="33">
        <f t="shared" si="0"/>
        <v>0</v>
      </c>
      <c r="AB22" s="18">
        <v>4</v>
      </c>
      <c r="AC22" s="77"/>
      <c r="AD22" s="43"/>
    </row>
    <row r="23" spans="1:30" ht="15" x14ac:dyDescent="0.25">
      <c r="A23" s="75"/>
      <c r="B23" s="19" t="s">
        <v>3</v>
      </c>
      <c r="C23" s="34"/>
      <c r="D23" s="34"/>
      <c r="E23" s="34"/>
      <c r="F23" s="34"/>
      <c r="G23" s="34"/>
      <c r="H23" s="34"/>
      <c r="I23" s="34">
        <f>+Anexo2!$D$10</f>
        <v>0</v>
      </c>
      <c r="J23" s="34">
        <f>+Anexo2!$D$10</f>
        <v>0</v>
      </c>
      <c r="K23" s="34">
        <f>+Anexo2!$D$10</f>
        <v>0</v>
      </c>
      <c r="L23" s="34">
        <f>+Anexo2!$D$10</f>
        <v>0</v>
      </c>
      <c r="M23" s="34">
        <f>+Anexo2!$D$10</f>
        <v>0</v>
      </c>
      <c r="N23" s="34">
        <f>+Anexo2!$D$10</f>
        <v>0</v>
      </c>
      <c r="O23" s="34">
        <f>+Anexo2!$D$10</f>
        <v>0</v>
      </c>
      <c r="P23" s="34">
        <f>+Anexo2!$D$10</f>
        <v>0</v>
      </c>
      <c r="Q23" s="34">
        <f>+Anexo2!$D$10</f>
        <v>0</v>
      </c>
      <c r="R23" s="34">
        <f>+Anexo2!$D$10</f>
        <v>0</v>
      </c>
      <c r="S23" s="34"/>
      <c r="T23" s="34"/>
      <c r="U23" s="34"/>
      <c r="V23" s="34"/>
      <c r="W23" s="34"/>
      <c r="X23" s="34"/>
      <c r="Y23" s="34"/>
      <c r="Z23" s="35"/>
      <c r="AA23" s="36">
        <f t="shared" si="0"/>
        <v>0</v>
      </c>
      <c r="AB23" s="20">
        <v>5</v>
      </c>
      <c r="AC23" s="78"/>
      <c r="AD23" s="43"/>
    </row>
    <row r="24" spans="1:30" ht="15.75" thickBot="1" x14ac:dyDescent="0.3">
      <c r="A24" s="75">
        <v>46235</v>
      </c>
      <c r="B24" s="15" t="s">
        <v>5</v>
      </c>
      <c r="C24" s="28"/>
      <c r="D24" s="28"/>
      <c r="E24" s="28"/>
      <c r="F24" s="28"/>
      <c r="G24" s="28"/>
      <c r="H24" s="28"/>
      <c r="I24" s="28">
        <f>+Anexo2!$D$10</f>
        <v>0</v>
      </c>
      <c r="J24" s="28">
        <f>+Anexo2!$D$10</f>
        <v>0</v>
      </c>
      <c r="K24" s="28">
        <f>+Anexo2!$D$10</f>
        <v>0</v>
      </c>
      <c r="L24" s="28">
        <f>+Anexo2!$D$10</f>
        <v>0</v>
      </c>
      <c r="M24" s="28">
        <f>+Anexo2!$D$10</f>
        <v>0</v>
      </c>
      <c r="N24" s="28">
        <f>+Anexo2!$D$10</f>
        <v>0</v>
      </c>
      <c r="O24" s="28">
        <f>+Anexo2!$D$10</f>
        <v>0</v>
      </c>
      <c r="P24" s="28">
        <f>+Anexo2!$D$10</f>
        <v>0</v>
      </c>
      <c r="Q24" s="28">
        <f>+Anexo2!$D$10</f>
        <v>0</v>
      </c>
      <c r="R24" s="28">
        <f>+Anexo2!$D$10</f>
        <v>0</v>
      </c>
      <c r="S24" s="28"/>
      <c r="T24" s="28"/>
      <c r="U24" s="28"/>
      <c r="V24" s="28"/>
      <c r="W24" s="28"/>
      <c r="X24" s="28"/>
      <c r="Y24" s="28"/>
      <c r="Z24" s="29"/>
      <c r="AA24" s="30">
        <f t="shared" si="0"/>
        <v>0</v>
      </c>
      <c r="AB24" s="16">
        <v>19</v>
      </c>
      <c r="AC24" s="76">
        <f>+AA24*AB24+AA25*AB25+AA26*AB26</f>
        <v>0</v>
      </c>
      <c r="AD24" s="43"/>
    </row>
    <row r="25" spans="1:30" ht="15.75" thickBot="1" x14ac:dyDescent="0.3">
      <c r="A25" s="75"/>
      <c r="B25" s="17" t="s">
        <v>4</v>
      </c>
      <c r="C25" s="31"/>
      <c r="D25" s="31"/>
      <c r="E25" s="31"/>
      <c r="F25" s="31"/>
      <c r="G25" s="31"/>
      <c r="H25" s="31"/>
      <c r="I25" s="31">
        <f>+Anexo2!$D$10</f>
        <v>0</v>
      </c>
      <c r="J25" s="31">
        <f>+Anexo2!$D$10</f>
        <v>0</v>
      </c>
      <c r="K25" s="31">
        <f>+Anexo2!$D$10</f>
        <v>0</v>
      </c>
      <c r="L25" s="31">
        <f>+Anexo2!$D$10</f>
        <v>0</v>
      </c>
      <c r="M25" s="31">
        <f>+Anexo2!$D$10</f>
        <v>0</v>
      </c>
      <c r="N25" s="31">
        <f>+Anexo2!$D$10</f>
        <v>0</v>
      </c>
      <c r="O25" s="31">
        <f>+Anexo2!$D$10</f>
        <v>0</v>
      </c>
      <c r="P25" s="31">
        <f>+Anexo2!$D$10</f>
        <v>0</v>
      </c>
      <c r="Q25" s="31">
        <f>+Anexo2!$D$10</f>
        <v>0</v>
      </c>
      <c r="R25" s="31">
        <f>+Anexo2!$D$10</f>
        <v>0</v>
      </c>
      <c r="S25" s="31"/>
      <c r="T25" s="31"/>
      <c r="U25" s="31"/>
      <c r="V25" s="31"/>
      <c r="W25" s="31"/>
      <c r="X25" s="31"/>
      <c r="Y25" s="31"/>
      <c r="Z25" s="32"/>
      <c r="AA25" s="33">
        <f t="shared" si="0"/>
        <v>0</v>
      </c>
      <c r="AB25" s="18">
        <v>5</v>
      </c>
      <c r="AC25" s="77"/>
      <c r="AD25" s="43"/>
    </row>
    <row r="26" spans="1:30" ht="15" x14ac:dyDescent="0.25">
      <c r="A26" s="75"/>
      <c r="B26" s="19" t="s">
        <v>3</v>
      </c>
      <c r="C26" s="34"/>
      <c r="D26" s="34"/>
      <c r="E26" s="34"/>
      <c r="F26" s="34"/>
      <c r="G26" s="34"/>
      <c r="H26" s="34"/>
      <c r="I26" s="34">
        <f>+Anexo2!$D$10</f>
        <v>0</v>
      </c>
      <c r="J26" s="34">
        <f>+Anexo2!$D$10</f>
        <v>0</v>
      </c>
      <c r="K26" s="34">
        <f>+Anexo2!$D$10</f>
        <v>0</v>
      </c>
      <c r="L26" s="34">
        <f>+Anexo2!$D$10</f>
        <v>0</v>
      </c>
      <c r="M26" s="34">
        <f>+Anexo2!$D$10</f>
        <v>0</v>
      </c>
      <c r="N26" s="34">
        <f>+Anexo2!$D$10</f>
        <v>0</v>
      </c>
      <c r="O26" s="34">
        <f>+Anexo2!$D$10</f>
        <v>0</v>
      </c>
      <c r="P26" s="34">
        <f>+Anexo2!$D$10</f>
        <v>0</v>
      </c>
      <c r="Q26" s="34">
        <f>+Anexo2!$D$10</f>
        <v>0</v>
      </c>
      <c r="R26" s="34">
        <f>+Anexo2!$D$10</f>
        <v>0</v>
      </c>
      <c r="S26" s="34"/>
      <c r="T26" s="34"/>
      <c r="U26" s="34"/>
      <c r="V26" s="34"/>
      <c r="W26" s="34"/>
      <c r="X26" s="34"/>
      <c r="Y26" s="34"/>
      <c r="Z26" s="35"/>
      <c r="AA26" s="36">
        <f t="shared" si="0"/>
        <v>0</v>
      </c>
      <c r="AB26" s="20">
        <v>7</v>
      </c>
      <c r="AC26" s="78"/>
      <c r="AD26" s="43"/>
    </row>
    <row r="27" spans="1:30" ht="15.75" thickBot="1" x14ac:dyDescent="0.3">
      <c r="A27" s="75">
        <v>46266</v>
      </c>
      <c r="B27" s="15" t="s">
        <v>5</v>
      </c>
      <c r="C27" s="28"/>
      <c r="D27" s="28"/>
      <c r="E27" s="28"/>
      <c r="F27" s="28"/>
      <c r="G27" s="28"/>
      <c r="H27" s="28"/>
      <c r="I27" s="28">
        <f>+Anexo2!$D$10</f>
        <v>0</v>
      </c>
      <c r="J27" s="28">
        <f>+Anexo2!$D$10</f>
        <v>0</v>
      </c>
      <c r="K27" s="28">
        <f>+Anexo2!$D$10</f>
        <v>0</v>
      </c>
      <c r="L27" s="28">
        <f>+Anexo2!$D$10</f>
        <v>0</v>
      </c>
      <c r="M27" s="28">
        <f>+Anexo2!$D$10</f>
        <v>0</v>
      </c>
      <c r="N27" s="28">
        <f>+Anexo2!$D$10</f>
        <v>0</v>
      </c>
      <c r="O27" s="28">
        <f>+Anexo2!$D$10</f>
        <v>0</v>
      </c>
      <c r="P27" s="28">
        <f>+Anexo2!$D$10</f>
        <v>0</v>
      </c>
      <c r="Q27" s="28">
        <f>+Anexo2!$D$10</f>
        <v>0</v>
      </c>
      <c r="R27" s="28">
        <f>+Anexo2!$D$10</f>
        <v>0</v>
      </c>
      <c r="S27" s="28"/>
      <c r="T27" s="28"/>
      <c r="U27" s="28"/>
      <c r="V27" s="28"/>
      <c r="W27" s="28"/>
      <c r="X27" s="28"/>
      <c r="Y27" s="28"/>
      <c r="Z27" s="29"/>
      <c r="AA27" s="30">
        <f t="shared" si="0"/>
        <v>0</v>
      </c>
      <c r="AB27" s="16">
        <v>22</v>
      </c>
      <c r="AC27" s="76">
        <f>+AA27*AB27+AA28*AB28+AA29*AB29</f>
        <v>0</v>
      </c>
      <c r="AD27" s="43"/>
    </row>
    <row r="28" spans="1:30" ht="15.75" thickBot="1" x14ac:dyDescent="0.3">
      <c r="A28" s="75"/>
      <c r="B28" s="17" t="s">
        <v>4</v>
      </c>
      <c r="C28" s="31"/>
      <c r="D28" s="31"/>
      <c r="E28" s="31"/>
      <c r="F28" s="31"/>
      <c r="G28" s="31"/>
      <c r="H28" s="31"/>
      <c r="I28" s="31">
        <f>+Anexo2!$D$10</f>
        <v>0</v>
      </c>
      <c r="J28" s="31">
        <f>+Anexo2!$D$10</f>
        <v>0</v>
      </c>
      <c r="K28" s="31">
        <f>+Anexo2!$D$10</f>
        <v>0</v>
      </c>
      <c r="L28" s="31">
        <f>+Anexo2!$D$10</f>
        <v>0</v>
      </c>
      <c r="M28" s="31">
        <f>+Anexo2!$D$10</f>
        <v>0</v>
      </c>
      <c r="N28" s="31">
        <f>+Anexo2!$D$10</f>
        <v>0</v>
      </c>
      <c r="O28" s="31">
        <f>+Anexo2!$D$10</f>
        <v>0</v>
      </c>
      <c r="P28" s="31">
        <f>+Anexo2!$D$10</f>
        <v>0</v>
      </c>
      <c r="Q28" s="31">
        <f>+Anexo2!$D$10</f>
        <v>0</v>
      </c>
      <c r="R28" s="31">
        <f>+Anexo2!$D$10</f>
        <v>0</v>
      </c>
      <c r="S28" s="31"/>
      <c r="T28" s="31"/>
      <c r="U28" s="31"/>
      <c r="V28" s="31"/>
      <c r="W28" s="31"/>
      <c r="X28" s="31"/>
      <c r="Y28" s="31"/>
      <c r="Z28" s="32"/>
      <c r="AA28" s="33">
        <f t="shared" si="0"/>
        <v>0</v>
      </c>
      <c r="AB28" s="18">
        <v>4</v>
      </c>
      <c r="AC28" s="77"/>
      <c r="AD28" s="43"/>
    </row>
    <row r="29" spans="1:30" ht="15" x14ac:dyDescent="0.25">
      <c r="A29" s="75"/>
      <c r="B29" s="19" t="s">
        <v>3</v>
      </c>
      <c r="C29" s="34"/>
      <c r="D29" s="34"/>
      <c r="E29" s="34"/>
      <c r="F29" s="34"/>
      <c r="G29" s="34"/>
      <c r="H29" s="34"/>
      <c r="I29" s="34">
        <f>+Anexo2!$D$10</f>
        <v>0</v>
      </c>
      <c r="J29" s="34">
        <f>+Anexo2!$D$10</f>
        <v>0</v>
      </c>
      <c r="K29" s="34">
        <f>+Anexo2!$D$10</f>
        <v>0</v>
      </c>
      <c r="L29" s="34">
        <f>+Anexo2!$D$10</f>
        <v>0</v>
      </c>
      <c r="M29" s="34">
        <f>+Anexo2!$D$10</f>
        <v>0</v>
      </c>
      <c r="N29" s="34">
        <f>+Anexo2!$D$10</f>
        <v>0</v>
      </c>
      <c r="O29" s="34">
        <f>+Anexo2!$D$10</f>
        <v>0</v>
      </c>
      <c r="P29" s="34">
        <f>+Anexo2!$D$10</f>
        <v>0</v>
      </c>
      <c r="Q29" s="34">
        <f>+Anexo2!$D$10</f>
        <v>0</v>
      </c>
      <c r="R29" s="34">
        <f>+Anexo2!$D$10</f>
        <v>0</v>
      </c>
      <c r="S29" s="34"/>
      <c r="T29" s="34"/>
      <c r="U29" s="34"/>
      <c r="V29" s="34"/>
      <c r="W29" s="34"/>
      <c r="X29" s="34"/>
      <c r="Y29" s="34"/>
      <c r="Z29" s="35"/>
      <c r="AA29" s="36">
        <f t="shared" si="0"/>
        <v>0</v>
      </c>
      <c r="AB29" s="20">
        <v>4</v>
      </c>
      <c r="AC29" s="78"/>
      <c r="AD29" s="43"/>
    </row>
    <row r="30" spans="1:30" ht="15.75" thickBot="1" x14ac:dyDescent="0.3">
      <c r="A30" s="75">
        <v>46296</v>
      </c>
      <c r="B30" s="15" t="s">
        <v>5</v>
      </c>
      <c r="C30" s="28"/>
      <c r="D30" s="28"/>
      <c r="E30" s="28"/>
      <c r="F30" s="28"/>
      <c r="G30" s="28"/>
      <c r="H30" s="28"/>
      <c r="I30" s="28">
        <f>+Anexo2!$D$10</f>
        <v>0</v>
      </c>
      <c r="J30" s="28">
        <f>+Anexo2!$D$10</f>
        <v>0</v>
      </c>
      <c r="K30" s="28">
        <f>+Anexo2!$D$10</f>
        <v>0</v>
      </c>
      <c r="L30" s="28">
        <f>+Anexo2!$D$10</f>
        <v>0</v>
      </c>
      <c r="M30" s="28">
        <f>+Anexo2!$D$10</f>
        <v>0</v>
      </c>
      <c r="N30" s="28">
        <f>+Anexo2!$D$10</f>
        <v>0</v>
      </c>
      <c r="O30" s="28">
        <f>+Anexo2!$D$10</f>
        <v>0</v>
      </c>
      <c r="P30" s="28">
        <f>+Anexo2!$D$10</f>
        <v>0</v>
      </c>
      <c r="Q30" s="28">
        <f>+Anexo2!$D$10</f>
        <v>0</v>
      </c>
      <c r="R30" s="28">
        <f>+Anexo2!$D$10</f>
        <v>0</v>
      </c>
      <c r="S30" s="28"/>
      <c r="T30" s="28"/>
      <c r="U30" s="28"/>
      <c r="V30" s="28"/>
      <c r="W30" s="28"/>
      <c r="X30" s="28"/>
      <c r="Y30" s="28"/>
      <c r="Z30" s="29"/>
      <c r="AA30" s="30">
        <f t="shared" si="0"/>
        <v>0</v>
      </c>
      <c r="AB30" s="16">
        <v>21</v>
      </c>
      <c r="AC30" s="76">
        <f>+AA30*AB30+AA31*AB31+AA32*AB32</f>
        <v>0</v>
      </c>
      <c r="AD30" s="43"/>
    </row>
    <row r="31" spans="1:30" ht="15.75" thickBot="1" x14ac:dyDescent="0.3">
      <c r="A31" s="75"/>
      <c r="B31" s="17" t="s">
        <v>4</v>
      </c>
      <c r="C31" s="31"/>
      <c r="D31" s="31"/>
      <c r="E31" s="31"/>
      <c r="F31" s="31"/>
      <c r="G31" s="31"/>
      <c r="H31" s="31"/>
      <c r="I31" s="31">
        <f>+Anexo2!$D$10</f>
        <v>0</v>
      </c>
      <c r="J31" s="31">
        <f>+Anexo2!$D$10</f>
        <v>0</v>
      </c>
      <c r="K31" s="31">
        <f>+Anexo2!$D$10</f>
        <v>0</v>
      </c>
      <c r="L31" s="31">
        <f>+Anexo2!$D$10</f>
        <v>0</v>
      </c>
      <c r="M31" s="31">
        <f>+Anexo2!$D$10</f>
        <v>0</v>
      </c>
      <c r="N31" s="31">
        <f>+Anexo2!$D$10</f>
        <v>0</v>
      </c>
      <c r="O31" s="31">
        <f>+Anexo2!$D$10</f>
        <v>0</v>
      </c>
      <c r="P31" s="31">
        <f>+Anexo2!$D$10</f>
        <v>0</v>
      </c>
      <c r="Q31" s="31">
        <f>+Anexo2!$D$10</f>
        <v>0</v>
      </c>
      <c r="R31" s="31">
        <f>+Anexo2!$D$10</f>
        <v>0</v>
      </c>
      <c r="S31" s="31"/>
      <c r="T31" s="31"/>
      <c r="U31" s="31"/>
      <c r="V31" s="31"/>
      <c r="W31" s="31"/>
      <c r="X31" s="31"/>
      <c r="Y31" s="31"/>
      <c r="Z31" s="32"/>
      <c r="AA31" s="33">
        <f t="shared" si="0"/>
        <v>0</v>
      </c>
      <c r="AB31" s="18">
        <v>5</v>
      </c>
      <c r="AC31" s="77"/>
      <c r="AD31" s="43"/>
    </row>
    <row r="32" spans="1:30" ht="15" x14ac:dyDescent="0.25">
      <c r="A32" s="75"/>
      <c r="B32" s="19" t="s">
        <v>3</v>
      </c>
      <c r="C32" s="34"/>
      <c r="D32" s="34"/>
      <c r="E32" s="34"/>
      <c r="F32" s="34"/>
      <c r="G32" s="34"/>
      <c r="H32" s="34"/>
      <c r="I32" s="34">
        <f>+Anexo2!$D$10</f>
        <v>0</v>
      </c>
      <c r="J32" s="34">
        <f>+Anexo2!$D$10</f>
        <v>0</v>
      </c>
      <c r="K32" s="34">
        <f>+Anexo2!$D$10</f>
        <v>0</v>
      </c>
      <c r="L32" s="34">
        <f>+Anexo2!$D$10</f>
        <v>0</v>
      </c>
      <c r="M32" s="34">
        <f>+Anexo2!$D$10</f>
        <v>0</v>
      </c>
      <c r="N32" s="34">
        <f>+Anexo2!$D$10</f>
        <v>0</v>
      </c>
      <c r="O32" s="34">
        <f>+Anexo2!$D$10</f>
        <v>0</v>
      </c>
      <c r="P32" s="34">
        <f>+Anexo2!$D$10</f>
        <v>0</v>
      </c>
      <c r="Q32" s="34">
        <f>+Anexo2!$D$10</f>
        <v>0</v>
      </c>
      <c r="R32" s="34">
        <f>+Anexo2!$D$10</f>
        <v>0</v>
      </c>
      <c r="S32" s="34"/>
      <c r="T32" s="34"/>
      <c r="U32" s="34"/>
      <c r="V32" s="34"/>
      <c r="W32" s="34"/>
      <c r="X32" s="34"/>
      <c r="Y32" s="34"/>
      <c r="Z32" s="35"/>
      <c r="AA32" s="36">
        <f t="shared" si="0"/>
        <v>0</v>
      </c>
      <c r="AB32" s="20">
        <v>5</v>
      </c>
      <c r="AC32" s="78"/>
      <c r="AD32" s="43"/>
    </row>
    <row r="33" spans="1:30" ht="15.75" thickBot="1" x14ac:dyDescent="0.3">
      <c r="A33" s="75">
        <v>46327</v>
      </c>
      <c r="B33" s="15" t="s">
        <v>5</v>
      </c>
      <c r="C33" s="28"/>
      <c r="D33" s="28"/>
      <c r="E33" s="28"/>
      <c r="F33" s="28"/>
      <c r="G33" s="28"/>
      <c r="H33" s="28"/>
      <c r="I33" s="28">
        <f>+Anexo2!$D$10</f>
        <v>0</v>
      </c>
      <c r="J33" s="28">
        <f>+Anexo2!$D$10</f>
        <v>0</v>
      </c>
      <c r="K33" s="28">
        <f>+Anexo2!$D$10</f>
        <v>0</v>
      </c>
      <c r="L33" s="28">
        <f>+Anexo2!$D$10</f>
        <v>0</v>
      </c>
      <c r="M33" s="28">
        <f>+Anexo2!$D$10</f>
        <v>0</v>
      </c>
      <c r="N33" s="28">
        <f>+Anexo2!$D$10</f>
        <v>0</v>
      </c>
      <c r="O33" s="28">
        <f>+Anexo2!$D$10</f>
        <v>0</v>
      </c>
      <c r="P33" s="28">
        <f>+Anexo2!$D$10</f>
        <v>0</v>
      </c>
      <c r="Q33" s="28">
        <f>+Anexo2!$D$10</f>
        <v>0</v>
      </c>
      <c r="R33" s="28">
        <f>+Anexo2!$D$10</f>
        <v>0</v>
      </c>
      <c r="S33" s="28"/>
      <c r="T33" s="28"/>
      <c r="U33" s="28"/>
      <c r="V33" s="28"/>
      <c r="W33" s="28"/>
      <c r="X33" s="28"/>
      <c r="Y33" s="28"/>
      <c r="Z33" s="29"/>
      <c r="AA33" s="30">
        <f t="shared" si="0"/>
        <v>0</v>
      </c>
      <c r="AB33" s="16">
        <v>19</v>
      </c>
      <c r="AC33" s="76">
        <f>+AA33*AB33+AA34*AB34+AA35*AB35</f>
        <v>0</v>
      </c>
      <c r="AD33" s="43"/>
    </row>
    <row r="34" spans="1:30" ht="15.75" thickBot="1" x14ac:dyDescent="0.3">
      <c r="A34" s="75"/>
      <c r="B34" s="17" t="s">
        <v>4</v>
      </c>
      <c r="C34" s="31"/>
      <c r="D34" s="31"/>
      <c r="E34" s="31"/>
      <c r="F34" s="31"/>
      <c r="G34" s="31"/>
      <c r="H34" s="31"/>
      <c r="I34" s="31">
        <f>+Anexo2!$D$10</f>
        <v>0</v>
      </c>
      <c r="J34" s="31">
        <f>+Anexo2!$D$10</f>
        <v>0</v>
      </c>
      <c r="K34" s="31">
        <f>+Anexo2!$D$10</f>
        <v>0</v>
      </c>
      <c r="L34" s="31">
        <f>+Anexo2!$D$10</f>
        <v>0</v>
      </c>
      <c r="M34" s="31">
        <f>+Anexo2!$D$10</f>
        <v>0</v>
      </c>
      <c r="N34" s="31">
        <f>+Anexo2!$D$10</f>
        <v>0</v>
      </c>
      <c r="O34" s="31">
        <f>+Anexo2!$D$10</f>
        <v>0</v>
      </c>
      <c r="P34" s="31">
        <f>+Anexo2!$D$10</f>
        <v>0</v>
      </c>
      <c r="Q34" s="31">
        <f>+Anexo2!$D$10</f>
        <v>0</v>
      </c>
      <c r="R34" s="31">
        <f>+Anexo2!$D$10</f>
        <v>0</v>
      </c>
      <c r="S34" s="31"/>
      <c r="T34" s="31"/>
      <c r="U34" s="31"/>
      <c r="V34" s="31"/>
      <c r="W34" s="31"/>
      <c r="X34" s="31"/>
      <c r="Y34" s="31"/>
      <c r="Z34" s="32"/>
      <c r="AA34" s="33">
        <f t="shared" si="0"/>
        <v>0</v>
      </c>
      <c r="AB34" s="18">
        <v>4</v>
      </c>
      <c r="AC34" s="77"/>
      <c r="AD34" s="43"/>
    </row>
    <row r="35" spans="1:30" ht="15" x14ac:dyDescent="0.25">
      <c r="A35" s="75"/>
      <c r="B35" s="19" t="s">
        <v>3</v>
      </c>
      <c r="C35" s="34"/>
      <c r="D35" s="34"/>
      <c r="E35" s="34"/>
      <c r="F35" s="34"/>
      <c r="G35" s="34"/>
      <c r="H35" s="34"/>
      <c r="I35" s="34">
        <f>+Anexo2!$D$10</f>
        <v>0</v>
      </c>
      <c r="J35" s="34">
        <f>+Anexo2!$D$10</f>
        <v>0</v>
      </c>
      <c r="K35" s="34">
        <f>+Anexo2!$D$10</f>
        <v>0</v>
      </c>
      <c r="L35" s="34">
        <f>+Anexo2!$D$10</f>
        <v>0</v>
      </c>
      <c r="M35" s="34">
        <f>+Anexo2!$D$10</f>
        <v>0</v>
      </c>
      <c r="N35" s="34">
        <f>+Anexo2!$D$10</f>
        <v>0</v>
      </c>
      <c r="O35" s="34">
        <f>+Anexo2!$D$10</f>
        <v>0</v>
      </c>
      <c r="P35" s="34">
        <f>+Anexo2!$D$10</f>
        <v>0</v>
      </c>
      <c r="Q35" s="34">
        <f>+Anexo2!$D$10</f>
        <v>0</v>
      </c>
      <c r="R35" s="34">
        <f>+Anexo2!$D$10</f>
        <v>0</v>
      </c>
      <c r="S35" s="34"/>
      <c r="T35" s="34"/>
      <c r="U35" s="34"/>
      <c r="V35" s="34"/>
      <c r="W35" s="34"/>
      <c r="X35" s="34"/>
      <c r="Y35" s="34"/>
      <c r="Z35" s="35"/>
      <c r="AA35" s="36">
        <f t="shared" si="0"/>
        <v>0</v>
      </c>
      <c r="AB35" s="20">
        <v>7</v>
      </c>
      <c r="AC35" s="78"/>
      <c r="AD35" s="43"/>
    </row>
    <row r="36" spans="1:30" ht="15.75" thickBot="1" x14ac:dyDescent="0.3">
      <c r="A36" s="75">
        <v>46357</v>
      </c>
      <c r="B36" s="15" t="s">
        <v>5</v>
      </c>
      <c r="C36" s="28"/>
      <c r="D36" s="28"/>
      <c r="E36" s="28"/>
      <c r="F36" s="28"/>
      <c r="G36" s="28"/>
      <c r="H36" s="28"/>
      <c r="I36" s="28">
        <f>+Anexo2!$D$10</f>
        <v>0</v>
      </c>
      <c r="J36" s="28">
        <f>+Anexo2!$D$10</f>
        <v>0</v>
      </c>
      <c r="K36" s="28">
        <f>+Anexo2!$D$10</f>
        <v>0</v>
      </c>
      <c r="L36" s="28">
        <f>+Anexo2!$D$10</f>
        <v>0</v>
      </c>
      <c r="M36" s="28">
        <f>+Anexo2!$D$10</f>
        <v>0</v>
      </c>
      <c r="N36" s="28">
        <f>+Anexo2!$D$10</f>
        <v>0</v>
      </c>
      <c r="O36" s="28">
        <f>+Anexo2!$D$10</f>
        <v>0</v>
      </c>
      <c r="P36" s="28">
        <f>+Anexo2!$D$10</f>
        <v>0</v>
      </c>
      <c r="Q36" s="28">
        <f>+Anexo2!$D$10</f>
        <v>0</v>
      </c>
      <c r="R36" s="28">
        <f>+Anexo2!$D$10</f>
        <v>0</v>
      </c>
      <c r="S36" s="28"/>
      <c r="T36" s="28"/>
      <c r="U36" s="28"/>
      <c r="V36" s="28"/>
      <c r="W36" s="28"/>
      <c r="X36" s="28"/>
      <c r="Y36" s="28"/>
      <c r="Z36" s="29"/>
      <c r="AA36" s="30">
        <f t="shared" si="0"/>
        <v>0</v>
      </c>
      <c r="AB36" s="16">
        <v>21</v>
      </c>
      <c r="AC36" s="76">
        <f>+AA36*AB36+AA37*AB37+AA38*AB38</f>
        <v>0</v>
      </c>
      <c r="AD36" s="43"/>
    </row>
    <row r="37" spans="1:30" ht="15.75" thickBot="1" x14ac:dyDescent="0.3">
      <c r="A37" s="75"/>
      <c r="B37" s="17" t="s">
        <v>4</v>
      </c>
      <c r="C37" s="31"/>
      <c r="D37" s="31"/>
      <c r="E37" s="31"/>
      <c r="F37" s="31"/>
      <c r="G37" s="31"/>
      <c r="H37" s="31"/>
      <c r="I37" s="31">
        <f>+Anexo2!$D$10</f>
        <v>0</v>
      </c>
      <c r="J37" s="31">
        <f>+Anexo2!$D$10</f>
        <v>0</v>
      </c>
      <c r="K37" s="31">
        <f>+Anexo2!$D$10</f>
        <v>0</v>
      </c>
      <c r="L37" s="31">
        <f>+Anexo2!$D$10</f>
        <v>0</v>
      </c>
      <c r="M37" s="31">
        <f>+Anexo2!$D$10</f>
        <v>0</v>
      </c>
      <c r="N37" s="31">
        <f>+Anexo2!$D$10</f>
        <v>0</v>
      </c>
      <c r="O37" s="31">
        <f>+Anexo2!$D$10</f>
        <v>0</v>
      </c>
      <c r="P37" s="31">
        <f>+Anexo2!$D$10</f>
        <v>0</v>
      </c>
      <c r="Q37" s="31">
        <f>+Anexo2!$D$10</f>
        <v>0</v>
      </c>
      <c r="R37" s="31">
        <f>+Anexo2!$D$10</f>
        <v>0</v>
      </c>
      <c r="S37" s="31"/>
      <c r="T37" s="31"/>
      <c r="U37" s="31"/>
      <c r="V37" s="31"/>
      <c r="W37" s="31"/>
      <c r="X37" s="31"/>
      <c r="Y37" s="31"/>
      <c r="Z37" s="32"/>
      <c r="AA37" s="33">
        <f t="shared" si="0"/>
        <v>0</v>
      </c>
      <c r="AB37" s="18">
        <v>4</v>
      </c>
      <c r="AC37" s="77"/>
      <c r="AD37" s="43"/>
    </row>
    <row r="38" spans="1:30" ht="15" x14ac:dyDescent="0.25">
      <c r="A38" s="75"/>
      <c r="B38" s="19" t="s">
        <v>3</v>
      </c>
      <c r="C38" s="34"/>
      <c r="D38" s="34"/>
      <c r="E38" s="34"/>
      <c r="F38" s="34"/>
      <c r="G38" s="34"/>
      <c r="H38" s="34"/>
      <c r="I38" s="34">
        <f>+Anexo2!$D$10</f>
        <v>0</v>
      </c>
      <c r="J38" s="34">
        <f>+Anexo2!$D$10</f>
        <v>0</v>
      </c>
      <c r="K38" s="34">
        <f>+Anexo2!$D$10</f>
        <v>0</v>
      </c>
      <c r="L38" s="34">
        <f>+Anexo2!$D$10</f>
        <v>0</v>
      </c>
      <c r="M38" s="34">
        <f>+Anexo2!$D$10</f>
        <v>0</v>
      </c>
      <c r="N38" s="34">
        <f>+Anexo2!$D$10</f>
        <v>0</v>
      </c>
      <c r="O38" s="34">
        <f>+Anexo2!$D$10</f>
        <v>0</v>
      </c>
      <c r="P38" s="34">
        <f>+Anexo2!$D$10</f>
        <v>0</v>
      </c>
      <c r="Q38" s="34">
        <f>+Anexo2!$D$10</f>
        <v>0</v>
      </c>
      <c r="R38" s="34">
        <f>+Anexo2!$D$10</f>
        <v>0</v>
      </c>
      <c r="S38" s="34"/>
      <c r="T38" s="34"/>
      <c r="U38" s="34"/>
      <c r="V38" s="34"/>
      <c r="W38" s="34"/>
      <c r="X38" s="34"/>
      <c r="Y38" s="34"/>
      <c r="Z38" s="35"/>
      <c r="AA38" s="36">
        <f t="shared" si="0"/>
        <v>0</v>
      </c>
      <c r="AB38" s="20">
        <v>6</v>
      </c>
      <c r="AC38" s="78"/>
      <c r="AD38" s="43"/>
    </row>
    <row r="39" spans="1:30" ht="15" x14ac:dyDescent="0.25">
      <c r="A39" s="79" t="s">
        <v>2</v>
      </c>
      <c r="B39" s="80"/>
      <c r="C39" s="26">
        <f t="shared" ref="C39:AC39" si="1">+SUM(C6:C38)</f>
        <v>0</v>
      </c>
      <c r="D39" s="26">
        <f t="shared" si="1"/>
        <v>0</v>
      </c>
      <c r="E39" s="26">
        <f t="shared" si="1"/>
        <v>0</v>
      </c>
      <c r="F39" s="26">
        <f t="shared" si="1"/>
        <v>0</v>
      </c>
      <c r="G39" s="26">
        <f t="shared" si="1"/>
        <v>0</v>
      </c>
      <c r="H39" s="26">
        <f t="shared" si="1"/>
        <v>0</v>
      </c>
      <c r="I39" s="26">
        <f t="shared" si="1"/>
        <v>0</v>
      </c>
      <c r="J39" s="26">
        <f t="shared" si="1"/>
        <v>0</v>
      </c>
      <c r="K39" s="26">
        <f t="shared" si="1"/>
        <v>0</v>
      </c>
      <c r="L39" s="26">
        <f t="shared" si="1"/>
        <v>0</v>
      </c>
      <c r="M39" s="26">
        <f t="shared" si="1"/>
        <v>0</v>
      </c>
      <c r="N39" s="26">
        <f t="shared" si="1"/>
        <v>0</v>
      </c>
      <c r="O39" s="26">
        <f t="shared" si="1"/>
        <v>0</v>
      </c>
      <c r="P39" s="26">
        <f t="shared" si="1"/>
        <v>0</v>
      </c>
      <c r="Q39" s="26">
        <f t="shared" si="1"/>
        <v>0</v>
      </c>
      <c r="R39" s="26">
        <f t="shared" si="1"/>
        <v>0</v>
      </c>
      <c r="S39" s="26">
        <f t="shared" si="1"/>
        <v>0</v>
      </c>
      <c r="T39" s="26">
        <f t="shared" si="1"/>
        <v>0</v>
      </c>
      <c r="U39" s="26">
        <f t="shared" si="1"/>
        <v>0</v>
      </c>
      <c r="V39" s="26">
        <f t="shared" si="1"/>
        <v>0</v>
      </c>
      <c r="W39" s="26">
        <f t="shared" si="1"/>
        <v>0</v>
      </c>
      <c r="X39" s="26">
        <f t="shared" si="1"/>
        <v>0</v>
      </c>
      <c r="Y39" s="26">
        <f t="shared" si="1"/>
        <v>0</v>
      </c>
      <c r="Z39" s="26">
        <f t="shared" si="1"/>
        <v>0</v>
      </c>
      <c r="AA39" s="26">
        <f t="shared" si="1"/>
        <v>0</v>
      </c>
      <c r="AB39" s="26">
        <f t="shared" si="1"/>
        <v>334</v>
      </c>
      <c r="AC39" s="40">
        <f t="shared" si="1"/>
        <v>0</v>
      </c>
      <c r="AD39" s="43"/>
    </row>
    <row r="40" spans="1:30" ht="15" x14ac:dyDescent="0.25">
      <c r="N40" s="43"/>
      <c r="AB40" s="3"/>
      <c r="AC40" s="3"/>
    </row>
    <row r="41" spans="1:30" ht="15" x14ac:dyDescent="0.25">
      <c r="AA41" s="46"/>
      <c r="AC41" s="45"/>
    </row>
    <row r="42" spans="1:30" ht="15" x14ac:dyDescent="0.25"/>
    <row r="43" spans="1:30" ht="15" x14ac:dyDescent="0.25"/>
  </sheetData>
  <mergeCells count="51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6:A8"/>
    <mergeCell ref="AC6:AC8"/>
    <mergeCell ref="A9:A11"/>
    <mergeCell ref="AC9:AC11"/>
    <mergeCell ref="V4:V5"/>
    <mergeCell ref="W4:W5"/>
    <mergeCell ref="X4:X5"/>
    <mergeCell ref="Y4:Y5"/>
    <mergeCell ref="Z4:Z5"/>
    <mergeCell ref="AC4:AC5"/>
    <mergeCell ref="P4:P5"/>
    <mergeCell ref="Q4:Q5"/>
    <mergeCell ref="R4:R5"/>
    <mergeCell ref="S4:S5"/>
    <mergeCell ref="T4:T5"/>
    <mergeCell ref="U4:U5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9:B39"/>
    <mergeCell ref="A30:A32"/>
    <mergeCell ref="AC30:AC32"/>
    <mergeCell ref="A33:A35"/>
    <mergeCell ref="AC33:AC35"/>
    <mergeCell ref="A36:A38"/>
    <mergeCell ref="AC36:AC38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5" ma:contentTypeDescription="Crear nuevo documento." ma:contentTypeScope="" ma:versionID="322b67c65774f88a4f79be9870d7a1d2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0dfe15df10980a809dd548f427f8b2c8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B0F65-81E7-43CD-8D70-EEABA74BE041}"/>
</file>

<file path=customXml/itemProps3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Anexo 1</vt:lpstr>
      <vt:lpstr>Anexo 3</vt:lpstr>
      <vt:lpstr>Cantidades Ofertadas Prod 1</vt:lpstr>
      <vt:lpstr>Anexo2</vt:lpstr>
      <vt:lpstr>Anexo 4</vt:lpstr>
      <vt:lpstr>Cantidades Ofertadas Prod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2025-11-06T13:34:21Z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